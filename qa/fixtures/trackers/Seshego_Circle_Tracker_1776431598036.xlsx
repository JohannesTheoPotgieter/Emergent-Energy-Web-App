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94" documentId="13_ncr:1_{DFC80828-CF83-4F91-9EA8-0A631B151EBD}" xr6:coauthVersionLast="47" xr6:coauthVersionMax="47" xr10:uidLastSave="{FDD0EDDD-DBE3-49B5-A2D2-BE5B81DD6BCA}"/>
  <bookViews>
    <workbookView xWindow="-108" yWindow="-108" windowWidth="23256" windowHeight="12456" tabRatio="604" firstSheet="10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Plan'!$B$66:$G$71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8" i="18" l="1"/>
  <c r="U167" i="18"/>
  <c r="W189" i="18"/>
  <c r="W188" i="18"/>
  <c r="W187" i="18"/>
  <c r="W186" i="18"/>
  <c r="W116" i="18"/>
  <c r="O35" i="18"/>
  <c r="Q43" i="18"/>
  <c r="Q31" i="18"/>
  <c r="O32" i="18"/>
  <c r="Q32" i="18"/>
  <c r="Q33" i="18"/>
  <c r="Q34" i="18"/>
  <c r="Q46" i="18"/>
  <c r="Q45" i="18"/>
  <c r="Q44" i="18"/>
  <c r="P42" i="18"/>
  <c r="Q42" i="18"/>
  <c r="P41" i="18"/>
  <c r="Q41" i="18"/>
  <c r="Q40" i="18"/>
  <c r="P39" i="18"/>
  <c r="Q39" i="18"/>
  <c r="P38" i="18"/>
  <c r="Q38" i="18"/>
  <c r="Q37" i="18"/>
  <c r="Q36" i="18"/>
  <c r="Q35" i="18"/>
  <c r="X31" i="18"/>
  <c r="J31" i="18"/>
  <c r="K61" i="2"/>
  <c r="N61" i="2"/>
  <c r="K55" i="2"/>
  <c r="N55" i="2"/>
  <c r="X145" i="18"/>
  <c r="J145" i="18"/>
  <c r="U166" i="18"/>
  <c r="T43" i="18"/>
  <c r="I50" i="2"/>
  <c r="M57" i="2"/>
  <c r="M9" i="2" s="1"/>
  <c r="M47" i="2"/>
  <c r="M42" i="2"/>
  <c r="M33" i="2"/>
  <c r="M23" i="2"/>
  <c r="K48" i="2"/>
  <c r="N48" i="2"/>
  <c r="W177" i="18"/>
  <c r="W76" i="18"/>
  <c r="W41" i="18"/>
  <c r="W72" i="18"/>
  <c r="W38" i="18"/>
  <c r="W135" i="18"/>
  <c r="W132" i="18"/>
  <c r="T76" i="18"/>
  <c r="T73" i="18"/>
  <c r="T72" i="18"/>
  <c r="P76" i="18"/>
  <c r="P75" i="18"/>
  <c r="P73" i="18"/>
  <c r="P72" i="18"/>
  <c r="T41" i="18"/>
  <c r="T39" i="18"/>
  <c r="T38" i="18"/>
  <c r="T135" i="18"/>
  <c r="T132" i="18"/>
  <c r="P136" i="18"/>
  <c r="P135" i="18"/>
  <c r="P133" i="18"/>
  <c r="P132" i="18"/>
  <c r="K29" i="2"/>
  <c r="N29" i="2"/>
  <c r="W133" i="18"/>
  <c r="X174" i="18"/>
  <c r="H23" i="3" s="1"/>
  <c r="K28" i="2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N36" i="2"/>
  <c r="I44" i="2"/>
  <c r="I42" i="2"/>
  <c r="N21" i="2"/>
  <c r="K20" i="2"/>
  <c r="N20" i="2"/>
  <c r="I27" i="2"/>
  <c r="W123" i="18"/>
  <c r="U148" i="18"/>
  <c r="Q98" i="18"/>
  <c r="Q97" i="18"/>
  <c r="W51" i="18"/>
  <c r="S51" i="18"/>
  <c r="S32" i="18"/>
  <c r="S13" i="18"/>
  <c r="S31" i="18"/>
  <c r="O7" i="18"/>
  <c r="Q7" i="18"/>
  <c r="C7" i="20"/>
  <c r="C4" i="20"/>
  <c r="H124" i="18"/>
  <c r="H123" i="18"/>
  <c r="H116" i="18"/>
  <c r="H46" i="18"/>
  <c r="H80" i="18"/>
  <c r="H115" i="18"/>
  <c r="H114" i="18"/>
  <c r="H138" i="18"/>
  <c r="H113" i="18"/>
  <c r="H43" i="18"/>
  <c r="H110" i="18"/>
  <c r="H40" i="18"/>
  <c r="H107" i="18"/>
  <c r="H37" i="18"/>
  <c r="H106" i="18"/>
  <c r="H130" i="18"/>
  <c r="H36" i="18"/>
  <c r="H35" i="18"/>
  <c r="H97" i="18"/>
  <c r="H64" i="18"/>
  <c r="H31" i="18"/>
  <c r="H21" i="18"/>
  <c r="H13" i="18"/>
  <c r="H129" i="18"/>
  <c r="H69" i="18"/>
  <c r="I26" i="2"/>
  <c r="K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J85" i="18"/>
  <c r="V85" i="18"/>
  <c r="J94" i="18"/>
  <c r="T195" i="18"/>
  <c r="T182" i="18"/>
  <c r="T180" i="18"/>
  <c r="T173" i="18"/>
  <c r="T172" i="18"/>
  <c r="T171" i="18"/>
  <c r="T170" i="18"/>
  <c r="T169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50" i="18"/>
  <c r="T49" i="18"/>
  <c r="T48" i="18"/>
  <c r="T47" i="18"/>
  <c r="T19" i="18"/>
  <c r="T18" i="18"/>
  <c r="T17" i="18"/>
  <c r="T16" i="18"/>
  <c r="T15" i="18"/>
  <c r="T14" i="18"/>
  <c r="E26" i="2"/>
  <c r="G26" i="2"/>
  <c r="E27" i="2"/>
  <c r="G27" i="2"/>
  <c r="E31" i="2"/>
  <c r="G31" i="2"/>
  <c r="E31" i="18"/>
  <c r="I151" i="18"/>
  <c r="F20" i="3"/>
  <c r="J174" i="18"/>
  <c r="G161" i="18"/>
  <c r="I161" i="18"/>
  <c r="F22" i="3"/>
  <c r="H19" i="3"/>
  <c r="I145" i="18"/>
  <c r="F19" i="3"/>
  <c r="J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H21" i="3"/>
  <c r="I154" i="18"/>
  <c r="F21" i="3"/>
  <c r="J21" i="3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04" i="18"/>
  <c r="J63" i="18"/>
  <c r="J5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105" i="18"/>
  <c r="O69" i="18"/>
  <c r="E16" i="2"/>
  <c r="E15" i="2"/>
  <c r="G15" i="2"/>
  <c r="G19" i="2"/>
  <c r="G18" i="2"/>
  <c r="E18" i="2"/>
  <c r="F18" i="2"/>
  <c r="E13" i="2"/>
  <c r="E14" i="2"/>
  <c r="G14" i="2"/>
  <c r="Z45" i="18"/>
  <c r="Z46" i="18"/>
  <c r="X21" i="18"/>
  <c r="H11" i="3"/>
  <c r="G3" i="6"/>
  <c r="F3" i="6"/>
  <c r="F4" i="6"/>
  <c r="G4" i="6"/>
  <c r="X161" i="18"/>
  <c r="W129" i="18"/>
  <c r="W35" i="18"/>
  <c r="T130" i="18"/>
  <c r="W70" i="18"/>
  <c r="I14" i="2"/>
  <c r="T35" i="18"/>
  <c r="T36" i="18"/>
  <c r="T70" i="18"/>
  <c r="K30" i="2"/>
  <c r="N30" i="2"/>
  <c r="N28" i="2"/>
  <c r="T40" i="18"/>
  <c r="K50" i="2"/>
  <c r="N50" i="2"/>
  <c r="K51" i="2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106" i="18"/>
  <c r="Q111" i="18"/>
  <c r="I43" i="2"/>
  <c r="K43" i="2"/>
  <c r="I63" i="18"/>
  <c r="F14" i="3"/>
  <c r="H137" i="18"/>
  <c r="X6" i="18"/>
  <c r="H9" i="3"/>
  <c r="J9" i="3"/>
  <c r="J10" i="3"/>
  <c r="Q130" i="18"/>
  <c r="Q113" i="18"/>
  <c r="Q115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Q131" i="18"/>
  <c r="K44" i="2"/>
  <c r="I35" i="2"/>
  <c r="E35" i="2"/>
  <c r="K24" i="2"/>
  <c r="N24" i="2"/>
  <c r="E38" i="2"/>
  <c r="G38" i="2"/>
  <c r="G13" i="2"/>
  <c r="G24" i="2"/>
  <c r="E25" i="2"/>
  <c r="G25" i="2"/>
  <c r="E15" i="5"/>
  <c r="E13" i="5"/>
  <c r="E22" i="5"/>
  <c r="F20" i="5"/>
  <c r="C3" i="6"/>
  <c r="I53" i="2"/>
  <c r="U170" i="18"/>
  <c r="U169" i="18"/>
  <c r="U154" i="18"/>
  <c r="J2" i="18"/>
  <c r="J4" i="18"/>
  <c r="U172" i="18"/>
  <c r="H70" i="18"/>
  <c r="U61" i="18"/>
  <c r="H22" i="3"/>
  <c r="J22" i="3"/>
  <c r="Q137" i="18"/>
  <c r="Q129" i="18"/>
  <c r="J15" i="3"/>
  <c r="J13" i="3"/>
  <c r="Z22" i="18"/>
  <c r="Z23" i="18"/>
  <c r="Z24" i="18"/>
  <c r="J20" i="3"/>
  <c r="J11" i="3"/>
  <c r="I121" i="18"/>
  <c r="F18" i="3"/>
  <c r="N15" i="2"/>
  <c r="H140" i="18"/>
  <c r="N38" i="2"/>
  <c r="I37" i="2"/>
  <c r="K37" i="2"/>
  <c r="Q114" i="18"/>
  <c r="Q116" i="18"/>
  <c r="Q105" i="18"/>
  <c r="Q110" i="18"/>
  <c r="Q107" i="18"/>
  <c r="U159" i="18"/>
  <c r="Q75" i="18"/>
  <c r="Q70" i="18"/>
  <c r="Q80" i="18"/>
  <c r="Q77" i="18"/>
  <c r="Q78" i="18"/>
  <c r="Q79" i="18"/>
  <c r="H36" i="9"/>
  <c r="D43" i="9"/>
  <c r="J22" i="7"/>
  <c r="E22" i="7"/>
  <c r="O8" i="7"/>
  <c r="O22" i="7"/>
  <c r="E8" i="7"/>
  <c r="I1" i="6"/>
  <c r="H3" i="6"/>
  <c r="J9" i="7"/>
  <c r="E9" i="7"/>
  <c r="O23" i="7"/>
  <c r="J21" i="7"/>
  <c r="E21" i="7"/>
  <c r="I25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K31" i="2"/>
  <c r="N31" i="2"/>
  <c r="T134" i="18"/>
  <c r="T74" i="18"/>
  <c r="Q112" i="18"/>
  <c r="Q136" i="18"/>
  <c r="Q133" i="18"/>
  <c r="I58" i="2"/>
  <c r="K58" i="2"/>
  <c r="N44" i="2"/>
  <c r="F5" i="3"/>
  <c r="D5" i="5"/>
  <c r="D6" i="5"/>
  <c r="D7" i="5"/>
  <c r="V51" i="18"/>
  <c r="V161" i="18"/>
  <c r="U96" i="18"/>
  <c r="U100" i="18"/>
  <c r="K54" i="2"/>
  <c r="I59" i="2"/>
  <c r="I2" i="18"/>
  <c r="F25" i="3"/>
  <c r="J1" i="6"/>
  <c r="I3" i="6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104" i="18"/>
  <c r="X63" i="18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K1" i="6"/>
  <c r="J3" i="6"/>
  <c r="I47" i="2"/>
  <c r="K49" i="2"/>
  <c r="N49" i="2"/>
  <c r="U82" i="18"/>
  <c r="U66" i="18"/>
  <c r="U67" i="18"/>
  <c r="U63" i="18"/>
  <c r="H14" i="3"/>
  <c r="J14" i="3"/>
  <c r="U68" i="18"/>
  <c r="U83" i="18"/>
  <c r="U81" i="18"/>
  <c r="U65" i="18"/>
  <c r="U80" i="18"/>
  <c r="U104" i="18"/>
  <c r="H17" i="3"/>
  <c r="J17" i="3"/>
  <c r="U118" i="18"/>
  <c r="U119" i="18"/>
  <c r="U117" i="18"/>
  <c r="U116" i="18"/>
  <c r="U47" i="18"/>
  <c r="U49" i="18"/>
  <c r="U46" i="18"/>
  <c r="H12" i="3"/>
  <c r="U48" i="18"/>
  <c r="U140" i="18"/>
  <c r="H18" i="3"/>
  <c r="J18" i="3"/>
  <c r="U121" i="18"/>
  <c r="U141" i="18"/>
  <c r="U128" i="18"/>
  <c r="U127" i="18"/>
  <c r="U142" i="18"/>
  <c r="U143" i="18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V121" i="18"/>
  <c r="V31" i="18"/>
  <c r="J12" i="3"/>
  <c r="V104" i="18"/>
  <c r="V63" i="18"/>
  <c r="M1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K3" i="6"/>
  <c r="L3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N1" i="6"/>
  <c r="M3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T137" i="18"/>
  <c r="P1" i="6"/>
  <c r="O3" i="6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3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R1" i="6"/>
  <c r="Q3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P3" i="6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S1" i="6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T1" i="6"/>
  <c r="S3" i="6"/>
  <c r="R3" i="6"/>
  <c r="U1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V1" i="6"/>
  <c r="U3" i="6"/>
  <c r="T3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X1" i="6"/>
  <c r="W3" i="6"/>
  <c r="V3" i="6"/>
  <c r="Y1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Z1" i="6"/>
  <c r="Y3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AB1" i="6"/>
  <c r="AA3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3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E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3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D3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3" i="6"/>
  <c r="AG1" i="6"/>
  <c r="AE3" i="6"/>
  <c r="AH1" i="6"/>
  <c r="AG3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K1" i="6"/>
  <c r="AI3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L1" i="6"/>
  <c r="AM1" i="6"/>
  <c r="AL3" i="6"/>
  <c r="AK3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N1" i="6"/>
  <c r="AM3" i="6"/>
  <c r="AO1" i="6"/>
  <c r="AN3" i="6"/>
  <c r="AP1" i="6"/>
  <c r="AQ1" i="6"/>
  <c r="AP3" i="6"/>
  <c r="AO3" i="6"/>
  <c r="AR1" i="6"/>
  <c r="AQ3" i="6"/>
  <c r="AS1" i="6"/>
  <c r="AT1" i="6"/>
  <c r="AS3" i="6"/>
  <c r="AR3" i="6"/>
  <c r="AU1" i="6"/>
  <c r="AT3" i="6"/>
  <c r="AV1" i="6"/>
  <c r="AU3" i="6"/>
  <c r="AW1" i="6"/>
  <c r="AV3" i="6"/>
  <c r="AX1" i="6"/>
  <c r="AY1" i="6"/>
  <c r="AX3" i="6"/>
  <c r="AW3" i="6"/>
  <c r="AZ1" i="6"/>
  <c r="BA1" i="6"/>
  <c r="AY3" i="6"/>
  <c r="BB1" i="6"/>
  <c r="AZ3" i="6"/>
  <c r="BB3" i="6"/>
  <c r="BC1" i="6"/>
  <c r="BA3" i="6"/>
  <c r="BD1" i="6"/>
  <c r="BC3" i="6"/>
  <c r="BE1" i="6"/>
  <c r="BD3" i="6"/>
  <c r="BF1" i="6"/>
  <c r="BE3" i="6"/>
  <c r="BG1" i="6"/>
  <c r="BF3" i="6"/>
  <c r="BH1" i="6"/>
  <c r="BH3" i="6"/>
  <c r="BI1" i="6"/>
  <c r="BG3" i="6"/>
  <c r="BJ1" i="6"/>
  <c r="BI3" i="6"/>
  <c r="BK1" i="6"/>
  <c r="BJ3" i="6"/>
  <c r="BL1" i="6"/>
  <c r="BM1" i="6"/>
  <c r="BL3" i="6"/>
  <c r="BK3" i="6"/>
  <c r="BN1" i="6"/>
  <c r="BM3" i="6"/>
  <c r="BO1" i="6"/>
  <c r="BN3" i="6"/>
  <c r="BP1" i="6"/>
  <c r="BQ1" i="6"/>
  <c r="BO3" i="6"/>
  <c r="BQ3" i="6"/>
  <c r="BR1" i="6"/>
  <c r="BP3" i="6"/>
  <c r="BS1" i="6"/>
  <c r="BR3" i="6"/>
  <c r="BT1" i="6"/>
  <c r="BS3" i="6"/>
  <c r="BU1" i="6"/>
  <c r="BV1" i="6"/>
  <c r="BT3" i="6"/>
  <c r="BW1" i="6"/>
  <c r="BV3" i="6"/>
  <c r="BU3" i="6"/>
  <c r="BX1" i="6"/>
  <c r="BY1" i="6"/>
  <c r="BW3" i="6"/>
  <c r="BZ1" i="6"/>
  <c r="BY3" i="6"/>
  <c r="BX3" i="6"/>
  <c r="CA1" i="6"/>
  <c r="CB1" i="6"/>
  <c r="CA3" i="6"/>
  <c r="BZ3" i="6"/>
  <c r="CC1" i="6"/>
  <c r="CB3" i="6"/>
  <c r="CD1" i="6"/>
  <c r="CC3" i="6"/>
  <c r="CE1" i="6"/>
  <c r="CD3" i="6"/>
  <c r="CF1" i="6"/>
  <c r="CE3" i="6"/>
  <c r="CG1" i="6"/>
  <c r="CF3" i="6"/>
  <c r="CH1" i="6"/>
  <c r="CI1" i="6"/>
  <c r="CG3" i="6"/>
  <c r="CJ1" i="6"/>
  <c r="CH3" i="6"/>
  <c r="CK1" i="6"/>
  <c r="CJ3" i="6"/>
  <c r="CI3" i="6"/>
  <c r="CL1" i="6"/>
  <c r="CM1" i="6"/>
  <c r="CK3" i="6"/>
  <c r="CN1" i="6"/>
  <c r="CL3" i="6"/>
  <c r="CO1" i="6"/>
  <c r="CN3" i="6"/>
  <c r="CM3" i="6"/>
  <c r="CP1" i="6"/>
  <c r="CO3" i="6"/>
  <c r="CQ1" i="6"/>
  <c r="CP3" i="6"/>
  <c r="CR1" i="6"/>
  <c r="CQ3" i="6"/>
  <c r="CS1" i="6"/>
  <c r="CT1" i="6"/>
  <c r="CS3" i="6"/>
  <c r="CR3" i="6"/>
  <c r="CU1" i="6"/>
  <c r="CV1" i="6"/>
  <c r="CT3" i="6"/>
  <c r="CW1" i="6"/>
  <c r="CV3" i="6"/>
  <c r="CU3" i="6"/>
  <c r="CX1" i="6"/>
  <c r="CY1" i="6"/>
  <c r="CX3" i="6"/>
  <c r="CW3" i="6"/>
  <c r="CY3" i="6"/>
  <c r="CZ1" i="6"/>
  <c r="DA1" i="6"/>
  <c r="CZ3" i="6"/>
  <c r="DB1" i="6"/>
  <c r="DC1" i="6"/>
  <c r="DA3" i="6"/>
  <c r="DD1" i="6"/>
  <c r="DB3" i="6"/>
  <c r="DE1" i="6"/>
  <c r="DC3" i="6"/>
  <c r="DF1" i="6"/>
  <c r="DE3" i="6"/>
  <c r="DD3" i="6"/>
  <c r="DG1" i="6"/>
  <c r="DF3" i="6"/>
  <c r="DH1" i="6"/>
  <c r="DG3" i="6"/>
  <c r="DI1" i="6"/>
  <c r="DJ1" i="6"/>
  <c r="DI3" i="6"/>
  <c r="DH3" i="6"/>
  <c r="DK1" i="6"/>
  <c r="DL1" i="6"/>
  <c r="DJ3" i="6"/>
  <c r="DM1" i="6"/>
  <c r="DK3" i="6"/>
  <c r="DM3" i="6"/>
  <c r="DN1" i="6"/>
  <c r="DL3" i="6"/>
  <c r="DO1" i="6"/>
  <c r="DP1" i="6"/>
  <c r="DO3" i="6"/>
  <c r="DN3" i="6"/>
  <c r="DQ1" i="6"/>
  <c r="DR1" i="6"/>
  <c r="DP3" i="6"/>
  <c r="DS1" i="6"/>
  <c r="DR3" i="6"/>
  <c r="DQ3" i="6"/>
  <c r="DT1" i="6"/>
  <c r="DS3" i="6"/>
  <c r="DU1" i="6"/>
  <c r="DV1" i="6"/>
  <c r="DT3" i="6"/>
  <c r="DW1" i="6"/>
  <c r="DU3" i="6"/>
  <c r="DX1" i="6"/>
  <c r="DW3" i="6"/>
  <c r="DV3" i="6"/>
  <c r="DY1" i="6"/>
  <c r="DZ1" i="6"/>
  <c r="DX3" i="6"/>
  <c r="EA1" i="6"/>
  <c r="DZ3" i="6"/>
  <c r="DY3" i="6"/>
  <c r="EB1" i="6"/>
  <c r="EA3" i="6"/>
  <c r="EC1" i="6"/>
  <c r="EB3" i="6"/>
  <c r="ED1" i="6"/>
  <c r="EC3" i="6"/>
  <c r="EE1" i="6"/>
  <c r="ED3" i="6"/>
  <c r="EF1" i="6"/>
  <c r="EG1" i="6"/>
  <c r="EF3" i="6"/>
  <c r="EE3" i="6"/>
  <c r="EH1" i="6"/>
  <c r="EI1" i="6"/>
  <c r="EG3" i="6"/>
  <c r="EJ1" i="6"/>
  <c r="EI3" i="6"/>
  <c r="EH3" i="6"/>
  <c r="EK1" i="6"/>
  <c r="EJ3" i="6"/>
  <c r="EL1" i="6"/>
  <c r="EM1" i="6"/>
  <c r="EK3" i="6"/>
  <c r="EN1" i="6"/>
  <c r="EM3" i="6"/>
  <c r="EL3" i="6"/>
  <c r="EO1" i="6"/>
  <c r="EP1" i="6"/>
  <c r="EO3" i="6"/>
  <c r="EN3" i="6"/>
  <c r="EQ1" i="6"/>
  <c r="ER1" i="6"/>
  <c r="EQ3" i="6"/>
  <c r="EP3" i="6"/>
  <c r="ES1" i="6"/>
  <c r="ET1" i="6"/>
  <c r="ER3" i="6"/>
  <c r="EU1" i="6"/>
  <c r="ET3" i="6"/>
  <c r="ES3" i="6"/>
  <c r="EV1" i="6"/>
  <c r="EU3" i="6"/>
  <c r="EW1" i="6"/>
  <c r="EX1" i="6"/>
  <c r="EW3" i="6"/>
  <c r="EV3" i="6"/>
  <c r="EY1" i="6"/>
  <c r="EX3" i="6"/>
  <c r="EZ1" i="6"/>
  <c r="EY3" i="6"/>
  <c r="FA1" i="6"/>
  <c r="EZ3" i="6"/>
  <c r="FB1" i="6"/>
  <c r="FC1" i="6"/>
  <c r="FB3" i="6"/>
  <c r="FA3" i="6"/>
  <c r="FD1" i="6"/>
  <c r="FE1" i="6"/>
  <c r="FD3" i="6"/>
  <c r="FC3" i="6"/>
  <c r="FF1" i="6"/>
  <c r="FE3" i="6"/>
  <c r="FG1" i="6"/>
  <c r="FH1" i="6"/>
  <c r="FG3" i="6"/>
  <c r="FF3" i="6"/>
  <c r="FI1" i="6"/>
  <c r="FH3" i="6"/>
  <c r="FJ1" i="6"/>
  <c r="FK1" i="6"/>
  <c r="FI3" i="6"/>
  <c r="FL1" i="6"/>
  <c r="FK3" i="6"/>
  <c r="FJ3" i="6"/>
  <c r="FM1" i="6"/>
  <c r="FL3" i="6"/>
  <c r="FN1" i="6"/>
  <c r="FM3" i="6"/>
  <c r="FO1" i="6"/>
  <c r="FP1" i="6"/>
  <c r="FN3" i="6"/>
  <c r="FO3" i="6"/>
  <c r="FQ1" i="6"/>
  <c r="FP3" i="6"/>
  <c r="FR1" i="6"/>
  <c r="FS1" i="6"/>
  <c r="FR3" i="6"/>
  <c r="FQ3" i="6"/>
  <c r="FT1" i="6"/>
  <c r="FS3" i="6"/>
  <c r="FU1" i="6"/>
  <c r="FT3" i="6"/>
  <c r="FU3" i="6"/>
  <c r="FV1" i="6"/>
  <c r="FW1" i="6"/>
  <c r="FV3" i="6"/>
  <c r="FX1" i="6"/>
  <c r="FY1" i="6"/>
  <c r="FX3" i="6"/>
  <c r="FW3" i="6"/>
  <c r="FZ1" i="6"/>
  <c r="FY3" i="6"/>
  <c r="GA1" i="6"/>
  <c r="FZ3" i="6"/>
  <c r="GB1" i="6"/>
  <c r="GC1" i="6"/>
  <c r="GA3" i="6"/>
  <c r="GD1" i="6"/>
  <c r="GB3" i="6"/>
  <c r="GE1" i="6"/>
  <c r="GD3" i="6"/>
  <c r="GC3" i="6"/>
  <c r="GF1" i="6"/>
  <c r="GG1" i="6"/>
  <c r="GF3" i="6"/>
  <c r="GE3" i="6"/>
  <c r="GH1" i="6"/>
  <c r="GG3" i="6"/>
  <c r="GI1" i="6"/>
  <c r="GJ1" i="6"/>
  <c r="GI3" i="6"/>
  <c r="GH3" i="6"/>
  <c r="GK1" i="6"/>
  <c r="GJ3" i="6"/>
  <c r="GL1" i="6"/>
  <c r="GM1" i="6"/>
  <c r="GK3" i="6"/>
  <c r="GN1" i="6"/>
  <c r="GL3" i="6"/>
  <c r="GO1" i="6"/>
  <c r="GN3" i="6"/>
  <c r="GM3" i="6"/>
  <c r="GP1" i="6"/>
  <c r="GQ1" i="6"/>
  <c r="GP3" i="6"/>
  <c r="GO3" i="6"/>
  <c r="GR1" i="6"/>
  <c r="GS1" i="6"/>
  <c r="GR3" i="6"/>
  <c r="GQ3" i="6"/>
  <c r="GT1" i="6"/>
  <c r="GU1" i="6"/>
  <c r="GS3" i="6"/>
  <c r="GV1" i="6"/>
  <c r="GT3" i="6"/>
  <c r="GW1" i="6"/>
  <c r="GV3" i="6"/>
  <c r="GU3" i="6"/>
  <c r="GX1" i="6"/>
  <c r="GY1" i="6"/>
  <c r="GX3" i="6"/>
  <c r="GW3" i="6"/>
  <c r="GZ1" i="6"/>
  <c r="HA1" i="6"/>
  <c r="GZ3" i="6"/>
  <c r="GY3" i="6"/>
  <c r="HB1" i="6"/>
  <c r="HC1" i="6"/>
  <c r="HB3" i="6"/>
  <c r="HA3" i="6"/>
  <c r="HD1" i="6"/>
  <c r="HE1" i="6"/>
  <c r="HD3" i="6"/>
  <c r="HC3" i="6"/>
  <c r="HF1" i="6"/>
  <c r="HF3" i="6"/>
  <c r="HG1" i="6"/>
  <c r="HE3" i="6"/>
  <c r="HH1" i="6"/>
  <c r="HG3" i="6"/>
  <c r="HI1" i="6"/>
  <c r="HH3" i="6"/>
  <c r="HJ1" i="6"/>
  <c r="HI3" i="6"/>
  <c r="HK1" i="6"/>
  <c r="HJ3" i="6"/>
  <c r="HL1" i="6"/>
  <c r="HM1" i="6"/>
  <c r="HL3" i="6"/>
  <c r="HK3" i="6"/>
  <c r="HN1" i="6"/>
  <c r="HO1" i="6"/>
  <c r="HM3" i="6"/>
  <c r="HP1" i="6"/>
  <c r="HN3" i="6"/>
  <c r="HQ1" i="6"/>
  <c r="HO3" i="6"/>
  <c r="HQ3" i="6"/>
  <c r="HR1" i="6"/>
  <c r="HP3" i="6"/>
  <c r="HS1" i="6"/>
  <c r="HT1" i="6"/>
  <c r="HR3" i="6"/>
  <c r="HU1" i="6"/>
  <c r="HT3" i="6"/>
  <c r="HS3" i="6"/>
  <c r="HV1" i="6"/>
  <c r="HU3" i="6"/>
  <c r="HW1" i="6"/>
  <c r="HV3" i="6"/>
  <c r="HX1" i="6"/>
  <c r="HW3" i="6"/>
  <c r="HY1" i="6"/>
  <c r="HX3" i="6"/>
  <c r="HZ1" i="6"/>
  <c r="IA1" i="6"/>
  <c r="HY3" i="6"/>
  <c r="IB1" i="6"/>
  <c r="HZ3" i="6"/>
  <c r="IC1" i="6"/>
  <c r="IB3" i="6"/>
  <c r="IA3" i="6"/>
  <c r="ID1" i="6"/>
  <c r="IE1" i="6"/>
  <c r="IC3" i="6"/>
  <c r="ID3" i="6"/>
  <c r="IF1" i="6"/>
  <c r="IE3" i="6"/>
  <c r="IG1" i="6"/>
  <c r="IH1" i="6"/>
  <c r="IG3" i="6"/>
  <c r="IF3" i="6"/>
  <c r="II1" i="6"/>
  <c r="IH3" i="6"/>
  <c r="IJ1" i="6"/>
  <c r="IK1" i="6"/>
  <c r="IJ3" i="6"/>
  <c r="II3" i="6"/>
  <c r="IL1" i="6"/>
  <c r="IM1" i="6"/>
  <c r="IL3" i="6"/>
  <c r="IK3" i="6"/>
  <c r="IN1" i="6"/>
  <c r="IO1" i="6"/>
  <c r="IM3" i="6"/>
  <c r="IP1" i="6"/>
  <c r="IO3" i="6"/>
  <c r="IN3" i="6"/>
  <c r="IQ1" i="6"/>
  <c r="IP3" i="6"/>
  <c r="IR1" i="6"/>
  <c r="IQ3" i="6"/>
  <c r="IS1" i="6"/>
  <c r="IR3" i="6"/>
  <c r="IT1" i="6"/>
  <c r="IS3" i="6"/>
  <c r="IU1" i="6"/>
  <c r="IT3" i="6"/>
  <c r="IV1" i="6"/>
  <c r="IW1" i="6"/>
  <c r="IV3" i="6"/>
  <c r="IU3" i="6"/>
  <c r="IX1" i="6"/>
  <c r="IW3" i="6"/>
  <c r="IY1" i="6"/>
  <c r="IZ1" i="6"/>
  <c r="IY3" i="6"/>
  <c r="IX3" i="6"/>
  <c r="JA1" i="6"/>
  <c r="IZ3" i="6"/>
  <c r="JB1" i="6"/>
  <c r="JC1" i="6"/>
  <c r="JB3" i="6"/>
  <c r="JA3" i="6"/>
  <c r="JD1" i="6"/>
  <c r="JE1" i="6"/>
  <c r="JC3" i="6"/>
  <c r="JF1" i="6"/>
  <c r="JD3" i="6"/>
  <c r="JG1" i="6"/>
  <c r="JE3" i="6"/>
  <c r="JH1" i="6"/>
  <c r="JF3" i="6"/>
  <c r="JI1" i="6"/>
  <c r="JH3" i="6"/>
  <c r="JG3" i="6"/>
  <c r="JJ1" i="6"/>
  <c r="JI3" i="6"/>
  <c r="JK1" i="6"/>
  <c r="JJ3" i="6"/>
  <c r="JL1" i="6"/>
  <c r="JM1" i="6"/>
  <c r="JL3" i="6"/>
  <c r="JK3" i="6"/>
  <c r="JN1" i="6"/>
  <c r="JN3" i="6"/>
  <c r="JO1" i="6"/>
  <c r="JM3" i="6"/>
  <c r="JP1" i="6"/>
  <c r="JO3" i="6"/>
  <c r="JQ1" i="6"/>
  <c r="JP3" i="6"/>
  <c r="JR1" i="6"/>
  <c r="JQ3" i="6"/>
  <c r="JS1" i="6"/>
  <c r="JR3" i="6"/>
  <c r="JT1" i="6"/>
  <c r="JU1" i="6"/>
  <c r="JS3" i="6"/>
  <c r="JV1" i="6"/>
  <c r="JT3" i="6"/>
  <c r="JW1" i="6"/>
  <c r="JU3" i="6"/>
  <c r="JX1" i="6"/>
  <c r="JV3" i="6"/>
  <c r="JY1" i="6"/>
  <c r="JX3" i="6"/>
  <c r="JW3" i="6"/>
  <c r="JZ1" i="6"/>
  <c r="KA1" i="6"/>
  <c r="JZ3" i="6"/>
  <c r="JY3" i="6"/>
  <c r="KB1" i="6"/>
  <c r="KA3" i="6"/>
  <c r="KC1" i="6"/>
  <c r="KD1" i="6"/>
  <c r="KB3" i="6"/>
  <c r="KE1" i="6"/>
  <c r="KC3" i="6"/>
  <c r="KF1" i="6"/>
  <c r="KE3" i="6"/>
  <c r="KD3" i="6"/>
  <c r="KG1" i="6"/>
  <c r="KF3" i="6"/>
  <c r="KH1" i="6"/>
  <c r="KG3" i="6"/>
  <c r="KI1" i="6"/>
  <c r="KH3" i="6"/>
  <c r="KJ1" i="6"/>
  <c r="KK1" i="6"/>
  <c r="KJ3" i="6"/>
  <c r="KI3" i="6"/>
  <c r="KL1" i="6"/>
  <c r="KK3" i="6"/>
  <c r="KM1" i="6"/>
  <c r="KL3" i="6"/>
  <c r="KN1" i="6"/>
  <c r="KO1" i="6"/>
  <c r="KN3" i="6"/>
  <c r="KM3" i="6"/>
  <c r="KP1" i="6"/>
  <c r="KQ1" i="6"/>
  <c r="KO3" i="6"/>
  <c r="KR1" i="6"/>
  <c r="KQ3" i="6"/>
  <c r="KP3" i="6"/>
  <c r="KS1" i="6"/>
  <c r="KR3" i="6"/>
  <c r="KT1" i="6"/>
  <c r="KU1" i="6"/>
  <c r="KS3" i="6"/>
  <c r="KV1" i="6"/>
  <c r="KT3" i="6"/>
  <c r="KW1" i="6"/>
  <c r="KV3" i="6"/>
  <c r="KU3" i="6"/>
  <c r="KX1" i="6"/>
  <c r="KW3" i="6"/>
  <c r="KY1" i="6"/>
  <c r="KZ1" i="6"/>
  <c r="KX3" i="6"/>
  <c r="LA1" i="6"/>
  <c r="KZ3" i="6"/>
  <c r="KY3" i="6"/>
  <c r="LB1" i="6"/>
  <c r="LA3" i="6"/>
  <c r="LC1" i="6"/>
  <c r="LD1" i="6"/>
  <c r="LB3" i="6"/>
  <c r="LD3" i="6"/>
  <c r="LC3" i="6"/>
  <c r="I39" i="2"/>
  <c r="I45" i="2"/>
  <c r="K42" i="2"/>
  <c r="J42" i="2"/>
  <c r="K14" i="2"/>
  <c r="N14" i="2"/>
  <c r="H44" i="18"/>
  <c r="H45" i="18"/>
  <c r="H78" i="18"/>
  <c r="H79" i="18"/>
  <c r="H139" i="18"/>
  <c r="HB5" i="6"/>
  <c r="JK5" i="6"/>
  <c r="G43" i="2"/>
  <c r="E11" i="2"/>
  <c r="G16" i="2"/>
  <c r="G11" i="2"/>
  <c r="F11" i="2"/>
  <c r="I11" i="2"/>
  <c r="N13" i="2"/>
  <c r="N37" i="2"/>
  <c r="G23" i="2"/>
  <c r="S19" i="2"/>
  <c r="S23" i="2"/>
  <c r="S24" i="2"/>
  <c r="I60" i="2"/>
  <c r="AL5" i="6"/>
  <c r="BK5" i="6"/>
  <c r="CY5" i="6"/>
  <c r="DF5" i="6"/>
  <c r="DW5" i="6"/>
  <c r="FO5" i="6"/>
  <c r="KD5" i="6"/>
  <c r="KS5" i="6"/>
  <c r="KW5" i="6"/>
  <c r="BH5" i="6"/>
  <c r="BP5" i="6"/>
  <c r="CA5" i="6"/>
  <c r="CD5" i="6"/>
  <c r="DV5" i="6"/>
  <c r="EG5" i="6"/>
  <c r="EM5" i="6"/>
  <c r="FI5" i="6"/>
  <c r="GB5" i="6"/>
  <c r="JT5" i="6"/>
  <c r="R5" i="6"/>
  <c r="T5" i="6"/>
  <c r="AH5" i="6"/>
  <c r="AO5" i="6"/>
  <c r="BB5" i="6"/>
  <c r="IN5" i="6"/>
  <c r="IY5" i="6"/>
  <c r="JA5" i="6"/>
  <c r="JD5" i="6"/>
  <c r="JG5" i="6"/>
  <c r="JZ5" i="6"/>
  <c r="GC5" i="6"/>
  <c r="GQ5" i="6"/>
  <c r="GT5" i="6"/>
  <c r="GX5" i="6"/>
  <c r="JL5" i="6"/>
  <c r="JS5" i="6"/>
  <c r="DH5" i="6"/>
  <c r="DS5" i="6"/>
  <c r="EV5" i="6"/>
  <c r="FY5" i="6"/>
  <c r="HN5" i="6"/>
  <c r="JO5" i="6"/>
  <c r="KO5" i="6"/>
  <c r="KV5" i="6"/>
  <c r="LC5" i="6"/>
  <c r="AG5" i="6"/>
  <c r="BD5" i="6"/>
  <c r="GD5" i="6"/>
  <c r="BS5" i="6"/>
  <c r="CK5" i="6"/>
  <c r="FN5" i="6"/>
  <c r="IW5" i="6"/>
  <c r="DA5" i="6"/>
  <c r="IJ5" i="6"/>
  <c r="H5" i="6"/>
  <c r="AM5" i="6"/>
  <c r="BI5" i="6"/>
  <c r="CF5" i="6"/>
  <c r="DD5" i="6"/>
  <c r="DZ5" i="6"/>
  <c r="CB5" i="6"/>
  <c r="CZ5" i="6"/>
  <c r="EF5" i="6"/>
  <c r="ES5" i="6"/>
  <c r="FB5" i="6"/>
  <c r="FF5" i="6"/>
  <c r="HA5" i="6"/>
  <c r="BT5" i="6"/>
  <c r="CH5" i="6"/>
  <c r="CR5" i="6"/>
  <c r="DK5" i="6"/>
  <c r="DO5" i="6"/>
  <c r="DN5" i="6"/>
  <c r="AT5" i="6"/>
  <c r="BG5" i="6"/>
  <c r="BV5" i="6"/>
  <c r="CE5" i="6"/>
  <c r="CJ5" i="6"/>
  <c r="K35" i="2"/>
  <c r="I23" i="2"/>
  <c r="K25" i="2"/>
  <c r="N25" i="2"/>
  <c r="K11" i="2"/>
  <c r="K27" i="2"/>
  <c r="N27" i="2"/>
  <c r="LB5" i="6"/>
  <c r="IC5" i="6"/>
  <c r="DQ5" i="6"/>
  <c r="BA5" i="6"/>
  <c r="IF5" i="6"/>
  <c r="HW5" i="6"/>
  <c r="HI5" i="6"/>
  <c r="FJ5" i="6"/>
  <c r="FE5" i="6"/>
  <c r="FS5" i="6"/>
  <c r="EU5" i="6"/>
  <c r="DJ5" i="6"/>
  <c r="Y5" i="6"/>
  <c r="I5" i="6"/>
  <c r="HZ5" i="6"/>
  <c r="G35" i="2"/>
  <c r="E23" i="2"/>
  <c r="N43" i="2"/>
  <c r="F22" i="5"/>
  <c r="F48" i="5"/>
  <c r="U156" i="18"/>
  <c r="U158" i="18"/>
  <c r="U157" i="18"/>
  <c r="U155" i="18"/>
  <c r="V154" i="18"/>
  <c r="N26" i="2"/>
  <c r="V145" i="18"/>
  <c r="N58" i="2"/>
  <c r="K59" i="2"/>
  <c r="N59" i="2"/>
  <c r="N54" i="2"/>
  <c r="N53" i="2" s="1"/>
  <c r="K53" i="2"/>
  <c r="J53" i="2"/>
  <c r="J9" i="2"/>
  <c r="N51" i="2"/>
  <c r="K47" i="2"/>
  <c r="J47" i="2"/>
  <c r="EX5" i="6"/>
  <c r="AC5" i="6"/>
  <c r="J11" i="2"/>
  <c r="F5" i="6"/>
  <c r="IQ5" i="6"/>
  <c r="CL5" i="6"/>
  <c r="J5" i="6"/>
  <c r="BZ5" i="6"/>
  <c r="KR5" i="6"/>
  <c r="DP5" i="6"/>
  <c r="GJ5" i="6"/>
  <c r="IR5" i="6"/>
  <c r="N5" i="6"/>
  <c r="CN5" i="6"/>
  <c r="KG5" i="6"/>
  <c r="AQ5" i="6"/>
  <c r="BM5" i="6"/>
  <c r="BX5" i="6"/>
  <c r="AJ5" i="6"/>
  <c r="BO5" i="6"/>
  <c r="JB5" i="6"/>
  <c r="ER5" i="6"/>
  <c r="JJ5" i="6"/>
  <c r="BU5" i="6"/>
  <c r="AI5" i="6"/>
  <c r="IV5" i="6"/>
  <c r="AW5" i="6"/>
  <c r="KF5" i="6"/>
  <c r="AY5" i="6"/>
  <c r="BC5" i="6"/>
  <c r="HE5" i="6"/>
  <c r="BN5" i="6"/>
  <c r="JM5" i="6"/>
  <c r="JQ5" i="6"/>
  <c r="FP5" i="6"/>
  <c r="JF5" i="6"/>
  <c r="KB5" i="6"/>
  <c r="BL5" i="6"/>
  <c r="HM5" i="6"/>
  <c r="EK5" i="6"/>
  <c r="GR5" i="6"/>
  <c r="AX5" i="6"/>
  <c r="HO5" i="6"/>
  <c r="HP5" i="6"/>
  <c r="CU5" i="6"/>
  <c r="IM5" i="6"/>
  <c r="GN5" i="6"/>
  <c r="EA5" i="6"/>
  <c r="IO5" i="6"/>
  <c r="HT5" i="6"/>
  <c r="BY5" i="6"/>
  <c r="JV5" i="6"/>
  <c r="HG5" i="6"/>
  <c r="GI5" i="6"/>
  <c r="FD5" i="6"/>
  <c r="CP5" i="6"/>
  <c r="AS5" i="6"/>
  <c r="EZ5" i="6"/>
  <c r="IE5" i="6"/>
  <c r="HR5" i="6"/>
  <c r="F23" i="2"/>
  <c r="BF5" i="6"/>
  <c r="FT5" i="6"/>
  <c r="AE5" i="6"/>
  <c r="FQ5" i="6"/>
  <c r="JI5" i="6"/>
  <c r="FK5" i="6"/>
  <c r="ET5" i="6"/>
  <c r="EJ5" i="6"/>
  <c r="BR5" i="6"/>
  <c r="IK5" i="6"/>
  <c r="FZ5" i="6"/>
  <c r="O5" i="6"/>
  <c r="FM5" i="6"/>
  <c r="CM5" i="6"/>
  <c r="HC5" i="6"/>
  <c r="Z5" i="6"/>
  <c r="LA5" i="6"/>
  <c r="M5" i="6"/>
  <c r="EQ5" i="6"/>
  <c r="HL5" i="6"/>
  <c r="CT5" i="6"/>
  <c r="K39" i="2"/>
  <c r="N39" i="2"/>
  <c r="N35" i="2"/>
  <c r="N40" i="2"/>
  <c r="K23" i="2"/>
  <c r="J23" i="2"/>
  <c r="HS5" i="6"/>
  <c r="FC5" i="6"/>
  <c r="EI5" i="6"/>
  <c r="CW5" i="6"/>
  <c r="IL5" i="6"/>
  <c r="JX5" i="6"/>
  <c r="EP5" i="6"/>
  <c r="EY5" i="6"/>
  <c r="DU5" i="6"/>
  <c r="IT5" i="6"/>
  <c r="EO5" i="6"/>
  <c r="JH5" i="6"/>
  <c r="K5" i="6"/>
  <c r="DE5" i="6"/>
  <c r="S5" i="6"/>
  <c r="AV5" i="6"/>
  <c r="IU5" i="6"/>
  <c r="IX5" i="6"/>
  <c r="JN5" i="6"/>
  <c r="KC5" i="6"/>
  <c r="KP5" i="6"/>
  <c r="DG5" i="6"/>
  <c r="HU5" i="6"/>
  <c r="HY5" i="6"/>
  <c r="JW5" i="6"/>
  <c r="U5" i="6"/>
  <c r="W5" i="6"/>
  <c r="CQ5" i="6"/>
  <c r="DC5" i="6"/>
  <c r="EW5" i="6"/>
  <c r="GL5" i="6"/>
  <c r="KH5" i="6"/>
  <c r="BE5" i="6"/>
  <c r="CG5" i="6"/>
  <c r="GH5" i="6"/>
  <c r="HQ5" i="6"/>
  <c r="KM5" i="6"/>
  <c r="AA5" i="6"/>
  <c r="BQ5" i="6"/>
  <c r="CS5" i="6"/>
  <c r="DT5" i="6"/>
  <c r="DL5" i="6"/>
  <c r="FA5" i="6"/>
  <c r="GU5" i="6"/>
  <c r="GZ5" i="6"/>
  <c r="IH5" i="6"/>
  <c r="JR5" i="6"/>
  <c r="KX5" i="6"/>
  <c r="CV5" i="6"/>
  <c r="GA5" i="6"/>
  <c r="GY5" i="6"/>
  <c r="ID5" i="6"/>
  <c r="JC5" i="6"/>
  <c r="AN5" i="6"/>
  <c r="AR5" i="6"/>
  <c r="EB5" i="6"/>
  <c r="FG5" i="6"/>
  <c r="FL5" i="6"/>
  <c r="GF5" i="6"/>
  <c r="GK5" i="6"/>
  <c r="IS5" i="6"/>
  <c r="DR5" i="6"/>
  <c r="KU5" i="6"/>
  <c r="FX5" i="6"/>
  <c r="DM5" i="6"/>
  <c r="EH5" i="6"/>
  <c r="II5" i="6"/>
  <c r="KZ5" i="6"/>
  <c r="LD5" i="6"/>
  <c r="AZ5" i="6"/>
  <c r="DB5" i="6"/>
  <c r="EC5" i="6"/>
  <c r="HF5" i="6"/>
  <c r="HV5" i="6"/>
  <c r="IZ5" i="6"/>
  <c r="JY5" i="6"/>
  <c r="KL5" i="6"/>
  <c r="KQ5" i="6"/>
  <c r="AP5" i="6"/>
  <c r="DX5" i="6"/>
  <c r="IA5" i="6"/>
  <c r="JU5" i="6"/>
  <c r="KI5" i="6"/>
  <c r="KY5" i="6"/>
  <c r="GM5" i="6"/>
  <c r="KE5" i="6"/>
  <c r="HD5" i="6"/>
  <c r="P5" i="6"/>
  <c r="GP5" i="6"/>
  <c r="GE5" i="6"/>
  <c r="AU5" i="6"/>
  <c r="JE5" i="6"/>
  <c r="F9" i="6"/>
  <c r="D9" i="6" s="1"/>
  <c r="R9" i="6"/>
  <c r="V9" i="6"/>
  <c r="AZ9" i="6"/>
  <c r="BN9" i="6"/>
  <c r="BP9" i="6"/>
  <c r="BW9" i="6"/>
  <c r="CA9" i="6"/>
  <c r="CI9" i="6"/>
  <c r="CN9" i="6"/>
  <c r="CT9" i="6"/>
  <c r="DM9" i="6"/>
  <c r="FE9" i="6"/>
  <c r="FK9" i="6"/>
  <c r="FY9" i="6"/>
  <c r="GF9" i="6"/>
  <c r="HF9" i="6"/>
  <c r="ID9" i="6"/>
  <c r="IP9" i="6"/>
  <c r="JQ9" i="6"/>
  <c r="LD9" i="6"/>
  <c r="T9" i="6"/>
  <c r="AD9" i="6"/>
  <c r="AL9" i="6"/>
  <c r="AU9" i="6"/>
  <c r="AX9" i="6"/>
  <c r="BJ9" i="6"/>
  <c r="CD9" i="6"/>
  <c r="AH9" i="6"/>
  <c r="AO9" i="6"/>
  <c r="DD9" i="6"/>
  <c r="DG9" i="6"/>
  <c r="ET9" i="6"/>
  <c r="EV9" i="6"/>
  <c r="EZ9" i="6"/>
  <c r="FG9" i="6"/>
  <c r="GE9" i="6"/>
  <c r="HA9" i="6"/>
  <c r="HQ9" i="6"/>
  <c r="HU9" i="6"/>
  <c r="JD9" i="6"/>
  <c r="I9" i="6"/>
  <c r="L9" i="6"/>
  <c r="AI9" i="6"/>
  <c r="BE9" i="6"/>
  <c r="BU9" i="6"/>
  <c r="CC9" i="6"/>
  <c r="CH9" i="6"/>
  <c r="CK9" i="6"/>
  <c r="CQ9" i="6"/>
  <c r="CZ9" i="6"/>
  <c r="DQ9" i="6"/>
  <c r="DV9" i="6"/>
  <c r="DY9" i="6"/>
  <c r="EM9" i="6"/>
  <c r="FI9" i="6"/>
  <c r="FP9" i="6"/>
  <c r="GB9" i="6"/>
  <c r="GH9" i="6"/>
  <c r="GV9" i="6"/>
  <c r="HL9" i="6"/>
  <c r="IB9" i="6"/>
  <c r="IE9" i="6"/>
  <c r="IG9" i="6"/>
  <c r="IT9" i="6"/>
  <c r="JT9" i="6"/>
  <c r="KP9" i="6"/>
  <c r="LC9" i="6"/>
  <c r="N9" i="6"/>
  <c r="P9" i="6"/>
  <c r="BO9" i="6"/>
  <c r="BS9" i="6"/>
  <c r="BZ9" i="6"/>
  <c r="CP9" i="6"/>
  <c r="DA9" i="6"/>
  <c r="DR9" i="6"/>
  <c r="EG9" i="6"/>
  <c r="FF9" i="6"/>
  <c r="FO9" i="6"/>
  <c r="HB9" i="6"/>
  <c r="HE9" i="6"/>
  <c r="HN9" i="6"/>
  <c r="HZ9" i="6"/>
  <c r="IK9" i="6"/>
  <c r="IO9" i="6"/>
  <c r="IW9" i="6"/>
  <c r="JV9" i="6"/>
  <c r="KD9" i="6"/>
  <c r="KG9" i="6"/>
  <c r="KN9" i="6"/>
  <c r="DP9" i="6"/>
  <c r="FD9" i="6"/>
  <c r="GI9" i="6"/>
  <c r="GN9" i="6"/>
  <c r="HP9" i="6"/>
  <c r="JS9" i="6"/>
  <c r="KC9" i="6"/>
  <c r="KV9" i="6"/>
  <c r="AB9" i="6"/>
  <c r="BL9" i="6"/>
  <c r="CE9" i="6"/>
  <c r="EL9" i="6"/>
  <c r="FN9" i="6"/>
  <c r="GG9" i="6"/>
  <c r="JK9" i="6"/>
  <c r="AG9" i="6"/>
  <c r="AN9" i="6"/>
  <c r="AR9" i="6"/>
  <c r="AY9" i="6"/>
  <c r="DF9" i="6"/>
  <c r="EI9" i="6"/>
  <c r="EN9" i="6"/>
  <c r="EY9" i="6"/>
  <c r="HX9" i="6"/>
  <c r="IF9" i="6"/>
  <c r="IJ9" i="6"/>
  <c r="JO9" i="6"/>
  <c r="KA9" i="6"/>
  <c r="KH9" i="6"/>
  <c r="K9" i="6"/>
  <c r="Y9" i="6"/>
  <c r="FC9" i="6"/>
  <c r="FV9" i="6"/>
  <c r="HM9" i="6"/>
  <c r="IQ9" i="6"/>
  <c r="AJ9" i="6"/>
  <c r="BC9" i="6"/>
  <c r="BH9" i="6"/>
  <c r="CG9" i="6"/>
  <c r="CR9" i="6"/>
  <c r="CX9" i="6"/>
  <c r="S9" i="6"/>
  <c r="EE9" i="6"/>
  <c r="FQ9" i="6"/>
  <c r="GP9" i="6"/>
  <c r="DH9" i="6"/>
  <c r="EA9" i="6"/>
  <c r="KJ9" i="6"/>
  <c r="AW9" i="6"/>
  <c r="CW9" i="6"/>
  <c r="DC9" i="6"/>
  <c r="FH9" i="6"/>
  <c r="IY9" i="6"/>
  <c r="U9" i="6"/>
  <c r="Z9" i="6"/>
  <c r="AS9" i="6"/>
  <c r="DO9" i="6"/>
  <c r="DU9" i="6"/>
  <c r="EJ9" i="6"/>
  <c r="EU9" i="6"/>
  <c r="FJ9" i="6"/>
  <c r="GO9" i="6"/>
  <c r="HH9" i="6"/>
  <c r="IC9" i="6"/>
  <c r="IH9" i="6"/>
  <c r="IL9" i="6"/>
  <c r="IN9" i="6"/>
  <c r="JC9" i="6"/>
  <c r="JF9" i="6"/>
  <c r="JY9" i="6"/>
  <c r="KM9" i="6"/>
  <c r="W9" i="6"/>
  <c r="BD9" i="6"/>
  <c r="EB9" i="6"/>
  <c r="FL9" i="6"/>
  <c r="FU9" i="6"/>
  <c r="GM9" i="6"/>
  <c r="GQ9" i="6"/>
  <c r="GY9" i="6"/>
  <c r="IU9" i="6"/>
  <c r="JN9" i="6"/>
  <c r="JW9" i="6"/>
  <c r="AP9" i="6"/>
  <c r="CB9" i="6"/>
  <c r="DS9" i="6"/>
  <c r="EF9" i="6"/>
  <c r="FZ9" i="6"/>
  <c r="GL9" i="6"/>
  <c r="GR9" i="6"/>
  <c r="GW9" i="6"/>
  <c r="HK9" i="6"/>
  <c r="HT9" i="6"/>
  <c r="JI9" i="6"/>
  <c r="KR9" i="6"/>
  <c r="BX9" i="6"/>
  <c r="DX9" i="6"/>
  <c r="EQ9" i="6"/>
  <c r="FR9" i="6"/>
  <c r="JX9" i="6"/>
  <c r="KO9" i="6"/>
  <c r="AC9" i="6"/>
  <c r="AM9" i="6"/>
  <c r="BF9" i="6"/>
  <c r="CL9" i="6"/>
  <c r="DJ9" i="6"/>
  <c r="EH9" i="6"/>
  <c r="ER9" i="6"/>
  <c r="H9" i="6"/>
  <c r="AA9" i="6"/>
  <c r="AK9" i="6"/>
  <c r="CM9" i="6"/>
  <c r="CY9" i="6"/>
  <c r="DZ9" i="6"/>
  <c r="GX9" i="6"/>
  <c r="HC9" i="6"/>
  <c r="JU9" i="6"/>
  <c r="KE9" i="6"/>
  <c r="BK9" i="6"/>
  <c r="DN9" i="6"/>
  <c r="DT9" i="6"/>
  <c r="ED9" i="6"/>
  <c r="HI9" i="6"/>
  <c r="JG9" i="6"/>
  <c r="JL9" i="6"/>
  <c r="KW9" i="6"/>
  <c r="DE9" i="6"/>
  <c r="EK9" i="6"/>
  <c r="FT9" i="6"/>
  <c r="GC9" i="6"/>
  <c r="GT9" i="6"/>
  <c r="JP9" i="6"/>
  <c r="KI9" i="6"/>
  <c r="O9" i="6"/>
  <c r="X9" i="6"/>
  <c r="BR9" i="6"/>
  <c r="CJ9" i="6"/>
  <c r="GS9" i="6"/>
  <c r="JZ9" i="6"/>
  <c r="BY9" i="6"/>
  <c r="CV9" i="6"/>
  <c r="DL9" i="6"/>
  <c r="FA9" i="6"/>
  <c r="GD9" i="6"/>
  <c r="GJ9" i="6"/>
  <c r="GZ9" i="6"/>
  <c r="JR9" i="6"/>
  <c r="KF9" i="6"/>
  <c r="KK9" i="6"/>
  <c r="GK9" i="6"/>
  <c r="HY9" i="6"/>
  <c r="IS9" i="6"/>
  <c r="LB9" i="6"/>
  <c r="J9" i="6"/>
  <c r="BI9" i="6"/>
  <c r="EW9" i="6"/>
  <c r="FB9" i="6"/>
  <c r="AE9" i="6"/>
  <c r="EC9" i="6"/>
  <c r="KQ9" i="6"/>
  <c r="KT9" i="6"/>
  <c r="FX9" i="6"/>
  <c r="JE9" i="6"/>
  <c r="JJ9" i="6"/>
  <c r="KY9" i="6"/>
  <c r="AF9" i="6"/>
  <c r="BA9" i="6"/>
  <c r="BV9" i="6"/>
  <c r="FS9" i="6"/>
  <c r="HS9" i="6"/>
  <c r="HW9" i="6"/>
  <c r="AQ9" i="6"/>
  <c r="AV9" i="6"/>
  <c r="BB9" i="6"/>
  <c r="EP9" i="6"/>
  <c r="HD9" i="6"/>
  <c r="IR9" i="6"/>
  <c r="JA9" i="6"/>
  <c r="LA9" i="6"/>
  <c r="CO9" i="6"/>
  <c r="BG9" i="6"/>
  <c r="BM9" i="6"/>
  <c r="IM9" i="6"/>
  <c r="JH9" i="6"/>
  <c r="KS9" i="6"/>
  <c r="DK9" i="6"/>
  <c r="DW9" i="6"/>
  <c r="HO9" i="6"/>
  <c r="KX9" i="6"/>
  <c r="G9" i="6"/>
  <c r="CU9" i="6"/>
  <c r="FW9" i="6"/>
  <c r="HJ9" i="6"/>
  <c r="IX9" i="6"/>
  <c r="JB9" i="6"/>
  <c r="JM9" i="6"/>
  <c r="KB9" i="6"/>
  <c r="CF9" i="6"/>
  <c r="KL9" i="6"/>
  <c r="AT9" i="6"/>
  <c r="GA9" i="6"/>
  <c r="GU9" i="6"/>
  <c r="HG9" i="6"/>
  <c r="HV9" i="6"/>
  <c r="IA9" i="6"/>
  <c r="M9" i="6"/>
  <c r="Q9" i="6"/>
  <c r="BT9" i="6"/>
  <c r="II9" i="6"/>
  <c r="KZ9" i="6"/>
  <c r="BQ9" i="6"/>
  <c r="CS9" i="6"/>
  <c r="DB9" i="6"/>
  <c r="DI9" i="6"/>
  <c r="EO9" i="6"/>
  <c r="ES9" i="6"/>
  <c r="EX9" i="6"/>
  <c r="FM9" i="6"/>
  <c r="HR9" i="6"/>
  <c r="IV9" i="6"/>
  <c r="IZ9" i="6"/>
  <c r="KU9" i="6"/>
  <c r="G5" i="6"/>
  <c r="X5" i="6"/>
  <c r="HK5" i="6"/>
  <c r="GS5" i="6"/>
  <c r="HJ5" i="6"/>
  <c r="L5" i="6"/>
  <c r="EE5" i="6"/>
  <c r="FU5" i="6"/>
  <c r="DI5" i="6"/>
  <c r="FV5" i="6"/>
  <c r="IG5" i="6"/>
  <c r="AD5" i="6"/>
  <c r="HX5" i="6"/>
  <c r="AF5" i="6"/>
  <c r="CC5" i="6"/>
  <c r="BJ5" i="6"/>
  <c r="JP5" i="6"/>
  <c r="FR5" i="6"/>
  <c r="V5" i="6"/>
  <c r="E36" i="2"/>
  <c r="KT5" i="6"/>
  <c r="GW5" i="6"/>
  <c r="EL5" i="6"/>
  <c r="BW5" i="6"/>
  <c r="AK5" i="6"/>
  <c r="IB5" i="6"/>
  <c r="Q5" i="6"/>
  <c r="HH5" i="6"/>
  <c r="K45" i="2"/>
  <c r="I40" i="2"/>
  <c r="DY5" i="6"/>
  <c r="FW5" i="6"/>
  <c r="ED5" i="6"/>
  <c r="CO5" i="6"/>
  <c r="KA5" i="6"/>
  <c r="FH5" i="6"/>
  <c r="IP5" i="6"/>
  <c r="EN5" i="6"/>
  <c r="AB5" i="6"/>
  <c r="GG5" i="6"/>
  <c r="KJ5" i="6"/>
  <c r="KK5" i="6"/>
  <c r="KN5" i="6"/>
  <c r="CX5" i="6"/>
  <c r="GV5" i="6"/>
  <c r="CI5" i="6"/>
  <c r="GO5" i="6"/>
  <c r="W137" i="18"/>
  <c r="K60" i="2"/>
  <c r="K33" i="2"/>
  <c r="J33" i="2"/>
  <c r="K40" i="2"/>
  <c r="I33" i="2"/>
  <c r="N45" i="2"/>
  <c r="F6" i="6"/>
  <c r="D5" i="6"/>
  <c r="G36" i="2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W46" i="18"/>
  <c r="W140" i="18"/>
  <c r="W80" i="18"/>
  <c r="T116" i="18"/>
  <c r="W138" i="18"/>
  <c r="W139" i="18"/>
  <c r="T139" i="18"/>
  <c r="N60" i="2"/>
  <c r="G6" i="6"/>
  <c r="T138" i="18"/>
  <c r="T77" i="18"/>
  <c r="E44" i="2"/>
  <c r="E45" i="2"/>
  <c r="G45" i="2"/>
  <c r="BK11" i="6"/>
  <c r="II11" i="6"/>
  <c r="EL11" i="6"/>
  <c r="HT11" i="6"/>
  <c r="HR11" i="6"/>
  <c r="HN11" i="6"/>
  <c r="KO11" i="6"/>
  <c r="HP11" i="6"/>
  <c r="DS11" i="6"/>
  <c r="F11" i="6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2" i="2"/>
  <c r="N62" i="2"/>
  <c r="K63" i="2"/>
  <c r="I57" i="2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G44" i="2"/>
  <c r="E42" i="2"/>
  <c r="H6" i="6"/>
  <c r="I6" i="6"/>
  <c r="E40" i="2"/>
  <c r="G42" i="2"/>
  <c r="F42" i="2"/>
  <c r="G40" i="2"/>
  <c r="G33" i="2"/>
  <c r="E33" i="2"/>
  <c r="J6" i="6"/>
  <c r="K6" i="6"/>
  <c r="F33" i="2"/>
  <c r="E49" i="2"/>
  <c r="L6" i="6"/>
  <c r="E54" i="2"/>
  <c r="G49" i="2"/>
  <c r="E51" i="2"/>
  <c r="G54" i="2"/>
  <c r="E58" i="2"/>
  <c r="E53" i="2"/>
  <c r="M6" i="6"/>
  <c r="E59" i="2"/>
  <c r="G59" i="2"/>
  <c r="E61" i="2"/>
  <c r="G61" i="2"/>
  <c r="E62" i="2"/>
  <c r="G53" i="2"/>
  <c r="F53" i="2"/>
  <c r="N6" i="6"/>
  <c r="G58" i="2"/>
  <c r="G51" i="2"/>
  <c r="E47" i="2"/>
  <c r="F9" i="2"/>
  <c r="G47" i="2"/>
  <c r="O6" i="6"/>
  <c r="G62" i="2"/>
  <c r="E63" i="2"/>
  <c r="G63" i="2"/>
  <c r="P6" i="6"/>
  <c r="F47" i="2"/>
  <c r="E60" i="2"/>
  <c r="G60" i="2"/>
  <c r="G57" i="2"/>
  <c r="F57" i="2"/>
  <c r="E57" i="2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K57" i="2"/>
  <c r="J57" i="2"/>
  <c r="N63" i="2"/>
  <c r="H16" i="3"/>
  <c r="U102" i="18"/>
  <c r="V94" i="18"/>
  <c r="X2" i="18"/>
  <c r="H4" i="6"/>
  <c r="G7" i="6"/>
  <c r="F7" i="6"/>
  <c r="F46" i="5"/>
  <c r="F42" i="5"/>
  <c r="F44" i="5"/>
  <c r="F45" i="5"/>
  <c r="F43" i="5"/>
  <c r="D3" i="6"/>
  <c r="F4" i="5"/>
  <c r="J16" i="3"/>
  <c r="H7" i="6"/>
  <c r="I4" i="6"/>
  <c r="C9" i="6"/>
  <c r="F47" i="5"/>
  <c r="J4" i="6"/>
  <c r="I7" i="6"/>
  <c r="K4" i="6"/>
  <c r="J7" i="6"/>
  <c r="K7" i="6"/>
  <c r="L4" i="6"/>
  <c r="M4" i="6"/>
  <c r="L7" i="6"/>
  <c r="M7" i="6"/>
  <c r="N4" i="6"/>
  <c r="N7" i="6"/>
  <c r="O4" i="6"/>
  <c r="O7" i="6"/>
  <c r="P4" i="6"/>
  <c r="P7" i="6"/>
  <c r="Q4" i="6"/>
  <c r="R4" i="6"/>
  <c r="Q7" i="6"/>
  <c r="R7" i="6"/>
  <c r="S4" i="6"/>
  <c r="T4" i="6"/>
  <c r="S7" i="6"/>
  <c r="U4" i="6"/>
  <c r="T7" i="6"/>
  <c r="U7" i="6"/>
  <c r="V4" i="6"/>
  <c r="V7" i="6"/>
  <c r="W4" i="6"/>
  <c r="X4" i="6"/>
  <c r="W7" i="6"/>
  <c r="X7" i="6"/>
  <c r="Y4" i="6"/>
  <c r="Y7" i="6"/>
  <c r="Z4" i="6"/>
  <c r="AA4" i="6"/>
  <c r="Z7" i="6"/>
  <c r="AA7" i="6"/>
  <c r="AB4" i="6"/>
  <c r="AC4" i="6"/>
  <c r="AB7" i="6"/>
  <c r="AC7" i="6"/>
  <c r="AD4" i="6"/>
  <c r="AE4" i="6"/>
  <c r="AD7" i="6"/>
  <c r="AF4" i="6"/>
  <c r="AE7" i="6"/>
  <c r="AG4" i="6"/>
  <c r="AF7" i="6"/>
  <c r="AG7" i="6"/>
  <c r="AH4" i="6"/>
  <c r="AH7" i="6"/>
  <c r="AI4" i="6"/>
  <c r="AJ4" i="6"/>
  <c r="AI7" i="6"/>
  <c r="AK4" i="6"/>
  <c r="AJ7" i="6"/>
  <c r="AK7" i="6"/>
  <c r="AL4" i="6"/>
  <c r="AL7" i="6"/>
  <c r="AM4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Z4" i="6"/>
  <c r="AY7" i="6"/>
  <c r="AZ7" i="6"/>
  <c r="BA4" i="6"/>
  <c r="BB4" i="6"/>
  <c r="BA7" i="6"/>
  <c r="BC4" i="6"/>
  <c r="BB7" i="6"/>
  <c r="BD4" i="6"/>
  <c r="BC7" i="6"/>
  <c r="BD7" i="6"/>
  <c r="BE4" i="6"/>
  <c r="BF4" i="6"/>
  <c r="BE7" i="6"/>
  <c r="BF7" i="6"/>
  <c r="BG4" i="6"/>
  <c r="BG7" i="6"/>
  <c r="BH4" i="6"/>
  <c r="BH7" i="6"/>
  <c r="BI4" i="6"/>
  <c r="BJ4" i="6"/>
  <c r="BI7" i="6"/>
  <c r="BK4" i="6"/>
  <c r="BJ7" i="6"/>
  <c r="BL4" i="6"/>
  <c r="BK7" i="6"/>
  <c r="BL7" i="6"/>
  <c r="BM4" i="6"/>
  <c r="BM7" i="6"/>
  <c r="BN4" i="6"/>
  <c r="BO4" i="6"/>
  <c r="BN7" i="6"/>
  <c r="BP4" i="6"/>
  <c r="BO7" i="6"/>
  <c r="BP7" i="6"/>
  <c r="BQ4" i="6"/>
  <c r="BR4" i="6"/>
  <c r="BQ7" i="6"/>
  <c r="BS4" i="6"/>
  <c r="BR7" i="6"/>
  <c r="BT4" i="6"/>
  <c r="BS7" i="6"/>
  <c r="BU4" i="6"/>
  <c r="BT7" i="6"/>
  <c r="BU7" i="6"/>
  <c r="BV4" i="6"/>
  <c r="BV7" i="6"/>
  <c r="BW4" i="6"/>
  <c r="BX4" i="6"/>
  <c r="BW7" i="6"/>
  <c r="BY4" i="6"/>
  <c r="BX7" i="6"/>
  <c r="BZ4" i="6"/>
  <c r="BY7" i="6"/>
  <c r="BZ7" i="6"/>
  <c r="CA4" i="6"/>
  <c r="CB4" i="6"/>
  <c r="CA7" i="6"/>
  <c r="CC4" i="6"/>
  <c r="CB7" i="6"/>
  <c r="CC7" i="6"/>
  <c r="CD4" i="6"/>
  <c r="CD7" i="6"/>
  <c r="CE4" i="6"/>
  <c r="CE7" i="6"/>
  <c r="CF4" i="6"/>
  <c r="CF7" i="6"/>
  <c r="CG4" i="6"/>
  <c r="CH4" i="6"/>
  <c r="CG7" i="6"/>
  <c r="CI4" i="6"/>
  <c r="CH7" i="6"/>
  <c r="CI7" i="6"/>
  <c r="CJ4" i="6"/>
  <c r="CJ7" i="6"/>
  <c r="CK4" i="6"/>
  <c r="CK7" i="6"/>
  <c r="CL4" i="6"/>
  <c r="CL7" i="6"/>
  <c r="CM4" i="6"/>
  <c r="CM7" i="6"/>
  <c r="CN4" i="6"/>
  <c r="CO4" i="6"/>
  <c r="CN7" i="6"/>
  <c r="CO7" i="6"/>
  <c r="CP4" i="6"/>
  <c r="CQ4" i="6"/>
  <c r="CP7" i="6"/>
  <c r="CQ7" i="6"/>
  <c r="CR4" i="6"/>
  <c r="CR7" i="6"/>
  <c r="CS4" i="6"/>
  <c r="CT4" i="6"/>
  <c r="CS7" i="6"/>
  <c r="CU4" i="6"/>
  <c r="CT7" i="6"/>
  <c r="CV4" i="6"/>
  <c r="CU7" i="6"/>
  <c r="CV7" i="6"/>
  <c r="CW4" i="6"/>
  <c r="CX4" i="6"/>
  <c r="CW7" i="6"/>
  <c r="CY4" i="6"/>
  <c r="CX7" i="6"/>
  <c r="CY7" i="6"/>
  <c r="CZ4" i="6"/>
  <c r="CZ7" i="6"/>
  <c r="DA4" i="6"/>
  <c r="DA7" i="6"/>
  <c r="DB4" i="6"/>
  <c r="DC4" i="6"/>
  <c r="DB7" i="6"/>
  <c r="DD4" i="6"/>
  <c r="DC7" i="6"/>
  <c r="DE4" i="6"/>
  <c r="DD7" i="6"/>
  <c r="DE7" i="6"/>
  <c r="DF4" i="6"/>
  <c r="DF7" i="6"/>
  <c r="DG4" i="6"/>
  <c r="DH4" i="6"/>
  <c r="DG7" i="6"/>
  <c r="DI4" i="6"/>
  <c r="DH7" i="6"/>
  <c r="DI7" i="6"/>
  <c r="DJ4" i="6"/>
  <c r="DJ7" i="6"/>
  <c r="DK4" i="6"/>
  <c r="DK7" i="6"/>
  <c r="DL4" i="6"/>
  <c r="DM4" i="6"/>
  <c r="DL7" i="6"/>
  <c r="DN4" i="6"/>
  <c r="DM7" i="6"/>
  <c r="DO4" i="6"/>
  <c r="DN7" i="6"/>
  <c r="DP4" i="6"/>
  <c r="DO7" i="6"/>
  <c r="DQ4" i="6"/>
  <c r="DP7" i="6"/>
  <c r="DQ7" i="6"/>
  <c r="DR4" i="6"/>
  <c r="DR7" i="6"/>
  <c r="DS4" i="6"/>
  <c r="DT4" i="6"/>
  <c r="DS7" i="6"/>
  <c r="DU4" i="6"/>
  <c r="DT7" i="6"/>
  <c r="DU7" i="6"/>
  <c r="DV4" i="6"/>
  <c r="DV7" i="6"/>
  <c r="DW4" i="6"/>
  <c r="DX4" i="6"/>
  <c r="DW7" i="6"/>
  <c r="DY4" i="6"/>
  <c r="DX7" i="6"/>
  <c r="DY7" i="6"/>
  <c r="DZ4" i="6"/>
  <c r="DZ7" i="6"/>
  <c r="EA4" i="6"/>
  <c r="EA7" i="6"/>
  <c r="EB4" i="6"/>
  <c r="EC4" i="6"/>
  <c r="EB7" i="6"/>
  <c r="ED4" i="6"/>
  <c r="EC7" i="6"/>
  <c r="ED7" i="6"/>
  <c r="EE4" i="6"/>
  <c r="EE7" i="6"/>
  <c r="EF4" i="6"/>
  <c r="EF7" i="6"/>
  <c r="EG4" i="6"/>
  <c r="EH4" i="6"/>
  <c r="EG7" i="6"/>
  <c r="EI4" i="6"/>
  <c r="EH7" i="6"/>
  <c r="EI7" i="6"/>
  <c r="EJ4" i="6"/>
  <c r="EJ7" i="6"/>
  <c r="EK4" i="6"/>
  <c r="EL4" i="6"/>
  <c r="EK7" i="6"/>
  <c r="EM4" i="6"/>
  <c r="EL7" i="6"/>
  <c r="EN4" i="6"/>
  <c r="EM7" i="6"/>
  <c r="EN7" i="6"/>
  <c r="EO4" i="6"/>
  <c r="EO7" i="6"/>
  <c r="EP4" i="6"/>
  <c r="EQ4" i="6"/>
  <c r="EP7" i="6"/>
  <c r="EQ7" i="6"/>
  <c r="ER4" i="6"/>
  <c r="ER7" i="6"/>
  <c r="ES4" i="6"/>
  <c r="ES7" i="6"/>
  <c r="ET4" i="6"/>
  <c r="ET7" i="6"/>
  <c r="EU4" i="6"/>
  <c r="EV4" i="6"/>
  <c r="EU7" i="6"/>
  <c r="EV7" i="6"/>
  <c r="EW4" i="6"/>
  <c r="EX4" i="6"/>
  <c r="EW7" i="6"/>
  <c r="EY4" i="6"/>
  <c r="EX7" i="6"/>
  <c r="EY7" i="6"/>
  <c r="EZ4" i="6"/>
  <c r="EZ7" i="6"/>
  <c r="FA4" i="6"/>
  <c r="FA7" i="6"/>
  <c r="FB4" i="6"/>
  <c r="FC4" i="6"/>
  <c r="FB7" i="6"/>
  <c r="FC7" i="6"/>
  <c r="FD4" i="6"/>
  <c r="FE4" i="6"/>
  <c r="FD7" i="6"/>
  <c r="FE7" i="6"/>
  <c r="FF4" i="6"/>
  <c r="FF7" i="6"/>
  <c r="FG4" i="6"/>
  <c r="FH4" i="6"/>
  <c r="FG7" i="6"/>
  <c r="FI4" i="6"/>
  <c r="FH7" i="6"/>
  <c r="FI7" i="6"/>
  <c r="FJ4" i="6"/>
  <c r="FJ7" i="6"/>
  <c r="FK4" i="6"/>
  <c r="FK7" i="6"/>
  <c r="FL4" i="6"/>
  <c r="FM4" i="6"/>
  <c r="FL7" i="6"/>
  <c r="FN4" i="6"/>
  <c r="FM7" i="6"/>
  <c r="FN7" i="6"/>
  <c r="FO4" i="6"/>
  <c r="FO7" i="6"/>
  <c r="FP4" i="6"/>
  <c r="FP7" i="6"/>
  <c r="FQ4" i="6"/>
  <c r="FQ7" i="6"/>
  <c r="FR4" i="6"/>
  <c r="FS4" i="6"/>
  <c r="FR7" i="6"/>
  <c r="FS7" i="6"/>
  <c r="FT4" i="6"/>
  <c r="FT7" i="6"/>
  <c r="FU4" i="6"/>
  <c r="FV4" i="6"/>
  <c r="FU7" i="6"/>
  <c r="FV7" i="6"/>
  <c r="FW4" i="6"/>
  <c r="FW7" i="6"/>
  <c r="FX4" i="6"/>
  <c r="FX7" i="6"/>
  <c r="FY4" i="6"/>
  <c r="FY7" i="6"/>
  <c r="FZ4" i="6"/>
  <c r="GA4" i="6"/>
  <c r="FZ7" i="6"/>
  <c r="GA7" i="6"/>
  <c r="GB4" i="6"/>
  <c r="GC4" i="6"/>
  <c r="GB7" i="6"/>
  <c r="GC7" i="6"/>
  <c r="GD4" i="6"/>
  <c r="GE4" i="6"/>
  <c r="GD7" i="6"/>
  <c r="GE7" i="6"/>
  <c r="GF4" i="6"/>
  <c r="GF7" i="6"/>
  <c r="GG4" i="6"/>
  <c r="GG7" i="6"/>
  <c r="GH4" i="6"/>
  <c r="GH7" i="6"/>
  <c r="GI4" i="6"/>
  <c r="GJ4" i="6"/>
  <c r="GI7" i="6"/>
  <c r="GJ7" i="6"/>
  <c r="GK4" i="6"/>
  <c r="GL4" i="6"/>
  <c r="GK7" i="6"/>
  <c r="GM4" i="6"/>
  <c r="GL7" i="6"/>
  <c r="GN4" i="6"/>
  <c r="GM7" i="6"/>
  <c r="GO4" i="6"/>
  <c r="GN7" i="6"/>
  <c r="GO7" i="6"/>
  <c r="GP4" i="6"/>
  <c r="GQ4" i="6"/>
  <c r="GP7" i="6"/>
  <c r="GR4" i="6"/>
  <c r="GQ7" i="6"/>
  <c r="GR7" i="6"/>
  <c r="GS4" i="6"/>
  <c r="GS7" i="6"/>
  <c r="GT4" i="6"/>
  <c r="GU4" i="6"/>
  <c r="GT7" i="6"/>
  <c r="GV4" i="6"/>
  <c r="GU7" i="6"/>
  <c r="GW4" i="6"/>
  <c r="GV7" i="6"/>
  <c r="GW7" i="6"/>
  <c r="GX4" i="6"/>
  <c r="GX7" i="6"/>
  <c r="GY4" i="6"/>
  <c r="GZ4" i="6"/>
  <c r="GY7" i="6"/>
  <c r="HA4" i="6"/>
  <c r="GZ7" i="6"/>
  <c r="HB4" i="6"/>
  <c r="HA7" i="6"/>
  <c r="HB7" i="6"/>
  <c r="HC4" i="6"/>
  <c r="HC7" i="6"/>
  <c r="HD4" i="6"/>
  <c r="HE4" i="6"/>
  <c r="HD7" i="6"/>
  <c r="HF4" i="6"/>
  <c r="HE7" i="6"/>
  <c r="HF7" i="6"/>
  <c r="HG4" i="6"/>
  <c r="HG7" i="6"/>
  <c r="HH4" i="6"/>
  <c r="HH7" i="6"/>
  <c r="HI4" i="6"/>
  <c r="HJ4" i="6"/>
  <c r="HI7" i="6"/>
  <c r="HK4" i="6"/>
  <c r="HJ7" i="6"/>
  <c r="HK7" i="6"/>
  <c r="HL4" i="6"/>
  <c r="HL7" i="6"/>
  <c r="HM4" i="6"/>
  <c r="HM7" i="6"/>
  <c r="HN4" i="6"/>
  <c r="HN7" i="6"/>
  <c r="HO4" i="6"/>
  <c r="HO7" i="6"/>
  <c r="HP4" i="6"/>
  <c r="HQ4" i="6"/>
  <c r="HP7" i="6"/>
  <c r="HQ7" i="6"/>
  <c r="HR4" i="6"/>
  <c r="HS4" i="6"/>
  <c r="HR7" i="6"/>
  <c r="HS7" i="6"/>
  <c r="HT4" i="6"/>
  <c r="HU4" i="6"/>
  <c r="HT7" i="6"/>
  <c r="HU7" i="6"/>
  <c r="HV4" i="6"/>
  <c r="HW4" i="6"/>
  <c r="HV7" i="6"/>
  <c r="HX4" i="6"/>
  <c r="HW7" i="6"/>
  <c r="HX7" i="6"/>
  <c r="HY4" i="6"/>
  <c r="HZ4" i="6"/>
  <c r="HY7" i="6"/>
  <c r="HZ7" i="6"/>
  <c r="IA4" i="6"/>
  <c r="IB4" i="6"/>
  <c r="IA7" i="6"/>
  <c r="IB7" i="6"/>
  <c r="IC4" i="6"/>
  <c r="ID4" i="6"/>
  <c r="IC7" i="6"/>
  <c r="IE4" i="6"/>
  <c r="ID7" i="6"/>
  <c r="IF4" i="6"/>
  <c r="IE7" i="6"/>
  <c r="IF7" i="6"/>
  <c r="IG4" i="6"/>
  <c r="IG7" i="6"/>
  <c r="IH4" i="6"/>
  <c r="II4" i="6"/>
  <c r="IH7" i="6"/>
  <c r="IJ4" i="6"/>
  <c r="II7" i="6"/>
  <c r="IK4" i="6"/>
  <c r="IJ7" i="6"/>
  <c r="IK7" i="6"/>
  <c r="IL4" i="6"/>
  <c r="IL7" i="6"/>
  <c r="IM4" i="6"/>
  <c r="IM7" i="6"/>
  <c r="IN4" i="6"/>
  <c r="IO4" i="6"/>
  <c r="IN7" i="6"/>
  <c r="IO7" i="6"/>
  <c r="IP4" i="6"/>
  <c r="IP7" i="6"/>
  <c r="IQ4" i="6"/>
  <c r="IR4" i="6"/>
  <c r="IQ7" i="6"/>
  <c r="IS4" i="6"/>
  <c r="IR7" i="6"/>
  <c r="IT4" i="6"/>
  <c r="IS7" i="6"/>
  <c r="IT7" i="6"/>
  <c r="IU4" i="6"/>
  <c r="IU7" i="6"/>
  <c r="IV4" i="6"/>
  <c r="IW4" i="6"/>
  <c r="IV7" i="6"/>
  <c r="IX4" i="6"/>
  <c r="IW7" i="6"/>
  <c r="IX7" i="6"/>
  <c r="IY4" i="6"/>
  <c r="IY7" i="6"/>
  <c r="IZ4" i="6"/>
  <c r="IZ7" i="6"/>
  <c r="JA4" i="6"/>
  <c r="JB4" i="6"/>
  <c r="JA7" i="6"/>
  <c r="JC4" i="6"/>
  <c r="JB7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K4" i="6"/>
  <c r="JJ7" i="6"/>
  <c r="JK7" i="6"/>
  <c r="JL4" i="6"/>
  <c r="JL7" i="6"/>
  <c r="JM4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T7" i="6"/>
  <c r="JU4" i="6"/>
  <c r="JV4" i="6"/>
  <c r="JU7" i="6"/>
  <c r="JW4" i="6"/>
  <c r="JV7" i="6"/>
  <c r="JX4" i="6"/>
  <c r="JW7" i="6"/>
  <c r="JX7" i="6"/>
  <c r="JY4" i="6"/>
  <c r="JY7" i="6"/>
  <c r="JZ4" i="6"/>
  <c r="KA4" i="6"/>
  <c r="JZ7" i="6"/>
  <c r="KB4" i="6"/>
  <c r="KA7" i="6"/>
  <c r="KC4" i="6"/>
  <c r="KB7" i="6"/>
  <c r="KC7" i="6"/>
  <c r="KD4" i="6"/>
  <c r="KE4" i="6"/>
  <c r="KD7" i="6"/>
  <c r="KE7" i="6"/>
  <c r="KF4" i="6"/>
  <c r="KG4" i="6"/>
  <c r="KF7" i="6"/>
  <c r="KH4" i="6"/>
  <c r="KG7" i="6"/>
  <c r="KH7" i="6"/>
  <c r="KI4" i="6"/>
  <c r="KJ4" i="6"/>
  <c r="KI7" i="6"/>
  <c r="KJ7" i="6"/>
  <c r="KK4" i="6"/>
  <c r="KL4" i="6"/>
  <c r="KK7" i="6"/>
  <c r="KL7" i="6"/>
  <c r="KM4" i="6"/>
  <c r="KM7" i="6"/>
  <c r="KN4" i="6"/>
  <c r="KN7" i="6"/>
  <c r="KO4" i="6"/>
  <c r="KP4" i="6"/>
  <c r="KO7" i="6"/>
  <c r="KP7" i="6"/>
  <c r="KQ4" i="6"/>
  <c r="KQ7" i="6"/>
  <c r="KR4" i="6"/>
  <c r="KR7" i="6"/>
  <c r="KS4" i="6"/>
  <c r="KT4" i="6"/>
  <c r="KS7" i="6"/>
  <c r="KU4" i="6"/>
  <c r="KT7" i="6"/>
  <c r="KV4" i="6"/>
  <c r="KU7" i="6"/>
  <c r="KV7" i="6"/>
  <c r="KW4" i="6"/>
  <c r="KW7" i="6"/>
  <c r="KX4" i="6"/>
  <c r="KY4" i="6"/>
  <c r="KX7" i="6"/>
  <c r="KY7" i="6"/>
  <c r="KZ4" i="6"/>
  <c r="KZ7" i="6"/>
  <c r="LA4" i="6"/>
  <c r="LA7" i="6"/>
  <c r="LB4" i="6"/>
  <c r="LC4" i="6"/>
  <c r="LB7" i="6"/>
  <c r="LD4" i="6"/>
  <c r="LD7" i="6"/>
  <c r="LC7" i="6"/>
  <c r="H5" i="3" l="1"/>
  <c r="F5" i="5" s="1"/>
  <c r="J23" i="3"/>
  <c r="J5" i="3" s="1"/>
  <c r="T46" i="18"/>
  <c r="T140" i="18"/>
  <c r="T80" i="18"/>
  <c r="N57" i="2"/>
  <c r="F12" i="6"/>
  <c r="D11" i="6"/>
  <c r="N11" i="2"/>
  <c r="N47" i="2"/>
  <c r="N42" i="2"/>
  <c r="N33" i="2"/>
  <c r="N23" i="2"/>
  <c r="F6" i="5" l="1"/>
  <c r="F7" i="5" s="1"/>
  <c r="C11" i="6"/>
  <c r="H25" i="3"/>
  <c r="JJ17" i="6"/>
  <c r="EL17" i="6"/>
  <c r="DT17" i="6"/>
  <c r="K17" i="6"/>
  <c r="KF17" i="6"/>
  <c r="IZ17" i="6"/>
  <c r="BA17" i="6"/>
  <c r="LD17" i="6"/>
  <c r="GH17" i="6"/>
  <c r="LA17" i="6"/>
  <c r="AI17" i="6"/>
  <c r="EO17" i="6"/>
  <c r="IN17" i="6"/>
  <c r="EQ17" i="6"/>
  <c r="FI17" i="6"/>
  <c r="CH17" i="6"/>
  <c r="JL17" i="6"/>
  <c r="GO17" i="6"/>
  <c r="GU17" i="6"/>
  <c r="G17" i="6"/>
  <c r="HI17" i="6"/>
  <c r="HK17" i="6"/>
  <c r="P17" i="6"/>
  <c r="EB17" i="6"/>
  <c r="GK17" i="6"/>
  <c r="AJ17" i="6"/>
  <c r="HL17" i="6"/>
  <c r="J17" i="6"/>
  <c r="EU17" i="6"/>
  <c r="BO17" i="6"/>
  <c r="AU17" i="6"/>
  <c r="GC17" i="6"/>
  <c r="JD17" i="6"/>
  <c r="HO17" i="6"/>
  <c r="JU17" i="6"/>
  <c r="FA17" i="6"/>
  <c r="KG17" i="6"/>
  <c r="KY17" i="6"/>
  <c r="FR17" i="6"/>
  <c r="AB17" i="6"/>
  <c r="FU17" i="6"/>
  <c r="BX17" i="6"/>
  <c r="BZ17" i="6"/>
  <c r="U17" i="6"/>
  <c r="EI17" i="6"/>
  <c r="BW17" i="6"/>
  <c r="JO17" i="6"/>
  <c r="IQ17" i="6"/>
  <c r="KZ17" i="6"/>
  <c r="DS17" i="6"/>
  <c r="HJ17" i="6"/>
  <c r="EE17" i="6"/>
  <c r="IX17" i="6"/>
  <c r="CL17" i="6"/>
  <c r="KJ17" i="6"/>
  <c r="HW17" i="6"/>
  <c r="IT17" i="6"/>
  <c r="BM17" i="6"/>
  <c r="JE17" i="6"/>
  <c r="FQ17" i="6"/>
  <c r="AR17" i="6"/>
  <c r="KM17" i="6"/>
  <c r="CY17" i="6"/>
  <c r="FN17" i="6"/>
  <c r="AS17" i="6"/>
  <c r="IA17" i="6"/>
  <c r="Q17" i="6"/>
  <c r="GV17" i="6"/>
  <c r="CO17" i="6"/>
  <c r="AW17" i="6"/>
  <c r="HU17" i="6"/>
  <c r="JT17" i="6"/>
  <c r="HF17" i="6"/>
  <c r="KB17" i="6"/>
  <c r="EP17" i="6"/>
  <c r="IK17" i="6"/>
  <c r="KP17" i="6"/>
  <c r="FZ17" i="6"/>
  <c r="FH17" i="6"/>
  <c r="GM17" i="6"/>
  <c r="DR17" i="6"/>
  <c r="CN17" i="6"/>
  <c r="Y17" i="6"/>
  <c r="DA17" i="6"/>
  <c r="DB17" i="6"/>
  <c r="AE17" i="6"/>
  <c r="AF17" i="6"/>
  <c r="KN17" i="6"/>
  <c r="DE17" i="6"/>
  <c r="JK17" i="6"/>
  <c r="EW17" i="6"/>
  <c r="IP17" i="6"/>
  <c r="IY17" i="6"/>
  <c r="AL17" i="6"/>
  <c r="BE17" i="6"/>
  <c r="BD17" i="6"/>
  <c r="KD17" i="6"/>
  <c r="CG17" i="6"/>
  <c r="FW17" i="6"/>
  <c r="DG17" i="6"/>
  <c r="JG17" i="6"/>
  <c r="EA17" i="6"/>
  <c r="JP17" i="6"/>
  <c r="DP17" i="6"/>
  <c r="KH17" i="6"/>
  <c r="KC17" i="6"/>
  <c r="DV17" i="6"/>
  <c r="BK17" i="6"/>
  <c r="JZ17" i="6"/>
  <c r="HV17" i="6"/>
  <c r="CF17" i="6"/>
  <c r="BC17" i="6"/>
  <c r="GB17" i="6"/>
  <c r="EX17" i="6"/>
  <c r="ER17" i="6"/>
  <c r="DX17" i="6"/>
  <c r="LC17" i="6"/>
  <c r="GX17" i="6"/>
  <c r="FD17" i="6"/>
  <c r="CJ17" i="6"/>
  <c r="AM17" i="6"/>
  <c r="KR17" i="6"/>
  <c r="JA17" i="6"/>
  <c r="IJ17" i="6"/>
  <c r="HC17" i="6"/>
  <c r="CR17" i="6"/>
  <c r="CP17" i="6"/>
  <c r="HM17" i="6"/>
  <c r="GL17" i="6"/>
  <c r="DF17" i="6"/>
  <c r="AG17" i="6"/>
  <c r="GJ17" i="6"/>
  <c r="CU17" i="6"/>
  <c r="HA17" i="6"/>
  <c r="AT17" i="6"/>
  <c r="Z17" i="6"/>
  <c r="HN17" i="6"/>
  <c r="EH17" i="6"/>
  <c r="BL17" i="6"/>
  <c r="AQ17" i="6"/>
  <c r="FE17" i="6"/>
  <c r="CZ17" i="6"/>
  <c r="BR17" i="6"/>
  <c r="AZ17" i="6"/>
  <c r="W17" i="6"/>
  <c r="KK17" i="6"/>
  <c r="HG17" i="6"/>
  <c r="GN17" i="6"/>
  <c r="EM17" i="6"/>
  <c r="BU17" i="6"/>
  <c r="KL17" i="6"/>
  <c r="JH17" i="6"/>
  <c r="IO17" i="6"/>
  <c r="DC17" i="6"/>
  <c r="IV17" i="6"/>
  <c r="EZ17" i="6"/>
  <c r="BJ17" i="6"/>
  <c r="BG17" i="6"/>
  <c r="AH17" i="6"/>
  <c r="IL17" i="6"/>
  <c r="KI17" i="6"/>
  <c r="JY17" i="6"/>
  <c r="IU17" i="6"/>
  <c r="II17" i="6"/>
  <c r="HQ17" i="6"/>
  <c r="GQ17" i="6"/>
  <c r="EK17" i="6"/>
  <c r="EC17" i="6"/>
  <c r="BS17" i="6"/>
  <c r="GG17" i="6"/>
  <c r="JI17" i="6"/>
  <c r="FY17" i="6"/>
  <c r="FK17" i="6"/>
  <c r="FX17" i="6"/>
  <c r="IC17" i="6"/>
  <c r="AD17" i="6"/>
  <c r="BP17" i="6"/>
  <c r="HS17" i="6"/>
  <c r="FM17" i="6"/>
  <c r="GF17" i="6"/>
  <c r="JQ17" i="6"/>
  <c r="CX17" i="6"/>
  <c r="CB17" i="6"/>
  <c r="HY17" i="6"/>
  <c r="GD17" i="6"/>
  <c r="KO17" i="6"/>
  <c r="CE17" i="6"/>
  <c r="FF17" i="6"/>
  <c r="R17" i="6"/>
  <c r="FB17" i="6"/>
  <c r="O17" i="6"/>
  <c r="IF17" i="6"/>
  <c r="KS17" i="6"/>
  <c r="CW17" i="6"/>
  <c r="JV17" i="6"/>
  <c r="FJ17" i="6"/>
  <c r="CQ17" i="6"/>
  <c r="IH17" i="6"/>
  <c r="DQ17" i="6"/>
  <c r="FS17" i="6"/>
  <c r="X17" i="6"/>
  <c r="HT17" i="6"/>
  <c r="AA17" i="6"/>
  <c r="GP17" i="6"/>
  <c r="CM17" i="6"/>
  <c r="AX17" i="6"/>
  <c r="KX17" i="6"/>
  <c r="IS17" i="6"/>
  <c r="AO17" i="6"/>
  <c r="ED17" i="6"/>
  <c r="AP17" i="6"/>
  <c r="CT17" i="6"/>
  <c r="EV17" i="6"/>
  <c r="ID17" i="6"/>
  <c r="CV17" i="6"/>
  <c r="BV17" i="6"/>
  <c r="DO17" i="6"/>
  <c r="AC17" i="6"/>
  <c r="DL17" i="6"/>
  <c r="KU17" i="6"/>
  <c r="DH17" i="6"/>
  <c r="ES17" i="6"/>
  <c r="JF17" i="6"/>
  <c r="FG17" i="6"/>
  <c r="CK17" i="6"/>
  <c r="BH17" i="6"/>
  <c r="KQ17" i="6"/>
  <c r="JN17" i="6"/>
  <c r="BY17" i="6"/>
  <c r="DK17" i="6"/>
  <c r="CC17" i="6"/>
  <c r="JR17" i="6"/>
  <c r="EJ17" i="6"/>
  <c r="CD17" i="6"/>
  <c r="EN17" i="6"/>
  <c r="HP17" i="6"/>
  <c r="GT17" i="6"/>
  <c r="GW17" i="6"/>
  <c r="DY17" i="6"/>
  <c r="LB17" i="6"/>
  <c r="KE17" i="6"/>
  <c r="HX17" i="6"/>
  <c r="CI17" i="6"/>
  <c r="F17" i="6"/>
  <c r="JM17" i="6"/>
  <c r="DW17" i="6"/>
  <c r="DN17" i="6"/>
  <c r="H17" i="6"/>
  <c r="HB17" i="6"/>
  <c r="ET17" i="6"/>
  <c r="DZ17" i="6"/>
  <c r="L17" i="6"/>
  <c r="HZ17" i="6"/>
  <c r="EY17" i="6"/>
  <c r="BF17" i="6"/>
  <c r="AK17" i="6"/>
  <c r="JS17" i="6"/>
  <c r="IR17" i="6"/>
  <c r="HH17" i="6"/>
  <c r="FO17" i="6"/>
  <c r="I17" i="6"/>
  <c r="GZ17" i="6"/>
  <c r="DU17" i="6"/>
  <c r="AV17" i="6"/>
  <c r="V17" i="6"/>
  <c r="IW17" i="6"/>
  <c r="HR17" i="6"/>
  <c r="HE17" i="6"/>
  <c r="FL17" i="6"/>
  <c r="BQ17" i="6"/>
  <c r="EF17" i="6"/>
  <c r="BT17" i="6"/>
  <c r="T17" i="6"/>
  <c r="KV17" i="6"/>
  <c r="FP17" i="6"/>
  <c r="DD17" i="6"/>
  <c r="AY17" i="6"/>
  <c r="HD17" i="6"/>
  <c r="DM17" i="6"/>
  <c r="CS17" i="6"/>
  <c r="AN17" i="6"/>
  <c r="N17" i="6"/>
  <c r="JW17" i="6"/>
  <c r="GR17" i="6"/>
  <c r="FV17" i="6"/>
  <c r="DI17" i="6"/>
  <c r="KT17" i="6"/>
  <c r="JB17" i="6"/>
  <c r="IB17" i="6"/>
  <c r="M17" i="6"/>
  <c r="GE17" i="6"/>
  <c r="CA17" i="6"/>
  <c r="BI17" i="6"/>
  <c r="BB17" i="6"/>
  <c r="JC17" i="6"/>
  <c r="IE17" i="6"/>
  <c r="KA17" i="6"/>
  <c r="JX17" i="6"/>
  <c r="IM17" i="6"/>
  <c r="IG17" i="6"/>
  <c r="GS17" i="6"/>
  <c r="FC17" i="6"/>
  <c r="EG17" i="6"/>
  <c r="DJ17" i="6"/>
  <c r="S17" i="6"/>
  <c r="KW17" i="6"/>
  <c r="GY17" i="6"/>
  <c r="GI17" i="6"/>
  <c r="GA17" i="6"/>
  <c r="FT17" i="6"/>
  <c r="BN17" i="6"/>
  <c r="N9" i="2"/>
  <c r="F14" i="6"/>
  <c r="G12" i="6"/>
  <c r="D17" i="6" l="1"/>
  <c r="F18" i="6"/>
  <c r="G14" i="6"/>
  <c r="H12" i="6"/>
  <c r="C17" i="6" l="1"/>
  <c r="G18" i="6"/>
  <c r="H14" i="6"/>
  <c r="I12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D18" i="6" l="1"/>
  <c r="C18" i="6" s="1"/>
  <c r="J14" i="6"/>
  <c r="K12" i="6"/>
  <c r="K14" i="6" l="1"/>
  <c r="L12" i="6"/>
  <c r="L14" i="6" l="1"/>
  <c r="M12" i="6"/>
  <c r="M14" i="6" l="1"/>
  <c r="N12" i="6"/>
  <c r="N14" i="6" l="1"/>
  <c r="O12" i="6"/>
  <c r="O14" i="6" l="1"/>
  <c r="P12" i="6"/>
  <c r="P14" i="6" l="1"/>
  <c r="Q12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A14" i="6" l="1"/>
  <c r="AB12" i="6"/>
  <c r="AB14" i="6" l="1"/>
  <c r="AC12" i="6"/>
  <c r="AC14" i="6" l="1"/>
  <c r="AD12" i="6"/>
  <c r="AD14" i="6" l="1"/>
  <c r="AE12" i="6"/>
  <c r="AE14" i="6" l="1"/>
  <c r="AF12" i="6"/>
  <c r="AF14" i="6" l="1"/>
  <c r="AG12" i="6"/>
  <c r="AG14" i="6" l="1"/>
  <c r="AH12" i="6"/>
  <c r="AH14" i="6" l="1"/>
  <c r="AI12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O14" i="6" l="1"/>
  <c r="AP12" i="6"/>
  <c r="AP14" i="6" l="1"/>
  <c r="AQ12" i="6"/>
  <c r="AQ14" i="6" l="1"/>
  <c r="AR12" i="6"/>
  <c r="AR14" i="6" l="1"/>
  <c r="AS12" i="6"/>
  <c r="AS14" i="6" l="1"/>
  <c r="AT12" i="6"/>
  <c r="AT14" i="6" l="1"/>
  <c r="AU12" i="6"/>
  <c r="AU14" i="6" l="1"/>
  <c r="AV12" i="6"/>
  <c r="AV14" i="6" l="1"/>
  <c r="AW12" i="6"/>
  <c r="AW14" i="6" l="1"/>
  <c r="AX12" i="6"/>
  <c r="AX14" i="6" l="1"/>
  <c r="AY12" i="6"/>
  <c r="AY14" i="6" l="1"/>
  <c r="AZ12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F14" i="6" l="1"/>
  <c r="BG12" i="6"/>
  <c r="BG14" i="6" l="1"/>
  <c r="BH12" i="6"/>
  <c r="BH14" i="6" l="1"/>
  <c r="BI12" i="6"/>
  <c r="BI14" i="6" l="1"/>
  <c r="BJ12" i="6"/>
  <c r="BJ14" i="6" l="1"/>
  <c r="BK12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Q14" i="6" l="1"/>
  <c r="BR12" i="6"/>
  <c r="BR14" i="6" l="1"/>
  <c r="BS12" i="6"/>
  <c r="BS14" i="6" l="1"/>
  <c r="BT12" i="6"/>
  <c r="BT14" i="6" l="1"/>
  <c r="BU12" i="6"/>
  <c r="BU14" i="6" l="1"/>
  <c r="BV12" i="6"/>
  <c r="BV14" i="6" l="1"/>
  <c r="BW12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P14" i="6" l="1"/>
  <c r="CQ12" i="6"/>
  <c r="CQ14" i="6" l="1"/>
  <c r="CR12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CZ14" i="6" l="1"/>
  <c r="DA12" i="6"/>
  <c r="DA14" i="6" l="1"/>
  <c r="DB12" i="6"/>
  <c r="DB14" i="6" l="1"/>
  <c r="DC12" i="6"/>
  <c r="DC14" i="6" l="1"/>
  <c r="DD12" i="6"/>
  <c r="DD14" i="6" l="1"/>
  <c r="DE12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K14" i="6" l="1"/>
  <c r="DL12" i="6"/>
  <c r="DL14" i="6" l="1"/>
  <c r="DM12" i="6"/>
  <c r="DM14" i="6" l="1"/>
  <c r="DN12" i="6"/>
  <c r="DN14" i="6" l="1"/>
  <c r="DO12" i="6"/>
  <c r="DO14" i="6" l="1"/>
  <c r="DP12" i="6"/>
  <c r="DP14" i="6" l="1"/>
  <c r="DQ12" i="6"/>
  <c r="DQ14" i="6" l="1"/>
  <c r="DR12" i="6"/>
  <c r="DR14" i="6" l="1"/>
  <c r="DS12" i="6"/>
  <c r="DS14" i="6" l="1"/>
  <c r="DT12" i="6"/>
  <c r="DT14" i="6" l="1"/>
  <c r="DU12" i="6"/>
  <c r="DU14" i="6" l="1"/>
  <c r="DV12" i="6"/>
  <c r="DV14" i="6" l="1"/>
  <c r="DW12" i="6"/>
  <c r="DW14" i="6" l="1"/>
  <c r="DX12" i="6"/>
  <c r="DX14" i="6" l="1"/>
  <c r="DY12" i="6"/>
  <c r="DY14" i="6" l="1"/>
  <c r="DZ12" i="6"/>
  <c r="DZ14" i="6" l="1"/>
  <c r="EA12" i="6"/>
  <c r="EA14" i="6" l="1"/>
  <c r="EB12" i="6"/>
  <c r="EB14" i="6" l="1"/>
  <c r="EC12" i="6"/>
  <c r="EC14" i="6" l="1"/>
  <c r="ED12" i="6"/>
  <c r="ED14" i="6" l="1"/>
  <c r="EE12" i="6"/>
  <c r="EE14" i="6" l="1"/>
  <c r="EF12" i="6"/>
  <c r="EF14" i="6" l="1"/>
  <c r="EG12" i="6"/>
  <c r="EG14" i="6" l="1"/>
  <c r="EH12" i="6"/>
  <c r="EH14" i="6" l="1"/>
  <c r="EI12" i="6"/>
  <c r="EI14" i="6" l="1"/>
  <c r="EJ12" i="6"/>
  <c r="EJ14" i="6" l="1"/>
  <c r="EK12" i="6"/>
  <c r="EK14" i="6" l="1"/>
  <c r="EL12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V14" i="6" l="1"/>
  <c r="EW12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J14" i="6" l="1"/>
  <c r="FK12" i="6"/>
  <c r="FK14" i="6" l="1"/>
  <c r="FL12" i="6"/>
  <c r="FL14" i="6" l="1"/>
  <c r="FM12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T14" i="6" l="1"/>
  <c r="FU12" i="6"/>
  <c r="FU14" i="6" l="1"/>
  <c r="FV12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K14" i="6" l="1"/>
  <c r="GL12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U14" i="6" l="1"/>
  <c r="GV12" i="6"/>
  <c r="GV14" i="6" l="1"/>
  <c r="GW12" i="6"/>
  <c r="GW14" i="6" l="1"/>
  <c r="GX12" i="6"/>
  <c r="GX14" i="6" l="1"/>
  <c r="GY12" i="6"/>
  <c r="GY14" i="6" l="1"/>
  <c r="GZ12" i="6"/>
  <c r="GZ14" i="6" l="1"/>
  <c r="HA12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L14" i="6" l="1"/>
  <c r="HM12" i="6"/>
  <c r="HM14" i="6" l="1"/>
  <c r="HN12" i="6"/>
  <c r="HN14" i="6" l="1"/>
  <c r="HO12" i="6"/>
  <c r="HO14" i="6" l="1"/>
  <c r="HP12" i="6"/>
  <c r="HP14" i="6" l="1"/>
  <c r="HQ12" i="6"/>
  <c r="HQ14" i="6" l="1"/>
  <c r="HR12" i="6"/>
  <c r="HR14" i="6" l="1"/>
  <c r="HS12" i="6"/>
  <c r="HS14" i="6" l="1"/>
  <c r="HT12" i="6"/>
  <c r="HT14" i="6" l="1"/>
  <c r="HU12" i="6"/>
  <c r="HU14" i="6" l="1"/>
  <c r="HV12" i="6"/>
  <c r="HV14" i="6" l="1"/>
  <c r="HW12" i="6"/>
  <c r="HW14" i="6" l="1"/>
  <c r="HX12" i="6"/>
  <c r="HX14" i="6" l="1"/>
  <c r="HY12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J14" i="6" l="1"/>
  <c r="IK12" i="6"/>
  <c r="IK14" i="6" l="1"/>
  <c r="IL12" i="6"/>
  <c r="IL14" i="6" l="1"/>
  <c r="IM12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D14" i="6" l="1"/>
  <c r="JE12" i="6"/>
  <c r="JE14" i="6" l="1"/>
  <c r="JF12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C14" i="6" l="1"/>
  <c r="KD12" i="6"/>
  <c r="KD14" i="6" l="1"/>
  <c r="KE12" i="6"/>
  <c r="KE14" i="6" l="1"/>
  <c r="KF12" i="6"/>
  <c r="KF14" i="6" l="1"/>
  <c r="KG12" i="6"/>
  <c r="KG14" i="6" l="1"/>
  <c r="KH12" i="6"/>
  <c r="KH14" i="6" l="1"/>
  <c r="KI12" i="6"/>
  <c r="KI14" i="6" l="1"/>
  <c r="KJ12" i="6"/>
  <c r="KJ14" i="6" l="1"/>
  <c r="KK12" i="6"/>
  <c r="KK14" i="6" l="1"/>
  <c r="KL12" i="6"/>
  <c r="KL14" i="6" l="1"/>
  <c r="KM12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U14" i="6" l="1"/>
  <c r="KV12" i="6"/>
  <c r="KV14" i="6" l="1"/>
  <c r="KW12" i="6"/>
  <c r="KW14" i="6" l="1"/>
  <c r="KX12" i="6"/>
  <c r="KX14" i="6" l="1"/>
  <c r="KY12" i="6"/>
  <c r="KY14" i="6" l="1"/>
  <c r="KZ12" i="6"/>
  <c r="KZ14" i="6" l="1"/>
  <c r="LA12" i="6"/>
  <c r="LA14" i="6" l="1"/>
  <c r="LB12" i="6"/>
  <c r="LB14" i="6" l="1"/>
  <c r="LC12" i="6"/>
  <c r="LC14" i="6" l="1"/>
  <c r="LD12" i="6"/>
  <c r="LD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  <author>Thami Cambalele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  <comment ref="Q145" authorId="1" shapeId="0" xr:uid="{69824527-3EEE-435C-8480-B82883314A9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Changed amount 34004,25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<sst xmlns="http://schemas.openxmlformats.org/spreadsheetml/2006/main" count="1108" uniqueCount="636">
  <si>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</si>
  <si>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</si>
  <si>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</si>
  <si>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</si>
  <si>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</si>
  <si>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</si>
  <si>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</si>
  <si>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</si>
  <si>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</si>
  <si>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</si>
  <si>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</si>
  <si>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</si>
  <si>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</si>
  <si>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</si>
  <si>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</si>
  <si>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</si>
  <si>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</si>
  <si>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</si>
  <si>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</si>
  <si>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</si>
  <si>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</si>
  <si>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</si>
  <si>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</si>
  <si>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</si>
  <si>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</si>
  <si>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</si>
  <si>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</si>
  <si>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</si>
  <si>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</si>
  <si>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</si>
  <si>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</si>
  <si>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</si>
  <si>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</si>
  <si>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</si>
  <si>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</si>
  <si>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</si>
  <si>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</si>
  <si>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</si>
  <si>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</si>
  <si>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</si>
  <si>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</si>
  <si>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</si>
  <si>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</si>
  <si>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</si>
  <si>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</si>
  <si>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</si>
  <si>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</si>
  <si>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</si>
  <si>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</si>
  <si>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</si>
  <si>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</si>
  <si>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</si>
  <si>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</si>
  <si>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</si>
  <si>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</si>
  <si>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</si>
  <si>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</si>
  <si>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</si>
  <si>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</si>
  <si>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</si>
  <si>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</si>
  <si>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</si>
  <si>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</si>
  <si>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</si>
  <si>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</si>
  <si>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</si>
  <si>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</si>
  <si>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</si>
  <si>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</si>
  <si>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</si>
  <si>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</si>
  <si>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</si>
  <si>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</si>
  <si>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</si>
  <si>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</si>
  <si>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</si>
  <si>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</si>
  <si>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</si>
  <si>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</si>
  <si>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</si>
  <si>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</si>
  <si>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</si>
  <si>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</si>
  <si>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</si>
  <si>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</si>
  <si>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</si>
  <si>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</si>
  <si>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</si>
  <si>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</si>
  <si>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</si>
  <si>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</si>
  <si>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</si>
  <si>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</si>
  <si>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</si>
  <si>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</si>
  <si>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</si>
  <si>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</si>
  <si>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</si>
  <si>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</si>
  <si>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</si>
  <si>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</si>
  <si>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</si>
  <si>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</si>
  <si>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</si>
  <si>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</si>
  <si>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</si>
  <si>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</si>
  <si>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</si>
  <si>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</si>
  <si>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</si>
  <si>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</si>
  <si>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</si>
  <si>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</si>
  <si>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</si>
  <si>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</si>
  <si>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</si>
  <si>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</si>
  <si>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</si>
  <si>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</si>
  <si>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</si>
  <si>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</si>
  <si>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</si>
  <si>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</si>
  <si>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</si>
  <si>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</si>
  <si>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</si>
  <si>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</si>
  <si>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</si>
  <si>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</si>
  <si>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</si>
  <si>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</si>
  <si>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</si>
  <si>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</si>
  <si>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</si>
  <si>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</si>
  <si>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</si>
  <si>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</si>
  <si>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</si>
  <si>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</si>
  <si>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</si>
  <si>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</si>
  <si>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</si>
  <si>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</si>
  <si>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</si>
  <si>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</si>
  <si>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</si>
  <si>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</si>
  <si>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</si>
  <si>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</si>
  <si>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</si>
  <si>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</si>
  <si>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</si>
  <si>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</si>
  <si>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</si>
  <si>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</si>
  <si>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</si>
  <si>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</si>
  <si>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</si>
  <si>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</si>
  <si>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</si>
  <si>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</si>
  <si>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</si>
  <si>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</si>
  <si>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</si>
  <si>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</si>
  <si>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</si>
  <si>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</si>
  <si>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</si>
  <si>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</si>
  <si>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</si>
  <si>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</si>
  <si>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</si>
  <si>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</si>
  <si>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</si>
  <si>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</si>
  <si>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</si>
  <si>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</si>
  <si>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</si>
  <si>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</si>
  <si>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</si>
  <si>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</si>
  <si>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</si>
  <si>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</si>
  <si>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</si>
  <si>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</si>
  <si>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</si>
  <si>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</si>
  <si>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</si>
  <si>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</si>
  <si>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</si>
  <si>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</si>
  <si>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</si>
  <si>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</si>
  <si>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</si>
  <si>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</si>
  <si>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</si>
  <si>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</si>
  <si>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</si>
  <si>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</si>
  <si>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</si>
  <si>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</si>
  <si>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</si>
  <si>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</si>
  <si>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</si>
  <si>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</si>
  <si>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</si>
  <si>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</si>
  <si>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</si>
  <si>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</si>
  <si>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</si>
  <si>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</si>
  <si>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</si>
  <si>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</si>
  <si>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</si>
  <si>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</si>
  <si>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</si>
  <si>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</si>
  <si>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</si>
  <si>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</si>
  <si>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</si>
  <si>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</si>
  <si>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</si>
  <si>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</si>
  <si>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</si>
  <si>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</si>
  <si>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</si>
  <si>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</si>
  <si>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</si>
  <si>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</si>
  <si>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</si>
  <si>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</si>
  <si>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</si>
  <si>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</si>
  <si>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</si>
  <si>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</si>
  <si>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</si>
  <si>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</si>
  <si>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</si>
  <si>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</si>
  <si>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</si>
  <si>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</si>
  <si>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</si>
  <si>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</si>
  <si>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</si>
  <si>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</si>
  <si>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</si>
  <si>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</si>
  <si>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</si>
  <si>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</si>
  <si>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</si>
  <si>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</si>
  <si>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</si>
  <si>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</si>
  <si>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</si>
  <si>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</si>
  <si>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</si>
  <si>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</si>
  <si>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</si>
  <si>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7.2</t>
  </si>
  <si>
    <t>ACE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</si>
  <si>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</si>
  <si>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</si>
  <si>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</si>
  <si>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</si>
  <si>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</si>
  <si>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</si>
  <si>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</si>
  <si>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</si>
  <si>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</si>
  <si>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</si>
  <si>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</si>
  <si>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</si>
  <si>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</si>
  <si>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</si>
  <si>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</si>
  <si>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</si>
  <si>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</si>
  <si>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</si>
  <si>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</si>
  <si>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</si>
  <si>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</si>
  <si>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</si>
  <si>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</si>
  <si>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</si>
  <si>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</si>
  <si>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</si>
  <si>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</si>
  <si>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</si>
  <si>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</si>
  <si>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</si>
  <si>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</si>
  <si>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-</t>
  </si>
  <si>
    <t>Claim 3</t>
  </si>
  <si>
    <t>004973</t>
  </si>
  <si>
    <t>site is live</t>
  </si>
  <si>
    <t>Claim 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</si>
  <si>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</si>
  <si>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</si>
  <si>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</si>
  <si>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</si>
  <si>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</si>
  <si>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</si>
  <si>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</si>
  <si>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</si>
  <si>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</si>
  <si>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</si>
  <si>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</si>
  <si>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</si>
  <si>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</si>
  <si>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</si>
  <si>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</si>
  <si>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</si>
  <si>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</si>
  <si>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</si>
  <si>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</si>
  <si>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</si>
  <si>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</si>
  <si>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</si>
  <si>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</si>
  <si>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</si>
  <si>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</si>
  <si>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</si>
  <si>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</si>
  <si>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</si>
  <si>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</si>
  <si>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</si>
  <si>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</si>
  <si>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</si>
  <si>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</si>
  <si>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</si>
  <si>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</si>
  <si>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</si>
  <si>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</si>
  <si>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</si>
  <si>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</si>
  <si>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</si>
  <si>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</si>
  <si>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</si>
  <si>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</si>
  <si>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</si>
  <si>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</si>
  <si>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</si>
  <si>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</si>
  <si>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</si>
  <si>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</si>
  <si>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</si>
  <si>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</si>
  <si>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</si>
  <si>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</si>
  <si>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</si>
  <si>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</si>
  <si>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</si>
  <si>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</si>
  <si>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</si>
  <si>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</si>
  <si>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</si>
  <si>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</si>
  <si>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</si>
  <si>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</si>
  <si>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</si>
  <si>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</si>
  <si>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</si>
  <si>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</si>
  <si>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</si>
  <si>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</si>
  <si>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</si>
  <si>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</si>
  <si>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</si>
  <si>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</si>
  <si>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</si>
  <si>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</si>
  <si>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</si>
  <si>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</si>
  <si>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</si>
  <si>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</si>
  <si>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</si>
  <si>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</si>
  <si>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</si>
  <si>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</si>
  <si>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</si>
  <si>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</si>
  <si>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</si>
  <si>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</si>
  <si>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</si>
  <si>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</si>
  <si>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</si>
  <si>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</si>
  <si>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</si>
  <si>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</si>
  <si>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</si>
  <si>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</si>
  <si>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</si>
  <si>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</si>
  <si>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</si>
  <si>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</si>
  <si>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</si>
  <si>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</si>
  <si>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</si>
  <si>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</si>
  <si>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</si>
  <si>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</si>
  <si>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</si>
  <si>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</si>
  <si>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</si>
  <si>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</si>
  <si>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</si>
  <si>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</si>
  <si>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</si>
  <si>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</si>
  <si>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</si>
  <si>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DC cable moved to De Drift - red</t>
  </si>
  <si>
    <t>Allocated to De Drift</t>
  </si>
  <si>
    <t xml:space="preserve">DC cable moved to De Drift - black 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</si>
  <si>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</si>
  <si>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</si>
  <si>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</si>
  <si>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</si>
  <si>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</si>
  <si>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</si>
  <si>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</si>
  <si>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</si>
  <si>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</si>
  <si>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JA Electrical Inv 1183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</si>
  <si>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</si>
  <si>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</si>
  <si>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</si>
  <si>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</si>
  <si>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</si>
  <si>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</si>
  <si>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</si>
  <si>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</si>
  <si>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</si>
  <si>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</si>
  <si>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</si>
  <si>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</si>
  <si>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</si>
  <si>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</si>
  <si>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</si>
  <si>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</si>
  <si>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</si>
  <si>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</si>
  <si>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</si>
  <si>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</si>
  <si>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</si>
  <si>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</si>
  <si>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</si>
  <si>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</si>
  <si>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</si>
  <si>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</si>
  <si>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</si>
  <si>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</si>
  <si>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Courier of Simcard</t>
  </si>
  <si>
    <t>DSV Inv: 180167184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</si>
  <si>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</si>
  <si>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</si>
  <si>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</si>
  <si>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</si>
  <si>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</si>
  <si>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</si>
  <si>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</si>
  <si>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</si>
  <si>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</si>
  <si>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Waterpoints</t>
  </si>
  <si>
    <t>PO4678-DSHC-20260316 - RV Approved</t>
  </si>
  <si>
    <t>Toys 4 Boys Inv12692</t>
  </si>
  <si>
    <t>Transformer</t>
  </si>
  <si>
    <t>Call Out Fee</t>
  </si>
  <si>
    <t>PO4696-DSHC-20260323 - RV Approved</t>
  </si>
  <si>
    <t>Shanduko - 2655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</si>
  <si>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</si>
  <si>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</si>
  <si>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</si>
  <si>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</si>
  <si>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</si>
  <si>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</si>
  <si>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</si>
  <si>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</si>
  <si>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</si>
  <si>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</si>
  <si>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</si>
  <si>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</si>
  <si>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</si>
  <si>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</si>
  <si>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</si>
  <si>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</si>
  <si>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</si>
  <si>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</si>
  <si>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</si>
  <si>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</si>
  <si>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</si>
  <si>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</si>
  <si>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</si>
  <si>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</si>
  <si>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</si>
  <si>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</si>
  <si>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</si>
  <si>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</si>
  <si>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</si>
  <si>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</si>
  <si>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</si>
  <si>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Sunspot - E045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</si>
  <si>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</si>
  <si>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</si>
  <si>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</si>
  <si>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</si>
  <si>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</si>
  <si>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</si>
  <si>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</si>
  <si>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r>
      <t xml:space="preserve">Red Team - AIG - </t>
    </r>
    <r>
      <rPr>
        <b/>
        <sz val="11"/>
        <color theme="1"/>
        <rFont val="Proxima Nova Lt"/>
      </rPr>
      <t>NOT MATRIARCH</t>
    </r>
  </si>
  <si>
    <t>PO4651-DSHC-20260302 - RV Approved</t>
  </si>
  <si>
    <t>Arefa Isago Group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</si>
  <si>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</si>
  <si>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</si>
  <si>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</si>
  <si>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</si>
  <si>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</si>
  <si>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</si>
  <si>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</si>
  <si>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</si>
  <si>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</si>
  <si>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</si>
  <si>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</si>
  <si>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</si>
  <si>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</si>
  <si>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</si>
  <si>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</si>
  <si>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</si>
  <si>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</si>
  <si>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Supply and install lightning and comms equipment plus padlocks for Tie-in Kiosk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</si>
  <si>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</si>
  <si>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</si>
  <si>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</si>
  <si>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</si>
  <si>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</si>
  <si>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</si>
  <si>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</si>
  <si>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</si>
  <si>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</si>
  <si>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</si>
  <si>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</si>
  <si>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SUPPLY AND INSTALL LIGHTING AT INVERTER AREA</t>
  </si>
  <si>
    <t>PO4710-DSHC-20260330 - RV Approved</t>
  </si>
  <si>
    <t>SUPPLY AND INSTALL EQUIPMENT FOR COMMS AND METERING</t>
  </si>
  <si>
    <t>PO4711-DSHC-20260330 - RV Approved</t>
  </si>
  <si>
    <t>UPPLY AND INSTALL ADDITIONAL PATRONICS CABLE DUE TO REVISED INVERTER LOCATION</t>
  </si>
  <si>
    <t>PO4712-DSHC-20260330 - RV Approved</t>
  </si>
  <si>
    <t>SUPPLY AND INSTALL PADLOCKS FOR TIE-IN KIOSKS</t>
  </si>
  <si>
    <t>PO4713-DSHC-20260330 - RV Approved</t>
  </si>
  <si>
    <t>Electric Fence modifications post construction</t>
  </si>
  <si>
    <t>PO4715-DSHC-20260330 - RV Approved</t>
  </si>
  <si>
    <t xml:space="preserve">Transport </t>
  </si>
  <si>
    <t>ABL Transport- Invoice 0371</t>
  </si>
  <si>
    <t>Shipping of IV Tester</t>
  </si>
  <si>
    <t>DSV Inv:180168193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</si>
  <si>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</si>
  <si>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</si>
  <si>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</si>
  <si>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</si>
  <si>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</si>
  <si>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</si>
  <si>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</si>
  <si>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</si>
  <si>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</si>
  <si>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</si>
  <si>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</si>
  <si>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</si>
  <si>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</si>
  <si>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</si>
  <si>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</si>
  <si>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</si>
  <si>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</si>
  <si>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</si>
  <si>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</si>
  <si>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</si>
  <si>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</si>
  <si>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</si>
  <si>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</si>
  <si>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</si>
  <si>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</si>
  <si>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</si>
  <si>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</si>
  <si>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</si>
  <si>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</si>
  <si>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</si>
  <si>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</si>
  <si>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</si>
  <si>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</si>
  <si>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</si>
  <si>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</si>
  <si>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</si>
  <si>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</si>
  <si>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</si>
  <si>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</si>
  <si>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</si>
  <si>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</si>
  <si>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</si>
  <si>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</si>
  <si>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</si>
  <si>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</si>
  <si>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</si>
  <si>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</si>
  <si>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</si>
  <si>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</si>
  <si>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</si>
  <si>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</si>
  <si>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</si>
  <si>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</si>
  <si>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</si>
  <si>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</si>
  <si>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</si>
  <si>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</si>
  <si>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</si>
  <si>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</si>
  <si>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</si>
  <si>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</si>
  <si>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</si>
  <si>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</si>
  <si>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</si>
  <si>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</si>
  <si>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</si>
  <si>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</si>
  <si>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</si>
  <si>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</si>
  <si>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</si>
  <si>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</si>
  <si>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</si>
  <si>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</si>
  <si>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</si>
  <si>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</si>
  <si>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</si>
  <si>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</si>
  <si>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</si>
  <si>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complete</t>
  </si>
  <si>
    <t>Toys 4 Boys Inv 12747</t>
  </si>
  <si>
    <t>PO4755-DSHC-20260415 - PV Approved</t>
  </si>
  <si>
    <t xml:space="preserve">Additional Communication Anthenna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</si>
</sst>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168" fontId="59" fillId="13" borderId="2" xfId="0" applyNumberFormat="1" applyFont="1" applyFill="1" applyBorder="1" applyAlignment="1" applyProtection="1">
      <alignment horizontal="center"/>
      <protection locked="0"/>
    </xf>
    <xf numFmtId="14" fontId="59" fillId="11" borderId="52" xfId="0" applyNumberFormat="1" applyFont="1" applyFill="1" applyBorder="1" applyAlignment="1" applyProtection="1">
      <alignment horizontal="center"/>
      <protection locked="0"/>
    </xf>
    <xf numFmtId="14" fontId="59" fillId="11" borderId="62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wrapText="1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9940581.7599999998</c:v>
                </c:pt>
                <c:pt idx="58">
                  <c:v>9940581.7599999998</c:v>
                </c:pt>
                <c:pt idx="59">
                  <c:v>9940581.7599999998</c:v>
                </c:pt>
                <c:pt idx="60">
                  <c:v>9940581.7599999998</c:v>
                </c:pt>
                <c:pt idx="61">
                  <c:v>9940581.7599999998</c:v>
                </c:pt>
                <c:pt idx="62">
                  <c:v>9940581.7599999998</c:v>
                </c:pt>
                <c:pt idx="63">
                  <c:v>9940581.7599999998</c:v>
                </c:pt>
                <c:pt idx="64">
                  <c:v>9940581.7599999998</c:v>
                </c:pt>
                <c:pt idx="65">
                  <c:v>10428343.76</c:v>
                </c:pt>
                <c:pt idx="66">
                  <c:v>10428343.76</c:v>
                </c:pt>
                <c:pt idx="67">
                  <c:v>10428343.76</c:v>
                </c:pt>
                <c:pt idx="68">
                  <c:v>10428343.76</c:v>
                </c:pt>
                <c:pt idx="69">
                  <c:v>10428343.76</c:v>
                </c:pt>
                <c:pt idx="70">
                  <c:v>10428343.76</c:v>
                </c:pt>
                <c:pt idx="71">
                  <c:v>10428343.76</c:v>
                </c:pt>
                <c:pt idx="72">
                  <c:v>10428343.76</c:v>
                </c:pt>
                <c:pt idx="73">
                  <c:v>10428343.76</c:v>
                </c:pt>
                <c:pt idx="74">
                  <c:v>10428343.76</c:v>
                </c:pt>
                <c:pt idx="75">
                  <c:v>10428343.76</c:v>
                </c:pt>
                <c:pt idx="76">
                  <c:v>10428343.76</c:v>
                </c:pt>
                <c:pt idx="77">
                  <c:v>10428343.76</c:v>
                </c:pt>
                <c:pt idx="78">
                  <c:v>10428343.76</c:v>
                </c:pt>
                <c:pt idx="79">
                  <c:v>10428343.76</c:v>
                </c:pt>
                <c:pt idx="80">
                  <c:v>10428343.76</c:v>
                </c:pt>
                <c:pt idx="81">
                  <c:v>10428343.76</c:v>
                </c:pt>
                <c:pt idx="82">
                  <c:v>10428343.76</c:v>
                </c:pt>
                <c:pt idx="83">
                  <c:v>10428343.76</c:v>
                </c:pt>
                <c:pt idx="84">
                  <c:v>10428343.76</c:v>
                </c:pt>
                <c:pt idx="85">
                  <c:v>10428343.76</c:v>
                </c:pt>
                <c:pt idx="86">
                  <c:v>10428343.76</c:v>
                </c:pt>
                <c:pt idx="87">
                  <c:v>10428343.76</c:v>
                </c:pt>
                <c:pt idx="88">
                  <c:v>10428343.76</c:v>
                </c:pt>
                <c:pt idx="89">
                  <c:v>10428343.76</c:v>
                </c:pt>
                <c:pt idx="90">
                  <c:v>10428343.76</c:v>
                </c:pt>
                <c:pt idx="91">
                  <c:v>10428343.76</c:v>
                </c:pt>
                <c:pt idx="92">
                  <c:v>10428343.76</c:v>
                </c:pt>
                <c:pt idx="93">
                  <c:v>10428343.76</c:v>
                </c:pt>
                <c:pt idx="94">
                  <c:v>10428343.76</c:v>
                </c:pt>
                <c:pt idx="95">
                  <c:v>10428343.76</c:v>
                </c:pt>
                <c:pt idx="96">
                  <c:v>10428343.76</c:v>
                </c:pt>
                <c:pt idx="97">
                  <c:v>10428343.76</c:v>
                </c:pt>
                <c:pt idx="98">
                  <c:v>10428343.76</c:v>
                </c:pt>
                <c:pt idx="99">
                  <c:v>10428343.76</c:v>
                </c:pt>
                <c:pt idx="100">
                  <c:v>10428343.76</c:v>
                </c:pt>
                <c:pt idx="101">
                  <c:v>10428343.76</c:v>
                </c:pt>
                <c:pt idx="102">
                  <c:v>10428343.76</c:v>
                </c:pt>
                <c:pt idx="103">
                  <c:v>10428343.76</c:v>
                </c:pt>
                <c:pt idx="104">
                  <c:v>10428343.76</c:v>
                </c:pt>
                <c:pt idx="105">
                  <c:v>10428343.76</c:v>
                </c:pt>
                <c:pt idx="106">
                  <c:v>10428343.76</c:v>
                </c:pt>
                <c:pt idx="107">
                  <c:v>10428343.76</c:v>
                </c:pt>
                <c:pt idx="108">
                  <c:v>10428343.76</c:v>
                </c:pt>
                <c:pt idx="109">
                  <c:v>10428343.76</c:v>
                </c:pt>
                <c:pt idx="110">
                  <c:v>10428343.76</c:v>
                </c:pt>
                <c:pt idx="111">
                  <c:v>10428343.76</c:v>
                </c:pt>
                <c:pt idx="112">
                  <c:v>10428343.76</c:v>
                </c:pt>
                <c:pt idx="113">
                  <c:v>10428343.76</c:v>
                </c:pt>
                <c:pt idx="114">
                  <c:v>10428343.76</c:v>
                </c:pt>
                <c:pt idx="115">
                  <c:v>10428343.76</c:v>
                </c:pt>
                <c:pt idx="116">
                  <c:v>10428343.76</c:v>
                </c:pt>
                <c:pt idx="117">
                  <c:v>10428343.76</c:v>
                </c:pt>
                <c:pt idx="118">
                  <c:v>10428343.76</c:v>
                </c:pt>
                <c:pt idx="119">
                  <c:v>10428343.76</c:v>
                </c:pt>
                <c:pt idx="120">
                  <c:v>10428343.76</c:v>
                </c:pt>
                <c:pt idx="121">
                  <c:v>10428343.76</c:v>
                </c:pt>
                <c:pt idx="122">
                  <c:v>10428343.76</c:v>
                </c:pt>
                <c:pt idx="123">
                  <c:v>10428343.76</c:v>
                </c:pt>
                <c:pt idx="124">
                  <c:v>10428343.76</c:v>
                </c:pt>
                <c:pt idx="125">
                  <c:v>10428343.76</c:v>
                </c:pt>
                <c:pt idx="126">
                  <c:v>10428343.76</c:v>
                </c:pt>
                <c:pt idx="127">
                  <c:v>10428343.76</c:v>
                </c:pt>
                <c:pt idx="128">
                  <c:v>10428343.76</c:v>
                </c:pt>
                <c:pt idx="129">
                  <c:v>10428343.76</c:v>
                </c:pt>
                <c:pt idx="130">
                  <c:v>10428343.76</c:v>
                </c:pt>
                <c:pt idx="131">
                  <c:v>10428343.76</c:v>
                </c:pt>
                <c:pt idx="132">
                  <c:v>10428343.76</c:v>
                </c:pt>
                <c:pt idx="133">
                  <c:v>10428343.76</c:v>
                </c:pt>
                <c:pt idx="134">
                  <c:v>10428343.76</c:v>
                </c:pt>
                <c:pt idx="135">
                  <c:v>10428343.76</c:v>
                </c:pt>
                <c:pt idx="136">
                  <c:v>10428343.76</c:v>
                </c:pt>
                <c:pt idx="137">
                  <c:v>10428343.76</c:v>
                </c:pt>
                <c:pt idx="138">
                  <c:v>10428343.76</c:v>
                </c:pt>
                <c:pt idx="139">
                  <c:v>10428343.76</c:v>
                </c:pt>
                <c:pt idx="140">
                  <c:v>10428343.76</c:v>
                </c:pt>
                <c:pt idx="141">
                  <c:v>10428343.76</c:v>
                </c:pt>
                <c:pt idx="142">
                  <c:v>10428343.76</c:v>
                </c:pt>
                <c:pt idx="143">
                  <c:v>10428343.76</c:v>
                </c:pt>
                <c:pt idx="144">
                  <c:v>10428343.76</c:v>
                </c:pt>
                <c:pt idx="145">
                  <c:v>10428343.76</c:v>
                </c:pt>
                <c:pt idx="146">
                  <c:v>10428343.76</c:v>
                </c:pt>
                <c:pt idx="147">
                  <c:v>10428343.76</c:v>
                </c:pt>
                <c:pt idx="148">
                  <c:v>10428343.76</c:v>
                </c:pt>
                <c:pt idx="149">
                  <c:v>10428343.76</c:v>
                </c:pt>
                <c:pt idx="150">
                  <c:v>10428343.76</c:v>
                </c:pt>
                <c:pt idx="151">
                  <c:v>10428343.76</c:v>
                </c:pt>
                <c:pt idx="152">
                  <c:v>10428343.76</c:v>
                </c:pt>
                <c:pt idx="153">
                  <c:v>10428343.76</c:v>
                </c:pt>
                <c:pt idx="154">
                  <c:v>10428343.76</c:v>
                </c:pt>
                <c:pt idx="155">
                  <c:v>10428343.76</c:v>
                </c:pt>
                <c:pt idx="156">
                  <c:v>10428343.76</c:v>
                </c:pt>
                <c:pt idx="157">
                  <c:v>10428343.76</c:v>
                </c:pt>
                <c:pt idx="158">
                  <c:v>10428343.76</c:v>
                </c:pt>
                <c:pt idx="159">
                  <c:v>10428343.76</c:v>
                </c:pt>
                <c:pt idx="160">
                  <c:v>10428343.76</c:v>
                </c:pt>
                <c:pt idx="161">
                  <c:v>10428343.76</c:v>
                </c:pt>
                <c:pt idx="162">
                  <c:v>10428343.76</c:v>
                </c:pt>
                <c:pt idx="163">
                  <c:v>10428343.76</c:v>
                </c:pt>
                <c:pt idx="164">
                  <c:v>10428343.76</c:v>
                </c:pt>
                <c:pt idx="165">
                  <c:v>10428343.76</c:v>
                </c:pt>
                <c:pt idx="166">
                  <c:v>10428343.76</c:v>
                </c:pt>
                <c:pt idx="167">
                  <c:v>10428343.76</c:v>
                </c:pt>
                <c:pt idx="168">
                  <c:v>10428343.76</c:v>
                </c:pt>
                <c:pt idx="169">
                  <c:v>10428343.76</c:v>
                </c:pt>
                <c:pt idx="170">
                  <c:v>10428343.76</c:v>
                </c:pt>
                <c:pt idx="171">
                  <c:v>10428343.76</c:v>
                </c:pt>
                <c:pt idx="172">
                  <c:v>10428343.76</c:v>
                </c:pt>
                <c:pt idx="173">
                  <c:v>10428343.76</c:v>
                </c:pt>
                <c:pt idx="174">
                  <c:v>10428343.76</c:v>
                </c:pt>
                <c:pt idx="175">
                  <c:v>10428343.76</c:v>
                </c:pt>
                <c:pt idx="176">
                  <c:v>10428343.76</c:v>
                </c:pt>
                <c:pt idx="177">
                  <c:v>10428343.76</c:v>
                </c:pt>
                <c:pt idx="178">
                  <c:v>10428343.76</c:v>
                </c:pt>
                <c:pt idx="179">
                  <c:v>10428343.76</c:v>
                </c:pt>
                <c:pt idx="180">
                  <c:v>10428343.76</c:v>
                </c:pt>
                <c:pt idx="181">
                  <c:v>10428343.76</c:v>
                </c:pt>
                <c:pt idx="182">
                  <c:v>10428343.76</c:v>
                </c:pt>
                <c:pt idx="183">
                  <c:v>10428343.76</c:v>
                </c:pt>
                <c:pt idx="184">
                  <c:v>10428343.76</c:v>
                </c:pt>
                <c:pt idx="185">
                  <c:v>10428343.76</c:v>
                </c:pt>
                <c:pt idx="186">
                  <c:v>10428343.76</c:v>
                </c:pt>
                <c:pt idx="187">
                  <c:v>10428343.76</c:v>
                </c:pt>
                <c:pt idx="188">
                  <c:v>10428343.76</c:v>
                </c:pt>
                <c:pt idx="189">
                  <c:v>10428343.76</c:v>
                </c:pt>
                <c:pt idx="190">
                  <c:v>10428343.76</c:v>
                </c:pt>
                <c:pt idx="191">
                  <c:v>10428343.76</c:v>
                </c:pt>
                <c:pt idx="192">
                  <c:v>10428343.76</c:v>
                </c:pt>
                <c:pt idx="193">
                  <c:v>10428343.76</c:v>
                </c:pt>
                <c:pt idx="194">
                  <c:v>10428343.76</c:v>
                </c:pt>
                <c:pt idx="195">
                  <c:v>10428343.76</c:v>
                </c:pt>
                <c:pt idx="196">
                  <c:v>10428343.76</c:v>
                </c:pt>
                <c:pt idx="197">
                  <c:v>10428343.76</c:v>
                </c:pt>
                <c:pt idx="198">
                  <c:v>10428343.76</c:v>
                </c:pt>
                <c:pt idx="199">
                  <c:v>10428343.76</c:v>
                </c:pt>
                <c:pt idx="200">
                  <c:v>10428343.76</c:v>
                </c:pt>
                <c:pt idx="201">
                  <c:v>10428343.76</c:v>
                </c:pt>
                <c:pt idx="202">
                  <c:v>10428343.76</c:v>
                </c:pt>
                <c:pt idx="203">
                  <c:v>10428343.76</c:v>
                </c:pt>
                <c:pt idx="204">
                  <c:v>10428343.76</c:v>
                </c:pt>
                <c:pt idx="205">
                  <c:v>10428343.76</c:v>
                </c:pt>
                <c:pt idx="206">
                  <c:v>10428343.76</c:v>
                </c:pt>
                <c:pt idx="207">
                  <c:v>10428343.76</c:v>
                </c:pt>
                <c:pt idx="208">
                  <c:v>10428343.76</c:v>
                </c:pt>
                <c:pt idx="209">
                  <c:v>10428343.76</c:v>
                </c:pt>
                <c:pt idx="210">
                  <c:v>10428343.76</c:v>
                </c:pt>
                <c:pt idx="211">
                  <c:v>10428343.76</c:v>
                </c:pt>
                <c:pt idx="212">
                  <c:v>10428343.76</c:v>
                </c:pt>
                <c:pt idx="213">
                  <c:v>10428343.76</c:v>
                </c:pt>
                <c:pt idx="214">
                  <c:v>10428343.76</c:v>
                </c:pt>
                <c:pt idx="215">
                  <c:v>10428343.76</c:v>
                </c:pt>
                <c:pt idx="216">
                  <c:v>10428343.76</c:v>
                </c:pt>
                <c:pt idx="217">
                  <c:v>10428343.76</c:v>
                </c:pt>
                <c:pt idx="218">
                  <c:v>10428343.76</c:v>
                </c:pt>
                <c:pt idx="219">
                  <c:v>10428343.76</c:v>
                </c:pt>
                <c:pt idx="220">
                  <c:v>10428343.76</c:v>
                </c:pt>
                <c:pt idx="221">
                  <c:v>10428343.76</c:v>
                </c:pt>
                <c:pt idx="222">
                  <c:v>10428343.76</c:v>
                </c:pt>
                <c:pt idx="223">
                  <c:v>10428343.76</c:v>
                </c:pt>
                <c:pt idx="224">
                  <c:v>10428343.76</c:v>
                </c:pt>
                <c:pt idx="225">
                  <c:v>10428343.76</c:v>
                </c:pt>
                <c:pt idx="226">
                  <c:v>10428343.76</c:v>
                </c:pt>
                <c:pt idx="227">
                  <c:v>10428343.76</c:v>
                </c:pt>
                <c:pt idx="228">
                  <c:v>10428343.76</c:v>
                </c:pt>
                <c:pt idx="229">
                  <c:v>10428343.76</c:v>
                </c:pt>
                <c:pt idx="230">
                  <c:v>10428343.76</c:v>
                </c:pt>
                <c:pt idx="231">
                  <c:v>10428343.76</c:v>
                </c:pt>
                <c:pt idx="232">
                  <c:v>10428343.76</c:v>
                </c:pt>
                <c:pt idx="233">
                  <c:v>10428343.76</c:v>
                </c:pt>
                <c:pt idx="234">
                  <c:v>10428343.76</c:v>
                </c:pt>
                <c:pt idx="235">
                  <c:v>10428343.76</c:v>
                </c:pt>
                <c:pt idx="236">
                  <c:v>10428343.76</c:v>
                </c:pt>
                <c:pt idx="237">
                  <c:v>10428343.76</c:v>
                </c:pt>
                <c:pt idx="238">
                  <c:v>10428343.76</c:v>
                </c:pt>
                <c:pt idx="239">
                  <c:v>10428343.76</c:v>
                </c:pt>
                <c:pt idx="240">
                  <c:v>10428343.76</c:v>
                </c:pt>
                <c:pt idx="241">
                  <c:v>10428343.76</c:v>
                </c:pt>
                <c:pt idx="242">
                  <c:v>10428343.76</c:v>
                </c:pt>
                <c:pt idx="243">
                  <c:v>10428343.76</c:v>
                </c:pt>
                <c:pt idx="244">
                  <c:v>10428343.76</c:v>
                </c:pt>
                <c:pt idx="245">
                  <c:v>10428343.76</c:v>
                </c:pt>
                <c:pt idx="246">
                  <c:v>10428343.76</c:v>
                </c:pt>
                <c:pt idx="247">
                  <c:v>10428343.76</c:v>
                </c:pt>
                <c:pt idx="248">
                  <c:v>10428343.76</c:v>
                </c:pt>
                <c:pt idx="249">
                  <c:v>10428343.76</c:v>
                </c:pt>
                <c:pt idx="250">
                  <c:v>10428343.76</c:v>
                </c:pt>
                <c:pt idx="251">
                  <c:v>10428343.76</c:v>
                </c:pt>
                <c:pt idx="252">
                  <c:v>10428343.76</c:v>
                </c:pt>
                <c:pt idx="253">
                  <c:v>10428343.76</c:v>
                </c:pt>
                <c:pt idx="254">
                  <c:v>10428343.76</c:v>
                </c:pt>
                <c:pt idx="255">
                  <c:v>10428343.76</c:v>
                </c:pt>
                <c:pt idx="256">
                  <c:v>10428343.76</c:v>
                </c:pt>
                <c:pt idx="257">
                  <c:v>10428343.76</c:v>
                </c:pt>
                <c:pt idx="258">
                  <c:v>10428343.76</c:v>
                </c:pt>
                <c:pt idx="259">
                  <c:v>10428343.76</c:v>
                </c:pt>
                <c:pt idx="260">
                  <c:v>10428343.76</c:v>
                </c:pt>
                <c:pt idx="261">
                  <c:v>10428343.76</c:v>
                </c:pt>
                <c:pt idx="262">
                  <c:v>10428343.76</c:v>
                </c:pt>
                <c:pt idx="263">
                  <c:v>10428343.76</c:v>
                </c:pt>
                <c:pt idx="264">
                  <c:v>10428343.76</c:v>
                </c:pt>
                <c:pt idx="265">
                  <c:v>10428343.76</c:v>
                </c:pt>
                <c:pt idx="266">
                  <c:v>10428343.76</c:v>
                </c:pt>
                <c:pt idx="267">
                  <c:v>10428343.76</c:v>
                </c:pt>
                <c:pt idx="268">
                  <c:v>10428343.76</c:v>
                </c:pt>
                <c:pt idx="269">
                  <c:v>10428343.76</c:v>
                </c:pt>
                <c:pt idx="270">
                  <c:v>10428343.76</c:v>
                </c:pt>
                <c:pt idx="271">
                  <c:v>10428343.76</c:v>
                </c:pt>
                <c:pt idx="272">
                  <c:v>10428343.76</c:v>
                </c:pt>
                <c:pt idx="273">
                  <c:v>10428343.76</c:v>
                </c:pt>
                <c:pt idx="274">
                  <c:v>10428343.76</c:v>
                </c:pt>
                <c:pt idx="275">
                  <c:v>10428343.76</c:v>
                </c:pt>
                <c:pt idx="276">
                  <c:v>10428343.76</c:v>
                </c:pt>
                <c:pt idx="277">
                  <c:v>10428343.76</c:v>
                </c:pt>
                <c:pt idx="278">
                  <c:v>10428343.76</c:v>
                </c:pt>
                <c:pt idx="279">
                  <c:v>10428343.76</c:v>
                </c:pt>
                <c:pt idx="280">
                  <c:v>10428343.76</c:v>
                </c:pt>
                <c:pt idx="281">
                  <c:v>10428343.76</c:v>
                </c:pt>
                <c:pt idx="282">
                  <c:v>10428343.76</c:v>
                </c:pt>
                <c:pt idx="283">
                  <c:v>10428343.76</c:v>
                </c:pt>
                <c:pt idx="284">
                  <c:v>10428343.76</c:v>
                </c:pt>
                <c:pt idx="285">
                  <c:v>10428343.76</c:v>
                </c:pt>
                <c:pt idx="286">
                  <c:v>10428343.76</c:v>
                </c:pt>
                <c:pt idx="287">
                  <c:v>10428343.76</c:v>
                </c:pt>
                <c:pt idx="288">
                  <c:v>10428343.76</c:v>
                </c:pt>
                <c:pt idx="289">
                  <c:v>10428343.76</c:v>
                </c:pt>
                <c:pt idx="290">
                  <c:v>10428343.76</c:v>
                </c:pt>
                <c:pt idx="291">
                  <c:v>10428343.76</c:v>
                </c:pt>
                <c:pt idx="292">
                  <c:v>10428343.76</c:v>
                </c:pt>
                <c:pt idx="293">
                  <c:v>10428343.76</c:v>
                </c:pt>
                <c:pt idx="294">
                  <c:v>10428343.76</c:v>
                </c:pt>
                <c:pt idx="295">
                  <c:v>10428343.76</c:v>
                </c:pt>
                <c:pt idx="296">
                  <c:v>10428343.76</c:v>
                </c:pt>
                <c:pt idx="297">
                  <c:v>10428343.76</c:v>
                </c:pt>
                <c:pt idx="298">
                  <c:v>10428343.76</c:v>
                </c:pt>
                <c:pt idx="299">
                  <c:v>10428343.76</c:v>
                </c:pt>
                <c:pt idx="300">
                  <c:v>10428343.76</c:v>
                </c:pt>
                <c:pt idx="301">
                  <c:v>10428343.76</c:v>
                </c:pt>
                <c:pt idx="302">
                  <c:v>10428343.76</c:v>
                </c:pt>
                <c:pt idx="303">
                  <c:v>10428343.76</c:v>
                </c:pt>
                <c:pt idx="304">
                  <c:v>10428343.76</c:v>
                </c:pt>
                <c:pt idx="305">
                  <c:v>10428343.76</c:v>
                </c:pt>
                <c:pt idx="306">
                  <c:v>10428343.76</c:v>
                </c:pt>
                <c:pt idx="307">
                  <c:v>10428343.76</c:v>
                </c:pt>
                <c:pt idx="308">
                  <c:v>10428343.76</c:v>
                </c:pt>
                <c:pt idx="309">
                  <c:v>10428343.76</c:v>
                </c:pt>
                <c:pt idx="310">
                  <c:v>10428343.76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1455723.8389107157</c:v>
                </c:pt>
                <c:pt idx="58">
                  <c:v>1455723.8389107157</c:v>
                </c:pt>
                <c:pt idx="59">
                  <c:v>1455723.8389107157</c:v>
                </c:pt>
                <c:pt idx="60">
                  <c:v>1455723.8389107157</c:v>
                </c:pt>
                <c:pt idx="61">
                  <c:v>1455723.8389107157</c:v>
                </c:pt>
                <c:pt idx="62">
                  <c:v>1455723.8389107157</c:v>
                </c:pt>
                <c:pt idx="63">
                  <c:v>1455723.8389107157</c:v>
                </c:pt>
                <c:pt idx="64">
                  <c:v>1455723.8389107157</c:v>
                </c:pt>
                <c:pt idx="65">
                  <c:v>1943485.8389107157</c:v>
                </c:pt>
                <c:pt idx="66">
                  <c:v>1943485.8389107157</c:v>
                </c:pt>
                <c:pt idx="67">
                  <c:v>1943485.8389107157</c:v>
                </c:pt>
                <c:pt idx="68">
                  <c:v>1943485.8389107157</c:v>
                </c:pt>
                <c:pt idx="69">
                  <c:v>1943485.8389107157</c:v>
                </c:pt>
                <c:pt idx="70">
                  <c:v>1943485.8389107157</c:v>
                </c:pt>
                <c:pt idx="71">
                  <c:v>1943485.8389107157</c:v>
                </c:pt>
                <c:pt idx="72">
                  <c:v>1943485.8389107157</c:v>
                </c:pt>
                <c:pt idx="73">
                  <c:v>1943485.8389107157</c:v>
                </c:pt>
                <c:pt idx="74">
                  <c:v>1943485.8389107157</c:v>
                </c:pt>
                <c:pt idx="75">
                  <c:v>1943485.8389107157</c:v>
                </c:pt>
                <c:pt idx="76">
                  <c:v>1943485.8389107157</c:v>
                </c:pt>
                <c:pt idx="77">
                  <c:v>1943485.8389107157</c:v>
                </c:pt>
                <c:pt idx="78">
                  <c:v>1943485.8389107157</c:v>
                </c:pt>
                <c:pt idx="79">
                  <c:v>1943485.8389107157</c:v>
                </c:pt>
                <c:pt idx="80">
                  <c:v>1943485.8389107157</c:v>
                </c:pt>
                <c:pt idx="81">
                  <c:v>1943485.8389107157</c:v>
                </c:pt>
                <c:pt idx="82">
                  <c:v>1943485.8389107157</c:v>
                </c:pt>
                <c:pt idx="83">
                  <c:v>1943485.8389107157</c:v>
                </c:pt>
                <c:pt idx="84">
                  <c:v>1943485.8389107157</c:v>
                </c:pt>
                <c:pt idx="85">
                  <c:v>1943485.8389107157</c:v>
                </c:pt>
                <c:pt idx="86">
                  <c:v>1943485.8389107157</c:v>
                </c:pt>
                <c:pt idx="87">
                  <c:v>1943485.8389107157</c:v>
                </c:pt>
                <c:pt idx="88">
                  <c:v>1943485.8389107157</c:v>
                </c:pt>
                <c:pt idx="89">
                  <c:v>1943485.8389107157</c:v>
                </c:pt>
                <c:pt idx="90">
                  <c:v>1943485.8389107157</c:v>
                </c:pt>
                <c:pt idx="91">
                  <c:v>1943485.8389107157</c:v>
                </c:pt>
                <c:pt idx="92">
                  <c:v>1943485.8389107157</c:v>
                </c:pt>
                <c:pt idx="93">
                  <c:v>1943485.8389107157</c:v>
                </c:pt>
                <c:pt idx="94">
                  <c:v>1943485.8389107157</c:v>
                </c:pt>
                <c:pt idx="95">
                  <c:v>1943485.8389107157</c:v>
                </c:pt>
                <c:pt idx="96">
                  <c:v>1943485.8389107157</c:v>
                </c:pt>
                <c:pt idx="97">
                  <c:v>1943485.8389107157</c:v>
                </c:pt>
                <c:pt idx="98">
                  <c:v>1943485.8389107157</c:v>
                </c:pt>
                <c:pt idx="99">
                  <c:v>1943485.8389107157</c:v>
                </c:pt>
                <c:pt idx="100">
                  <c:v>1943485.8389107157</c:v>
                </c:pt>
                <c:pt idx="101">
                  <c:v>1943485.8389107157</c:v>
                </c:pt>
                <c:pt idx="102">
                  <c:v>1943485.8389107157</c:v>
                </c:pt>
                <c:pt idx="103">
                  <c:v>1943485.8389107157</c:v>
                </c:pt>
                <c:pt idx="104">
                  <c:v>1943485.8389107157</c:v>
                </c:pt>
                <c:pt idx="105">
                  <c:v>1943485.8389107157</c:v>
                </c:pt>
                <c:pt idx="106">
                  <c:v>1943485.8389107157</c:v>
                </c:pt>
                <c:pt idx="107">
                  <c:v>1943485.8389107157</c:v>
                </c:pt>
                <c:pt idx="108">
                  <c:v>1943485.8389107157</c:v>
                </c:pt>
                <c:pt idx="109">
                  <c:v>1943485.8389107157</c:v>
                </c:pt>
                <c:pt idx="110">
                  <c:v>1943485.8389107157</c:v>
                </c:pt>
                <c:pt idx="111">
                  <c:v>1943485.8389107157</c:v>
                </c:pt>
                <c:pt idx="112">
                  <c:v>1943485.8389107157</c:v>
                </c:pt>
                <c:pt idx="113">
                  <c:v>1943485.8389107157</c:v>
                </c:pt>
                <c:pt idx="114">
                  <c:v>1943485.8389107157</c:v>
                </c:pt>
                <c:pt idx="115">
                  <c:v>1943485.8389107157</c:v>
                </c:pt>
                <c:pt idx="116">
                  <c:v>1943485.8389107157</c:v>
                </c:pt>
                <c:pt idx="117">
                  <c:v>1943485.8389107157</c:v>
                </c:pt>
                <c:pt idx="118">
                  <c:v>1943485.8389107157</c:v>
                </c:pt>
                <c:pt idx="119">
                  <c:v>1943485.8389107157</c:v>
                </c:pt>
                <c:pt idx="120">
                  <c:v>1943485.8389107157</c:v>
                </c:pt>
                <c:pt idx="121">
                  <c:v>1943485.8389107157</c:v>
                </c:pt>
                <c:pt idx="122">
                  <c:v>1943485.8389107157</c:v>
                </c:pt>
                <c:pt idx="123">
                  <c:v>1943485.8389107157</c:v>
                </c:pt>
                <c:pt idx="124">
                  <c:v>1943485.8389107157</c:v>
                </c:pt>
                <c:pt idx="125">
                  <c:v>1943485.8389107157</c:v>
                </c:pt>
                <c:pt idx="126">
                  <c:v>1943485.8389107157</c:v>
                </c:pt>
                <c:pt idx="127">
                  <c:v>1943485.8389107157</c:v>
                </c:pt>
                <c:pt idx="128">
                  <c:v>1943485.8389107157</c:v>
                </c:pt>
                <c:pt idx="129">
                  <c:v>1943485.8389107157</c:v>
                </c:pt>
                <c:pt idx="130">
                  <c:v>1943485.8389107157</c:v>
                </c:pt>
                <c:pt idx="131">
                  <c:v>1943485.8389107157</c:v>
                </c:pt>
                <c:pt idx="132">
                  <c:v>1943485.8389107157</c:v>
                </c:pt>
                <c:pt idx="133">
                  <c:v>1943485.8389107157</c:v>
                </c:pt>
                <c:pt idx="134">
                  <c:v>1943485.8389107157</c:v>
                </c:pt>
                <c:pt idx="135">
                  <c:v>1943485.8389107157</c:v>
                </c:pt>
                <c:pt idx="136">
                  <c:v>1943485.8389107157</c:v>
                </c:pt>
                <c:pt idx="137">
                  <c:v>1943485.8389107157</c:v>
                </c:pt>
                <c:pt idx="138">
                  <c:v>1943485.8389107157</c:v>
                </c:pt>
                <c:pt idx="139">
                  <c:v>1943485.8389107157</c:v>
                </c:pt>
                <c:pt idx="140">
                  <c:v>1943485.8389107157</c:v>
                </c:pt>
                <c:pt idx="141">
                  <c:v>1943485.8389107157</c:v>
                </c:pt>
                <c:pt idx="142">
                  <c:v>1943485.8389107157</c:v>
                </c:pt>
                <c:pt idx="143">
                  <c:v>1943485.8389107157</c:v>
                </c:pt>
                <c:pt idx="144">
                  <c:v>1943485.8389107157</c:v>
                </c:pt>
                <c:pt idx="145">
                  <c:v>1943485.8389107157</c:v>
                </c:pt>
                <c:pt idx="146">
                  <c:v>1943485.8389107157</c:v>
                </c:pt>
                <c:pt idx="147">
                  <c:v>1943485.8389107157</c:v>
                </c:pt>
                <c:pt idx="148">
                  <c:v>1943485.8389107157</c:v>
                </c:pt>
                <c:pt idx="149">
                  <c:v>1943485.8389107157</c:v>
                </c:pt>
                <c:pt idx="150">
                  <c:v>1943485.8389107157</c:v>
                </c:pt>
                <c:pt idx="151">
                  <c:v>1943485.8389107157</c:v>
                </c:pt>
                <c:pt idx="152">
                  <c:v>1943485.8389107157</c:v>
                </c:pt>
                <c:pt idx="153">
                  <c:v>1943485.8389107157</c:v>
                </c:pt>
                <c:pt idx="154">
                  <c:v>1943485.8389107157</c:v>
                </c:pt>
                <c:pt idx="155">
                  <c:v>1943485.8389107157</c:v>
                </c:pt>
                <c:pt idx="156">
                  <c:v>1943485.8389107157</c:v>
                </c:pt>
                <c:pt idx="157">
                  <c:v>1943485.8389107157</c:v>
                </c:pt>
                <c:pt idx="158">
                  <c:v>1943485.8389107157</c:v>
                </c:pt>
                <c:pt idx="159">
                  <c:v>1943485.8389107157</c:v>
                </c:pt>
                <c:pt idx="160">
                  <c:v>1943485.8389107157</c:v>
                </c:pt>
                <c:pt idx="161">
                  <c:v>1943485.8389107157</c:v>
                </c:pt>
                <c:pt idx="162">
                  <c:v>1943485.8389107157</c:v>
                </c:pt>
                <c:pt idx="163">
                  <c:v>1943485.8389107157</c:v>
                </c:pt>
                <c:pt idx="164">
                  <c:v>1943485.8389107157</c:v>
                </c:pt>
                <c:pt idx="165">
                  <c:v>1943485.8389107157</c:v>
                </c:pt>
                <c:pt idx="166">
                  <c:v>1943485.8389107157</c:v>
                </c:pt>
                <c:pt idx="167">
                  <c:v>1943485.8389107157</c:v>
                </c:pt>
                <c:pt idx="168">
                  <c:v>1943485.8389107157</c:v>
                </c:pt>
                <c:pt idx="169">
                  <c:v>1943485.8389107157</c:v>
                </c:pt>
                <c:pt idx="170">
                  <c:v>1943485.8389107157</c:v>
                </c:pt>
                <c:pt idx="171">
                  <c:v>1943485.8389107157</c:v>
                </c:pt>
                <c:pt idx="172">
                  <c:v>1943485.8389107157</c:v>
                </c:pt>
                <c:pt idx="173">
                  <c:v>1943485.8389107157</c:v>
                </c:pt>
                <c:pt idx="174">
                  <c:v>1943485.8389107157</c:v>
                </c:pt>
                <c:pt idx="175">
                  <c:v>1943485.8389107157</c:v>
                </c:pt>
                <c:pt idx="176">
                  <c:v>1943485.8389107157</c:v>
                </c:pt>
                <c:pt idx="177">
                  <c:v>1943485.8389107157</c:v>
                </c:pt>
                <c:pt idx="178">
                  <c:v>1943485.8389107157</c:v>
                </c:pt>
                <c:pt idx="179">
                  <c:v>1943485.8389107157</c:v>
                </c:pt>
                <c:pt idx="180">
                  <c:v>1943485.8389107157</c:v>
                </c:pt>
                <c:pt idx="181">
                  <c:v>1943485.8389107157</c:v>
                </c:pt>
                <c:pt idx="182">
                  <c:v>1943485.8389107157</c:v>
                </c:pt>
                <c:pt idx="183">
                  <c:v>1943485.8389107157</c:v>
                </c:pt>
                <c:pt idx="184">
                  <c:v>1943485.8389107157</c:v>
                </c:pt>
                <c:pt idx="185">
                  <c:v>1943485.8389107157</c:v>
                </c:pt>
                <c:pt idx="186">
                  <c:v>1943485.8389107157</c:v>
                </c:pt>
                <c:pt idx="187">
                  <c:v>1943485.8389107157</c:v>
                </c:pt>
                <c:pt idx="188">
                  <c:v>1943485.8389107157</c:v>
                </c:pt>
                <c:pt idx="189">
                  <c:v>1943485.8389107157</c:v>
                </c:pt>
                <c:pt idx="190">
                  <c:v>1943485.8389107157</c:v>
                </c:pt>
                <c:pt idx="191">
                  <c:v>1943485.8389107157</c:v>
                </c:pt>
                <c:pt idx="192">
                  <c:v>1943485.8389107157</c:v>
                </c:pt>
                <c:pt idx="193">
                  <c:v>1943485.8389107157</c:v>
                </c:pt>
                <c:pt idx="194">
                  <c:v>1943485.8389107157</c:v>
                </c:pt>
                <c:pt idx="195">
                  <c:v>1943485.8389107157</c:v>
                </c:pt>
                <c:pt idx="196">
                  <c:v>1943485.8389107157</c:v>
                </c:pt>
                <c:pt idx="197">
                  <c:v>1943485.8389107157</c:v>
                </c:pt>
                <c:pt idx="198">
                  <c:v>1943485.8389107157</c:v>
                </c:pt>
                <c:pt idx="199">
                  <c:v>1943485.8389107157</c:v>
                </c:pt>
                <c:pt idx="200">
                  <c:v>1943485.8389107157</c:v>
                </c:pt>
                <c:pt idx="201">
                  <c:v>1943485.8389107157</c:v>
                </c:pt>
                <c:pt idx="202">
                  <c:v>1943485.8389107157</c:v>
                </c:pt>
                <c:pt idx="203">
                  <c:v>1943485.8389107157</c:v>
                </c:pt>
                <c:pt idx="204">
                  <c:v>1943485.8389107157</c:v>
                </c:pt>
                <c:pt idx="205">
                  <c:v>1943485.8389107157</c:v>
                </c:pt>
                <c:pt idx="206">
                  <c:v>1943485.8389107157</c:v>
                </c:pt>
                <c:pt idx="207">
                  <c:v>1943485.8389107157</c:v>
                </c:pt>
                <c:pt idx="208">
                  <c:v>1943485.8389107157</c:v>
                </c:pt>
                <c:pt idx="209">
                  <c:v>1943485.8389107157</c:v>
                </c:pt>
                <c:pt idx="210">
                  <c:v>1943485.8389107157</c:v>
                </c:pt>
                <c:pt idx="211">
                  <c:v>1943485.8389107157</c:v>
                </c:pt>
                <c:pt idx="212">
                  <c:v>1943485.8389107157</c:v>
                </c:pt>
                <c:pt idx="213">
                  <c:v>1943485.8389107157</c:v>
                </c:pt>
                <c:pt idx="214">
                  <c:v>1943485.8389107157</c:v>
                </c:pt>
                <c:pt idx="215">
                  <c:v>1943485.8389107157</c:v>
                </c:pt>
                <c:pt idx="216">
                  <c:v>1943485.8389107157</c:v>
                </c:pt>
                <c:pt idx="217">
                  <c:v>1943485.8389107157</c:v>
                </c:pt>
                <c:pt idx="218">
                  <c:v>1943485.8389107157</c:v>
                </c:pt>
                <c:pt idx="219">
                  <c:v>1943485.8389107157</c:v>
                </c:pt>
                <c:pt idx="220">
                  <c:v>1943485.8389107157</c:v>
                </c:pt>
                <c:pt idx="221">
                  <c:v>1943485.8389107157</c:v>
                </c:pt>
                <c:pt idx="222">
                  <c:v>1943485.8389107157</c:v>
                </c:pt>
                <c:pt idx="223">
                  <c:v>1943485.8389107157</c:v>
                </c:pt>
                <c:pt idx="224">
                  <c:v>1943485.8389107157</c:v>
                </c:pt>
                <c:pt idx="225">
                  <c:v>1943485.8389107157</c:v>
                </c:pt>
                <c:pt idx="226">
                  <c:v>1943485.8389107157</c:v>
                </c:pt>
                <c:pt idx="227">
                  <c:v>1943485.8389107157</c:v>
                </c:pt>
                <c:pt idx="228">
                  <c:v>1943485.8389107157</c:v>
                </c:pt>
                <c:pt idx="229">
                  <c:v>1943485.8389107157</c:v>
                </c:pt>
                <c:pt idx="230">
                  <c:v>1943485.8389107157</c:v>
                </c:pt>
                <c:pt idx="231">
                  <c:v>1943485.8389107157</c:v>
                </c:pt>
                <c:pt idx="232">
                  <c:v>1943485.8389107157</c:v>
                </c:pt>
                <c:pt idx="233">
                  <c:v>1943485.8389107157</c:v>
                </c:pt>
                <c:pt idx="234">
                  <c:v>1943485.8389107157</c:v>
                </c:pt>
                <c:pt idx="235">
                  <c:v>1943485.8389107157</c:v>
                </c:pt>
                <c:pt idx="236">
                  <c:v>1943485.8389107157</c:v>
                </c:pt>
                <c:pt idx="237">
                  <c:v>1943485.8389107157</c:v>
                </c:pt>
                <c:pt idx="238">
                  <c:v>1943485.8389107157</c:v>
                </c:pt>
                <c:pt idx="239">
                  <c:v>1943485.8389107157</c:v>
                </c:pt>
                <c:pt idx="240">
                  <c:v>1943485.8389107157</c:v>
                </c:pt>
                <c:pt idx="241">
                  <c:v>1943485.8389107157</c:v>
                </c:pt>
                <c:pt idx="242">
                  <c:v>1943485.8389107157</c:v>
                </c:pt>
                <c:pt idx="243">
                  <c:v>1943485.8389107157</c:v>
                </c:pt>
                <c:pt idx="244">
                  <c:v>1943485.8389107157</c:v>
                </c:pt>
                <c:pt idx="245">
                  <c:v>1943485.8389107157</c:v>
                </c:pt>
                <c:pt idx="246">
                  <c:v>1943485.8389107157</c:v>
                </c:pt>
                <c:pt idx="247">
                  <c:v>1943485.8389107157</c:v>
                </c:pt>
                <c:pt idx="248">
                  <c:v>1943485.8389107157</c:v>
                </c:pt>
                <c:pt idx="249">
                  <c:v>1943485.8389107157</c:v>
                </c:pt>
                <c:pt idx="250">
                  <c:v>1943485.8389107157</c:v>
                </c:pt>
                <c:pt idx="251">
                  <c:v>1943485.8389107157</c:v>
                </c:pt>
                <c:pt idx="252">
                  <c:v>1943485.8389107157</c:v>
                </c:pt>
                <c:pt idx="253">
                  <c:v>1943485.8389107157</c:v>
                </c:pt>
                <c:pt idx="254">
                  <c:v>1943485.8389107157</c:v>
                </c:pt>
                <c:pt idx="255">
                  <c:v>1943485.8389107157</c:v>
                </c:pt>
                <c:pt idx="256">
                  <c:v>1943485.8389107157</c:v>
                </c:pt>
                <c:pt idx="257">
                  <c:v>1943485.8389107157</c:v>
                </c:pt>
                <c:pt idx="258">
                  <c:v>1943485.8389107157</c:v>
                </c:pt>
                <c:pt idx="259">
                  <c:v>1943485.8389107157</c:v>
                </c:pt>
                <c:pt idx="260">
                  <c:v>1943485.8389107157</c:v>
                </c:pt>
                <c:pt idx="261">
                  <c:v>1943485.8389107157</c:v>
                </c:pt>
                <c:pt idx="262">
                  <c:v>1943485.8389107157</c:v>
                </c:pt>
                <c:pt idx="263">
                  <c:v>1943485.8389107157</c:v>
                </c:pt>
                <c:pt idx="264">
                  <c:v>1943485.8389107157</c:v>
                </c:pt>
                <c:pt idx="265">
                  <c:v>1943485.8389107157</c:v>
                </c:pt>
                <c:pt idx="266">
                  <c:v>1943485.8389107157</c:v>
                </c:pt>
                <c:pt idx="267">
                  <c:v>1943485.8389107157</c:v>
                </c:pt>
                <c:pt idx="268">
                  <c:v>1943485.8389107157</c:v>
                </c:pt>
                <c:pt idx="269">
                  <c:v>1943485.8389107157</c:v>
                </c:pt>
                <c:pt idx="270">
                  <c:v>1943485.8389107157</c:v>
                </c:pt>
                <c:pt idx="271">
                  <c:v>1943485.8389107157</c:v>
                </c:pt>
                <c:pt idx="272">
                  <c:v>1943485.8389107157</c:v>
                </c:pt>
                <c:pt idx="273">
                  <c:v>1943485.8389107157</c:v>
                </c:pt>
                <c:pt idx="274">
                  <c:v>1943485.8389107157</c:v>
                </c:pt>
                <c:pt idx="275">
                  <c:v>1943485.8389107157</c:v>
                </c:pt>
                <c:pt idx="276">
                  <c:v>1943485.8389107157</c:v>
                </c:pt>
                <c:pt idx="277">
                  <c:v>1943485.8389107157</c:v>
                </c:pt>
                <c:pt idx="278">
                  <c:v>1943485.8389107157</c:v>
                </c:pt>
                <c:pt idx="279">
                  <c:v>1943485.8389107157</c:v>
                </c:pt>
                <c:pt idx="280">
                  <c:v>1943485.8389107157</c:v>
                </c:pt>
                <c:pt idx="281">
                  <c:v>1943485.8389107157</c:v>
                </c:pt>
                <c:pt idx="282">
                  <c:v>1943485.8389107157</c:v>
                </c:pt>
                <c:pt idx="283">
                  <c:v>1943485.8389107157</c:v>
                </c:pt>
                <c:pt idx="284">
                  <c:v>1943485.8389107157</c:v>
                </c:pt>
                <c:pt idx="285">
                  <c:v>1943485.8389107157</c:v>
                </c:pt>
                <c:pt idx="286">
                  <c:v>1943485.8389107157</c:v>
                </c:pt>
                <c:pt idx="287">
                  <c:v>1943485.8389107157</c:v>
                </c:pt>
                <c:pt idx="288">
                  <c:v>1943485.8389107157</c:v>
                </c:pt>
                <c:pt idx="289">
                  <c:v>1943485.8389107157</c:v>
                </c:pt>
                <c:pt idx="290">
                  <c:v>1943485.8389107157</c:v>
                </c:pt>
                <c:pt idx="291">
                  <c:v>1943485.8389107157</c:v>
                </c:pt>
                <c:pt idx="292">
                  <c:v>1943485.8389107157</c:v>
                </c:pt>
                <c:pt idx="293">
                  <c:v>1943485.8389107157</c:v>
                </c:pt>
                <c:pt idx="294">
                  <c:v>1943485.8389107157</c:v>
                </c:pt>
                <c:pt idx="295">
                  <c:v>1943485.8389107157</c:v>
                </c:pt>
                <c:pt idx="296">
                  <c:v>1943485.8389107157</c:v>
                </c:pt>
                <c:pt idx="297">
                  <c:v>1943485.8389107157</c:v>
                </c:pt>
                <c:pt idx="298">
                  <c:v>1943485.8389107157</c:v>
                </c:pt>
                <c:pt idx="299">
                  <c:v>1943485.8389107157</c:v>
                </c:pt>
                <c:pt idx="300">
                  <c:v>1943485.8389107157</c:v>
                </c:pt>
                <c:pt idx="301">
                  <c:v>1943485.8389107157</c:v>
                </c:pt>
                <c:pt idx="302">
                  <c:v>1943485.8389107157</c:v>
                </c:pt>
                <c:pt idx="303">
                  <c:v>1943485.8389107157</c:v>
                </c:pt>
                <c:pt idx="304">
                  <c:v>1943485.8389107157</c:v>
                </c:pt>
                <c:pt idx="305">
                  <c:v>1943485.8389107157</c:v>
                </c:pt>
                <c:pt idx="306">
                  <c:v>1943485.8389107157</c:v>
                </c:pt>
                <c:pt idx="307">
                  <c:v>1943485.8389107157</c:v>
                </c:pt>
                <c:pt idx="308">
                  <c:v>1943485.8389107157</c:v>
                </c:pt>
                <c:pt idx="309">
                  <c:v>1943485.8389107157</c:v>
                </c:pt>
                <c:pt idx="310">
                  <c:v>1943485.8389107157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8238773.7599999998</c:v>
                </c:pt>
                <c:pt idx="62">
                  <c:v>8238773.7599999998</c:v>
                </c:pt>
                <c:pt idx="63">
                  <c:v>9940581.7599999998</c:v>
                </c:pt>
                <c:pt idx="64">
                  <c:v>9940581.7599999998</c:v>
                </c:pt>
                <c:pt idx="65">
                  <c:v>9940581.7599999998</c:v>
                </c:pt>
                <c:pt idx="66">
                  <c:v>9940581.7599999998</c:v>
                </c:pt>
                <c:pt idx="67">
                  <c:v>9940581.7599999998</c:v>
                </c:pt>
                <c:pt idx="68">
                  <c:v>9940581.7599999998</c:v>
                </c:pt>
                <c:pt idx="69">
                  <c:v>10428343.76</c:v>
                </c:pt>
                <c:pt idx="70">
                  <c:v>10428343.76</c:v>
                </c:pt>
                <c:pt idx="71">
                  <c:v>10428343.76</c:v>
                </c:pt>
                <c:pt idx="72">
                  <c:v>10428343.76</c:v>
                </c:pt>
                <c:pt idx="73">
                  <c:v>10428343.76</c:v>
                </c:pt>
                <c:pt idx="74">
                  <c:v>10428343.76</c:v>
                </c:pt>
                <c:pt idx="75">
                  <c:v>10428343.76</c:v>
                </c:pt>
                <c:pt idx="76">
                  <c:v>10428343.76</c:v>
                </c:pt>
                <c:pt idx="77">
                  <c:v>10428343.76</c:v>
                </c:pt>
                <c:pt idx="78">
                  <c:v>10428343.76</c:v>
                </c:pt>
                <c:pt idx="79">
                  <c:v>10428343.76</c:v>
                </c:pt>
                <c:pt idx="80">
                  <c:v>10428343.76</c:v>
                </c:pt>
                <c:pt idx="81">
                  <c:v>10428343.76</c:v>
                </c:pt>
                <c:pt idx="82">
                  <c:v>10428343.76</c:v>
                </c:pt>
                <c:pt idx="83">
                  <c:v>10428343.76</c:v>
                </c:pt>
                <c:pt idx="84">
                  <c:v>10428343.76</c:v>
                </c:pt>
                <c:pt idx="85">
                  <c:v>10428343.76</c:v>
                </c:pt>
                <c:pt idx="86">
                  <c:v>10428343.76</c:v>
                </c:pt>
                <c:pt idx="87">
                  <c:v>10428343.76</c:v>
                </c:pt>
                <c:pt idx="88">
                  <c:v>10428343.76</c:v>
                </c:pt>
                <c:pt idx="89">
                  <c:v>10428343.76</c:v>
                </c:pt>
                <c:pt idx="90">
                  <c:v>10428343.76</c:v>
                </c:pt>
                <c:pt idx="91">
                  <c:v>10428343.76</c:v>
                </c:pt>
                <c:pt idx="92">
                  <c:v>10428343.76</c:v>
                </c:pt>
                <c:pt idx="93">
                  <c:v>10428343.76</c:v>
                </c:pt>
                <c:pt idx="94">
                  <c:v>10428343.76</c:v>
                </c:pt>
                <c:pt idx="95">
                  <c:v>10428343.76</c:v>
                </c:pt>
                <c:pt idx="96">
                  <c:v>10428343.76</c:v>
                </c:pt>
                <c:pt idx="97">
                  <c:v>10428343.76</c:v>
                </c:pt>
                <c:pt idx="98">
                  <c:v>10428343.76</c:v>
                </c:pt>
                <c:pt idx="99">
                  <c:v>10428343.76</c:v>
                </c:pt>
                <c:pt idx="100">
                  <c:v>10428343.76</c:v>
                </c:pt>
                <c:pt idx="101">
                  <c:v>10428343.76</c:v>
                </c:pt>
                <c:pt idx="102">
                  <c:v>10428343.76</c:v>
                </c:pt>
                <c:pt idx="103">
                  <c:v>10428343.76</c:v>
                </c:pt>
                <c:pt idx="104">
                  <c:v>10428343.76</c:v>
                </c:pt>
                <c:pt idx="105">
                  <c:v>10428343.76</c:v>
                </c:pt>
                <c:pt idx="106">
                  <c:v>10428343.76</c:v>
                </c:pt>
                <c:pt idx="107">
                  <c:v>10428343.76</c:v>
                </c:pt>
                <c:pt idx="108">
                  <c:v>10428343.76</c:v>
                </c:pt>
                <c:pt idx="109">
                  <c:v>10428343.76</c:v>
                </c:pt>
                <c:pt idx="110">
                  <c:v>10428343.76</c:v>
                </c:pt>
                <c:pt idx="111">
                  <c:v>10428343.76</c:v>
                </c:pt>
                <c:pt idx="112">
                  <c:v>10428343.76</c:v>
                </c:pt>
                <c:pt idx="113">
                  <c:v>10428343.76</c:v>
                </c:pt>
                <c:pt idx="114">
                  <c:v>10428343.76</c:v>
                </c:pt>
                <c:pt idx="115">
                  <c:v>10428343.76</c:v>
                </c:pt>
                <c:pt idx="116">
                  <c:v>10428343.76</c:v>
                </c:pt>
                <c:pt idx="117">
                  <c:v>10428343.76</c:v>
                </c:pt>
                <c:pt idx="118">
                  <c:v>10428343.76</c:v>
                </c:pt>
                <c:pt idx="119">
                  <c:v>10428343.76</c:v>
                </c:pt>
                <c:pt idx="120">
                  <c:v>10428343.76</c:v>
                </c:pt>
                <c:pt idx="121">
                  <c:v>10428343.76</c:v>
                </c:pt>
                <c:pt idx="122">
                  <c:v>10428343.76</c:v>
                </c:pt>
                <c:pt idx="123">
                  <c:v>10428343.76</c:v>
                </c:pt>
                <c:pt idx="124">
                  <c:v>10428343.76</c:v>
                </c:pt>
                <c:pt idx="125">
                  <c:v>10428343.76</c:v>
                </c:pt>
                <c:pt idx="126">
                  <c:v>10428343.76</c:v>
                </c:pt>
                <c:pt idx="127">
                  <c:v>10428343.76</c:v>
                </c:pt>
                <c:pt idx="128">
                  <c:v>10428343.76</c:v>
                </c:pt>
                <c:pt idx="129">
                  <c:v>10428343.76</c:v>
                </c:pt>
                <c:pt idx="130">
                  <c:v>10428343.76</c:v>
                </c:pt>
                <c:pt idx="131">
                  <c:v>10428343.76</c:v>
                </c:pt>
                <c:pt idx="132">
                  <c:v>10428343.76</c:v>
                </c:pt>
                <c:pt idx="133">
                  <c:v>10428343.76</c:v>
                </c:pt>
                <c:pt idx="134">
                  <c:v>10428343.76</c:v>
                </c:pt>
                <c:pt idx="135">
                  <c:v>10428343.76</c:v>
                </c:pt>
                <c:pt idx="136">
                  <c:v>10428343.76</c:v>
                </c:pt>
                <c:pt idx="137">
                  <c:v>10428343.76</c:v>
                </c:pt>
                <c:pt idx="138">
                  <c:v>10428343.76</c:v>
                </c:pt>
                <c:pt idx="139">
                  <c:v>10428343.76</c:v>
                </c:pt>
                <c:pt idx="140">
                  <c:v>10428343.76</c:v>
                </c:pt>
                <c:pt idx="141">
                  <c:v>10428343.76</c:v>
                </c:pt>
                <c:pt idx="142">
                  <c:v>10428343.76</c:v>
                </c:pt>
                <c:pt idx="143">
                  <c:v>10428343.76</c:v>
                </c:pt>
                <c:pt idx="144">
                  <c:v>10428343.76</c:v>
                </c:pt>
                <c:pt idx="145">
                  <c:v>10428343.76</c:v>
                </c:pt>
                <c:pt idx="146">
                  <c:v>10428343.76</c:v>
                </c:pt>
                <c:pt idx="147">
                  <c:v>10428343.76</c:v>
                </c:pt>
                <c:pt idx="148">
                  <c:v>10428343.76</c:v>
                </c:pt>
                <c:pt idx="149">
                  <c:v>10428343.76</c:v>
                </c:pt>
                <c:pt idx="150">
                  <c:v>10428343.76</c:v>
                </c:pt>
                <c:pt idx="151">
                  <c:v>10428343.76</c:v>
                </c:pt>
                <c:pt idx="152">
                  <c:v>10428343.76</c:v>
                </c:pt>
                <c:pt idx="153">
                  <c:v>10428343.76</c:v>
                </c:pt>
                <c:pt idx="154">
                  <c:v>10428343.76</c:v>
                </c:pt>
                <c:pt idx="155">
                  <c:v>10428343.76</c:v>
                </c:pt>
                <c:pt idx="156">
                  <c:v>10428343.76</c:v>
                </c:pt>
                <c:pt idx="157">
                  <c:v>10428343.76</c:v>
                </c:pt>
                <c:pt idx="158">
                  <c:v>10428343.76</c:v>
                </c:pt>
                <c:pt idx="159">
                  <c:v>10428343.76</c:v>
                </c:pt>
                <c:pt idx="160">
                  <c:v>10428343.76</c:v>
                </c:pt>
                <c:pt idx="161">
                  <c:v>10428343.76</c:v>
                </c:pt>
                <c:pt idx="162">
                  <c:v>10428343.76</c:v>
                </c:pt>
                <c:pt idx="163">
                  <c:v>10428343.76</c:v>
                </c:pt>
                <c:pt idx="164">
                  <c:v>10428343.76</c:v>
                </c:pt>
                <c:pt idx="165">
                  <c:v>10428343.76</c:v>
                </c:pt>
                <c:pt idx="166">
                  <c:v>10428343.76</c:v>
                </c:pt>
                <c:pt idx="167">
                  <c:v>10428343.76</c:v>
                </c:pt>
                <c:pt idx="168">
                  <c:v>10428343.76</c:v>
                </c:pt>
                <c:pt idx="169">
                  <c:v>10428343.76</c:v>
                </c:pt>
                <c:pt idx="170">
                  <c:v>10428343.76</c:v>
                </c:pt>
                <c:pt idx="171">
                  <c:v>10428343.76</c:v>
                </c:pt>
                <c:pt idx="172">
                  <c:v>10428343.76</c:v>
                </c:pt>
                <c:pt idx="173">
                  <c:v>10428343.76</c:v>
                </c:pt>
                <c:pt idx="174">
                  <c:v>10428343.76</c:v>
                </c:pt>
                <c:pt idx="175">
                  <c:v>10428343.76</c:v>
                </c:pt>
                <c:pt idx="176">
                  <c:v>10428343.76</c:v>
                </c:pt>
                <c:pt idx="177">
                  <c:v>10428343.76</c:v>
                </c:pt>
                <c:pt idx="178">
                  <c:v>10428343.76</c:v>
                </c:pt>
                <c:pt idx="179">
                  <c:v>10428343.76</c:v>
                </c:pt>
                <c:pt idx="180">
                  <c:v>10428343.76</c:v>
                </c:pt>
                <c:pt idx="181">
                  <c:v>10428343.76</c:v>
                </c:pt>
                <c:pt idx="182">
                  <c:v>10428343.76</c:v>
                </c:pt>
                <c:pt idx="183">
                  <c:v>10428343.76</c:v>
                </c:pt>
                <c:pt idx="184">
                  <c:v>10428343.76</c:v>
                </c:pt>
                <c:pt idx="185">
                  <c:v>10428343.76</c:v>
                </c:pt>
                <c:pt idx="186">
                  <c:v>10428343.76</c:v>
                </c:pt>
                <c:pt idx="187">
                  <c:v>10428343.76</c:v>
                </c:pt>
                <c:pt idx="188">
                  <c:v>10428343.76</c:v>
                </c:pt>
                <c:pt idx="189">
                  <c:v>10428343.76</c:v>
                </c:pt>
                <c:pt idx="190">
                  <c:v>10428343.76</c:v>
                </c:pt>
                <c:pt idx="191">
                  <c:v>10428343.76</c:v>
                </c:pt>
                <c:pt idx="192">
                  <c:v>10428343.76</c:v>
                </c:pt>
                <c:pt idx="193">
                  <c:v>10428343.76</c:v>
                </c:pt>
                <c:pt idx="194">
                  <c:v>10428343.76</c:v>
                </c:pt>
                <c:pt idx="195">
                  <c:v>10428343.76</c:v>
                </c:pt>
                <c:pt idx="196">
                  <c:v>10428343.76</c:v>
                </c:pt>
                <c:pt idx="197">
                  <c:v>10428343.76</c:v>
                </c:pt>
                <c:pt idx="198">
                  <c:v>10428343.76</c:v>
                </c:pt>
                <c:pt idx="199">
                  <c:v>10428343.76</c:v>
                </c:pt>
                <c:pt idx="200">
                  <c:v>10428343.76</c:v>
                </c:pt>
                <c:pt idx="201">
                  <c:v>10428343.76</c:v>
                </c:pt>
                <c:pt idx="202">
                  <c:v>10428343.76</c:v>
                </c:pt>
                <c:pt idx="203">
                  <c:v>10428343.76</c:v>
                </c:pt>
                <c:pt idx="204">
                  <c:v>10428343.76</c:v>
                </c:pt>
                <c:pt idx="205">
                  <c:v>10428343.76</c:v>
                </c:pt>
                <c:pt idx="206">
                  <c:v>10428343.76</c:v>
                </c:pt>
                <c:pt idx="207">
                  <c:v>10428343.76</c:v>
                </c:pt>
                <c:pt idx="208">
                  <c:v>10428343.76</c:v>
                </c:pt>
                <c:pt idx="209">
                  <c:v>10428343.76</c:v>
                </c:pt>
                <c:pt idx="210">
                  <c:v>10428343.76</c:v>
                </c:pt>
                <c:pt idx="211">
                  <c:v>10428343.76</c:v>
                </c:pt>
                <c:pt idx="212">
                  <c:v>10428343.76</c:v>
                </c:pt>
                <c:pt idx="213">
                  <c:v>10428343.76</c:v>
                </c:pt>
                <c:pt idx="214">
                  <c:v>10428343.76</c:v>
                </c:pt>
                <c:pt idx="215">
                  <c:v>10428343.76</c:v>
                </c:pt>
                <c:pt idx="216">
                  <c:v>10428343.76</c:v>
                </c:pt>
                <c:pt idx="217">
                  <c:v>10428343.76</c:v>
                </c:pt>
                <c:pt idx="218">
                  <c:v>10428343.76</c:v>
                </c:pt>
                <c:pt idx="219">
                  <c:v>10428343.76</c:v>
                </c:pt>
                <c:pt idx="220">
                  <c:v>10428343.76</c:v>
                </c:pt>
                <c:pt idx="221">
                  <c:v>10428343.76</c:v>
                </c:pt>
                <c:pt idx="222">
                  <c:v>10428343.76</c:v>
                </c:pt>
                <c:pt idx="223">
                  <c:v>10428343.76</c:v>
                </c:pt>
                <c:pt idx="224">
                  <c:v>10428343.76</c:v>
                </c:pt>
                <c:pt idx="225">
                  <c:v>10428343.76</c:v>
                </c:pt>
                <c:pt idx="226">
                  <c:v>10428343.76</c:v>
                </c:pt>
                <c:pt idx="227">
                  <c:v>10428343.76</c:v>
                </c:pt>
                <c:pt idx="228">
                  <c:v>10428343.76</c:v>
                </c:pt>
                <c:pt idx="229">
                  <c:v>10428343.76</c:v>
                </c:pt>
                <c:pt idx="230">
                  <c:v>10428343.76</c:v>
                </c:pt>
                <c:pt idx="231">
                  <c:v>10428343.76</c:v>
                </c:pt>
                <c:pt idx="232">
                  <c:v>10428343.76</c:v>
                </c:pt>
                <c:pt idx="233">
                  <c:v>10428343.76</c:v>
                </c:pt>
                <c:pt idx="234">
                  <c:v>10428343.76</c:v>
                </c:pt>
                <c:pt idx="235">
                  <c:v>10428343.76</c:v>
                </c:pt>
                <c:pt idx="236">
                  <c:v>10428343.76</c:v>
                </c:pt>
                <c:pt idx="237">
                  <c:v>10428343.76</c:v>
                </c:pt>
                <c:pt idx="238">
                  <c:v>10428343.76</c:v>
                </c:pt>
                <c:pt idx="239">
                  <c:v>10428343.76</c:v>
                </c:pt>
                <c:pt idx="240">
                  <c:v>10428343.76</c:v>
                </c:pt>
                <c:pt idx="241">
                  <c:v>10428343.76</c:v>
                </c:pt>
                <c:pt idx="242">
                  <c:v>10428343.76</c:v>
                </c:pt>
                <c:pt idx="243">
                  <c:v>10428343.76</c:v>
                </c:pt>
                <c:pt idx="244">
                  <c:v>10428343.76</c:v>
                </c:pt>
                <c:pt idx="245">
                  <c:v>10428343.76</c:v>
                </c:pt>
                <c:pt idx="246">
                  <c:v>10428343.76</c:v>
                </c:pt>
                <c:pt idx="247">
                  <c:v>10428343.76</c:v>
                </c:pt>
                <c:pt idx="248">
                  <c:v>10428343.76</c:v>
                </c:pt>
                <c:pt idx="249">
                  <c:v>10428343.76</c:v>
                </c:pt>
                <c:pt idx="250">
                  <c:v>10428343.76</c:v>
                </c:pt>
                <c:pt idx="251">
                  <c:v>10428343.76</c:v>
                </c:pt>
                <c:pt idx="252">
                  <c:v>10428343.76</c:v>
                </c:pt>
                <c:pt idx="253">
                  <c:v>10428343.76</c:v>
                </c:pt>
                <c:pt idx="254">
                  <c:v>10428343.76</c:v>
                </c:pt>
                <c:pt idx="255">
                  <c:v>10428343.76</c:v>
                </c:pt>
                <c:pt idx="256">
                  <c:v>10428343.76</c:v>
                </c:pt>
                <c:pt idx="257">
                  <c:v>10428343.76</c:v>
                </c:pt>
                <c:pt idx="258">
                  <c:v>10428343.76</c:v>
                </c:pt>
                <c:pt idx="259">
                  <c:v>10428343.76</c:v>
                </c:pt>
                <c:pt idx="260">
                  <c:v>10428343.76</c:v>
                </c:pt>
                <c:pt idx="261">
                  <c:v>10428343.76</c:v>
                </c:pt>
                <c:pt idx="262">
                  <c:v>10428343.76</c:v>
                </c:pt>
                <c:pt idx="263">
                  <c:v>10428343.76</c:v>
                </c:pt>
                <c:pt idx="264">
                  <c:v>10428343.76</c:v>
                </c:pt>
                <c:pt idx="265">
                  <c:v>10428343.76</c:v>
                </c:pt>
                <c:pt idx="266">
                  <c:v>10428343.76</c:v>
                </c:pt>
                <c:pt idx="267">
                  <c:v>10428343.76</c:v>
                </c:pt>
                <c:pt idx="268">
                  <c:v>10428343.76</c:v>
                </c:pt>
                <c:pt idx="269">
                  <c:v>10428343.76</c:v>
                </c:pt>
                <c:pt idx="270">
                  <c:v>10428343.76</c:v>
                </c:pt>
                <c:pt idx="271">
                  <c:v>10428343.76</c:v>
                </c:pt>
                <c:pt idx="272">
                  <c:v>10428343.76</c:v>
                </c:pt>
                <c:pt idx="273">
                  <c:v>10428343.76</c:v>
                </c:pt>
                <c:pt idx="274">
                  <c:v>10428343.76</c:v>
                </c:pt>
                <c:pt idx="275">
                  <c:v>10428343.76</c:v>
                </c:pt>
                <c:pt idx="276">
                  <c:v>10428343.76</c:v>
                </c:pt>
                <c:pt idx="277">
                  <c:v>10428343.76</c:v>
                </c:pt>
                <c:pt idx="278">
                  <c:v>10428343.76</c:v>
                </c:pt>
                <c:pt idx="279">
                  <c:v>10428343.76</c:v>
                </c:pt>
                <c:pt idx="280">
                  <c:v>10428343.76</c:v>
                </c:pt>
                <c:pt idx="281">
                  <c:v>10428343.76</c:v>
                </c:pt>
                <c:pt idx="282">
                  <c:v>10428343.76</c:v>
                </c:pt>
                <c:pt idx="283">
                  <c:v>10428343.76</c:v>
                </c:pt>
                <c:pt idx="284">
                  <c:v>10428343.76</c:v>
                </c:pt>
                <c:pt idx="285">
                  <c:v>10428343.76</c:v>
                </c:pt>
                <c:pt idx="286">
                  <c:v>10428343.76</c:v>
                </c:pt>
                <c:pt idx="287">
                  <c:v>10428343.76</c:v>
                </c:pt>
                <c:pt idx="288">
                  <c:v>10428343.76</c:v>
                </c:pt>
                <c:pt idx="289">
                  <c:v>10428343.76</c:v>
                </c:pt>
                <c:pt idx="290">
                  <c:v>10428343.76</c:v>
                </c:pt>
                <c:pt idx="291">
                  <c:v>10428343.76</c:v>
                </c:pt>
                <c:pt idx="292">
                  <c:v>10428343.76</c:v>
                </c:pt>
                <c:pt idx="293">
                  <c:v>10428343.76</c:v>
                </c:pt>
                <c:pt idx="294">
                  <c:v>10428343.76</c:v>
                </c:pt>
                <c:pt idx="295">
                  <c:v>10428343.76</c:v>
                </c:pt>
                <c:pt idx="296">
                  <c:v>10428343.76</c:v>
                </c:pt>
                <c:pt idx="297">
                  <c:v>10428343.76</c:v>
                </c:pt>
                <c:pt idx="298">
                  <c:v>10428343.76</c:v>
                </c:pt>
                <c:pt idx="299">
                  <c:v>10428343.76</c:v>
                </c:pt>
                <c:pt idx="300">
                  <c:v>10428343.76</c:v>
                </c:pt>
                <c:pt idx="301">
                  <c:v>10428343.76</c:v>
                </c:pt>
                <c:pt idx="302">
                  <c:v>10428343.76</c:v>
                </c:pt>
                <c:pt idx="303">
                  <c:v>10428343.76</c:v>
                </c:pt>
                <c:pt idx="304">
                  <c:v>10428343.76</c:v>
                </c:pt>
                <c:pt idx="305">
                  <c:v>10428343.76</c:v>
                </c:pt>
                <c:pt idx="306">
                  <c:v>10428343.76</c:v>
                </c:pt>
                <c:pt idx="307">
                  <c:v>10428343.76</c:v>
                </c:pt>
                <c:pt idx="308">
                  <c:v>10428343.76</c:v>
                </c:pt>
                <c:pt idx="309">
                  <c:v>10428343.76</c:v>
                </c:pt>
                <c:pt idx="310">
                  <c:v>10428343.76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9620</c:v>
                </c:pt>
                <c:pt idx="7">
                  <c:v>9620</c:v>
                </c:pt>
                <c:pt idx="8">
                  <c:v>9620</c:v>
                </c:pt>
                <c:pt idx="9">
                  <c:v>9620</c:v>
                </c:pt>
                <c:pt idx="10">
                  <c:v>9620</c:v>
                </c:pt>
                <c:pt idx="11">
                  <c:v>18639.599999999999</c:v>
                </c:pt>
                <c:pt idx="12">
                  <c:v>18639.599999999999</c:v>
                </c:pt>
                <c:pt idx="13">
                  <c:v>18639.599999999999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774127.85</c:v>
                </c:pt>
                <c:pt idx="42">
                  <c:v>774127.85</c:v>
                </c:pt>
                <c:pt idx="43">
                  <c:v>774127.85</c:v>
                </c:pt>
                <c:pt idx="44">
                  <c:v>932823.77</c:v>
                </c:pt>
                <c:pt idx="45">
                  <c:v>938339.12</c:v>
                </c:pt>
                <c:pt idx="46">
                  <c:v>4201500.1280000005</c:v>
                </c:pt>
                <c:pt idx="47">
                  <c:v>5820122.0780000007</c:v>
                </c:pt>
                <c:pt idx="48">
                  <c:v>5820122.0780000007</c:v>
                </c:pt>
                <c:pt idx="49">
                  <c:v>6215672.7480000006</c:v>
                </c:pt>
                <c:pt idx="50">
                  <c:v>6215672.7480000006</c:v>
                </c:pt>
                <c:pt idx="51">
                  <c:v>6215672.7480000006</c:v>
                </c:pt>
                <c:pt idx="52">
                  <c:v>6231229.6980000008</c:v>
                </c:pt>
                <c:pt idx="53">
                  <c:v>6231229.6980000008</c:v>
                </c:pt>
                <c:pt idx="54">
                  <c:v>6222599.9180000005</c:v>
                </c:pt>
                <c:pt idx="55">
                  <c:v>6602046.2480000006</c:v>
                </c:pt>
                <c:pt idx="56">
                  <c:v>6602046.2480000006</c:v>
                </c:pt>
                <c:pt idx="57">
                  <c:v>6602046.2480000006</c:v>
                </c:pt>
                <c:pt idx="58">
                  <c:v>6625244.2780000009</c:v>
                </c:pt>
                <c:pt idx="59">
                  <c:v>6625244.2780000009</c:v>
                </c:pt>
                <c:pt idx="60">
                  <c:v>6987168.9980000006</c:v>
                </c:pt>
                <c:pt idx="61">
                  <c:v>6987395.3380000005</c:v>
                </c:pt>
                <c:pt idx="62">
                  <c:v>6938233.9380000001</c:v>
                </c:pt>
                <c:pt idx="63">
                  <c:v>7387794.4380000001</c:v>
                </c:pt>
                <c:pt idx="64">
                  <c:v>7390044.4380000001</c:v>
                </c:pt>
                <c:pt idx="65">
                  <c:v>7390044.4380000001</c:v>
                </c:pt>
                <c:pt idx="66">
                  <c:v>7398886.898</c:v>
                </c:pt>
                <c:pt idx="67">
                  <c:v>7492537.358</c:v>
                </c:pt>
                <c:pt idx="68">
                  <c:v>7492537.358</c:v>
                </c:pt>
                <c:pt idx="69">
                  <c:v>7492537.358</c:v>
                </c:pt>
                <c:pt idx="70">
                  <c:v>7622891.6623272402</c:v>
                </c:pt>
                <c:pt idx="71">
                  <c:v>7622891.6623272402</c:v>
                </c:pt>
                <c:pt idx="72">
                  <c:v>7622891.6623272402</c:v>
                </c:pt>
                <c:pt idx="73">
                  <c:v>7622891.6623272402</c:v>
                </c:pt>
                <c:pt idx="74">
                  <c:v>7622891.6623272402</c:v>
                </c:pt>
                <c:pt idx="75">
                  <c:v>7622891.6623272402</c:v>
                </c:pt>
                <c:pt idx="76">
                  <c:v>7622891.6623272402</c:v>
                </c:pt>
                <c:pt idx="77">
                  <c:v>7622891.6623272402</c:v>
                </c:pt>
                <c:pt idx="78">
                  <c:v>7622891.6623272402</c:v>
                </c:pt>
                <c:pt idx="79">
                  <c:v>7622891.6623272402</c:v>
                </c:pt>
                <c:pt idx="80">
                  <c:v>7622891.6623272402</c:v>
                </c:pt>
                <c:pt idx="81">
                  <c:v>7622891.6623272402</c:v>
                </c:pt>
                <c:pt idx="82">
                  <c:v>7622891.6623272402</c:v>
                </c:pt>
                <c:pt idx="83">
                  <c:v>7622891.6623272402</c:v>
                </c:pt>
                <c:pt idx="84">
                  <c:v>7622891.6623272402</c:v>
                </c:pt>
                <c:pt idx="85">
                  <c:v>7622891.6623272402</c:v>
                </c:pt>
                <c:pt idx="86">
                  <c:v>7622891.6623272402</c:v>
                </c:pt>
                <c:pt idx="87">
                  <c:v>7622891.6623272402</c:v>
                </c:pt>
                <c:pt idx="88">
                  <c:v>7622891.6623272402</c:v>
                </c:pt>
                <c:pt idx="89">
                  <c:v>7622891.6623272402</c:v>
                </c:pt>
                <c:pt idx="90">
                  <c:v>7622891.6623272402</c:v>
                </c:pt>
                <c:pt idx="91">
                  <c:v>7622891.6623272402</c:v>
                </c:pt>
                <c:pt idx="92">
                  <c:v>7622891.6623272402</c:v>
                </c:pt>
                <c:pt idx="93">
                  <c:v>7622891.6623272402</c:v>
                </c:pt>
                <c:pt idx="94">
                  <c:v>7622891.6623272402</c:v>
                </c:pt>
                <c:pt idx="95">
                  <c:v>7622891.6623272402</c:v>
                </c:pt>
                <c:pt idx="96">
                  <c:v>7622891.6623272402</c:v>
                </c:pt>
                <c:pt idx="97">
                  <c:v>7622891.6623272402</c:v>
                </c:pt>
                <c:pt idx="98">
                  <c:v>7622891.6623272402</c:v>
                </c:pt>
                <c:pt idx="99">
                  <c:v>7622891.6623272402</c:v>
                </c:pt>
                <c:pt idx="100">
                  <c:v>7622891.6623272402</c:v>
                </c:pt>
                <c:pt idx="101">
                  <c:v>7622891.6623272402</c:v>
                </c:pt>
                <c:pt idx="102">
                  <c:v>7622891.6623272402</c:v>
                </c:pt>
                <c:pt idx="103">
                  <c:v>7622891.6623272402</c:v>
                </c:pt>
                <c:pt idx="104">
                  <c:v>7622891.6623272402</c:v>
                </c:pt>
                <c:pt idx="105">
                  <c:v>7622891.6623272402</c:v>
                </c:pt>
                <c:pt idx="106">
                  <c:v>7622891.6623272402</c:v>
                </c:pt>
                <c:pt idx="107">
                  <c:v>7622891.6623272402</c:v>
                </c:pt>
                <c:pt idx="108">
                  <c:v>7622891.6623272402</c:v>
                </c:pt>
                <c:pt idx="109">
                  <c:v>7622891.6623272402</c:v>
                </c:pt>
                <c:pt idx="110">
                  <c:v>7622891.6623272402</c:v>
                </c:pt>
                <c:pt idx="111">
                  <c:v>7622891.6623272402</c:v>
                </c:pt>
                <c:pt idx="112">
                  <c:v>7622891.6623272402</c:v>
                </c:pt>
                <c:pt idx="113">
                  <c:v>7622891.6623272402</c:v>
                </c:pt>
                <c:pt idx="114">
                  <c:v>7622891.6623272402</c:v>
                </c:pt>
                <c:pt idx="115">
                  <c:v>7622891.6623272402</c:v>
                </c:pt>
                <c:pt idx="116">
                  <c:v>7622891.6623272402</c:v>
                </c:pt>
                <c:pt idx="117">
                  <c:v>7622891.6623272402</c:v>
                </c:pt>
                <c:pt idx="118">
                  <c:v>7622891.6623272402</c:v>
                </c:pt>
                <c:pt idx="119">
                  <c:v>7622891.6623272402</c:v>
                </c:pt>
                <c:pt idx="120">
                  <c:v>7622891.6623272402</c:v>
                </c:pt>
                <c:pt idx="121">
                  <c:v>7622891.6623272402</c:v>
                </c:pt>
                <c:pt idx="122">
                  <c:v>7622891.6623272402</c:v>
                </c:pt>
                <c:pt idx="123">
                  <c:v>7622891.6623272402</c:v>
                </c:pt>
                <c:pt idx="124">
                  <c:v>7622891.6623272402</c:v>
                </c:pt>
                <c:pt idx="125">
                  <c:v>7622891.6623272402</c:v>
                </c:pt>
                <c:pt idx="126">
                  <c:v>7622891.6623272402</c:v>
                </c:pt>
                <c:pt idx="127">
                  <c:v>7622891.6623272402</c:v>
                </c:pt>
                <c:pt idx="128">
                  <c:v>7622891.6623272402</c:v>
                </c:pt>
                <c:pt idx="129">
                  <c:v>7622891.6623272402</c:v>
                </c:pt>
                <c:pt idx="130">
                  <c:v>7622891.6623272402</c:v>
                </c:pt>
                <c:pt idx="131">
                  <c:v>7622891.6623272402</c:v>
                </c:pt>
                <c:pt idx="132">
                  <c:v>7622891.6623272402</c:v>
                </c:pt>
                <c:pt idx="133">
                  <c:v>7622891.6623272402</c:v>
                </c:pt>
                <c:pt idx="134">
                  <c:v>7622891.6623272402</c:v>
                </c:pt>
                <c:pt idx="135">
                  <c:v>7622891.6623272402</c:v>
                </c:pt>
                <c:pt idx="136">
                  <c:v>7622891.6623272402</c:v>
                </c:pt>
                <c:pt idx="137">
                  <c:v>7622891.6623272402</c:v>
                </c:pt>
                <c:pt idx="138">
                  <c:v>7622891.6623272402</c:v>
                </c:pt>
                <c:pt idx="139">
                  <c:v>7622891.6623272402</c:v>
                </c:pt>
                <c:pt idx="140">
                  <c:v>7622891.6623272402</c:v>
                </c:pt>
                <c:pt idx="141">
                  <c:v>7622891.6623272402</c:v>
                </c:pt>
                <c:pt idx="142">
                  <c:v>7622891.6623272402</c:v>
                </c:pt>
                <c:pt idx="143">
                  <c:v>7622891.6623272402</c:v>
                </c:pt>
                <c:pt idx="144">
                  <c:v>7622891.6623272402</c:v>
                </c:pt>
                <c:pt idx="145">
                  <c:v>7622891.6623272402</c:v>
                </c:pt>
                <c:pt idx="146">
                  <c:v>7622891.6623272402</c:v>
                </c:pt>
                <c:pt idx="147">
                  <c:v>7622891.6623272402</c:v>
                </c:pt>
                <c:pt idx="148">
                  <c:v>7622891.6623272402</c:v>
                </c:pt>
                <c:pt idx="149">
                  <c:v>7622891.6623272402</c:v>
                </c:pt>
                <c:pt idx="150">
                  <c:v>7622891.6623272402</c:v>
                </c:pt>
                <c:pt idx="151">
                  <c:v>7622891.6623272402</c:v>
                </c:pt>
                <c:pt idx="152">
                  <c:v>7622891.6623272402</c:v>
                </c:pt>
                <c:pt idx="153">
                  <c:v>7622891.6623272402</c:v>
                </c:pt>
                <c:pt idx="154">
                  <c:v>7622891.6623272402</c:v>
                </c:pt>
                <c:pt idx="155">
                  <c:v>7622891.6623272402</c:v>
                </c:pt>
                <c:pt idx="156">
                  <c:v>7622891.6623272402</c:v>
                </c:pt>
                <c:pt idx="157">
                  <c:v>7622891.6623272402</c:v>
                </c:pt>
                <c:pt idx="158">
                  <c:v>7622891.6623272402</c:v>
                </c:pt>
                <c:pt idx="159">
                  <c:v>7622891.6623272402</c:v>
                </c:pt>
                <c:pt idx="160">
                  <c:v>7622891.6623272402</c:v>
                </c:pt>
                <c:pt idx="161">
                  <c:v>7622891.6623272402</c:v>
                </c:pt>
                <c:pt idx="162">
                  <c:v>7622891.6623272402</c:v>
                </c:pt>
                <c:pt idx="163">
                  <c:v>7622891.6623272402</c:v>
                </c:pt>
                <c:pt idx="164">
                  <c:v>7622891.6623272402</c:v>
                </c:pt>
                <c:pt idx="165">
                  <c:v>7622891.6623272402</c:v>
                </c:pt>
                <c:pt idx="166">
                  <c:v>7622891.6623272402</c:v>
                </c:pt>
                <c:pt idx="167">
                  <c:v>7622891.6623272402</c:v>
                </c:pt>
                <c:pt idx="168">
                  <c:v>7622891.6623272402</c:v>
                </c:pt>
                <c:pt idx="169">
                  <c:v>7622891.6623272402</c:v>
                </c:pt>
                <c:pt idx="170">
                  <c:v>7622891.6623272402</c:v>
                </c:pt>
                <c:pt idx="171">
                  <c:v>7622891.6623272402</c:v>
                </c:pt>
                <c:pt idx="172">
                  <c:v>7622891.6623272402</c:v>
                </c:pt>
                <c:pt idx="173">
                  <c:v>7622891.6623272402</c:v>
                </c:pt>
                <c:pt idx="174">
                  <c:v>7622891.6623272402</c:v>
                </c:pt>
                <c:pt idx="175">
                  <c:v>7622891.6623272402</c:v>
                </c:pt>
                <c:pt idx="176">
                  <c:v>7622891.6623272402</c:v>
                </c:pt>
                <c:pt idx="177">
                  <c:v>7622891.6623272402</c:v>
                </c:pt>
                <c:pt idx="178">
                  <c:v>7622891.6623272402</c:v>
                </c:pt>
                <c:pt idx="179">
                  <c:v>7622891.6623272402</c:v>
                </c:pt>
                <c:pt idx="180">
                  <c:v>7622891.6623272402</c:v>
                </c:pt>
                <c:pt idx="181">
                  <c:v>7622891.6623272402</c:v>
                </c:pt>
                <c:pt idx="182">
                  <c:v>7622891.6623272402</c:v>
                </c:pt>
                <c:pt idx="183">
                  <c:v>7622891.6623272402</c:v>
                </c:pt>
                <c:pt idx="184">
                  <c:v>7622891.6623272402</c:v>
                </c:pt>
                <c:pt idx="185">
                  <c:v>7622891.6623272402</c:v>
                </c:pt>
                <c:pt idx="186">
                  <c:v>7622891.6623272402</c:v>
                </c:pt>
                <c:pt idx="187">
                  <c:v>7622891.6623272402</c:v>
                </c:pt>
                <c:pt idx="188">
                  <c:v>7622891.6623272402</c:v>
                </c:pt>
                <c:pt idx="189">
                  <c:v>7622891.6623272402</c:v>
                </c:pt>
                <c:pt idx="190">
                  <c:v>7622891.6623272402</c:v>
                </c:pt>
                <c:pt idx="191">
                  <c:v>7622891.6623272402</c:v>
                </c:pt>
                <c:pt idx="192">
                  <c:v>7622891.6623272402</c:v>
                </c:pt>
                <c:pt idx="193">
                  <c:v>7622891.6623272402</c:v>
                </c:pt>
                <c:pt idx="194">
                  <c:v>7622891.6623272402</c:v>
                </c:pt>
                <c:pt idx="195">
                  <c:v>7622891.6623272402</c:v>
                </c:pt>
                <c:pt idx="196">
                  <c:v>7622891.6623272402</c:v>
                </c:pt>
                <c:pt idx="197">
                  <c:v>7622891.6623272402</c:v>
                </c:pt>
                <c:pt idx="198">
                  <c:v>7622891.6623272402</c:v>
                </c:pt>
                <c:pt idx="199">
                  <c:v>7622891.6623272402</c:v>
                </c:pt>
                <c:pt idx="200">
                  <c:v>7622891.6623272402</c:v>
                </c:pt>
                <c:pt idx="201">
                  <c:v>7622891.6623272402</c:v>
                </c:pt>
                <c:pt idx="202">
                  <c:v>7622891.6623272402</c:v>
                </c:pt>
                <c:pt idx="203">
                  <c:v>7622891.6623272402</c:v>
                </c:pt>
                <c:pt idx="204">
                  <c:v>7622891.6623272402</c:v>
                </c:pt>
                <c:pt idx="205">
                  <c:v>7622891.6623272402</c:v>
                </c:pt>
                <c:pt idx="206">
                  <c:v>7622891.6623272402</c:v>
                </c:pt>
                <c:pt idx="207">
                  <c:v>7622891.6623272402</c:v>
                </c:pt>
                <c:pt idx="208">
                  <c:v>7622891.6623272402</c:v>
                </c:pt>
                <c:pt idx="209">
                  <c:v>7622891.6623272402</c:v>
                </c:pt>
                <c:pt idx="210">
                  <c:v>7622891.6623272402</c:v>
                </c:pt>
                <c:pt idx="211">
                  <c:v>7622891.6623272402</c:v>
                </c:pt>
                <c:pt idx="212">
                  <c:v>7622891.6623272402</c:v>
                </c:pt>
                <c:pt idx="213">
                  <c:v>7622891.6623272402</c:v>
                </c:pt>
                <c:pt idx="214">
                  <c:v>7622891.6623272402</c:v>
                </c:pt>
                <c:pt idx="215">
                  <c:v>7622891.6623272402</c:v>
                </c:pt>
                <c:pt idx="216">
                  <c:v>7622891.6623272402</c:v>
                </c:pt>
                <c:pt idx="217">
                  <c:v>7622891.6623272402</c:v>
                </c:pt>
                <c:pt idx="218">
                  <c:v>7622891.6623272402</c:v>
                </c:pt>
                <c:pt idx="219">
                  <c:v>7622891.6623272402</c:v>
                </c:pt>
                <c:pt idx="220">
                  <c:v>7622891.6623272402</c:v>
                </c:pt>
                <c:pt idx="221">
                  <c:v>7622891.6623272402</c:v>
                </c:pt>
                <c:pt idx="222">
                  <c:v>7622891.6623272402</c:v>
                </c:pt>
                <c:pt idx="223">
                  <c:v>7622891.6623272402</c:v>
                </c:pt>
                <c:pt idx="224">
                  <c:v>7622891.6623272402</c:v>
                </c:pt>
                <c:pt idx="225">
                  <c:v>7622891.6623272402</c:v>
                </c:pt>
                <c:pt idx="226">
                  <c:v>7622891.6623272402</c:v>
                </c:pt>
                <c:pt idx="227">
                  <c:v>7622891.6623272402</c:v>
                </c:pt>
                <c:pt idx="228">
                  <c:v>7622891.6623272402</c:v>
                </c:pt>
                <c:pt idx="229">
                  <c:v>7622891.6623272402</c:v>
                </c:pt>
                <c:pt idx="230">
                  <c:v>7622891.6623272402</c:v>
                </c:pt>
                <c:pt idx="231">
                  <c:v>7622891.6623272402</c:v>
                </c:pt>
                <c:pt idx="232">
                  <c:v>7622891.6623272402</c:v>
                </c:pt>
                <c:pt idx="233">
                  <c:v>7622891.6623272402</c:v>
                </c:pt>
                <c:pt idx="234">
                  <c:v>7622891.6623272402</c:v>
                </c:pt>
                <c:pt idx="235">
                  <c:v>7622891.6623272402</c:v>
                </c:pt>
                <c:pt idx="236">
                  <c:v>7622891.6623272402</c:v>
                </c:pt>
                <c:pt idx="237">
                  <c:v>7622891.6623272402</c:v>
                </c:pt>
                <c:pt idx="238">
                  <c:v>7622891.6623272402</c:v>
                </c:pt>
                <c:pt idx="239">
                  <c:v>7622891.6623272402</c:v>
                </c:pt>
                <c:pt idx="240">
                  <c:v>7622891.6623272402</c:v>
                </c:pt>
                <c:pt idx="241">
                  <c:v>7622891.6623272402</c:v>
                </c:pt>
                <c:pt idx="242">
                  <c:v>7622891.6623272402</c:v>
                </c:pt>
                <c:pt idx="243">
                  <c:v>7622891.6623272402</c:v>
                </c:pt>
                <c:pt idx="244">
                  <c:v>7622891.6623272402</c:v>
                </c:pt>
                <c:pt idx="245">
                  <c:v>7622891.6623272402</c:v>
                </c:pt>
                <c:pt idx="246">
                  <c:v>7622891.6623272402</c:v>
                </c:pt>
                <c:pt idx="247">
                  <c:v>7622891.6623272402</c:v>
                </c:pt>
                <c:pt idx="248">
                  <c:v>7622891.6623272402</c:v>
                </c:pt>
                <c:pt idx="249">
                  <c:v>7622891.6623272402</c:v>
                </c:pt>
                <c:pt idx="250">
                  <c:v>7622891.6623272402</c:v>
                </c:pt>
                <c:pt idx="251">
                  <c:v>7622891.6623272402</c:v>
                </c:pt>
                <c:pt idx="252">
                  <c:v>7622891.6623272402</c:v>
                </c:pt>
                <c:pt idx="253">
                  <c:v>7622891.6623272402</c:v>
                </c:pt>
                <c:pt idx="254">
                  <c:v>7622891.6623272402</c:v>
                </c:pt>
                <c:pt idx="255">
                  <c:v>7622891.6623272402</c:v>
                </c:pt>
                <c:pt idx="256">
                  <c:v>7622891.6623272402</c:v>
                </c:pt>
                <c:pt idx="257">
                  <c:v>7622891.6623272402</c:v>
                </c:pt>
                <c:pt idx="258">
                  <c:v>7622891.6623272402</c:v>
                </c:pt>
                <c:pt idx="259">
                  <c:v>7622891.6623272402</c:v>
                </c:pt>
                <c:pt idx="260">
                  <c:v>7622891.6623272402</c:v>
                </c:pt>
                <c:pt idx="261">
                  <c:v>7622891.6623272402</c:v>
                </c:pt>
                <c:pt idx="262">
                  <c:v>7622891.6623272402</c:v>
                </c:pt>
                <c:pt idx="263">
                  <c:v>7622891.6623272402</c:v>
                </c:pt>
                <c:pt idx="264">
                  <c:v>7622891.6623272402</c:v>
                </c:pt>
                <c:pt idx="265">
                  <c:v>7622891.6623272402</c:v>
                </c:pt>
                <c:pt idx="266">
                  <c:v>7622891.6623272402</c:v>
                </c:pt>
                <c:pt idx="267">
                  <c:v>7622891.6623272402</c:v>
                </c:pt>
                <c:pt idx="268">
                  <c:v>7622891.6623272402</c:v>
                </c:pt>
                <c:pt idx="269">
                  <c:v>7622891.6623272402</c:v>
                </c:pt>
                <c:pt idx="270">
                  <c:v>7622891.6623272402</c:v>
                </c:pt>
                <c:pt idx="271">
                  <c:v>7622891.6623272402</c:v>
                </c:pt>
                <c:pt idx="272">
                  <c:v>7622891.6623272402</c:v>
                </c:pt>
                <c:pt idx="273">
                  <c:v>7622891.6623272402</c:v>
                </c:pt>
                <c:pt idx="274">
                  <c:v>7622891.6623272402</c:v>
                </c:pt>
                <c:pt idx="275">
                  <c:v>7622891.6623272402</c:v>
                </c:pt>
                <c:pt idx="276">
                  <c:v>7622891.6623272402</c:v>
                </c:pt>
                <c:pt idx="277">
                  <c:v>7622891.6623272402</c:v>
                </c:pt>
                <c:pt idx="278">
                  <c:v>7622891.6623272402</c:v>
                </c:pt>
                <c:pt idx="279">
                  <c:v>7622891.6623272402</c:v>
                </c:pt>
                <c:pt idx="280">
                  <c:v>7622891.6623272402</c:v>
                </c:pt>
                <c:pt idx="281">
                  <c:v>7622891.6623272402</c:v>
                </c:pt>
                <c:pt idx="282">
                  <c:v>7622891.6623272402</c:v>
                </c:pt>
                <c:pt idx="283">
                  <c:v>7622891.6623272402</c:v>
                </c:pt>
                <c:pt idx="284">
                  <c:v>7622891.6623272402</c:v>
                </c:pt>
                <c:pt idx="285">
                  <c:v>7622891.6623272402</c:v>
                </c:pt>
                <c:pt idx="286">
                  <c:v>7622891.6623272402</c:v>
                </c:pt>
                <c:pt idx="287">
                  <c:v>7622891.6623272402</c:v>
                </c:pt>
                <c:pt idx="288">
                  <c:v>7622891.6623272402</c:v>
                </c:pt>
                <c:pt idx="289">
                  <c:v>7622891.6623272402</c:v>
                </c:pt>
                <c:pt idx="290">
                  <c:v>7622891.6623272402</c:v>
                </c:pt>
                <c:pt idx="291">
                  <c:v>7622891.6623272402</c:v>
                </c:pt>
                <c:pt idx="292">
                  <c:v>7622891.6623272402</c:v>
                </c:pt>
                <c:pt idx="293">
                  <c:v>7622891.6623272402</c:v>
                </c:pt>
                <c:pt idx="294">
                  <c:v>7622891.6623272402</c:v>
                </c:pt>
                <c:pt idx="295">
                  <c:v>7622891.6623272402</c:v>
                </c:pt>
                <c:pt idx="296">
                  <c:v>7622891.6623272402</c:v>
                </c:pt>
                <c:pt idx="297">
                  <c:v>7622891.6623272402</c:v>
                </c:pt>
                <c:pt idx="298">
                  <c:v>7622891.6623272402</c:v>
                </c:pt>
                <c:pt idx="299">
                  <c:v>7622891.6623272402</c:v>
                </c:pt>
                <c:pt idx="300">
                  <c:v>7622891.6623272402</c:v>
                </c:pt>
                <c:pt idx="301">
                  <c:v>7622891.6623272402</c:v>
                </c:pt>
                <c:pt idx="302">
                  <c:v>7622891.6623272402</c:v>
                </c:pt>
                <c:pt idx="303">
                  <c:v>7622891.6623272402</c:v>
                </c:pt>
                <c:pt idx="304">
                  <c:v>7622891.6623272402</c:v>
                </c:pt>
                <c:pt idx="305">
                  <c:v>7622891.6623272402</c:v>
                </c:pt>
                <c:pt idx="306">
                  <c:v>7622891.6623272402</c:v>
                </c:pt>
                <c:pt idx="307">
                  <c:v>7622891.6623272402</c:v>
                </c:pt>
                <c:pt idx="308">
                  <c:v>7622891.6623272402</c:v>
                </c:pt>
                <c:pt idx="309">
                  <c:v>7622891.6623272402</c:v>
                </c:pt>
                <c:pt idx="310">
                  <c:v>7622891.6623272402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-9620</c:v>
                </c:pt>
                <c:pt idx="7">
                  <c:v>-9620</c:v>
                </c:pt>
                <c:pt idx="8">
                  <c:v>-9620</c:v>
                </c:pt>
                <c:pt idx="9">
                  <c:v>-9620</c:v>
                </c:pt>
                <c:pt idx="10">
                  <c:v>-9620</c:v>
                </c:pt>
                <c:pt idx="11">
                  <c:v>-18639.599999999999</c:v>
                </c:pt>
                <c:pt idx="12">
                  <c:v>-18639.599999999999</c:v>
                </c:pt>
                <c:pt idx="13">
                  <c:v>-18639.599999999999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-774127.85</c:v>
                </c:pt>
                <c:pt idx="42">
                  <c:v>-774127.85</c:v>
                </c:pt>
                <c:pt idx="43">
                  <c:v>-774127.85</c:v>
                </c:pt>
                <c:pt idx="44">
                  <c:v>-932823.77</c:v>
                </c:pt>
                <c:pt idx="45">
                  <c:v>2068263.2599999998</c:v>
                </c:pt>
                <c:pt idx="46">
                  <c:v>1811704.6319999993</c:v>
                </c:pt>
                <c:pt idx="47">
                  <c:v>193082.6819999991</c:v>
                </c:pt>
                <c:pt idx="48">
                  <c:v>193082.6819999991</c:v>
                </c:pt>
                <c:pt idx="49">
                  <c:v>-202467.98800000083</c:v>
                </c:pt>
                <c:pt idx="50">
                  <c:v>-202467.98800000083</c:v>
                </c:pt>
                <c:pt idx="51">
                  <c:v>2023101.0119999992</c:v>
                </c:pt>
                <c:pt idx="52">
                  <c:v>2007544.061999999</c:v>
                </c:pt>
                <c:pt idx="53">
                  <c:v>2007544.061999999</c:v>
                </c:pt>
                <c:pt idx="54">
                  <c:v>2016173.8419999992</c:v>
                </c:pt>
                <c:pt idx="55">
                  <c:v>1636727.5119999992</c:v>
                </c:pt>
                <c:pt idx="56">
                  <c:v>1636727.5119999992</c:v>
                </c:pt>
                <c:pt idx="57">
                  <c:v>1636727.5119999992</c:v>
                </c:pt>
                <c:pt idx="58">
                  <c:v>1613529.4819999989</c:v>
                </c:pt>
                <c:pt idx="59">
                  <c:v>1613529.4819999989</c:v>
                </c:pt>
                <c:pt idx="60">
                  <c:v>1251604.7619999992</c:v>
                </c:pt>
                <c:pt idx="61">
                  <c:v>1251378.4219999993</c:v>
                </c:pt>
                <c:pt idx="62">
                  <c:v>1300539.8219999997</c:v>
                </c:pt>
                <c:pt idx="63">
                  <c:v>2552787.3219999997</c:v>
                </c:pt>
                <c:pt idx="64">
                  <c:v>2550537.3219999997</c:v>
                </c:pt>
                <c:pt idx="65">
                  <c:v>2550537.3219999997</c:v>
                </c:pt>
                <c:pt idx="66">
                  <c:v>2541694.8619999997</c:v>
                </c:pt>
                <c:pt idx="67">
                  <c:v>2448044.4019999998</c:v>
                </c:pt>
                <c:pt idx="68">
                  <c:v>2448044.4019999998</c:v>
                </c:pt>
                <c:pt idx="69">
                  <c:v>2935806.4019999998</c:v>
                </c:pt>
                <c:pt idx="70">
                  <c:v>2805452.0976727596</c:v>
                </c:pt>
                <c:pt idx="71">
                  <c:v>2805452.0976727596</c:v>
                </c:pt>
                <c:pt idx="72">
                  <c:v>2805452.0976727596</c:v>
                </c:pt>
                <c:pt idx="73">
                  <c:v>2805452.0976727596</c:v>
                </c:pt>
                <c:pt idx="74">
                  <c:v>2805452.0976727596</c:v>
                </c:pt>
                <c:pt idx="75">
                  <c:v>2805452.0976727596</c:v>
                </c:pt>
                <c:pt idx="76">
                  <c:v>2805452.0976727596</c:v>
                </c:pt>
                <c:pt idx="77">
                  <c:v>2805452.0976727596</c:v>
                </c:pt>
                <c:pt idx="78">
                  <c:v>2805452.0976727596</c:v>
                </c:pt>
                <c:pt idx="79">
                  <c:v>2805452.0976727596</c:v>
                </c:pt>
                <c:pt idx="80">
                  <c:v>2805452.0976727596</c:v>
                </c:pt>
                <c:pt idx="81">
                  <c:v>2805452.0976727596</c:v>
                </c:pt>
                <c:pt idx="82">
                  <c:v>2805452.0976727596</c:v>
                </c:pt>
                <c:pt idx="83">
                  <c:v>2805452.0976727596</c:v>
                </c:pt>
                <c:pt idx="84">
                  <c:v>2805452.0976727596</c:v>
                </c:pt>
                <c:pt idx="85">
                  <c:v>2805452.0976727596</c:v>
                </c:pt>
                <c:pt idx="86">
                  <c:v>2805452.0976727596</c:v>
                </c:pt>
                <c:pt idx="87">
                  <c:v>2805452.0976727596</c:v>
                </c:pt>
                <c:pt idx="88">
                  <c:v>2805452.0976727596</c:v>
                </c:pt>
                <c:pt idx="89">
                  <c:v>2805452.0976727596</c:v>
                </c:pt>
                <c:pt idx="90">
                  <c:v>2805452.0976727596</c:v>
                </c:pt>
                <c:pt idx="91">
                  <c:v>2805452.0976727596</c:v>
                </c:pt>
                <c:pt idx="92">
                  <c:v>2805452.0976727596</c:v>
                </c:pt>
                <c:pt idx="93">
                  <c:v>2805452.0976727596</c:v>
                </c:pt>
                <c:pt idx="94">
                  <c:v>2805452.0976727596</c:v>
                </c:pt>
                <c:pt idx="95">
                  <c:v>2805452.0976727596</c:v>
                </c:pt>
                <c:pt idx="96">
                  <c:v>2805452.0976727596</c:v>
                </c:pt>
                <c:pt idx="97">
                  <c:v>2805452.0976727596</c:v>
                </c:pt>
                <c:pt idx="98">
                  <c:v>2805452.0976727596</c:v>
                </c:pt>
                <c:pt idx="99">
                  <c:v>2805452.0976727596</c:v>
                </c:pt>
                <c:pt idx="100">
                  <c:v>2805452.0976727596</c:v>
                </c:pt>
                <c:pt idx="101">
                  <c:v>2805452.0976727596</c:v>
                </c:pt>
                <c:pt idx="102">
                  <c:v>2805452.0976727596</c:v>
                </c:pt>
                <c:pt idx="103">
                  <c:v>2805452.0976727596</c:v>
                </c:pt>
                <c:pt idx="104">
                  <c:v>2805452.0976727596</c:v>
                </c:pt>
                <c:pt idx="105">
                  <c:v>2805452.0976727596</c:v>
                </c:pt>
                <c:pt idx="106">
                  <c:v>2805452.0976727596</c:v>
                </c:pt>
                <c:pt idx="107">
                  <c:v>2805452.0976727596</c:v>
                </c:pt>
                <c:pt idx="108">
                  <c:v>2805452.0976727596</c:v>
                </c:pt>
                <c:pt idx="109">
                  <c:v>2805452.0976727596</c:v>
                </c:pt>
                <c:pt idx="110">
                  <c:v>2805452.0976727596</c:v>
                </c:pt>
                <c:pt idx="111">
                  <c:v>2805452.0976727596</c:v>
                </c:pt>
                <c:pt idx="112">
                  <c:v>2805452.0976727596</c:v>
                </c:pt>
                <c:pt idx="113">
                  <c:v>2805452.0976727596</c:v>
                </c:pt>
                <c:pt idx="114">
                  <c:v>2805452.0976727596</c:v>
                </c:pt>
                <c:pt idx="115">
                  <c:v>2805452.0976727596</c:v>
                </c:pt>
                <c:pt idx="116">
                  <c:v>2805452.0976727596</c:v>
                </c:pt>
                <c:pt idx="117">
                  <c:v>2805452.0976727596</c:v>
                </c:pt>
                <c:pt idx="118">
                  <c:v>2805452.0976727596</c:v>
                </c:pt>
                <c:pt idx="119">
                  <c:v>2805452.0976727596</c:v>
                </c:pt>
                <c:pt idx="120">
                  <c:v>2805452.0976727596</c:v>
                </c:pt>
                <c:pt idx="121">
                  <c:v>2805452.0976727596</c:v>
                </c:pt>
                <c:pt idx="122">
                  <c:v>2805452.0976727596</c:v>
                </c:pt>
                <c:pt idx="123">
                  <c:v>2805452.0976727596</c:v>
                </c:pt>
                <c:pt idx="124">
                  <c:v>2805452.0976727596</c:v>
                </c:pt>
                <c:pt idx="125">
                  <c:v>2805452.0976727596</c:v>
                </c:pt>
                <c:pt idx="126">
                  <c:v>2805452.0976727596</c:v>
                </c:pt>
                <c:pt idx="127">
                  <c:v>2805452.0976727596</c:v>
                </c:pt>
                <c:pt idx="128">
                  <c:v>2805452.0976727596</c:v>
                </c:pt>
                <c:pt idx="129">
                  <c:v>2805452.0976727596</c:v>
                </c:pt>
                <c:pt idx="130">
                  <c:v>2805452.0976727596</c:v>
                </c:pt>
                <c:pt idx="131">
                  <c:v>2805452.0976727596</c:v>
                </c:pt>
                <c:pt idx="132">
                  <c:v>2805452.0976727596</c:v>
                </c:pt>
                <c:pt idx="133">
                  <c:v>2805452.0976727596</c:v>
                </c:pt>
                <c:pt idx="134">
                  <c:v>2805452.0976727596</c:v>
                </c:pt>
                <c:pt idx="135">
                  <c:v>2805452.0976727596</c:v>
                </c:pt>
                <c:pt idx="136">
                  <c:v>2805452.0976727596</c:v>
                </c:pt>
                <c:pt idx="137">
                  <c:v>2805452.0976727596</c:v>
                </c:pt>
                <c:pt idx="138">
                  <c:v>2805452.0976727596</c:v>
                </c:pt>
                <c:pt idx="139">
                  <c:v>2805452.0976727596</c:v>
                </c:pt>
                <c:pt idx="140">
                  <c:v>2805452.0976727596</c:v>
                </c:pt>
                <c:pt idx="141">
                  <c:v>2805452.0976727596</c:v>
                </c:pt>
                <c:pt idx="142">
                  <c:v>2805452.0976727596</c:v>
                </c:pt>
                <c:pt idx="143">
                  <c:v>2805452.0976727596</c:v>
                </c:pt>
                <c:pt idx="144">
                  <c:v>2805452.0976727596</c:v>
                </c:pt>
                <c:pt idx="145">
                  <c:v>2805452.0976727596</c:v>
                </c:pt>
                <c:pt idx="146">
                  <c:v>2805452.0976727596</c:v>
                </c:pt>
                <c:pt idx="147">
                  <c:v>2805452.0976727596</c:v>
                </c:pt>
                <c:pt idx="148">
                  <c:v>2805452.0976727596</c:v>
                </c:pt>
                <c:pt idx="149">
                  <c:v>2805452.0976727596</c:v>
                </c:pt>
                <c:pt idx="150">
                  <c:v>2805452.0976727596</c:v>
                </c:pt>
                <c:pt idx="151">
                  <c:v>2805452.0976727596</c:v>
                </c:pt>
                <c:pt idx="152">
                  <c:v>2805452.0976727596</c:v>
                </c:pt>
                <c:pt idx="153">
                  <c:v>2805452.0976727596</c:v>
                </c:pt>
                <c:pt idx="154">
                  <c:v>2805452.0976727596</c:v>
                </c:pt>
                <c:pt idx="155">
                  <c:v>2805452.0976727596</c:v>
                </c:pt>
                <c:pt idx="156">
                  <c:v>2805452.0976727596</c:v>
                </c:pt>
                <c:pt idx="157">
                  <c:v>2805452.0976727596</c:v>
                </c:pt>
                <c:pt idx="158">
                  <c:v>2805452.0976727596</c:v>
                </c:pt>
                <c:pt idx="159">
                  <c:v>2805452.0976727596</c:v>
                </c:pt>
                <c:pt idx="160">
                  <c:v>2805452.0976727596</c:v>
                </c:pt>
                <c:pt idx="161">
                  <c:v>2805452.0976727596</c:v>
                </c:pt>
                <c:pt idx="162">
                  <c:v>2805452.0976727596</c:v>
                </c:pt>
                <c:pt idx="163">
                  <c:v>2805452.0976727596</c:v>
                </c:pt>
                <c:pt idx="164">
                  <c:v>2805452.0976727596</c:v>
                </c:pt>
                <c:pt idx="165">
                  <c:v>2805452.0976727596</c:v>
                </c:pt>
                <c:pt idx="166">
                  <c:v>2805452.0976727596</c:v>
                </c:pt>
                <c:pt idx="167">
                  <c:v>2805452.0976727596</c:v>
                </c:pt>
                <c:pt idx="168">
                  <c:v>2805452.0976727596</c:v>
                </c:pt>
                <c:pt idx="169">
                  <c:v>2805452.0976727596</c:v>
                </c:pt>
                <c:pt idx="170">
                  <c:v>2805452.0976727596</c:v>
                </c:pt>
                <c:pt idx="171">
                  <c:v>2805452.0976727596</c:v>
                </c:pt>
                <c:pt idx="172">
                  <c:v>2805452.0976727596</c:v>
                </c:pt>
                <c:pt idx="173">
                  <c:v>2805452.0976727596</c:v>
                </c:pt>
                <c:pt idx="174">
                  <c:v>2805452.0976727596</c:v>
                </c:pt>
                <c:pt idx="175">
                  <c:v>2805452.0976727596</c:v>
                </c:pt>
                <c:pt idx="176">
                  <c:v>2805452.0976727596</c:v>
                </c:pt>
                <c:pt idx="177">
                  <c:v>2805452.0976727596</c:v>
                </c:pt>
                <c:pt idx="178">
                  <c:v>2805452.0976727596</c:v>
                </c:pt>
                <c:pt idx="179">
                  <c:v>2805452.0976727596</c:v>
                </c:pt>
                <c:pt idx="180">
                  <c:v>2805452.0976727596</c:v>
                </c:pt>
                <c:pt idx="181">
                  <c:v>2805452.0976727596</c:v>
                </c:pt>
                <c:pt idx="182">
                  <c:v>2805452.0976727596</c:v>
                </c:pt>
                <c:pt idx="183">
                  <c:v>2805452.0976727596</c:v>
                </c:pt>
                <c:pt idx="184">
                  <c:v>2805452.0976727596</c:v>
                </c:pt>
                <c:pt idx="185">
                  <c:v>2805452.0976727596</c:v>
                </c:pt>
                <c:pt idx="186">
                  <c:v>2805452.0976727596</c:v>
                </c:pt>
                <c:pt idx="187">
                  <c:v>2805452.0976727596</c:v>
                </c:pt>
                <c:pt idx="188">
                  <c:v>2805452.0976727596</c:v>
                </c:pt>
                <c:pt idx="189">
                  <c:v>2805452.0976727596</c:v>
                </c:pt>
                <c:pt idx="190">
                  <c:v>2805452.0976727596</c:v>
                </c:pt>
                <c:pt idx="191">
                  <c:v>2805452.0976727596</c:v>
                </c:pt>
                <c:pt idx="192">
                  <c:v>2805452.0976727596</c:v>
                </c:pt>
                <c:pt idx="193">
                  <c:v>2805452.0976727596</c:v>
                </c:pt>
                <c:pt idx="194">
                  <c:v>2805452.0976727596</c:v>
                </c:pt>
                <c:pt idx="195">
                  <c:v>2805452.0976727596</c:v>
                </c:pt>
                <c:pt idx="196">
                  <c:v>2805452.0976727596</c:v>
                </c:pt>
                <c:pt idx="197">
                  <c:v>2805452.0976727596</c:v>
                </c:pt>
                <c:pt idx="198">
                  <c:v>2805452.0976727596</c:v>
                </c:pt>
                <c:pt idx="199">
                  <c:v>2805452.0976727596</c:v>
                </c:pt>
                <c:pt idx="200">
                  <c:v>2805452.0976727596</c:v>
                </c:pt>
                <c:pt idx="201">
                  <c:v>2805452.0976727596</c:v>
                </c:pt>
                <c:pt idx="202">
                  <c:v>2805452.0976727596</c:v>
                </c:pt>
                <c:pt idx="203">
                  <c:v>2805452.0976727596</c:v>
                </c:pt>
                <c:pt idx="204">
                  <c:v>2805452.0976727596</c:v>
                </c:pt>
                <c:pt idx="205">
                  <c:v>2805452.0976727596</c:v>
                </c:pt>
                <c:pt idx="206">
                  <c:v>2805452.0976727596</c:v>
                </c:pt>
                <c:pt idx="207">
                  <c:v>2805452.0976727596</c:v>
                </c:pt>
                <c:pt idx="208">
                  <c:v>2805452.0976727596</c:v>
                </c:pt>
                <c:pt idx="209">
                  <c:v>2805452.0976727596</c:v>
                </c:pt>
                <c:pt idx="210">
                  <c:v>2805452.0976727596</c:v>
                </c:pt>
                <c:pt idx="211">
                  <c:v>2805452.0976727596</c:v>
                </c:pt>
                <c:pt idx="212">
                  <c:v>2805452.0976727596</c:v>
                </c:pt>
                <c:pt idx="213">
                  <c:v>2805452.0976727596</c:v>
                </c:pt>
                <c:pt idx="214">
                  <c:v>2805452.0976727596</c:v>
                </c:pt>
                <c:pt idx="215">
                  <c:v>2805452.0976727596</c:v>
                </c:pt>
                <c:pt idx="216">
                  <c:v>2805452.0976727596</c:v>
                </c:pt>
                <c:pt idx="217">
                  <c:v>2805452.0976727596</c:v>
                </c:pt>
                <c:pt idx="218">
                  <c:v>2805452.0976727596</c:v>
                </c:pt>
                <c:pt idx="219">
                  <c:v>2805452.0976727596</c:v>
                </c:pt>
                <c:pt idx="220">
                  <c:v>2805452.0976727596</c:v>
                </c:pt>
                <c:pt idx="221">
                  <c:v>2805452.0976727596</c:v>
                </c:pt>
                <c:pt idx="222">
                  <c:v>2805452.0976727596</c:v>
                </c:pt>
                <c:pt idx="223">
                  <c:v>2805452.0976727596</c:v>
                </c:pt>
                <c:pt idx="224">
                  <c:v>2805452.0976727596</c:v>
                </c:pt>
                <c:pt idx="225">
                  <c:v>2805452.0976727596</c:v>
                </c:pt>
                <c:pt idx="226">
                  <c:v>2805452.0976727596</c:v>
                </c:pt>
                <c:pt idx="227">
                  <c:v>2805452.0976727596</c:v>
                </c:pt>
                <c:pt idx="228">
                  <c:v>2805452.0976727596</c:v>
                </c:pt>
                <c:pt idx="229">
                  <c:v>2805452.0976727596</c:v>
                </c:pt>
                <c:pt idx="230">
                  <c:v>2805452.0976727596</c:v>
                </c:pt>
                <c:pt idx="231">
                  <c:v>2805452.0976727596</c:v>
                </c:pt>
                <c:pt idx="232">
                  <c:v>2805452.0976727596</c:v>
                </c:pt>
                <c:pt idx="233">
                  <c:v>2805452.0976727596</c:v>
                </c:pt>
                <c:pt idx="234">
                  <c:v>2805452.0976727596</c:v>
                </c:pt>
                <c:pt idx="235">
                  <c:v>2805452.0976727596</c:v>
                </c:pt>
                <c:pt idx="236">
                  <c:v>2805452.0976727596</c:v>
                </c:pt>
                <c:pt idx="237">
                  <c:v>2805452.0976727596</c:v>
                </c:pt>
                <c:pt idx="238">
                  <c:v>2805452.0976727596</c:v>
                </c:pt>
                <c:pt idx="239">
                  <c:v>2805452.0976727596</c:v>
                </c:pt>
                <c:pt idx="240">
                  <c:v>2805452.0976727596</c:v>
                </c:pt>
                <c:pt idx="241">
                  <c:v>2805452.0976727596</c:v>
                </c:pt>
                <c:pt idx="242">
                  <c:v>2805452.0976727596</c:v>
                </c:pt>
                <c:pt idx="243">
                  <c:v>2805452.0976727596</c:v>
                </c:pt>
                <c:pt idx="244">
                  <c:v>2805452.0976727596</c:v>
                </c:pt>
                <c:pt idx="245">
                  <c:v>2805452.0976727596</c:v>
                </c:pt>
                <c:pt idx="246">
                  <c:v>2805452.0976727596</c:v>
                </c:pt>
                <c:pt idx="247">
                  <c:v>2805452.0976727596</c:v>
                </c:pt>
                <c:pt idx="248">
                  <c:v>2805452.0976727596</c:v>
                </c:pt>
                <c:pt idx="249">
                  <c:v>2805452.0976727596</c:v>
                </c:pt>
                <c:pt idx="250">
                  <c:v>2805452.0976727596</c:v>
                </c:pt>
                <c:pt idx="251">
                  <c:v>2805452.0976727596</c:v>
                </c:pt>
                <c:pt idx="252">
                  <c:v>2805452.0976727596</c:v>
                </c:pt>
                <c:pt idx="253">
                  <c:v>2805452.0976727596</c:v>
                </c:pt>
                <c:pt idx="254">
                  <c:v>2805452.0976727596</c:v>
                </c:pt>
                <c:pt idx="255">
                  <c:v>2805452.0976727596</c:v>
                </c:pt>
                <c:pt idx="256">
                  <c:v>2805452.0976727596</c:v>
                </c:pt>
                <c:pt idx="257">
                  <c:v>2805452.0976727596</c:v>
                </c:pt>
                <c:pt idx="258">
                  <c:v>2805452.0976727596</c:v>
                </c:pt>
                <c:pt idx="259">
                  <c:v>2805452.0976727596</c:v>
                </c:pt>
                <c:pt idx="260">
                  <c:v>2805452.0976727596</c:v>
                </c:pt>
                <c:pt idx="261">
                  <c:v>2805452.0976727596</c:v>
                </c:pt>
                <c:pt idx="262">
                  <c:v>2805452.0976727596</c:v>
                </c:pt>
                <c:pt idx="263">
                  <c:v>2805452.0976727596</c:v>
                </c:pt>
                <c:pt idx="264">
                  <c:v>2805452.0976727596</c:v>
                </c:pt>
                <c:pt idx="265">
                  <c:v>2805452.0976727596</c:v>
                </c:pt>
                <c:pt idx="266">
                  <c:v>2805452.0976727596</c:v>
                </c:pt>
                <c:pt idx="267">
                  <c:v>2805452.0976727596</c:v>
                </c:pt>
                <c:pt idx="268">
                  <c:v>2805452.0976727596</c:v>
                </c:pt>
                <c:pt idx="269">
                  <c:v>2805452.0976727596</c:v>
                </c:pt>
                <c:pt idx="270">
                  <c:v>2805452.0976727596</c:v>
                </c:pt>
                <c:pt idx="271">
                  <c:v>2805452.0976727596</c:v>
                </c:pt>
                <c:pt idx="272">
                  <c:v>2805452.0976727596</c:v>
                </c:pt>
                <c:pt idx="273">
                  <c:v>2805452.0976727596</c:v>
                </c:pt>
                <c:pt idx="274">
                  <c:v>2805452.0976727596</c:v>
                </c:pt>
                <c:pt idx="275">
                  <c:v>2805452.0976727596</c:v>
                </c:pt>
                <c:pt idx="276">
                  <c:v>2805452.0976727596</c:v>
                </c:pt>
                <c:pt idx="277">
                  <c:v>2805452.0976727596</c:v>
                </c:pt>
                <c:pt idx="278">
                  <c:v>2805452.0976727596</c:v>
                </c:pt>
                <c:pt idx="279">
                  <c:v>2805452.0976727596</c:v>
                </c:pt>
                <c:pt idx="280">
                  <c:v>2805452.0976727596</c:v>
                </c:pt>
                <c:pt idx="281">
                  <c:v>2805452.0976727596</c:v>
                </c:pt>
                <c:pt idx="282">
                  <c:v>2805452.0976727596</c:v>
                </c:pt>
                <c:pt idx="283">
                  <c:v>2805452.0976727596</c:v>
                </c:pt>
                <c:pt idx="284">
                  <c:v>2805452.0976727596</c:v>
                </c:pt>
                <c:pt idx="285">
                  <c:v>2805452.0976727596</c:v>
                </c:pt>
                <c:pt idx="286">
                  <c:v>2805452.0976727596</c:v>
                </c:pt>
                <c:pt idx="287">
                  <c:v>2805452.0976727596</c:v>
                </c:pt>
                <c:pt idx="288">
                  <c:v>2805452.0976727596</c:v>
                </c:pt>
                <c:pt idx="289">
                  <c:v>2805452.0976727596</c:v>
                </c:pt>
                <c:pt idx="290">
                  <c:v>2805452.0976727596</c:v>
                </c:pt>
                <c:pt idx="291">
                  <c:v>2805452.0976727596</c:v>
                </c:pt>
                <c:pt idx="292">
                  <c:v>2805452.0976727596</c:v>
                </c:pt>
                <c:pt idx="293">
                  <c:v>2805452.0976727596</c:v>
                </c:pt>
                <c:pt idx="294">
                  <c:v>2805452.0976727596</c:v>
                </c:pt>
                <c:pt idx="295">
                  <c:v>2805452.0976727596</c:v>
                </c:pt>
                <c:pt idx="296">
                  <c:v>2805452.0976727596</c:v>
                </c:pt>
                <c:pt idx="297">
                  <c:v>2805452.0976727596</c:v>
                </c:pt>
                <c:pt idx="298">
                  <c:v>2805452.0976727596</c:v>
                </c:pt>
                <c:pt idx="299">
                  <c:v>2805452.0976727596</c:v>
                </c:pt>
                <c:pt idx="300">
                  <c:v>2805452.0976727596</c:v>
                </c:pt>
                <c:pt idx="301">
                  <c:v>2805452.0976727596</c:v>
                </c:pt>
                <c:pt idx="302">
                  <c:v>2805452.0976727596</c:v>
                </c:pt>
                <c:pt idx="303">
                  <c:v>2805452.0976727596</c:v>
                </c:pt>
                <c:pt idx="304">
                  <c:v>2805452.0976727596</c:v>
                </c:pt>
                <c:pt idx="305">
                  <c:v>2805452.0976727596</c:v>
                </c:pt>
                <c:pt idx="306">
                  <c:v>2805452.0976727596</c:v>
                </c:pt>
                <c:pt idx="307">
                  <c:v>2805452.0976727596</c:v>
                </c:pt>
                <c:pt idx="308">
                  <c:v>2805452.0976727596</c:v>
                </c:pt>
                <c:pt idx="309">
                  <c:v>2805452.0976727596</c:v>
                </c:pt>
                <c:pt idx="310">
                  <c:v>2805452.0976727596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9203563.8121947404</c:v>
                </c:pt>
                <c:pt idx="58">
                  <c:v>9203563.8121947404</c:v>
                </c:pt>
                <c:pt idx="59">
                  <c:v>9203563.8121947404</c:v>
                </c:pt>
                <c:pt idx="60">
                  <c:v>9203563.8121947404</c:v>
                </c:pt>
                <c:pt idx="61">
                  <c:v>9203563.8121947404</c:v>
                </c:pt>
                <c:pt idx="62">
                  <c:v>9823625.4100906346</c:v>
                </c:pt>
                <c:pt idx="63">
                  <c:v>9823625.4100906346</c:v>
                </c:pt>
                <c:pt idx="64">
                  <c:v>9823625.4100906346</c:v>
                </c:pt>
                <c:pt idx="65">
                  <c:v>9823625.4100906346</c:v>
                </c:pt>
                <c:pt idx="66">
                  <c:v>10428344.308867402</c:v>
                </c:pt>
                <c:pt idx="67">
                  <c:v>10428344.308867402</c:v>
                </c:pt>
                <c:pt idx="68">
                  <c:v>10428344.308867402</c:v>
                </c:pt>
                <c:pt idx="69">
                  <c:v>10428344.308867402</c:v>
                </c:pt>
                <c:pt idx="70">
                  <c:v>10428344.308867402</c:v>
                </c:pt>
                <c:pt idx="71">
                  <c:v>10428344.308867402</c:v>
                </c:pt>
                <c:pt idx="72">
                  <c:v>10428344.308867402</c:v>
                </c:pt>
                <c:pt idx="73">
                  <c:v>10428344.308867402</c:v>
                </c:pt>
                <c:pt idx="74">
                  <c:v>10428344.308867402</c:v>
                </c:pt>
                <c:pt idx="75">
                  <c:v>10428344.308867402</c:v>
                </c:pt>
                <c:pt idx="76">
                  <c:v>10428344.308867402</c:v>
                </c:pt>
                <c:pt idx="77">
                  <c:v>10428344.308867402</c:v>
                </c:pt>
                <c:pt idx="78">
                  <c:v>10428344.308867402</c:v>
                </c:pt>
                <c:pt idx="79">
                  <c:v>10428344.308867402</c:v>
                </c:pt>
                <c:pt idx="80">
                  <c:v>10428344.308867402</c:v>
                </c:pt>
                <c:pt idx="81">
                  <c:v>10428344.308867402</c:v>
                </c:pt>
                <c:pt idx="82">
                  <c:v>10428344.308867402</c:v>
                </c:pt>
                <c:pt idx="83">
                  <c:v>10428344.308867402</c:v>
                </c:pt>
                <c:pt idx="84">
                  <c:v>10428344.308867402</c:v>
                </c:pt>
                <c:pt idx="85">
                  <c:v>10428344.308867402</c:v>
                </c:pt>
                <c:pt idx="86">
                  <c:v>10428344.308867402</c:v>
                </c:pt>
                <c:pt idx="87">
                  <c:v>10428344.308867402</c:v>
                </c:pt>
                <c:pt idx="88">
                  <c:v>10428344.308867402</c:v>
                </c:pt>
                <c:pt idx="89">
                  <c:v>10428344.308867402</c:v>
                </c:pt>
                <c:pt idx="90">
                  <c:v>10428344.308867402</c:v>
                </c:pt>
                <c:pt idx="91">
                  <c:v>10428344.308867402</c:v>
                </c:pt>
                <c:pt idx="92">
                  <c:v>10428344.308867402</c:v>
                </c:pt>
                <c:pt idx="93">
                  <c:v>10428344.308867402</c:v>
                </c:pt>
                <c:pt idx="94">
                  <c:v>10428344.308867402</c:v>
                </c:pt>
                <c:pt idx="95">
                  <c:v>10428344.308867402</c:v>
                </c:pt>
                <c:pt idx="96">
                  <c:v>10428344.308867402</c:v>
                </c:pt>
                <c:pt idx="97">
                  <c:v>10428344.308867402</c:v>
                </c:pt>
                <c:pt idx="98">
                  <c:v>10428344.308867402</c:v>
                </c:pt>
                <c:pt idx="99">
                  <c:v>10428344.308867402</c:v>
                </c:pt>
                <c:pt idx="100">
                  <c:v>10428344.308867402</c:v>
                </c:pt>
                <c:pt idx="101">
                  <c:v>10428344.308867402</c:v>
                </c:pt>
                <c:pt idx="102">
                  <c:v>10428344.308867402</c:v>
                </c:pt>
                <c:pt idx="103">
                  <c:v>10428344.308867402</c:v>
                </c:pt>
                <c:pt idx="104">
                  <c:v>10428344.308867402</c:v>
                </c:pt>
                <c:pt idx="105">
                  <c:v>10428344.308867402</c:v>
                </c:pt>
                <c:pt idx="106">
                  <c:v>10428344.308867402</c:v>
                </c:pt>
                <c:pt idx="107">
                  <c:v>10428344.308867402</c:v>
                </c:pt>
                <c:pt idx="108">
                  <c:v>10428344.308867402</c:v>
                </c:pt>
                <c:pt idx="109">
                  <c:v>10428344.308867402</c:v>
                </c:pt>
                <c:pt idx="110">
                  <c:v>10428344.308867402</c:v>
                </c:pt>
                <c:pt idx="111">
                  <c:v>10428344.308867402</c:v>
                </c:pt>
                <c:pt idx="112">
                  <c:v>10428344.308867402</c:v>
                </c:pt>
                <c:pt idx="113">
                  <c:v>10428344.308867402</c:v>
                </c:pt>
                <c:pt idx="114">
                  <c:v>10428344.308867402</c:v>
                </c:pt>
                <c:pt idx="115">
                  <c:v>10428344.308867402</c:v>
                </c:pt>
                <c:pt idx="116">
                  <c:v>10428344.308867402</c:v>
                </c:pt>
                <c:pt idx="117">
                  <c:v>10428344.308867402</c:v>
                </c:pt>
                <c:pt idx="118">
                  <c:v>10428344.308867402</c:v>
                </c:pt>
                <c:pt idx="119">
                  <c:v>10428344.308867402</c:v>
                </c:pt>
                <c:pt idx="120">
                  <c:v>10428344.308867402</c:v>
                </c:pt>
                <c:pt idx="121">
                  <c:v>10428344.308867402</c:v>
                </c:pt>
                <c:pt idx="122">
                  <c:v>10428344.308867402</c:v>
                </c:pt>
                <c:pt idx="123">
                  <c:v>10428344.308867402</c:v>
                </c:pt>
                <c:pt idx="124">
                  <c:v>10428344.308867402</c:v>
                </c:pt>
                <c:pt idx="125">
                  <c:v>10428344.308867402</c:v>
                </c:pt>
                <c:pt idx="126">
                  <c:v>10428344.308867402</c:v>
                </c:pt>
                <c:pt idx="127">
                  <c:v>10428344.308867402</c:v>
                </c:pt>
                <c:pt idx="128">
                  <c:v>10428344.308867402</c:v>
                </c:pt>
                <c:pt idx="129">
                  <c:v>10428344.308867402</c:v>
                </c:pt>
                <c:pt idx="130">
                  <c:v>10428344.308867402</c:v>
                </c:pt>
                <c:pt idx="131">
                  <c:v>10428344.308867402</c:v>
                </c:pt>
                <c:pt idx="132">
                  <c:v>10428344.308867402</c:v>
                </c:pt>
                <c:pt idx="133">
                  <c:v>10428344.308867402</c:v>
                </c:pt>
                <c:pt idx="134">
                  <c:v>10428344.308867402</c:v>
                </c:pt>
                <c:pt idx="135">
                  <c:v>10428344.308867402</c:v>
                </c:pt>
                <c:pt idx="136">
                  <c:v>10428344.308867402</c:v>
                </c:pt>
                <c:pt idx="137">
                  <c:v>10428344.308867402</c:v>
                </c:pt>
                <c:pt idx="138">
                  <c:v>10428344.308867402</c:v>
                </c:pt>
                <c:pt idx="139">
                  <c:v>10428344.308867402</c:v>
                </c:pt>
                <c:pt idx="140">
                  <c:v>10428344.308867402</c:v>
                </c:pt>
                <c:pt idx="141">
                  <c:v>10428344.308867402</c:v>
                </c:pt>
                <c:pt idx="142">
                  <c:v>10428344.308867402</c:v>
                </c:pt>
                <c:pt idx="143">
                  <c:v>10428344.308867402</c:v>
                </c:pt>
                <c:pt idx="144">
                  <c:v>10428344.308867402</c:v>
                </c:pt>
                <c:pt idx="145">
                  <c:v>10428344.308867402</c:v>
                </c:pt>
                <c:pt idx="146">
                  <c:v>10428344.308867402</c:v>
                </c:pt>
                <c:pt idx="147">
                  <c:v>10428344.308867402</c:v>
                </c:pt>
                <c:pt idx="148">
                  <c:v>10428344.308867402</c:v>
                </c:pt>
                <c:pt idx="149">
                  <c:v>10428344.308867402</c:v>
                </c:pt>
                <c:pt idx="150">
                  <c:v>10428344.308867402</c:v>
                </c:pt>
                <c:pt idx="151">
                  <c:v>10428344.308867402</c:v>
                </c:pt>
                <c:pt idx="152">
                  <c:v>10428344.308867402</c:v>
                </c:pt>
                <c:pt idx="153">
                  <c:v>10428344.308867402</c:v>
                </c:pt>
                <c:pt idx="154">
                  <c:v>10428344.308867402</c:v>
                </c:pt>
                <c:pt idx="155">
                  <c:v>10428344.308867402</c:v>
                </c:pt>
                <c:pt idx="156">
                  <c:v>10428344.308867402</c:v>
                </c:pt>
                <c:pt idx="157">
                  <c:v>10428344.308867402</c:v>
                </c:pt>
                <c:pt idx="158">
                  <c:v>10428344.308867402</c:v>
                </c:pt>
                <c:pt idx="159">
                  <c:v>10428344.308867402</c:v>
                </c:pt>
                <c:pt idx="160">
                  <c:v>10428344.308867402</c:v>
                </c:pt>
                <c:pt idx="161">
                  <c:v>10428344.308867402</c:v>
                </c:pt>
                <c:pt idx="162">
                  <c:v>10428344.308867402</c:v>
                </c:pt>
                <c:pt idx="163">
                  <c:v>10428344.308867402</c:v>
                </c:pt>
                <c:pt idx="164">
                  <c:v>10428344.308867402</c:v>
                </c:pt>
                <c:pt idx="165">
                  <c:v>10428344.308867402</c:v>
                </c:pt>
                <c:pt idx="166">
                  <c:v>10428344.308867402</c:v>
                </c:pt>
                <c:pt idx="167">
                  <c:v>10428344.308867402</c:v>
                </c:pt>
                <c:pt idx="168">
                  <c:v>10428344.308867402</c:v>
                </c:pt>
                <c:pt idx="169">
                  <c:v>10428344.308867402</c:v>
                </c:pt>
                <c:pt idx="170">
                  <c:v>10428344.308867402</c:v>
                </c:pt>
                <c:pt idx="171">
                  <c:v>10428344.308867402</c:v>
                </c:pt>
                <c:pt idx="172">
                  <c:v>10428344.308867402</c:v>
                </c:pt>
                <c:pt idx="173">
                  <c:v>10428344.308867402</c:v>
                </c:pt>
                <c:pt idx="174">
                  <c:v>10428344.308867402</c:v>
                </c:pt>
                <c:pt idx="175">
                  <c:v>10428344.308867402</c:v>
                </c:pt>
                <c:pt idx="176">
                  <c:v>10428344.308867402</c:v>
                </c:pt>
                <c:pt idx="177">
                  <c:v>10428344.308867402</c:v>
                </c:pt>
                <c:pt idx="178">
                  <c:v>10428344.308867402</c:v>
                </c:pt>
                <c:pt idx="179">
                  <c:v>10428344.308867402</c:v>
                </c:pt>
                <c:pt idx="180">
                  <c:v>10428344.308867402</c:v>
                </c:pt>
                <c:pt idx="181">
                  <c:v>10428344.308867402</c:v>
                </c:pt>
                <c:pt idx="182">
                  <c:v>10428344.308867402</c:v>
                </c:pt>
                <c:pt idx="183">
                  <c:v>10428344.308867402</c:v>
                </c:pt>
                <c:pt idx="184">
                  <c:v>10428344.308867402</c:v>
                </c:pt>
                <c:pt idx="185">
                  <c:v>10428344.308867402</c:v>
                </c:pt>
                <c:pt idx="186">
                  <c:v>10428344.308867402</c:v>
                </c:pt>
                <c:pt idx="187">
                  <c:v>10428344.308867402</c:v>
                </c:pt>
                <c:pt idx="188">
                  <c:v>10428344.308867402</c:v>
                </c:pt>
                <c:pt idx="189">
                  <c:v>10428344.308867402</c:v>
                </c:pt>
                <c:pt idx="190">
                  <c:v>10428344.308867402</c:v>
                </c:pt>
                <c:pt idx="191">
                  <c:v>10428344.308867402</c:v>
                </c:pt>
                <c:pt idx="192">
                  <c:v>10428344.308867402</c:v>
                </c:pt>
                <c:pt idx="193">
                  <c:v>10428344.308867402</c:v>
                </c:pt>
                <c:pt idx="194">
                  <c:v>10428344.308867402</c:v>
                </c:pt>
                <c:pt idx="195">
                  <c:v>10428344.308867402</c:v>
                </c:pt>
                <c:pt idx="196">
                  <c:v>10428344.308867402</c:v>
                </c:pt>
                <c:pt idx="197">
                  <c:v>10428344.308867402</c:v>
                </c:pt>
                <c:pt idx="198">
                  <c:v>10428344.308867402</c:v>
                </c:pt>
                <c:pt idx="199">
                  <c:v>10428344.308867402</c:v>
                </c:pt>
                <c:pt idx="200">
                  <c:v>10428344.308867402</c:v>
                </c:pt>
                <c:pt idx="201">
                  <c:v>10428344.308867402</c:v>
                </c:pt>
                <c:pt idx="202">
                  <c:v>10428344.308867402</c:v>
                </c:pt>
                <c:pt idx="203">
                  <c:v>10428344.308867402</c:v>
                </c:pt>
                <c:pt idx="204">
                  <c:v>10428344.308867402</c:v>
                </c:pt>
                <c:pt idx="205">
                  <c:v>10428344.308867402</c:v>
                </c:pt>
                <c:pt idx="206">
                  <c:v>10428344.308867402</c:v>
                </c:pt>
                <c:pt idx="207">
                  <c:v>10428344.308867402</c:v>
                </c:pt>
                <c:pt idx="208">
                  <c:v>10428344.308867402</c:v>
                </c:pt>
                <c:pt idx="209">
                  <c:v>10428344.308867402</c:v>
                </c:pt>
                <c:pt idx="210">
                  <c:v>10428344.308867402</c:v>
                </c:pt>
                <c:pt idx="211">
                  <c:v>10428344.308867402</c:v>
                </c:pt>
                <c:pt idx="212">
                  <c:v>10428344.308867402</c:v>
                </c:pt>
                <c:pt idx="213">
                  <c:v>10428344.308867402</c:v>
                </c:pt>
                <c:pt idx="214">
                  <c:v>10428344.308867402</c:v>
                </c:pt>
                <c:pt idx="215">
                  <c:v>10428344.308867402</c:v>
                </c:pt>
                <c:pt idx="216">
                  <c:v>10428344.308867402</c:v>
                </c:pt>
                <c:pt idx="217">
                  <c:v>10428344.308867402</c:v>
                </c:pt>
                <c:pt idx="218">
                  <c:v>10428344.308867402</c:v>
                </c:pt>
                <c:pt idx="219">
                  <c:v>10428344.308867402</c:v>
                </c:pt>
                <c:pt idx="220">
                  <c:v>10428344.308867402</c:v>
                </c:pt>
                <c:pt idx="221">
                  <c:v>10428344.308867402</c:v>
                </c:pt>
                <c:pt idx="222">
                  <c:v>10428344.308867402</c:v>
                </c:pt>
                <c:pt idx="223">
                  <c:v>10428344.308867402</c:v>
                </c:pt>
                <c:pt idx="224">
                  <c:v>10428344.308867402</c:v>
                </c:pt>
                <c:pt idx="225">
                  <c:v>10428344.308867402</c:v>
                </c:pt>
                <c:pt idx="226">
                  <c:v>10428344.308867402</c:v>
                </c:pt>
                <c:pt idx="227">
                  <c:v>10428344.308867402</c:v>
                </c:pt>
                <c:pt idx="228">
                  <c:v>10428344.308867402</c:v>
                </c:pt>
                <c:pt idx="229">
                  <c:v>10428344.308867402</c:v>
                </c:pt>
                <c:pt idx="230">
                  <c:v>10428344.308867402</c:v>
                </c:pt>
                <c:pt idx="231">
                  <c:v>10428344.308867402</c:v>
                </c:pt>
                <c:pt idx="232">
                  <c:v>10428344.308867402</c:v>
                </c:pt>
                <c:pt idx="233">
                  <c:v>10428344.308867402</c:v>
                </c:pt>
                <c:pt idx="234">
                  <c:v>10428344.308867402</c:v>
                </c:pt>
                <c:pt idx="235">
                  <c:v>10428344.308867402</c:v>
                </c:pt>
                <c:pt idx="236">
                  <c:v>10428344.308867402</c:v>
                </c:pt>
                <c:pt idx="237">
                  <c:v>10428344.308867402</c:v>
                </c:pt>
                <c:pt idx="238">
                  <c:v>10428344.308867402</c:v>
                </c:pt>
                <c:pt idx="239">
                  <c:v>10428344.308867402</c:v>
                </c:pt>
                <c:pt idx="240">
                  <c:v>10428344.308867402</c:v>
                </c:pt>
                <c:pt idx="241">
                  <c:v>10428344.308867402</c:v>
                </c:pt>
                <c:pt idx="242">
                  <c:v>10428344.308867402</c:v>
                </c:pt>
                <c:pt idx="243">
                  <c:v>10428344.308867402</c:v>
                </c:pt>
                <c:pt idx="244">
                  <c:v>10428344.308867402</c:v>
                </c:pt>
                <c:pt idx="245">
                  <c:v>10428344.308867402</c:v>
                </c:pt>
                <c:pt idx="246">
                  <c:v>10428344.308867402</c:v>
                </c:pt>
                <c:pt idx="247">
                  <c:v>10428344.308867402</c:v>
                </c:pt>
                <c:pt idx="248">
                  <c:v>10428344.308867402</c:v>
                </c:pt>
                <c:pt idx="249">
                  <c:v>10428344.308867402</c:v>
                </c:pt>
                <c:pt idx="250">
                  <c:v>10428344.308867402</c:v>
                </c:pt>
                <c:pt idx="251">
                  <c:v>10428344.308867402</c:v>
                </c:pt>
                <c:pt idx="252">
                  <c:v>10428344.308867402</c:v>
                </c:pt>
                <c:pt idx="253">
                  <c:v>10428344.308867402</c:v>
                </c:pt>
                <c:pt idx="254">
                  <c:v>10428344.308867402</c:v>
                </c:pt>
                <c:pt idx="255">
                  <c:v>10428344.308867402</c:v>
                </c:pt>
                <c:pt idx="256">
                  <c:v>10428344.308867402</c:v>
                </c:pt>
                <c:pt idx="257">
                  <c:v>10428344.308867402</c:v>
                </c:pt>
                <c:pt idx="258">
                  <c:v>10428344.308867402</c:v>
                </c:pt>
                <c:pt idx="259">
                  <c:v>10428344.308867402</c:v>
                </c:pt>
                <c:pt idx="260">
                  <c:v>10428344.308867402</c:v>
                </c:pt>
                <c:pt idx="261">
                  <c:v>10428344.308867402</c:v>
                </c:pt>
                <c:pt idx="262">
                  <c:v>10428344.308867402</c:v>
                </c:pt>
                <c:pt idx="263">
                  <c:v>10428344.308867402</c:v>
                </c:pt>
                <c:pt idx="264">
                  <c:v>10428344.308867402</c:v>
                </c:pt>
                <c:pt idx="265">
                  <c:v>10428344.308867402</c:v>
                </c:pt>
                <c:pt idx="266">
                  <c:v>10428344.308867402</c:v>
                </c:pt>
                <c:pt idx="267">
                  <c:v>10428344.308867402</c:v>
                </c:pt>
                <c:pt idx="268">
                  <c:v>10428344.308867402</c:v>
                </c:pt>
                <c:pt idx="269">
                  <c:v>10428344.308867402</c:v>
                </c:pt>
                <c:pt idx="270">
                  <c:v>10428344.308867402</c:v>
                </c:pt>
                <c:pt idx="271">
                  <c:v>10428344.308867402</c:v>
                </c:pt>
                <c:pt idx="272">
                  <c:v>10428344.308867402</c:v>
                </c:pt>
                <c:pt idx="273">
                  <c:v>10428344.308867402</c:v>
                </c:pt>
                <c:pt idx="274">
                  <c:v>10428344.308867402</c:v>
                </c:pt>
                <c:pt idx="275">
                  <c:v>10428344.308867402</c:v>
                </c:pt>
                <c:pt idx="276">
                  <c:v>10428344.308867402</c:v>
                </c:pt>
                <c:pt idx="277">
                  <c:v>10428344.308867402</c:v>
                </c:pt>
                <c:pt idx="278">
                  <c:v>10428344.308867402</c:v>
                </c:pt>
                <c:pt idx="279">
                  <c:v>10428344.308867402</c:v>
                </c:pt>
                <c:pt idx="280">
                  <c:v>10428344.308867402</c:v>
                </c:pt>
                <c:pt idx="281">
                  <c:v>10428344.308867402</c:v>
                </c:pt>
                <c:pt idx="282">
                  <c:v>10428344.308867402</c:v>
                </c:pt>
                <c:pt idx="283">
                  <c:v>10428344.308867402</c:v>
                </c:pt>
                <c:pt idx="284">
                  <c:v>10428344.308867402</c:v>
                </c:pt>
                <c:pt idx="285">
                  <c:v>10428344.308867402</c:v>
                </c:pt>
                <c:pt idx="286">
                  <c:v>10428344.308867402</c:v>
                </c:pt>
                <c:pt idx="287">
                  <c:v>10428344.308867402</c:v>
                </c:pt>
                <c:pt idx="288">
                  <c:v>10428344.308867402</c:v>
                </c:pt>
                <c:pt idx="289">
                  <c:v>10428344.308867402</c:v>
                </c:pt>
                <c:pt idx="290">
                  <c:v>10428344.308867402</c:v>
                </c:pt>
                <c:pt idx="291">
                  <c:v>10428344.308867402</c:v>
                </c:pt>
                <c:pt idx="292">
                  <c:v>10428344.308867402</c:v>
                </c:pt>
                <c:pt idx="293">
                  <c:v>10428344.308867402</c:v>
                </c:pt>
                <c:pt idx="294">
                  <c:v>10428344.308867402</c:v>
                </c:pt>
                <c:pt idx="295">
                  <c:v>10428344.308867402</c:v>
                </c:pt>
                <c:pt idx="296">
                  <c:v>10428344.308867402</c:v>
                </c:pt>
                <c:pt idx="297">
                  <c:v>10428344.308867402</c:v>
                </c:pt>
                <c:pt idx="298">
                  <c:v>10428344.308867402</c:v>
                </c:pt>
                <c:pt idx="299">
                  <c:v>10428344.308867402</c:v>
                </c:pt>
                <c:pt idx="300">
                  <c:v>10428344.308867402</c:v>
                </c:pt>
                <c:pt idx="301">
                  <c:v>10428344.308867402</c:v>
                </c:pt>
                <c:pt idx="302">
                  <c:v>10428344.308867402</c:v>
                </c:pt>
                <c:pt idx="303">
                  <c:v>10428344.308867402</c:v>
                </c:pt>
                <c:pt idx="304">
                  <c:v>10428344.308867402</c:v>
                </c:pt>
                <c:pt idx="305">
                  <c:v>10428344.308867402</c:v>
                </c:pt>
                <c:pt idx="306">
                  <c:v>10428344.308867402</c:v>
                </c:pt>
                <c:pt idx="307">
                  <c:v>10428344.308867402</c:v>
                </c:pt>
                <c:pt idx="308">
                  <c:v>10428344.308867402</c:v>
                </c:pt>
                <c:pt idx="309">
                  <c:v>10428344.308867402</c:v>
                </c:pt>
                <c:pt idx="310">
                  <c:v>10428344.308867402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63194259259" createdVersion="8" refreshedVersion="8" minRefreshableVersion="3" recordCount="191" xr:uid="{D37A5069-1A2D-4864-A726-735BFBE61275}">
  <cacheSource type="worksheet">
    <worksheetSource ref="L4:X19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1105291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20">
        <m/>
        <d v="2025-10-31T00:00:00"/>
        <s v=""/>
        <d v="2026-01-31T00:00:00"/>
        <d v="2025-11-30T00:00:00"/>
        <d v="2026-02-28T00:00:00"/>
        <d v="2026-04-30T00:00:00"/>
        <d v="2026-03-31T00:00:00"/>
        <d v="2025-12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3.6703422432765365E-2"/>
    </cacheField>
    <cacheField name="FINANCE PAYMENT DATE" numFmtId="0">
      <sharedItems containsNonDate="0" containsDate="1" containsString="0" containsBlank="1" minDate="2025-03-07T00:00:00" maxDate="2026-06-01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3-19T00:00:00"/>
    <m/>
  </r>
  <r>
    <n v="1"/>
    <x v="1"/>
    <s v="Panels and Delivery"/>
    <n v="7"/>
    <m/>
    <n v="10677.4"/>
    <m/>
    <s v="MSA Energy - INV0003541"/>
    <x v="3"/>
    <n v="0"/>
    <m/>
    <d v="2026-03-1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57968.1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XS Clamps - K2"/>
    <m/>
    <m/>
    <n v="2283.6999999999998"/>
    <s v="PO4616-DSHC-20260211 - RV Approved"/>
    <s v="K2 Systems - SAI1382026"/>
    <x v="5"/>
    <n v="0"/>
    <m/>
    <d v="2026-02-06T00:00:00"/>
    <m/>
  </r>
  <r>
    <n v="3"/>
    <x v="3"/>
    <s v="Terragriff (254 clamps short returned) to be deducted from subbie"/>
    <m/>
    <m/>
    <n v="-3737.49"/>
    <m/>
    <m/>
    <x v="6"/>
    <n v="0"/>
    <m/>
    <d v="2026-04-30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-2.546901348978281E-3"/>
    <d v="2025-12-12T00:00:00"/>
    <n v="611190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s v="DC cable moved to De Drift - red"/>
    <n v="-4000"/>
    <n v="13.65"/>
    <n v="-54600"/>
    <m/>
    <s v="Allocated to De Drift"/>
    <x v="7"/>
    <n v="0"/>
    <m/>
    <d v="2026-03-31T00:00:00"/>
    <m/>
  </r>
  <r>
    <n v="4"/>
    <x v="4"/>
    <s v="DC cable moved to De Drift - black "/>
    <n v="-3500"/>
    <n v="13.65"/>
    <n v="-47775"/>
    <m/>
    <s v="Allocated to De Drift"/>
    <x v="7"/>
    <n v="0"/>
    <m/>
    <d v="2026-03-31T00:00:00"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8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3T00:00:00"/>
    <m/>
  </r>
  <r>
    <n v="4"/>
    <x v="4"/>
    <s v="AC Installation Complete"/>
    <m/>
    <n v="2.5000000000000001E-2"/>
    <n v="4241.63"/>
    <m/>
    <s v="JA Electrical Inv 1161"/>
    <x v="5"/>
    <n v="7142.6580022038534"/>
    <m/>
    <d v="2026-03-19T00:00:00"/>
    <m/>
  </r>
  <r>
    <n v="4"/>
    <x v="4"/>
    <s v="DC Installation Complete"/>
    <m/>
    <n v="0.2"/>
    <n v="33933.040000000001"/>
    <m/>
    <s v="JA ElectricalInv 1142"/>
    <x v="8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3T00:00:00"/>
    <m/>
  </r>
  <r>
    <n v="4"/>
    <x v="4"/>
    <s v="DC Installation Complete"/>
    <m/>
    <n v="2.5000000000000001E-2"/>
    <n v="4241.63"/>
    <m/>
    <s v="JA Electrical Inv 1161"/>
    <x v="5"/>
    <n v="7142.6580022038534"/>
    <m/>
    <d v="2026-03-19T00:00:00"/>
    <m/>
  </r>
  <r>
    <n v="4"/>
    <x v="4"/>
    <s v="Commissioning Complete"/>
    <m/>
    <n v="0.1"/>
    <n v="16966.52"/>
    <m/>
    <s v="JA Electrical Inv 1183"/>
    <x v="7"/>
    <n v="18999.412857782685"/>
    <m/>
    <d v="2026-04-09T00:00:00"/>
    <m/>
  </r>
  <r>
    <n v="4"/>
    <x v="4"/>
    <s v="Site De-establisment"/>
    <m/>
    <n v="0.1"/>
    <n v="16966.52"/>
    <m/>
    <s v="JA Electrical Inv 1183"/>
    <x v="7"/>
    <n v="33356.242857782687"/>
    <m/>
    <d v="2026-04-09T00:00:00"/>
    <m/>
  </r>
  <r>
    <n v="4"/>
    <x v="4"/>
    <s v="Handover Document Complete"/>
    <m/>
    <n v="0.05"/>
    <n v="8483.26"/>
    <m/>
    <s v="JA Electrical Inv 1183"/>
    <x v="7"/>
    <n v="16678.121428891343"/>
    <m/>
    <d v="2026-04-09T00:00:00"/>
    <m/>
  </r>
  <r>
    <n v="4"/>
    <x v="4"/>
    <s v="End of Defects Period"/>
    <m/>
    <n v="0.05"/>
    <n v="8483.26"/>
    <m/>
    <m/>
    <x v="6"/>
    <n v="16678.121428891343"/>
    <m/>
    <d v="2026-05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491.6299999999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9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9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9"/>
    <n v="2324.6739935292567"/>
    <m/>
    <d v="2025-08-07T00:00:00"/>
    <m/>
  </r>
  <r>
    <n v="5"/>
    <x v="5"/>
    <s v="Courier of Simcard"/>
    <m/>
    <m/>
    <n v="226.34"/>
    <m/>
    <s v="DSV Inv: 180167184"/>
    <x v="5"/>
    <n v="0"/>
    <m/>
    <d v="2026-03-27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8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3T00:00:00"/>
    <m/>
  </r>
  <r>
    <s v="6."/>
    <x v="6"/>
    <s v="AC Installation Complete"/>
    <m/>
    <n v="2.5000000000000001E-2"/>
    <n v="5787.72"/>
    <m/>
    <s v="JA Electrical Inv 1161"/>
    <x v="5"/>
    <n v="16035.293600882182"/>
    <m/>
    <d v="2026-03-19T00:00:00"/>
    <m/>
  </r>
  <r>
    <n v="6"/>
    <x v="6"/>
    <s v="DC Installation Complete"/>
    <m/>
    <n v="0.2"/>
    <n v="46301.66"/>
    <m/>
    <s v="JA ElectricalInv 1142"/>
    <x v="8"/>
    <n v="128282.07174988119"/>
    <m/>
    <d v="2025-12-12T00:00:00"/>
    <m/>
  </r>
  <r>
    <n v="6"/>
    <x v="6"/>
    <s v="DC Installation Complete"/>
    <m/>
    <n v="2.5000000000000001E-2"/>
    <n v="5787.72"/>
    <m/>
    <s v="JA Electrical Inv 1161"/>
    <x v="5"/>
    <n v="16035.293600882182"/>
    <m/>
    <d v="2026-03-19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3T00:00:00"/>
    <m/>
  </r>
  <r>
    <n v="6"/>
    <x v="6"/>
    <s v="Commissioning Complete"/>
    <m/>
    <n v="0.1"/>
    <n v="23150.880000000001"/>
    <m/>
    <s v="JA Electrical Inv 1183"/>
    <x v="7"/>
    <n v="64141.174403528727"/>
    <m/>
    <d v="2026-04-09T00:00:00"/>
    <m/>
  </r>
  <r>
    <n v="6"/>
    <x v="6"/>
    <s v="Site De-establisment"/>
    <m/>
    <n v="0.1"/>
    <n v="23150.880000000001"/>
    <m/>
    <s v="JA Electrical Inv 1183"/>
    <x v="7"/>
    <n v="64141.174403528727"/>
    <m/>
    <d v="2026-04-09T00:00:00"/>
    <m/>
  </r>
  <r>
    <n v="6"/>
    <x v="6"/>
    <s v="Handover Document Complete"/>
    <m/>
    <n v="0.05"/>
    <n v="11575.44"/>
    <m/>
    <s v="JA Electrical Inv 1183"/>
    <x v="7"/>
    <n v="32070.587201764363"/>
    <m/>
    <d v="2026-04-09T00:00:00"/>
    <m/>
  </r>
  <r>
    <n v="6"/>
    <x v="6"/>
    <s v="End of Defects Period"/>
    <m/>
    <n v="0.05"/>
    <n v="11575.44"/>
    <m/>
    <m/>
    <x v="6"/>
    <n v="32070.587201764363"/>
    <m/>
    <d v="2026-05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s v="Waterpoints"/>
    <m/>
    <m/>
    <n v="20100"/>
    <s v="PO4678-DSHC-20260316 - RV Approved"/>
    <s v="Toys 4 Boys Inv12692"/>
    <x v="7"/>
    <m/>
    <n v="3.5152828204445541E-3"/>
    <d v="2026-03-30T00:00:00"/>
    <n v="312526"/>
  </r>
  <r>
    <n v="8"/>
    <x v="8"/>
    <s v="Call Out Fee"/>
    <m/>
    <m/>
    <n v="600"/>
    <s v="PO4696-DSHC-20260323 - RV Approved"/>
    <m/>
    <x v="6"/>
    <n v="0"/>
    <m/>
    <d v="2026-04-09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8"/>
    <n v="55795.055461193893"/>
    <m/>
    <d v="2026-02-13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3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3.6703422432765365E-2"/>
    <m/>
    <n v="1105291.31"/>
  </r>
  <r>
    <n v="9"/>
    <x v="9"/>
    <s v="Project Kick Off"/>
    <n v="1105291.2"/>
    <n v="0.1"/>
    <n v="110529.12"/>
    <m/>
    <s v="JA Electrical - Inv 1104"/>
    <x v="1"/>
    <n v="120469.60227272725"/>
    <m/>
    <d v="2025-11-06T00:00:00"/>
    <m/>
  </r>
  <r>
    <n v="9"/>
    <x v="9"/>
    <s v="Site Establishment"/>
    <m/>
    <n v="0.15"/>
    <n v="165793.68"/>
    <m/>
    <s v="JA Electrical - Inv 1105"/>
    <x v="1"/>
    <n v="180704.40340909085"/>
    <m/>
    <d v="2025-11-06T00:00:00"/>
    <m/>
  </r>
  <r>
    <n v="9"/>
    <x v="9"/>
    <s v="AC Installation Complete"/>
    <m/>
    <n v="0.1"/>
    <n v="110529.12"/>
    <m/>
    <s v="JA ElectricalInv 1142"/>
    <x v="8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3T00:00:00"/>
    <m/>
  </r>
  <r>
    <n v="9"/>
    <x v="9"/>
    <s v="AC Installation Complete"/>
    <m/>
    <n v="2.5000000000000001E-2"/>
    <n v="27632.31"/>
    <m/>
    <s v="JA Electrical Inv 1161"/>
    <x v="5"/>
    <n v="30117.405745370306"/>
    <m/>
    <d v="2026-03-19T00:00:00"/>
    <m/>
  </r>
  <r>
    <n v="9"/>
    <x v="9"/>
    <s v="DC Installation Complete"/>
    <m/>
    <n v="0.2"/>
    <n v="221058.24"/>
    <m/>
    <s v="JA ElectricalInv 1142"/>
    <x v="8"/>
    <n v="240939.20454545456"/>
    <m/>
    <d v="2025-12-12T00:00:00"/>
    <m/>
  </r>
  <r>
    <n v="9"/>
    <x v="9"/>
    <s v="DC Installation Complete"/>
    <m/>
    <n v="2.5000000000000001E-2"/>
    <n v="27632.28"/>
    <m/>
    <s v="JA Electrical Inv 1156"/>
    <x v="3"/>
    <n v="30117.400295698208"/>
    <m/>
    <d v="2026-02-13T00:00:00"/>
    <m/>
  </r>
  <r>
    <n v="9"/>
    <x v="9"/>
    <s v="DC Installation Complete"/>
    <m/>
    <n v="2.5000000000000001E-2"/>
    <n v="27632.28"/>
    <m/>
    <s v="JA Electrical Inv 1161"/>
    <x v="5"/>
    <n v="30117.400295698208"/>
    <m/>
    <d v="2026-03-19T00:00:00"/>
    <m/>
  </r>
  <r>
    <n v="9"/>
    <x v="9"/>
    <s v="Commissioning Complete"/>
    <m/>
    <n v="0.1"/>
    <n v="110529.12"/>
    <m/>
    <s v="JA Electrical Inv 1183"/>
    <x v="7"/>
    <n v="120469.59028343888"/>
    <m/>
    <d v="2026-04-09T00:00:00"/>
    <m/>
  </r>
  <r>
    <n v="9"/>
    <x v="9"/>
    <s v="Site De-establisment"/>
    <m/>
    <n v="0.1"/>
    <n v="110529.12"/>
    <m/>
    <s v="JA Electrical Inv 1183"/>
    <x v="7"/>
    <n v="120469.59028343888"/>
    <m/>
    <d v="2026-04-09T00:00:00"/>
    <m/>
  </r>
  <r>
    <n v="9"/>
    <x v="9"/>
    <s v="Handover Document Complete"/>
    <m/>
    <n v="0.05"/>
    <n v="55264.56"/>
    <m/>
    <s v="JA Electrical Inv 1183"/>
    <x v="7"/>
    <n v="60234.795141719442"/>
    <m/>
    <d v="2026-04-09T00:00:00"/>
    <m/>
  </r>
  <r>
    <n v="9"/>
    <x v="9"/>
    <s v="End of Defects Period"/>
    <m/>
    <n v="0.05"/>
    <n v="55264.56"/>
    <m/>
    <m/>
    <x v="6"/>
    <n v="60234.795141719442"/>
    <m/>
    <d v="2026-05-0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8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8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3T00:00:00"/>
    <m/>
  </r>
  <r>
    <n v="10"/>
    <x v="10"/>
    <s v="AC Installation Complete"/>
    <m/>
    <n v="2.5000000000000001E-2"/>
    <n v="4913.6000000000004"/>
    <m/>
    <s v="JA Electrical Inv 1161"/>
    <x v="5"/>
    <n v="3403.9638432837701"/>
    <m/>
    <d v="2026-03-19T00:00:00"/>
    <m/>
  </r>
  <r>
    <n v="10"/>
    <x v="10"/>
    <s v="DC Installation Complete"/>
    <m/>
    <n v="0.2"/>
    <n v="39308.699999999997"/>
    <m/>
    <s v="JA ElectricalInv 1142"/>
    <x v="8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3T00:00:00"/>
    <m/>
  </r>
  <r>
    <n v="10"/>
    <x v="10"/>
    <s v="DC Installation Complete"/>
    <m/>
    <n v="2.5000000000000001E-2"/>
    <n v="4913.6000000000004"/>
    <m/>
    <s v="JA Electrical Inv 1161"/>
    <x v="5"/>
    <n v="3403.9638432837701"/>
    <m/>
    <d v="2026-03-19T00:00:00"/>
    <m/>
  </r>
  <r>
    <n v="10"/>
    <x v="10"/>
    <s v="Commissioning Complete"/>
    <m/>
    <n v="0.1"/>
    <n v="19654.400000000001"/>
    <m/>
    <s v="JA Electrical Inv 1183"/>
    <x v="7"/>
    <n v="13615.85537313508"/>
    <m/>
    <d v="2026-04-09T00:00:00"/>
    <m/>
  </r>
  <r>
    <n v="10"/>
    <x v="10"/>
    <s v="Site De-establisment"/>
    <m/>
    <n v="0.1"/>
    <n v="19654.400000000001"/>
    <m/>
    <s v="JA Electrical Inv 1183"/>
    <x v="7"/>
    <n v="13615.85537313508"/>
    <m/>
    <d v="2026-04-09T00:00:00"/>
    <m/>
  </r>
  <r>
    <n v="10"/>
    <x v="10"/>
    <s v="Handover Document Complete"/>
    <m/>
    <n v="0.05"/>
    <n v="9827.2000000000007"/>
    <m/>
    <s v="JA Electrical Inv 1183"/>
    <x v="7"/>
    <n v="6807.9276865675401"/>
    <m/>
    <d v="2026-04-09T00:00:00"/>
    <m/>
  </r>
  <r>
    <n v="10"/>
    <x v="10"/>
    <s v="End of Defects Period"/>
    <m/>
    <n v="0.05"/>
    <n v="9827.2000000000007"/>
    <m/>
    <m/>
    <x v="6"/>
    <n v="6807.9276865675401"/>
    <m/>
    <d v="2026-05-0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9014"/>
    <m/>
    <s v="Sunspot - E045"/>
    <x v="7"/>
    <n v="31175.175941383532"/>
    <n v="-9.7396183991804719E-4"/>
    <d v="2026-04-02T00:00:00"/>
    <n v="147013.6"/>
  </r>
  <r>
    <n v="11"/>
    <x v="11"/>
    <s v="Structural sign off"/>
    <m/>
    <m/>
    <n v="9019.6"/>
    <m/>
    <s v="L &amp; B consulting Inv: 1934"/>
    <x v="9"/>
    <n v="14096.219464915206"/>
    <m/>
    <d v="2025-04-10T00:00:00"/>
    <m/>
  </r>
  <r>
    <n v="11"/>
    <x v="11"/>
    <s v="Site Inspection"/>
    <m/>
    <m/>
    <n v="9620"/>
    <m/>
    <s v="Ace Properties: Inv 3031"/>
    <x v="9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9"/>
    <n v="123406.013657562"/>
    <m/>
    <d v="2025-04-30T00:00:00"/>
    <m/>
  </r>
  <r>
    <n v="11"/>
    <x v="11"/>
    <s v="Red Team - AIG - NOT MATRIARCH"/>
    <m/>
    <m/>
    <n v="19660"/>
    <s v="PO4651-DSHC-20260302 - RV Approved"/>
    <s v="Arefa Isago Group"/>
    <x v="7"/>
    <n v="23120.711913131599"/>
    <m/>
    <d v="2026-03-05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6"/>
    <n v="487762.08457115805"/>
    <n v="0"/>
    <d v="2026-05-31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9"/>
    <n v="16326.887799201642"/>
    <n v="0"/>
    <d v="2025-09-05T00:00:00"/>
    <n v="46227.429999999993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8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s v="Travel"/>
    <m/>
    <m/>
    <n v="3538.03"/>
    <m/>
    <s v="Expense Claim"/>
    <x v="5"/>
    <n v="2330.7654933327599"/>
    <m/>
    <d v="2026-03-05T00:00:00"/>
    <m/>
  </r>
  <r>
    <n v="14"/>
    <x v="14"/>
    <s v="Travel"/>
    <m/>
    <m/>
    <n v="4099.6000000000004"/>
    <m/>
    <s v="Expense Claim"/>
    <x v="7"/>
    <n v="1165.3827466663799"/>
    <m/>
    <d v="2026-04-03T00:00:00"/>
    <m/>
  </r>
  <r>
    <n v="14"/>
    <x v="14"/>
    <m/>
    <m/>
    <m/>
    <n v="8500"/>
    <m/>
    <m/>
    <x v="6"/>
    <n v="1165.3827466663799"/>
    <m/>
    <d v="2026-05-07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Supply and install lightning and comms equipment plus padlocks for Tie-in Kiosk"/>
    <m/>
    <m/>
    <n v="12358.2"/>
    <m/>
    <s v="JA Electrical Inv 1183"/>
    <x v="7"/>
    <m/>
    <n v="0"/>
    <d v="2026-04-09T00:00:00"/>
    <n v="506113.14999999997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8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3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3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s v="JA Electrical Inv 1161"/>
    <x v="5"/>
    <m/>
    <m/>
    <d v="2026-03-19T00:00:00"/>
    <m/>
  </r>
  <r>
    <n v="15"/>
    <x v="15"/>
    <m/>
    <m/>
    <m/>
    <m/>
    <m/>
    <m/>
    <x v="2"/>
    <m/>
    <m/>
    <m/>
    <m/>
  </r>
  <r>
    <n v="15"/>
    <x v="15"/>
    <s v="Supply &amp; Install AC Cable with Kiosks"/>
    <m/>
    <m/>
    <n v="237957.79"/>
    <s v="PO4626-DSHC-20260217 - RV Approved"/>
    <s v="JA Electrical Inv 1161"/>
    <x v="5"/>
    <m/>
    <m/>
    <d v="2026-03-19T00:00:00"/>
    <m/>
  </r>
  <r>
    <n v="15"/>
    <x v="15"/>
    <s v="Waterproof enclosure for fibre equipment"/>
    <m/>
    <m/>
    <n v="2608.69"/>
    <m/>
    <s v="JA Electrical Inv 1161"/>
    <x v="5"/>
    <m/>
    <m/>
    <d v="2026-03-19T00:00:00"/>
    <m/>
  </r>
  <r>
    <n v="15"/>
    <x v="15"/>
    <m/>
    <m/>
    <m/>
    <m/>
    <m/>
    <m/>
    <x v="0"/>
    <m/>
    <m/>
    <m/>
    <m/>
  </r>
  <r>
    <n v="15"/>
    <x v="15"/>
    <s v="SUPPLY AND INSTALL LIGHTING AT INVERTER AREA"/>
    <m/>
    <m/>
    <n v="7653.1"/>
    <s v="PO4710-DSHC-20260330 - RV Approved"/>
    <m/>
    <x v="6"/>
    <m/>
    <m/>
    <d v="2026-04-30T00:00:00"/>
    <m/>
  </r>
  <r>
    <n v="15"/>
    <x v="15"/>
    <s v="SUPPLY AND INSTALL EQUIPMENT FOR COMMS AND METERING"/>
    <m/>
    <m/>
    <n v="3406.5"/>
    <s v="PO4711-DSHC-20260330 - RV Approved"/>
    <m/>
    <x v="6"/>
    <m/>
    <m/>
    <d v="2026-04-30T00:00:00"/>
    <m/>
  </r>
  <r>
    <n v="15"/>
    <x v="15"/>
    <s v="UPPLY AND INSTALL ADDITIONAL PATRONICS CABLE DUE TO REVISED INVERTER LOCATION"/>
    <m/>
    <m/>
    <n v="1068.67"/>
    <s v="PO4712-DSHC-20260330 - RV Approved"/>
    <m/>
    <x v="6"/>
    <m/>
    <m/>
    <d v="2026-04-30T00:00:00"/>
    <m/>
  </r>
  <r>
    <n v="15"/>
    <x v="15"/>
    <s v="SUPPLY AND INSTALL PADLOCKS FOR TIE-IN KIOSKS"/>
    <m/>
    <m/>
    <n v="230"/>
    <s v="PO4713-DSHC-20260330 - RV Approved"/>
    <m/>
    <x v="6"/>
    <m/>
    <m/>
    <d v="2026-04-30T00:00:00"/>
    <m/>
  </r>
  <r>
    <n v="15"/>
    <x v="15"/>
    <m/>
    <m/>
    <m/>
    <m/>
    <m/>
    <m/>
    <x v="0"/>
    <m/>
    <m/>
    <m/>
    <m/>
  </r>
  <r>
    <n v="15"/>
    <x v="15"/>
    <s v="Electric Fence modifications post construction"/>
    <m/>
    <m/>
    <n v="1956.52"/>
    <s v="PO4715-DSHC-20260330 - RV Approved"/>
    <m/>
    <x v="6"/>
    <m/>
    <m/>
    <d v="2026-04-30T00:00:00"/>
    <m/>
  </r>
  <r>
    <n v="15"/>
    <x v="15"/>
    <s v="Transport "/>
    <m/>
    <m/>
    <n v="10850"/>
    <m/>
    <s v="ABL Transport- Invoice 0371"/>
    <x v="6"/>
    <m/>
    <m/>
    <d v="2026-04-09T00:00:00"/>
    <m/>
  </r>
  <r>
    <n v="15"/>
    <x v="15"/>
    <s v="Shipping of IV Tester"/>
    <m/>
    <m/>
    <n v="221.68"/>
    <m/>
    <s v="DSV Inv:180168193"/>
    <x v="7"/>
    <m/>
    <m/>
    <d v="2026-04-30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4"/>
        <item m="1" x="13"/>
        <item m="1" x="12"/>
        <item x="9"/>
        <item x="1"/>
        <item x="4"/>
        <item x="8"/>
        <item x="2"/>
        <item m="1" x="19"/>
        <item m="1" x="16"/>
        <item m="1" x="15"/>
        <item x="3"/>
        <item x="5"/>
        <item m="1" x="11"/>
        <item x="7"/>
        <item m="1" x="10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1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4"/>
        <item m="1" x="13"/>
        <item m="1" x="12"/>
        <item x="9"/>
        <item x="1"/>
        <item x="4"/>
        <item x="8"/>
        <item x="2"/>
        <item m="1" x="19"/>
        <item m="1" x="16"/>
        <item m="1" x="15"/>
        <item x="3"/>
        <item x="5"/>
        <item m="1" x="11"/>
        <item x="7"/>
        <item m="1" x="10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1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>
      <x v="19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1875" defaultRowHeight="13.8"/>
  <cols>
    <col min="1" max="1" width="9.21875" style="64"/>
    <col min="2" max="2" width="84.109375" style="65" bestFit="1" customWidth="1"/>
    <col min="3" max="3" width="18.77734375" style="24" customWidth="1"/>
    <col min="4" max="4" width="13.44140625" style="70" customWidth="1"/>
    <col min="5" max="5" width="17.109375" style="24" customWidth="1"/>
    <col min="6" max="6" width="18.21875" style="24" customWidth="1"/>
    <col min="7" max="7" width="5.109375" style="24" bestFit="1" customWidth="1"/>
    <col min="8" max="8" width="20.44140625" style="24" bestFit="1" customWidth="1"/>
    <col min="9" max="9" width="3.109375" style="24" customWidth="1"/>
    <col min="10" max="10" width="47.109375" style="24" bestFit="1" customWidth="1"/>
    <col min="11" max="11" width="6.44140625" style="3" customWidth="1"/>
    <col min="12" max="12" width="14.109375" style="24" customWidth="1"/>
    <col min="13" max="16384" width="9.218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7" t="s">
        <v>57</v>
      </c>
      <c r="E47" s="797"/>
      <c r="F47" s="798"/>
      <c r="G47" s="67"/>
      <c r="I47" s="68"/>
      <c r="J47" s="68"/>
    </row>
    <row r="48" spans="1:49" ht="14.4" thickBot="1">
      <c r="C48" s="69">
        <v>44014</v>
      </c>
      <c r="D48" s="799"/>
      <c r="E48" s="799"/>
      <c r="F48" s="80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4"/>
  <cols>
    <col min="1" max="1" width="6.218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02" t="s">
        <v>58</v>
      </c>
      <c r="C2" s="802"/>
      <c r="D2" s="802"/>
      <c r="E2" s="802"/>
      <c r="H2" s="803" t="s">
        <v>59</v>
      </c>
      <c r="I2" s="804"/>
      <c r="J2" s="804"/>
      <c r="K2" s="804"/>
      <c r="L2" s="804"/>
      <c r="M2" s="804"/>
      <c r="N2" s="804"/>
      <c r="O2" s="805"/>
    </row>
    <row r="3" spans="2:15">
      <c r="B3" s="646"/>
      <c r="H3" s="806"/>
      <c r="I3" s="807"/>
      <c r="J3" s="807"/>
      <c r="K3" s="807"/>
      <c r="L3" s="807"/>
      <c r="M3" s="807"/>
      <c r="N3" s="807"/>
      <c r="O3" s="808"/>
    </row>
    <row r="4" spans="2:15">
      <c r="B4" s="647" t="s">
        <v>60</v>
      </c>
      <c r="C4" s="648" t="str">
        <f>'Project Plan'!E2</f>
        <v>Seshego Circle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47" t="s">
        <v>61</v>
      </c>
      <c r="C5" s="648" t="s">
        <v>62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47" t="s">
        <v>63</v>
      </c>
      <c r="C6" s="648" t="s">
        <v>64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47" t="s">
        <v>65</v>
      </c>
      <c r="C7" s="648" t="s">
        <v>66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46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67</v>
      </c>
      <c r="C9" s="812"/>
      <c r="D9" s="812"/>
      <c r="E9" s="812"/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68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49" t="s">
        <v>69</v>
      </c>
      <c r="C11" s="801"/>
      <c r="D11" s="801"/>
      <c r="E11" s="801"/>
    </row>
    <row r="12" spans="2:15">
      <c r="B12" s="649" t="s">
        <v>70</v>
      </c>
      <c r="C12" s="801"/>
      <c r="D12" s="801"/>
      <c r="E12" s="801"/>
    </row>
    <row r="13" spans="2:15">
      <c r="B13" s="649" t="s">
        <v>71</v>
      </c>
      <c r="C13" s="801"/>
      <c r="D13" s="801"/>
      <c r="E13" s="801"/>
    </row>
    <row r="14" spans="2:15">
      <c r="B14" s="649" t="s">
        <v>72</v>
      </c>
      <c r="C14" s="801"/>
      <c r="D14" s="801"/>
      <c r="E14" s="801"/>
    </row>
    <row r="15" spans="2:15">
      <c r="B15" s="649" t="s">
        <v>73</v>
      </c>
      <c r="C15" s="801"/>
      <c r="D15" s="801"/>
      <c r="E15" s="801"/>
    </row>
    <row r="16" spans="2:15" ht="15" customHeight="1">
      <c r="B16" s="649" t="s">
        <v>74</v>
      </c>
      <c r="C16" s="801"/>
      <c r="D16" s="801"/>
      <c r="E16" s="801"/>
    </row>
    <row r="17" spans="2:5">
      <c r="B17" s="646"/>
    </row>
    <row r="18" spans="2:5">
      <c r="B18" s="813" t="s">
        <v>75</v>
      </c>
      <c r="C18" s="813"/>
      <c r="D18" s="813"/>
      <c r="E18" s="813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4"/>
  <cols>
    <col min="1" max="1" width="6.218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02" t="s">
        <v>80</v>
      </c>
      <c r="C2" s="802"/>
      <c r="D2" s="802"/>
      <c r="E2" s="802"/>
      <c r="H2" s="803" t="s">
        <v>81</v>
      </c>
      <c r="I2" s="804"/>
      <c r="J2" s="804"/>
      <c r="K2" s="804"/>
      <c r="L2" s="804"/>
      <c r="M2" s="804"/>
      <c r="N2" s="804"/>
      <c r="O2" s="805"/>
    </row>
    <row r="3" spans="2:15">
      <c r="B3" s="646"/>
      <c r="H3" s="806"/>
      <c r="I3" s="807"/>
      <c r="J3" s="807"/>
      <c r="K3" s="807"/>
      <c r="L3" s="807"/>
      <c r="M3" s="807"/>
      <c r="N3" s="807"/>
      <c r="O3" s="808"/>
    </row>
    <row r="4" spans="2:15">
      <c r="B4" s="647" t="s">
        <v>60</v>
      </c>
      <c r="C4" s="648" t="str">
        <f>'Project Plan'!E2</f>
        <v>Seshego Circle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47" t="s">
        <v>82</v>
      </c>
      <c r="C5" s="648"/>
      <c r="H5" s="806"/>
      <c r="I5" s="807"/>
      <c r="J5" s="807"/>
      <c r="K5" s="807"/>
      <c r="L5" s="807"/>
      <c r="M5" s="807"/>
      <c r="N5" s="807"/>
      <c r="O5" s="808"/>
    </row>
    <row r="6" spans="2:15">
      <c r="B6" s="647" t="s">
        <v>63</v>
      </c>
      <c r="C6" s="648" t="s">
        <v>64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47" t="s">
        <v>83</v>
      </c>
      <c r="C7" s="648" t="str">
        <f>'Project Plan'!E5</f>
        <v>Eon Van Rensburg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47" t="s">
        <v>84</v>
      </c>
      <c r="C8" s="648"/>
      <c r="H8" s="806"/>
      <c r="I8" s="807"/>
      <c r="J8" s="807"/>
      <c r="K8" s="807"/>
      <c r="L8" s="807"/>
      <c r="M8" s="807"/>
      <c r="N8" s="807"/>
      <c r="O8" s="808"/>
    </row>
    <row r="9" spans="2:15">
      <c r="B9" s="646"/>
      <c r="H9" s="806"/>
      <c r="I9" s="807"/>
      <c r="J9" s="807"/>
      <c r="K9" s="807"/>
      <c r="L9" s="807"/>
      <c r="M9" s="807"/>
      <c r="N9" s="807"/>
      <c r="O9" s="808"/>
    </row>
    <row r="10" spans="2:15">
      <c r="B10" s="812" t="s">
        <v>67</v>
      </c>
      <c r="C10" s="812"/>
      <c r="D10" s="812"/>
      <c r="E10" s="812"/>
      <c r="H10" s="806"/>
      <c r="I10" s="807"/>
      <c r="J10" s="807"/>
      <c r="K10" s="807"/>
      <c r="L10" s="807"/>
      <c r="M10" s="807"/>
      <c r="N10" s="807"/>
      <c r="O10" s="808"/>
    </row>
    <row r="11" spans="2:15" ht="15" thickBot="1">
      <c r="B11" s="812" t="s">
        <v>68</v>
      </c>
      <c r="C11" s="812"/>
      <c r="D11" s="812"/>
      <c r="E11" s="812"/>
      <c r="H11" s="809"/>
      <c r="I11" s="810"/>
      <c r="J11" s="810"/>
      <c r="K11" s="810"/>
      <c r="L11" s="810"/>
      <c r="M11" s="810"/>
      <c r="N11" s="810"/>
      <c r="O11" s="811"/>
    </row>
    <row r="12" spans="2:15" ht="26.4">
      <c r="B12" s="649" t="s">
        <v>85</v>
      </c>
      <c r="C12" s="801"/>
      <c r="D12" s="801"/>
      <c r="E12" s="801"/>
    </row>
    <row r="13" spans="2:15">
      <c r="B13" s="649" t="s">
        <v>86</v>
      </c>
      <c r="C13" s="801"/>
      <c r="D13" s="801"/>
      <c r="E13" s="801"/>
    </row>
    <row r="14" spans="2:15">
      <c r="B14" s="649" t="s">
        <v>87</v>
      </c>
      <c r="C14" s="801"/>
      <c r="D14" s="801"/>
      <c r="E14" s="801"/>
    </row>
    <row r="15" spans="2:15">
      <c r="B15" s="649" t="s">
        <v>88</v>
      </c>
      <c r="C15" s="801"/>
      <c r="D15" s="801"/>
      <c r="E15" s="801"/>
    </row>
    <row r="16" spans="2:15" ht="26.4">
      <c r="B16" s="649" t="s">
        <v>89</v>
      </c>
      <c r="C16" s="801"/>
      <c r="D16" s="801"/>
      <c r="E16" s="801"/>
    </row>
    <row r="17" spans="2:5">
      <c r="B17" s="649" t="s">
        <v>90</v>
      </c>
      <c r="C17" s="801"/>
      <c r="D17" s="801"/>
      <c r="E17" s="801"/>
    </row>
    <row r="18" spans="2:5">
      <c r="B18" s="649" t="s">
        <v>91</v>
      </c>
      <c r="C18" s="801"/>
      <c r="D18" s="801"/>
      <c r="E18" s="801"/>
    </row>
    <row r="19" spans="2:5">
      <c r="B19" s="649" t="s">
        <v>92</v>
      </c>
      <c r="C19" s="801"/>
      <c r="D19" s="801"/>
      <c r="E19" s="801"/>
    </row>
    <row r="20" spans="2:5">
      <c r="B20" s="649" t="s">
        <v>93</v>
      </c>
      <c r="C20" s="801"/>
      <c r="D20" s="801"/>
      <c r="E20" s="801"/>
    </row>
    <row r="21" spans="2:5">
      <c r="B21" s="649" t="s">
        <v>94</v>
      </c>
      <c r="C21" s="801"/>
      <c r="D21" s="801"/>
      <c r="E21" s="801"/>
    </row>
    <row r="22" spans="2:5" ht="15" customHeight="1">
      <c r="B22" s="649" t="s">
        <v>74</v>
      </c>
      <c r="C22" s="801"/>
      <c r="D22" s="801"/>
      <c r="E22" s="801"/>
    </row>
    <row r="23" spans="2:5">
      <c r="B23" s="646"/>
    </row>
    <row r="24" spans="2:5">
      <c r="B24" s="813" t="s">
        <v>75</v>
      </c>
      <c r="C24" s="813"/>
      <c r="D24" s="813"/>
      <c r="E24" s="813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1875" defaultRowHeight="14.4"/>
  <cols>
    <col min="1" max="1" width="0.5546875" customWidth="1"/>
    <col min="2" max="2" width="8.109375" bestFit="1" customWidth="1"/>
    <col min="3" max="3" width="45.109375" customWidth="1"/>
    <col min="4" max="4" width="17.109375" customWidth="1"/>
    <col min="5" max="5" width="34.21875" customWidth="1"/>
    <col min="6" max="6" width="15.44140625" customWidth="1"/>
    <col min="7" max="7" width="12" bestFit="1" customWidth="1"/>
    <col min="8" max="8" width="9.21875" bestFit="1" customWidth="1"/>
    <col min="9" max="9" width="12.21875" bestFit="1" customWidth="1"/>
    <col min="10" max="10" width="14.109375" customWidth="1"/>
    <col min="11" max="11" width="77.109375" customWidth="1"/>
  </cols>
  <sheetData>
    <row r="1" spans="2:15">
      <c r="B1" s="814"/>
      <c r="C1" s="815"/>
      <c r="D1" s="815"/>
      <c r="E1" s="815"/>
      <c r="F1" s="816" t="s">
        <v>95</v>
      </c>
      <c r="G1" s="816"/>
      <c r="H1" s="816"/>
      <c r="I1" s="816"/>
      <c r="J1" s="816"/>
      <c r="K1" s="817"/>
      <c r="L1" s="77"/>
      <c r="M1" s="77"/>
      <c r="N1" s="77"/>
      <c r="O1" s="77"/>
    </row>
    <row r="2" spans="2:15" ht="6.75" customHeight="1"/>
    <row r="3" spans="2:15" s="651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8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109375" defaultRowHeight="13.8"/>
  <cols>
    <col min="1" max="1" width="1.109375" style="24" customWidth="1"/>
    <col min="2" max="2" width="30.5546875" style="24" bestFit="1" customWidth="1"/>
    <col min="3" max="3" width="19.88671875" style="24" customWidth="1"/>
    <col min="4" max="4" width="32.77734375" style="24" customWidth="1"/>
    <col min="5" max="5" width="9.5546875" style="24" customWidth="1"/>
    <col min="6" max="6" width="53.21875" style="24" customWidth="1"/>
    <col min="7" max="16384" width="8.109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1875" defaultRowHeight="14.4"/>
  <cols>
    <col min="1" max="1" width="7.21875" customWidth="1"/>
    <col min="2" max="2" width="37.5546875" customWidth="1"/>
    <col min="3" max="3" width="9.21875" bestFit="1" customWidth="1"/>
    <col min="4" max="4" width="12.21875" bestFit="1" customWidth="1"/>
    <col min="5" max="5" width="10.109375" customWidth="1"/>
    <col min="6" max="6" width="33.77734375" customWidth="1"/>
  </cols>
  <sheetData>
    <row r="1" spans="2:10" ht="15" thickBot="1"/>
    <row r="2" spans="2:10" ht="15.6" thickTop="1" thickBot="1">
      <c r="B2" s="818" t="s">
        <v>163</v>
      </c>
      <c r="C2" s="819"/>
      <c r="D2" s="819"/>
      <c r="E2" s="819"/>
      <c r="F2" s="820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18" t="s">
        <v>170</v>
      </c>
      <c r="C16" s="819"/>
      <c r="D16" s="819"/>
      <c r="E16" s="819"/>
      <c r="F16" s="820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topLeftCell="A37" zoomScale="85" zoomScaleNormal="85" workbookViewId="0">
      <selection activeCell="G70" sqref="G70"/>
    </sheetView>
  </sheetViews>
  <sheetFormatPr defaultColWidth="8.109375" defaultRowHeight="13.8"/>
  <cols>
    <col min="1" max="1" width="1.109375" style="112" customWidth="1"/>
    <col min="2" max="2" width="6.44140625" style="172" bestFit="1" customWidth="1"/>
    <col min="3" max="3" width="50.77734375" style="24" customWidth="1"/>
    <col min="4" max="4" width="8.109375" style="112" customWidth="1"/>
    <col min="5" max="5" width="14.5546875" style="24" customWidth="1"/>
    <col min="6" max="6" width="10.109375" style="169" customWidth="1"/>
    <col min="7" max="7" width="13.77734375" style="64" customWidth="1"/>
    <col min="8" max="8" width="1.109375" style="112" customWidth="1"/>
    <col min="9" max="9" width="10.21875" style="112" customWidth="1"/>
    <col min="10" max="10" width="11.21875" style="113" customWidth="1"/>
    <col min="11" max="11" width="14.5546875" style="112" customWidth="1"/>
    <col min="12" max="12" width="2.21875" style="112" customWidth="1"/>
    <col min="13" max="13" width="12.88671875" style="112" customWidth="1"/>
    <col min="14" max="14" width="11.21875" style="112" bestFit="1" customWidth="1"/>
    <col min="15" max="15" width="39.21875" style="112" bestFit="1" customWidth="1"/>
    <col min="16" max="16" width="1.109375" style="112" customWidth="1"/>
    <col min="17" max="17" width="5.109375" style="3" customWidth="1"/>
    <col min="18" max="25" width="8.109375" style="112"/>
    <col min="26" max="16384" width="8.109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46129</v>
      </c>
      <c r="O1" s="404">
        <f ca="1">TODAY()</f>
        <v>46129</v>
      </c>
      <c r="Q1" s="3"/>
    </row>
    <row r="2" spans="2:28">
      <c r="B2" s="177"/>
      <c r="C2" s="178" t="s">
        <v>0</v>
      </c>
      <c r="D2" s="179"/>
      <c r="E2" s="821" t="s">
        <v>173</v>
      </c>
      <c r="F2" s="822"/>
      <c r="G2" s="822"/>
      <c r="H2" s="823"/>
      <c r="N2" s="405">
        <v>0</v>
      </c>
      <c r="O2" s="405" t="s">
        <v>174</v>
      </c>
    </row>
    <row r="3" spans="2:28" s="112" customFormat="1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/>
      <c r="Q3" s="3"/>
    </row>
    <row r="4" spans="2:28" s="112" customFormat="1">
      <c r="B4" s="180"/>
      <c r="C4" s="181" t="s">
        <v>176</v>
      </c>
      <c r="D4" s="179"/>
      <c r="E4" s="824" t="s">
        <v>177</v>
      </c>
      <c r="F4" s="825"/>
      <c r="G4" s="825"/>
      <c r="H4" s="826"/>
      <c r="J4" s="641" t="s">
        <v>178</v>
      </c>
      <c r="K4" s="642">
        <v>45961</v>
      </c>
      <c r="Q4" s="3"/>
    </row>
    <row r="5" spans="2:28" s="112" customFormat="1">
      <c r="B5" s="180"/>
      <c r="C5" s="181" t="s">
        <v>179</v>
      </c>
      <c r="D5" s="179"/>
      <c r="E5" s="824" t="s">
        <v>180</v>
      </c>
      <c r="F5" s="825"/>
      <c r="G5" s="825"/>
      <c r="H5" s="826"/>
      <c r="J5" s="113"/>
      <c r="Q5" s="3"/>
    </row>
    <row r="6" spans="2:28">
      <c r="B6" s="185"/>
      <c r="C6" s="186" t="s">
        <v>181</v>
      </c>
      <c r="D6" s="179"/>
      <c r="E6" s="827">
        <v>10428344.3461792</v>
      </c>
      <c r="F6" s="828"/>
      <c r="G6" s="828"/>
      <c r="H6" s="829"/>
    </row>
    <row r="7" spans="2:28" s="112" customFormat="1">
      <c r="B7" s="168"/>
      <c r="C7" s="699" t="s">
        <v>182</v>
      </c>
      <c r="E7" s="698" t="s">
        <v>183</v>
      </c>
      <c r="F7" s="169"/>
      <c r="G7" s="187"/>
      <c r="J7" s="113"/>
      <c r="Q7" s="3"/>
    </row>
    <row r="8" spans="2:28" ht="30" customHeight="1">
      <c r="B8" s="833" t="s">
        <v>184</v>
      </c>
      <c r="C8" s="834" t="s">
        <v>185</v>
      </c>
      <c r="D8" s="216"/>
      <c r="E8" s="832" t="s">
        <v>186</v>
      </c>
      <c r="F8" s="238" t="s">
        <v>187</v>
      </c>
      <c r="G8" s="832" t="s">
        <v>188</v>
      </c>
      <c r="H8" s="239"/>
      <c r="I8" s="832" t="s">
        <v>189</v>
      </c>
      <c r="J8" s="238" t="s">
        <v>187</v>
      </c>
      <c r="K8" s="832" t="s">
        <v>190</v>
      </c>
      <c r="M8" s="411" t="s">
        <v>102</v>
      </c>
      <c r="N8" s="411" t="s">
        <v>102</v>
      </c>
      <c r="O8" s="830" t="s">
        <v>191</v>
      </c>
      <c r="Z8" s="112"/>
      <c r="AA8" s="112"/>
      <c r="AB8" s="112"/>
    </row>
    <row r="9" spans="2:28">
      <c r="B9" s="833"/>
      <c r="C9" s="834"/>
      <c r="D9" s="216"/>
      <c r="E9" s="832"/>
      <c r="F9" s="126">
        <f>G51-E19</f>
        <v>60</v>
      </c>
      <c r="G9" s="832"/>
      <c r="H9" s="239"/>
      <c r="I9" s="832"/>
      <c r="J9" s="127">
        <f>K51-I19</f>
        <v>142</v>
      </c>
      <c r="K9" s="832"/>
      <c r="M9" s="363">
        <f>AVERAGE(M11,M18,M23,M33,M42,M47,M57,M53)</f>
        <v>1</v>
      </c>
      <c r="N9" s="363">
        <f ca="1">AVERAGE(N11,N18,N23,N33,N42,N47,N57,N53)</f>
        <v>1</v>
      </c>
      <c r="O9" s="831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192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193</v>
      </c>
      <c r="C12" s="250" t="s">
        <v>194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195</v>
      </c>
      <c r="C13" s="250" t="s">
        <v>196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197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198</v>
      </c>
      <c r="C15" s="250" t="s">
        <v>199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200</v>
      </c>
      <c r="C16" s="250" t="s">
        <v>201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202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203</v>
      </c>
      <c r="C19" s="250" t="s">
        <v>204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206</v>
      </c>
      <c r="C20" s="250" t="s">
        <v>207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206</v>
      </c>
      <c r="C21" s="250" t="s">
        <v>208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209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210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211</v>
      </c>
      <c r="C24" s="250" t="s">
        <v>212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213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214</v>
      </c>
      <c r="C25" s="250" t="s">
        <v>215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216</v>
      </c>
      <c r="C26" s="250" t="s">
        <v>217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218</v>
      </c>
      <c r="C27" s="706" t="s">
        <v>219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220</v>
      </c>
      <c r="C28" s="250" t="s">
        <v>221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>
      <c r="B29" s="711" t="s">
        <v>222</v>
      </c>
      <c r="C29" s="706" t="s">
        <v>223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>
      <c r="B30" s="249" t="s">
        <v>224</v>
      </c>
      <c r="C30" s="250" t="s">
        <v>225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226</v>
      </c>
      <c r="C31" s="250" t="s">
        <v>227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228</v>
      </c>
      <c r="C34" s="250" t="s">
        <v>229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228</v>
      </c>
      <c r="C35" s="250" t="s">
        <v>230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231</v>
      </c>
      <c r="C36" s="250" t="s">
        <v>232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233</v>
      </c>
      <c r="C37" s="250" t="s">
        <v>234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235</v>
      </c>
      <c r="C38" s="250" t="s">
        <v>236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237</v>
      </c>
      <c r="C39" s="250" t="s">
        <v>238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239</v>
      </c>
      <c r="C40" s="244" t="s">
        <v>240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241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242</v>
      </c>
      <c r="C43" s="250" t="s">
        <v>243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1" t="s">
        <v>244</v>
      </c>
      <c r="C44" s="706" t="s">
        <v>245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>
      <c r="B45" s="249" t="s">
        <v>244</v>
      </c>
      <c r="C45" s="250" t="s">
        <v>246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247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1</v>
      </c>
      <c r="N47" s="362">
        <f ca="1">(J49*N49+J51*N51+J48*N48+J50*N50)/SUM(J48:J51)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248</v>
      </c>
      <c r="C48" s="719" t="s">
        <v>249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250</v>
      </c>
      <c r="C49" s="244" t="s">
        <v>251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1</v>
      </c>
      <c r="N49" s="255">
        <f ca="1">_xlfn.LET(
  _xlpm.s,VALUE($I49),
  _xlpm.e,VALUE($K49),
  IF(OR(_xlpm.s="",_xlpm.e=""),"", IF(_xlpm.e&lt;=_xlpm.s, IF(TODAY()&gt;=_xlpm.e,1,0), MAX(0,MIN(1,(TODAY()-_xlpm.s)/(_xlpm.e-_xlpm.s)))))
)</f>
        <v>1</v>
      </c>
      <c r="O49" s="724"/>
      <c r="Y49" s="24"/>
    </row>
    <row r="50" spans="2:28">
      <c r="B50" s="249" t="s">
        <v>252</v>
      </c>
      <c r="C50" s="244" t="s">
        <v>253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1</v>
      </c>
      <c r="N50" s="255">
        <f ca="1">_xlfn.LET(
  _xlpm.s,VALUE($I50),
  _xlpm.e,VALUE($K50),
  IF(OR(_xlpm.s="",_xlpm.e=""),"", IF(_xlpm.e&lt;=_xlpm.s, IF(TODAY()&gt;=_xlpm.e,1,0), MAX(0,MIN(1,(TODAY()-_xlpm.s)/(_xlpm.e-_xlpm.s)))))
)</f>
        <v>1</v>
      </c>
      <c r="O50" s="724"/>
      <c r="Y50" s="24"/>
    </row>
    <row r="51" spans="2:28">
      <c r="B51" s="249" t="s">
        <v>254</v>
      </c>
      <c r="C51" s="244" t="s">
        <v>255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1</v>
      </c>
      <c r="N51" s="255">
        <f ca="1">_xlfn.LET(
  _xlpm.s,VALUE($I51),
  _xlpm.e,VALUE($K51),
  IF(OR(_xlpm.s="",_xlpm.e=""),"", IF(_xlpm.e&lt;=_xlpm.s, IF(TODAY()&gt;=_xlpm.e,1,0), MAX(0,MIN(1,(TODAY()-_xlpm.s)/(_xlpm.e-_xlpm.s)))))
)</f>
        <v>1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256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46085</v>
      </c>
      <c r="J53" s="248">
        <f>K53-I53</f>
        <v>1</v>
      </c>
      <c r="K53" s="247">
        <f>MAX(K54)</f>
        <v>46086</v>
      </c>
      <c r="L53" s="114"/>
      <c r="M53" s="362">
        <f>(J54*M54)/SUM(J54)</f>
        <v>1</v>
      </c>
      <c r="N53" s="362">
        <f ca="1">(K54*N54)/SUM(K54)</f>
        <v>1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257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46085</v>
      </c>
      <c r="J54" s="252">
        <v>1</v>
      </c>
      <c r="K54" s="254">
        <f>WORKDAY.INTL(I54,J54,1,Data!$C$3:$C$45)</f>
        <v>46086</v>
      </c>
      <c r="M54" s="255">
        <v>1</v>
      </c>
      <c r="N54" s="255">
        <f ca="1">_xlfn.LET(
  _xlpm.s,VALUE($I54),
  _xlpm.e,VALUE($K54),
  IF(OR(_xlpm.s="",_xlpm.e=""),"", IF(_xlpm.e&lt;=_xlpm.s, IF(TODAY()&gt;=_xlpm.e,1,0), MAX(0,MIN(1,(TODAY()-_xlpm.s)/(_xlpm.e-_xlpm.s)))))
)</f>
        <v>1</v>
      </c>
      <c r="O54" s="122"/>
      <c r="Y54" s="24"/>
    </row>
    <row r="55" spans="2:28">
      <c r="B55" s="249" t="s">
        <v>258</v>
      </c>
      <c r="C55" s="719" t="s">
        <v>259</v>
      </c>
      <c r="D55" s="728"/>
      <c r="E55" s="729"/>
      <c r="F55" s="730"/>
      <c r="G55" s="729"/>
      <c r="H55" s="731"/>
      <c r="I55" s="729">
        <v>46098</v>
      </c>
      <c r="J55" s="730">
        <v>1</v>
      </c>
      <c r="K55" s="729">
        <f>WORKDAY.INTL(I55,J55,1,Data!$C$3:$C$45)</f>
        <v>46099</v>
      </c>
      <c r="L55" s="732"/>
      <c r="M55" s="255">
        <v>1</v>
      </c>
      <c r="N55" s="255">
        <f ca="1">_xlfn.LET(
  _xlpm.s,VALUE($I55),
  _xlpm.e,VALUE($K55),
  IF(OR(_xlpm.s="",_xlpm.e=""),"", IF(_xlpm.e&lt;=_xlpm.s, IF(TODAY()&gt;=_xlpm.e,1,0), MAX(0,MIN(1,(TODAY()-_xlpm.s)/(_xlpm.e-_xlpm.s)))))
)</f>
        <v>1</v>
      </c>
      <c r="O55" s="733"/>
      <c r="Y55" s="24"/>
    </row>
    <row r="56" spans="2:28" s="112" customFormat="1" ht="4.5" customHeight="1">
      <c r="B56" s="240"/>
      <c r="C56" s="216"/>
      <c r="D56" s="216"/>
      <c r="E56" s="241"/>
      <c r="F56" s="241"/>
      <c r="G56" s="242"/>
      <c r="H56" s="239"/>
      <c r="I56" s="241"/>
      <c r="J56" s="241"/>
      <c r="K56" s="242"/>
      <c r="Q56" s="3"/>
    </row>
    <row r="57" spans="2:28" s="112" customFormat="1">
      <c r="B57" s="245">
        <v>8</v>
      </c>
      <c r="C57" s="246" t="s">
        <v>260</v>
      </c>
      <c r="D57" s="220"/>
      <c r="E57" s="247">
        <f>MIN(E58:E63)</f>
        <v>45996</v>
      </c>
      <c r="F57" s="248">
        <f>G57-E57</f>
        <v>48</v>
      </c>
      <c r="G57" s="247">
        <f>MAX(G58:G63)</f>
        <v>46044</v>
      </c>
      <c r="H57" s="221"/>
      <c r="I57" s="247">
        <f>MIN(I58:I63)</f>
        <v>46085</v>
      </c>
      <c r="J57" s="248">
        <f>K57-I57</f>
        <v>36</v>
      </c>
      <c r="K57" s="247">
        <f>MAX(K58:K63)</f>
        <v>46121</v>
      </c>
      <c r="L57" s="114"/>
      <c r="M57" s="362">
        <f>(J58*M58+J59*M59+J60*M60+J61*M61+J62*M62+J63*M63)/SUM(J58:J63)</f>
        <v>1</v>
      </c>
      <c r="N57" s="362">
        <f ca="1">(J58*N58+J59*N59+J60*N60+J61*N61+J62*N62+J63*N63)/SUM(J58:J63)</f>
        <v>1</v>
      </c>
      <c r="O57" s="122"/>
      <c r="Q57" s="124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 spans="2:28">
      <c r="B58" s="249">
        <v>8.1</v>
      </c>
      <c r="C58" s="244" t="s">
        <v>261</v>
      </c>
      <c r="D58" s="216"/>
      <c r="E58" s="254">
        <f>E54</f>
        <v>45996</v>
      </c>
      <c r="F58" s="252">
        <v>1</v>
      </c>
      <c r="G58" s="254">
        <f>WORKDAY.INTL(E58,F58,1,Data!$C$3:$C$45)</f>
        <v>45999</v>
      </c>
      <c r="H58" s="239"/>
      <c r="I58" s="254">
        <f>I54</f>
        <v>46085</v>
      </c>
      <c r="J58" s="252">
        <v>2</v>
      </c>
      <c r="K58" s="254">
        <f>WORKDAY.INTL(I58,J58,1,Data!$C$3:$C$45)</f>
        <v>46087</v>
      </c>
      <c r="M58" s="255">
        <v>1</v>
      </c>
      <c r="N58" s="255">
        <f t="shared" ref="N58:N63" ca="1" si="4">_xlfn.LET(
  _xlpm.s,VALUE($I58),
  _xlpm.e,VALUE($K58),
  IF(OR(_xlpm.s="",_xlpm.e=""),"", IF(_xlpm.e&lt;=_xlpm.s, IF(TODAY()&gt;=_xlpm.e,1,0), MAX(0,MIN(1,(TODAY()-_xlpm.s)/(_xlpm.e-_xlpm.s)))))
)</f>
        <v>1</v>
      </c>
      <c r="O58" s="122"/>
      <c r="Y58" s="24"/>
    </row>
    <row r="59" spans="2:28">
      <c r="B59" s="249">
        <v>8.1999999999999993</v>
      </c>
      <c r="C59" s="244" t="s">
        <v>262</v>
      </c>
      <c r="D59" s="216"/>
      <c r="E59" s="254">
        <f>G54</f>
        <v>45999</v>
      </c>
      <c r="F59" s="252">
        <v>5</v>
      </c>
      <c r="G59" s="254">
        <f>WORKDAY.INTL(E59,F59,1,Data!$C$3:$C$45)</f>
        <v>46006</v>
      </c>
      <c r="H59" s="239"/>
      <c r="I59" s="254">
        <f>K54+2</f>
        <v>46088</v>
      </c>
      <c r="J59" s="252">
        <v>7</v>
      </c>
      <c r="K59" s="254">
        <f>WORKDAY.INTL(I59,J59,1,Data!$C$3:$C$45)</f>
        <v>46098</v>
      </c>
      <c r="M59" s="255">
        <v>1</v>
      </c>
      <c r="N59" s="255">
        <f t="shared" ca="1" si="4"/>
        <v>1</v>
      </c>
      <c r="O59" s="122"/>
      <c r="Y59" s="24"/>
    </row>
    <row r="60" spans="2:28">
      <c r="B60" s="249">
        <v>8.3000000000000007</v>
      </c>
      <c r="C60" s="244" t="s">
        <v>263</v>
      </c>
      <c r="D60" s="216"/>
      <c r="E60" s="254">
        <f>WORKDAY.INTL(G47,0,1,Data!$C$3:$C$45)</f>
        <v>46003</v>
      </c>
      <c r="F60" s="252">
        <v>5</v>
      </c>
      <c r="G60" s="254">
        <f>WORKDAY.INTL(E60,F60,1,Data!$C$3:$C$45)</f>
        <v>46044</v>
      </c>
      <c r="H60" s="239"/>
      <c r="I60" s="254">
        <f>K51+1</f>
        <v>46086</v>
      </c>
      <c r="J60" s="252">
        <v>5</v>
      </c>
      <c r="K60" s="254">
        <f>WORKDAY.INTL(I60,J60,1,Data!$C$3:$C$45)</f>
        <v>46093</v>
      </c>
      <c r="M60" s="255">
        <v>1</v>
      </c>
      <c r="N60" s="255">
        <f t="shared" ca="1" si="4"/>
        <v>1</v>
      </c>
      <c r="O60" s="122"/>
      <c r="Y60" s="24"/>
    </row>
    <row r="61" spans="2:28">
      <c r="B61" s="249">
        <v>8.4</v>
      </c>
      <c r="C61" s="244" t="s">
        <v>264</v>
      </c>
      <c r="D61" s="216"/>
      <c r="E61" s="254">
        <f>WORKDAY.INTL(G59,0,1,Data!$C$3:$C$45)</f>
        <v>46006</v>
      </c>
      <c r="F61" s="252">
        <v>1</v>
      </c>
      <c r="G61" s="254">
        <f>WORKDAY.INTL(E61,F61,1,Data!$C$3:$C$45)</f>
        <v>46041</v>
      </c>
      <c r="H61" s="239"/>
      <c r="I61" s="254">
        <v>46096</v>
      </c>
      <c r="J61" s="252">
        <v>6</v>
      </c>
      <c r="K61" s="254">
        <f>WORKDAY.INTL(I61,J61,1,Data!$C$3:$C$45)</f>
        <v>46104</v>
      </c>
      <c r="M61" s="255">
        <v>1</v>
      </c>
      <c r="N61" s="255">
        <f ca="1">_xlfn.LET(
  _xlpm.s,VALUE($I61),
  _xlpm.e,VALUE($K61),
  IF(OR(_xlpm.s="",_xlpm.e=""),"", IF(_xlpm.e&lt;=_xlpm.s, IF(TODAY()&gt;=_xlpm.e,1,0), MAX(0,MIN(1,(TODAY()-_xlpm.s)/(_xlpm.e-_xlpm.s)))))
)</f>
        <v>1</v>
      </c>
      <c r="O61" s="122"/>
      <c r="Y61" s="24"/>
    </row>
    <row r="62" spans="2:28">
      <c r="B62" s="249">
        <v>8.5</v>
      </c>
      <c r="C62" s="244" t="s">
        <v>265</v>
      </c>
      <c r="D62" s="216"/>
      <c r="E62" s="254">
        <f>WORKDAY.INTL(G61,0,1,Data!$C$3:$C$45)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v>46108</v>
      </c>
      <c r="J62" s="252">
        <v>1</v>
      </c>
      <c r="K62" s="254">
        <f>WORKDAY.INTL(I62,J62,1,Data!$C$3:$C$45)</f>
        <v>46111</v>
      </c>
      <c r="M62" s="255">
        <v>1</v>
      </c>
      <c r="N62" s="255">
        <f t="shared" ca="1" si="4"/>
        <v>1</v>
      </c>
      <c r="O62" s="122"/>
      <c r="Y62" s="24"/>
    </row>
    <row r="63" spans="2:28">
      <c r="B63" s="249">
        <v>8.6</v>
      </c>
      <c r="C63" s="244" t="s">
        <v>266</v>
      </c>
      <c r="D63" s="216"/>
      <c r="E63" s="254">
        <f>WORKDAY.INTL(E62,0,1,Data!$C$3:$C$45)</f>
        <v>46041</v>
      </c>
      <c r="F63" s="252">
        <v>1</v>
      </c>
      <c r="G63" s="254">
        <f>WORKDAY.INTL(E63,F63,1,Data!$C$3:$C$45)</f>
        <v>46042</v>
      </c>
      <c r="H63" s="239"/>
      <c r="I63" s="254">
        <v>46114</v>
      </c>
      <c r="J63" s="252">
        <v>5</v>
      </c>
      <c r="K63" s="254">
        <f>WORKDAY.INTL(I63,J63,1,Data!$C$3:$C$45)</f>
        <v>46121</v>
      </c>
      <c r="M63" s="255">
        <v>1</v>
      </c>
      <c r="N63" s="255">
        <f t="shared" ca="1" si="4"/>
        <v>1</v>
      </c>
      <c r="O63" s="122" t="s">
        <v>632</v>
      </c>
      <c r="Y63" s="24"/>
    </row>
    <row r="64" spans="2:28" s="112" customFormat="1" ht="4.5" customHeight="1">
      <c r="B64" s="240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 spans="2:10" s="3" customFormat="1">
      <c r="B65" s="170"/>
      <c r="E65" s="171"/>
      <c r="F65" s="109"/>
      <c r="J65" s="109"/>
    </row>
    <row r="66" spans="2:10">
      <c r="B66" s="168"/>
      <c r="C66" s="112"/>
      <c r="E66" s="112"/>
      <c r="G66" s="113"/>
    </row>
    <row r="67" spans="2:10">
      <c r="B67" s="168"/>
      <c r="C67" s="112"/>
      <c r="E67" s="112"/>
      <c r="G67" s="113"/>
    </row>
    <row r="68" spans="2:10">
      <c r="B68" s="168"/>
      <c r="C68" s="112"/>
      <c r="E68" s="112"/>
      <c r="G68" s="113"/>
    </row>
    <row r="69" spans="2:10">
      <c r="B69" s="168"/>
      <c r="C69" s="112"/>
      <c r="E69" s="112"/>
      <c r="G69" s="113"/>
    </row>
    <row r="70" spans="2:10">
      <c r="B70" s="168"/>
      <c r="C70" s="112"/>
      <c r="E70" s="112"/>
      <c r="G70" s="113"/>
    </row>
    <row r="71" spans="2:10">
      <c r="B71" s="168"/>
      <c r="C71" s="112"/>
      <c r="E71" s="112"/>
      <c r="G71" s="113"/>
    </row>
    <row r="72" spans="2:10">
      <c r="B72" s="168"/>
      <c r="C72" s="112"/>
      <c r="E72" s="112"/>
      <c r="G72" s="113"/>
    </row>
    <row r="73" spans="2:10">
      <c r="B73" s="168"/>
      <c r="C73" s="112"/>
      <c r="E73" s="112"/>
      <c r="G73" s="113"/>
    </row>
    <row r="74" spans="2:10">
      <c r="B74" s="168"/>
      <c r="C74" s="112"/>
      <c r="E74" s="112"/>
      <c r="G74" s="113"/>
    </row>
    <row r="75" spans="2:10">
      <c r="B75" s="168"/>
      <c r="C75" s="112"/>
      <c r="E75" s="112"/>
      <c r="G75" s="113"/>
    </row>
    <row r="76" spans="2:10">
      <c r="B76" s="168"/>
      <c r="C76" s="112"/>
      <c r="E76" s="112"/>
      <c r="G76" s="113"/>
    </row>
    <row r="77" spans="2:10">
      <c r="B77" s="168"/>
      <c r="C77" s="112"/>
      <c r="E77" s="112"/>
      <c r="G77" s="113"/>
    </row>
    <row r="78" spans="2:10">
      <c r="B78" s="168"/>
      <c r="C78" s="112"/>
      <c r="E78" s="112"/>
      <c r="G78" s="113"/>
    </row>
    <row r="79" spans="2:10">
      <c r="B79" s="168"/>
      <c r="C79" s="112"/>
      <c r="E79" s="112"/>
      <c r="G79" s="113"/>
    </row>
    <row r="80" spans="2:10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  <row r="232" spans="2:7">
      <c r="B232" s="168"/>
      <c r="C232" s="112"/>
      <c r="E232" s="112"/>
      <c r="G23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5:P1048576 M1:P7 P8:P64 O8:O38 O40:O63" name="Range1"/>
    <protectedRange algorithmName="SHA-512" hashValue="0fHuZEaiYGK5sqlV/38Hfc0T7yH0tOTbdy5iYtX6c3lYp4VF2ar7IMEIVGfLLUnhvJzWsmOZSDZnUiLySCBxdg==" saltValue="oeJbzSFL5Q9rgT2MjiMjew==" spinCount="100000" sqref="M8:N6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34:N40 M43:N45 M19:N21 M24:N31 M48:N51 M54:N55 M58:N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80" zoomScaleNormal="80" workbookViewId="0">
      <selection activeCell="Q31" sqref="Q31"/>
    </sheetView>
  </sheetViews>
  <sheetFormatPr defaultColWidth="8.109375" defaultRowHeight="14.4"/>
  <cols>
    <col min="1" max="1" width="5.109375" style="93" customWidth="1"/>
    <col min="2" max="2" width="5.109375" style="131" customWidth="1"/>
    <col min="3" max="4" width="23.109375" style="129" customWidth="1"/>
    <col min="5" max="5" width="6.77734375" style="129" customWidth="1"/>
    <col min="6" max="6" width="16.21875" style="129" customWidth="1"/>
    <col min="7" max="7" width="4.44140625" style="129" customWidth="1"/>
    <col min="8" max="8" width="15.44140625" style="129" customWidth="1"/>
    <col min="9" max="9" width="1.109375" style="129" customWidth="1"/>
    <col min="10" max="10" width="3.109375" style="93" customWidth="1"/>
    <col min="11" max="11" width="1.109375" style="176" customWidth="1"/>
    <col min="12" max="12" width="29.44140625" style="93" customWidth="1"/>
    <col min="13" max="13" width="1.109375" style="129" customWidth="1"/>
    <col min="14" max="14" width="29.44140625" style="129" customWidth="1"/>
    <col min="15" max="15" width="1.109375" style="93" customWidth="1"/>
    <col min="16" max="16" width="16.5546875" style="129" customWidth="1"/>
    <col min="17" max="17" width="5.109375" style="129" customWidth="1"/>
    <col min="18" max="18" width="112.44140625" style="129" bestFit="1" customWidth="1"/>
    <col min="19" max="19" width="4.44140625" style="129" customWidth="1"/>
    <col min="20" max="20" width="14.109375" style="129" customWidth="1"/>
    <col min="21" max="21" width="10.109375" style="93" bestFit="1" customWidth="1"/>
    <col min="22" max="23" width="8.109375" style="93"/>
    <col min="24" max="24" width="5.109375" style="93" bestFit="1" customWidth="1"/>
    <col min="25" max="25" width="14.109375" style="93" bestFit="1" customWidth="1"/>
    <col min="26" max="26" width="8.109375" style="93"/>
    <col min="27" max="27" width="14.109375" style="93" bestFit="1" customWidth="1"/>
    <col min="28" max="28" width="8.109375" style="129"/>
    <col min="29" max="29" width="12.88671875" style="129" bestFit="1" customWidth="1"/>
    <col min="30" max="16384" width="8.109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2">
      <c r="B3" s="117"/>
      <c r="D3" s="125" t="s">
        <v>268</v>
      </c>
      <c r="F3" s="125" t="s">
        <v>269</v>
      </c>
      <c r="J3" s="142"/>
      <c r="L3" s="409" t="s">
        <v>270</v>
      </c>
      <c r="N3" s="409" t="s">
        <v>271</v>
      </c>
      <c r="S3" s="142"/>
    </row>
    <row r="4" spans="1:21" s="93" customFormat="1" ht="13.2">
      <c r="B4" s="353">
        <v>1</v>
      </c>
      <c r="C4" s="354" t="s">
        <v>272</v>
      </c>
      <c r="D4" s="355">
        <f>'Project Plan'!E6</f>
        <v>10428344.3461792</v>
      </c>
      <c r="E4" s="356"/>
      <c r="F4" s="355">
        <f>F22</f>
        <v>10428343.76</v>
      </c>
      <c r="H4" s="688"/>
      <c r="J4" s="142"/>
      <c r="L4" s="375"/>
      <c r="N4" s="375" t="s">
        <v>273</v>
      </c>
      <c r="Q4" s="130"/>
      <c r="S4" s="142"/>
    </row>
    <row r="5" spans="1:21" s="93" customFormat="1" ht="15" customHeight="1">
      <c r="B5" s="353">
        <v>2</v>
      </c>
      <c r="C5" s="354" t="s">
        <v>274</v>
      </c>
      <c r="D5" s="355">
        <f>+'Expenditure Tracking'!F5</f>
        <v>9590676.1310892869</v>
      </c>
      <c r="E5" s="356"/>
      <c r="F5" s="355">
        <f>+'Expenditure Tracking'!H5</f>
        <v>7623191.6623272402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275</v>
      </c>
      <c r="D6" s="355">
        <f>+D4-D5</f>
        <v>837668.21508991346</v>
      </c>
      <c r="E6" s="356"/>
      <c r="F6" s="355">
        <f>+F4-F5</f>
        <v>2805152.0976727596</v>
      </c>
      <c r="H6" s="116"/>
      <c r="J6" s="142"/>
      <c r="L6" s="375"/>
      <c r="N6" s="375" t="s">
        <v>276</v>
      </c>
      <c r="S6" s="142"/>
    </row>
    <row r="7" spans="1:21" s="93" customFormat="1" ht="15" customHeight="1" thickBot="1">
      <c r="B7" s="353">
        <v>4</v>
      </c>
      <c r="C7" s="354" t="s">
        <v>277</v>
      </c>
      <c r="D7" s="357">
        <f>+D6/D4</f>
        <v>8.0326098494898995E-2</v>
      </c>
      <c r="E7" s="356"/>
      <c r="F7" s="357">
        <f>+F6/F4</f>
        <v>0.26899305989820571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2">
      <c r="B10" s="128" t="s">
        <v>278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4">
      <c r="B12" s="132" t="s">
        <v>184</v>
      </c>
      <c r="C12" s="133" t="s">
        <v>279</v>
      </c>
      <c r="D12" s="134"/>
      <c r="E12" s="132" t="s">
        <v>280</v>
      </c>
      <c r="F12" s="132" t="s">
        <v>281</v>
      </c>
      <c r="H12" s="358" t="s">
        <v>282</v>
      </c>
      <c r="J12" s="142"/>
      <c r="L12" s="167" t="s">
        <v>283</v>
      </c>
      <c r="M12" s="135"/>
      <c r="N12" s="167" t="s">
        <v>284</v>
      </c>
      <c r="O12" s="129"/>
      <c r="P12" s="167" t="s">
        <v>285</v>
      </c>
      <c r="R12" s="378" t="s">
        <v>286</v>
      </c>
      <c r="S12" s="142"/>
    </row>
    <row r="13" spans="1:21" s="93" customFormat="1" ht="13.2">
      <c r="B13" s="353">
        <v>1</v>
      </c>
      <c r="C13" s="837" t="s">
        <v>287</v>
      </c>
      <c r="D13" s="838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288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2">
      <c r="B14" s="353">
        <v>1</v>
      </c>
      <c r="C14" s="837" t="s">
        <v>287</v>
      </c>
      <c r="D14" s="838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288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3.2">
      <c r="B15" s="155">
        <v>2</v>
      </c>
      <c r="C15" s="837" t="s">
        <v>289</v>
      </c>
      <c r="D15" s="838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290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3.2">
      <c r="B16" s="353">
        <v>3</v>
      </c>
      <c r="C16" s="837" t="s">
        <v>291</v>
      </c>
      <c r="D16" s="838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3.2">
      <c r="B17" s="353">
        <v>4</v>
      </c>
      <c r="C17" s="835" t="s">
        <v>292</v>
      </c>
      <c r="D17" s="836"/>
      <c r="E17" s="136">
        <v>0.21</v>
      </c>
      <c r="F17" s="672">
        <v>1701808</v>
      </c>
      <c r="G17" s="356"/>
      <c r="H17" s="139">
        <v>46078</v>
      </c>
      <c r="J17" s="142"/>
      <c r="L17" s="370" t="s">
        <v>293</v>
      </c>
      <c r="M17" s="129"/>
      <c r="N17" s="139">
        <v>46113</v>
      </c>
      <c r="O17" s="129"/>
      <c r="P17" s="139">
        <v>46122</v>
      </c>
      <c r="R17" s="379" t="s">
        <v>294</v>
      </c>
      <c r="S17" s="142"/>
    </row>
    <row r="18" spans="2:19" s="93" customFormat="1" ht="13.2">
      <c r="B18" s="353">
        <v>5</v>
      </c>
      <c r="C18" s="835" t="s">
        <v>295</v>
      </c>
      <c r="D18" s="836"/>
      <c r="E18" s="136">
        <v>0</v>
      </c>
      <c r="F18" s="137">
        <v>487762</v>
      </c>
      <c r="G18" s="356"/>
      <c r="H18" s="139">
        <v>46137</v>
      </c>
      <c r="J18" s="142"/>
      <c r="L18" s="370"/>
      <c r="N18" s="139"/>
      <c r="O18" s="129"/>
      <c r="P18" s="140">
        <v>46162</v>
      </c>
      <c r="R18" s="379"/>
      <c r="S18" s="142"/>
    </row>
    <row r="19" spans="2:19" s="93" customFormat="1" ht="13.2">
      <c r="B19" s="353">
        <v>6</v>
      </c>
      <c r="C19" s="835" t="s">
        <v>291</v>
      </c>
      <c r="D19" s="836"/>
      <c r="E19" s="136">
        <v>0</v>
      </c>
      <c r="F19" s="137">
        <f t="shared" ref="F19" si="1">$D$4*E19</f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3.2">
      <c r="B20" s="353">
        <v>7</v>
      </c>
      <c r="C20" s="837" t="s">
        <v>291</v>
      </c>
      <c r="D20" s="838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2">
      <c r="B22" s="117"/>
      <c r="E22" s="360">
        <f>SUM(E13:E20)</f>
        <v>1.0017259889310228</v>
      </c>
      <c r="F22" s="361">
        <f>SUM(F13:F20)</f>
        <v>10428343.76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296</v>
      </c>
      <c r="C24" s="146" t="s">
        <v>297</v>
      </c>
      <c r="D24" s="146"/>
      <c r="F24" s="147"/>
    </row>
    <row r="25" spans="2:19" s="93" customFormat="1" ht="13.2">
      <c r="C25" s="148" t="s">
        <v>298</v>
      </c>
      <c r="D25" s="149"/>
      <c r="F25" s="150"/>
    </row>
    <row r="26" spans="2:19" s="93" customFormat="1" ht="13.2">
      <c r="C26" s="148" t="s">
        <v>299</v>
      </c>
      <c r="D26" s="149"/>
      <c r="L26" s="675"/>
    </row>
    <row r="27" spans="2:19" s="93" customFormat="1" ht="13.2">
      <c r="C27" s="151" t="s">
        <v>300</v>
      </c>
      <c r="D27" s="152"/>
    </row>
    <row r="28" spans="2:19" s="93" customFormat="1" ht="13.2">
      <c r="C28" s="153" t="s">
        <v>301</v>
      </c>
      <c r="D28" s="149"/>
    </row>
    <row r="29" spans="2:19" s="93" customFormat="1" ht="13.2">
      <c r="B29" s="117"/>
      <c r="C29" s="153" t="s">
        <v>302</v>
      </c>
      <c r="D29" s="149"/>
    </row>
    <row r="30" spans="2:19" s="93" customFormat="1" ht="13.2">
      <c r="B30" s="117"/>
      <c r="C30" s="93" t="s">
        <v>303</v>
      </c>
    </row>
    <row r="31" spans="2:19" s="93" customFormat="1" ht="27.75" customHeight="1">
      <c r="B31" s="117"/>
      <c r="C31" s="154" t="s">
        <v>304</v>
      </c>
      <c r="D31" s="154"/>
      <c r="F31" s="150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  <c r="F35" s="147"/>
    </row>
    <row r="36" spans="2:6" s="93" customFormat="1" ht="13.2">
      <c r="B36" s="117"/>
    </row>
    <row r="37" spans="2:6" s="93" customFormat="1" ht="13.2">
      <c r="B37" s="117"/>
    </row>
    <row r="38" spans="2:6" s="93" customFormat="1" ht="13.2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184</v>
      </c>
      <c r="C41" s="133" t="s">
        <v>279</v>
      </c>
      <c r="D41" s="134"/>
      <c r="E41" s="132" t="s">
        <v>280</v>
      </c>
      <c r="F41" s="132" t="s">
        <v>281</v>
      </c>
    </row>
    <row r="42" spans="2:6" s="93" customFormat="1" ht="12.75" hidden="1" customHeight="1">
      <c r="B42" s="155">
        <v>1</v>
      </c>
      <c r="C42" s="156" t="s">
        <v>305</v>
      </c>
      <c r="D42" s="156"/>
      <c r="E42" s="136">
        <v>0.35</v>
      </c>
      <c r="F42" s="137">
        <f>$F$48*E42</f>
        <v>3649920.3159999996</v>
      </c>
    </row>
    <row r="43" spans="2:6" s="93" customFormat="1" ht="12.75" hidden="1" customHeight="1">
      <c r="B43" s="155">
        <v>2</v>
      </c>
      <c r="C43" s="156" t="s">
        <v>306</v>
      </c>
      <c r="D43" s="156"/>
      <c r="E43" s="136">
        <v>0.3</v>
      </c>
      <c r="F43" s="137">
        <f t="shared" ref="F43:F46" si="3">$F$48*E43</f>
        <v>3128503.128</v>
      </c>
    </row>
    <row r="44" spans="2:6" s="93" customFormat="1" ht="12.75" hidden="1" customHeight="1">
      <c r="B44" s="155">
        <v>3</v>
      </c>
      <c r="C44" s="156" t="s">
        <v>307</v>
      </c>
      <c r="D44" s="156"/>
      <c r="E44" s="136">
        <v>0.2</v>
      </c>
      <c r="F44" s="137">
        <f t="shared" si="3"/>
        <v>2085668.7520000001</v>
      </c>
    </row>
    <row r="45" spans="2:6" s="93" customFormat="1" ht="12.75" hidden="1" customHeight="1">
      <c r="B45" s="155">
        <v>4</v>
      </c>
      <c r="C45" s="156" t="s">
        <v>308</v>
      </c>
      <c r="D45" s="156"/>
      <c r="E45" s="136">
        <v>0.1</v>
      </c>
      <c r="F45" s="137">
        <f t="shared" si="3"/>
        <v>1042834.376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521417.18800000002</v>
      </c>
    </row>
    <row r="47" spans="2:6" s="93" customFormat="1" ht="13.5" hidden="1" customHeight="1" thickBot="1">
      <c r="B47" s="161"/>
      <c r="C47" s="162" t="s">
        <v>309</v>
      </c>
      <c r="D47" s="162"/>
      <c r="E47" s="163">
        <f>SUM(E42:E46)</f>
        <v>0.99999999999999989</v>
      </c>
      <c r="F47" s="164">
        <f>SUM(F42:F46)</f>
        <v>10428343.76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10428343.76</v>
      </c>
    </row>
    <row r="49" spans="2:2" s="93" customFormat="1" ht="12.75" hidden="1" customHeight="1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1875" defaultRowHeight="13.2"/>
  <cols>
    <col min="1" max="2" width="9.21875" style="73"/>
    <col min="3" max="3" width="13.44140625" style="73" bestFit="1" customWidth="1"/>
    <col min="4" max="5" width="9.21875" style="73"/>
    <col min="6" max="6" width="12.88671875" style="73" bestFit="1" customWidth="1"/>
    <col min="7" max="7" width="1.109375" style="73" customWidth="1"/>
    <col min="8" max="8" width="11.21875" style="73" bestFit="1" customWidth="1"/>
    <col min="9" max="16384" width="9.21875" style="73"/>
  </cols>
  <sheetData>
    <row r="1" spans="3:8" ht="13.8" thickBot="1"/>
    <row r="2" spans="3:8" ht="13.8" thickBot="1">
      <c r="C2" s="83" t="s">
        <v>310</v>
      </c>
      <c r="F2" s="83" t="s">
        <v>311</v>
      </c>
    </row>
    <row r="3" spans="3:8">
      <c r="C3" s="79">
        <v>45658</v>
      </c>
      <c r="D3" s="73" t="s">
        <v>312</v>
      </c>
      <c r="F3" s="81" t="s">
        <v>313</v>
      </c>
    </row>
    <row r="4" spans="3:8">
      <c r="C4" s="79">
        <v>45737</v>
      </c>
      <c r="D4" s="73" t="s">
        <v>314</v>
      </c>
      <c r="F4" s="81" t="s">
        <v>315</v>
      </c>
    </row>
    <row r="5" spans="3:8">
      <c r="C5" s="79">
        <v>45765</v>
      </c>
      <c r="D5" s="73" t="s">
        <v>316</v>
      </c>
      <c r="F5" s="81" t="s">
        <v>317</v>
      </c>
    </row>
    <row r="6" spans="3:8" ht="13.8" thickBot="1">
      <c r="C6" s="79">
        <v>45768</v>
      </c>
      <c r="D6" s="73" t="s">
        <v>318</v>
      </c>
      <c r="F6" s="82" t="s">
        <v>319</v>
      </c>
    </row>
    <row r="7" spans="3:8">
      <c r="C7" s="79">
        <v>45774</v>
      </c>
      <c r="D7" s="73" t="s">
        <v>320</v>
      </c>
    </row>
    <row r="8" spans="3:8">
      <c r="C8" s="79">
        <v>45765</v>
      </c>
      <c r="D8" s="73" t="s">
        <v>321</v>
      </c>
    </row>
    <row r="9" spans="3:8">
      <c r="C9" s="79">
        <v>45778</v>
      </c>
      <c r="D9" s="73" t="s">
        <v>322</v>
      </c>
    </row>
    <row r="10" spans="3:8">
      <c r="C10" s="79">
        <v>45824</v>
      </c>
      <c r="D10" s="73" t="s">
        <v>323</v>
      </c>
    </row>
    <row r="11" spans="3:8">
      <c r="C11" s="79">
        <v>45878</v>
      </c>
      <c r="D11" s="73" t="s">
        <v>324</v>
      </c>
    </row>
    <row r="12" spans="3:8">
      <c r="C12" s="79">
        <v>45924</v>
      </c>
      <c r="D12" s="73" t="s">
        <v>325</v>
      </c>
    </row>
    <row r="13" spans="3:8">
      <c r="C13" s="79">
        <v>46007</v>
      </c>
      <c r="D13" s="73" t="s">
        <v>326</v>
      </c>
      <c r="F13" s="85"/>
      <c r="H13" s="73" t="s">
        <v>327</v>
      </c>
    </row>
    <row r="14" spans="3:8">
      <c r="C14" s="79">
        <v>46008</v>
      </c>
      <c r="D14" s="73" t="s">
        <v>328</v>
      </c>
      <c r="F14" s="85"/>
    </row>
    <row r="15" spans="3:8">
      <c r="C15" s="79">
        <v>46009</v>
      </c>
      <c r="D15" s="73" t="s">
        <v>328</v>
      </c>
      <c r="F15" s="85"/>
    </row>
    <row r="16" spans="3:8">
      <c r="C16" s="79">
        <v>46010</v>
      </c>
      <c r="D16" s="73" t="s">
        <v>328</v>
      </c>
      <c r="F16" s="85"/>
    </row>
    <row r="17" spans="3:6">
      <c r="C17" s="79">
        <v>46011</v>
      </c>
      <c r="D17" s="73" t="s">
        <v>328</v>
      </c>
      <c r="F17" s="85"/>
    </row>
    <row r="18" spans="3:6">
      <c r="C18" s="79">
        <v>46012</v>
      </c>
      <c r="D18" s="73" t="s">
        <v>328</v>
      </c>
      <c r="F18" s="85"/>
    </row>
    <row r="19" spans="3:6">
      <c r="C19" s="79">
        <v>46013</v>
      </c>
      <c r="D19" s="73" t="s">
        <v>328</v>
      </c>
      <c r="F19" s="85"/>
    </row>
    <row r="20" spans="3:6">
      <c r="C20" s="79">
        <v>46014</v>
      </c>
      <c r="D20" s="73" t="s">
        <v>328</v>
      </c>
      <c r="F20" s="85"/>
    </row>
    <row r="21" spans="3:6">
      <c r="C21" s="79">
        <v>46015</v>
      </c>
      <c r="D21" s="73" t="s">
        <v>328</v>
      </c>
      <c r="F21" s="85"/>
    </row>
    <row r="22" spans="3:6">
      <c r="C22" s="79">
        <v>46016</v>
      </c>
      <c r="D22" s="73" t="s">
        <v>328</v>
      </c>
      <c r="F22" s="85"/>
    </row>
    <row r="23" spans="3:6">
      <c r="C23" s="79">
        <v>46017</v>
      </c>
      <c r="D23" s="73" t="s">
        <v>328</v>
      </c>
      <c r="F23" s="85"/>
    </row>
    <row r="24" spans="3:6">
      <c r="C24" s="79">
        <v>46018</v>
      </c>
      <c r="D24" s="73" t="s">
        <v>328</v>
      </c>
      <c r="F24" s="85"/>
    </row>
    <row r="25" spans="3:6">
      <c r="C25" s="79">
        <v>46019</v>
      </c>
      <c r="D25" s="73" t="s">
        <v>328</v>
      </c>
      <c r="F25" s="85"/>
    </row>
    <row r="26" spans="3:6">
      <c r="C26" s="79">
        <v>46020</v>
      </c>
      <c r="D26" s="73" t="s">
        <v>328</v>
      </c>
      <c r="F26" s="85"/>
    </row>
    <row r="27" spans="3:6">
      <c r="C27" s="79">
        <v>46021</v>
      </c>
      <c r="D27" s="73" t="s">
        <v>328</v>
      </c>
      <c r="F27" s="85"/>
    </row>
    <row r="28" spans="3:6">
      <c r="C28" s="79">
        <v>46022</v>
      </c>
      <c r="D28" s="73" t="s">
        <v>328</v>
      </c>
      <c r="F28" s="85"/>
    </row>
    <row r="29" spans="3:6">
      <c r="C29" s="79">
        <v>46023</v>
      </c>
      <c r="D29" s="73" t="s">
        <v>328</v>
      </c>
      <c r="F29" s="85"/>
    </row>
    <row r="30" spans="3:6">
      <c r="C30" s="79">
        <v>46024</v>
      </c>
      <c r="D30" s="73" t="s">
        <v>328</v>
      </c>
      <c r="F30" s="85"/>
    </row>
    <row r="31" spans="3:6">
      <c r="C31" s="79">
        <v>46025</v>
      </c>
      <c r="D31" s="73" t="s">
        <v>328</v>
      </c>
      <c r="F31" s="85"/>
    </row>
    <row r="32" spans="3:6">
      <c r="C32" s="79">
        <v>46026</v>
      </c>
      <c r="D32" s="73" t="s">
        <v>328</v>
      </c>
      <c r="F32" s="85"/>
    </row>
    <row r="33" spans="3:6">
      <c r="C33" s="79">
        <v>46027</v>
      </c>
      <c r="D33" s="73" t="s">
        <v>328</v>
      </c>
      <c r="F33" s="85"/>
    </row>
    <row r="34" spans="3:6">
      <c r="C34" s="79">
        <v>46028</v>
      </c>
      <c r="D34" s="73" t="s">
        <v>328</v>
      </c>
      <c r="F34" s="85"/>
    </row>
    <row r="35" spans="3:6">
      <c r="C35" s="79">
        <v>46029</v>
      </c>
      <c r="D35" s="73" t="s">
        <v>328</v>
      </c>
      <c r="F35" s="85"/>
    </row>
    <row r="36" spans="3:6">
      <c r="C36" s="79">
        <v>46030</v>
      </c>
      <c r="D36" s="73" t="s">
        <v>328</v>
      </c>
      <c r="F36" s="85"/>
    </row>
    <row r="37" spans="3:6">
      <c r="C37" s="79">
        <v>46031</v>
      </c>
      <c r="D37" s="73" t="s">
        <v>328</v>
      </c>
      <c r="F37" s="85"/>
    </row>
    <row r="38" spans="3:6">
      <c r="C38" s="79">
        <v>46032</v>
      </c>
      <c r="D38" s="73" t="s">
        <v>328</v>
      </c>
      <c r="F38" s="85"/>
    </row>
    <row r="39" spans="3:6">
      <c r="C39" s="79">
        <v>46033</v>
      </c>
      <c r="D39" s="73" t="s">
        <v>328</v>
      </c>
      <c r="F39" s="85"/>
    </row>
    <row r="40" spans="3:6">
      <c r="C40" s="79">
        <v>46034</v>
      </c>
      <c r="D40" s="73" t="s">
        <v>328</v>
      </c>
      <c r="F40" s="85"/>
    </row>
    <row r="41" spans="3:6">
      <c r="C41" s="79">
        <v>46035</v>
      </c>
      <c r="D41" s="73" t="s">
        <v>328</v>
      </c>
      <c r="F41" s="85"/>
    </row>
    <row r="42" spans="3:6">
      <c r="C42" s="79">
        <v>46036</v>
      </c>
      <c r="D42" s="73" t="s">
        <v>328</v>
      </c>
      <c r="F42" s="85"/>
    </row>
    <row r="43" spans="3:6">
      <c r="C43" s="79">
        <v>46037</v>
      </c>
      <c r="D43" s="73" t="s">
        <v>328</v>
      </c>
      <c r="F43" s="85"/>
    </row>
    <row r="44" spans="3:6">
      <c r="C44" s="79">
        <v>46038</v>
      </c>
      <c r="D44" s="73" t="s">
        <v>328</v>
      </c>
      <c r="F44" s="85"/>
    </row>
    <row r="45" spans="3:6">
      <c r="C45" s="79">
        <v>46016</v>
      </c>
      <c r="D45" s="73" t="s">
        <v>329</v>
      </c>
    </row>
    <row r="46" spans="3:6" ht="13.8" thickBot="1">
      <c r="C46" s="80">
        <v>46017</v>
      </c>
      <c r="D46" s="73" t="s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109375" defaultRowHeight="13.8"/>
  <cols>
    <col min="1" max="1" width="1.109375" style="24" customWidth="1"/>
    <col min="2" max="2" width="8.109375" style="64"/>
    <col min="3" max="3" width="2.21875" style="64" customWidth="1"/>
    <col min="4" max="4" width="21.109375" style="24" customWidth="1"/>
    <col min="5" max="5" width="1.109375" style="24" customWidth="1"/>
    <col min="6" max="6" width="19.88671875" style="24" customWidth="1"/>
    <col min="7" max="7" width="1.109375" style="24" customWidth="1"/>
    <col min="8" max="8" width="18.21875" style="24" customWidth="1"/>
    <col min="9" max="9" width="3.109375" style="24" customWidth="1"/>
    <col min="10" max="10" width="21.88671875" style="24" customWidth="1"/>
    <col min="11" max="11" width="2" style="24" customWidth="1"/>
    <col min="12" max="12" width="53.109375" style="24" customWidth="1"/>
    <col min="13" max="16384" width="8.109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331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839"/>
      <c r="C4" s="839"/>
      <c r="D4" s="839"/>
      <c r="E4" s="413"/>
      <c r="F4" s="221" t="s">
        <v>268</v>
      </c>
      <c r="G4" s="216"/>
      <c r="H4" s="221" t="s">
        <v>269</v>
      </c>
      <c r="I4" s="216"/>
      <c r="J4" s="222" t="s">
        <v>332</v>
      </c>
      <c r="K4" s="112"/>
      <c r="L4" s="112"/>
    </row>
    <row r="5" spans="1:12" ht="14.4" thickBot="1">
      <c r="A5" s="216"/>
      <c r="B5" s="840" t="s">
        <v>333</v>
      </c>
      <c r="C5" s="840"/>
      <c r="D5" s="840"/>
      <c r="E5" s="413"/>
      <c r="F5" s="223">
        <f>SUM(F9:F23)</f>
        <v>9590676.1310892869</v>
      </c>
      <c r="G5" s="218"/>
      <c r="H5" s="223">
        <f>SUM(H9:H23)</f>
        <v>7623191.6623272402</v>
      </c>
      <c r="I5" s="216"/>
      <c r="J5" s="224">
        <f>SUM(J9:J23)</f>
        <v>1967484.4687620457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184</v>
      </c>
      <c r="C7" s="227"/>
      <c r="D7" s="226" t="s">
        <v>140</v>
      </c>
      <c r="E7" s="227"/>
      <c r="F7" s="228" t="s">
        <v>334</v>
      </c>
      <c r="G7" s="229"/>
      <c r="H7" s="228" t="s">
        <v>335</v>
      </c>
      <c r="I7" s="229"/>
      <c r="J7" s="228" t="s">
        <v>336</v>
      </c>
      <c r="K7" s="173"/>
      <c r="L7" s="115" t="s">
        <v>337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357968.1</v>
      </c>
      <c r="I11" s="89"/>
      <c r="J11" s="233">
        <f t="shared" si="0"/>
        <v>747850.11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611190.20000000019</v>
      </c>
      <c r="I12" s="89"/>
      <c r="J12" s="233">
        <f t="shared" si="0"/>
        <v>506299.89999999991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91491.62999999999</v>
      </c>
      <c r="I13" s="89"/>
      <c r="J13" s="233">
        <f t="shared" si="0"/>
        <v>-42491.62999999999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312826</v>
      </c>
      <c r="I16" s="89"/>
      <c r="J16" s="233">
        <f t="shared" si="0"/>
        <v>-12826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1105291.31</v>
      </c>
      <c r="I17" s="89"/>
      <c r="J17" s="233">
        <f t="shared" si="0"/>
        <v>-45158.810000000056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147013.6</v>
      </c>
      <c r="I19" s="89"/>
      <c r="J19" s="233">
        <f t="shared" si="0"/>
        <v>34999.150000000023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46227.429999999993</v>
      </c>
      <c r="I22" s="89"/>
      <c r="J22" s="233">
        <f t="shared" si="0"/>
        <v>-22427.429999999993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506406.62999999995</v>
      </c>
      <c r="I23" s="89"/>
      <c r="J23" s="233">
        <f t="shared" si="0"/>
        <v>-506406.62999999995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55"/>
  <sheetViews>
    <sheetView tabSelected="1" topLeftCell="L1" zoomScale="70" zoomScaleNormal="70" workbookViewId="0">
      <pane ySplit="4" topLeftCell="A167" activePane="bottomLeft" state="frozen"/>
      <selection activeCell="X33" sqref="X33"/>
      <selection pane="bottomLeft" activeCell="W191" sqref="W191"/>
    </sheetView>
  </sheetViews>
  <sheetFormatPr defaultColWidth="9.21875" defaultRowHeight="13.8"/>
  <cols>
    <col min="1" max="1" width="2.21875" style="112" hidden="1" customWidth="1"/>
    <col min="2" max="2" width="6.44140625" style="24" hidden="1" customWidth="1"/>
    <col min="3" max="3" width="20.44140625" style="24" hidden="1" customWidth="1"/>
    <col min="4" max="4" width="51.88671875" style="24" hidden="1" customWidth="1"/>
    <col min="5" max="5" width="13.21875" style="70" hidden="1" customWidth="1"/>
    <col min="6" max="6" width="16.5546875" style="474" hidden="1" customWidth="1"/>
    <col min="7" max="7" width="17.109375" style="24" hidden="1" customWidth="1"/>
    <col min="8" max="8" width="17.109375" style="541" hidden="1" customWidth="1"/>
    <col min="9" max="9" width="22.44140625" style="351" hidden="1" customWidth="1"/>
    <col min="10" max="10" width="22.44140625" style="351" bestFit="1" customWidth="1"/>
    <col min="11" max="12" width="5.109375" style="112" customWidth="1"/>
    <col min="13" max="13" width="25.5546875" style="112" customWidth="1"/>
    <col min="14" max="14" width="73.21875" style="112" bestFit="1" customWidth="1"/>
    <col min="15" max="15" width="15.5546875" style="112" customWidth="1"/>
    <col min="16" max="17" width="17.109375" style="112" customWidth="1"/>
    <col min="18" max="18" width="40.109375" style="112" bestFit="1" customWidth="1"/>
    <col min="19" max="19" width="32.21875" style="112" bestFit="1" customWidth="1"/>
    <col min="20" max="21" width="17.109375" style="541" customWidth="1"/>
    <col min="22" max="22" width="17.109375" style="112" customWidth="1"/>
    <col min="23" max="23" width="17.109375" style="541" customWidth="1"/>
    <col min="24" max="24" width="21.109375" style="112" customWidth="1"/>
    <col min="25" max="25" width="29.44140625" style="112" bestFit="1" customWidth="1"/>
    <col min="26" max="26" width="24.109375" style="112" bestFit="1" customWidth="1"/>
    <col min="27" max="76" width="17.109375" style="112" customWidth="1"/>
    <col min="77" max="16384" width="9.218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90" t="s">
        <v>339</v>
      </c>
      <c r="C2" s="791"/>
      <c r="D2" s="791"/>
      <c r="E2" s="791"/>
      <c r="F2" s="791"/>
      <c r="G2" s="791"/>
      <c r="H2" s="502"/>
      <c r="I2" s="259">
        <f>SUM(I6:I196)</f>
        <v>9590676.1310892869</v>
      </c>
      <c r="J2" s="259">
        <f>SUM(J6:J196)</f>
        <v>12428344.346179174</v>
      </c>
      <c r="L2" s="792" t="s">
        <v>340</v>
      </c>
      <c r="M2" s="793"/>
      <c r="N2" s="793"/>
      <c r="O2" s="793"/>
      <c r="P2" s="793"/>
      <c r="Q2" s="793"/>
      <c r="R2" s="794" t="s">
        <v>341</v>
      </c>
      <c r="S2" s="795"/>
      <c r="T2" s="795"/>
      <c r="U2" s="795"/>
      <c r="V2" s="795"/>
      <c r="W2" s="796"/>
      <c r="X2" s="478">
        <f>SUM(X6:X196)</f>
        <v>7623191.6623272402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342</v>
      </c>
      <c r="C4" s="261" t="s">
        <v>343</v>
      </c>
      <c r="D4" s="261" t="s">
        <v>344</v>
      </c>
      <c r="E4" s="261" t="s">
        <v>345</v>
      </c>
      <c r="F4" s="465" t="s">
        <v>346</v>
      </c>
      <c r="G4" s="262" t="s">
        <v>347</v>
      </c>
      <c r="H4" s="639" t="s">
        <v>348</v>
      </c>
      <c r="I4" s="263" t="s">
        <v>349</v>
      </c>
      <c r="J4" s="263" t="str">
        <f>IF(J2-'Revenue Tracking'!D4&gt;=0, "Total Revenue", "ERROR on REV" )</f>
        <v>Total Revenue</v>
      </c>
      <c r="K4" s="166"/>
      <c r="L4" s="260" t="s">
        <v>342</v>
      </c>
      <c r="M4" s="261" t="s">
        <v>350</v>
      </c>
      <c r="N4" s="261" t="s">
        <v>344</v>
      </c>
      <c r="O4" s="261" t="s">
        <v>345</v>
      </c>
      <c r="P4" s="465" t="s">
        <v>346</v>
      </c>
      <c r="Q4" s="373" t="s">
        <v>351</v>
      </c>
      <c r="R4" s="614" t="s">
        <v>352</v>
      </c>
      <c r="S4" s="615" t="s">
        <v>283</v>
      </c>
      <c r="T4" s="639" t="s">
        <v>284</v>
      </c>
      <c r="U4" s="640" t="s">
        <v>353</v>
      </c>
      <c r="V4" s="373" t="s">
        <v>354</v>
      </c>
      <c r="W4" s="639" t="s">
        <v>348</v>
      </c>
      <c r="X4" s="480" t="s">
        <v>349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355</v>
      </c>
      <c r="D6" s="283" t="s">
        <v>356</v>
      </c>
      <c r="E6" s="284"/>
      <c r="F6" s="437"/>
      <c r="G6" s="391">
        <f>D197</f>
        <v>2857717.17</v>
      </c>
      <c r="H6" s="565">
        <v>46022</v>
      </c>
      <c r="I6" s="738">
        <f>SUM(G6:G11)</f>
        <v>2857717.17</v>
      </c>
      <c r="J6" s="738">
        <f>F197</f>
        <v>3072814.1612903224</v>
      </c>
      <c r="K6" s="388"/>
      <c r="L6" s="282">
        <v>1</v>
      </c>
      <c r="M6" s="417" t="s">
        <v>357</v>
      </c>
      <c r="N6" s="283" t="s">
        <v>358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359</v>
      </c>
      <c r="T6" s="662">
        <v>45961</v>
      </c>
      <c r="U6" s="669">
        <v>1729623.9294687072</v>
      </c>
      <c r="V6" s="750">
        <f>J6-SUM(U6:U11)</f>
        <v>0</v>
      </c>
      <c r="W6" s="692">
        <v>46003</v>
      </c>
      <c r="X6" s="741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360</v>
      </c>
      <c r="E7" s="390"/>
      <c r="F7" s="459"/>
      <c r="G7" s="316"/>
      <c r="H7" s="566"/>
      <c r="I7" s="739"/>
      <c r="J7" s="739"/>
      <c r="K7" s="289"/>
      <c r="L7" s="312">
        <v>1</v>
      </c>
      <c r="M7" s="314" t="s">
        <v>357</v>
      </c>
      <c r="N7" s="389" t="s">
        <v>361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362</v>
      </c>
      <c r="T7" s="659">
        <v>45961</v>
      </c>
      <c r="U7" s="669">
        <v>1343190.2318216152</v>
      </c>
      <c r="V7" s="751"/>
      <c r="W7" s="693">
        <v>46009</v>
      </c>
      <c r="X7" s="742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9"/>
      <c r="J8" s="739"/>
      <c r="K8" s="289"/>
      <c r="L8" s="312">
        <v>1</v>
      </c>
      <c r="M8" s="314" t="s">
        <v>357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51"/>
      <c r="W8" s="566"/>
      <c r="X8" s="742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9"/>
      <c r="J9" s="739"/>
      <c r="K9" s="289"/>
      <c r="L9" s="312">
        <v>1</v>
      </c>
      <c r="M9" s="314" t="s">
        <v>357</v>
      </c>
      <c r="N9" s="485" t="s">
        <v>363</v>
      </c>
      <c r="O9" s="544">
        <v>2</v>
      </c>
      <c r="P9" s="444"/>
      <c r="Q9" s="386">
        <v>4136.3999999999996</v>
      </c>
      <c r="R9" s="583" t="s">
        <v>364</v>
      </c>
      <c r="S9" s="619" t="s">
        <v>365</v>
      </c>
      <c r="T9" s="667">
        <v>46053</v>
      </c>
      <c r="U9" s="669">
        <v>0</v>
      </c>
      <c r="V9" s="751"/>
      <c r="W9" s="535">
        <v>46100</v>
      </c>
      <c r="X9" s="742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9"/>
      <c r="J10" s="739"/>
      <c r="K10" s="289"/>
      <c r="L10" s="312">
        <v>1</v>
      </c>
      <c r="M10" s="314" t="s">
        <v>357</v>
      </c>
      <c r="N10" s="485" t="s">
        <v>366</v>
      </c>
      <c r="O10" s="544">
        <v>7</v>
      </c>
      <c r="P10" s="444"/>
      <c r="Q10" s="386">
        <v>10677.4</v>
      </c>
      <c r="R10" s="583"/>
      <c r="S10" s="619" t="s">
        <v>367</v>
      </c>
      <c r="T10" s="667">
        <v>46053</v>
      </c>
      <c r="U10" s="669">
        <v>0</v>
      </c>
      <c r="V10" s="751"/>
      <c r="W10" s="680">
        <v>46100</v>
      </c>
      <c r="X10" s="742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40"/>
      <c r="J11" s="740"/>
      <c r="K11" s="290"/>
      <c r="L11" s="317">
        <v>1</v>
      </c>
      <c r="M11" s="419" t="s">
        <v>357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52"/>
      <c r="W11" s="568"/>
      <c r="X11" s="743"/>
      <c r="Y11" s="598" t="s">
        <v>368</v>
      </c>
      <c r="Z11" s="599" t="s">
        <v>369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370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371</v>
      </c>
      <c r="E13" s="366">
        <v>11</v>
      </c>
      <c r="F13" s="457"/>
      <c r="G13" s="297">
        <f>D198</f>
        <v>770000</v>
      </c>
      <c r="H13" s="570">
        <f>H6</f>
        <v>46022</v>
      </c>
      <c r="I13" s="758">
        <f>SUM(G13:G19)</f>
        <v>770000</v>
      </c>
      <c r="J13" s="758">
        <f>F198</f>
        <v>827956.98924731184</v>
      </c>
      <c r="K13" s="298"/>
      <c r="L13" s="294">
        <v>2</v>
      </c>
      <c r="M13" s="420" t="s">
        <v>372</v>
      </c>
      <c r="N13" s="320" t="s">
        <v>373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81">
        <f>J13-SUM(U13:U19)</f>
        <v>0</v>
      </c>
      <c r="W13" s="694">
        <f>W6</f>
        <v>46003</v>
      </c>
      <c r="X13" s="761">
        <f>SUM(Q13:Q19)</f>
        <v>757573.93799999997</v>
      </c>
      <c r="Y13" s="600" t="s">
        <v>374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59"/>
      <c r="J14" s="759"/>
      <c r="K14" s="302"/>
      <c r="L14" s="299">
        <v>2</v>
      </c>
      <c r="M14" s="426" t="s">
        <v>372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82"/>
      <c r="W14" s="571"/>
      <c r="X14" s="762"/>
      <c r="Y14" s="600" t="s">
        <v>375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59"/>
      <c r="J15" s="759"/>
      <c r="K15" s="302"/>
      <c r="L15" s="299">
        <v>2</v>
      </c>
      <c r="M15" s="426" t="s">
        <v>372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82"/>
      <c r="W15" s="571"/>
      <c r="X15" s="762"/>
      <c r="Y15" s="600" t="s">
        <v>376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59"/>
      <c r="J16" s="759"/>
      <c r="K16" s="302"/>
      <c r="L16" s="299">
        <v>2</v>
      </c>
      <c r="M16" s="426" t="s">
        <v>372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82"/>
      <c r="W16" s="571"/>
      <c r="X16" s="762"/>
      <c r="Y16" s="600" t="s">
        <v>377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59"/>
      <c r="J17" s="759"/>
      <c r="K17" s="302"/>
      <c r="L17" s="299">
        <v>2</v>
      </c>
      <c r="M17" s="426" t="s">
        <v>372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82"/>
      <c r="W17" s="571"/>
      <c r="X17" s="762"/>
      <c r="Y17" s="600" t="s">
        <v>378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59"/>
      <c r="J18" s="759"/>
      <c r="K18" s="302"/>
      <c r="L18" s="299">
        <v>2</v>
      </c>
      <c r="M18" s="426" t="s">
        <v>372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82"/>
      <c r="W18" s="571"/>
      <c r="X18" s="762"/>
      <c r="Y18" s="600" t="s">
        <v>379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60"/>
      <c r="J19" s="760"/>
      <c r="K19" s="307"/>
      <c r="L19" s="395">
        <v>2</v>
      </c>
      <c r="M19" s="421" t="s">
        <v>372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83"/>
      <c r="W19" s="572"/>
      <c r="X19" s="763"/>
      <c r="Y19" s="600" t="s">
        <v>380</v>
      </c>
      <c r="Z19" s="601">
        <v>0</v>
      </c>
    </row>
    <row r="20" spans="1:26" ht="14.4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381</v>
      </c>
      <c r="D21" s="328" t="s">
        <v>382</v>
      </c>
      <c r="E21" s="284"/>
      <c r="F21" s="437"/>
      <c r="G21" s="285">
        <f>D199</f>
        <v>1105818.21</v>
      </c>
      <c r="H21" s="573">
        <f>E21+30</f>
        <v>30</v>
      </c>
      <c r="I21" s="738">
        <f>SUM(G21:G29)</f>
        <v>1105818.21</v>
      </c>
      <c r="J21" s="738">
        <f>F199</f>
        <v>1189051.8387096773</v>
      </c>
      <c r="K21" s="286"/>
      <c r="L21" s="282">
        <v>3</v>
      </c>
      <c r="M21" s="422" t="s">
        <v>383</v>
      </c>
      <c r="N21" s="328" t="s">
        <v>384</v>
      </c>
      <c r="O21" s="542"/>
      <c r="P21" s="437"/>
      <c r="Q21" s="285">
        <v>40621.449999999997</v>
      </c>
      <c r="R21" s="589" t="s">
        <v>385</v>
      </c>
      <c r="S21" s="625" t="s">
        <v>386</v>
      </c>
      <c r="T21" s="666">
        <v>45961</v>
      </c>
      <c r="U21" s="669">
        <v>142264.21881568199</v>
      </c>
      <c r="V21" s="750">
        <f>J21-SUM(U21:U29)</f>
        <v>0</v>
      </c>
      <c r="W21" s="695">
        <v>46003</v>
      </c>
      <c r="X21" s="741">
        <f>SUM(Q21:Q29)</f>
        <v>357968.1</v>
      </c>
      <c r="Y21" s="600" t="s">
        <v>387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39"/>
      <c r="J22" s="739"/>
      <c r="K22" s="289"/>
      <c r="L22" s="312">
        <v>3</v>
      </c>
      <c r="M22" s="423" t="s">
        <v>383</v>
      </c>
      <c r="N22" s="329"/>
      <c r="O22" s="543"/>
      <c r="P22" s="459"/>
      <c r="Q22" s="316">
        <v>45778.95</v>
      </c>
      <c r="R22" s="582"/>
      <c r="S22" s="618" t="s">
        <v>388</v>
      </c>
      <c r="T22" s="644">
        <v>45961</v>
      </c>
      <c r="U22" s="669">
        <v>160326.78695497487</v>
      </c>
      <c r="V22" s="751"/>
      <c r="W22" s="693">
        <v>46009</v>
      </c>
      <c r="X22" s="742"/>
      <c r="Y22" s="600" t="s">
        <v>309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39"/>
      <c r="J23" s="739"/>
      <c r="K23" s="289"/>
      <c r="L23" s="312">
        <v>3</v>
      </c>
      <c r="M23" s="423" t="s">
        <v>383</v>
      </c>
      <c r="N23" s="329"/>
      <c r="O23" s="543"/>
      <c r="P23" s="459"/>
      <c r="Q23" s="316">
        <v>50931.199999999997</v>
      </c>
      <c r="R23" s="582"/>
      <c r="S23" s="618" t="s">
        <v>389</v>
      </c>
      <c r="T23" s="644">
        <v>45961</v>
      </c>
      <c r="U23" s="669">
        <v>178370.96857313716</v>
      </c>
      <c r="V23" s="751"/>
      <c r="W23" s="693">
        <v>46003</v>
      </c>
      <c r="X23" s="742"/>
      <c r="Y23" s="600" t="s">
        <v>390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39"/>
      <c r="J24" s="739"/>
      <c r="K24" s="289"/>
      <c r="L24" s="312">
        <v>3</v>
      </c>
      <c r="M24" s="423" t="s">
        <v>383</v>
      </c>
      <c r="N24" s="385"/>
      <c r="O24" s="544"/>
      <c r="P24" s="444"/>
      <c r="Q24" s="386">
        <v>202184.62</v>
      </c>
      <c r="R24" s="583"/>
      <c r="S24" s="619" t="s">
        <v>391</v>
      </c>
      <c r="T24" s="667">
        <v>45961</v>
      </c>
      <c r="U24" s="669">
        <v>708089.8643658834</v>
      </c>
      <c r="V24" s="751"/>
      <c r="W24" s="680">
        <v>46003</v>
      </c>
      <c r="X24" s="742"/>
      <c r="Y24" s="605" t="s">
        <v>392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39"/>
      <c r="J25" s="739"/>
      <c r="K25" s="289"/>
      <c r="L25" s="312">
        <v>3</v>
      </c>
      <c r="M25" s="423" t="s">
        <v>383</v>
      </c>
      <c r="N25" s="385" t="s">
        <v>393</v>
      </c>
      <c r="O25" s="544"/>
      <c r="P25" s="444"/>
      <c r="Q25" s="386">
        <v>71394.92</v>
      </c>
      <c r="R25" s="583" t="s">
        <v>394</v>
      </c>
      <c r="S25" s="619" t="s">
        <v>395</v>
      </c>
      <c r="T25" s="667">
        <v>45991</v>
      </c>
      <c r="U25" s="669">
        <v>0</v>
      </c>
      <c r="V25" s="751"/>
      <c r="W25" s="535">
        <v>45989</v>
      </c>
      <c r="X25" s="742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39"/>
      <c r="J26" s="739"/>
      <c r="K26" s="289"/>
      <c r="L26" s="312">
        <v>3</v>
      </c>
      <c r="M26" s="423" t="s">
        <v>383</v>
      </c>
      <c r="N26" s="385"/>
      <c r="O26" s="544"/>
      <c r="P26" s="444"/>
      <c r="Q26" s="386">
        <v>-67046.2</v>
      </c>
      <c r="R26" s="583"/>
      <c r="S26" s="619" t="s">
        <v>396</v>
      </c>
      <c r="T26" s="667">
        <v>46053</v>
      </c>
      <c r="U26" s="669">
        <v>0</v>
      </c>
      <c r="V26" s="751"/>
      <c r="W26" s="680">
        <v>46059</v>
      </c>
      <c r="X26" s="742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39"/>
      <c r="J27" s="739"/>
      <c r="K27" s="289"/>
      <c r="L27" s="312">
        <v>3</v>
      </c>
      <c r="M27" s="423" t="s">
        <v>383</v>
      </c>
      <c r="N27" s="385" t="s">
        <v>397</v>
      </c>
      <c r="O27" s="544"/>
      <c r="P27" s="444"/>
      <c r="Q27" s="386">
        <v>2283.6999999999998</v>
      </c>
      <c r="R27" s="583" t="s">
        <v>398</v>
      </c>
      <c r="S27" s="619" t="s">
        <v>399</v>
      </c>
      <c r="T27" s="667">
        <v>46081</v>
      </c>
      <c r="U27" s="669">
        <v>0</v>
      </c>
      <c r="V27" s="751"/>
      <c r="W27" s="680">
        <v>46059</v>
      </c>
      <c r="X27" s="742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39"/>
      <c r="J28" s="739"/>
      <c r="K28" s="289"/>
      <c r="L28" s="312">
        <v>3</v>
      </c>
      <c r="M28" s="423" t="s">
        <v>383</v>
      </c>
      <c r="N28" s="385" t="s">
        <v>400</v>
      </c>
      <c r="O28" s="544"/>
      <c r="P28" s="444"/>
      <c r="Q28" s="386">
        <v>-3737.49</v>
      </c>
      <c r="R28" s="583"/>
      <c r="S28" s="619"/>
      <c r="T28" s="519">
        <v>46142</v>
      </c>
      <c r="U28" s="669">
        <v>0</v>
      </c>
      <c r="V28" s="751"/>
      <c r="W28" s="567">
        <v>46142</v>
      </c>
      <c r="X28" s="742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40"/>
      <c r="J29" s="740"/>
      <c r="K29" s="290"/>
      <c r="L29" s="317">
        <v>3</v>
      </c>
      <c r="M29" s="424" t="s">
        <v>383</v>
      </c>
      <c r="N29" s="330" t="s">
        <v>401</v>
      </c>
      <c r="O29" s="545"/>
      <c r="P29" s="460"/>
      <c r="Q29" s="331">
        <v>15556.95</v>
      </c>
      <c r="R29" s="584" t="s">
        <v>402</v>
      </c>
      <c r="S29" s="619" t="s">
        <v>403</v>
      </c>
      <c r="T29" s="703">
        <v>46053</v>
      </c>
      <c r="U29" s="686">
        <v>0</v>
      </c>
      <c r="V29" s="752"/>
      <c r="W29" s="704">
        <v>46045</v>
      </c>
      <c r="X29" s="743"/>
      <c r="Y29" s="606" t="s">
        <v>404</v>
      </c>
      <c r="Z29" s="607" t="s">
        <v>405</v>
      </c>
    </row>
    <row r="30" spans="1:26" ht="14.4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374</v>
      </c>
      <c r="D31" s="295" t="s">
        <v>406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58">
        <f>SUM(G31:G49)</f>
        <v>1117490.1000000001</v>
      </c>
      <c r="J31" s="758">
        <f>F200</f>
        <v>1201602.2580645164</v>
      </c>
      <c r="K31" s="298"/>
      <c r="L31" s="294">
        <v>4</v>
      </c>
      <c r="M31" s="425" t="s">
        <v>407</v>
      </c>
      <c r="N31" s="295" t="s">
        <v>408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81">
        <f>J31-SUM(U31:U49)</f>
        <v>-2.546901348978281E-3</v>
      </c>
      <c r="W31" s="696">
        <f>W6</f>
        <v>46003</v>
      </c>
      <c r="X31" s="761">
        <f>SUM(Q31:Q49)</f>
        <v>611190.20000000019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409</v>
      </c>
      <c r="E32" s="394"/>
      <c r="F32" s="453"/>
      <c r="G32" s="634">
        <f>D200-G31</f>
        <v>675888.10000000009</v>
      </c>
      <c r="H32" s="570">
        <v>46022</v>
      </c>
      <c r="I32" s="759"/>
      <c r="J32" s="759"/>
      <c r="K32" s="302"/>
      <c r="L32" s="299">
        <v>4</v>
      </c>
      <c r="M32" s="426" t="s">
        <v>407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82"/>
      <c r="W32" s="696">
        <f>W7</f>
        <v>46009</v>
      </c>
      <c r="X32" s="762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59"/>
      <c r="J33" s="759"/>
      <c r="K33" s="302"/>
      <c r="L33" s="299">
        <v>4</v>
      </c>
      <c r="M33" s="426" t="s">
        <v>407</v>
      </c>
      <c r="N33" s="408" t="s">
        <v>410</v>
      </c>
      <c r="O33" s="540">
        <v>-4000</v>
      </c>
      <c r="P33" s="453">
        <v>13.65</v>
      </c>
      <c r="Q33" s="301">
        <f>O33*P33</f>
        <v>-54600</v>
      </c>
      <c r="R33" s="587"/>
      <c r="S33" s="623" t="s">
        <v>411</v>
      </c>
      <c r="T33" s="671">
        <v>46112</v>
      </c>
      <c r="U33" s="508">
        <v>0</v>
      </c>
      <c r="V33" s="782"/>
      <c r="W33" s="676">
        <v>46112</v>
      </c>
      <c r="X33" s="762"/>
      <c r="Y33" s="608" t="str">
        <f t="shared" si="1"/>
        <v>DC Labour</v>
      </c>
      <c r="Z33" s="609">
        <v>962495.8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59"/>
      <c r="J34" s="759"/>
      <c r="K34" s="302"/>
      <c r="L34" s="299">
        <v>4</v>
      </c>
      <c r="M34" s="426" t="s">
        <v>407</v>
      </c>
      <c r="N34" s="408" t="s">
        <v>412</v>
      </c>
      <c r="O34" s="548">
        <v>-3500</v>
      </c>
      <c r="P34" s="453">
        <v>13.65</v>
      </c>
      <c r="Q34" s="301">
        <f>O34*P34</f>
        <v>-47775</v>
      </c>
      <c r="R34" s="587"/>
      <c r="S34" s="623" t="s">
        <v>411</v>
      </c>
      <c r="T34" s="671">
        <v>46112</v>
      </c>
      <c r="U34" s="508">
        <v>0</v>
      </c>
      <c r="V34" s="782"/>
      <c r="W34" s="676">
        <v>46112</v>
      </c>
      <c r="X34" s="762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59"/>
      <c r="J35" s="759"/>
      <c r="K35" s="302"/>
      <c r="L35" s="299">
        <v>4</v>
      </c>
      <c r="M35" s="426" t="s">
        <v>407</v>
      </c>
      <c r="N35" s="408" t="s">
        <v>413</v>
      </c>
      <c r="O35" s="559">
        <f>Z31</f>
        <v>169665.2</v>
      </c>
      <c r="P35" s="560">
        <v>0.1</v>
      </c>
      <c r="Q35" s="301">
        <f>$O$35*P35</f>
        <v>16966.52</v>
      </c>
      <c r="R35" s="779"/>
      <c r="S35" s="623" t="str">
        <f>S105</f>
        <v>JA Electrical - Inv 1104</v>
      </c>
      <c r="T35" s="674">
        <f>T105</f>
        <v>45961</v>
      </c>
      <c r="U35" s="684">
        <v>28570.632008815413</v>
      </c>
      <c r="V35" s="782"/>
      <c r="W35" s="689">
        <f t="shared" ref="W35:W37" si="2">W105</f>
        <v>45967</v>
      </c>
      <c r="X35" s="762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59"/>
      <c r="J36" s="759"/>
      <c r="K36" s="302"/>
      <c r="L36" s="299">
        <v>4</v>
      </c>
      <c r="M36" s="426" t="s">
        <v>407</v>
      </c>
      <c r="N36" s="408" t="s">
        <v>202</v>
      </c>
      <c r="O36" s="548"/>
      <c r="P36" s="560">
        <v>0.15</v>
      </c>
      <c r="Q36" s="301">
        <f t="shared" ref="Q36:Q46" si="3">$O$35*P36</f>
        <v>25449.780000000002</v>
      </c>
      <c r="R36" s="784"/>
      <c r="S36" s="623" t="str">
        <f>S106</f>
        <v>JA Electrical - Inv 1105</v>
      </c>
      <c r="T36" s="674">
        <f>T106</f>
        <v>45961</v>
      </c>
      <c r="U36" s="684">
        <v>42855.948013223126</v>
      </c>
      <c r="V36" s="782"/>
      <c r="W36" s="689">
        <f t="shared" si="2"/>
        <v>45967</v>
      </c>
      <c r="X36" s="762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59"/>
      <c r="J37" s="759"/>
      <c r="K37" s="302"/>
      <c r="L37" s="299">
        <v>4</v>
      </c>
      <c r="M37" s="426" t="s">
        <v>407</v>
      </c>
      <c r="N37" s="408" t="s">
        <v>414</v>
      </c>
      <c r="O37" s="548"/>
      <c r="P37" s="560">
        <v>0.1</v>
      </c>
      <c r="Q37" s="301">
        <f t="shared" si="3"/>
        <v>16966.52</v>
      </c>
      <c r="R37" s="784"/>
      <c r="S37" s="623" t="s">
        <v>415</v>
      </c>
      <c r="T37" s="660">
        <f t="shared" ref="T37:T42" si="4">T107</f>
        <v>46022</v>
      </c>
      <c r="U37" s="684">
        <v>28570.632008815413</v>
      </c>
      <c r="V37" s="782"/>
      <c r="W37" s="689">
        <f t="shared" si="2"/>
        <v>46003</v>
      </c>
      <c r="X37" s="762"/>
      <c r="Y37" s="608" t="s">
        <v>416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59"/>
      <c r="J38" s="759"/>
      <c r="K38" s="302"/>
      <c r="L38" s="299">
        <v>4</v>
      </c>
      <c r="M38" s="426" t="s">
        <v>407</v>
      </c>
      <c r="N38" s="408" t="s">
        <v>414</v>
      </c>
      <c r="O38" s="548"/>
      <c r="P38" s="709">
        <f>P108</f>
        <v>7.4999999999999997E-2</v>
      </c>
      <c r="Q38" s="301">
        <f t="shared" si="3"/>
        <v>12724.890000000001</v>
      </c>
      <c r="R38" s="784"/>
      <c r="S38" s="623" t="s">
        <v>417</v>
      </c>
      <c r="T38" s="674">
        <f t="shared" si="4"/>
        <v>46053</v>
      </c>
      <c r="U38" s="684">
        <v>21427.974006611563</v>
      </c>
      <c r="V38" s="782"/>
      <c r="W38" s="689">
        <f>W72</f>
        <v>46066</v>
      </c>
      <c r="X38" s="762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59"/>
      <c r="J39" s="759"/>
      <c r="K39" s="302"/>
      <c r="L39" s="299">
        <v>4</v>
      </c>
      <c r="M39" s="426" t="s">
        <v>407</v>
      </c>
      <c r="N39" s="408" t="s">
        <v>414</v>
      </c>
      <c r="O39" s="548"/>
      <c r="P39" s="709">
        <f>P109</f>
        <v>2.5000000000000001E-2</v>
      </c>
      <c r="Q39" s="725">
        <f t="shared" ref="Q39" si="5">$O$35*P39</f>
        <v>4241.63</v>
      </c>
      <c r="R39" s="784"/>
      <c r="S39" s="623" t="s">
        <v>418</v>
      </c>
      <c r="T39" s="674">
        <f t="shared" si="4"/>
        <v>46081</v>
      </c>
      <c r="U39" s="684">
        <v>7142.6580022038534</v>
      </c>
      <c r="V39" s="782"/>
      <c r="W39" s="676">
        <v>46100</v>
      </c>
      <c r="X39" s="762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59"/>
      <c r="J40" s="759"/>
      <c r="K40" s="302"/>
      <c r="L40" s="299">
        <v>4</v>
      </c>
      <c r="M40" s="426" t="s">
        <v>407</v>
      </c>
      <c r="N40" s="408" t="s">
        <v>419</v>
      </c>
      <c r="O40" s="548"/>
      <c r="P40" s="560">
        <v>0.2</v>
      </c>
      <c r="Q40" s="301">
        <f t="shared" si="3"/>
        <v>33933.040000000001</v>
      </c>
      <c r="R40" s="784"/>
      <c r="S40" s="623" t="s">
        <v>415</v>
      </c>
      <c r="T40" s="660">
        <f t="shared" si="4"/>
        <v>46022</v>
      </c>
      <c r="U40" s="684">
        <v>57141.264017630827</v>
      </c>
      <c r="V40" s="782"/>
      <c r="W40" s="689">
        <f>W110</f>
        <v>46003</v>
      </c>
      <c r="X40" s="762"/>
      <c r="Y40" s="608" t="s">
        <v>420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59"/>
      <c r="J41" s="759"/>
      <c r="K41" s="302"/>
      <c r="L41" s="299">
        <v>4</v>
      </c>
      <c r="M41" s="426" t="s">
        <v>407</v>
      </c>
      <c r="N41" s="408" t="s">
        <v>419</v>
      </c>
      <c r="O41" s="548"/>
      <c r="P41" s="709">
        <f>P111</f>
        <v>2.5000000000000001E-2</v>
      </c>
      <c r="Q41" s="301">
        <f t="shared" si="3"/>
        <v>4241.63</v>
      </c>
      <c r="R41" s="784"/>
      <c r="S41" s="623" t="s">
        <v>417</v>
      </c>
      <c r="T41" s="674">
        <f t="shared" si="4"/>
        <v>46053</v>
      </c>
      <c r="U41" s="684">
        <v>7142.6580022038534</v>
      </c>
      <c r="V41" s="782"/>
      <c r="W41" s="689">
        <f>W76</f>
        <v>46066</v>
      </c>
      <c r="X41" s="762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59"/>
      <c r="J42" s="759"/>
      <c r="K42" s="302"/>
      <c r="L42" s="299">
        <v>4</v>
      </c>
      <c r="M42" s="426" t="s">
        <v>407</v>
      </c>
      <c r="N42" s="408" t="s">
        <v>419</v>
      </c>
      <c r="O42" s="548"/>
      <c r="P42" s="709">
        <f>P112</f>
        <v>2.5000000000000001E-2</v>
      </c>
      <c r="Q42" s="725">
        <f t="shared" si="3"/>
        <v>4241.63</v>
      </c>
      <c r="R42" s="784"/>
      <c r="S42" s="623" t="s">
        <v>418</v>
      </c>
      <c r="T42" s="674">
        <f t="shared" si="4"/>
        <v>46081</v>
      </c>
      <c r="U42" s="684">
        <v>7142.6580022038534</v>
      </c>
      <c r="V42" s="782"/>
      <c r="W42" s="676">
        <v>46100</v>
      </c>
      <c r="X42" s="762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6">H113</f>
        <v>#REF!</v>
      </c>
      <c r="I43" s="759"/>
      <c r="J43" s="759"/>
      <c r="K43" s="302"/>
      <c r="L43" s="299">
        <v>4</v>
      </c>
      <c r="M43" s="426" t="s">
        <v>407</v>
      </c>
      <c r="N43" s="408" t="s">
        <v>421</v>
      </c>
      <c r="O43" s="548"/>
      <c r="P43" s="560">
        <v>0.1</v>
      </c>
      <c r="Q43" s="301">
        <f t="shared" si="3"/>
        <v>16966.52</v>
      </c>
      <c r="R43" s="784"/>
      <c r="S43" s="623" t="s">
        <v>422</v>
      </c>
      <c r="T43" s="674">
        <f>T113</f>
        <v>46112</v>
      </c>
      <c r="U43" s="684">
        <v>18999.412857782685</v>
      </c>
      <c r="V43" s="782"/>
      <c r="W43" s="689">
        <v>46121</v>
      </c>
      <c r="X43" s="762"/>
      <c r="Y43" s="608" t="s">
        <v>423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6"/>
        <v>#REF!</v>
      </c>
      <c r="I44" s="759"/>
      <c r="J44" s="759"/>
      <c r="K44" s="302"/>
      <c r="L44" s="299">
        <v>4</v>
      </c>
      <c r="M44" s="426" t="s">
        <v>407</v>
      </c>
      <c r="N44" s="408" t="s">
        <v>424</v>
      </c>
      <c r="O44" s="548"/>
      <c r="P44" s="560">
        <v>0.1</v>
      </c>
      <c r="Q44" s="301">
        <f t="shared" si="3"/>
        <v>16966.52</v>
      </c>
      <c r="R44" s="784"/>
      <c r="S44" s="623" t="s">
        <v>422</v>
      </c>
      <c r="T44" s="674">
        <f t="shared" ref="T44:T46" si="7">T114</f>
        <v>46112</v>
      </c>
      <c r="U44" s="684">
        <v>33356.242857782687</v>
      </c>
      <c r="V44" s="782"/>
      <c r="W44" s="689">
        <v>46121</v>
      </c>
      <c r="X44" s="762"/>
      <c r="Y44" s="608" t="s">
        <v>387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6"/>
        <v>#REF!</v>
      </c>
      <c r="I45" s="759"/>
      <c r="J45" s="759"/>
      <c r="K45" s="302"/>
      <c r="L45" s="299">
        <v>4</v>
      </c>
      <c r="M45" s="426" t="s">
        <v>407</v>
      </c>
      <c r="N45" s="408" t="s">
        <v>425</v>
      </c>
      <c r="O45" s="548"/>
      <c r="P45" s="560">
        <v>0.05</v>
      </c>
      <c r="Q45" s="301">
        <f t="shared" si="3"/>
        <v>8483.26</v>
      </c>
      <c r="R45" s="784"/>
      <c r="S45" s="623" t="s">
        <v>422</v>
      </c>
      <c r="T45" s="674">
        <f t="shared" si="7"/>
        <v>46112</v>
      </c>
      <c r="U45" s="684">
        <v>16678.121428891343</v>
      </c>
      <c r="V45" s="782"/>
      <c r="W45" s="689">
        <v>46121</v>
      </c>
      <c r="X45" s="762"/>
      <c r="Y45" s="608" t="s">
        <v>309</v>
      </c>
      <c r="Z45" s="609">
        <f>SUM(Z30:Z44)</f>
        <v>1703009.2000000002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6"/>
        <v>#REF!</v>
      </c>
      <c r="I46" s="759"/>
      <c r="J46" s="759"/>
      <c r="K46" s="302"/>
      <c r="L46" s="299">
        <v>4</v>
      </c>
      <c r="M46" s="426" t="s">
        <v>407</v>
      </c>
      <c r="N46" s="408" t="s">
        <v>426</v>
      </c>
      <c r="O46" s="548"/>
      <c r="P46" s="560">
        <v>0.05</v>
      </c>
      <c r="Q46" s="301">
        <f t="shared" si="3"/>
        <v>8483.26</v>
      </c>
      <c r="R46" s="780"/>
      <c r="S46" s="623"/>
      <c r="T46" s="523">
        <f t="shared" si="7"/>
        <v>46142</v>
      </c>
      <c r="U46" s="508">
        <f t="shared" ref="U46:U49" si="8">(Q46/$X$31*$J$31)</f>
        <v>16678.121428891343</v>
      </c>
      <c r="V46" s="782"/>
      <c r="W46" s="571">
        <f t="shared" ref="W46" si="9">W116</f>
        <v>46151</v>
      </c>
      <c r="X46" s="762"/>
      <c r="Y46" s="611" t="s">
        <v>392</v>
      </c>
      <c r="Z46" s="610">
        <f>Z45/'Project Plan'!$E$3/1000</f>
        <v>1.2522126470588237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59"/>
      <c r="J47" s="759"/>
      <c r="K47" s="302"/>
      <c r="L47" s="299">
        <v>4</v>
      </c>
      <c r="M47" s="426" t="s">
        <v>407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8"/>
        <v>0</v>
      </c>
      <c r="V47" s="782"/>
      <c r="W47" s="571"/>
      <c r="X47" s="762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59"/>
      <c r="J48" s="759"/>
      <c r="K48" s="302"/>
      <c r="L48" s="299">
        <v>4</v>
      </c>
      <c r="M48" s="426" t="s">
        <v>407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8"/>
        <v>0</v>
      </c>
      <c r="V48" s="782"/>
      <c r="W48" s="571"/>
      <c r="X48" s="762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60"/>
      <c r="J49" s="760"/>
      <c r="K49" s="307"/>
      <c r="L49" s="303">
        <v>4</v>
      </c>
      <c r="M49" s="427" t="s">
        <v>407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8"/>
        <v>0</v>
      </c>
      <c r="V49" s="783"/>
      <c r="W49" s="572"/>
      <c r="X49" s="763"/>
      <c r="Y49" s="482"/>
    </row>
    <row r="50" spans="1:25" ht="14.4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427</v>
      </c>
      <c r="D51" s="328" t="s">
        <v>428</v>
      </c>
      <c r="E51" s="284"/>
      <c r="F51" s="437"/>
      <c r="G51" s="285">
        <f>D202-G52</f>
        <v>34000</v>
      </c>
      <c r="H51" s="573">
        <v>45900</v>
      </c>
      <c r="I51" s="738">
        <f>SUM(G51:G61)</f>
        <v>49000</v>
      </c>
      <c r="J51" s="738">
        <f>F202</f>
        <v>52688.172043010753</v>
      </c>
      <c r="K51" s="286"/>
      <c r="L51" s="282">
        <v>5</v>
      </c>
      <c r="M51" s="422" t="s">
        <v>429</v>
      </c>
      <c r="N51" s="328" t="s">
        <v>430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50">
        <f>J51-SUM(U51:U61)</f>
        <v>4.039382423798088E-3</v>
      </c>
      <c r="W51" s="697">
        <f>W6</f>
        <v>46003</v>
      </c>
      <c r="X51" s="741">
        <f>SUM(Q51:Q61)</f>
        <v>91491.62999999999</v>
      </c>
      <c r="Y51" s="482"/>
    </row>
    <row r="52" spans="1:25" ht="14.25" customHeight="1">
      <c r="B52" s="287">
        <v>5</v>
      </c>
      <c r="C52" s="311"/>
      <c r="D52" s="314" t="s">
        <v>431</v>
      </c>
      <c r="E52" s="451"/>
      <c r="F52" s="452"/>
      <c r="G52" s="316">
        <v>15000</v>
      </c>
      <c r="H52" s="566">
        <v>45900</v>
      </c>
      <c r="I52" s="739"/>
      <c r="J52" s="739"/>
      <c r="K52" s="289"/>
      <c r="L52" s="287">
        <v>5</v>
      </c>
      <c r="M52" s="428" t="s">
        <v>429</v>
      </c>
      <c r="N52" s="288" t="s">
        <v>432</v>
      </c>
      <c r="O52" s="550"/>
      <c r="P52" s="452"/>
      <c r="Q52" s="316">
        <v>27301</v>
      </c>
      <c r="R52" s="635" t="s">
        <v>433</v>
      </c>
      <c r="S52" s="618" t="s">
        <v>434</v>
      </c>
      <c r="T52" s="679">
        <v>45961</v>
      </c>
      <c r="U52" s="668">
        <v>9478.9399762657522</v>
      </c>
      <c r="V52" s="751"/>
      <c r="W52" s="693">
        <v>45989</v>
      </c>
      <c r="X52" s="742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39"/>
      <c r="J53" s="739"/>
      <c r="K53" s="289"/>
      <c r="L53" s="287">
        <v>5</v>
      </c>
      <c r="M53" s="428" t="s">
        <v>429</v>
      </c>
      <c r="N53" s="314" t="s">
        <v>162</v>
      </c>
      <c r="O53" s="543"/>
      <c r="P53" s="459"/>
      <c r="Q53" s="316">
        <v>11169</v>
      </c>
      <c r="R53" s="582"/>
      <c r="S53" s="618" t="s">
        <v>435</v>
      </c>
      <c r="T53" s="644">
        <v>45930</v>
      </c>
      <c r="U53" s="668">
        <v>7261.7211113769454</v>
      </c>
      <c r="V53" s="751"/>
      <c r="W53" s="534">
        <v>45900</v>
      </c>
      <c r="X53" s="742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39"/>
      <c r="J54" s="739"/>
      <c r="K54" s="289"/>
      <c r="L54" s="287">
        <v>5</v>
      </c>
      <c r="M54" s="428" t="s">
        <v>429</v>
      </c>
      <c r="N54" s="314" t="s">
        <v>436</v>
      </c>
      <c r="O54" s="543"/>
      <c r="P54" s="459"/>
      <c r="Q54" s="316">
        <v>335.86</v>
      </c>
      <c r="R54" s="582"/>
      <c r="S54" s="619" t="s">
        <v>437</v>
      </c>
      <c r="T54" s="644">
        <v>45991</v>
      </c>
      <c r="U54" s="668">
        <v>0</v>
      </c>
      <c r="V54" s="751"/>
      <c r="W54" s="534">
        <v>46022</v>
      </c>
      <c r="X54" s="742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39"/>
      <c r="J55" s="739"/>
      <c r="K55" s="289"/>
      <c r="L55" s="312">
        <v>5</v>
      </c>
      <c r="M55" s="428" t="s">
        <v>429</v>
      </c>
      <c r="N55" s="314" t="s">
        <v>438</v>
      </c>
      <c r="O55" s="543"/>
      <c r="P55" s="459"/>
      <c r="Q55" s="316">
        <v>44000</v>
      </c>
      <c r="R55" s="582" t="s">
        <v>439</v>
      </c>
      <c r="S55" s="618" t="s">
        <v>440</v>
      </c>
      <c r="T55" s="644">
        <v>45930</v>
      </c>
      <c r="U55" s="668">
        <v>28607.371197115732</v>
      </c>
      <c r="V55" s="751"/>
      <c r="W55" s="534">
        <v>45900</v>
      </c>
      <c r="X55" s="742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39"/>
      <c r="J56" s="739"/>
      <c r="K56" s="289"/>
      <c r="L56" s="312">
        <v>5</v>
      </c>
      <c r="M56" s="428" t="s">
        <v>429</v>
      </c>
      <c r="N56" s="387" t="s">
        <v>441</v>
      </c>
      <c r="O56" s="544"/>
      <c r="P56" s="444"/>
      <c r="Q56" s="386">
        <f>-1*Q55</f>
        <v>-44000</v>
      </c>
      <c r="R56" s="583"/>
      <c r="S56" s="619" t="s">
        <v>442</v>
      </c>
      <c r="T56" s="679">
        <v>45961</v>
      </c>
      <c r="U56" s="668">
        <v>0</v>
      </c>
      <c r="V56" s="751"/>
      <c r="W56" s="680">
        <f>T56</f>
        <v>45961</v>
      </c>
      <c r="X56" s="742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39"/>
      <c r="J57" s="739"/>
      <c r="K57" s="289"/>
      <c r="L57" s="312">
        <v>5</v>
      </c>
      <c r="M57" s="428" t="s">
        <v>429</v>
      </c>
      <c r="N57" s="387" t="s">
        <v>443</v>
      </c>
      <c r="O57" s="544"/>
      <c r="P57" s="444"/>
      <c r="Q57" s="386">
        <v>40000</v>
      </c>
      <c r="R57" s="583" t="s">
        <v>444</v>
      </c>
      <c r="S57" s="619" t="s">
        <v>445</v>
      </c>
      <c r="T57" s="644">
        <v>45991</v>
      </c>
      <c r="U57" s="668">
        <v>0</v>
      </c>
      <c r="V57" s="751"/>
      <c r="W57" s="680">
        <v>46021</v>
      </c>
      <c r="X57" s="742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39"/>
      <c r="J58" s="739"/>
      <c r="K58" s="289"/>
      <c r="L58" s="312">
        <v>5</v>
      </c>
      <c r="M58" s="428" t="s">
        <v>429</v>
      </c>
      <c r="N58" s="387" t="s">
        <v>446</v>
      </c>
      <c r="O58" s="544"/>
      <c r="P58" s="444"/>
      <c r="Q58" s="386">
        <v>285.58999999999997</v>
      </c>
      <c r="R58" s="583"/>
      <c r="S58" s="619" t="s">
        <v>447</v>
      </c>
      <c r="T58" s="644">
        <v>45991</v>
      </c>
      <c r="U58" s="668">
        <v>0</v>
      </c>
      <c r="V58" s="751"/>
      <c r="W58" s="680">
        <v>46021</v>
      </c>
      <c r="X58" s="742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39"/>
      <c r="J59" s="739"/>
      <c r="K59" s="289"/>
      <c r="L59" s="312">
        <v>5</v>
      </c>
      <c r="M59" s="428" t="s">
        <v>429</v>
      </c>
      <c r="N59" s="387" t="s">
        <v>448</v>
      </c>
      <c r="O59" s="544"/>
      <c r="P59" s="444"/>
      <c r="Q59" s="386">
        <v>3575.5</v>
      </c>
      <c r="R59" s="583" t="s">
        <v>449</v>
      </c>
      <c r="S59" s="619" t="s">
        <v>450</v>
      </c>
      <c r="T59" s="644">
        <v>45930</v>
      </c>
      <c r="U59" s="668">
        <v>2324.6739935292567</v>
      </c>
      <c r="V59" s="751"/>
      <c r="W59" s="535">
        <v>45876</v>
      </c>
      <c r="X59" s="742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39"/>
      <c r="J60" s="739"/>
      <c r="K60" s="289"/>
      <c r="L60" s="312">
        <v>5</v>
      </c>
      <c r="M60" s="428" t="s">
        <v>429</v>
      </c>
      <c r="N60" s="387" t="s">
        <v>451</v>
      </c>
      <c r="O60" s="544"/>
      <c r="P60" s="444"/>
      <c r="Q60" s="386">
        <v>226.34</v>
      </c>
      <c r="R60" s="583"/>
      <c r="S60" s="619" t="s">
        <v>452</v>
      </c>
      <c r="T60" s="702">
        <v>46081</v>
      </c>
      <c r="U60" s="669">
        <v>0</v>
      </c>
      <c r="V60" s="751"/>
      <c r="W60" s="535">
        <v>46108</v>
      </c>
      <c r="X60" s="742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40"/>
      <c r="J61" s="740"/>
      <c r="K61" s="290"/>
      <c r="L61" s="317">
        <v>5</v>
      </c>
      <c r="M61" s="424" t="s">
        <v>429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ref="U61" si="10">(Q61/$X$51*$J$51)</f>
        <v>0</v>
      </c>
      <c r="V61" s="752"/>
      <c r="W61" s="568"/>
      <c r="X61" s="743"/>
      <c r="Y61" s="482"/>
    </row>
    <row r="62" spans="1:25" ht="14.4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370</v>
      </c>
      <c r="D63" s="296" t="s">
        <v>453</v>
      </c>
      <c r="E63" s="475"/>
      <c r="F63" s="457"/>
      <c r="G63" s="297">
        <f>D201</f>
        <v>1511034.3</v>
      </c>
      <c r="H63" s="570">
        <v>45900</v>
      </c>
      <c r="I63" s="758">
        <f>SUM(G63:G83)</f>
        <v>1511034.3</v>
      </c>
      <c r="J63" s="758">
        <f>F201</f>
        <v>1624768.0645161292</v>
      </c>
      <c r="K63" s="298"/>
      <c r="L63" s="294">
        <v>6</v>
      </c>
      <c r="M63" s="431" t="s">
        <v>454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81">
        <f>J63-SUM(U63:U83)</f>
        <v>5.3090509027242661E-5</v>
      </c>
      <c r="W63" s="570"/>
      <c r="X63" s="761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59"/>
      <c r="J64" s="759"/>
      <c r="K64" s="302"/>
      <c r="L64" s="299">
        <v>6</v>
      </c>
      <c r="M64" s="429" t="s">
        <v>454</v>
      </c>
      <c r="N64" s="443" t="s">
        <v>154</v>
      </c>
      <c r="O64" s="548"/>
      <c r="P64" s="453"/>
      <c r="Q64" s="322">
        <v>354929.22</v>
      </c>
      <c r="R64" s="587" t="s">
        <v>455</v>
      </c>
      <c r="S64" s="623" t="s">
        <v>456</v>
      </c>
      <c r="T64" s="674">
        <v>45991</v>
      </c>
      <c r="U64" s="684">
        <v>983356.53922919161</v>
      </c>
      <c r="V64" s="782"/>
      <c r="W64" s="676">
        <f>T64+30</f>
        <v>46021</v>
      </c>
      <c r="X64" s="762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59"/>
      <c r="J65" s="759"/>
      <c r="K65" s="302"/>
      <c r="L65" s="299">
        <v>6</v>
      </c>
      <c r="M65" s="429" t="s">
        <v>454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82"/>
      <c r="W65" s="571"/>
      <c r="X65" s="762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59"/>
      <c r="J66" s="759"/>
      <c r="K66" s="302"/>
      <c r="L66" s="299">
        <v>6</v>
      </c>
      <c r="M66" s="429" t="s">
        <v>454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82"/>
      <c r="W66" s="571"/>
      <c r="X66" s="762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59"/>
      <c r="J67" s="759"/>
      <c r="K67" s="302"/>
      <c r="L67" s="299">
        <v>6</v>
      </c>
      <c r="M67" s="429" t="s">
        <v>454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82"/>
      <c r="W67" s="571"/>
      <c r="X67" s="762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59"/>
      <c r="J68" s="759"/>
      <c r="K68" s="302"/>
      <c r="L68" s="299">
        <v>6</v>
      </c>
      <c r="M68" s="429" t="s">
        <v>454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82"/>
      <c r="W68" s="571"/>
      <c r="X68" s="762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59"/>
      <c r="J69" s="759"/>
      <c r="K69" s="302"/>
      <c r="L69" s="299">
        <v>6</v>
      </c>
      <c r="M69" s="429" t="s">
        <v>454</v>
      </c>
      <c r="N69" s="408" t="s">
        <v>413</v>
      </c>
      <c r="O69" s="559">
        <f>Z30</f>
        <v>231508.8</v>
      </c>
      <c r="P69" s="560">
        <v>0.1</v>
      </c>
      <c r="Q69" s="301">
        <f>$O$69*P69</f>
        <v>23150.880000000001</v>
      </c>
      <c r="R69" s="779"/>
      <c r="S69" s="623" t="str">
        <f>S105</f>
        <v>JA Electrical - Inv 1104</v>
      </c>
      <c r="T69" s="674">
        <f>T105</f>
        <v>45961</v>
      </c>
      <c r="U69" s="684">
        <v>64141.152528693783</v>
      </c>
      <c r="V69" s="782"/>
      <c r="W69" s="689">
        <f t="shared" ref="W69:W71" si="12">W105</f>
        <v>45967</v>
      </c>
      <c r="X69" s="762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59"/>
      <c r="J70" s="759"/>
      <c r="K70" s="302"/>
      <c r="L70" s="299">
        <v>6</v>
      </c>
      <c r="M70" s="430" t="s">
        <v>454</v>
      </c>
      <c r="N70" s="408" t="s">
        <v>202</v>
      </c>
      <c r="O70" s="548"/>
      <c r="P70" s="560">
        <v>0.15</v>
      </c>
      <c r="Q70" s="301">
        <f t="shared" ref="Q70:Q80" si="13">$O$69*P70</f>
        <v>34726.32</v>
      </c>
      <c r="R70" s="784"/>
      <c r="S70" s="623" t="str">
        <f>S106</f>
        <v>JA Electrical - Inv 1105</v>
      </c>
      <c r="T70" s="674">
        <f>T106</f>
        <v>45961</v>
      </c>
      <c r="U70" s="684">
        <v>96211.72879304066</v>
      </c>
      <c r="V70" s="782"/>
      <c r="W70" s="689">
        <f t="shared" si="12"/>
        <v>45967</v>
      </c>
      <c r="X70" s="762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59"/>
      <c r="J71" s="759"/>
      <c r="K71" s="302"/>
      <c r="L71" s="299">
        <v>6</v>
      </c>
      <c r="M71" s="430" t="s">
        <v>454</v>
      </c>
      <c r="N71" s="408" t="s">
        <v>414</v>
      </c>
      <c r="O71" s="548"/>
      <c r="P71" s="560">
        <v>0.1</v>
      </c>
      <c r="Q71" s="301">
        <v>23150.78</v>
      </c>
      <c r="R71" s="784"/>
      <c r="S71" s="623" t="s">
        <v>415</v>
      </c>
      <c r="T71" s="660">
        <f>T107</f>
        <v>46022</v>
      </c>
      <c r="U71" s="684">
        <v>64141.287346352467</v>
      </c>
      <c r="V71" s="782"/>
      <c r="W71" s="689">
        <f t="shared" si="12"/>
        <v>46003</v>
      </c>
      <c r="X71" s="762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59"/>
      <c r="J72" s="759"/>
      <c r="K72" s="302"/>
      <c r="L72" s="299" t="s">
        <v>457</v>
      </c>
      <c r="M72" s="430" t="s">
        <v>454</v>
      </c>
      <c r="N72" s="408" t="s">
        <v>414</v>
      </c>
      <c r="O72" s="548"/>
      <c r="P72" s="709">
        <f>P108</f>
        <v>7.4999999999999997E-2</v>
      </c>
      <c r="Q72" s="301">
        <f>$O$69*P72</f>
        <v>17363.16</v>
      </c>
      <c r="R72" s="784"/>
      <c r="S72" s="623" t="s">
        <v>417</v>
      </c>
      <c r="T72" s="674">
        <f>T108</f>
        <v>46053</v>
      </c>
      <c r="U72" s="684">
        <v>48105.880802646541</v>
      </c>
      <c r="V72" s="782"/>
      <c r="W72" s="689">
        <f>W108</f>
        <v>46066</v>
      </c>
      <c r="X72" s="762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59"/>
      <c r="J73" s="759"/>
      <c r="K73" s="302"/>
      <c r="L73" s="299" t="s">
        <v>457</v>
      </c>
      <c r="M73" s="430" t="s">
        <v>454</v>
      </c>
      <c r="N73" s="408" t="s">
        <v>414</v>
      </c>
      <c r="O73" s="548"/>
      <c r="P73" s="709">
        <f>P109</f>
        <v>2.5000000000000001E-2</v>
      </c>
      <c r="Q73" s="725">
        <f>$O$69*P73</f>
        <v>5787.72</v>
      </c>
      <c r="R73" s="784"/>
      <c r="S73" s="623" t="s">
        <v>418</v>
      </c>
      <c r="T73" s="674">
        <f>T109</f>
        <v>46081</v>
      </c>
      <c r="U73" s="684">
        <v>16035.293600882182</v>
      </c>
      <c r="V73" s="782"/>
      <c r="W73" s="676">
        <v>46100</v>
      </c>
      <c r="X73" s="762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59"/>
      <c r="J74" s="759"/>
      <c r="K74" s="302"/>
      <c r="L74" s="299">
        <v>6</v>
      </c>
      <c r="M74" s="430" t="s">
        <v>454</v>
      </c>
      <c r="N74" s="408" t="s">
        <v>419</v>
      </c>
      <c r="O74" s="548"/>
      <c r="P74" s="560">
        <v>0.2</v>
      </c>
      <c r="Q74" s="301">
        <v>46301.66</v>
      </c>
      <c r="R74" s="784"/>
      <c r="S74" s="623" t="s">
        <v>415</v>
      </c>
      <c r="T74" s="660">
        <f>T110</f>
        <v>46022</v>
      </c>
      <c r="U74" s="684">
        <v>128282.07174988119</v>
      </c>
      <c r="V74" s="782"/>
      <c r="W74" s="689">
        <f>W110</f>
        <v>46003</v>
      </c>
      <c r="X74" s="762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59"/>
      <c r="J75" s="759"/>
      <c r="K75" s="302"/>
      <c r="L75" s="299">
        <v>6</v>
      </c>
      <c r="M75" s="430" t="s">
        <v>454</v>
      </c>
      <c r="N75" s="408" t="s">
        <v>419</v>
      </c>
      <c r="O75" s="548"/>
      <c r="P75" s="709">
        <f>P111</f>
        <v>2.5000000000000001E-2</v>
      </c>
      <c r="Q75" s="725">
        <f>$O$69*P75</f>
        <v>5787.72</v>
      </c>
      <c r="R75" s="784"/>
      <c r="S75" s="623" t="s">
        <v>418</v>
      </c>
      <c r="T75" s="674">
        <f>T112</f>
        <v>46081</v>
      </c>
      <c r="U75" s="684">
        <v>16035.293600882182</v>
      </c>
      <c r="V75" s="782"/>
      <c r="W75" s="676">
        <v>46100</v>
      </c>
      <c r="X75" s="762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59"/>
      <c r="J76" s="759"/>
      <c r="K76" s="302"/>
      <c r="L76" s="299">
        <v>6</v>
      </c>
      <c r="M76" s="430" t="s">
        <v>454</v>
      </c>
      <c r="N76" s="408" t="s">
        <v>419</v>
      </c>
      <c r="O76" s="548"/>
      <c r="P76" s="709">
        <f>P112</f>
        <v>2.5000000000000001E-2</v>
      </c>
      <c r="Q76" s="301">
        <f>$O$69*P76</f>
        <v>5787.72</v>
      </c>
      <c r="R76" s="784"/>
      <c r="S76" s="623" t="s">
        <v>417</v>
      </c>
      <c r="T76" s="674">
        <f>T111</f>
        <v>46053</v>
      </c>
      <c r="U76" s="684">
        <v>16035.293600882182</v>
      </c>
      <c r="V76" s="782"/>
      <c r="W76" s="689">
        <f>W111</f>
        <v>46066</v>
      </c>
      <c r="X76" s="762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59"/>
      <c r="J77" s="759"/>
      <c r="K77" s="302"/>
      <c r="L77" s="299">
        <v>6</v>
      </c>
      <c r="M77" s="430" t="s">
        <v>454</v>
      </c>
      <c r="N77" s="408" t="s">
        <v>421</v>
      </c>
      <c r="O77" s="548"/>
      <c r="P77" s="560">
        <v>0.1</v>
      </c>
      <c r="Q77" s="301">
        <f t="shared" si="13"/>
        <v>23150.880000000001</v>
      </c>
      <c r="R77" s="784"/>
      <c r="S77" s="623" t="s">
        <v>422</v>
      </c>
      <c r="T77" s="674">
        <f>T114</f>
        <v>46112</v>
      </c>
      <c r="U77" s="684">
        <v>64141.174403528727</v>
      </c>
      <c r="V77" s="782"/>
      <c r="W77" s="689">
        <v>46121</v>
      </c>
      <c r="X77" s="762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59"/>
      <c r="J78" s="759"/>
      <c r="K78" s="302"/>
      <c r="L78" s="299">
        <v>6</v>
      </c>
      <c r="M78" s="430" t="s">
        <v>454</v>
      </c>
      <c r="N78" s="408" t="s">
        <v>424</v>
      </c>
      <c r="O78" s="548"/>
      <c r="P78" s="560">
        <v>0.1</v>
      </c>
      <c r="Q78" s="301">
        <f t="shared" si="13"/>
        <v>23150.880000000001</v>
      </c>
      <c r="R78" s="784"/>
      <c r="S78" s="627" t="s">
        <v>422</v>
      </c>
      <c r="T78" s="674">
        <f t="shared" ref="T78:T80" si="15">T114</f>
        <v>46112</v>
      </c>
      <c r="U78" s="720">
        <v>64141.174403528727</v>
      </c>
      <c r="V78" s="782"/>
      <c r="W78" s="689">
        <v>46121</v>
      </c>
      <c r="X78" s="762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59"/>
      <c r="J79" s="759"/>
      <c r="K79" s="302"/>
      <c r="L79" s="299">
        <v>6</v>
      </c>
      <c r="M79" s="430" t="s">
        <v>454</v>
      </c>
      <c r="N79" s="408" t="s">
        <v>425</v>
      </c>
      <c r="O79" s="548"/>
      <c r="P79" s="560">
        <v>0.05</v>
      </c>
      <c r="Q79" s="301">
        <f t="shared" si="13"/>
        <v>11575.44</v>
      </c>
      <c r="R79" s="784"/>
      <c r="S79" s="627" t="s">
        <v>422</v>
      </c>
      <c r="T79" s="674">
        <f t="shared" si="15"/>
        <v>46112</v>
      </c>
      <c r="U79" s="720">
        <v>32070.587201764363</v>
      </c>
      <c r="V79" s="782"/>
      <c r="W79" s="689">
        <v>46121</v>
      </c>
      <c r="X79" s="762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59"/>
      <c r="J80" s="759"/>
      <c r="K80" s="302"/>
      <c r="L80" s="299">
        <v>6</v>
      </c>
      <c r="M80" s="430" t="s">
        <v>454</v>
      </c>
      <c r="N80" s="408" t="s">
        <v>426</v>
      </c>
      <c r="O80" s="548"/>
      <c r="P80" s="560">
        <v>0.05</v>
      </c>
      <c r="Q80" s="301">
        <f t="shared" si="13"/>
        <v>11575.44</v>
      </c>
      <c r="R80" s="780"/>
      <c r="S80" s="627"/>
      <c r="T80" s="523">
        <f t="shared" si="15"/>
        <v>46142</v>
      </c>
      <c r="U80" s="513">
        <f t="shared" si="11"/>
        <v>32070.587201764363</v>
      </c>
      <c r="V80" s="782"/>
      <c r="W80" s="571">
        <f t="shared" ref="W80" si="16">W116</f>
        <v>46151</v>
      </c>
      <c r="X80" s="762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59"/>
      <c r="J81" s="759"/>
      <c r="K81" s="302"/>
      <c r="L81" s="299">
        <v>6</v>
      </c>
      <c r="M81" s="430" t="s">
        <v>454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82"/>
      <c r="W81" s="574"/>
      <c r="X81" s="762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59"/>
      <c r="J82" s="759"/>
      <c r="K82" s="302"/>
      <c r="L82" s="299">
        <v>6</v>
      </c>
      <c r="M82" s="430" t="s">
        <v>454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82"/>
      <c r="W82" s="574"/>
      <c r="X82" s="762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60"/>
      <c r="J83" s="760"/>
      <c r="K83" s="307"/>
      <c r="L83" s="303">
        <v>6</v>
      </c>
      <c r="M83" s="432" t="s">
        <v>454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83"/>
      <c r="W83" s="572"/>
      <c r="X83" s="763"/>
      <c r="Y83" s="482"/>
    </row>
    <row r="84" spans="1:25" ht="14.4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458</v>
      </c>
      <c r="D85" s="381"/>
      <c r="E85" s="462"/>
      <c r="F85" s="468"/>
      <c r="G85" s="382"/>
      <c r="H85" s="576"/>
      <c r="I85" s="738">
        <f>SUM(G85:G92)</f>
        <v>0</v>
      </c>
      <c r="J85" s="738">
        <f>F206</f>
        <v>0</v>
      </c>
      <c r="K85" s="286"/>
      <c r="L85" s="380">
        <v>7</v>
      </c>
      <c r="M85" s="310" t="s">
        <v>459</v>
      </c>
      <c r="N85" s="381"/>
      <c r="O85" s="553"/>
      <c r="P85" s="468"/>
      <c r="Q85" s="382"/>
      <c r="R85" s="785"/>
      <c r="S85" s="629"/>
      <c r="T85" s="528"/>
      <c r="U85" s="643"/>
      <c r="V85" s="787">
        <f>J85-SUM(U85:U92)</f>
        <v>0</v>
      </c>
      <c r="W85" s="576"/>
      <c r="X85" s="741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39"/>
      <c r="J86" s="739"/>
      <c r="K86" s="289"/>
      <c r="L86" s="383">
        <v>7</v>
      </c>
      <c r="M86" s="384" t="s">
        <v>459</v>
      </c>
      <c r="N86" s="385"/>
      <c r="O86" s="544"/>
      <c r="P86" s="444"/>
      <c r="Q86" s="386"/>
      <c r="R86" s="786"/>
      <c r="S86" s="619"/>
      <c r="T86" s="519"/>
      <c r="U86" s="504"/>
      <c r="V86" s="788"/>
      <c r="W86" s="567"/>
      <c r="X86" s="742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39"/>
      <c r="J87" s="739"/>
      <c r="K87" s="289"/>
      <c r="L87" s="383">
        <v>7</v>
      </c>
      <c r="M87" s="384" t="s">
        <v>459</v>
      </c>
      <c r="N87" s="385"/>
      <c r="O87" s="544"/>
      <c r="P87" s="444"/>
      <c r="Q87" s="386"/>
      <c r="R87" s="583"/>
      <c r="S87" s="619"/>
      <c r="T87" s="519"/>
      <c r="U87" s="504"/>
      <c r="V87" s="788"/>
      <c r="W87" s="567"/>
      <c r="X87" s="742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39"/>
      <c r="J88" s="739"/>
      <c r="K88" s="289"/>
      <c r="L88" s="383">
        <v>7</v>
      </c>
      <c r="M88" s="384" t="s">
        <v>459</v>
      </c>
      <c r="N88" s="385"/>
      <c r="O88" s="406"/>
      <c r="P88" s="444"/>
      <c r="Q88" s="386"/>
      <c r="R88" s="583"/>
      <c r="S88" s="619"/>
      <c r="T88" s="519"/>
      <c r="U88" s="504"/>
      <c r="V88" s="788"/>
      <c r="W88" s="567"/>
      <c r="X88" s="742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39"/>
      <c r="J89" s="739"/>
      <c r="K89" s="289"/>
      <c r="L89" s="383">
        <v>7</v>
      </c>
      <c r="M89" s="384" t="s">
        <v>459</v>
      </c>
      <c r="N89" s="385"/>
      <c r="O89" s="406"/>
      <c r="P89" s="444"/>
      <c r="Q89" s="386"/>
      <c r="R89" s="583"/>
      <c r="S89" s="619"/>
      <c r="T89" s="519"/>
      <c r="U89" s="504"/>
      <c r="V89" s="788"/>
      <c r="W89" s="567"/>
      <c r="X89" s="742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39"/>
      <c r="J90" s="739"/>
      <c r="K90" s="289"/>
      <c r="L90" s="383">
        <v>7</v>
      </c>
      <c r="M90" s="384" t="s">
        <v>459</v>
      </c>
      <c r="N90" s="385"/>
      <c r="O90" s="406"/>
      <c r="P90" s="444"/>
      <c r="Q90" s="386"/>
      <c r="R90" s="583"/>
      <c r="S90" s="619"/>
      <c r="T90" s="519"/>
      <c r="U90" s="504"/>
      <c r="V90" s="788"/>
      <c r="W90" s="567"/>
      <c r="X90" s="742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39"/>
      <c r="J91" s="739"/>
      <c r="K91" s="289"/>
      <c r="L91" s="383">
        <v>7</v>
      </c>
      <c r="M91" s="384" t="s">
        <v>459</v>
      </c>
      <c r="N91" s="385"/>
      <c r="O91" s="544"/>
      <c r="P91" s="444"/>
      <c r="Q91" s="386"/>
      <c r="R91" s="583"/>
      <c r="S91" s="619"/>
      <c r="T91" s="519"/>
      <c r="U91" s="504"/>
      <c r="V91" s="788"/>
      <c r="W91" s="567"/>
      <c r="X91" s="742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40"/>
      <c r="J92" s="740"/>
      <c r="K92" s="290"/>
      <c r="L92" s="317">
        <v>7</v>
      </c>
      <c r="M92" s="338" t="s">
        <v>459</v>
      </c>
      <c r="N92" s="330"/>
      <c r="O92" s="545"/>
      <c r="P92" s="460"/>
      <c r="Q92" s="331"/>
      <c r="R92" s="584"/>
      <c r="S92" s="620"/>
      <c r="T92" s="520"/>
      <c r="U92" s="505"/>
      <c r="V92" s="789"/>
      <c r="W92" s="568"/>
      <c r="X92" s="743"/>
      <c r="Y92" s="482"/>
    </row>
    <row r="93" spans="1:25" ht="14.4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460</v>
      </c>
      <c r="D94" s="334"/>
      <c r="E94" s="463"/>
      <c r="F94" s="416"/>
      <c r="G94" s="335"/>
      <c r="H94" s="570"/>
      <c r="I94" s="758">
        <f>SUM(G94:G102)</f>
        <v>300000</v>
      </c>
      <c r="J94" s="758">
        <f>F204+F205</f>
        <v>322580.6451612903</v>
      </c>
      <c r="K94" s="298"/>
      <c r="L94" s="333">
        <v>8</v>
      </c>
      <c r="M94" s="425" t="s">
        <v>461</v>
      </c>
      <c r="N94" s="334" t="s">
        <v>462</v>
      </c>
      <c r="O94" s="554"/>
      <c r="P94" s="416"/>
      <c r="Q94" s="335">
        <v>20100</v>
      </c>
      <c r="R94" s="586" t="s">
        <v>463</v>
      </c>
      <c r="S94" s="622" t="s">
        <v>464</v>
      </c>
      <c r="T94" s="734">
        <v>46112</v>
      </c>
      <c r="U94" s="721"/>
      <c r="V94" s="770">
        <f>J94-SUM(U94:U102)</f>
        <v>-309.351185248408</v>
      </c>
      <c r="W94" s="696">
        <v>46111</v>
      </c>
      <c r="X94" s="761">
        <f>SUM(Q94:Q102)</f>
        <v>312826</v>
      </c>
      <c r="Y94" s="482"/>
    </row>
    <row r="95" spans="1:25" ht="14.25" customHeight="1">
      <c r="B95" s="323">
        <v>8</v>
      </c>
      <c r="C95" s="324"/>
      <c r="D95" s="336" t="s">
        <v>465</v>
      </c>
      <c r="E95" s="415"/>
      <c r="F95" s="461"/>
      <c r="G95" s="325">
        <v>300000</v>
      </c>
      <c r="H95" s="571">
        <v>45900</v>
      </c>
      <c r="I95" s="759"/>
      <c r="J95" s="759"/>
      <c r="K95" s="302"/>
      <c r="L95" s="323">
        <v>8</v>
      </c>
      <c r="M95" s="433" t="s">
        <v>461</v>
      </c>
      <c r="N95" s="336" t="s">
        <v>466</v>
      </c>
      <c r="O95" s="415"/>
      <c r="P95" s="461"/>
      <c r="Q95" s="325">
        <v>600</v>
      </c>
      <c r="R95" s="587" t="s">
        <v>467</v>
      </c>
      <c r="S95" s="623" t="s">
        <v>468</v>
      </c>
      <c r="T95" s="674">
        <v>46142</v>
      </c>
      <c r="U95" s="684">
        <v>0</v>
      </c>
      <c r="V95" s="771"/>
      <c r="W95" s="571">
        <v>46121</v>
      </c>
      <c r="X95" s="762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59"/>
      <c r="J96" s="759"/>
      <c r="K96" s="302"/>
      <c r="L96" s="323">
        <v>8</v>
      </c>
      <c r="M96" s="433" t="s">
        <v>461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71"/>
      <c r="W96" s="571"/>
      <c r="X96" s="762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59"/>
      <c r="J97" s="759"/>
      <c r="K97" s="302"/>
      <c r="L97" s="323">
        <v>8</v>
      </c>
      <c r="M97" s="433" t="s">
        <v>461</v>
      </c>
      <c r="N97" s="336" t="s">
        <v>469</v>
      </c>
      <c r="O97" s="664">
        <v>232956</v>
      </c>
      <c r="P97" s="665">
        <v>0.75</v>
      </c>
      <c r="Q97" s="325">
        <f>$O$97*P97</f>
        <v>174717</v>
      </c>
      <c r="R97" s="779" t="s">
        <v>470</v>
      </c>
      <c r="S97" s="623" t="s">
        <v>471</v>
      </c>
      <c r="T97" s="671">
        <v>45961</v>
      </c>
      <c r="U97" s="684">
        <v>200089.18963861017</v>
      </c>
      <c r="V97" s="771"/>
      <c r="W97" s="676">
        <v>45946</v>
      </c>
      <c r="X97" s="762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59"/>
      <c r="J98" s="759"/>
      <c r="K98" s="302"/>
      <c r="L98" s="323">
        <v>8</v>
      </c>
      <c r="M98" s="433" t="s">
        <v>461</v>
      </c>
      <c r="N98" s="336"/>
      <c r="O98" s="551"/>
      <c r="P98" s="665">
        <v>0.25</v>
      </c>
      <c r="Q98" s="325">
        <f>$O$97*P98</f>
        <v>58239</v>
      </c>
      <c r="R98" s="780"/>
      <c r="S98" s="623" t="s">
        <v>472</v>
      </c>
      <c r="T98" s="674">
        <v>45961</v>
      </c>
      <c r="U98" s="684">
        <v>66696.396546203396</v>
      </c>
      <c r="V98" s="771"/>
      <c r="W98" s="676">
        <v>46009</v>
      </c>
      <c r="X98" s="762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59"/>
      <c r="J99" s="759"/>
      <c r="K99" s="302"/>
      <c r="L99" s="323">
        <v>8</v>
      </c>
      <c r="M99" s="433" t="s">
        <v>461</v>
      </c>
      <c r="N99" s="336" t="s">
        <v>473</v>
      </c>
      <c r="O99" s="551"/>
      <c r="P99" s="461"/>
      <c r="Q99" s="325">
        <v>48720</v>
      </c>
      <c r="R99" s="587" t="s">
        <v>474</v>
      </c>
      <c r="S99" s="623" t="s">
        <v>475</v>
      </c>
      <c r="T99" s="674">
        <v>46022</v>
      </c>
      <c r="U99" s="684">
        <v>55795.055461193893</v>
      </c>
      <c r="V99" s="771"/>
      <c r="W99" s="689">
        <v>46066</v>
      </c>
      <c r="X99" s="762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59"/>
      <c r="J100" s="759"/>
      <c r="K100" s="302"/>
      <c r="L100" s="323">
        <v>8</v>
      </c>
      <c r="M100" s="433" t="s">
        <v>461</v>
      </c>
      <c r="N100" s="336" t="s">
        <v>635</v>
      </c>
      <c r="O100" s="551"/>
      <c r="P100" s="461"/>
      <c r="Q100" s="325">
        <v>300</v>
      </c>
      <c r="R100" s="587" t="s">
        <v>634</v>
      </c>
      <c r="S100" s="623"/>
      <c r="T100" s="523" t="str">
        <f t="shared" si="17"/>
        <v/>
      </c>
      <c r="U100" s="684">
        <f>(Q100/$X$94*$J$94)</f>
        <v>309.35470053124448</v>
      </c>
      <c r="V100" s="771"/>
      <c r="W100" s="571"/>
      <c r="X100" s="762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59"/>
      <c r="J101" s="759"/>
      <c r="K101" s="302"/>
      <c r="L101" s="323">
        <v>8</v>
      </c>
      <c r="M101" s="433" t="s">
        <v>461</v>
      </c>
      <c r="N101" s="336" t="s">
        <v>476</v>
      </c>
      <c r="O101" s="551"/>
      <c r="P101" s="461"/>
      <c r="Q101" s="325">
        <v>10150</v>
      </c>
      <c r="R101" s="591" t="s">
        <v>477</v>
      </c>
      <c r="S101" s="627" t="s">
        <v>417</v>
      </c>
      <c r="T101" s="710">
        <v>46053</v>
      </c>
      <c r="U101" s="720">
        <v>0</v>
      </c>
      <c r="V101" s="771"/>
      <c r="W101" s="722">
        <v>46066</v>
      </c>
      <c r="X101" s="762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60"/>
      <c r="J102" s="760"/>
      <c r="K102" s="307"/>
      <c r="L102" s="303">
        <v>8</v>
      </c>
      <c r="M102" s="432" t="s">
        <v>461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72"/>
      <c r="W102" s="572"/>
      <c r="X102" s="763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478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479</v>
      </c>
      <c r="D104" s="328" t="s">
        <v>480</v>
      </c>
      <c r="E104" s="315"/>
      <c r="F104" s="437"/>
      <c r="G104" s="613">
        <f>D210</f>
        <v>340042.5</v>
      </c>
      <c r="H104" s="573">
        <v>45900</v>
      </c>
      <c r="I104" s="764">
        <f>SUM(G104:G119)</f>
        <v>1060132.5</v>
      </c>
      <c r="J104" s="738">
        <f>F210+F211</f>
        <v>1204696.0227272727</v>
      </c>
      <c r="K104" s="289"/>
      <c r="L104" s="312">
        <v>9</v>
      </c>
      <c r="M104" s="423" t="s">
        <v>481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50">
        <f>J104-SUM(U104:U119)</f>
        <v>3.6703422432765365E-2</v>
      </c>
      <c r="W104" s="573"/>
      <c r="X104" s="767">
        <f>SUM(Q104:Q119)</f>
        <v>1105291.31</v>
      </c>
      <c r="Y104" s="482"/>
    </row>
    <row r="105" spans="1:25" ht="15" customHeight="1">
      <c r="B105" s="312">
        <v>9</v>
      </c>
      <c r="C105" s="442"/>
      <c r="D105" s="329" t="s">
        <v>482</v>
      </c>
      <c r="E105" s="315"/>
      <c r="F105" s="459"/>
      <c r="G105" s="613">
        <f>D211</f>
        <v>720090</v>
      </c>
      <c r="H105" s="566">
        <v>45900</v>
      </c>
      <c r="I105" s="765"/>
      <c r="J105" s="739"/>
      <c r="K105" s="289"/>
      <c r="L105" s="312">
        <v>9</v>
      </c>
      <c r="M105" s="423" t="s">
        <v>481</v>
      </c>
      <c r="N105" s="329" t="s">
        <v>413</v>
      </c>
      <c r="O105" s="562">
        <f>Z33+Z32</f>
        <v>1105291.2</v>
      </c>
      <c r="P105" s="563">
        <v>0.1</v>
      </c>
      <c r="Q105" s="316">
        <f>$O$105*P105</f>
        <v>110529.12</v>
      </c>
      <c r="R105" s="776"/>
      <c r="S105" s="618" t="s">
        <v>483</v>
      </c>
      <c r="T105" s="667">
        <v>45961</v>
      </c>
      <c r="U105" s="669">
        <v>120469.60227272725</v>
      </c>
      <c r="V105" s="751"/>
      <c r="W105" s="534">
        <v>45967</v>
      </c>
      <c r="X105" s="768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65"/>
      <c r="J106" s="739"/>
      <c r="K106" s="289"/>
      <c r="L106" s="383">
        <v>9</v>
      </c>
      <c r="M106" s="501" t="s">
        <v>481</v>
      </c>
      <c r="N106" s="385" t="s">
        <v>202</v>
      </c>
      <c r="O106" s="544"/>
      <c r="P106" s="561">
        <v>0.15</v>
      </c>
      <c r="Q106" s="316">
        <f t="shared" ref="Q106:Q116" si="19">$O$105*P106</f>
        <v>165793.68</v>
      </c>
      <c r="R106" s="777"/>
      <c r="S106" s="619" t="s">
        <v>484</v>
      </c>
      <c r="T106" s="667">
        <v>45961</v>
      </c>
      <c r="U106" s="669">
        <v>180704.40340909085</v>
      </c>
      <c r="V106" s="751"/>
      <c r="W106" s="535">
        <v>45967</v>
      </c>
      <c r="X106" s="768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65"/>
      <c r="J107" s="739"/>
      <c r="K107" s="289"/>
      <c r="L107" s="383">
        <v>9</v>
      </c>
      <c r="M107" s="501" t="s">
        <v>481</v>
      </c>
      <c r="N107" s="385" t="s">
        <v>414</v>
      </c>
      <c r="O107" s="544"/>
      <c r="P107" s="561">
        <v>0.1</v>
      </c>
      <c r="Q107" s="316">
        <f t="shared" si="19"/>
        <v>110529.12</v>
      </c>
      <c r="R107" s="777"/>
      <c r="S107" s="619" t="s">
        <v>415</v>
      </c>
      <c r="T107" s="702">
        <v>46022</v>
      </c>
      <c r="U107" s="669">
        <v>120469.60227272728</v>
      </c>
      <c r="V107" s="751"/>
      <c r="W107" s="535">
        <v>46003</v>
      </c>
      <c r="X107" s="768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65"/>
      <c r="J108" s="739"/>
      <c r="K108" s="289"/>
      <c r="L108" s="383">
        <v>9</v>
      </c>
      <c r="M108" s="501" t="s">
        <v>481</v>
      </c>
      <c r="N108" s="385" t="s">
        <v>414</v>
      </c>
      <c r="O108" s="544"/>
      <c r="P108" s="708">
        <v>7.4999999999999997E-2</v>
      </c>
      <c r="Q108" s="316">
        <v>82896.92</v>
      </c>
      <c r="R108" s="777"/>
      <c r="S108" s="619" t="s">
        <v>417</v>
      </c>
      <c r="T108" s="667">
        <v>46053</v>
      </c>
      <c r="U108" s="669">
        <v>90352.196336766719</v>
      </c>
      <c r="V108" s="751"/>
      <c r="W108" s="535">
        <v>46066</v>
      </c>
      <c r="X108" s="768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65"/>
      <c r="J109" s="739"/>
      <c r="K109" s="289"/>
      <c r="L109" s="383">
        <v>9</v>
      </c>
      <c r="M109" s="501" t="s">
        <v>481</v>
      </c>
      <c r="N109" s="385" t="s">
        <v>414</v>
      </c>
      <c r="O109" s="544"/>
      <c r="P109" s="708">
        <v>2.5000000000000001E-2</v>
      </c>
      <c r="Q109" s="316">
        <v>27632.31</v>
      </c>
      <c r="R109" s="777"/>
      <c r="S109" s="619" t="s">
        <v>418</v>
      </c>
      <c r="T109" s="667">
        <v>46081</v>
      </c>
      <c r="U109" s="669">
        <v>30117.405745370306</v>
      </c>
      <c r="V109" s="751"/>
      <c r="W109" s="680">
        <v>46100</v>
      </c>
      <c r="X109" s="768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65"/>
      <c r="J110" s="739"/>
      <c r="K110" s="289"/>
      <c r="L110" s="383">
        <v>9</v>
      </c>
      <c r="M110" s="501" t="s">
        <v>481</v>
      </c>
      <c r="N110" s="385" t="s">
        <v>419</v>
      </c>
      <c r="O110" s="544"/>
      <c r="P110" s="561">
        <v>0.2</v>
      </c>
      <c r="Q110" s="316">
        <f>$O$105*P110</f>
        <v>221058.24</v>
      </c>
      <c r="R110" s="777"/>
      <c r="S110" s="619" t="s">
        <v>415</v>
      </c>
      <c r="T110" s="702">
        <v>46022</v>
      </c>
      <c r="U110" s="669">
        <v>240939.20454545456</v>
      </c>
      <c r="V110" s="751"/>
      <c r="W110" s="535">
        <v>46003</v>
      </c>
      <c r="X110" s="768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65"/>
      <c r="J111" s="739"/>
      <c r="K111" s="289"/>
      <c r="L111" s="383">
        <v>9</v>
      </c>
      <c r="M111" s="501" t="s">
        <v>481</v>
      </c>
      <c r="N111" s="385" t="s">
        <v>419</v>
      </c>
      <c r="O111" s="544"/>
      <c r="P111" s="708">
        <v>2.5000000000000001E-2</v>
      </c>
      <c r="Q111" s="316">
        <f>$O$105*P111</f>
        <v>27632.28</v>
      </c>
      <c r="R111" s="777"/>
      <c r="S111" s="619" t="s">
        <v>417</v>
      </c>
      <c r="T111" s="667">
        <v>46053</v>
      </c>
      <c r="U111" s="669">
        <v>30117.400295698208</v>
      </c>
      <c r="V111" s="751"/>
      <c r="W111" s="535">
        <v>46066</v>
      </c>
      <c r="X111" s="768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65"/>
      <c r="J112" s="739"/>
      <c r="K112" s="289"/>
      <c r="L112" s="383">
        <v>9</v>
      </c>
      <c r="M112" s="501" t="s">
        <v>481</v>
      </c>
      <c r="N112" s="385" t="s">
        <v>419</v>
      </c>
      <c r="O112" s="544"/>
      <c r="P112" s="708">
        <v>2.5000000000000001E-2</v>
      </c>
      <c r="Q112" s="316">
        <f t="shared" si="19"/>
        <v>27632.28</v>
      </c>
      <c r="R112" s="777"/>
      <c r="S112" s="619" t="s">
        <v>418</v>
      </c>
      <c r="T112" s="667">
        <v>46081</v>
      </c>
      <c r="U112" s="669">
        <v>30117.400295698208</v>
      </c>
      <c r="V112" s="751"/>
      <c r="W112" s="680">
        <v>46100</v>
      </c>
      <c r="X112" s="768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65"/>
      <c r="J113" s="739"/>
      <c r="K113" s="289"/>
      <c r="L113" s="383">
        <v>9</v>
      </c>
      <c r="M113" s="501" t="s">
        <v>481</v>
      </c>
      <c r="N113" s="385" t="s">
        <v>421</v>
      </c>
      <c r="O113" s="544"/>
      <c r="P113" s="561">
        <v>0.1</v>
      </c>
      <c r="Q113" s="316">
        <f t="shared" si="19"/>
        <v>110529.12</v>
      </c>
      <c r="R113" s="777"/>
      <c r="S113" s="619" t="s">
        <v>422</v>
      </c>
      <c r="T113" s="667">
        <v>46112</v>
      </c>
      <c r="U113" s="669">
        <v>120469.59028343888</v>
      </c>
      <c r="V113" s="751"/>
      <c r="W113" s="535">
        <v>46121</v>
      </c>
      <c r="X113" s="768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65"/>
      <c r="J114" s="739"/>
      <c r="K114" s="289"/>
      <c r="L114" s="383">
        <v>9</v>
      </c>
      <c r="M114" s="501" t="s">
        <v>481</v>
      </c>
      <c r="N114" s="385" t="s">
        <v>424</v>
      </c>
      <c r="O114" s="544"/>
      <c r="P114" s="561">
        <v>0.1</v>
      </c>
      <c r="Q114" s="316">
        <f t="shared" si="19"/>
        <v>110529.12</v>
      </c>
      <c r="R114" s="777"/>
      <c r="S114" s="619" t="s">
        <v>422</v>
      </c>
      <c r="T114" s="667">
        <v>46112</v>
      </c>
      <c r="U114" s="669">
        <v>120469.59028343888</v>
      </c>
      <c r="V114" s="751"/>
      <c r="W114" s="535">
        <v>46121</v>
      </c>
      <c r="X114" s="768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65"/>
      <c r="J115" s="739"/>
      <c r="K115" s="289"/>
      <c r="L115" s="383">
        <v>9</v>
      </c>
      <c r="M115" s="501" t="s">
        <v>481</v>
      </c>
      <c r="N115" s="385" t="s">
        <v>425</v>
      </c>
      <c r="O115" s="544"/>
      <c r="P115" s="561">
        <v>0.05</v>
      </c>
      <c r="Q115" s="316">
        <f t="shared" si="19"/>
        <v>55264.56</v>
      </c>
      <c r="R115" s="777"/>
      <c r="S115" s="619" t="s">
        <v>422</v>
      </c>
      <c r="T115" s="667">
        <v>46112</v>
      </c>
      <c r="U115" s="669">
        <v>60234.795141719442</v>
      </c>
      <c r="V115" s="751"/>
      <c r="W115" s="535">
        <v>46121</v>
      </c>
      <c r="X115" s="768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65"/>
      <c r="J116" s="739"/>
      <c r="K116" s="289"/>
      <c r="L116" s="383">
        <v>9</v>
      </c>
      <c r="M116" s="501" t="s">
        <v>481</v>
      </c>
      <c r="N116" s="385" t="s">
        <v>426</v>
      </c>
      <c r="O116" s="544"/>
      <c r="P116" s="561">
        <v>0.05</v>
      </c>
      <c r="Q116" s="316">
        <f t="shared" si="19"/>
        <v>55264.56</v>
      </c>
      <c r="R116" s="778"/>
      <c r="S116" s="619"/>
      <c r="T116" s="519">
        <f>IF(W116&gt;1,EOMONTH(W116,-1),"")</f>
        <v>46142</v>
      </c>
      <c r="U116" s="504">
        <f t="shared" si="18"/>
        <v>60234.795141719442</v>
      </c>
      <c r="V116" s="751"/>
      <c r="W116" s="567">
        <f>W115+30</f>
        <v>46151</v>
      </c>
      <c r="X116" s="768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65"/>
      <c r="J117" s="739"/>
      <c r="K117" s="289"/>
      <c r="L117" s="383">
        <v>9</v>
      </c>
      <c r="M117" s="501" t="s">
        <v>481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51"/>
      <c r="W117" s="567"/>
      <c r="X117" s="768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65"/>
      <c r="J118" s="739"/>
      <c r="K118" s="289"/>
      <c r="L118" s="383">
        <v>9</v>
      </c>
      <c r="M118" s="501" t="s">
        <v>481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51"/>
      <c r="W118" s="567"/>
      <c r="X118" s="768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66"/>
      <c r="J119" s="740"/>
      <c r="K119" s="365"/>
      <c r="L119" s="317">
        <v>9</v>
      </c>
      <c r="M119" s="441" t="s">
        <v>481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52"/>
      <c r="W119" s="568"/>
      <c r="X119" s="769"/>
      <c r="Y119" s="482"/>
    </row>
    <row r="120" spans="1:25" ht="14.4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485</v>
      </c>
      <c r="D121" s="271" t="s">
        <v>377</v>
      </c>
      <c r="E121" s="272"/>
      <c r="F121" s="470"/>
      <c r="G121" s="339">
        <f>D214</f>
        <v>8500</v>
      </c>
      <c r="H121" s="577">
        <v>45900</v>
      </c>
      <c r="I121" s="744">
        <f>SUM(G121:G143)</f>
        <v>184440.46666666665</v>
      </c>
      <c r="J121" s="744">
        <f>F214+F217+F218+F216</f>
        <v>209591.43939393942</v>
      </c>
      <c r="K121" s="340"/>
      <c r="L121" s="270">
        <v>10</v>
      </c>
      <c r="M121" s="434" t="s">
        <v>486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53">
        <f>J121-SUM(U121:U143)</f>
        <v>-3.4785436873789877E-3</v>
      </c>
      <c r="W121" s="577"/>
      <c r="X121" s="747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378</v>
      </c>
      <c r="E122" s="343"/>
      <c r="F122" s="471"/>
      <c r="G122" s="344">
        <f>D218</f>
        <v>70393.8</v>
      </c>
      <c r="H122" s="578">
        <v>45900</v>
      </c>
      <c r="I122" s="745"/>
      <c r="J122" s="745"/>
      <c r="K122" s="273"/>
      <c r="L122" s="341">
        <v>10</v>
      </c>
      <c r="M122" s="435" t="s">
        <v>486</v>
      </c>
      <c r="N122" s="342" t="s">
        <v>487</v>
      </c>
      <c r="O122" s="557"/>
      <c r="P122" s="471"/>
      <c r="Q122" s="344">
        <f>20700/1.15</f>
        <v>18000</v>
      </c>
      <c r="R122" s="773" t="s">
        <v>488</v>
      </c>
      <c r="S122" s="631" t="s">
        <v>489</v>
      </c>
      <c r="T122" s="663">
        <v>45961</v>
      </c>
      <c r="U122" s="687">
        <v>12469.742943475689</v>
      </c>
      <c r="V122" s="754"/>
      <c r="W122" s="678">
        <v>45946</v>
      </c>
      <c r="X122" s="748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45"/>
      <c r="J123" s="745"/>
      <c r="K123" s="273"/>
      <c r="L123" s="341">
        <v>11</v>
      </c>
      <c r="M123" s="435" t="s">
        <v>486</v>
      </c>
      <c r="N123" s="342" t="s">
        <v>490</v>
      </c>
      <c r="O123" s="557"/>
      <c r="P123" s="471"/>
      <c r="Q123" s="344">
        <v>18000</v>
      </c>
      <c r="R123" s="775"/>
      <c r="S123" s="631" t="s">
        <v>489</v>
      </c>
      <c r="T123" s="677">
        <v>45961</v>
      </c>
      <c r="U123" s="687">
        <v>12469.742943475689</v>
      </c>
      <c r="V123" s="754"/>
      <c r="W123" s="678">
        <f>T123</f>
        <v>45961</v>
      </c>
      <c r="X123" s="748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45"/>
      <c r="J124" s="745"/>
      <c r="K124" s="273"/>
      <c r="L124" s="341">
        <v>12</v>
      </c>
      <c r="M124" s="435" t="s">
        <v>486</v>
      </c>
      <c r="N124" s="342" t="s">
        <v>491</v>
      </c>
      <c r="O124" s="557"/>
      <c r="P124" s="471"/>
      <c r="Q124" s="344">
        <v>60000</v>
      </c>
      <c r="R124" s="595"/>
      <c r="S124" s="631" t="s">
        <v>492</v>
      </c>
      <c r="T124" s="663">
        <v>45991</v>
      </c>
      <c r="U124" s="687">
        <v>38348.821150162417</v>
      </c>
      <c r="V124" s="754"/>
      <c r="W124" s="690">
        <v>45989</v>
      </c>
      <c r="X124" s="748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45"/>
      <c r="J125" s="745"/>
      <c r="K125" s="273"/>
      <c r="L125" s="341">
        <v>12</v>
      </c>
      <c r="M125" s="435" t="s">
        <v>486</v>
      </c>
      <c r="N125" s="342" t="s">
        <v>493</v>
      </c>
      <c r="O125" s="557"/>
      <c r="P125" s="471"/>
      <c r="Q125" s="344">
        <v>10000</v>
      </c>
      <c r="R125" s="595" t="s">
        <v>494</v>
      </c>
      <c r="S125" s="631" t="s">
        <v>495</v>
      </c>
      <c r="T125" s="663">
        <v>46022</v>
      </c>
      <c r="U125" s="687">
        <v>6927.6372583925622</v>
      </c>
      <c r="V125" s="754"/>
      <c r="W125" s="690">
        <v>46003</v>
      </c>
      <c r="X125" s="748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45"/>
      <c r="J126" s="745"/>
      <c r="K126" s="273"/>
      <c r="L126" s="341">
        <v>13</v>
      </c>
      <c r="M126" s="435" t="s">
        <v>486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54"/>
      <c r="W126" s="578"/>
      <c r="X126" s="748"/>
      <c r="Y126" s="482"/>
    </row>
    <row r="127" spans="1:25" ht="14.25" customHeight="1">
      <c r="B127" s="341">
        <v>10</v>
      </c>
      <c r="C127" s="342"/>
      <c r="D127" s="342" t="s">
        <v>496</v>
      </c>
      <c r="E127" s="343"/>
      <c r="F127" s="471"/>
      <c r="G127" s="344">
        <f>D217</f>
        <v>72000</v>
      </c>
      <c r="H127" s="578">
        <v>45900</v>
      </c>
      <c r="I127" s="745"/>
      <c r="J127" s="745"/>
      <c r="K127" s="273"/>
      <c r="L127" s="341">
        <v>10</v>
      </c>
      <c r="M127" s="435" t="s">
        <v>486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54"/>
      <c r="W127" s="578"/>
      <c r="X127" s="748"/>
      <c r="Y127" s="482"/>
    </row>
    <row r="128" spans="1:25" ht="14.25" customHeight="1">
      <c r="B128" s="341">
        <v>10</v>
      </c>
      <c r="C128" s="342"/>
      <c r="D128" s="342" t="s">
        <v>379</v>
      </c>
      <c r="E128" s="343"/>
      <c r="F128" s="471"/>
      <c r="G128" s="344">
        <f>D216</f>
        <v>33546.666666666664</v>
      </c>
      <c r="H128" s="578">
        <v>45900</v>
      </c>
      <c r="I128" s="745"/>
      <c r="J128" s="745"/>
      <c r="K128" s="273"/>
      <c r="L128" s="341">
        <v>10</v>
      </c>
      <c r="M128" s="435" t="s">
        <v>486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54"/>
      <c r="W128" s="578"/>
      <c r="X128" s="748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45"/>
      <c r="J129" s="745"/>
      <c r="K129" s="273"/>
      <c r="L129" s="341">
        <v>10</v>
      </c>
      <c r="M129" s="435" t="s">
        <v>486</v>
      </c>
      <c r="N129" s="342" t="s">
        <v>413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73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54"/>
      <c r="W129" s="537">
        <f t="shared" ref="W129:W140" si="21">W105</f>
        <v>45967</v>
      </c>
      <c r="X129" s="748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45"/>
      <c r="J130" s="745"/>
      <c r="K130" s="273"/>
      <c r="L130" s="341">
        <v>10</v>
      </c>
      <c r="M130" s="435" t="s">
        <v>486</v>
      </c>
      <c r="N130" s="342" t="s">
        <v>202</v>
      </c>
      <c r="O130" s="557"/>
      <c r="P130" s="564">
        <v>0.15</v>
      </c>
      <c r="Q130" s="344">
        <f t="shared" ref="Q130:Q140" si="22">$O$129*P130</f>
        <v>29481.599999999999</v>
      </c>
      <c r="R130" s="774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54"/>
      <c r="W130" s="537">
        <f t="shared" si="21"/>
        <v>45967</v>
      </c>
      <c r="X130" s="748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45"/>
      <c r="J131" s="745"/>
      <c r="K131" s="273"/>
      <c r="L131" s="341">
        <v>10</v>
      </c>
      <c r="M131" s="435" t="s">
        <v>486</v>
      </c>
      <c r="N131" s="342" t="s">
        <v>414</v>
      </c>
      <c r="O131" s="557"/>
      <c r="P131" s="564">
        <v>0.1</v>
      </c>
      <c r="Q131" s="344">
        <f t="shared" si="22"/>
        <v>19654.400000000001</v>
      </c>
      <c r="R131" s="774"/>
      <c r="S131" s="632" t="s">
        <v>415</v>
      </c>
      <c r="T131" s="691">
        <f t="shared" ref="T131:T140" si="23">T107</f>
        <v>46022</v>
      </c>
      <c r="U131" s="687">
        <v>16832.875373135081</v>
      </c>
      <c r="V131" s="754"/>
      <c r="W131" s="537">
        <f t="shared" si="21"/>
        <v>46003</v>
      </c>
      <c r="X131" s="748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45"/>
      <c r="J132" s="745"/>
      <c r="K132" s="273"/>
      <c r="L132" s="341">
        <v>10</v>
      </c>
      <c r="M132" s="435" t="s">
        <v>486</v>
      </c>
      <c r="N132" s="342" t="s">
        <v>414</v>
      </c>
      <c r="O132" s="557"/>
      <c r="P132" s="707">
        <f>P108</f>
        <v>7.4999999999999997E-2</v>
      </c>
      <c r="Q132" s="344">
        <f>O129*P132</f>
        <v>14740.8</v>
      </c>
      <c r="R132" s="774"/>
      <c r="S132" s="632" t="s">
        <v>417</v>
      </c>
      <c r="T132" s="673">
        <f t="shared" si="23"/>
        <v>46053</v>
      </c>
      <c r="U132" s="687">
        <v>16832.875373135081</v>
      </c>
      <c r="V132" s="754"/>
      <c r="W132" s="537">
        <f t="shared" si="21"/>
        <v>46066</v>
      </c>
      <c r="X132" s="748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45"/>
      <c r="J133" s="745"/>
      <c r="K133" s="273"/>
      <c r="L133" s="341">
        <v>10</v>
      </c>
      <c r="M133" s="435" t="s">
        <v>486</v>
      </c>
      <c r="N133" s="342" t="s">
        <v>414</v>
      </c>
      <c r="O133" s="557"/>
      <c r="P133" s="707">
        <f>P109</f>
        <v>2.5000000000000001E-2</v>
      </c>
      <c r="Q133" s="344">
        <f t="shared" si="22"/>
        <v>4913.6000000000004</v>
      </c>
      <c r="R133" s="774"/>
      <c r="S133" s="632" t="s">
        <v>418</v>
      </c>
      <c r="T133" s="673">
        <f t="shared" si="23"/>
        <v>46081</v>
      </c>
      <c r="U133" s="687">
        <v>3403.9638432837701</v>
      </c>
      <c r="V133" s="754"/>
      <c r="W133" s="682">
        <f t="shared" si="21"/>
        <v>46100</v>
      </c>
      <c r="X133" s="748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45"/>
      <c r="J134" s="745"/>
      <c r="K134" s="273"/>
      <c r="L134" s="341">
        <v>10</v>
      </c>
      <c r="M134" s="435" t="s">
        <v>486</v>
      </c>
      <c r="N134" s="342" t="s">
        <v>419</v>
      </c>
      <c r="O134" s="557"/>
      <c r="P134" s="564">
        <v>0.2</v>
      </c>
      <c r="Q134" s="344">
        <v>39308.699999999997</v>
      </c>
      <c r="R134" s="774"/>
      <c r="S134" s="632" t="s">
        <v>415</v>
      </c>
      <c r="T134" s="691">
        <f t="shared" si="23"/>
        <v>46022</v>
      </c>
      <c r="U134" s="687">
        <v>27231.641469897571</v>
      </c>
      <c r="V134" s="754"/>
      <c r="W134" s="537">
        <f t="shared" si="21"/>
        <v>46003</v>
      </c>
      <c r="X134" s="748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45"/>
      <c r="J135" s="745"/>
      <c r="K135" s="273"/>
      <c r="L135" s="341">
        <v>10</v>
      </c>
      <c r="M135" s="435" t="s">
        <v>486</v>
      </c>
      <c r="N135" s="342" t="s">
        <v>419</v>
      </c>
      <c r="O135" s="557"/>
      <c r="P135" s="707">
        <f>P111</f>
        <v>2.5000000000000001E-2</v>
      </c>
      <c r="Q135" s="344">
        <f>O129*P135</f>
        <v>4913.6000000000004</v>
      </c>
      <c r="R135" s="774"/>
      <c r="S135" s="632" t="s">
        <v>417</v>
      </c>
      <c r="T135" s="673">
        <f t="shared" si="23"/>
        <v>46053</v>
      </c>
      <c r="U135" s="687">
        <v>16832.875373135081</v>
      </c>
      <c r="V135" s="754"/>
      <c r="W135" s="537">
        <f t="shared" si="21"/>
        <v>46066</v>
      </c>
      <c r="X135" s="748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45"/>
      <c r="J136" s="745"/>
      <c r="K136" s="273"/>
      <c r="L136" s="341">
        <v>10</v>
      </c>
      <c r="M136" s="435" t="s">
        <v>486</v>
      </c>
      <c r="N136" s="342" t="s">
        <v>419</v>
      </c>
      <c r="O136" s="557"/>
      <c r="P136" s="707">
        <f>P112</f>
        <v>2.5000000000000001E-2</v>
      </c>
      <c r="Q136" s="344">
        <f t="shared" si="22"/>
        <v>4913.6000000000004</v>
      </c>
      <c r="R136" s="774"/>
      <c r="S136" s="632" t="s">
        <v>418</v>
      </c>
      <c r="T136" s="673">
        <f t="shared" si="23"/>
        <v>46081</v>
      </c>
      <c r="U136" s="687">
        <v>3403.9638432837701</v>
      </c>
      <c r="V136" s="754"/>
      <c r="W136" s="682">
        <f t="shared" si="21"/>
        <v>46100</v>
      </c>
      <c r="X136" s="748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45"/>
      <c r="J137" s="745"/>
      <c r="K137" s="273"/>
      <c r="L137" s="341">
        <v>10</v>
      </c>
      <c r="M137" s="435" t="s">
        <v>486</v>
      </c>
      <c r="N137" s="342" t="s">
        <v>421</v>
      </c>
      <c r="O137" s="557"/>
      <c r="P137" s="564">
        <v>0.1</v>
      </c>
      <c r="Q137" s="344">
        <f t="shared" si="22"/>
        <v>19654.400000000001</v>
      </c>
      <c r="R137" s="774"/>
      <c r="S137" s="632" t="s">
        <v>422</v>
      </c>
      <c r="T137" s="673">
        <f t="shared" si="23"/>
        <v>46112</v>
      </c>
      <c r="U137" s="687">
        <v>13615.85537313508</v>
      </c>
      <c r="V137" s="754"/>
      <c r="W137" s="537">
        <f t="shared" si="21"/>
        <v>46121</v>
      </c>
      <c r="X137" s="748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45"/>
      <c r="J138" s="745"/>
      <c r="K138" s="273"/>
      <c r="L138" s="341">
        <v>10</v>
      </c>
      <c r="M138" s="435" t="s">
        <v>486</v>
      </c>
      <c r="N138" s="342" t="s">
        <v>424</v>
      </c>
      <c r="O138" s="557"/>
      <c r="P138" s="564">
        <v>0.1</v>
      </c>
      <c r="Q138" s="344">
        <f t="shared" si="22"/>
        <v>19654.400000000001</v>
      </c>
      <c r="R138" s="774"/>
      <c r="S138" s="632" t="s">
        <v>422</v>
      </c>
      <c r="T138" s="673">
        <f>T114</f>
        <v>46112</v>
      </c>
      <c r="U138" s="687">
        <v>13615.85537313508</v>
      </c>
      <c r="V138" s="754"/>
      <c r="W138" s="537">
        <f t="shared" si="21"/>
        <v>46121</v>
      </c>
      <c r="X138" s="748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45"/>
      <c r="J139" s="745"/>
      <c r="K139" s="273"/>
      <c r="L139" s="341">
        <v>10</v>
      </c>
      <c r="M139" s="435" t="s">
        <v>486</v>
      </c>
      <c r="N139" s="342" t="s">
        <v>425</v>
      </c>
      <c r="O139" s="557"/>
      <c r="P139" s="564">
        <v>0.05</v>
      </c>
      <c r="Q139" s="344">
        <f t="shared" si="22"/>
        <v>9827.2000000000007</v>
      </c>
      <c r="R139" s="774"/>
      <c r="S139" s="632" t="s">
        <v>422</v>
      </c>
      <c r="T139" s="673">
        <f>T115</f>
        <v>46112</v>
      </c>
      <c r="U139" s="687">
        <v>6807.9276865675401</v>
      </c>
      <c r="V139" s="754"/>
      <c r="W139" s="537">
        <f t="shared" si="21"/>
        <v>46121</v>
      </c>
      <c r="X139" s="748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45"/>
      <c r="J140" s="745"/>
      <c r="K140" s="273"/>
      <c r="L140" s="341">
        <v>10</v>
      </c>
      <c r="M140" s="435" t="s">
        <v>486</v>
      </c>
      <c r="N140" s="342" t="s">
        <v>426</v>
      </c>
      <c r="O140" s="557"/>
      <c r="P140" s="564">
        <v>0.05</v>
      </c>
      <c r="Q140" s="344">
        <f t="shared" si="22"/>
        <v>9827.2000000000007</v>
      </c>
      <c r="R140" s="775"/>
      <c r="S140" s="632"/>
      <c r="T140" s="532">
        <f t="shared" si="23"/>
        <v>46142</v>
      </c>
      <c r="U140" s="516">
        <f t="shared" si="20"/>
        <v>6807.9276865675401</v>
      </c>
      <c r="V140" s="754"/>
      <c r="W140" s="579">
        <f t="shared" si="21"/>
        <v>46151</v>
      </c>
      <c r="X140" s="748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45"/>
      <c r="J141" s="745"/>
      <c r="K141" s="273"/>
      <c r="L141" s="341">
        <v>10</v>
      </c>
      <c r="M141" s="435" t="s">
        <v>486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54"/>
      <c r="W141" s="579"/>
      <c r="X141" s="748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45"/>
      <c r="J142" s="745"/>
      <c r="K142" s="273"/>
      <c r="L142" s="341">
        <v>10</v>
      </c>
      <c r="M142" s="435" t="s">
        <v>486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54"/>
      <c r="W142" s="579"/>
      <c r="X142" s="748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46"/>
      <c r="J143" s="746"/>
      <c r="K143" s="276"/>
      <c r="L143" s="274">
        <v>10</v>
      </c>
      <c r="M143" s="436" t="s">
        <v>486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55"/>
      <c r="W143" s="580"/>
      <c r="X143" s="749"/>
      <c r="Y143" s="482"/>
    </row>
    <row r="144" spans="1:25" ht="14.4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497</v>
      </c>
      <c r="D145" s="352" t="s">
        <v>498</v>
      </c>
      <c r="E145" s="284"/>
      <c r="F145" s="437"/>
      <c r="G145" s="285">
        <v>34004.250000000007</v>
      </c>
      <c r="H145" s="573">
        <v>45900</v>
      </c>
      <c r="I145" s="738">
        <f>SUM(G145:G149)</f>
        <v>182012.75000000003</v>
      </c>
      <c r="J145" s="738">
        <f>F213</f>
        <v>206832.67045454547</v>
      </c>
      <c r="K145" s="286"/>
      <c r="L145" s="282">
        <v>11</v>
      </c>
      <c r="M145" s="352" t="s">
        <v>499</v>
      </c>
      <c r="N145" s="352" t="s">
        <v>498</v>
      </c>
      <c r="O145" s="284"/>
      <c r="P145" s="437"/>
      <c r="Q145" s="285">
        <v>29014</v>
      </c>
      <c r="R145" s="589"/>
      <c r="S145" s="625" t="s">
        <v>500</v>
      </c>
      <c r="T145" s="666">
        <v>46112</v>
      </c>
      <c r="U145" s="737">
        <v>31175.175941383532</v>
      </c>
      <c r="V145" s="750">
        <f>J145-SUM(U145:U149)</f>
        <v>-9.7396183991804719E-4</v>
      </c>
      <c r="W145" s="697">
        <v>46114</v>
      </c>
      <c r="X145" s="741">
        <f>SUM(Q145:Q149)</f>
        <v>147013.6</v>
      </c>
      <c r="Y145" s="482"/>
    </row>
    <row r="146" spans="1:25" ht="15" customHeight="1">
      <c r="B146" s="312">
        <v>11</v>
      </c>
      <c r="C146" s="314"/>
      <c r="D146" s="314" t="s">
        <v>501</v>
      </c>
      <c r="E146" s="315"/>
      <c r="F146" s="459"/>
      <c r="G146" s="316">
        <v>68008.500000000015</v>
      </c>
      <c r="H146" s="534">
        <v>45900</v>
      </c>
      <c r="I146" s="739"/>
      <c r="J146" s="739"/>
      <c r="K146" s="289"/>
      <c r="L146" s="312">
        <v>11</v>
      </c>
      <c r="M146" s="389" t="s">
        <v>499</v>
      </c>
      <c r="N146" s="314" t="s">
        <v>501</v>
      </c>
      <c r="O146" s="315"/>
      <c r="P146" s="459"/>
      <c r="Q146" s="316">
        <v>9019.6</v>
      </c>
      <c r="R146" s="635"/>
      <c r="S146" s="618" t="s">
        <v>502</v>
      </c>
      <c r="T146" s="644">
        <v>45930</v>
      </c>
      <c r="U146" s="669">
        <v>14096.219464915206</v>
      </c>
      <c r="V146" s="751"/>
      <c r="W146" s="534">
        <v>45757</v>
      </c>
      <c r="X146" s="742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39"/>
      <c r="J147" s="739"/>
      <c r="K147" s="289"/>
      <c r="L147" s="312">
        <v>11</v>
      </c>
      <c r="M147" s="389" t="s">
        <v>499</v>
      </c>
      <c r="N147" s="314" t="s">
        <v>503</v>
      </c>
      <c r="O147" s="315"/>
      <c r="P147" s="459"/>
      <c r="Q147" s="316">
        <v>9620</v>
      </c>
      <c r="R147" s="582"/>
      <c r="S147" s="618" t="s">
        <v>504</v>
      </c>
      <c r="T147" s="644">
        <v>45930</v>
      </c>
      <c r="U147" s="669">
        <v>15034.550451514953</v>
      </c>
      <c r="V147" s="751"/>
      <c r="W147" s="534">
        <v>45723</v>
      </c>
      <c r="X147" s="742"/>
      <c r="Y147" s="482"/>
    </row>
    <row r="148" spans="1:25" ht="15" customHeight="1">
      <c r="B148" s="312">
        <v>11</v>
      </c>
      <c r="C148" s="387"/>
      <c r="D148" s="387" t="s">
        <v>505</v>
      </c>
      <c r="E148" s="406"/>
      <c r="F148" s="444"/>
      <c r="G148" s="386">
        <v>80000</v>
      </c>
      <c r="H148" s="567">
        <v>45900</v>
      </c>
      <c r="I148" s="739"/>
      <c r="J148" s="739"/>
      <c r="K148" s="289"/>
      <c r="L148" s="312">
        <v>11</v>
      </c>
      <c r="M148" s="389" t="s">
        <v>499</v>
      </c>
      <c r="N148" s="387" t="s">
        <v>505</v>
      </c>
      <c r="O148" s="406"/>
      <c r="P148" s="444"/>
      <c r="Q148" s="386">
        <v>79700</v>
      </c>
      <c r="R148" s="583" t="s">
        <v>506</v>
      </c>
      <c r="S148" s="619" t="s">
        <v>507</v>
      </c>
      <c r="T148" s="644">
        <v>45930</v>
      </c>
      <c r="U148" s="669">
        <f>124558.593657562-1152.58</f>
        <v>123406.013657562</v>
      </c>
      <c r="V148" s="751"/>
      <c r="W148" s="567">
        <v>45777</v>
      </c>
      <c r="X148" s="742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40"/>
      <c r="J149" s="740"/>
      <c r="K149" s="290"/>
      <c r="L149" s="317">
        <v>11</v>
      </c>
      <c r="M149" s="419" t="s">
        <v>499</v>
      </c>
      <c r="N149" s="318" t="s">
        <v>508</v>
      </c>
      <c r="O149" s="545"/>
      <c r="P149" s="460"/>
      <c r="Q149" s="331">
        <v>19660</v>
      </c>
      <c r="R149" s="584" t="s">
        <v>509</v>
      </c>
      <c r="S149" s="620" t="s">
        <v>510</v>
      </c>
      <c r="T149" s="726">
        <v>46112</v>
      </c>
      <c r="U149" s="686">
        <v>23120.711913131599</v>
      </c>
      <c r="V149" s="752"/>
      <c r="W149" s="727">
        <v>46086</v>
      </c>
      <c r="X149" s="743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511</v>
      </c>
      <c r="D151" s="271"/>
      <c r="E151" s="272"/>
      <c r="F151" s="470"/>
      <c r="G151" s="339"/>
      <c r="H151" s="577"/>
      <c r="I151" s="744">
        <f>SUM(G151:G152)</f>
        <v>0</v>
      </c>
      <c r="J151" s="744">
        <v>0</v>
      </c>
      <c r="K151" s="756"/>
      <c r="L151" s="270">
        <v>12</v>
      </c>
      <c r="M151" s="271" t="s">
        <v>512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47">
        <f>SUM(Q151:Q152)</f>
        <v>0</v>
      </c>
      <c r="Y151" s="482"/>
    </row>
    <row r="152" spans="1:25" ht="15" customHeight="1" thickBot="1">
      <c r="B152" s="274">
        <v>12</v>
      </c>
      <c r="C152" s="345" t="s">
        <v>511</v>
      </c>
      <c r="D152" s="345"/>
      <c r="E152" s="346"/>
      <c r="F152" s="472"/>
      <c r="G152" s="275"/>
      <c r="H152" s="580"/>
      <c r="I152" s="746"/>
      <c r="J152" s="746"/>
      <c r="K152" s="757"/>
      <c r="L152" s="274">
        <v>12</v>
      </c>
      <c r="M152" s="345" t="s">
        <v>512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49"/>
      <c r="Y152" s="482"/>
    </row>
    <row r="153" spans="1:25" ht="14.4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513</v>
      </c>
      <c r="D154" s="352" t="s">
        <v>514</v>
      </c>
      <c r="E154" s="284"/>
      <c r="F154" s="437"/>
      <c r="G154" s="285">
        <v>110470.56870833333</v>
      </c>
      <c r="H154" s="573">
        <v>45900</v>
      </c>
      <c r="I154" s="738">
        <f>SUM(G154:G158)</f>
        <v>429230.63442261907</v>
      </c>
      <c r="J154" s="738">
        <f>F212</f>
        <v>487762.08457115805</v>
      </c>
      <c r="K154" s="286"/>
      <c r="L154" s="282">
        <v>13</v>
      </c>
      <c r="M154" s="352" t="s">
        <v>515</v>
      </c>
      <c r="N154" s="352" t="s">
        <v>516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46142</v>
      </c>
      <c r="U154" s="511">
        <f t="shared" ref="U154:U159" si="25">(Q154/$X$154*$J$154)</f>
        <v>487762.08457115805</v>
      </c>
      <c r="V154" s="750">
        <f>J154-SUM(U154:U159)</f>
        <v>0</v>
      </c>
      <c r="W154" s="573">
        <v>46173</v>
      </c>
      <c r="X154" s="741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517</v>
      </c>
      <c r="E155" s="315"/>
      <c r="F155" s="459"/>
      <c r="G155" s="316">
        <v>77714.28571428571</v>
      </c>
      <c r="H155" s="566">
        <v>45900</v>
      </c>
      <c r="I155" s="739"/>
      <c r="J155" s="739"/>
      <c r="K155" s="289"/>
      <c r="L155" s="312">
        <v>13</v>
      </c>
      <c r="M155" s="389" t="s">
        <v>515</v>
      </c>
      <c r="N155" s="314" t="s">
        <v>517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51"/>
      <c r="W155" s="566"/>
      <c r="X155" s="742"/>
      <c r="Y155" s="482"/>
    </row>
    <row r="156" spans="1:25" ht="15.75" customHeight="1">
      <c r="B156" s="312">
        <v>13</v>
      </c>
      <c r="C156" s="314"/>
      <c r="D156" s="314" t="s">
        <v>518</v>
      </c>
      <c r="E156" s="315"/>
      <c r="F156" s="459"/>
      <c r="G156" s="316">
        <v>136000</v>
      </c>
      <c r="H156" s="566">
        <v>45900</v>
      </c>
      <c r="I156" s="739"/>
      <c r="J156" s="739"/>
      <c r="K156" s="289"/>
      <c r="L156" s="312">
        <v>13</v>
      </c>
      <c r="M156" s="389" t="s">
        <v>515</v>
      </c>
      <c r="N156" s="314" t="s">
        <v>518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51"/>
      <c r="W156" s="566"/>
      <c r="X156" s="742"/>
      <c r="Y156" s="482"/>
    </row>
    <row r="157" spans="1:25" ht="15.75" customHeight="1">
      <c r="B157" s="312">
        <v>13</v>
      </c>
      <c r="C157" s="314"/>
      <c r="D157" s="314" t="s">
        <v>519</v>
      </c>
      <c r="E157" s="315"/>
      <c r="F157" s="459"/>
      <c r="G157" s="316">
        <v>52000</v>
      </c>
      <c r="H157" s="566">
        <v>45900</v>
      </c>
      <c r="I157" s="739"/>
      <c r="J157" s="739"/>
      <c r="K157" s="289"/>
      <c r="L157" s="312">
        <v>13</v>
      </c>
      <c r="M157" s="389" t="s">
        <v>515</v>
      </c>
      <c r="N157" s="314" t="s">
        <v>519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51"/>
      <c r="W157" s="566"/>
      <c r="X157" s="742"/>
      <c r="Y157" s="482"/>
    </row>
    <row r="158" spans="1:25" ht="15.75" customHeight="1">
      <c r="B158" s="312">
        <v>13</v>
      </c>
      <c r="C158" s="314"/>
      <c r="D158" s="314" t="s">
        <v>520</v>
      </c>
      <c r="E158" s="315"/>
      <c r="F158" s="459"/>
      <c r="G158" s="316">
        <v>53045.780000000006</v>
      </c>
      <c r="H158" s="566">
        <v>45900</v>
      </c>
      <c r="I158" s="739"/>
      <c r="J158" s="739"/>
      <c r="K158" s="289"/>
      <c r="L158" s="312">
        <v>13</v>
      </c>
      <c r="M158" s="389" t="s">
        <v>515</v>
      </c>
      <c r="N158" s="314" t="s">
        <v>520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51"/>
      <c r="W158" s="566"/>
      <c r="X158" s="742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40"/>
      <c r="J159" s="740"/>
      <c r="K159" s="365"/>
      <c r="L159" s="317">
        <v>13</v>
      </c>
      <c r="M159" s="419" t="s">
        <v>515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52"/>
      <c r="W159" s="568"/>
      <c r="X159" s="743"/>
      <c r="Y159" s="482"/>
    </row>
    <row r="160" spans="1:25" ht="14.4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521</v>
      </c>
      <c r="D161" s="271" t="s">
        <v>522</v>
      </c>
      <c r="E161" s="272"/>
      <c r="F161" s="470"/>
      <c r="G161" s="339">
        <f>D223</f>
        <v>23800</v>
      </c>
      <c r="H161" s="537">
        <v>45905</v>
      </c>
      <c r="I161" s="744">
        <f>SUM(G161:G172)</f>
        <v>23800</v>
      </c>
      <c r="J161" s="744">
        <f>F223</f>
        <v>28000</v>
      </c>
      <c r="K161" s="340"/>
      <c r="L161" s="270">
        <v>14</v>
      </c>
      <c r="M161" s="434" t="s">
        <v>523</v>
      </c>
      <c r="N161" s="271" t="s">
        <v>524</v>
      </c>
      <c r="O161" s="556"/>
      <c r="P161" s="470"/>
      <c r="Q161" s="339">
        <v>13986.749999999998</v>
      </c>
      <c r="R161" s="594"/>
      <c r="S161" s="636" t="s">
        <v>525</v>
      </c>
      <c r="T161" s="645">
        <v>45930</v>
      </c>
      <c r="U161" s="670">
        <v>16326.887799201642</v>
      </c>
      <c r="V161" s="753">
        <f>J161-SUM(U161:U172)</f>
        <v>0</v>
      </c>
      <c r="W161" s="537">
        <v>45905</v>
      </c>
      <c r="X161" s="747">
        <f>SUM(Q161:Q172)</f>
        <v>46227.429999999993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45"/>
      <c r="J162" s="745"/>
      <c r="K162" s="273"/>
      <c r="L162" s="341">
        <v>14</v>
      </c>
      <c r="M162" s="435" t="s">
        <v>523</v>
      </c>
      <c r="N162" s="342" t="s">
        <v>524</v>
      </c>
      <c r="O162" s="557"/>
      <c r="P162" s="471"/>
      <c r="Q162" s="344">
        <v>10587.7</v>
      </c>
      <c r="R162" s="596"/>
      <c r="S162" s="630" t="s">
        <v>525</v>
      </c>
      <c r="T162" s="681">
        <v>45961</v>
      </c>
      <c r="U162" s="687">
        <v>3732.1066782460925</v>
      </c>
      <c r="V162" s="754"/>
      <c r="W162" s="682">
        <v>45967</v>
      </c>
      <c r="X162" s="748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45"/>
      <c r="J163" s="745"/>
      <c r="K163" s="273"/>
      <c r="L163" s="341">
        <v>14</v>
      </c>
      <c r="M163" s="435" t="s">
        <v>523</v>
      </c>
      <c r="N163" s="342" t="s">
        <v>524</v>
      </c>
      <c r="O163" s="557"/>
      <c r="P163" s="471"/>
      <c r="Q163" s="344">
        <v>5515.35</v>
      </c>
      <c r="R163" s="596"/>
      <c r="S163" s="630" t="s">
        <v>525</v>
      </c>
      <c r="T163" s="681">
        <v>45991</v>
      </c>
      <c r="U163" s="687">
        <v>3279.4745358867531</v>
      </c>
      <c r="V163" s="754"/>
      <c r="W163" s="682">
        <v>45996</v>
      </c>
      <c r="X163" s="748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45"/>
      <c r="J164" s="745"/>
      <c r="K164" s="273"/>
      <c r="L164" s="341">
        <v>14</v>
      </c>
      <c r="M164" s="435" t="s">
        <v>523</v>
      </c>
      <c r="N164" s="342" t="s">
        <v>524</v>
      </c>
      <c r="O164" s="557"/>
      <c r="P164" s="471"/>
      <c r="Q164" s="344">
        <v>0</v>
      </c>
      <c r="R164" s="596"/>
      <c r="S164" s="630" t="s">
        <v>525</v>
      </c>
      <c r="T164" s="681">
        <v>46022</v>
      </c>
      <c r="U164" s="701">
        <v>0</v>
      </c>
      <c r="V164" s="754"/>
      <c r="W164" s="682">
        <v>46022</v>
      </c>
      <c r="X164" s="748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45"/>
      <c r="J165" s="745"/>
      <c r="K165" s="273"/>
      <c r="L165" s="341">
        <v>14</v>
      </c>
      <c r="M165" s="435" t="s">
        <v>523</v>
      </c>
      <c r="N165" s="342" t="s">
        <v>524</v>
      </c>
      <c r="O165" s="557"/>
      <c r="P165" s="471"/>
      <c r="Q165" s="344">
        <v>0</v>
      </c>
      <c r="R165" s="596"/>
      <c r="S165" s="630" t="s">
        <v>525</v>
      </c>
      <c r="T165" s="681">
        <v>46053</v>
      </c>
      <c r="U165" s="683">
        <v>0</v>
      </c>
      <c r="V165" s="754"/>
      <c r="W165" s="682">
        <v>46058</v>
      </c>
      <c r="X165" s="748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45"/>
      <c r="J166" s="745"/>
      <c r="K166" s="273"/>
      <c r="L166" s="341">
        <v>14</v>
      </c>
      <c r="M166" s="435" t="s">
        <v>523</v>
      </c>
      <c r="N166" s="342" t="s">
        <v>524</v>
      </c>
      <c r="O166" s="557"/>
      <c r="P166" s="471"/>
      <c r="Q166" s="344">
        <v>3538.03</v>
      </c>
      <c r="R166" s="596"/>
      <c r="S166" s="630" t="s">
        <v>525</v>
      </c>
      <c r="T166" s="681">
        <v>46081</v>
      </c>
      <c r="U166" s="683">
        <f>2330.76549333276</f>
        <v>2330.7654933327599</v>
      </c>
      <c r="V166" s="754"/>
      <c r="W166" s="682">
        <v>46086</v>
      </c>
      <c r="X166" s="748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45"/>
      <c r="J167" s="745"/>
      <c r="K167" s="273"/>
      <c r="L167" s="341">
        <v>14</v>
      </c>
      <c r="M167" s="435" t="s">
        <v>523</v>
      </c>
      <c r="N167" s="342" t="s">
        <v>524</v>
      </c>
      <c r="O167" s="557"/>
      <c r="P167" s="471"/>
      <c r="Q167" s="344">
        <v>4099.6000000000004</v>
      </c>
      <c r="R167" s="596"/>
      <c r="S167" s="630" t="s">
        <v>525</v>
      </c>
      <c r="T167" s="681">
        <v>46112</v>
      </c>
      <c r="U167" s="683">
        <f>2330.76549333276/2</f>
        <v>1165.3827466663799</v>
      </c>
      <c r="V167" s="754"/>
      <c r="W167" s="682">
        <v>46115</v>
      </c>
      <c r="X167" s="748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45"/>
      <c r="J168" s="745"/>
      <c r="K168" s="273"/>
      <c r="L168" s="341">
        <v>14</v>
      </c>
      <c r="M168" s="435" t="s">
        <v>523</v>
      </c>
      <c r="N168" s="342"/>
      <c r="O168" s="557"/>
      <c r="P168" s="471"/>
      <c r="Q168" s="344">
        <v>8500</v>
      </c>
      <c r="R168" s="596"/>
      <c r="S168" s="683"/>
      <c r="T168" s="532">
        <v>46142</v>
      </c>
      <c r="U168" s="683">
        <f>2330.76549333276/2</f>
        <v>1165.3827466663799</v>
      </c>
      <c r="V168" s="754"/>
      <c r="W168" s="579">
        <v>46149</v>
      </c>
      <c r="X168" s="748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45"/>
      <c r="J169" s="745"/>
      <c r="K169" s="273"/>
      <c r="L169" s="341">
        <v>14</v>
      </c>
      <c r="M169" s="435" t="s">
        <v>523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ref="U169:U172" si="26">(Q169/$X$161*$J$161)</f>
        <v>0</v>
      </c>
      <c r="V169" s="754"/>
      <c r="W169" s="579"/>
      <c r="X169" s="748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45"/>
      <c r="J170" s="745"/>
      <c r="K170" s="273"/>
      <c r="L170" s="341">
        <v>14</v>
      </c>
      <c r="M170" s="435" t="s">
        <v>523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54"/>
      <c r="W170" s="579"/>
      <c r="X170" s="748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45"/>
      <c r="J171" s="745"/>
      <c r="K171" s="273"/>
      <c r="L171" s="341">
        <v>14</v>
      </c>
      <c r="M171" s="435" t="s">
        <v>523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54"/>
      <c r="W171" s="579"/>
      <c r="X171" s="748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46"/>
      <c r="J172" s="746"/>
      <c r="K172" s="276"/>
      <c r="L172" s="274">
        <v>14</v>
      </c>
      <c r="M172" s="436" t="s">
        <v>523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55"/>
      <c r="W172" s="580"/>
      <c r="X172" s="749"/>
      <c r="Y172" s="482"/>
    </row>
    <row r="173" spans="1:25" ht="14.4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9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526</v>
      </c>
      <c r="D174" s="283"/>
      <c r="E174" s="284"/>
      <c r="F174" s="437"/>
      <c r="G174" s="285"/>
      <c r="H174" s="573"/>
      <c r="I174" s="738">
        <f>SUM(G174:G195)</f>
        <v>0</v>
      </c>
      <c r="J174" s="738">
        <f>F220</f>
        <v>2000000</v>
      </c>
      <c r="K174" s="286"/>
      <c r="L174" s="282">
        <v>15</v>
      </c>
      <c r="M174" s="352" t="s">
        <v>527</v>
      </c>
      <c r="N174" s="283" t="s">
        <v>528</v>
      </c>
      <c r="O174" s="284"/>
      <c r="P174" s="437"/>
      <c r="Q174" s="285">
        <v>12358.2</v>
      </c>
      <c r="R174" s="589"/>
      <c r="S174" s="625" t="s">
        <v>422</v>
      </c>
      <c r="T174" s="666">
        <v>46112</v>
      </c>
      <c r="U174" s="511"/>
      <c r="V174" s="750">
        <v>0</v>
      </c>
      <c r="W174" s="697">
        <v>46121</v>
      </c>
      <c r="X174" s="741">
        <f>SUM(Q174:Q195)</f>
        <v>506406.62999999995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39"/>
      <c r="J175" s="739"/>
      <c r="K175" s="289"/>
      <c r="L175" s="312">
        <v>15</v>
      </c>
      <c r="M175" s="389" t="s">
        <v>527</v>
      </c>
      <c r="N175" s="314"/>
      <c r="O175" s="543"/>
      <c r="P175" s="459"/>
      <c r="Q175" s="316"/>
      <c r="R175" s="582"/>
      <c r="S175" s="618"/>
      <c r="T175" s="518"/>
      <c r="U175" s="503"/>
      <c r="V175" s="751"/>
      <c r="W175" s="566"/>
      <c r="X175" s="742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39"/>
      <c r="J176" s="739"/>
      <c r="K176" s="289"/>
      <c r="L176" s="312">
        <v>15</v>
      </c>
      <c r="M176" s="389" t="s">
        <v>527</v>
      </c>
      <c r="N176" s="314" t="s">
        <v>529</v>
      </c>
      <c r="O176" s="543"/>
      <c r="P176" s="459"/>
      <c r="Q176" s="316">
        <v>56132.72</v>
      </c>
      <c r="R176" s="582" t="s">
        <v>530</v>
      </c>
      <c r="S176" s="618" t="s">
        <v>531</v>
      </c>
      <c r="T176" s="644">
        <v>46022</v>
      </c>
      <c r="U176" s="503"/>
      <c r="V176" s="751"/>
      <c r="W176" s="534">
        <v>46058</v>
      </c>
      <c r="X176" s="742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39"/>
      <c r="J177" s="739"/>
      <c r="K177" s="289"/>
      <c r="L177" s="312">
        <v>15</v>
      </c>
      <c r="M177" s="389" t="s">
        <v>527</v>
      </c>
      <c r="N177" s="314" t="s">
        <v>532</v>
      </c>
      <c r="O177" s="543"/>
      <c r="P177" s="459"/>
      <c r="Q177" s="316">
        <v>54437.33</v>
      </c>
      <c r="R177" s="582" t="s">
        <v>533</v>
      </c>
      <c r="S177" s="618" t="s">
        <v>417</v>
      </c>
      <c r="T177" s="644">
        <v>46053</v>
      </c>
      <c r="U177" s="503"/>
      <c r="V177" s="751"/>
      <c r="W177" s="534">
        <f>W179</f>
        <v>46066</v>
      </c>
      <c r="X177" s="742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39"/>
      <c r="J178" s="739"/>
      <c r="K178" s="289"/>
      <c r="L178" s="312">
        <v>15</v>
      </c>
      <c r="M178" s="389" t="s">
        <v>527</v>
      </c>
      <c r="N178" s="314"/>
      <c r="O178" s="543"/>
      <c r="P178" s="459"/>
      <c r="Q178" s="316"/>
      <c r="R178" s="582"/>
      <c r="S178" s="618"/>
      <c r="T178" s="644"/>
      <c r="U178" s="503"/>
      <c r="V178" s="751"/>
      <c r="W178" s="566"/>
      <c r="X178" s="742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39"/>
      <c r="J179" s="739"/>
      <c r="K179" s="289"/>
      <c r="L179" s="312">
        <v>15</v>
      </c>
      <c r="M179" s="389" t="s">
        <v>527</v>
      </c>
      <c r="N179" s="314" t="s">
        <v>534</v>
      </c>
      <c r="O179" s="543"/>
      <c r="P179" s="459"/>
      <c r="Q179" s="316">
        <v>95838</v>
      </c>
      <c r="R179" s="582"/>
      <c r="S179" s="618" t="s">
        <v>417</v>
      </c>
      <c r="T179" s="644">
        <v>46053</v>
      </c>
      <c r="U179" s="503"/>
      <c r="V179" s="751"/>
      <c r="W179" s="534">
        <v>46066</v>
      </c>
      <c r="X179" s="742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39"/>
      <c r="J180" s="739"/>
      <c r="K180" s="289"/>
      <c r="L180" s="312">
        <v>15</v>
      </c>
      <c r="M180" s="389" t="s">
        <v>527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51"/>
      <c r="W180" s="566"/>
      <c r="X180" s="742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39"/>
      <c r="J181" s="739"/>
      <c r="K181" s="289"/>
      <c r="L181" s="312">
        <v>15</v>
      </c>
      <c r="M181" s="389" t="s">
        <v>527</v>
      </c>
      <c r="N181" s="314" t="s">
        <v>535</v>
      </c>
      <c r="O181" s="543"/>
      <c r="P181" s="459"/>
      <c r="Q181" s="316">
        <v>21393.95</v>
      </c>
      <c r="R181" s="582" t="s">
        <v>536</v>
      </c>
      <c r="S181" s="618" t="s">
        <v>418</v>
      </c>
      <c r="T181" s="644">
        <v>46081</v>
      </c>
      <c r="U181" s="503"/>
      <c r="V181" s="751"/>
      <c r="W181" s="693">
        <v>46100</v>
      </c>
      <c r="X181" s="742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39"/>
      <c r="J182" s="739"/>
      <c r="K182" s="289"/>
      <c r="L182" s="312">
        <v>15</v>
      </c>
      <c r="M182" s="389" t="s">
        <v>527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51"/>
      <c r="W182" s="693"/>
      <c r="X182" s="742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39"/>
      <c r="J183" s="739"/>
      <c r="K183" s="289"/>
      <c r="L183" s="312">
        <v>15</v>
      </c>
      <c r="M183" s="389" t="s">
        <v>527</v>
      </c>
      <c r="N183" s="314" t="s">
        <v>537</v>
      </c>
      <c r="O183" s="543"/>
      <c r="P183" s="459"/>
      <c r="Q183" s="316">
        <v>237957.79</v>
      </c>
      <c r="R183" s="582" t="s">
        <v>538</v>
      </c>
      <c r="S183" s="618" t="s">
        <v>418</v>
      </c>
      <c r="T183" s="644">
        <v>46081</v>
      </c>
      <c r="U183" s="503"/>
      <c r="V183" s="751"/>
      <c r="W183" s="693">
        <v>46100</v>
      </c>
      <c r="X183" s="742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39"/>
      <c r="J184" s="739"/>
      <c r="K184" s="289"/>
      <c r="L184" s="312">
        <v>15</v>
      </c>
      <c r="M184" s="389" t="s">
        <v>527</v>
      </c>
      <c r="N184" s="314" t="s">
        <v>539</v>
      </c>
      <c r="O184" s="543"/>
      <c r="P184" s="459"/>
      <c r="Q184" s="316">
        <v>2608.69</v>
      </c>
      <c r="R184" s="582"/>
      <c r="S184" s="618" t="s">
        <v>418</v>
      </c>
      <c r="T184" s="644">
        <v>46081</v>
      </c>
      <c r="U184" s="503"/>
      <c r="V184" s="751"/>
      <c r="W184" s="693">
        <v>46100</v>
      </c>
      <c r="X184" s="742"/>
      <c r="Y184" s="482"/>
    </row>
    <row r="185" spans="2:25">
      <c r="B185" s="383"/>
      <c r="C185" s="387"/>
      <c r="D185" s="387"/>
      <c r="E185" s="406"/>
      <c r="F185" s="444"/>
      <c r="G185" s="386"/>
      <c r="H185" s="567"/>
      <c r="I185" s="739"/>
      <c r="J185" s="739"/>
      <c r="K185" s="289"/>
      <c r="L185" s="312">
        <v>15</v>
      </c>
      <c r="M185" s="389" t="s">
        <v>527</v>
      </c>
      <c r="N185" s="387"/>
      <c r="O185" s="544"/>
      <c r="P185" s="444"/>
      <c r="Q185" s="386"/>
      <c r="R185" s="583"/>
      <c r="S185" s="619"/>
      <c r="T185" s="667"/>
      <c r="U185" s="504"/>
      <c r="V185" s="751"/>
      <c r="W185" s="680"/>
      <c r="X185" s="742"/>
      <c r="Y185" s="482"/>
    </row>
    <row r="186" spans="2:25">
      <c r="B186" s="383"/>
      <c r="C186" s="387"/>
      <c r="D186" s="387"/>
      <c r="E186" s="406"/>
      <c r="F186" s="444"/>
      <c r="G186" s="386"/>
      <c r="H186" s="567"/>
      <c r="I186" s="739"/>
      <c r="J186" s="739"/>
      <c r="K186" s="289"/>
      <c r="L186" s="312">
        <v>15</v>
      </c>
      <c r="M186" s="389" t="s">
        <v>527</v>
      </c>
      <c r="N186" s="735" t="s">
        <v>540</v>
      </c>
      <c r="O186" s="544"/>
      <c r="P186" s="444"/>
      <c r="Q186" s="386">
        <v>7653.1</v>
      </c>
      <c r="R186" s="583" t="s">
        <v>541</v>
      </c>
      <c r="S186" s="619"/>
      <c r="T186" s="519">
        <v>46142</v>
      </c>
      <c r="U186" s="504"/>
      <c r="V186" s="751"/>
      <c r="W186" s="567">
        <f>T186</f>
        <v>46142</v>
      </c>
      <c r="X186" s="742"/>
      <c r="Y186" s="482"/>
    </row>
    <row r="187" spans="2:25">
      <c r="B187" s="383"/>
      <c r="C187" s="387"/>
      <c r="D187" s="387"/>
      <c r="E187" s="406"/>
      <c r="F187" s="444"/>
      <c r="G187" s="386"/>
      <c r="H187" s="567"/>
      <c r="I187" s="739"/>
      <c r="J187" s="739"/>
      <c r="K187" s="289"/>
      <c r="L187" s="312">
        <v>15</v>
      </c>
      <c r="M187" s="389" t="s">
        <v>527</v>
      </c>
      <c r="N187" s="387" t="s">
        <v>542</v>
      </c>
      <c r="O187" s="544"/>
      <c r="P187" s="444"/>
      <c r="Q187" s="386">
        <v>3406.5</v>
      </c>
      <c r="R187" s="583" t="s">
        <v>543</v>
      </c>
      <c r="S187" s="619"/>
      <c r="T187" s="519">
        <v>46142</v>
      </c>
      <c r="U187" s="504"/>
      <c r="V187" s="751"/>
      <c r="W187" s="567">
        <f>T187</f>
        <v>46142</v>
      </c>
      <c r="X187" s="742"/>
      <c r="Y187" s="482"/>
    </row>
    <row r="188" spans="2:25">
      <c r="B188" s="383"/>
      <c r="C188" s="387"/>
      <c r="D188" s="387"/>
      <c r="E188" s="406"/>
      <c r="F188" s="444"/>
      <c r="G188" s="386"/>
      <c r="H188" s="567"/>
      <c r="I188" s="739"/>
      <c r="J188" s="739"/>
      <c r="K188" s="289"/>
      <c r="L188" s="312">
        <v>15</v>
      </c>
      <c r="M188" s="389" t="s">
        <v>527</v>
      </c>
      <c r="N188" s="387" t="s">
        <v>544</v>
      </c>
      <c r="O188" s="544"/>
      <c r="P188" s="444"/>
      <c r="Q188" s="386">
        <v>1068.67</v>
      </c>
      <c r="R188" s="583" t="s">
        <v>545</v>
      </c>
      <c r="S188" s="619"/>
      <c r="T188" s="519">
        <v>46142</v>
      </c>
      <c r="U188" s="504"/>
      <c r="V188" s="751"/>
      <c r="W188" s="567">
        <f>T188</f>
        <v>46142</v>
      </c>
      <c r="X188" s="742"/>
      <c r="Y188" s="482"/>
    </row>
    <row r="189" spans="2:25">
      <c r="B189" s="383"/>
      <c r="C189" s="387"/>
      <c r="D189" s="387"/>
      <c r="E189" s="406"/>
      <c r="F189" s="444"/>
      <c r="G189" s="386"/>
      <c r="H189" s="567"/>
      <c r="I189" s="739"/>
      <c r="J189" s="739"/>
      <c r="K189" s="289"/>
      <c r="L189" s="312">
        <v>15</v>
      </c>
      <c r="M189" s="389" t="s">
        <v>527</v>
      </c>
      <c r="N189" s="387" t="s">
        <v>546</v>
      </c>
      <c r="O189" s="544"/>
      <c r="P189" s="444"/>
      <c r="Q189" s="386">
        <v>230</v>
      </c>
      <c r="R189" s="583" t="s">
        <v>547</v>
      </c>
      <c r="S189" s="619"/>
      <c r="T189" s="519">
        <v>46142</v>
      </c>
      <c r="U189" s="504"/>
      <c r="V189" s="751"/>
      <c r="W189" s="567">
        <f>T189</f>
        <v>46142</v>
      </c>
      <c r="X189" s="742"/>
      <c r="Y189" s="482"/>
    </row>
    <row r="190" spans="2:25">
      <c r="B190" s="383"/>
      <c r="C190" s="387"/>
      <c r="D190" s="387"/>
      <c r="E190" s="406"/>
      <c r="F190" s="444"/>
      <c r="G190" s="386"/>
      <c r="H190" s="567"/>
      <c r="I190" s="739"/>
      <c r="J190" s="739"/>
      <c r="K190" s="289"/>
      <c r="L190" s="312">
        <v>15</v>
      </c>
      <c r="M190" s="389" t="s">
        <v>527</v>
      </c>
      <c r="N190" s="387"/>
      <c r="O190" s="544"/>
      <c r="P190" s="444"/>
      <c r="Q190" s="386"/>
      <c r="R190" s="583"/>
      <c r="S190" s="619"/>
      <c r="T190" s="519"/>
      <c r="U190" s="504"/>
      <c r="V190" s="751"/>
      <c r="W190" s="567"/>
      <c r="X190" s="742"/>
      <c r="Y190" s="482"/>
    </row>
    <row r="191" spans="2:25">
      <c r="B191" s="383"/>
      <c r="C191" s="387"/>
      <c r="D191" s="387"/>
      <c r="E191" s="406"/>
      <c r="F191" s="444"/>
      <c r="G191" s="386"/>
      <c r="H191" s="567"/>
      <c r="I191" s="739"/>
      <c r="J191" s="739"/>
      <c r="K191" s="289"/>
      <c r="L191" s="312">
        <v>15</v>
      </c>
      <c r="M191" s="389" t="s">
        <v>527</v>
      </c>
      <c r="N191" s="387" t="s">
        <v>548</v>
      </c>
      <c r="O191" s="544"/>
      <c r="P191" s="444"/>
      <c r="Q191" s="386">
        <v>2250</v>
      </c>
      <c r="R191" s="583" t="s">
        <v>549</v>
      </c>
      <c r="S191" s="619" t="s">
        <v>633</v>
      </c>
      <c r="T191" s="667">
        <v>46142</v>
      </c>
      <c r="U191" s="504"/>
      <c r="V191" s="751"/>
      <c r="W191" s="535">
        <v>46128</v>
      </c>
      <c r="X191" s="742"/>
      <c r="Y191" s="482"/>
    </row>
    <row r="192" spans="2:25">
      <c r="B192" s="383"/>
      <c r="C192" s="387"/>
      <c r="D192" s="387"/>
      <c r="E192" s="406"/>
      <c r="F192" s="444"/>
      <c r="G192" s="386"/>
      <c r="H192" s="567"/>
      <c r="I192" s="739"/>
      <c r="J192" s="739"/>
      <c r="K192" s="289"/>
      <c r="L192" s="312">
        <v>15</v>
      </c>
      <c r="M192" s="389" t="s">
        <v>527</v>
      </c>
      <c r="N192" s="387" t="s">
        <v>550</v>
      </c>
      <c r="O192" s="544"/>
      <c r="P192" s="444"/>
      <c r="Q192" s="386">
        <v>10850</v>
      </c>
      <c r="R192" s="583"/>
      <c r="S192" s="619" t="s">
        <v>551</v>
      </c>
      <c r="T192" s="736">
        <v>46142</v>
      </c>
      <c r="U192" s="504"/>
      <c r="V192" s="751"/>
      <c r="W192" s="535">
        <v>46121</v>
      </c>
      <c r="X192" s="742"/>
      <c r="Y192" s="482"/>
    </row>
    <row r="193" spans="2:25">
      <c r="B193" s="383"/>
      <c r="C193" s="387"/>
      <c r="D193" s="387"/>
      <c r="E193" s="406"/>
      <c r="F193" s="444"/>
      <c r="G193" s="386"/>
      <c r="H193" s="567"/>
      <c r="I193" s="739"/>
      <c r="J193" s="739"/>
      <c r="K193" s="289"/>
      <c r="L193" s="312">
        <v>15</v>
      </c>
      <c r="M193" s="389" t="s">
        <v>527</v>
      </c>
      <c r="N193" s="387" t="s">
        <v>552</v>
      </c>
      <c r="O193" s="544"/>
      <c r="P193" s="444"/>
      <c r="Q193" s="386">
        <v>221.68</v>
      </c>
      <c r="R193" s="583"/>
      <c r="S193" s="619" t="s">
        <v>553</v>
      </c>
      <c r="T193" s="702">
        <v>46112</v>
      </c>
      <c r="U193" s="504"/>
      <c r="V193" s="751"/>
      <c r="W193" s="567">
        <v>46142</v>
      </c>
      <c r="X193" s="742"/>
      <c r="Y193" s="482"/>
    </row>
    <row r="194" spans="2:25">
      <c r="B194" s="383"/>
      <c r="C194" s="387"/>
      <c r="D194" s="387"/>
      <c r="E194" s="406"/>
      <c r="F194" s="444"/>
      <c r="G194" s="386"/>
      <c r="H194" s="567"/>
      <c r="I194" s="739"/>
      <c r="J194" s="739"/>
      <c r="K194" s="289"/>
      <c r="L194" s="312">
        <v>15</v>
      </c>
      <c r="M194" s="389" t="s">
        <v>527</v>
      </c>
      <c r="N194" s="387"/>
      <c r="O194" s="544"/>
      <c r="P194" s="444"/>
      <c r="Q194" s="386"/>
      <c r="R194" s="583"/>
      <c r="S194" s="619"/>
      <c r="T194" s="519"/>
      <c r="U194" s="504"/>
      <c r="V194" s="751"/>
      <c r="W194" s="567"/>
      <c r="X194" s="742"/>
      <c r="Y194" s="482"/>
    </row>
    <row r="195" spans="2:25" ht="15" customHeight="1" thickBot="1">
      <c r="B195" s="317">
        <v>15</v>
      </c>
      <c r="C195" s="318"/>
      <c r="D195" s="318"/>
      <c r="E195" s="319"/>
      <c r="F195" s="460"/>
      <c r="G195" s="331"/>
      <c r="H195" s="568"/>
      <c r="I195" s="740"/>
      <c r="J195" s="740"/>
      <c r="K195" s="290"/>
      <c r="L195" s="317">
        <v>15</v>
      </c>
      <c r="M195" s="419" t="s">
        <v>527</v>
      </c>
      <c r="N195" s="318"/>
      <c r="O195" s="545"/>
      <c r="P195" s="460"/>
      <c r="Q195" s="331"/>
      <c r="R195" s="584"/>
      <c r="S195" s="620"/>
      <c r="T195" s="520" t="str">
        <f t="shared" si="27"/>
        <v/>
      </c>
      <c r="U195" s="505"/>
      <c r="V195" s="752"/>
      <c r="W195" s="568"/>
      <c r="X195" s="743"/>
      <c r="Y195" s="482"/>
    </row>
    <row r="196" spans="2:25" s="3" customFormat="1">
      <c r="B196" s="109"/>
      <c r="E196" s="4"/>
      <c r="F196" s="473"/>
      <c r="G196" s="5"/>
      <c r="H196" s="349"/>
      <c r="I196" s="348"/>
      <c r="J196" s="348"/>
      <c r="L196" s="109"/>
      <c r="O196" s="4"/>
      <c r="P196" s="473"/>
      <c r="Q196" s="349"/>
      <c r="R196" s="349"/>
      <c r="S196" s="349"/>
      <c r="T196" s="349"/>
      <c r="U196" s="349"/>
      <c r="V196" s="349"/>
      <c r="W196" s="349"/>
      <c r="X196" s="349"/>
    </row>
    <row r="197" spans="2:25">
      <c r="B197" s="112"/>
      <c r="C197" s="541" t="s">
        <v>554</v>
      </c>
      <c r="D197" s="24">
        <v>2857717.17</v>
      </c>
      <c r="E197" s="166"/>
      <c r="F197" s="541">
        <v>3072814.1612903224</v>
      </c>
      <c r="G197" s="112"/>
      <c r="I197" s="112"/>
      <c r="J197" s="112"/>
    </row>
    <row r="198" spans="2:25">
      <c r="B198" s="112"/>
      <c r="C198" s="541" t="s">
        <v>555</v>
      </c>
      <c r="D198" s="24">
        <v>770000</v>
      </c>
      <c r="E198" s="166"/>
      <c r="F198" s="541">
        <v>827956.98924731184</v>
      </c>
      <c r="G198" s="112"/>
      <c r="I198" s="257"/>
      <c r="J198" s="257"/>
    </row>
    <row r="199" spans="2:25">
      <c r="B199" s="112"/>
      <c r="C199" s="541" t="s">
        <v>556</v>
      </c>
      <c r="D199" s="24">
        <v>1105818.21</v>
      </c>
      <c r="E199" s="166"/>
      <c r="F199" s="541">
        <v>1189051.8387096773</v>
      </c>
      <c r="G199" s="112"/>
      <c r="I199" s="350"/>
      <c r="J199" s="350"/>
    </row>
    <row r="200" spans="2:25">
      <c r="B200" s="112"/>
      <c r="C200" s="541" t="s">
        <v>409</v>
      </c>
      <c r="D200" s="24">
        <v>1117490.1000000001</v>
      </c>
      <c r="E200" s="166"/>
      <c r="F200" s="541">
        <v>1201602.2580645164</v>
      </c>
      <c r="G200" s="112"/>
      <c r="I200" s="257"/>
      <c r="J200" s="257"/>
    </row>
    <row r="201" spans="2:25">
      <c r="B201" s="112"/>
      <c r="C201" s="541" t="s">
        <v>453</v>
      </c>
      <c r="D201" s="24">
        <v>1511034.3</v>
      </c>
      <c r="E201" s="166"/>
      <c r="F201" s="541">
        <v>1624768.0645161292</v>
      </c>
      <c r="G201" s="112"/>
      <c r="I201" s="350"/>
      <c r="J201" s="350"/>
    </row>
    <row r="202" spans="2:25">
      <c r="B202" s="112"/>
      <c r="C202" s="541" t="s">
        <v>428</v>
      </c>
      <c r="D202" s="24">
        <v>49000</v>
      </c>
      <c r="E202" s="166"/>
      <c r="F202" s="541">
        <v>52688.172043010753</v>
      </c>
      <c r="G202" s="112"/>
      <c r="I202" s="257"/>
      <c r="J202" s="257"/>
    </row>
    <row r="203" spans="2:25">
      <c r="B203" s="112"/>
      <c r="C203" s="541" t="s">
        <v>557</v>
      </c>
      <c r="D203" s="24">
        <v>0</v>
      </c>
      <c r="E203" s="166"/>
      <c r="F203" s="541">
        <v>0</v>
      </c>
      <c r="G203" s="112"/>
      <c r="I203" s="257"/>
      <c r="J203" s="257"/>
    </row>
    <row r="204" spans="2:25">
      <c r="B204" s="112"/>
      <c r="C204" s="541" t="s">
        <v>558</v>
      </c>
      <c r="D204" s="24">
        <v>300000</v>
      </c>
      <c r="E204" s="166"/>
      <c r="F204" s="541">
        <v>322580.6451612903</v>
      </c>
      <c r="G204" s="112"/>
      <c r="I204" s="257"/>
      <c r="J204" s="257"/>
    </row>
    <row r="205" spans="2:25">
      <c r="B205" s="112"/>
      <c r="C205" s="541" t="s">
        <v>559</v>
      </c>
      <c r="D205" s="24">
        <v>0</v>
      </c>
      <c r="E205" s="166"/>
      <c r="F205" s="541">
        <v>0</v>
      </c>
      <c r="G205" s="112"/>
      <c r="I205" s="257"/>
      <c r="J205" s="257"/>
    </row>
    <row r="206" spans="2:25">
      <c r="B206" s="112"/>
      <c r="C206" s="541" t="s">
        <v>560</v>
      </c>
      <c r="D206" s="24">
        <v>0</v>
      </c>
      <c r="E206" s="166"/>
      <c r="F206" s="541">
        <v>0</v>
      </c>
      <c r="G206" s="112"/>
      <c r="I206" s="257"/>
      <c r="J206" s="257"/>
    </row>
    <row r="207" spans="2:25">
      <c r="B207" s="112"/>
      <c r="C207" s="541" t="s">
        <v>561</v>
      </c>
      <c r="D207" s="24">
        <v>0</v>
      </c>
      <c r="E207" s="166"/>
      <c r="F207" s="541">
        <v>0</v>
      </c>
      <c r="G207" s="112"/>
      <c r="I207" s="257"/>
      <c r="J207" s="257"/>
    </row>
    <row r="208" spans="2:25">
      <c r="B208" s="112"/>
      <c r="C208" s="541" t="s">
        <v>562</v>
      </c>
      <c r="E208" s="166"/>
      <c r="F208" s="541"/>
      <c r="G208" s="112"/>
      <c r="I208" s="257"/>
      <c r="J208" s="257"/>
    </row>
    <row r="209" spans="2:23">
      <c r="B209" s="112"/>
      <c r="C209" s="541"/>
      <c r="E209" s="166"/>
      <c r="F209" s="541"/>
      <c r="G209" s="112"/>
      <c r="I209" s="257"/>
      <c r="J209" s="257"/>
    </row>
    <row r="210" spans="2:23" s="112" customFormat="1">
      <c r="C210" s="541" t="s">
        <v>563</v>
      </c>
      <c r="D210" s="112">
        <v>340042.5</v>
      </c>
      <c r="E210" s="166"/>
      <c r="F210" s="541">
        <v>386411.93181818182</v>
      </c>
      <c r="H210" s="541"/>
      <c r="I210" s="257"/>
      <c r="J210" s="257"/>
      <c r="T210" s="541"/>
      <c r="U210" s="541"/>
      <c r="W210" s="541"/>
    </row>
    <row r="211" spans="2:23" s="112" customFormat="1">
      <c r="C211" s="541" t="s">
        <v>564</v>
      </c>
      <c r="D211" s="112">
        <v>720090</v>
      </c>
      <c r="E211" s="166"/>
      <c r="F211" s="541">
        <v>818284.09090909094</v>
      </c>
      <c r="H211" s="541"/>
      <c r="I211" s="257"/>
      <c r="J211" s="257"/>
      <c r="T211" s="541"/>
      <c r="U211" s="541"/>
      <c r="W211" s="541"/>
    </row>
    <row r="212" spans="2:23" s="112" customFormat="1">
      <c r="C212" s="541" t="s">
        <v>565</v>
      </c>
      <c r="D212" s="112">
        <v>429230.63442261907</v>
      </c>
      <c r="E212" s="166"/>
      <c r="F212" s="541">
        <v>487762.08457115805</v>
      </c>
      <c r="H212" s="541"/>
      <c r="I212" s="257"/>
      <c r="J212" s="257"/>
      <c r="T212" s="541"/>
      <c r="U212" s="541"/>
      <c r="W212" s="541"/>
    </row>
    <row r="213" spans="2:23" s="112" customFormat="1">
      <c r="C213" s="541" t="s">
        <v>566</v>
      </c>
      <c r="D213" s="112">
        <v>182012.75000000003</v>
      </c>
      <c r="E213" s="166"/>
      <c r="F213" s="541">
        <v>206832.67045454547</v>
      </c>
      <c r="H213" s="541"/>
      <c r="I213" s="257"/>
      <c r="J213" s="257"/>
      <c r="T213" s="541"/>
      <c r="U213" s="541"/>
      <c r="W213" s="541"/>
    </row>
    <row r="214" spans="2:23" s="112" customFormat="1">
      <c r="C214" s="541" t="s">
        <v>567</v>
      </c>
      <c r="D214" s="112">
        <v>8500</v>
      </c>
      <c r="E214" s="166"/>
      <c r="F214" s="541">
        <v>9659.0909090909081</v>
      </c>
      <c r="H214" s="541"/>
      <c r="I214" s="257"/>
      <c r="J214" s="257"/>
      <c r="T214" s="541"/>
      <c r="U214" s="541"/>
      <c r="W214" s="541"/>
    </row>
    <row r="215" spans="2:23" s="112" customFormat="1">
      <c r="C215" s="541" t="s">
        <v>568</v>
      </c>
      <c r="D215" s="112">
        <v>0</v>
      </c>
      <c r="E215" s="166"/>
      <c r="F215" s="541">
        <v>0</v>
      </c>
      <c r="H215" s="541"/>
      <c r="I215" s="257"/>
      <c r="J215" s="257"/>
      <c r="T215" s="541"/>
      <c r="U215" s="541"/>
      <c r="W215" s="541"/>
    </row>
    <row r="216" spans="2:23" s="112" customFormat="1">
      <c r="C216" s="541" t="s">
        <v>569</v>
      </c>
      <c r="D216" s="112">
        <v>33546.666666666664</v>
      </c>
      <c r="E216" s="166"/>
      <c r="F216" s="541">
        <v>38121.21212121212</v>
      </c>
      <c r="H216" s="541"/>
      <c r="I216" s="257"/>
      <c r="J216" s="257"/>
      <c r="T216" s="541"/>
      <c r="U216" s="541"/>
      <c r="W216" s="541"/>
    </row>
    <row r="217" spans="2:23" s="112" customFormat="1">
      <c r="C217" s="541" t="s">
        <v>570</v>
      </c>
      <c r="D217" s="112">
        <v>72000</v>
      </c>
      <c r="E217" s="166"/>
      <c r="F217" s="541">
        <v>81818.181818181823</v>
      </c>
      <c r="H217" s="541"/>
      <c r="I217" s="257"/>
      <c r="J217" s="257"/>
      <c r="T217" s="541"/>
      <c r="U217" s="541"/>
      <c r="W217" s="541"/>
    </row>
    <row r="218" spans="2:23" s="112" customFormat="1">
      <c r="C218" s="541" t="s">
        <v>571</v>
      </c>
      <c r="D218" s="112">
        <v>70393.8</v>
      </c>
      <c r="E218" s="166"/>
      <c r="F218" s="541">
        <v>79992.954545454544</v>
      </c>
      <c r="H218" s="541"/>
      <c r="I218" s="257"/>
      <c r="J218" s="257"/>
      <c r="T218" s="541"/>
      <c r="U218" s="541"/>
      <c r="W218" s="541"/>
    </row>
    <row r="219" spans="2:23" s="112" customFormat="1">
      <c r="C219" s="541" t="s">
        <v>572</v>
      </c>
      <c r="D219" s="112">
        <v>0</v>
      </c>
      <c r="E219" s="166"/>
      <c r="F219" s="541">
        <v>0</v>
      </c>
      <c r="H219" s="541"/>
      <c r="I219" s="257"/>
      <c r="J219" s="257"/>
      <c r="T219" s="541"/>
      <c r="U219" s="541"/>
      <c r="W219" s="541"/>
    </row>
    <row r="220" spans="2:23" s="112" customFormat="1">
      <c r="C220" s="541" t="s">
        <v>559</v>
      </c>
      <c r="D220" s="112">
        <v>2000000</v>
      </c>
      <c r="E220" s="166"/>
      <c r="F220" s="541">
        <v>2000000</v>
      </c>
      <c r="H220" s="541"/>
      <c r="I220" s="257"/>
      <c r="J220" s="257"/>
      <c r="T220" s="541"/>
      <c r="U220" s="541"/>
      <c r="W220" s="541"/>
    </row>
    <row r="221" spans="2:23" s="112" customFormat="1">
      <c r="C221" s="541"/>
      <c r="E221" s="166"/>
      <c r="F221" s="541"/>
      <c r="H221" s="541"/>
      <c r="I221" s="257"/>
      <c r="J221" s="257"/>
      <c r="T221" s="541"/>
      <c r="U221" s="541"/>
      <c r="W221" s="541"/>
    </row>
    <row r="222" spans="2:23" s="112" customFormat="1">
      <c r="C222" s="541" t="s">
        <v>573</v>
      </c>
      <c r="E222" s="166"/>
      <c r="F222" s="541"/>
      <c r="H222" s="541"/>
      <c r="I222" s="257"/>
      <c r="J222" s="257"/>
      <c r="T222" s="541"/>
      <c r="U222" s="541"/>
      <c r="W222" s="541"/>
    </row>
    <row r="223" spans="2:23" s="112" customFormat="1">
      <c r="C223" s="541" t="s">
        <v>574</v>
      </c>
      <c r="D223" s="112">
        <v>23800</v>
      </c>
      <c r="E223" s="166"/>
      <c r="F223" s="541">
        <v>28000</v>
      </c>
      <c r="H223" s="541"/>
      <c r="I223" s="257"/>
      <c r="J223" s="257"/>
      <c r="T223" s="541"/>
      <c r="U223" s="541"/>
      <c r="W223" s="541"/>
    </row>
    <row r="224" spans="2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C234" s="541"/>
      <c r="D234" s="541"/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C235" s="541"/>
      <c r="D235" s="541"/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C236" s="541"/>
      <c r="D236" s="541"/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C237" s="541"/>
      <c r="D237" s="541"/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C238" s="541"/>
      <c r="D238" s="541"/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C239" s="541"/>
      <c r="D239" s="541"/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C240" s="541"/>
      <c r="D240" s="541"/>
      <c r="E240" s="166"/>
      <c r="F240" s="464"/>
      <c r="H240" s="541"/>
      <c r="I240" s="257"/>
      <c r="J240" s="257"/>
      <c r="T240" s="541"/>
      <c r="U240" s="541"/>
      <c r="W240" s="541"/>
    </row>
    <row r="241" spans="3:23" s="112" customFormat="1">
      <c r="C241" s="541"/>
      <c r="D241" s="541"/>
      <c r="E241" s="166"/>
      <c r="F241" s="464"/>
      <c r="H241" s="541"/>
      <c r="I241" s="257"/>
      <c r="J241" s="257"/>
      <c r="T241" s="541"/>
      <c r="U241" s="541"/>
      <c r="W241" s="541"/>
    </row>
    <row r="242" spans="3:23" s="112" customFormat="1">
      <c r="C242" s="541"/>
      <c r="D242" s="541"/>
      <c r="E242" s="166"/>
      <c r="F242" s="464"/>
      <c r="H242" s="541"/>
      <c r="I242" s="257"/>
      <c r="J242" s="257"/>
      <c r="T242" s="541"/>
      <c r="U242" s="541"/>
      <c r="W242" s="541"/>
    </row>
    <row r="243" spans="3:23" s="112" customFormat="1">
      <c r="C243" s="541"/>
      <c r="D243" s="541"/>
      <c r="E243" s="166"/>
      <c r="F243" s="464"/>
      <c r="H243" s="541"/>
      <c r="I243" s="257"/>
      <c r="J243" s="257"/>
      <c r="T243" s="541"/>
      <c r="U243" s="541"/>
      <c r="W243" s="541"/>
    </row>
    <row r="244" spans="3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3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3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3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3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3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3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3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3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3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3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3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3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  <row r="546" spans="5:23" s="112" customFormat="1">
      <c r="E546" s="166"/>
      <c r="F546" s="464"/>
      <c r="H546" s="541"/>
      <c r="I546" s="257"/>
      <c r="J546" s="257"/>
      <c r="T546" s="541"/>
      <c r="U546" s="541"/>
      <c r="W546" s="541"/>
    </row>
    <row r="547" spans="5:23" s="112" customFormat="1">
      <c r="E547" s="166"/>
      <c r="F547" s="464"/>
      <c r="H547" s="541"/>
      <c r="I547" s="257"/>
      <c r="J547" s="257"/>
      <c r="T547" s="541"/>
      <c r="U547" s="541"/>
      <c r="W547" s="541"/>
    </row>
    <row r="548" spans="5:23" s="112" customFormat="1">
      <c r="E548" s="166"/>
      <c r="F548" s="464"/>
      <c r="H548" s="541"/>
      <c r="I548" s="257"/>
      <c r="J548" s="257"/>
      <c r="T548" s="541"/>
      <c r="U548" s="541"/>
      <c r="W548" s="541"/>
    </row>
    <row r="549" spans="5:23" s="112" customFormat="1">
      <c r="E549" s="166"/>
      <c r="F549" s="464"/>
      <c r="H549" s="541"/>
      <c r="I549" s="257"/>
      <c r="J549" s="257"/>
      <c r="T549" s="541"/>
      <c r="U549" s="541"/>
      <c r="W549" s="541"/>
    </row>
    <row r="550" spans="5:23" s="112" customFormat="1">
      <c r="E550" s="166"/>
      <c r="F550" s="464"/>
      <c r="H550" s="541"/>
      <c r="I550" s="257"/>
      <c r="J550" s="257"/>
      <c r="T550" s="541"/>
      <c r="U550" s="541"/>
      <c r="W550" s="541"/>
    </row>
    <row r="551" spans="5:23" s="112" customFormat="1">
      <c r="E551" s="166"/>
      <c r="F551" s="464"/>
      <c r="H551" s="541"/>
      <c r="I551" s="257"/>
      <c r="J551" s="257"/>
      <c r="T551" s="541"/>
      <c r="U551" s="541"/>
      <c r="W551" s="541"/>
    </row>
    <row r="552" spans="5:23" s="112" customFormat="1">
      <c r="E552" s="166"/>
      <c r="F552" s="464"/>
      <c r="H552" s="541"/>
      <c r="I552" s="257"/>
      <c r="J552" s="257"/>
      <c r="T552" s="541"/>
      <c r="U552" s="541"/>
      <c r="W552" s="541"/>
    </row>
    <row r="553" spans="5:23" s="112" customFormat="1">
      <c r="E553" s="166"/>
      <c r="F553" s="464"/>
      <c r="H553" s="541"/>
      <c r="I553" s="257"/>
      <c r="J553" s="257"/>
      <c r="T553" s="541"/>
      <c r="U553" s="541"/>
      <c r="W553" s="541"/>
    </row>
    <row r="554" spans="5:23" s="112" customFormat="1">
      <c r="E554" s="166"/>
      <c r="F554" s="464"/>
      <c r="H554" s="541"/>
      <c r="I554" s="257"/>
      <c r="J554" s="257"/>
      <c r="T554" s="541"/>
      <c r="U554" s="541"/>
      <c r="W554" s="541"/>
    </row>
    <row r="555" spans="5:23" s="112" customFormat="1">
      <c r="E555" s="166"/>
      <c r="F555" s="464"/>
      <c r="H555" s="541"/>
      <c r="I555" s="257"/>
      <c r="J555" s="257"/>
      <c r="T555" s="541"/>
      <c r="U555" s="541"/>
      <c r="W55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95"/>
    <mergeCell ref="J174:J195"/>
    <mergeCell ref="X174:X19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9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21875" defaultRowHeight="14.4"/>
  <cols>
    <col min="1" max="1" width="9.21875" customWidth="1"/>
    <col min="2" max="2" width="34.77734375" customWidth="1"/>
    <col min="3" max="3" width="18.5546875" bestFit="1" customWidth="1"/>
    <col min="4" max="4" width="21.1093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21875" style="192"/>
  </cols>
  <sheetData>
    <row r="1" spans="1:794">
      <c r="D1" s="188" t="s">
        <v>575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41" t="s">
        <v>576</v>
      </c>
      <c r="B2" s="193"/>
      <c r="C2" s="194" t="s">
        <v>354</v>
      </c>
      <c r="D2" s="194" t="s">
        <v>354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2"/>
      <c r="B3" s="196" t="s">
        <v>272</v>
      </c>
      <c r="C3" s="197">
        <f>'Revenue Tracking'!D4</f>
        <v>10428344.3461792</v>
      </c>
      <c r="D3" s="197">
        <f>SUM(F3:LD3)</f>
        <v>10428343.76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1701808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487762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42"/>
      <c r="B4" s="196" t="s">
        <v>577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9940581.7599999998</v>
      </c>
      <c r="BL4" s="199">
        <f t="shared" si="5"/>
        <v>9940581.7599999998</v>
      </c>
      <c r="BM4" s="199">
        <f t="shared" si="5"/>
        <v>9940581.7599999998</v>
      </c>
      <c r="BN4" s="199">
        <f t="shared" si="5"/>
        <v>9940581.7599999998</v>
      </c>
      <c r="BO4" s="199">
        <f t="shared" si="5"/>
        <v>9940581.7599999998</v>
      </c>
      <c r="BP4" s="199">
        <f t="shared" si="5"/>
        <v>9940581.7599999998</v>
      </c>
      <c r="BQ4" s="199">
        <f t="shared" si="5"/>
        <v>9940581.7599999998</v>
      </c>
      <c r="BR4" s="199">
        <f t="shared" si="5"/>
        <v>9940581.7599999998</v>
      </c>
      <c r="BS4" s="199">
        <f t="shared" si="5"/>
        <v>10428343.76</v>
      </c>
      <c r="BT4" s="199">
        <f t="shared" si="5"/>
        <v>10428343.76</v>
      </c>
      <c r="BU4" s="199">
        <f t="shared" ref="BU4:EF4" si="6">BT4+BU3</f>
        <v>10428343.76</v>
      </c>
      <c r="BV4" s="199">
        <f t="shared" si="6"/>
        <v>10428343.76</v>
      </c>
      <c r="BW4" s="199">
        <f t="shared" si="6"/>
        <v>10428343.76</v>
      </c>
      <c r="BX4" s="199">
        <f t="shared" si="6"/>
        <v>10428343.76</v>
      </c>
      <c r="BY4" s="199">
        <f t="shared" si="6"/>
        <v>10428343.76</v>
      </c>
      <c r="BZ4" s="199">
        <f t="shared" si="6"/>
        <v>10428343.76</v>
      </c>
      <c r="CA4" s="199">
        <f t="shared" si="6"/>
        <v>10428343.76</v>
      </c>
      <c r="CB4" s="199">
        <f t="shared" si="6"/>
        <v>10428343.76</v>
      </c>
      <c r="CC4" s="199">
        <f t="shared" si="6"/>
        <v>10428343.76</v>
      </c>
      <c r="CD4" s="199">
        <f t="shared" si="6"/>
        <v>10428343.76</v>
      </c>
      <c r="CE4" s="199">
        <f t="shared" si="6"/>
        <v>10428343.76</v>
      </c>
      <c r="CF4" s="199">
        <f t="shared" si="6"/>
        <v>10428343.76</v>
      </c>
      <c r="CG4" s="199">
        <f t="shared" si="6"/>
        <v>10428343.76</v>
      </c>
      <c r="CH4" s="199">
        <f t="shared" si="6"/>
        <v>10428343.76</v>
      </c>
      <c r="CI4" s="199">
        <f t="shared" si="6"/>
        <v>10428343.76</v>
      </c>
      <c r="CJ4" s="199">
        <f t="shared" si="6"/>
        <v>10428343.76</v>
      </c>
      <c r="CK4" s="199">
        <f t="shared" si="6"/>
        <v>10428343.76</v>
      </c>
      <c r="CL4" s="199">
        <f t="shared" si="6"/>
        <v>10428343.76</v>
      </c>
      <c r="CM4" s="199">
        <f t="shared" si="6"/>
        <v>10428343.76</v>
      </c>
      <c r="CN4" s="199">
        <f t="shared" si="6"/>
        <v>10428343.76</v>
      </c>
      <c r="CO4" s="199">
        <f t="shared" si="6"/>
        <v>10428343.76</v>
      </c>
      <c r="CP4" s="199">
        <f t="shared" si="6"/>
        <v>10428343.76</v>
      </c>
      <c r="CQ4" s="199">
        <f t="shared" si="6"/>
        <v>10428343.76</v>
      </c>
      <c r="CR4" s="199">
        <f t="shared" si="6"/>
        <v>10428343.76</v>
      </c>
      <c r="CS4" s="199">
        <f t="shared" si="6"/>
        <v>10428343.76</v>
      </c>
      <c r="CT4" s="199">
        <f t="shared" si="6"/>
        <v>10428343.76</v>
      </c>
      <c r="CU4" s="199">
        <f t="shared" si="6"/>
        <v>10428343.76</v>
      </c>
      <c r="CV4" s="199">
        <f t="shared" si="6"/>
        <v>10428343.76</v>
      </c>
      <c r="CW4" s="199">
        <f t="shared" si="6"/>
        <v>10428343.76</v>
      </c>
      <c r="CX4" s="199">
        <f t="shared" si="6"/>
        <v>10428343.76</v>
      </c>
      <c r="CY4" s="199">
        <f t="shared" si="6"/>
        <v>10428343.76</v>
      </c>
      <c r="CZ4" s="199">
        <f t="shared" si="6"/>
        <v>10428343.76</v>
      </c>
      <c r="DA4" s="199">
        <f t="shared" si="6"/>
        <v>10428343.76</v>
      </c>
      <c r="DB4" s="199">
        <f t="shared" si="6"/>
        <v>10428343.76</v>
      </c>
      <c r="DC4" s="199">
        <f t="shared" si="6"/>
        <v>10428343.76</v>
      </c>
      <c r="DD4" s="199">
        <f t="shared" si="6"/>
        <v>10428343.76</v>
      </c>
      <c r="DE4" s="199">
        <f t="shared" si="6"/>
        <v>10428343.76</v>
      </c>
      <c r="DF4" s="199">
        <f t="shared" si="6"/>
        <v>10428343.76</v>
      </c>
      <c r="DG4" s="199">
        <f t="shared" si="6"/>
        <v>10428343.76</v>
      </c>
      <c r="DH4" s="199">
        <f t="shared" si="6"/>
        <v>10428343.76</v>
      </c>
      <c r="DI4" s="199">
        <f t="shared" si="6"/>
        <v>10428343.76</v>
      </c>
      <c r="DJ4" s="199">
        <f t="shared" si="6"/>
        <v>10428343.76</v>
      </c>
      <c r="DK4" s="199">
        <f t="shared" si="6"/>
        <v>10428343.76</v>
      </c>
      <c r="DL4" s="199">
        <f t="shared" si="6"/>
        <v>10428343.76</v>
      </c>
      <c r="DM4" s="199">
        <f t="shared" si="6"/>
        <v>10428343.76</v>
      </c>
      <c r="DN4" s="199">
        <f t="shared" si="6"/>
        <v>10428343.76</v>
      </c>
      <c r="DO4" s="199">
        <f t="shared" si="6"/>
        <v>10428343.76</v>
      </c>
      <c r="DP4" s="199">
        <f t="shared" si="6"/>
        <v>10428343.76</v>
      </c>
      <c r="DQ4" s="199">
        <f t="shared" si="6"/>
        <v>10428343.76</v>
      </c>
      <c r="DR4" s="199">
        <f t="shared" si="6"/>
        <v>10428343.76</v>
      </c>
      <c r="DS4" s="199">
        <f t="shared" si="6"/>
        <v>10428343.76</v>
      </c>
      <c r="DT4" s="199">
        <f t="shared" si="6"/>
        <v>10428343.76</v>
      </c>
      <c r="DU4" s="199">
        <f t="shared" si="6"/>
        <v>10428343.76</v>
      </c>
      <c r="DV4" s="199">
        <f t="shared" si="6"/>
        <v>10428343.76</v>
      </c>
      <c r="DW4" s="199">
        <f t="shared" si="6"/>
        <v>10428343.76</v>
      </c>
      <c r="DX4" s="199">
        <f t="shared" si="6"/>
        <v>10428343.76</v>
      </c>
      <c r="DY4" s="199">
        <f t="shared" si="6"/>
        <v>10428343.76</v>
      </c>
      <c r="DZ4" s="199">
        <f t="shared" si="6"/>
        <v>10428343.76</v>
      </c>
      <c r="EA4" s="199">
        <f t="shared" si="6"/>
        <v>10428343.76</v>
      </c>
      <c r="EB4" s="199">
        <f t="shared" si="6"/>
        <v>10428343.76</v>
      </c>
      <c r="EC4" s="199">
        <f t="shared" si="6"/>
        <v>10428343.76</v>
      </c>
      <c r="ED4" s="199">
        <f t="shared" si="6"/>
        <v>10428343.76</v>
      </c>
      <c r="EE4" s="199">
        <f t="shared" si="6"/>
        <v>10428343.76</v>
      </c>
      <c r="EF4" s="199">
        <f t="shared" si="6"/>
        <v>10428343.76</v>
      </c>
      <c r="EG4" s="199">
        <f t="shared" ref="EG4:GR4" si="7">EF4+EG3</f>
        <v>10428343.76</v>
      </c>
      <c r="EH4" s="199">
        <f t="shared" si="7"/>
        <v>10428343.76</v>
      </c>
      <c r="EI4" s="199">
        <f t="shared" si="7"/>
        <v>10428343.76</v>
      </c>
      <c r="EJ4" s="199">
        <f t="shared" si="7"/>
        <v>10428343.76</v>
      </c>
      <c r="EK4" s="199">
        <f t="shared" si="7"/>
        <v>10428343.76</v>
      </c>
      <c r="EL4" s="199">
        <f t="shared" si="7"/>
        <v>10428343.76</v>
      </c>
      <c r="EM4" s="199">
        <f t="shared" si="7"/>
        <v>10428343.76</v>
      </c>
      <c r="EN4" s="199">
        <f t="shared" si="7"/>
        <v>10428343.76</v>
      </c>
      <c r="EO4" s="199">
        <f t="shared" si="7"/>
        <v>10428343.76</v>
      </c>
      <c r="EP4" s="199">
        <f t="shared" si="7"/>
        <v>10428343.76</v>
      </c>
      <c r="EQ4" s="199">
        <f t="shared" si="7"/>
        <v>10428343.76</v>
      </c>
      <c r="ER4" s="199">
        <f t="shared" si="7"/>
        <v>10428343.76</v>
      </c>
      <c r="ES4" s="199">
        <f t="shared" si="7"/>
        <v>10428343.76</v>
      </c>
      <c r="ET4" s="199">
        <f t="shared" si="7"/>
        <v>10428343.76</v>
      </c>
      <c r="EU4" s="199">
        <f t="shared" si="7"/>
        <v>10428343.76</v>
      </c>
      <c r="EV4" s="199">
        <f t="shared" si="7"/>
        <v>10428343.76</v>
      </c>
      <c r="EW4" s="199">
        <f t="shared" si="7"/>
        <v>10428343.76</v>
      </c>
      <c r="EX4" s="199">
        <f t="shared" si="7"/>
        <v>10428343.76</v>
      </c>
      <c r="EY4" s="199">
        <f t="shared" si="7"/>
        <v>10428343.76</v>
      </c>
      <c r="EZ4" s="199">
        <f t="shared" si="7"/>
        <v>10428343.76</v>
      </c>
      <c r="FA4" s="199">
        <f t="shared" si="7"/>
        <v>10428343.76</v>
      </c>
      <c r="FB4" s="199">
        <f t="shared" si="7"/>
        <v>10428343.76</v>
      </c>
      <c r="FC4" s="199">
        <f t="shared" si="7"/>
        <v>10428343.76</v>
      </c>
      <c r="FD4" s="199">
        <f t="shared" si="7"/>
        <v>10428343.76</v>
      </c>
      <c r="FE4" s="199">
        <f t="shared" si="7"/>
        <v>10428343.76</v>
      </c>
      <c r="FF4" s="199">
        <f t="shared" si="7"/>
        <v>10428343.76</v>
      </c>
      <c r="FG4" s="199">
        <f t="shared" si="7"/>
        <v>10428343.76</v>
      </c>
      <c r="FH4" s="199">
        <f t="shared" si="7"/>
        <v>10428343.76</v>
      </c>
      <c r="FI4" s="199">
        <f t="shared" si="7"/>
        <v>10428343.76</v>
      </c>
      <c r="FJ4" s="199">
        <f t="shared" si="7"/>
        <v>10428343.76</v>
      </c>
      <c r="FK4" s="199">
        <f t="shared" si="7"/>
        <v>10428343.76</v>
      </c>
      <c r="FL4" s="199">
        <f t="shared" si="7"/>
        <v>10428343.76</v>
      </c>
      <c r="FM4" s="199">
        <f t="shared" si="7"/>
        <v>10428343.76</v>
      </c>
      <c r="FN4" s="199">
        <f t="shared" si="7"/>
        <v>10428343.76</v>
      </c>
      <c r="FO4" s="199">
        <f t="shared" si="7"/>
        <v>10428343.76</v>
      </c>
      <c r="FP4" s="199">
        <f t="shared" si="7"/>
        <v>10428343.76</v>
      </c>
      <c r="FQ4" s="199">
        <f t="shared" si="7"/>
        <v>10428343.76</v>
      </c>
      <c r="FR4" s="199">
        <f t="shared" si="7"/>
        <v>10428343.76</v>
      </c>
      <c r="FS4" s="199">
        <f t="shared" si="7"/>
        <v>10428343.76</v>
      </c>
      <c r="FT4" s="199">
        <f t="shared" si="7"/>
        <v>10428343.76</v>
      </c>
      <c r="FU4" s="199">
        <f t="shared" si="7"/>
        <v>10428343.76</v>
      </c>
      <c r="FV4" s="199">
        <f t="shared" si="7"/>
        <v>10428343.76</v>
      </c>
      <c r="FW4" s="199">
        <f t="shared" si="7"/>
        <v>10428343.76</v>
      </c>
      <c r="FX4" s="199">
        <f t="shared" si="7"/>
        <v>10428343.76</v>
      </c>
      <c r="FY4" s="199">
        <f t="shared" si="7"/>
        <v>10428343.76</v>
      </c>
      <c r="FZ4" s="199">
        <f t="shared" si="7"/>
        <v>10428343.76</v>
      </c>
      <c r="GA4" s="199">
        <f t="shared" si="7"/>
        <v>10428343.76</v>
      </c>
      <c r="GB4" s="199">
        <f t="shared" si="7"/>
        <v>10428343.76</v>
      </c>
      <c r="GC4" s="199">
        <f t="shared" si="7"/>
        <v>10428343.76</v>
      </c>
      <c r="GD4" s="199">
        <f t="shared" si="7"/>
        <v>10428343.76</v>
      </c>
      <c r="GE4" s="199">
        <f t="shared" si="7"/>
        <v>10428343.76</v>
      </c>
      <c r="GF4" s="199">
        <f t="shared" si="7"/>
        <v>10428343.76</v>
      </c>
      <c r="GG4" s="199">
        <f t="shared" si="7"/>
        <v>10428343.76</v>
      </c>
      <c r="GH4" s="199">
        <f t="shared" si="7"/>
        <v>10428343.76</v>
      </c>
      <c r="GI4" s="199">
        <f t="shared" si="7"/>
        <v>10428343.76</v>
      </c>
      <c r="GJ4" s="199">
        <f t="shared" si="7"/>
        <v>10428343.76</v>
      </c>
      <c r="GK4" s="199">
        <f t="shared" si="7"/>
        <v>10428343.76</v>
      </c>
      <c r="GL4" s="199">
        <f t="shared" si="7"/>
        <v>10428343.76</v>
      </c>
      <c r="GM4" s="199">
        <f t="shared" si="7"/>
        <v>10428343.76</v>
      </c>
      <c r="GN4" s="199">
        <f t="shared" si="7"/>
        <v>10428343.76</v>
      </c>
      <c r="GO4" s="199">
        <f t="shared" si="7"/>
        <v>10428343.76</v>
      </c>
      <c r="GP4" s="199">
        <f t="shared" si="7"/>
        <v>10428343.76</v>
      </c>
      <c r="GQ4" s="199">
        <f t="shared" si="7"/>
        <v>10428343.76</v>
      </c>
      <c r="GR4" s="199">
        <f t="shared" si="7"/>
        <v>10428343.76</v>
      </c>
      <c r="GS4" s="199">
        <f t="shared" ref="GS4:JD4" si="8">GR4+GS3</f>
        <v>10428343.76</v>
      </c>
      <c r="GT4" s="199">
        <f t="shared" si="8"/>
        <v>10428343.76</v>
      </c>
      <c r="GU4" s="199">
        <f t="shared" si="8"/>
        <v>10428343.76</v>
      </c>
      <c r="GV4" s="199">
        <f t="shared" si="8"/>
        <v>10428343.76</v>
      </c>
      <c r="GW4" s="199">
        <f t="shared" si="8"/>
        <v>10428343.76</v>
      </c>
      <c r="GX4" s="199">
        <f t="shared" si="8"/>
        <v>10428343.76</v>
      </c>
      <c r="GY4" s="199">
        <f t="shared" si="8"/>
        <v>10428343.76</v>
      </c>
      <c r="GZ4" s="199">
        <f t="shared" si="8"/>
        <v>10428343.76</v>
      </c>
      <c r="HA4" s="199">
        <f t="shared" si="8"/>
        <v>10428343.76</v>
      </c>
      <c r="HB4" s="199">
        <f t="shared" si="8"/>
        <v>10428343.76</v>
      </c>
      <c r="HC4" s="199">
        <f t="shared" si="8"/>
        <v>10428343.76</v>
      </c>
      <c r="HD4" s="199">
        <f t="shared" si="8"/>
        <v>10428343.76</v>
      </c>
      <c r="HE4" s="199">
        <f t="shared" si="8"/>
        <v>10428343.76</v>
      </c>
      <c r="HF4" s="199">
        <f t="shared" si="8"/>
        <v>10428343.76</v>
      </c>
      <c r="HG4" s="199">
        <f t="shared" si="8"/>
        <v>10428343.76</v>
      </c>
      <c r="HH4" s="199">
        <f t="shared" si="8"/>
        <v>10428343.76</v>
      </c>
      <c r="HI4" s="199">
        <f t="shared" si="8"/>
        <v>10428343.76</v>
      </c>
      <c r="HJ4" s="199">
        <f t="shared" si="8"/>
        <v>10428343.76</v>
      </c>
      <c r="HK4" s="199">
        <f t="shared" si="8"/>
        <v>10428343.76</v>
      </c>
      <c r="HL4" s="199">
        <f t="shared" si="8"/>
        <v>10428343.76</v>
      </c>
      <c r="HM4" s="199">
        <f t="shared" si="8"/>
        <v>10428343.76</v>
      </c>
      <c r="HN4" s="199">
        <f t="shared" si="8"/>
        <v>10428343.76</v>
      </c>
      <c r="HO4" s="199">
        <f t="shared" si="8"/>
        <v>10428343.76</v>
      </c>
      <c r="HP4" s="199">
        <f t="shared" si="8"/>
        <v>10428343.76</v>
      </c>
      <c r="HQ4" s="199">
        <f t="shared" si="8"/>
        <v>10428343.76</v>
      </c>
      <c r="HR4" s="199">
        <f t="shared" si="8"/>
        <v>10428343.76</v>
      </c>
      <c r="HS4" s="199">
        <f t="shared" si="8"/>
        <v>10428343.76</v>
      </c>
      <c r="HT4" s="199">
        <f t="shared" si="8"/>
        <v>10428343.76</v>
      </c>
      <c r="HU4" s="199">
        <f t="shared" si="8"/>
        <v>10428343.76</v>
      </c>
      <c r="HV4" s="199">
        <f t="shared" si="8"/>
        <v>10428343.76</v>
      </c>
      <c r="HW4" s="199">
        <f t="shared" si="8"/>
        <v>10428343.76</v>
      </c>
      <c r="HX4" s="199">
        <f t="shared" si="8"/>
        <v>10428343.76</v>
      </c>
      <c r="HY4" s="199">
        <f t="shared" si="8"/>
        <v>10428343.76</v>
      </c>
      <c r="HZ4" s="199">
        <f t="shared" si="8"/>
        <v>10428343.76</v>
      </c>
      <c r="IA4" s="199">
        <f t="shared" si="8"/>
        <v>10428343.76</v>
      </c>
      <c r="IB4" s="199">
        <f t="shared" si="8"/>
        <v>10428343.76</v>
      </c>
      <c r="IC4" s="199">
        <f t="shared" si="8"/>
        <v>10428343.76</v>
      </c>
      <c r="ID4" s="199">
        <f t="shared" si="8"/>
        <v>10428343.76</v>
      </c>
      <c r="IE4" s="199">
        <f t="shared" si="8"/>
        <v>10428343.76</v>
      </c>
      <c r="IF4" s="199">
        <f t="shared" si="8"/>
        <v>10428343.76</v>
      </c>
      <c r="IG4" s="199">
        <f t="shared" si="8"/>
        <v>10428343.76</v>
      </c>
      <c r="IH4" s="199">
        <f t="shared" si="8"/>
        <v>10428343.76</v>
      </c>
      <c r="II4" s="199">
        <f t="shared" si="8"/>
        <v>10428343.76</v>
      </c>
      <c r="IJ4" s="199">
        <f t="shared" si="8"/>
        <v>10428343.76</v>
      </c>
      <c r="IK4" s="199">
        <f t="shared" si="8"/>
        <v>10428343.76</v>
      </c>
      <c r="IL4" s="199">
        <f t="shared" si="8"/>
        <v>10428343.76</v>
      </c>
      <c r="IM4" s="199">
        <f t="shared" si="8"/>
        <v>10428343.76</v>
      </c>
      <c r="IN4" s="199">
        <f t="shared" si="8"/>
        <v>10428343.76</v>
      </c>
      <c r="IO4" s="199">
        <f t="shared" si="8"/>
        <v>10428343.76</v>
      </c>
      <c r="IP4" s="199">
        <f t="shared" si="8"/>
        <v>10428343.76</v>
      </c>
      <c r="IQ4" s="199">
        <f t="shared" si="8"/>
        <v>10428343.76</v>
      </c>
      <c r="IR4" s="199">
        <f t="shared" si="8"/>
        <v>10428343.76</v>
      </c>
      <c r="IS4" s="199">
        <f t="shared" si="8"/>
        <v>10428343.76</v>
      </c>
      <c r="IT4" s="199">
        <f t="shared" si="8"/>
        <v>10428343.76</v>
      </c>
      <c r="IU4" s="199">
        <f t="shared" si="8"/>
        <v>10428343.76</v>
      </c>
      <c r="IV4" s="199">
        <f t="shared" si="8"/>
        <v>10428343.76</v>
      </c>
      <c r="IW4" s="199">
        <f t="shared" si="8"/>
        <v>10428343.76</v>
      </c>
      <c r="IX4" s="199">
        <f t="shared" si="8"/>
        <v>10428343.76</v>
      </c>
      <c r="IY4" s="199">
        <f t="shared" si="8"/>
        <v>10428343.76</v>
      </c>
      <c r="IZ4" s="199">
        <f t="shared" si="8"/>
        <v>10428343.76</v>
      </c>
      <c r="JA4" s="199">
        <f t="shared" si="8"/>
        <v>10428343.76</v>
      </c>
      <c r="JB4" s="199">
        <f t="shared" si="8"/>
        <v>10428343.76</v>
      </c>
      <c r="JC4" s="199">
        <f t="shared" si="8"/>
        <v>10428343.76</v>
      </c>
      <c r="JD4" s="199">
        <f t="shared" si="8"/>
        <v>10428343.76</v>
      </c>
      <c r="JE4" s="199">
        <f t="shared" ref="JE4:LD4" si="9">JD4+JE3</f>
        <v>10428343.76</v>
      </c>
      <c r="JF4" s="199">
        <f t="shared" si="9"/>
        <v>10428343.76</v>
      </c>
      <c r="JG4" s="199">
        <f t="shared" si="9"/>
        <v>10428343.76</v>
      </c>
      <c r="JH4" s="199">
        <f t="shared" si="9"/>
        <v>10428343.76</v>
      </c>
      <c r="JI4" s="199">
        <f t="shared" si="9"/>
        <v>10428343.76</v>
      </c>
      <c r="JJ4" s="199">
        <f t="shared" si="9"/>
        <v>10428343.76</v>
      </c>
      <c r="JK4" s="199">
        <f t="shared" si="9"/>
        <v>10428343.76</v>
      </c>
      <c r="JL4" s="199">
        <f t="shared" si="9"/>
        <v>10428343.76</v>
      </c>
      <c r="JM4" s="199">
        <f t="shared" si="9"/>
        <v>10428343.76</v>
      </c>
      <c r="JN4" s="199">
        <f t="shared" si="9"/>
        <v>10428343.76</v>
      </c>
      <c r="JO4" s="199">
        <f t="shared" si="9"/>
        <v>10428343.76</v>
      </c>
      <c r="JP4" s="199">
        <f t="shared" si="9"/>
        <v>10428343.76</v>
      </c>
      <c r="JQ4" s="199">
        <f t="shared" si="9"/>
        <v>10428343.76</v>
      </c>
      <c r="JR4" s="199">
        <f t="shared" si="9"/>
        <v>10428343.76</v>
      </c>
      <c r="JS4" s="199">
        <f t="shared" si="9"/>
        <v>10428343.76</v>
      </c>
      <c r="JT4" s="199">
        <f t="shared" si="9"/>
        <v>10428343.76</v>
      </c>
      <c r="JU4" s="199">
        <f t="shared" si="9"/>
        <v>10428343.76</v>
      </c>
      <c r="JV4" s="199">
        <f t="shared" si="9"/>
        <v>10428343.76</v>
      </c>
      <c r="JW4" s="199">
        <f t="shared" si="9"/>
        <v>10428343.76</v>
      </c>
      <c r="JX4" s="199">
        <f t="shared" si="9"/>
        <v>10428343.76</v>
      </c>
      <c r="JY4" s="199">
        <f t="shared" si="9"/>
        <v>10428343.76</v>
      </c>
      <c r="JZ4" s="199">
        <f t="shared" si="9"/>
        <v>10428343.76</v>
      </c>
      <c r="KA4" s="199">
        <f t="shared" si="9"/>
        <v>10428343.76</v>
      </c>
      <c r="KB4" s="199">
        <f t="shared" si="9"/>
        <v>10428343.76</v>
      </c>
      <c r="KC4" s="199">
        <f t="shared" si="9"/>
        <v>10428343.76</v>
      </c>
      <c r="KD4" s="199">
        <f t="shared" si="9"/>
        <v>10428343.76</v>
      </c>
      <c r="KE4" s="199">
        <f t="shared" si="9"/>
        <v>10428343.76</v>
      </c>
      <c r="KF4" s="199">
        <f t="shared" si="9"/>
        <v>10428343.76</v>
      </c>
      <c r="KG4" s="199">
        <f t="shared" si="9"/>
        <v>10428343.76</v>
      </c>
      <c r="KH4" s="199">
        <f t="shared" si="9"/>
        <v>10428343.76</v>
      </c>
      <c r="KI4" s="199">
        <f t="shared" si="9"/>
        <v>10428343.76</v>
      </c>
      <c r="KJ4" s="199">
        <f t="shared" si="9"/>
        <v>10428343.76</v>
      </c>
      <c r="KK4" s="199">
        <f t="shared" si="9"/>
        <v>10428343.76</v>
      </c>
      <c r="KL4" s="199">
        <f t="shared" si="9"/>
        <v>10428343.76</v>
      </c>
      <c r="KM4" s="199">
        <f t="shared" si="9"/>
        <v>10428343.76</v>
      </c>
      <c r="KN4" s="199">
        <f t="shared" si="9"/>
        <v>10428343.76</v>
      </c>
      <c r="KO4" s="199">
        <f t="shared" si="9"/>
        <v>10428343.76</v>
      </c>
      <c r="KP4" s="199">
        <f t="shared" si="9"/>
        <v>10428343.76</v>
      </c>
      <c r="KQ4" s="199">
        <f t="shared" si="9"/>
        <v>10428343.76</v>
      </c>
      <c r="KR4" s="199">
        <f t="shared" si="9"/>
        <v>10428343.76</v>
      </c>
      <c r="KS4" s="199">
        <f t="shared" si="9"/>
        <v>10428343.76</v>
      </c>
      <c r="KT4" s="199">
        <f t="shared" si="9"/>
        <v>10428343.76</v>
      </c>
      <c r="KU4" s="199">
        <f t="shared" si="9"/>
        <v>10428343.76</v>
      </c>
      <c r="KV4" s="199">
        <f t="shared" si="9"/>
        <v>10428343.76</v>
      </c>
      <c r="KW4" s="199">
        <f t="shared" si="9"/>
        <v>10428343.76</v>
      </c>
      <c r="KX4" s="199">
        <f t="shared" si="9"/>
        <v>10428343.76</v>
      </c>
      <c r="KY4" s="199">
        <f t="shared" si="9"/>
        <v>10428343.76</v>
      </c>
      <c r="KZ4" s="199">
        <f t="shared" si="9"/>
        <v>10428343.76</v>
      </c>
      <c r="LA4" s="199">
        <f t="shared" si="9"/>
        <v>10428343.76</v>
      </c>
      <c r="LB4" s="199">
        <f t="shared" si="9"/>
        <v>10428343.76</v>
      </c>
      <c r="LC4" s="199">
        <f t="shared" si="9"/>
        <v>10428343.76</v>
      </c>
      <c r="LD4" s="199">
        <f t="shared" si="9"/>
        <v>10428343.76</v>
      </c>
    </row>
    <row r="5" spans="1:794" s="204" customFormat="1">
      <c r="A5" s="842"/>
      <c r="B5" s="200" t="s">
        <v>274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Breakdown'!$G$6:$G$234, 'Expenditure Breakdown'!$H$6:$H$234, "&gt;="&amp;F1,'Expenditure Breakdown'!$H$6:$H$234, "&lt;"&amp;G1)</f>
        <v>0</v>
      </c>
      <c r="G5" s="202">
        <f>SUMIFS('Expenditure Breakdown'!$G$6:$G$234, 'Expenditure Breakdown'!$H$6:$H$234, "&gt;="&amp;G1,'Expenditure Breakdown'!$H$6:$H$234, "&lt;"&amp;H1)</f>
        <v>0</v>
      </c>
      <c r="H5" s="202">
        <f>SUMIFS('Expenditure Breakdown'!$G$6:$G$234, 'Expenditure Breakdown'!$H$6:$H$234, "&gt;="&amp;H1,'Expenditure Breakdown'!$H$6:$H$234, "&lt;"&amp;I1)</f>
        <v>0</v>
      </c>
      <c r="I5" s="202">
        <f>SUMIFS('Expenditure Breakdown'!$G$6:$G$234, 'Expenditure Breakdown'!$H$6:$H$234, "&gt;="&amp;I1,'Expenditure Breakdown'!$H$6:$H$234, "&lt;"&amp;J1)</f>
        <v>0</v>
      </c>
      <c r="J5" s="202">
        <f>SUMIFS('Expenditure Breakdown'!$G$6:$G$234, 'Expenditure Breakdown'!$H$6:$H$234, "&gt;="&amp;J1,'Expenditure Breakdown'!$H$6:$H$234, "&lt;"&amp;K1)</f>
        <v>0</v>
      </c>
      <c r="K5" s="202">
        <f>SUMIFS('Expenditure Breakdown'!$G$6:$G$234, 'Expenditure Breakdown'!$H$6:$H$234, "&gt;="&amp;K1,'Expenditure Breakdown'!$H$6:$H$234, "&lt;"&amp;L1)</f>
        <v>0</v>
      </c>
      <c r="L5" s="202">
        <f>SUMIFS('Expenditure Breakdown'!$G$6:$G$234, 'Expenditure Breakdown'!$H$6:$H$234, "&gt;="&amp;L1,'Expenditure Breakdown'!$H$6:$H$234, "&lt;"&amp;M1)</f>
        <v>0</v>
      </c>
      <c r="M5" s="202">
        <f>SUMIFS('Expenditure Breakdown'!$G$6:$G$234, 'Expenditure Breakdown'!$H$6:$H$234, "&gt;="&amp;M1,'Expenditure Breakdown'!$H$6:$H$234, "&lt;"&amp;N1)</f>
        <v>0</v>
      </c>
      <c r="N5" s="202">
        <f>SUMIFS('Expenditure Breakdown'!$G$6:$G$234, 'Expenditure Breakdown'!$H$6:$H$234, "&gt;="&amp;N1,'Expenditure Breakdown'!$H$6:$H$234, "&lt;"&amp;O1)</f>
        <v>0</v>
      </c>
      <c r="O5" s="202">
        <f>SUMIFS('Expenditure Breakdown'!$G$6:$G$234, 'Expenditure Breakdown'!$H$6:$H$234, "&gt;="&amp;O1,'Expenditure Breakdown'!$H$6:$H$234, "&lt;"&amp;P1)</f>
        <v>0</v>
      </c>
      <c r="P5" s="202">
        <f>SUMIFS('Expenditure Breakdown'!$G$6:$G$234, 'Expenditure Breakdown'!$H$6:$H$234, "&gt;="&amp;P1,'Expenditure Breakdown'!$H$6:$H$234, "&lt;"&amp;Q1)</f>
        <v>0</v>
      </c>
      <c r="Q5" s="202">
        <f>SUMIFS('Expenditure Breakdown'!$G$6:$G$234, 'Expenditure Breakdown'!$H$6:$H$234, "&gt;="&amp;Q1,'Expenditure Breakdown'!$H$6:$H$234, "&lt;"&amp;R1)</f>
        <v>0</v>
      </c>
      <c r="R5" s="202">
        <f>SUMIFS('Expenditure Breakdown'!$G$6:$G$234, 'Expenditure Breakdown'!$H$6:$H$234, "&gt;="&amp;R1,'Expenditure Breakdown'!$H$6:$H$234, "&lt;"&amp;S1)</f>
        <v>0</v>
      </c>
      <c r="S5" s="202">
        <f>SUMIFS('Expenditure Breakdown'!$G$6:$G$234, 'Expenditure Breakdown'!$H$6:$H$234, "&gt;="&amp;S1,'Expenditure Breakdown'!$H$6:$H$234, "&lt;"&amp;T1)</f>
        <v>0</v>
      </c>
      <c r="T5" s="202">
        <f>SUMIFS('Expenditure Breakdown'!$G$6:$G$234, 'Expenditure Breakdown'!$H$6:$H$234, "&gt;="&amp;T1,'Expenditure Breakdown'!$H$6:$H$234, "&lt;"&amp;U1)</f>
        <v>0</v>
      </c>
      <c r="U5" s="202">
        <f>SUMIFS('Expenditure Breakdown'!$G$6:$G$234, 'Expenditure Breakdown'!$H$6:$H$234, "&gt;="&amp;U1,'Expenditure Breakdown'!$H$6:$H$234, "&lt;"&amp;V1)</f>
        <v>0</v>
      </c>
      <c r="V5" s="202">
        <f>SUMIFS('Expenditure Breakdown'!$G$6:$G$234, 'Expenditure Breakdown'!$H$6:$H$234, "&gt;="&amp;V1,'Expenditure Breakdown'!$H$6:$H$234, "&lt;"&amp;W1)</f>
        <v>0</v>
      </c>
      <c r="W5" s="202">
        <f>SUMIFS('Expenditure Breakdown'!$G$6:$G$234, 'Expenditure Breakdown'!$H$6:$H$234, "&gt;="&amp;W1,'Expenditure Breakdown'!$H$6:$H$234, "&lt;"&amp;X1)</f>
        <v>0</v>
      </c>
      <c r="X5" s="202">
        <f>SUMIFS('Expenditure Breakdown'!$G$6:$G$234, 'Expenditure Breakdown'!$H$6:$H$234, "&gt;="&amp;X1,'Expenditure Breakdown'!$H$6:$H$234, "&lt;"&amp;Y1)</f>
        <v>0</v>
      </c>
      <c r="Y5" s="202">
        <f>SUMIFS('Expenditure Breakdown'!$G$6:$G$234, 'Expenditure Breakdown'!$H$6:$H$234, "&gt;="&amp;Y1,'Expenditure Breakdown'!$H$6:$H$234, "&lt;"&amp;Z1)</f>
        <v>0</v>
      </c>
      <c r="Z5" s="202">
        <f>SUMIFS('Expenditure Breakdown'!$G$6:$G$234, 'Expenditure Breakdown'!$H$6:$H$234, "&gt;="&amp;Z1,'Expenditure Breakdown'!$H$6:$H$234, "&lt;"&amp;AA1)</f>
        <v>0</v>
      </c>
      <c r="AA5" s="202">
        <f>SUMIFS('Expenditure Breakdown'!$G$6:$G$234, 'Expenditure Breakdown'!$H$6:$H$234, "&gt;="&amp;AA1,'Expenditure Breakdown'!$H$6:$H$234, "&lt;"&amp;AB1)</f>
        <v>0</v>
      </c>
      <c r="AB5" s="202">
        <f>SUMIFS('Expenditure Breakdown'!$G$6:$G$234, 'Expenditure Breakdown'!$H$6:$H$234, "&gt;="&amp;AB1,'Expenditure Breakdown'!$H$6:$H$234, "&lt;"&amp;AC1)</f>
        <v>0</v>
      </c>
      <c r="AC5" s="202">
        <f>SUMIFS('Expenditure Breakdown'!$G$6:$G$234, 'Expenditure Breakdown'!$H$6:$H$234, "&gt;="&amp;AC1,'Expenditure Breakdown'!$H$6:$H$234, "&lt;"&amp;AD1)</f>
        <v>0</v>
      </c>
      <c r="AD5" s="202">
        <f>SUMIFS('Expenditure Breakdown'!$G$6:$G$234, 'Expenditure Breakdown'!$H$6:$H$234, "&gt;="&amp;AD1,'Expenditure Breakdown'!$H$6:$H$234, "&lt;"&amp;AE1)</f>
        <v>0</v>
      </c>
      <c r="AE5" s="202">
        <f>SUMIFS('Expenditure Breakdown'!$G$6:$G$234, 'Expenditure Breakdown'!$H$6:$H$234, "&gt;="&amp;AE1,'Expenditure Breakdown'!$H$6:$H$234, "&lt;"&amp;AF1)</f>
        <v>0</v>
      </c>
      <c r="AF5" s="202">
        <f>SUMIFS('Expenditure Breakdown'!$G$6:$G$234, 'Expenditure Breakdown'!$H$6:$H$234, "&gt;="&amp;AF1,'Expenditure Breakdown'!$H$6:$H$234, "&lt;"&amp;AG1)</f>
        <v>0</v>
      </c>
      <c r="AG5" s="202">
        <f>SUMIFS('Expenditure Breakdown'!$G$6:$G$234, 'Expenditure Breakdown'!$H$6:$H$234, "&gt;="&amp;AG1,'Expenditure Breakdown'!$H$6:$H$234, "&lt;"&amp;AH1)</f>
        <v>0</v>
      </c>
      <c r="AH5" s="202">
        <f>SUMIFS('Expenditure Breakdown'!$G$6:$G$234, 'Expenditure Breakdown'!$H$6:$H$234, "&gt;="&amp;AH1,'Expenditure Breakdown'!$H$6:$H$234, "&lt;"&amp;AI1)</f>
        <v>0</v>
      </c>
      <c r="AI5" s="202">
        <f>SUMIFS('Expenditure Breakdown'!$G$6:$G$234, 'Expenditure Breakdown'!$H$6:$H$234, "&gt;="&amp;AI1,'Expenditure Breakdown'!$H$6:$H$234, "&lt;"&amp;AJ1)</f>
        <v>0</v>
      </c>
      <c r="AJ5" s="202">
        <f>SUMIFS('Expenditure Breakdown'!$G$6:$G$234, 'Expenditure Breakdown'!$H$6:$H$234, "&gt;="&amp;AJ1,'Expenditure Breakdown'!$H$6:$H$234, "&lt;"&amp;AK1)</f>
        <v>0</v>
      </c>
      <c r="AK5" s="202">
        <f>SUMIFS('Expenditure Breakdown'!$G$6:$G$234, 'Expenditure Breakdown'!$H$6:$H$234, "&gt;="&amp;AK1,'Expenditure Breakdown'!$H$6:$H$234, "&lt;"&amp;AL1)</f>
        <v>3715850.651089285</v>
      </c>
      <c r="AL5" s="202">
        <f>SUMIFS('Expenditure Breakdown'!$G$6:$G$234, 'Expenditure Breakdown'!$H$6:$H$234, "&gt;="&amp;AL1,'Expenditure Breakdown'!$H$6:$H$234, "&lt;"&amp;AM1)</f>
        <v>23800</v>
      </c>
      <c r="AM5" s="202">
        <f>SUMIFS('Expenditure Breakdown'!$G$6:$G$234, 'Expenditure Breakdown'!$H$6:$H$234, "&gt;="&amp;AM1,'Expenditure Breakdown'!$H$6:$H$234, "&lt;"&amp;AN1)</f>
        <v>0</v>
      </c>
      <c r="AN5" s="202">
        <f>SUMIFS('Expenditure Breakdown'!$G$6:$G$234, 'Expenditure Breakdown'!$H$6:$H$234, "&gt;="&amp;AN1,'Expenditure Breakdown'!$H$6:$H$234, "&lt;"&amp;AO1)</f>
        <v>0</v>
      </c>
      <c r="AO5" s="202">
        <f>SUMIFS('Expenditure Breakdown'!$G$6:$G$234, 'Expenditure Breakdown'!$H$6:$H$234, "&gt;="&amp;AO1,'Expenditure Breakdown'!$H$6:$H$234, "&lt;"&amp;AP1)</f>
        <v>0</v>
      </c>
      <c r="AP5" s="202">
        <f>SUMIFS('Expenditure Breakdown'!$G$6:$G$234, 'Expenditure Breakdown'!$H$6:$H$234, "&gt;="&amp;AP1,'Expenditure Breakdown'!$H$6:$H$234, "&lt;"&amp;AQ1)</f>
        <v>0</v>
      </c>
      <c r="AQ5" s="202">
        <f>SUMIFS('Expenditure Breakdown'!$G$6:$G$234, 'Expenditure Breakdown'!$H$6:$H$234, "&gt;="&amp;AQ1,'Expenditure Breakdown'!$H$6:$H$234, "&lt;"&amp;AR1)</f>
        <v>0</v>
      </c>
      <c r="AR5" s="202">
        <f>SUMIFS('Expenditure Breakdown'!$G$6:$G$234, 'Expenditure Breakdown'!$H$6:$H$234, "&gt;="&amp;AR1,'Expenditure Breakdown'!$H$6:$H$234, "&lt;"&amp;AS1)</f>
        <v>0</v>
      </c>
      <c r="AS5" s="202">
        <f>SUMIFS('Expenditure Breakdown'!$G$6:$G$234, 'Expenditure Breakdown'!$H$6:$H$234, "&gt;="&amp;AS1,'Expenditure Breakdown'!$H$6:$H$234, "&lt;"&amp;AT1)</f>
        <v>0</v>
      </c>
      <c r="AT5" s="202">
        <f>SUMIFS('Expenditure Breakdown'!$G$6:$G$234, 'Expenditure Breakdown'!$H$6:$H$234, "&gt;="&amp;AT1,'Expenditure Breakdown'!$H$6:$H$234, "&lt;"&amp;AU1)</f>
        <v>0</v>
      </c>
      <c r="AU5" s="202">
        <f>SUMIFS('Expenditure Breakdown'!$G$6:$G$234, 'Expenditure Breakdown'!$H$6:$H$234, "&gt;="&amp;AU1,'Expenditure Breakdown'!$H$6:$H$234, "&lt;"&amp;AV1)</f>
        <v>0</v>
      </c>
      <c r="AV5" s="202">
        <f>SUMIFS('Expenditure Breakdown'!$G$6:$G$234, 'Expenditure Breakdown'!$H$6:$H$234, "&gt;="&amp;AV1,'Expenditure Breakdown'!$H$6:$H$234, "&lt;"&amp;AW1)</f>
        <v>0</v>
      </c>
      <c r="AW5" s="202">
        <f>SUMIFS('Expenditure Breakdown'!$G$6:$G$234, 'Expenditure Breakdown'!$H$6:$H$234, "&gt;="&amp;AW1,'Expenditure Breakdown'!$H$6:$H$234, "&lt;"&amp;AX1)</f>
        <v>0</v>
      </c>
      <c r="AX5" s="202">
        <f>SUMIFS('Expenditure Breakdown'!$G$6:$G$234, 'Expenditure Breakdown'!$H$6:$H$234, "&gt;="&amp;AX1,'Expenditure Breakdown'!$H$6:$H$234, "&lt;"&amp;AY1)</f>
        <v>0</v>
      </c>
      <c r="AY5" s="202">
        <f>SUMIFS('Expenditure Breakdown'!$G$6:$G$234, 'Expenditure Breakdown'!$H$6:$H$234, "&gt;="&amp;AY1,'Expenditure Breakdown'!$H$6:$H$234, "&lt;"&amp;AZ1)</f>
        <v>0</v>
      </c>
      <c r="AZ5" s="202">
        <f>SUMIFS('Expenditure Breakdown'!$G$6:$G$234, 'Expenditure Breakdown'!$H$6:$H$234, "&gt;="&amp;AZ1,'Expenditure Breakdown'!$H$6:$H$234, "&lt;"&amp;BA1)</f>
        <v>0</v>
      </c>
      <c r="BA5" s="202">
        <f>SUMIFS('Expenditure Breakdown'!$G$6:$G$234, 'Expenditure Breakdown'!$H$6:$H$234, "&gt;="&amp;BA1,'Expenditure Breakdown'!$H$6:$H$234, "&lt;"&amp;BB1)</f>
        <v>0</v>
      </c>
      <c r="BB5" s="202">
        <f>SUMIFS('Expenditure Breakdown'!$G$6:$G$234, 'Expenditure Breakdown'!$H$6:$H$234, "&gt;="&amp;BB1,'Expenditure Breakdown'!$H$6:$H$234, "&lt;"&amp;BC1)</f>
        <v>0</v>
      </c>
      <c r="BC5" s="202">
        <f>SUMIFS('Expenditure Breakdown'!$G$6:$G$234, 'Expenditure Breakdown'!$H$6:$H$234, "&gt;="&amp;BC1,'Expenditure Breakdown'!$H$6:$H$234, "&lt;"&amp;BD1)</f>
        <v>4745207.2699999996</v>
      </c>
      <c r="BD5" s="202">
        <f>SUMIFS('Expenditure Breakdown'!$G$6:$G$234, 'Expenditure Breakdown'!$H$6:$H$234, "&gt;="&amp;BD1,'Expenditure Breakdown'!$H$6:$H$234, "&lt;"&amp;BE1)</f>
        <v>0</v>
      </c>
      <c r="BE5" s="202">
        <f>SUMIFS('Expenditure Breakdown'!$G$6:$G$234, 'Expenditure Breakdown'!$H$6:$H$234, "&gt;="&amp;BE1,'Expenditure Breakdown'!$H$6:$H$234, "&lt;"&amp;BF1)</f>
        <v>0</v>
      </c>
      <c r="BF5" s="202">
        <f>SUMIFS('Expenditure Breakdown'!$G$6:$G$234, 'Expenditure Breakdown'!$H$6:$H$234, "&gt;="&amp;BF1,'Expenditure Breakdown'!$H$6:$H$234, "&lt;"&amp;BG1)</f>
        <v>0</v>
      </c>
      <c r="BG5" s="202">
        <f>SUMIFS('Expenditure Breakdown'!$G$6:$G$234, 'Expenditure Breakdown'!$H$6:$H$234, "&gt;="&amp;BG1,'Expenditure Breakdown'!$H$6:$H$234, "&lt;"&amp;BH1)</f>
        <v>0</v>
      </c>
      <c r="BH5" s="202">
        <f>SUMIFS('Expenditure Breakdown'!$G$6:$G$234, 'Expenditure Breakdown'!$H$6:$H$234, "&gt;="&amp;BH1,'Expenditure Breakdown'!$H$6:$H$234, "&lt;"&amp;BI1)</f>
        <v>0</v>
      </c>
      <c r="BI5" s="202">
        <f>SUMIFS('Expenditure Breakdown'!$G$6:$G$234, 'Expenditure Breakdown'!$H$6:$H$234, "&gt;="&amp;BI1,'Expenditure Breakdown'!$H$6:$H$234, "&lt;"&amp;BJ1)</f>
        <v>0</v>
      </c>
      <c r="BJ5" s="202">
        <f>SUMIFS('Expenditure Breakdown'!$G$6:$G$234, 'Expenditure Breakdown'!$H$6:$H$234, "&gt;="&amp;BJ1,'Expenditure Breakdown'!$H$6:$H$234, "&lt;"&amp;BK1)</f>
        <v>0</v>
      </c>
      <c r="BK5" s="202">
        <f>SUMIFS('Expenditure Breakdown'!$G$6:$G$234, 'Expenditure Breakdown'!$H$6:$H$234, "&gt;="&amp;BK1,'Expenditure Breakdown'!$H$6:$H$234, "&lt;"&amp;BL1)</f>
        <v>0</v>
      </c>
      <c r="BL5" s="202">
        <f>SUMIFS('Expenditure Breakdown'!$G$6:$G$234, 'Expenditure Breakdown'!$H$6:$H$234, "&gt;="&amp;BL1,'Expenditure Breakdown'!$H$6:$H$234, "&lt;"&amp;BM1)</f>
        <v>0</v>
      </c>
      <c r="BM5" s="202">
        <f>SUMIFS('Expenditure Breakdown'!$G$6:$G$234, 'Expenditure Breakdown'!$H$6:$H$234, "&gt;="&amp;BM1,'Expenditure Breakdown'!$H$6:$H$234, "&lt;"&amp;BN1)</f>
        <v>0</v>
      </c>
      <c r="BN5" s="202">
        <f>SUMIFS('Expenditure Breakdown'!$G$6:$G$234, 'Expenditure Breakdown'!$H$6:$H$234, "&gt;="&amp;BN1,'Expenditure Breakdown'!$H$6:$H$234, "&lt;"&amp;BO1)</f>
        <v>0</v>
      </c>
      <c r="BO5" s="202">
        <f>SUMIFS('Expenditure Breakdown'!$G$6:$G$234, 'Expenditure Breakdown'!$H$6:$H$234, "&gt;="&amp;BO1,'Expenditure Breakdown'!$H$6:$H$234, "&lt;"&amp;BP1)</f>
        <v>0</v>
      </c>
      <c r="BP5" s="202">
        <f>SUMIFS('Expenditure Breakdown'!$G$6:$G$234, 'Expenditure Breakdown'!$H$6:$H$234, "&gt;="&amp;BP1,'Expenditure Breakdown'!$H$6:$H$234, "&lt;"&amp;BQ1)</f>
        <v>0</v>
      </c>
      <c r="BQ5" s="202">
        <f>SUMIFS('Expenditure Breakdown'!$G$6:$G$234, 'Expenditure Breakdown'!$H$6:$H$234, "&gt;="&amp;BQ1,'Expenditure Breakdown'!$H$6:$H$234, "&lt;"&amp;BR1)</f>
        <v>0</v>
      </c>
      <c r="BR5" s="202">
        <f>SUMIFS('Expenditure Breakdown'!$G$6:$G$234, 'Expenditure Breakdown'!$H$6:$H$234, "&gt;="&amp;BR1,'Expenditure Breakdown'!$H$6:$H$234, "&lt;"&amp;BS1)</f>
        <v>0</v>
      </c>
      <c r="BS5" s="202">
        <f>SUMIFS('Expenditure Breakdown'!$G$6:$G$234, 'Expenditure Breakdown'!$H$6:$H$234, "&gt;="&amp;BS1,'Expenditure Breakdown'!$H$6:$H$234, "&lt;"&amp;BT1)</f>
        <v>0</v>
      </c>
      <c r="BT5" s="202">
        <f>SUMIFS('Expenditure Breakdown'!$G$6:$G$234, 'Expenditure Breakdown'!$H$6:$H$234, "&gt;="&amp;BT1,'Expenditure Breakdown'!$H$6:$H$234, "&lt;"&amp;BU1)</f>
        <v>0</v>
      </c>
      <c r="BU5" s="202">
        <f>SUMIFS('Expenditure Breakdown'!$G$6:$G$234, 'Expenditure Breakdown'!$H$6:$H$234, "&gt;="&amp;BU1,'Expenditure Breakdown'!$H$6:$H$234, "&lt;"&amp;BV1)</f>
        <v>0</v>
      </c>
      <c r="BV5" s="202">
        <f>SUMIFS('Expenditure Breakdown'!$G$6:$G$234, 'Expenditure Breakdown'!$H$6:$H$234, "&gt;="&amp;BV1,'Expenditure Breakdown'!$H$6:$H$234, "&lt;"&amp;BW1)</f>
        <v>0</v>
      </c>
      <c r="BW5" s="202">
        <f>SUMIFS('Expenditure Breakdown'!$G$6:$G$234, 'Expenditure Breakdown'!$H$6:$H$234, "&gt;="&amp;BW1,'Expenditure Breakdown'!$H$6:$H$234, "&lt;"&amp;BX1)</f>
        <v>0</v>
      </c>
      <c r="BX5" s="202">
        <f>SUMIFS('Expenditure Breakdown'!$G$6:$G$234, 'Expenditure Breakdown'!$H$6:$H$234, "&gt;="&amp;BX1,'Expenditure Breakdown'!$H$6:$H$234, "&lt;"&amp;BY1)</f>
        <v>0</v>
      </c>
      <c r="BY5" s="202">
        <f>SUMIFS('Expenditure Breakdown'!$G$6:$G$234, 'Expenditure Breakdown'!$H$6:$H$234, "&gt;="&amp;BY1,'Expenditure Breakdown'!$H$6:$H$234, "&lt;"&amp;BZ1)</f>
        <v>0</v>
      </c>
      <c r="BZ5" s="202">
        <f>SUMIFS('Expenditure Breakdown'!$G$6:$G$234, 'Expenditure Breakdown'!$H$6:$H$234, "&gt;="&amp;BZ1,'Expenditure Breakdown'!$H$6:$H$234, "&lt;"&amp;CA1)</f>
        <v>0</v>
      </c>
      <c r="CA5" s="202">
        <f>SUMIFS('Expenditure Breakdown'!$G$6:$G$234, 'Expenditure Breakdown'!$H$6:$H$234, "&gt;="&amp;CA1,'Expenditure Breakdown'!$H$6:$H$234, "&lt;"&amp;CB1)</f>
        <v>0</v>
      </c>
      <c r="CB5" s="202">
        <f>SUMIFS('Expenditure Breakdown'!$G$6:$G$234, 'Expenditure Breakdown'!$H$6:$H$234, "&gt;="&amp;CB1,'Expenditure Breakdown'!$H$6:$H$234, "&lt;"&amp;CC1)</f>
        <v>0</v>
      </c>
      <c r="CC5" s="202">
        <f>SUMIFS('Expenditure Breakdown'!$G$6:$G$234, 'Expenditure Breakdown'!$H$6:$H$234, "&gt;="&amp;CC1,'Expenditure Breakdown'!$H$6:$H$234, "&lt;"&amp;CD1)</f>
        <v>0</v>
      </c>
      <c r="CD5" s="202">
        <f>SUMIFS('Expenditure Breakdown'!$G$6:$G$234, 'Expenditure Breakdown'!$H$6:$H$234, "&gt;="&amp;CD1,'Expenditure Breakdown'!$H$6:$H$234, "&lt;"&amp;CE1)</f>
        <v>0</v>
      </c>
      <c r="CE5" s="202">
        <f>SUMIFS('Expenditure Breakdown'!$G$6:$G$234, 'Expenditure Breakdown'!$H$6:$H$234, "&gt;="&amp;CE1,'Expenditure Breakdown'!$H$6:$H$234, "&lt;"&amp;CF1)</f>
        <v>0</v>
      </c>
      <c r="CF5" s="202">
        <f>SUMIFS('Expenditure Breakdown'!$G$6:$G$234, 'Expenditure Breakdown'!$H$6:$H$234, "&gt;="&amp;CF1,'Expenditure Breakdown'!$H$6:$H$234, "&lt;"&amp;CG1)</f>
        <v>0</v>
      </c>
      <c r="CG5" s="202">
        <f>SUMIFS('Expenditure Breakdown'!$G$6:$G$234, 'Expenditure Breakdown'!$H$6:$H$234, "&gt;="&amp;CG1,'Expenditure Breakdown'!$H$6:$H$234, "&lt;"&amp;CH1)</f>
        <v>0</v>
      </c>
      <c r="CH5" s="202">
        <f>SUMIFS('Expenditure Breakdown'!$G$6:$G$234, 'Expenditure Breakdown'!$H$6:$H$234, "&gt;="&amp;CH1,'Expenditure Breakdown'!$H$6:$H$234, "&lt;"&amp;CI1)</f>
        <v>0</v>
      </c>
      <c r="CI5" s="202">
        <f>SUMIFS('Expenditure Breakdown'!$G$6:$G$234, 'Expenditure Breakdown'!$H$6:$H$234, "&gt;="&amp;CI1,'Expenditure Breakdown'!$H$6:$H$234, "&lt;"&amp;CJ1)</f>
        <v>0</v>
      </c>
      <c r="CJ5" s="202">
        <f>SUMIFS('Expenditure Breakdown'!$G$6:$G$234, 'Expenditure Breakdown'!$H$6:$H$234, "&gt;="&amp;CJ1,'Expenditure Breakdown'!$H$6:$H$234, "&lt;"&amp;CK1)</f>
        <v>0</v>
      </c>
      <c r="CK5" s="202">
        <f>SUMIFS('Expenditure Breakdown'!$G$6:$G$234, 'Expenditure Breakdown'!$H$6:$H$234, "&gt;="&amp;CK1,'Expenditure Breakdown'!$H$6:$H$234, "&lt;"&amp;CL1)</f>
        <v>0</v>
      </c>
      <c r="CL5" s="202">
        <f>SUMIFS('Expenditure Breakdown'!$G$6:$G$234, 'Expenditure Breakdown'!$H$6:$H$234, "&gt;="&amp;CL1,'Expenditure Breakdown'!$H$6:$H$234, "&lt;"&amp;CM1)</f>
        <v>0</v>
      </c>
      <c r="CM5" s="202">
        <f>SUMIFS('Expenditure Breakdown'!$G$6:$G$234, 'Expenditure Breakdown'!$H$6:$H$234, "&gt;="&amp;CM1,'Expenditure Breakdown'!$H$6:$H$234, "&lt;"&amp;CN1)</f>
        <v>0</v>
      </c>
      <c r="CN5" s="202">
        <f>SUMIFS('Expenditure Breakdown'!$G$6:$G$234, 'Expenditure Breakdown'!$H$6:$H$234, "&gt;="&amp;CN1,'Expenditure Breakdown'!$H$6:$H$234, "&lt;"&amp;CO1)</f>
        <v>0</v>
      </c>
      <c r="CO5" s="202">
        <f>SUMIFS('Expenditure Breakdown'!$G$6:$G$234, 'Expenditure Breakdown'!$H$6:$H$234, "&gt;="&amp;CO1,'Expenditure Breakdown'!$H$6:$H$234, "&lt;"&amp;CP1)</f>
        <v>0</v>
      </c>
      <c r="CP5" s="202">
        <f>SUMIFS('Expenditure Breakdown'!$G$6:$G$234, 'Expenditure Breakdown'!$H$6:$H$234, "&gt;="&amp;CP1,'Expenditure Breakdown'!$H$6:$H$234, "&lt;"&amp;CQ1)</f>
        <v>0</v>
      </c>
      <c r="CQ5" s="202">
        <f>SUMIFS('Expenditure Breakdown'!$G$6:$G$234, 'Expenditure Breakdown'!$H$6:$H$234, "&gt;="&amp;CQ1,'Expenditure Breakdown'!$H$6:$H$234, "&lt;"&amp;CR1)</f>
        <v>0</v>
      </c>
      <c r="CR5" s="202">
        <f>SUMIFS('Expenditure Breakdown'!$G$6:$G$234, 'Expenditure Breakdown'!$H$6:$H$234, "&gt;="&amp;CR1,'Expenditure Breakdown'!$H$6:$H$234, "&lt;"&amp;CS1)</f>
        <v>0</v>
      </c>
      <c r="CS5" s="202">
        <f>SUMIFS('Expenditure Breakdown'!$G$6:$G$234, 'Expenditure Breakdown'!$H$6:$H$234, "&gt;="&amp;CS1,'Expenditure Breakdown'!$H$6:$H$234, "&lt;"&amp;CT1)</f>
        <v>0</v>
      </c>
      <c r="CT5" s="202">
        <f>SUMIFS('Expenditure Breakdown'!$G$6:$G$234, 'Expenditure Breakdown'!$H$6:$H$234, "&gt;="&amp;CT1,'Expenditure Breakdown'!$H$6:$H$234, "&lt;"&amp;CU1)</f>
        <v>0</v>
      </c>
      <c r="CU5" s="202">
        <f>SUMIFS('Expenditure Breakdown'!$G$6:$G$234, 'Expenditure Breakdown'!$H$6:$H$234, "&gt;="&amp;CU1,'Expenditure Breakdown'!$H$6:$H$234, "&lt;"&amp;CV1)</f>
        <v>0</v>
      </c>
      <c r="CV5" s="202">
        <f>SUMIFS('Expenditure Breakdown'!$G$6:$G$234, 'Expenditure Breakdown'!$H$6:$H$234, "&gt;="&amp;CV1,'Expenditure Breakdown'!$H$6:$H$234, "&lt;"&amp;CW1)</f>
        <v>0</v>
      </c>
      <c r="CW5" s="202">
        <f>SUMIFS('Expenditure Breakdown'!$G$6:$G$234, 'Expenditure Breakdown'!$H$6:$H$234, "&gt;="&amp;CW1,'Expenditure Breakdown'!$H$6:$H$234, "&lt;"&amp;CX1)</f>
        <v>0</v>
      </c>
      <c r="CX5" s="202">
        <f>SUMIFS('Expenditure Breakdown'!$G$6:$G$234, 'Expenditure Breakdown'!$H$6:$H$234, "&gt;="&amp;CX1,'Expenditure Breakdown'!$H$6:$H$234, "&lt;"&amp;CY1)</f>
        <v>0</v>
      </c>
      <c r="CY5" s="202">
        <f>SUMIFS('Expenditure Breakdown'!$G$6:$G$234, 'Expenditure Breakdown'!$H$6:$H$234, "&gt;="&amp;CY1,'Expenditure Breakdown'!$H$6:$H$234, "&lt;"&amp;CZ1)</f>
        <v>0</v>
      </c>
      <c r="CZ5" s="202">
        <f>SUMIFS('Expenditure Breakdown'!$G$6:$G$234, 'Expenditure Breakdown'!$H$6:$H$234, "&gt;="&amp;CZ1,'Expenditure Breakdown'!$H$6:$H$234, "&lt;"&amp;DA1)</f>
        <v>0</v>
      </c>
      <c r="DA5" s="202">
        <f>SUMIFS('Expenditure Breakdown'!$G$6:$G$234, 'Expenditure Breakdown'!$H$6:$H$234, "&gt;="&amp;DA1,'Expenditure Breakdown'!$H$6:$H$234, "&lt;"&amp;DB1)</f>
        <v>0</v>
      </c>
      <c r="DB5" s="202">
        <f>SUMIFS('Expenditure Breakdown'!$G$6:$G$234, 'Expenditure Breakdown'!$H$6:$H$234, "&gt;="&amp;DB1,'Expenditure Breakdown'!$H$6:$H$234, "&lt;"&amp;DC1)</f>
        <v>0</v>
      </c>
      <c r="DC5" s="202">
        <f>SUMIFS('Expenditure Breakdown'!$G$6:$G$234, 'Expenditure Breakdown'!$H$6:$H$234, "&gt;="&amp;DC1,'Expenditure Breakdown'!$H$6:$H$234, "&lt;"&amp;DD1)</f>
        <v>0</v>
      </c>
      <c r="DD5" s="202">
        <f>SUMIFS('Expenditure Breakdown'!$G$6:$G$234, 'Expenditure Breakdown'!$H$6:$H$234, "&gt;="&amp;DD1,'Expenditure Breakdown'!$H$6:$H$234, "&lt;"&amp;DE1)</f>
        <v>0</v>
      </c>
      <c r="DE5" s="202">
        <f>SUMIFS('Expenditure Breakdown'!$G$6:$G$234, 'Expenditure Breakdown'!$H$6:$H$234, "&gt;="&amp;DE1,'Expenditure Breakdown'!$H$6:$H$234, "&lt;"&amp;DF1)</f>
        <v>0</v>
      </c>
      <c r="DF5" s="202">
        <f>SUMIFS('Expenditure Breakdown'!$G$6:$G$234, 'Expenditure Breakdown'!$H$6:$H$234, "&gt;="&amp;DF1,'Expenditure Breakdown'!$H$6:$H$234, "&lt;"&amp;DG1)</f>
        <v>0</v>
      </c>
      <c r="DG5" s="202">
        <f>SUMIFS('Expenditure Breakdown'!$G$6:$G$234, 'Expenditure Breakdown'!$H$6:$H$234, "&gt;="&amp;DG1,'Expenditure Breakdown'!$H$6:$H$234, "&lt;"&amp;DH1)</f>
        <v>0</v>
      </c>
      <c r="DH5" s="202">
        <f>SUMIFS('Expenditure Breakdown'!$G$6:$G$234, 'Expenditure Breakdown'!$H$6:$H$234, "&gt;="&amp;DH1,'Expenditure Breakdown'!$H$6:$H$234, "&lt;"&amp;DI1)</f>
        <v>0</v>
      </c>
      <c r="DI5" s="202">
        <f>SUMIFS('Expenditure Breakdown'!$G$6:$G$234, 'Expenditure Breakdown'!$H$6:$H$234, "&gt;="&amp;DI1,'Expenditure Breakdown'!$H$6:$H$234, "&lt;"&amp;DJ1)</f>
        <v>0</v>
      </c>
      <c r="DJ5" s="202">
        <f>SUMIFS('Expenditure Breakdown'!$G$6:$G$234, 'Expenditure Breakdown'!$H$6:$H$234, "&gt;="&amp;DJ1,'Expenditure Breakdown'!$H$6:$H$234, "&lt;"&amp;DK1)</f>
        <v>0</v>
      </c>
      <c r="DK5" s="202">
        <f>SUMIFS('Expenditure Breakdown'!$G$6:$G$234, 'Expenditure Breakdown'!$H$6:$H$234, "&gt;="&amp;DK1,'Expenditure Breakdown'!$H$6:$H$234, "&lt;"&amp;DL1)</f>
        <v>0</v>
      </c>
      <c r="DL5" s="202">
        <f>SUMIFS('Expenditure Breakdown'!$G$6:$G$234, 'Expenditure Breakdown'!$H$6:$H$234, "&gt;="&amp;DL1,'Expenditure Breakdown'!$H$6:$H$234, "&lt;"&amp;DM1)</f>
        <v>0</v>
      </c>
      <c r="DM5" s="202">
        <f>SUMIFS('Expenditure Breakdown'!$G$6:$G$234, 'Expenditure Breakdown'!$H$6:$H$234, "&gt;="&amp;DM1,'Expenditure Breakdown'!$H$6:$H$234, "&lt;"&amp;DN1)</f>
        <v>0</v>
      </c>
      <c r="DN5" s="202">
        <f>SUMIFS('Expenditure Breakdown'!$G$6:$G$234, 'Expenditure Breakdown'!$H$6:$H$234, "&gt;="&amp;DN1,'Expenditure Breakdown'!$H$6:$H$234, "&lt;"&amp;DO1)</f>
        <v>0</v>
      </c>
      <c r="DO5" s="202">
        <f>SUMIFS('Expenditure Breakdown'!$G$6:$G$234, 'Expenditure Breakdown'!$H$6:$H$234, "&gt;="&amp;DO1,'Expenditure Breakdown'!$H$6:$H$234, "&lt;"&amp;DP1)</f>
        <v>0</v>
      </c>
      <c r="DP5" s="202">
        <f>SUMIFS('Expenditure Breakdown'!$G$6:$G$234, 'Expenditure Breakdown'!$H$6:$H$234, "&gt;="&amp;DP1,'Expenditure Breakdown'!$H$6:$H$234, "&lt;"&amp;DQ1)</f>
        <v>0</v>
      </c>
      <c r="DQ5" s="202">
        <f>SUMIFS('Expenditure Breakdown'!$G$6:$G$234, 'Expenditure Breakdown'!$H$6:$H$234, "&gt;="&amp;DQ1,'Expenditure Breakdown'!$H$6:$H$234, "&lt;"&amp;DR1)</f>
        <v>0</v>
      </c>
      <c r="DR5" s="202">
        <f>SUMIFS('Expenditure Breakdown'!$G$6:$G$234, 'Expenditure Breakdown'!$H$6:$H$234, "&gt;="&amp;DR1,'Expenditure Breakdown'!$H$6:$H$234, "&lt;"&amp;DS1)</f>
        <v>0</v>
      </c>
      <c r="DS5" s="202">
        <f>SUMIFS('Expenditure Breakdown'!$G$6:$G$234, 'Expenditure Breakdown'!$H$6:$H$234, "&gt;="&amp;DS1,'Expenditure Breakdown'!$H$6:$H$234, "&lt;"&amp;DT1)</f>
        <v>0</v>
      </c>
      <c r="DT5" s="202">
        <f>SUMIFS('Expenditure Breakdown'!$G$6:$G$234, 'Expenditure Breakdown'!$H$6:$H$234, "&gt;="&amp;DT1,'Expenditure Breakdown'!$H$6:$H$234, "&lt;"&amp;DU1)</f>
        <v>0</v>
      </c>
      <c r="DU5" s="202">
        <f>SUMIFS('Expenditure Breakdown'!$G$6:$G$234, 'Expenditure Breakdown'!$H$6:$H$234, "&gt;="&amp;DU1,'Expenditure Breakdown'!$H$6:$H$234, "&lt;"&amp;DV1)</f>
        <v>0</v>
      </c>
      <c r="DV5" s="202">
        <f>SUMIFS('Expenditure Breakdown'!$G$6:$G$234, 'Expenditure Breakdown'!$H$6:$H$234, "&gt;="&amp;DV1,'Expenditure Breakdown'!$H$6:$H$234, "&lt;"&amp;DW1)</f>
        <v>0</v>
      </c>
      <c r="DW5" s="202">
        <f>SUMIFS('Expenditure Breakdown'!$G$6:$G$234, 'Expenditure Breakdown'!$H$6:$H$234, "&gt;="&amp;DW1,'Expenditure Breakdown'!$H$6:$H$234, "&lt;"&amp;DX1)</f>
        <v>0</v>
      </c>
      <c r="DX5" s="202">
        <f>SUMIFS('Expenditure Breakdown'!$G$6:$G$234, 'Expenditure Breakdown'!$H$6:$H$234, "&gt;="&amp;DX1,'Expenditure Breakdown'!$H$6:$H$234, "&lt;"&amp;DY1)</f>
        <v>0</v>
      </c>
      <c r="DY5" s="202">
        <f>SUMIFS('Expenditure Breakdown'!$G$6:$G$234, 'Expenditure Breakdown'!$H$6:$H$234, "&gt;="&amp;DY1,'Expenditure Breakdown'!$H$6:$H$234, "&lt;"&amp;DZ1)</f>
        <v>0</v>
      </c>
      <c r="DZ5" s="202">
        <f>SUMIFS('Expenditure Breakdown'!$G$6:$G$234, 'Expenditure Breakdown'!$H$6:$H$234, "&gt;="&amp;DZ1,'Expenditure Breakdown'!$H$6:$H$234, "&lt;"&amp;EA1)</f>
        <v>0</v>
      </c>
      <c r="EA5" s="202">
        <f>SUMIFS('Expenditure Breakdown'!$G$6:$G$234, 'Expenditure Breakdown'!$H$6:$H$234, "&gt;="&amp;EA1,'Expenditure Breakdown'!$H$6:$H$234, "&lt;"&amp;EB1)</f>
        <v>0</v>
      </c>
      <c r="EB5" s="202">
        <f>SUMIFS('Expenditure Breakdown'!$G$6:$G$234, 'Expenditure Breakdown'!$H$6:$H$234, "&gt;="&amp;EB1,'Expenditure Breakdown'!$H$6:$H$234, "&lt;"&amp;EC1)</f>
        <v>0</v>
      </c>
      <c r="EC5" s="202">
        <f>SUMIFS('Expenditure Breakdown'!$G$6:$G$234, 'Expenditure Breakdown'!$H$6:$H$234, "&gt;="&amp;EC1,'Expenditure Breakdown'!$H$6:$H$234, "&lt;"&amp;ED1)</f>
        <v>0</v>
      </c>
      <c r="ED5" s="202">
        <f>SUMIFS('Expenditure Breakdown'!$G$6:$G$234, 'Expenditure Breakdown'!$H$6:$H$234, "&gt;="&amp;ED1,'Expenditure Breakdown'!$H$6:$H$234, "&lt;"&amp;EE1)</f>
        <v>0</v>
      </c>
      <c r="EE5" s="202">
        <f>SUMIFS('Expenditure Breakdown'!$G$6:$G$234, 'Expenditure Breakdown'!$H$6:$H$234, "&gt;="&amp;EE1,'Expenditure Breakdown'!$H$6:$H$234, "&lt;"&amp;EF1)</f>
        <v>0</v>
      </c>
      <c r="EF5" s="202">
        <f>SUMIFS('Expenditure Breakdown'!$G$6:$G$234, 'Expenditure Breakdown'!$H$6:$H$234, "&gt;="&amp;EF1,'Expenditure Breakdown'!$H$6:$H$234, "&lt;"&amp;EG1)</f>
        <v>0</v>
      </c>
      <c r="EG5" s="202">
        <f>SUMIFS('Expenditure Breakdown'!$G$6:$G$234, 'Expenditure Breakdown'!$H$6:$H$234, "&gt;="&amp;EG1,'Expenditure Breakdown'!$H$6:$H$234, "&lt;"&amp;EH1)</f>
        <v>0</v>
      </c>
      <c r="EH5" s="202">
        <f>SUMIFS('Expenditure Breakdown'!$G$6:$G$234, 'Expenditure Breakdown'!$H$6:$H$234, "&gt;="&amp;EH1,'Expenditure Breakdown'!$H$6:$H$234, "&lt;"&amp;EI1)</f>
        <v>0</v>
      </c>
      <c r="EI5" s="202">
        <f>SUMIFS('Expenditure Breakdown'!$G$6:$G$234, 'Expenditure Breakdown'!$H$6:$H$234, "&gt;="&amp;EI1,'Expenditure Breakdown'!$H$6:$H$234, "&lt;"&amp;EJ1)</f>
        <v>0</v>
      </c>
      <c r="EJ5" s="202">
        <f>SUMIFS('Expenditure Breakdown'!$G$6:$G$234, 'Expenditure Breakdown'!$H$6:$H$234, "&gt;="&amp;EJ1,'Expenditure Breakdown'!$H$6:$H$234, "&lt;"&amp;EK1)</f>
        <v>0</v>
      </c>
      <c r="EK5" s="202">
        <f>SUMIFS('Expenditure Breakdown'!$G$6:$G$234, 'Expenditure Breakdown'!$H$6:$H$234, "&gt;="&amp;EK1,'Expenditure Breakdown'!$H$6:$H$234, "&lt;"&amp;EL1)</f>
        <v>0</v>
      </c>
      <c r="EL5" s="202">
        <f>SUMIFS('Expenditure Breakdown'!$G$6:$G$234, 'Expenditure Breakdown'!$H$6:$H$234, "&gt;="&amp;EL1,'Expenditure Breakdown'!$H$6:$H$234, "&lt;"&amp;EM1)</f>
        <v>0</v>
      </c>
      <c r="EM5" s="202">
        <f>SUMIFS('Expenditure Breakdown'!$G$6:$G$234, 'Expenditure Breakdown'!$H$6:$H$234, "&gt;="&amp;EM1,'Expenditure Breakdown'!$H$6:$H$234, "&lt;"&amp;EN1)</f>
        <v>0</v>
      </c>
      <c r="EN5" s="202">
        <f>SUMIFS('Expenditure Breakdown'!$G$6:$G$234, 'Expenditure Breakdown'!$H$6:$H$234, "&gt;="&amp;EN1,'Expenditure Breakdown'!$H$6:$H$234, "&lt;"&amp;EO1)</f>
        <v>0</v>
      </c>
      <c r="EO5" s="202">
        <f>SUMIFS('Expenditure Breakdown'!$G$6:$G$234, 'Expenditure Breakdown'!$H$6:$H$234, "&gt;="&amp;EO1,'Expenditure Breakdown'!$H$6:$H$234, "&lt;"&amp;EP1)</f>
        <v>0</v>
      </c>
      <c r="EP5" s="202">
        <f>SUMIFS('Expenditure Breakdown'!$G$6:$G$234, 'Expenditure Breakdown'!$H$6:$H$234, "&gt;="&amp;EP1,'Expenditure Breakdown'!$H$6:$H$234, "&lt;"&amp;EQ1)</f>
        <v>0</v>
      </c>
      <c r="EQ5" s="202">
        <f>SUMIFS('Expenditure Breakdown'!$G$6:$G$234, 'Expenditure Breakdown'!$H$6:$H$234, "&gt;="&amp;EQ1,'Expenditure Breakdown'!$H$6:$H$234, "&lt;"&amp;ER1)</f>
        <v>0</v>
      </c>
      <c r="ER5" s="202">
        <f>SUMIFS('Expenditure Breakdown'!$G$6:$G$234, 'Expenditure Breakdown'!$H$6:$H$234, "&gt;="&amp;ER1,'Expenditure Breakdown'!$H$6:$H$234, "&lt;"&amp;ES1)</f>
        <v>0</v>
      </c>
      <c r="ES5" s="202">
        <f>SUMIFS('Expenditure Breakdown'!$G$6:$G$234, 'Expenditure Breakdown'!$H$6:$H$234, "&gt;="&amp;ES1,'Expenditure Breakdown'!$H$6:$H$234, "&lt;"&amp;ET1)</f>
        <v>0</v>
      </c>
      <c r="ET5" s="202">
        <f>SUMIFS('Expenditure Breakdown'!$G$6:$G$234, 'Expenditure Breakdown'!$H$6:$H$234, "&gt;="&amp;ET1,'Expenditure Breakdown'!$H$6:$H$234, "&lt;"&amp;EU1)</f>
        <v>0</v>
      </c>
      <c r="EU5" s="202">
        <f>SUMIFS('Expenditure Breakdown'!$G$6:$G$234, 'Expenditure Breakdown'!$H$6:$H$234, "&gt;="&amp;EU1,'Expenditure Breakdown'!$H$6:$H$234, "&lt;"&amp;EV1)</f>
        <v>0</v>
      </c>
      <c r="EV5" s="202">
        <f>SUMIFS('Expenditure Breakdown'!$G$6:$G$234, 'Expenditure Breakdown'!$H$6:$H$234, "&gt;="&amp;EV1,'Expenditure Breakdown'!$H$6:$H$234, "&lt;"&amp;EW1)</f>
        <v>0</v>
      </c>
      <c r="EW5" s="202">
        <f>SUMIFS('Expenditure Breakdown'!$G$6:$G$234, 'Expenditure Breakdown'!$H$6:$H$234, "&gt;="&amp;EW1,'Expenditure Breakdown'!$H$6:$H$234, "&lt;"&amp;EX1)</f>
        <v>0</v>
      </c>
      <c r="EX5" s="202">
        <f>SUMIFS('Expenditure Breakdown'!$G$6:$G$234, 'Expenditure Breakdown'!$H$6:$H$234, "&gt;="&amp;EX1,'Expenditure Breakdown'!$H$6:$H$234, "&lt;"&amp;EY1)</f>
        <v>0</v>
      </c>
      <c r="EY5" s="202">
        <f>SUMIFS('Expenditure Breakdown'!$G$6:$G$234, 'Expenditure Breakdown'!$H$6:$H$234, "&gt;="&amp;EY1,'Expenditure Breakdown'!$H$6:$H$234, "&lt;"&amp;EZ1)</f>
        <v>0</v>
      </c>
      <c r="EZ5" s="202">
        <f>SUMIFS('Expenditure Breakdown'!$G$6:$G$234, 'Expenditure Breakdown'!$H$6:$H$234, "&gt;="&amp;EZ1,'Expenditure Breakdown'!$H$6:$H$234, "&lt;"&amp;FA1)</f>
        <v>0</v>
      </c>
      <c r="FA5" s="202">
        <f>SUMIFS('Expenditure Breakdown'!$G$6:$G$234, 'Expenditure Breakdown'!$H$6:$H$234, "&gt;="&amp;FA1,'Expenditure Breakdown'!$H$6:$H$234, "&lt;"&amp;FB1)</f>
        <v>0</v>
      </c>
      <c r="FB5" s="202">
        <f>SUMIFS('Expenditure Breakdown'!$G$6:$G$234, 'Expenditure Breakdown'!$H$6:$H$234, "&gt;="&amp;FB1,'Expenditure Breakdown'!$H$6:$H$234, "&lt;"&amp;FC1)</f>
        <v>0</v>
      </c>
      <c r="FC5" s="202">
        <f>SUMIFS('Expenditure Breakdown'!$G$6:$G$234, 'Expenditure Breakdown'!$H$6:$H$234, "&gt;="&amp;FC1,'Expenditure Breakdown'!$H$6:$H$234, "&lt;"&amp;FD1)</f>
        <v>0</v>
      </c>
      <c r="FD5" s="202">
        <f>SUMIFS('Expenditure Breakdown'!$G$6:$G$234, 'Expenditure Breakdown'!$H$6:$H$234, "&gt;="&amp;FD1,'Expenditure Breakdown'!$H$6:$H$234, "&lt;"&amp;FE1)</f>
        <v>0</v>
      </c>
      <c r="FE5" s="202">
        <f>SUMIFS('Expenditure Breakdown'!$G$6:$G$234, 'Expenditure Breakdown'!$H$6:$H$234, "&gt;="&amp;FE1,'Expenditure Breakdown'!$H$6:$H$234, "&lt;"&amp;FF1)</f>
        <v>0</v>
      </c>
      <c r="FF5" s="202">
        <f>SUMIFS('Expenditure Breakdown'!$G$6:$G$234, 'Expenditure Breakdown'!$H$6:$H$234, "&gt;="&amp;FF1,'Expenditure Breakdown'!$H$6:$H$234, "&lt;"&amp;FG1)</f>
        <v>0</v>
      </c>
      <c r="FG5" s="202">
        <f>SUMIFS('Expenditure Breakdown'!$G$6:$G$234, 'Expenditure Breakdown'!$H$6:$H$234, "&gt;="&amp;FG1,'Expenditure Breakdown'!$H$6:$H$234, "&lt;"&amp;FH1)</f>
        <v>0</v>
      </c>
      <c r="FH5" s="202">
        <f>SUMIFS('Expenditure Breakdown'!$G$6:$G$234, 'Expenditure Breakdown'!$H$6:$H$234, "&gt;="&amp;FH1,'Expenditure Breakdown'!$H$6:$H$234, "&lt;"&amp;FI1)</f>
        <v>0</v>
      </c>
      <c r="FI5" s="202">
        <f>SUMIFS('Expenditure Breakdown'!$G$6:$G$234, 'Expenditure Breakdown'!$H$6:$H$234, "&gt;="&amp;FI1,'Expenditure Breakdown'!$H$6:$H$234, "&lt;"&amp;FJ1)</f>
        <v>0</v>
      </c>
      <c r="FJ5" s="202">
        <f>SUMIFS('Expenditure Breakdown'!$G$6:$G$234, 'Expenditure Breakdown'!$H$6:$H$234, "&gt;="&amp;FJ1,'Expenditure Breakdown'!$H$6:$H$234, "&lt;"&amp;FK1)</f>
        <v>0</v>
      </c>
      <c r="FK5" s="202">
        <f>SUMIFS('Expenditure Breakdown'!$G$6:$G$234, 'Expenditure Breakdown'!$H$6:$H$234, "&gt;="&amp;FK1,'Expenditure Breakdown'!$H$6:$H$234, "&lt;"&amp;FL1)</f>
        <v>0</v>
      </c>
      <c r="FL5" s="202">
        <f>SUMIFS('Expenditure Breakdown'!$G$6:$G$234, 'Expenditure Breakdown'!$H$6:$H$234, "&gt;="&amp;FL1,'Expenditure Breakdown'!$H$6:$H$234, "&lt;"&amp;FM1)</f>
        <v>0</v>
      </c>
      <c r="FM5" s="202">
        <f>SUMIFS('Expenditure Breakdown'!$G$6:$G$234, 'Expenditure Breakdown'!$H$6:$H$234, "&gt;="&amp;FM1,'Expenditure Breakdown'!$H$6:$H$234, "&lt;"&amp;FN1)</f>
        <v>0</v>
      </c>
      <c r="FN5" s="202">
        <f>SUMIFS('Expenditure Breakdown'!$G$6:$G$234, 'Expenditure Breakdown'!$H$6:$H$234, "&gt;="&amp;FN1,'Expenditure Breakdown'!$H$6:$H$234, "&lt;"&amp;FO1)</f>
        <v>0</v>
      </c>
      <c r="FO5" s="202">
        <f>SUMIFS('Expenditure Breakdown'!$G$6:$G$234, 'Expenditure Breakdown'!$H$6:$H$234, "&gt;="&amp;FO1,'Expenditure Breakdown'!$H$6:$H$234, "&lt;"&amp;FP1)</f>
        <v>0</v>
      </c>
      <c r="FP5" s="202">
        <f>SUMIFS('Expenditure Breakdown'!$G$6:$G$234, 'Expenditure Breakdown'!$H$6:$H$234, "&gt;="&amp;FP1,'Expenditure Breakdown'!$H$6:$H$234, "&lt;"&amp;FQ1)</f>
        <v>0</v>
      </c>
      <c r="FQ5" s="202">
        <f>SUMIFS('Expenditure Breakdown'!$G$6:$G$234, 'Expenditure Breakdown'!$H$6:$H$234, "&gt;="&amp;FQ1,'Expenditure Breakdown'!$H$6:$H$234, "&lt;"&amp;FR1)</f>
        <v>0</v>
      </c>
      <c r="FR5" s="202">
        <f>SUMIFS('Expenditure Breakdown'!$G$6:$G$234, 'Expenditure Breakdown'!$H$6:$H$234, "&gt;="&amp;FR1,'Expenditure Breakdown'!$H$6:$H$234, "&lt;"&amp;FS1)</f>
        <v>0</v>
      </c>
      <c r="FS5" s="202">
        <f>SUMIFS('Expenditure Breakdown'!$G$6:$G$234, 'Expenditure Breakdown'!$H$6:$H$234, "&gt;="&amp;FS1,'Expenditure Breakdown'!$H$6:$H$234, "&lt;"&amp;FT1)</f>
        <v>0</v>
      </c>
      <c r="FT5" s="202">
        <f>SUMIFS('Expenditure Breakdown'!$G$6:$G$234, 'Expenditure Breakdown'!$H$6:$H$234, "&gt;="&amp;FT1,'Expenditure Breakdown'!$H$6:$H$234, "&lt;"&amp;FU1)</f>
        <v>0</v>
      </c>
      <c r="FU5" s="202">
        <f>SUMIFS('Expenditure Breakdown'!$G$6:$G$234, 'Expenditure Breakdown'!$H$6:$H$234, "&gt;="&amp;FU1,'Expenditure Breakdown'!$H$6:$H$234, "&lt;"&amp;FV1)</f>
        <v>0</v>
      </c>
      <c r="FV5" s="202">
        <f>SUMIFS('Expenditure Breakdown'!$G$6:$G$234, 'Expenditure Breakdown'!$H$6:$H$234, "&gt;="&amp;FV1,'Expenditure Breakdown'!$H$6:$H$234, "&lt;"&amp;FW1)</f>
        <v>0</v>
      </c>
      <c r="FW5" s="202">
        <f>SUMIFS('Expenditure Breakdown'!$G$6:$G$234, 'Expenditure Breakdown'!$H$6:$H$234, "&gt;="&amp;FW1,'Expenditure Breakdown'!$H$6:$H$234, "&lt;"&amp;FX1)</f>
        <v>0</v>
      </c>
      <c r="FX5" s="202">
        <f>SUMIFS('Expenditure Breakdown'!$G$6:$G$234, 'Expenditure Breakdown'!$H$6:$H$234, "&gt;="&amp;FX1,'Expenditure Breakdown'!$H$6:$H$234, "&lt;"&amp;FY1)</f>
        <v>0</v>
      </c>
      <c r="FY5" s="202">
        <f>SUMIFS('Expenditure Breakdown'!$G$6:$G$234, 'Expenditure Breakdown'!$H$6:$H$234, "&gt;="&amp;FY1,'Expenditure Breakdown'!$H$6:$H$234, "&lt;"&amp;FZ1)</f>
        <v>0</v>
      </c>
      <c r="FZ5" s="202">
        <f>SUMIFS('Expenditure Breakdown'!$G$6:$G$234, 'Expenditure Breakdown'!$H$6:$H$234, "&gt;="&amp;FZ1,'Expenditure Breakdown'!$H$6:$H$234, "&lt;"&amp;GA1)</f>
        <v>0</v>
      </c>
      <c r="GA5" s="202">
        <f>SUMIFS('Expenditure Breakdown'!$G$6:$G$234, 'Expenditure Breakdown'!$H$6:$H$234, "&gt;="&amp;GA1,'Expenditure Breakdown'!$H$6:$H$234, "&lt;"&amp;GB1)</f>
        <v>0</v>
      </c>
      <c r="GB5" s="202">
        <f>SUMIFS('Expenditure Breakdown'!$G$6:$G$234, 'Expenditure Breakdown'!$H$6:$H$234, "&gt;="&amp;GB1,'Expenditure Breakdown'!$H$6:$H$234, "&lt;"&amp;GC1)</f>
        <v>0</v>
      </c>
      <c r="GC5" s="202">
        <f>SUMIFS('Expenditure Breakdown'!$G$6:$G$234, 'Expenditure Breakdown'!$H$6:$H$234, "&gt;="&amp;GC1,'Expenditure Breakdown'!$H$6:$H$234, "&lt;"&amp;GD1)</f>
        <v>0</v>
      </c>
      <c r="GD5" s="202">
        <f>SUMIFS('Expenditure Breakdown'!$G$6:$G$234, 'Expenditure Breakdown'!$H$6:$H$234, "&gt;="&amp;GD1,'Expenditure Breakdown'!$H$6:$H$234, "&lt;"&amp;GE1)</f>
        <v>0</v>
      </c>
      <c r="GE5" s="202">
        <f>SUMIFS('Expenditure Breakdown'!$G$6:$G$234, 'Expenditure Breakdown'!$H$6:$H$234, "&gt;="&amp;GE1,'Expenditure Breakdown'!$H$6:$H$234, "&lt;"&amp;GF1)</f>
        <v>0</v>
      </c>
      <c r="GF5" s="202">
        <f>SUMIFS('Expenditure Breakdown'!$G$6:$G$234, 'Expenditure Breakdown'!$H$6:$H$234, "&gt;="&amp;GF1,'Expenditure Breakdown'!$H$6:$H$234, "&lt;"&amp;GG1)</f>
        <v>0</v>
      </c>
      <c r="GG5" s="202">
        <f>SUMIFS('Expenditure Breakdown'!$G$6:$G$234, 'Expenditure Breakdown'!$H$6:$H$234, "&gt;="&amp;GG1,'Expenditure Breakdown'!$H$6:$H$234, "&lt;"&amp;GH1)</f>
        <v>0</v>
      </c>
      <c r="GH5" s="202">
        <f>SUMIFS('Expenditure Breakdown'!$G$6:$G$234, 'Expenditure Breakdown'!$H$6:$H$234, "&gt;="&amp;GH1,'Expenditure Breakdown'!$H$6:$H$234, "&lt;"&amp;GI1)</f>
        <v>0</v>
      </c>
      <c r="GI5" s="202">
        <f>SUMIFS('Expenditure Breakdown'!$G$6:$G$234, 'Expenditure Breakdown'!$H$6:$H$234, "&gt;="&amp;GI1,'Expenditure Breakdown'!$H$6:$H$234, "&lt;"&amp;GJ1)</f>
        <v>0</v>
      </c>
      <c r="GJ5" s="202">
        <f>SUMIFS('Expenditure Breakdown'!$G$6:$G$234, 'Expenditure Breakdown'!$H$6:$H$234, "&gt;="&amp;GJ1,'Expenditure Breakdown'!$H$6:$H$234, "&lt;"&amp;GK1)</f>
        <v>0</v>
      </c>
      <c r="GK5" s="202">
        <f>SUMIFS('Expenditure Breakdown'!$G$6:$G$234, 'Expenditure Breakdown'!$H$6:$H$234, "&gt;="&amp;GK1,'Expenditure Breakdown'!$H$6:$H$234, "&lt;"&amp;GL1)</f>
        <v>0</v>
      </c>
      <c r="GL5" s="202">
        <f>SUMIFS('Expenditure Breakdown'!$G$6:$G$234, 'Expenditure Breakdown'!$H$6:$H$234, "&gt;="&amp;GL1,'Expenditure Breakdown'!$H$6:$H$234, "&lt;"&amp;GM1)</f>
        <v>0</v>
      </c>
      <c r="GM5" s="202">
        <f>SUMIFS('Expenditure Breakdown'!$G$6:$G$234, 'Expenditure Breakdown'!$H$6:$H$234, "&gt;="&amp;GM1,'Expenditure Breakdown'!$H$6:$H$234, "&lt;"&amp;GN1)</f>
        <v>0</v>
      </c>
      <c r="GN5" s="202">
        <f>SUMIFS('Expenditure Breakdown'!$G$6:$G$234, 'Expenditure Breakdown'!$H$6:$H$234, "&gt;="&amp;GN1,'Expenditure Breakdown'!$H$6:$H$234, "&lt;"&amp;GO1)</f>
        <v>0</v>
      </c>
      <c r="GO5" s="202">
        <f>SUMIFS('Expenditure Breakdown'!$G$6:$G$234, 'Expenditure Breakdown'!$H$6:$H$234, "&gt;="&amp;GO1,'Expenditure Breakdown'!$H$6:$H$234, "&lt;"&amp;GP1)</f>
        <v>0</v>
      </c>
      <c r="GP5" s="202">
        <f>SUMIFS('Expenditure Breakdown'!$G$6:$G$234, 'Expenditure Breakdown'!$H$6:$H$234, "&gt;="&amp;GP1,'Expenditure Breakdown'!$H$6:$H$234, "&lt;"&amp;GQ1)</f>
        <v>0</v>
      </c>
      <c r="GQ5" s="202">
        <f>SUMIFS('Expenditure Breakdown'!$G$6:$G$234, 'Expenditure Breakdown'!$H$6:$H$234, "&gt;="&amp;GQ1,'Expenditure Breakdown'!$H$6:$H$234, "&lt;"&amp;GR1)</f>
        <v>0</v>
      </c>
      <c r="GR5" s="202">
        <f>SUMIFS('Expenditure Breakdown'!$G$6:$G$234, 'Expenditure Breakdown'!$H$6:$H$234, "&gt;="&amp;GR1,'Expenditure Breakdown'!$H$6:$H$234, "&lt;"&amp;GS1)</f>
        <v>0</v>
      </c>
      <c r="GS5" s="202">
        <f>SUMIFS('Expenditure Breakdown'!$G$6:$G$234, 'Expenditure Breakdown'!$H$6:$H$234, "&gt;="&amp;GS1,'Expenditure Breakdown'!$H$6:$H$234, "&lt;"&amp;GT1)</f>
        <v>0</v>
      </c>
      <c r="GT5" s="202">
        <f>SUMIFS('Expenditure Breakdown'!$G$6:$G$234, 'Expenditure Breakdown'!$H$6:$H$234, "&gt;="&amp;GT1,'Expenditure Breakdown'!$H$6:$H$234, "&lt;"&amp;GU1)</f>
        <v>0</v>
      </c>
      <c r="GU5" s="202">
        <f>SUMIFS('Expenditure Breakdown'!$G$6:$G$234, 'Expenditure Breakdown'!$H$6:$H$234, "&gt;="&amp;GU1,'Expenditure Breakdown'!$H$6:$H$234, "&lt;"&amp;GV1)</f>
        <v>0</v>
      </c>
      <c r="GV5" s="202">
        <f>SUMIFS('Expenditure Breakdown'!$G$6:$G$234, 'Expenditure Breakdown'!$H$6:$H$234, "&gt;="&amp;GV1,'Expenditure Breakdown'!$H$6:$H$234, "&lt;"&amp;GW1)</f>
        <v>0</v>
      </c>
      <c r="GW5" s="202">
        <f>SUMIFS('Expenditure Breakdown'!$G$6:$G$234, 'Expenditure Breakdown'!$H$6:$H$234, "&gt;="&amp;GW1,'Expenditure Breakdown'!$H$6:$H$234, "&lt;"&amp;GX1)</f>
        <v>0</v>
      </c>
      <c r="GX5" s="202">
        <f>SUMIFS('Expenditure Breakdown'!$G$6:$G$234, 'Expenditure Breakdown'!$H$6:$H$234, "&gt;="&amp;GX1,'Expenditure Breakdown'!$H$6:$H$234, "&lt;"&amp;GY1)</f>
        <v>0</v>
      </c>
      <c r="GY5" s="202">
        <f>SUMIFS('Expenditure Breakdown'!$G$6:$G$234, 'Expenditure Breakdown'!$H$6:$H$234, "&gt;="&amp;GY1,'Expenditure Breakdown'!$H$6:$H$234, "&lt;"&amp;GZ1)</f>
        <v>0</v>
      </c>
      <c r="GZ5" s="202">
        <f>SUMIFS('Expenditure Breakdown'!$G$6:$G$234, 'Expenditure Breakdown'!$H$6:$H$234, "&gt;="&amp;GZ1,'Expenditure Breakdown'!$H$6:$H$234, "&lt;"&amp;HA1)</f>
        <v>0</v>
      </c>
      <c r="HA5" s="202">
        <f>SUMIFS('Expenditure Breakdown'!$G$6:$G$234, 'Expenditure Breakdown'!$H$6:$H$234, "&gt;="&amp;HA1,'Expenditure Breakdown'!$H$6:$H$234, "&lt;"&amp;HB1)</f>
        <v>0</v>
      </c>
      <c r="HB5" s="202">
        <f>SUMIFS('Expenditure Breakdown'!$G$6:$G$234, 'Expenditure Breakdown'!$H$6:$H$234, "&gt;="&amp;HB1,'Expenditure Breakdown'!$H$6:$H$234, "&lt;"&amp;HC1)</f>
        <v>0</v>
      </c>
      <c r="HC5" s="202">
        <f>SUMIFS('Expenditure Breakdown'!$G$6:$G$234, 'Expenditure Breakdown'!$H$6:$H$234, "&gt;="&amp;HC1,'Expenditure Breakdown'!$H$6:$H$234, "&lt;"&amp;HD1)</f>
        <v>0</v>
      </c>
      <c r="HD5" s="202">
        <f>SUMIFS('Expenditure Breakdown'!$G$6:$G$234, 'Expenditure Breakdown'!$H$6:$H$234, "&gt;="&amp;HD1,'Expenditure Breakdown'!$H$6:$H$234, "&lt;"&amp;HE1)</f>
        <v>0</v>
      </c>
      <c r="HE5" s="202">
        <f>SUMIFS('Expenditure Breakdown'!$G$6:$G$234, 'Expenditure Breakdown'!$H$6:$H$234, "&gt;="&amp;HE1,'Expenditure Breakdown'!$H$6:$H$234, "&lt;"&amp;HF1)</f>
        <v>0</v>
      </c>
      <c r="HF5" s="202">
        <f>SUMIFS('Expenditure Breakdown'!$G$6:$G$234, 'Expenditure Breakdown'!$H$6:$H$234, "&gt;="&amp;HF1,'Expenditure Breakdown'!$H$6:$H$234, "&lt;"&amp;HG1)</f>
        <v>0</v>
      </c>
      <c r="HG5" s="202">
        <f>SUMIFS('Expenditure Breakdown'!$G$6:$G$234, 'Expenditure Breakdown'!$H$6:$H$234, "&gt;="&amp;HG1,'Expenditure Breakdown'!$H$6:$H$234, "&lt;"&amp;HH1)</f>
        <v>0</v>
      </c>
      <c r="HH5" s="202">
        <f>SUMIFS('Expenditure Breakdown'!$G$6:$G$234, 'Expenditure Breakdown'!$H$6:$H$234, "&gt;="&amp;HH1,'Expenditure Breakdown'!$H$6:$H$234, "&lt;"&amp;HI1)</f>
        <v>0</v>
      </c>
      <c r="HI5" s="202">
        <f>SUMIFS('Expenditure Breakdown'!$G$6:$G$234, 'Expenditure Breakdown'!$H$6:$H$234, "&gt;="&amp;HI1,'Expenditure Breakdown'!$H$6:$H$234, "&lt;"&amp;HJ1)</f>
        <v>0</v>
      </c>
      <c r="HJ5" s="202">
        <f>SUMIFS('Expenditure Breakdown'!$G$6:$G$234, 'Expenditure Breakdown'!$H$6:$H$234, "&gt;="&amp;HJ1,'Expenditure Breakdown'!$H$6:$H$234, "&lt;"&amp;HK1)</f>
        <v>0</v>
      </c>
      <c r="HK5" s="202">
        <f>SUMIFS('Expenditure Breakdown'!$G$6:$G$234, 'Expenditure Breakdown'!$H$6:$H$234, "&gt;="&amp;HK1,'Expenditure Breakdown'!$H$6:$H$234, "&lt;"&amp;HL1)</f>
        <v>0</v>
      </c>
      <c r="HL5" s="202">
        <f>SUMIFS('Expenditure Breakdown'!$G$6:$G$234, 'Expenditure Breakdown'!$H$6:$H$234, "&gt;="&amp;HL1,'Expenditure Breakdown'!$H$6:$H$234, "&lt;"&amp;HM1)</f>
        <v>0</v>
      </c>
      <c r="HM5" s="202">
        <f>SUMIFS('Expenditure Breakdown'!$G$6:$G$234, 'Expenditure Breakdown'!$H$6:$H$234, "&gt;="&amp;HM1,'Expenditure Breakdown'!$H$6:$H$234, "&lt;"&amp;HN1)</f>
        <v>0</v>
      </c>
      <c r="HN5" s="202">
        <f>SUMIFS('Expenditure Breakdown'!$G$6:$G$234, 'Expenditure Breakdown'!$H$6:$H$234, "&gt;="&amp;HN1,'Expenditure Breakdown'!$H$6:$H$234, "&lt;"&amp;HO1)</f>
        <v>0</v>
      </c>
      <c r="HO5" s="202">
        <f>SUMIFS('Expenditure Breakdown'!$G$6:$G$234, 'Expenditure Breakdown'!$H$6:$H$234, "&gt;="&amp;HO1,'Expenditure Breakdown'!$H$6:$H$234, "&lt;"&amp;HP1)</f>
        <v>0</v>
      </c>
      <c r="HP5" s="202">
        <f>SUMIFS('Expenditure Breakdown'!$G$6:$G$234, 'Expenditure Breakdown'!$H$6:$H$234, "&gt;="&amp;HP1,'Expenditure Breakdown'!$H$6:$H$234, "&lt;"&amp;HQ1)</f>
        <v>0</v>
      </c>
      <c r="HQ5" s="202">
        <f>SUMIFS('Expenditure Breakdown'!$G$6:$G$234, 'Expenditure Breakdown'!$H$6:$H$234, "&gt;="&amp;HQ1,'Expenditure Breakdown'!$H$6:$H$234, "&lt;"&amp;HR1)</f>
        <v>0</v>
      </c>
      <c r="HR5" s="202">
        <f>SUMIFS('Expenditure Breakdown'!$G$6:$G$234, 'Expenditure Breakdown'!$H$6:$H$234, "&gt;="&amp;HR1,'Expenditure Breakdown'!$H$6:$H$234, "&lt;"&amp;HS1)</f>
        <v>0</v>
      </c>
      <c r="HS5" s="202">
        <f>SUMIFS('Expenditure Breakdown'!$G$6:$G$234, 'Expenditure Breakdown'!$H$6:$H$234, "&gt;="&amp;HS1,'Expenditure Breakdown'!$H$6:$H$234, "&lt;"&amp;HT1)</f>
        <v>0</v>
      </c>
      <c r="HT5" s="202">
        <f>SUMIFS('Expenditure Breakdown'!$G$6:$G$234, 'Expenditure Breakdown'!$H$6:$H$234, "&gt;="&amp;HT1,'Expenditure Breakdown'!$H$6:$H$234, "&lt;"&amp;HU1)</f>
        <v>0</v>
      </c>
      <c r="HU5" s="202">
        <f>SUMIFS('Expenditure Breakdown'!$G$6:$G$234, 'Expenditure Breakdown'!$H$6:$H$234, "&gt;="&amp;HU1,'Expenditure Breakdown'!$H$6:$H$234, "&lt;"&amp;HV1)</f>
        <v>0</v>
      </c>
      <c r="HV5" s="202">
        <f>SUMIFS('Expenditure Breakdown'!$G$6:$G$234, 'Expenditure Breakdown'!$H$6:$H$234, "&gt;="&amp;HV1,'Expenditure Breakdown'!$H$6:$H$234, "&lt;"&amp;HW1)</f>
        <v>0</v>
      </c>
      <c r="HW5" s="202">
        <f>SUMIFS('Expenditure Breakdown'!$G$6:$G$234, 'Expenditure Breakdown'!$H$6:$H$234, "&gt;="&amp;HW1,'Expenditure Breakdown'!$H$6:$H$234, "&lt;"&amp;HX1)</f>
        <v>0</v>
      </c>
      <c r="HX5" s="202">
        <f>SUMIFS('Expenditure Breakdown'!$G$6:$G$234, 'Expenditure Breakdown'!$H$6:$H$234, "&gt;="&amp;HX1,'Expenditure Breakdown'!$H$6:$H$234, "&lt;"&amp;HY1)</f>
        <v>0</v>
      </c>
      <c r="HY5" s="202">
        <f>SUMIFS('Expenditure Breakdown'!$G$6:$G$234, 'Expenditure Breakdown'!$H$6:$H$234, "&gt;="&amp;HY1,'Expenditure Breakdown'!$H$6:$H$234, "&lt;"&amp;HZ1)</f>
        <v>0</v>
      </c>
      <c r="HZ5" s="202">
        <f>SUMIFS('Expenditure Breakdown'!$G$6:$G$234, 'Expenditure Breakdown'!$H$6:$H$234, "&gt;="&amp;HZ1,'Expenditure Breakdown'!$H$6:$H$234, "&lt;"&amp;IA1)</f>
        <v>0</v>
      </c>
      <c r="IA5" s="202">
        <f>SUMIFS('Expenditure Breakdown'!$G$6:$G$234, 'Expenditure Breakdown'!$H$6:$H$234, "&gt;="&amp;IA1,'Expenditure Breakdown'!$H$6:$H$234, "&lt;"&amp;IB1)</f>
        <v>0</v>
      </c>
      <c r="IB5" s="202">
        <f>SUMIFS('Expenditure Breakdown'!$G$6:$G$234, 'Expenditure Breakdown'!$H$6:$H$234, "&gt;="&amp;IB1,'Expenditure Breakdown'!$H$6:$H$234, "&lt;"&amp;IC1)</f>
        <v>0</v>
      </c>
      <c r="IC5" s="202">
        <f>SUMIFS('Expenditure Breakdown'!$G$6:$G$234, 'Expenditure Breakdown'!$H$6:$H$234, "&gt;="&amp;IC1,'Expenditure Breakdown'!$H$6:$H$234, "&lt;"&amp;ID1)</f>
        <v>0</v>
      </c>
      <c r="ID5" s="202">
        <f>SUMIFS('Expenditure Breakdown'!$G$6:$G$234, 'Expenditure Breakdown'!$H$6:$H$234, "&gt;="&amp;ID1,'Expenditure Breakdown'!$H$6:$H$234, "&lt;"&amp;IE1)</f>
        <v>0</v>
      </c>
      <c r="IE5" s="202">
        <f>SUMIFS('Expenditure Breakdown'!$G$6:$G$234, 'Expenditure Breakdown'!$H$6:$H$234, "&gt;="&amp;IE1,'Expenditure Breakdown'!$H$6:$H$234, "&lt;"&amp;IF1)</f>
        <v>0</v>
      </c>
      <c r="IF5" s="202">
        <f>SUMIFS('Expenditure Breakdown'!$G$6:$G$234, 'Expenditure Breakdown'!$H$6:$H$234, "&gt;="&amp;IF1,'Expenditure Breakdown'!$H$6:$H$234, "&lt;"&amp;IG1)</f>
        <v>0</v>
      </c>
      <c r="IG5" s="202">
        <f>SUMIFS('Expenditure Breakdown'!$G$6:$G$234, 'Expenditure Breakdown'!$H$6:$H$234, "&gt;="&amp;IG1,'Expenditure Breakdown'!$H$6:$H$234, "&lt;"&amp;IH1)</f>
        <v>0</v>
      </c>
      <c r="IH5" s="202">
        <f>SUMIFS('Expenditure Breakdown'!$G$6:$G$234, 'Expenditure Breakdown'!$H$6:$H$234, "&gt;="&amp;IH1,'Expenditure Breakdown'!$H$6:$H$234, "&lt;"&amp;II1)</f>
        <v>0</v>
      </c>
      <c r="II5" s="202">
        <f>SUMIFS('Expenditure Breakdown'!$G$6:$G$234, 'Expenditure Breakdown'!$H$6:$H$234, "&gt;="&amp;II1,'Expenditure Breakdown'!$H$6:$H$234, "&lt;"&amp;IJ1)</f>
        <v>0</v>
      </c>
      <c r="IJ5" s="202">
        <f>SUMIFS('Expenditure Breakdown'!$G$6:$G$234, 'Expenditure Breakdown'!$H$6:$H$234, "&gt;="&amp;IJ1,'Expenditure Breakdown'!$H$6:$H$234, "&lt;"&amp;IK1)</f>
        <v>0</v>
      </c>
      <c r="IK5" s="202">
        <f>SUMIFS('Expenditure Breakdown'!$G$6:$G$234, 'Expenditure Breakdown'!$H$6:$H$234, "&gt;="&amp;IK1,'Expenditure Breakdown'!$H$6:$H$234, "&lt;"&amp;IL1)</f>
        <v>0</v>
      </c>
      <c r="IL5" s="202">
        <f>SUMIFS('Expenditure Breakdown'!$G$6:$G$234, 'Expenditure Breakdown'!$H$6:$H$234, "&gt;="&amp;IL1,'Expenditure Breakdown'!$H$6:$H$234, "&lt;"&amp;IM1)</f>
        <v>0</v>
      </c>
      <c r="IM5" s="202">
        <f>SUMIFS('Expenditure Breakdown'!$G$6:$G$234, 'Expenditure Breakdown'!$H$6:$H$234, "&gt;="&amp;IM1,'Expenditure Breakdown'!$H$6:$H$234, "&lt;"&amp;IN1)</f>
        <v>0</v>
      </c>
      <c r="IN5" s="202">
        <f>SUMIFS('Expenditure Breakdown'!$G$6:$G$234, 'Expenditure Breakdown'!$H$6:$H$234, "&gt;="&amp;IN1,'Expenditure Breakdown'!$H$6:$H$234, "&lt;"&amp;IO1)</f>
        <v>0</v>
      </c>
      <c r="IO5" s="202">
        <f>SUMIFS('Expenditure Breakdown'!$G$6:$G$234, 'Expenditure Breakdown'!$H$6:$H$234, "&gt;="&amp;IO1,'Expenditure Breakdown'!$H$6:$H$234, "&lt;"&amp;IP1)</f>
        <v>0</v>
      </c>
      <c r="IP5" s="202">
        <f>SUMIFS('Expenditure Breakdown'!$G$6:$G$234, 'Expenditure Breakdown'!$H$6:$H$234, "&gt;="&amp;IP1,'Expenditure Breakdown'!$H$6:$H$234, "&lt;"&amp;IQ1)</f>
        <v>0</v>
      </c>
      <c r="IQ5" s="202">
        <f>SUMIFS('Expenditure Breakdown'!$G$6:$G$234, 'Expenditure Breakdown'!$H$6:$H$234, "&gt;="&amp;IQ1,'Expenditure Breakdown'!$H$6:$H$234, "&lt;"&amp;IR1)</f>
        <v>0</v>
      </c>
      <c r="IR5" s="202">
        <f>SUMIFS('Expenditure Breakdown'!$G$6:$G$234, 'Expenditure Breakdown'!$H$6:$H$234, "&gt;="&amp;IR1,'Expenditure Breakdown'!$H$6:$H$234, "&lt;"&amp;IS1)</f>
        <v>0</v>
      </c>
      <c r="IS5" s="202">
        <f>SUMIFS('Expenditure Breakdown'!$G$6:$G$234, 'Expenditure Breakdown'!$H$6:$H$234, "&gt;="&amp;IS1,'Expenditure Breakdown'!$H$6:$H$234, "&lt;"&amp;IT1)</f>
        <v>0</v>
      </c>
      <c r="IT5" s="202">
        <f>SUMIFS('Expenditure Breakdown'!$G$6:$G$234, 'Expenditure Breakdown'!$H$6:$H$234, "&gt;="&amp;IT1,'Expenditure Breakdown'!$H$6:$H$234, "&lt;"&amp;IU1)</f>
        <v>0</v>
      </c>
      <c r="IU5" s="202">
        <f>SUMIFS('Expenditure Breakdown'!$G$6:$G$234, 'Expenditure Breakdown'!$H$6:$H$234, "&gt;="&amp;IU1,'Expenditure Breakdown'!$H$6:$H$234, "&lt;"&amp;IV1)</f>
        <v>0</v>
      </c>
      <c r="IV5" s="202">
        <f>SUMIFS('Expenditure Breakdown'!$G$6:$G$234, 'Expenditure Breakdown'!$H$6:$H$234, "&gt;="&amp;IV1,'Expenditure Breakdown'!$H$6:$H$234, "&lt;"&amp;IW1)</f>
        <v>0</v>
      </c>
      <c r="IW5" s="202">
        <f>SUMIFS('Expenditure Breakdown'!$G$6:$G$234, 'Expenditure Breakdown'!$H$6:$H$234, "&gt;="&amp;IW1,'Expenditure Breakdown'!$H$6:$H$234, "&lt;"&amp;IX1)</f>
        <v>0</v>
      </c>
      <c r="IX5" s="202">
        <f>SUMIFS('Expenditure Breakdown'!$G$6:$G$234, 'Expenditure Breakdown'!$H$6:$H$234, "&gt;="&amp;IX1,'Expenditure Breakdown'!$H$6:$H$234, "&lt;"&amp;IY1)</f>
        <v>0</v>
      </c>
      <c r="IY5" s="202">
        <f>SUMIFS('Expenditure Breakdown'!$G$6:$G$234, 'Expenditure Breakdown'!$H$6:$H$234, "&gt;="&amp;IY1,'Expenditure Breakdown'!$H$6:$H$234, "&lt;"&amp;IZ1)</f>
        <v>0</v>
      </c>
      <c r="IZ5" s="202">
        <f>SUMIFS('Expenditure Breakdown'!$G$6:$G$234, 'Expenditure Breakdown'!$H$6:$H$234, "&gt;="&amp;IZ1,'Expenditure Breakdown'!$H$6:$H$234, "&lt;"&amp;JA1)</f>
        <v>0</v>
      </c>
      <c r="JA5" s="202">
        <f>SUMIFS('Expenditure Breakdown'!$G$6:$G$234, 'Expenditure Breakdown'!$H$6:$H$234, "&gt;="&amp;JA1,'Expenditure Breakdown'!$H$6:$H$234, "&lt;"&amp;JB1)</f>
        <v>0</v>
      </c>
      <c r="JB5" s="202">
        <f>SUMIFS('Expenditure Breakdown'!$G$6:$G$234, 'Expenditure Breakdown'!$H$6:$H$234, "&gt;="&amp;JB1,'Expenditure Breakdown'!$H$6:$H$234, "&lt;"&amp;JC1)</f>
        <v>0</v>
      </c>
      <c r="JC5" s="202">
        <f>SUMIFS('Expenditure Breakdown'!$G$6:$G$234, 'Expenditure Breakdown'!$H$6:$H$234, "&gt;="&amp;JC1,'Expenditure Breakdown'!$H$6:$H$234, "&lt;"&amp;JD1)</f>
        <v>0</v>
      </c>
      <c r="JD5" s="202">
        <f>SUMIFS('Expenditure Breakdown'!$G$6:$G$234, 'Expenditure Breakdown'!$H$6:$H$234, "&gt;="&amp;JD1,'Expenditure Breakdown'!$H$6:$H$234, "&lt;"&amp;JE1)</f>
        <v>0</v>
      </c>
      <c r="JE5" s="202">
        <f>SUMIFS('Expenditure Breakdown'!$G$6:$G$234, 'Expenditure Breakdown'!$H$6:$H$234, "&gt;="&amp;JE1,'Expenditure Breakdown'!$H$6:$H$234, "&lt;"&amp;JF1)</f>
        <v>0</v>
      </c>
      <c r="JF5" s="202">
        <f>SUMIFS('Expenditure Breakdown'!$G$6:$G$234, 'Expenditure Breakdown'!$H$6:$H$234, "&gt;="&amp;JF1,'Expenditure Breakdown'!$H$6:$H$234, "&lt;"&amp;JG1)</f>
        <v>0</v>
      </c>
      <c r="JG5" s="202">
        <f>SUMIFS('Expenditure Breakdown'!$G$6:$G$234, 'Expenditure Breakdown'!$H$6:$H$234, "&gt;="&amp;JG1,'Expenditure Breakdown'!$H$6:$H$234, "&lt;"&amp;JH1)</f>
        <v>0</v>
      </c>
      <c r="JH5" s="202">
        <f>SUMIFS('Expenditure Breakdown'!$G$6:$G$234, 'Expenditure Breakdown'!$H$6:$H$234, "&gt;="&amp;JH1,'Expenditure Breakdown'!$H$6:$H$234, "&lt;"&amp;JI1)</f>
        <v>0</v>
      </c>
      <c r="JI5" s="202">
        <f>SUMIFS('Expenditure Breakdown'!$G$6:$G$234, 'Expenditure Breakdown'!$H$6:$H$234, "&gt;="&amp;JI1,'Expenditure Breakdown'!$H$6:$H$234, "&lt;"&amp;JJ1)</f>
        <v>0</v>
      </c>
      <c r="JJ5" s="202">
        <f>SUMIFS('Expenditure Breakdown'!$G$6:$G$234, 'Expenditure Breakdown'!$H$6:$H$234, "&gt;="&amp;JJ1,'Expenditure Breakdown'!$H$6:$H$234, "&lt;"&amp;JK1)</f>
        <v>0</v>
      </c>
      <c r="JK5" s="202">
        <f>SUMIFS('Expenditure Breakdown'!$G$6:$G$234, 'Expenditure Breakdown'!$H$6:$H$234, "&gt;="&amp;JK1,'Expenditure Breakdown'!$H$6:$H$234, "&lt;"&amp;JL1)</f>
        <v>0</v>
      </c>
      <c r="JL5" s="202">
        <f>SUMIFS('Expenditure Breakdown'!$G$6:$G$234, 'Expenditure Breakdown'!$H$6:$H$234, "&gt;="&amp;JL1,'Expenditure Breakdown'!$H$6:$H$234, "&lt;"&amp;JM1)</f>
        <v>0</v>
      </c>
      <c r="JM5" s="202">
        <f>SUMIFS('Expenditure Breakdown'!$G$6:$G$234, 'Expenditure Breakdown'!$H$6:$H$234, "&gt;="&amp;JM1,'Expenditure Breakdown'!$H$6:$H$234, "&lt;"&amp;JN1)</f>
        <v>0</v>
      </c>
      <c r="JN5" s="202">
        <f>SUMIFS('Expenditure Breakdown'!$G$6:$G$234, 'Expenditure Breakdown'!$H$6:$H$234, "&gt;="&amp;JN1,'Expenditure Breakdown'!$H$6:$H$234, "&lt;"&amp;JO1)</f>
        <v>0</v>
      </c>
      <c r="JO5" s="202">
        <f>SUMIFS('Expenditure Breakdown'!$G$6:$G$234, 'Expenditure Breakdown'!$H$6:$H$234, "&gt;="&amp;JO1,'Expenditure Breakdown'!$H$6:$H$234, "&lt;"&amp;JP1)</f>
        <v>0</v>
      </c>
      <c r="JP5" s="202">
        <f>SUMIFS('Expenditure Breakdown'!$G$6:$G$234, 'Expenditure Breakdown'!$H$6:$H$234, "&gt;="&amp;JP1,'Expenditure Breakdown'!$H$6:$H$234, "&lt;"&amp;JQ1)</f>
        <v>0</v>
      </c>
      <c r="JQ5" s="202">
        <f>SUMIFS('Expenditure Breakdown'!$G$6:$G$234, 'Expenditure Breakdown'!$H$6:$H$234, "&gt;="&amp;JQ1,'Expenditure Breakdown'!$H$6:$H$234, "&lt;"&amp;JR1)</f>
        <v>0</v>
      </c>
      <c r="JR5" s="202">
        <f>SUMIFS('Expenditure Breakdown'!$G$6:$G$234, 'Expenditure Breakdown'!$H$6:$H$234, "&gt;="&amp;JR1,'Expenditure Breakdown'!$H$6:$H$234, "&lt;"&amp;JS1)</f>
        <v>0</v>
      </c>
      <c r="JS5" s="202">
        <f>SUMIFS('Expenditure Breakdown'!$G$6:$G$234, 'Expenditure Breakdown'!$H$6:$H$234, "&gt;="&amp;JS1,'Expenditure Breakdown'!$H$6:$H$234, "&lt;"&amp;JT1)</f>
        <v>0</v>
      </c>
      <c r="JT5" s="202">
        <f>SUMIFS('Expenditure Breakdown'!$G$6:$G$234, 'Expenditure Breakdown'!$H$6:$H$234, "&gt;="&amp;JT1,'Expenditure Breakdown'!$H$6:$H$234, "&lt;"&amp;JU1)</f>
        <v>0</v>
      </c>
      <c r="JU5" s="202">
        <f>SUMIFS('Expenditure Breakdown'!$G$6:$G$234, 'Expenditure Breakdown'!$H$6:$H$234, "&gt;="&amp;JU1,'Expenditure Breakdown'!$H$6:$H$234, "&lt;"&amp;JV1)</f>
        <v>0</v>
      </c>
      <c r="JV5" s="202">
        <f>SUMIFS('Expenditure Breakdown'!$G$6:$G$234, 'Expenditure Breakdown'!$H$6:$H$234, "&gt;="&amp;JV1,'Expenditure Breakdown'!$H$6:$H$234, "&lt;"&amp;JW1)</f>
        <v>0</v>
      </c>
      <c r="JW5" s="202">
        <f>SUMIFS('Expenditure Breakdown'!$G$6:$G$234, 'Expenditure Breakdown'!$H$6:$H$234, "&gt;="&amp;JW1,'Expenditure Breakdown'!$H$6:$H$234, "&lt;"&amp;JX1)</f>
        <v>0</v>
      </c>
      <c r="JX5" s="202">
        <f>SUMIFS('Expenditure Breakdown'!$G$6:$G$234, 'Expenditure Breakdown'!$H$6:$H$234, "&gt;="&amp;JX1,'Expenditure Breakdown'!$H$6:$H$234, "&lt;"&amp;JY1)</f>
        <v>0</v>
      </c>
      <c r="JY5" s="202">
        <f>SUMIFS('Expenditure Breakdown'!$G$6:$G$234, 'Expenditure Breakdown'!$H$6:$H$234, "&gt;="&amp;JY1,'Expenditure Breakdown'!$H$6:$H$234, "&lt;"&amp;JZ1)</f>
        <v>0</v>
      </c>
      <c r="JZ5" s="202">
        <f>SUMIFS('Expenditure Breakdown'!$G$6:$G$234, 'Expenditure Breakdown'!$H$6:$H$234, "&gt;="&amp;JZ1,'Expenditure Breakdown'!$H$6:$H$234, "&lt;"&amp;KA1)</f>
        <v>0</v>
      </c>
      <c r="KA5" s="202">
        <f>SUMIFS('Expenditure Breakdown'!$G$6:$G$234, 'Expenditure Breakdown'!$H$6:$H$234, "&gt;="&amp;KA1,'Expenditure Breakdown'!$H$6:$H$234, "&lt;"&amp;KB1)</f>
        <v>0</v>
      </c>
      <c r="KB5" s="202">
        <f>SUMIFS('Expenditure Breakdown'!$G$6:$G$234, 'Expenditure Breakdown'!$H$6:$H$234, "&gt;="&amp;KB1,'Expenditure Breakdown'!$H$6:$H$234, "&lt;"&amp;KC1)</f>
        <v>0</v>
      </c>
      <c r="KC5" s="202">
        <f>SUMIFS('Expenditure Breakdown'!$G$6:$G$234, 'Expenditure Breakdown'!$H$6:$H$234, "&gt;="&amp;KC1,'Expenditure Breakdown'!$H$6:$H$234, "&lt;"&amp;KD1)</f>
        <v>0</v>
      </c>
      <c r="KD5" s="202">
        <f>SUMIFS('Expenditure Breakdown'!$G$6:$G$234, 'Expenditure Breakdown'!$H$6:$H$234, "&gt;="&amp;KD1,'Expenditure Breakdown'!$H$6:$H$234, "&lt;"&amp;KE1)</f>
        <v>0</v>
      </c>
      <c r="KE5" s="202">
        <f>SUMIFS('Expenditure Breakdown'!$G$6:$G$234, 'Expenditure Breakdown'!$H$6:$H$234, "&gt;="&amp;KE1,'Expenditure Breakdown'!$H$6:$H$234, "&lt;"&amp;KF1)</f>
        <v>0</v>
      </c>
      <c r="KF5" s="202">
        <f>SUMIFS('Expenditure Breakdown'!$G$6:$G$234, 'Expenditure Breakdown'!$H$6:$H$234, "&gt;="&amp;KF1,'Expenditure Breakdown'!$H$6:$H$234, "&lt;"&amp;KG1)</f>
        <v>0</v>
      </c>
      <c r="KG5" s="202">
        <f>SUMIFS('Expenditure Breakdown'!$G$6:$G$234, 'Expenditure Breakdown'!$H$6:$H$234, "&gt;="&amp;KG1,'Expenditure Breakdown'!$H$6:$H$234, "&lt;"&amp;KH1)</f>
        <v>0</v>
      </c>
      <c r="KH5" s="202">
        <f>SUMIFS('Expenditure Breakdown'!$G$6:$G$234, 'Expenditure Breakdown'!$H$6:$H$234, "&gt;="&amp;KH1,'Expenditure Breakdown'!$H$6:$H$234, "&lt;"&amp;KI1)</f>
        <v>0</v>
      </c>
      <c r="KI5" s="202">
        <f>SUMIFS('Expenditure Breakdown'!$G$6:$G$234, 'Expenditure Breakdown'!$H$6:$H$234, "&gt;="&amp;KI1,'Expenditure Breakdown'!$H$6:$H$234, "&lt;"&amp;KJ1)</f>
        <v>0</v>
      </c>
      <c r="KJ5" s="202">
        <f>SUMIFS('Expenditure Breakdown'!$G$6:$G$234, 'Expenditure Breakdown'!$H$6:$H$234, "&gt;="&amp;KJ1,'Expenditure Breakdown'!$H$6:$H$234, "&lt;"&amp;KK1)</f>
        <v>0</v>
      </c>
      <c r="KK5" s="202">
        <f>SUMIFS('Expenditure Breakdown'!$G$6:$G$234, 'Expenditure Breakdown'!$H$6:$H$234, "&gt;="&amp;KK1,'Expenditure Breakdown'!$H$6:$H$234, "&lt;"&amp;KL1)</f>
        <v>0</v>
      </c>
      <c r="KL5" s="202">
        <f>SUMIFS('Expenditure Breakdown'!$G$6:$G$234, 'Expenditure Breakdown'!$H$6:$H$234, "&gt;="&amp;KL1,'Expenditure Breakdown'!$H$6:$H$234, "&lt;"&amp;KM1)</f>
        <v>0</v>
      </c>
      <c r="KM5" s="202">
        <f>SUMIFS('Expenditure Breakdown'!$G$6:$G$234, 'Expenditure Breakdown'!$H$6:$H$234, "&gt;="&amp;KM1,'Expenditure Breakdown'!$H$6:$H$234, "&lt;"&amp;KN1)</f>
        <v>0</v>
      </c>
      <c r="KN5" s="202">
        <f>SUMIFS('Expenditure Breakdown'!$G$6:$G$234, 'Expenditure Breakdown'!$H$6:$H$234, "&gt;="&amp;KN1,'Expenditure Breakdown'!$H$6:$H$234, "&lt;"&amp;KO1)</f>
        <v>0</v>
      </c>
      <c r="KO5" s="202">
        <f>SUMIFS('Expenditure Breakdown'!$G$6:$G$234, 'Expenditure Breakdown'!$H$6:$H$234, "&gt;="&amp;KO1,'Expenditure Breakdown'!$H$6:$H$234, "&lt;"&amp;KP1)</f>
        <v>0</v>
      </c>
      <c r="KP5" s="202">
        <f>SUMIFS('Expenditure Breakdown'!$G$6:$G$234, 'Expenditure Breakdown'!$H$6:$H$234, "&gt;="&amp;KP1,'Expenditure Breakdown'!$H$6:$H$234, "&lt;"&amp;KQ1)</f>
        <v>0</v>
      </c>
      <c r="KQ5" s="202">
        <f>SUMIFS('Expenditure Breakdown'!$G$6:$G$234, 'Expenditure Breakdown'!$H$6:$H$234, "&gt;="&amp;KQ1,'Expenditure Breakdown'!$H$6:$H$234, "&lt;"&amp;KR1)</f>
        <v>0</v>
      </c>
      <c r="KR5" s="202">
        <f>SUMIFS('Expenditure Breakdown'!$G$6:$G$234, 'Expenditure Breakdown'!$H$6:$H$234, "&gt;="&amp;KR1,'Expenditure Breakdown'!$H$6:$H$234, "&lt;"&amp;KS1)</f>
        <v>0</v>
      </c>
      <c r="KS5" s="202">
        <f>SUMIFS('Expenditure Breakdown'!$G$6:$G$234, 'Expenditure Breakdown'!$H$6:$H$234, "&gt;="&amp;KS1,'Expenditure Breakdown'!$H$6:$H$234, "&lt;"&amp;KT1)</f>
        <v>0</v>
      </c>
      <c r="KT5" s="202">
        <f>SUMIFS('Expenditure Breakdown'!$G$6:$G$234, 'Expenditure Breakdown'!$H$6:$H$234, "&gt;="&amp;KT1,'Expenditure Breakdown'!$H$6:$H$234, "&lt;"&amp;KU1)</f>
        <v>0</v>
      </c>
      <c r="KU5" s="202">
        <f>SUMIFS('Expenditure Breakdown'!$G$6:$G$234, 'Expenditure Breakdown'!$H$6:$H$234, "&gt;="&amp;KU1,'Expenditure Breakdown'!$H$6:$H$234, "&lt;"&amp;KV1)</f>
        <v>0</v>
      </c>
      <c r="KV5" s="202">
        <f>SUMIFS('Expenditure Breakdown'!$G$6:$G$234, 'Expenditure Breakdown'!$H$6:$H$234, "&gt;="&amp;KV1,'Expenditure Breakdown'!$H$6:$H$234, "&lt;"&amp;KW1)</f>
        <v>0</v>
      </c>
      <c r="KW5" s="202">
        <f>SUMIFS('Expenditure Breakdown'!$G$6:$G$234, 'Expenditure Breakdown'!$H$6:$H$234, "&gt;="&amp;KW1,'Expenditure Breakdown'!$H$6:$H$234, "&lt;"&amp;KX1)</f>
        <v>0</v>
      </c>
      <c r="KX5" s="202">
        <f>SUMIFS('Expenditure Breakdown'!$G$6:$G$234, 'Expenditure Breakdown'!$H$6:$H$234, "&gt;="&amp;KX1,'Expenditure Breakdown'!$H$6:$H$234, "&lt;"&amp;KY1)</f>
        <v>0</v>
      </c>
      <c r="KY5" s="202">
        <f>SUMIFS('Expenditure Breakdown'!$G$6:$G$234, 'Expenditure Breakdown'!$H$6:$H$234, "&gt;="&amp;KY1,'Expenditure Breakdown'!$H$6:$H$234, "&lt;"&amp;KZ1)</f>
        <v>0</v>
      </c>
      <c r="KZ5" s="202">
        <f>SUMIFS('Expenditure Breakdown'!$G$6:$G$234, 'Expenditure Breakdown'!$H$6:$H$234, "&gt;="&amp;KZ1,'Expenditure Breakdown'!$H$6:$H$234, "&lt;"&amp;LA1)</f>
        <v>0</v>
      </c>
      <c r="LA5" s="202">
        <f>SUMIFS('Expenditure Breakdown'!$G$6:$G$234, 'Expenditure Breakdown'!$H$6:$H$234, "&gt;="&amp;LA1,'Expenditure Breakdown'!$H$6:$H$234, "&lt;"&amp;LB1)</f>
        <v>0</v>
      </c>
      <c r="LB5" s="202">
        <f>SUMIFS('Expenditure Breakdown'!$G$6:$G$234, 'Expenditure Breakdown'!$H$6:$H$234, "&gt;="&amp;LB1,'Expenditure Breakdown'!$H$6:$H$234, "&lt;"&amp;LC1)</f>
        <v>0</v>
      </c>
      <c r="LC5" s="202">
        <f>SUMIFS('Expenditure Breakdown'!$G$6:$G$234, 'Expenditure Breakdown'!$H$6:$H$234, "&gt;="&amp;LC1,'Expenditure Breakdown'!$H$6:$H$234, "&lt;"&amp;LD1)</f>
        <v>0</v>
      </c>
      <c r="LD5" s="202">
        <f>SUMIFS('Expenditure Breakdown'!$G$6:$G$234, 'Expenditure Breakdown'!$H$6:$H$234, "&gt;="&amp;LD1,'Expenditure Breakdown'!$H$6:$H$234, "&lt;"&amp;#REF!)</f>
        <v>0</v>
      </c>
      <c r="LE5" s="192"/>
      <c r="LF5" s="203"/>
      <c r="LG5" s="203"/>
    </row>
    <row r="6" spans="1:794" s="204" customFormat="1">
      <c r="A6" s="842"/>
      <c r="B6" s="200" t="s">
        <v>578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42"/>
      <c r="B7" s="205" t="s">
        <v>579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1455723.8389107157</v>
      </c>
      <c r="BL7" s="208">
        <f t="shared" si="16"/>
        <v>1455723.8389107157</v>
      </c>
      <c r="BM7" s="208">
        <f t="shared" si="16"/>
        <v>1455723.8389107157</v>
      </c>
      <c r="BN7" s="208">
        <f t="shared" si="16"/>
        <v>1455723.8389107157</v>
      </c>
      <c r="BO7" s="208">
        <f t="shared" si="16"/>
        <v>1455723.8389107157</v>
      </c>
      <c r="BP7" s="208">
        <f t="shared" si="16"/>
        <v>1455723.8389107157</v>
      </c>
      <c r="BQ7" s="208">
        <f t="shared" si="16"/>
        <v>1455723.8389107157</v>
      </c>
      <c r="BR7" s="208">
        <f t="shared" si="16"/>
        <v>1455723.8389107157</v>
      </c>
      <c r="BS7" s="208">
        <f t="shared" si="16"/>
        <v>1943485.8389107157</v>
      </c>
      <c r="BT7" s="208">
        <f t="shared" si="16"/>
        <v>1943485.8389107157</v>
      </c>
      <c r="BU7" s="208">
        <f t="shared" ref="BU7:EF7" si="17">BU4-BU6</f>
        <v>1943485.8389107157</v>
      </c>
      <c r="BV7" s="208">
        <f t="shared" si="17"/>
        <v>1943485.8389107157</v>
      </c>
      <c r="BW7" s="208">
        <f t="shared" si="17"/>
        <v>1943485.8389107157</v>
      </c>
      <c r="BX7" s="208">
        <f t="shared" si="17"/>
        <v>1943485.8389107157</v>
      </c>
      <c r="BY7" s="208">
        <f t="shared" si="17"/>
        <v>1943485.8389107157</v>
      </c>
      <c r="BZ7" s="208">
        <f t="shared" si="17"/>
        <v>1943485.8389107157</v>
      </c>
      <c r="CA7" s="208">
        <f t="shared" si="17"/>
        <v>1943485.8389107157</v>
      </c>
      <c r="CB7" s="208">
        <f t="shared" si="17"/>
        <v>1943485.8389107157</v>
      </c>
      <c r="CC7" s="208">
        <f t="shared" si="17"/>
        <v>1943485.8389107157</v>
      </c>
      <c r="CD7" s="208">
        <f t="shared" si="17"/>
        <v>1943485.8389107157</v>
      </c>
      <c r="CE7" s="208">
        <f t="shared" si="17"/>
        <v>1943485.8389107157</v>
      </c>
      <c r="CF7" s="208">
        <f t="shared" si="17"/>
        <v>1943485.8389107157</v>
      </c>
      <c r="CG7" s="208">
        <f t="shared" si="17"/>
        <v>1943485.8389107157</v>
      </c>
      <c r="CH7" s="208">
        <f t="shared" si="17"/>
        <v>1943485.8389107157</v>
      </c>
      <c r="CI7" s="208">
        <f t="shared" si="17"/>
        <v>1943485.8389107157</v>
      </c>
      <c r="CJ7" s="208">
        <f t="shared" si="17"/>
        <v>1943485.8389107157</v>
      </c>
      <c r="CK7" s="208">
        <f t="shared" si="17"/>
        <v>1943485.8389107157</v>
      </c>
      <c r="CL7" s="208">
        <f t="shared" si="17"/>
        <v>1943485.8389107157</v>
      </c>
      <c r="CM7" s="208">
        <f t="shared" si="17"/>
        <v>1943485.8389107157</v>
      </c>
      <c r="CN7" s="208">
        <f t="shared" si="17"/>
        <v>1943485.8389107157</v>
      </c>
      <c r="CO7" s="208">
        <f t="shared" si="17"/>
        <v>1943485.8389107157</v>
      </c>
      <c r="CP7" s="208">
        <f t="shared" si="17"/>
        <v>1943485.8389107157</v>
      </c>
      <c r="CQ7" s="208">
        <f t="shared" si="17"/>
        <v>1943485.8389107157</v>
      </c>
      <c r="CR7" s="208">
        <f t="shared" si="17"/>
        <v>1943485.8389107157</v>
      </c>
      <c r="CS7" s="208">
        <f t="shared" si="17"/>
        <v>1943485.8389107157</v>
      </c>
      <c r="CT7" s="208">
        <f t="shared" si="17"/>
        <v>1943485.8389107157</v>
      </c>
      <c r="CU7" s="208">
        <f t="shared" si="17"/>
        <v>1943485.8389107157</v>
      </c>
      <c r="CV7" s="208">
        <f t="shared" si="17"/>
        <v>1943485.8389107157</v>
      </c>
      <c r="CW7" s="208">
        <f t="shared" si="17"/>
        <v>1943485.8389107157</v>
      </c>
      <c r="CX7" s="208">
        <f t="shared" si="17"/>
        <v>1943485.8389107157</v>
      </c>
      <c r="CY7" s="208">
        <f t="shared" si="17"/>
        <v>1943485.8389107157</v>
      </c>
      <c r="CZ7" s="208">
        <f t="shared" si="17"/>
        <v>1943485.8389107157</v>
      </c>
      <c r="DA7" s="208">
        <f t="shared" si="17"/>
        <v>1943485.8389107157</v>
      </c>
      <c r="DB7" s="208">
        <f t="shared" si="17"/>
        <v>1943485.8389107157</v>
      </c>
      <c r="DC7" s="208">
        <f t="shared" si="17"/>
        <v>1943485.8389107157</v>
      </c>
      <c r="DD7" s="208">
        <f t="shared" si="17"/>
        <v>1943485.8389107157</v>
      </c>
      <c r="DE7" s="208">
        <f t="shared" si="17"/>
        <v>1943485.8389107157</v>
      </c>
      <c r="DF7" s="208">
        <f t="shared" si="17"/>
        <v>1943485.8389107157</v>
      </c>
      <c r="DG7" s="208">
        <f t="shared" si="17"/>
        <v>1943485.8389107157</v>
      </c>
      <c r="DH7" s="208">
        <f t="shared" si="17"/>
        <v>1943485.8389107157</v>
      </c>
      <c r="DI7" s="208">
        <f t="shared" si="17"/>
        <v>1943485.8389107157</v>
      </c>
      <c r="DJ7" s="208">
        <f t="shared" si="17"/>
        <v>1943485.8389107157</v>
      </c>
      <c r="DK7" s="208">
        <f t="shared" si="17"/>
        <v>1943485.8389107157</v>
      </c>
      <c r="DL7" s="208">
        <f t="shared" si="17"/>
        <v>1943485.8389107157</v>
      </c>
      <c r="DM7" s="208">
        <f t="shared" si="17"/>
        <v>1943485.8389107157</v>
      </c>
      <c r="DN7" s="208">
        <f t="shared" si="17"/>
        <v>1943485.8389107157</v>
      </c>
      <c r="DO7" s="208">
        <f t="shared" si="17"/>
        <v>1943485.8389107157</v>
      </c>
      <c r="DP7" s="208">
        <f t="shared" si="17"/>
        <v>1943485.8389107157</v>
      </c>
      <c r="DQ7" s="208">
        <f t="shared" si="17"/>
        <v>1943485.8389107157</v>
      </c>
      <c r="DR7" s="208">
        <f t="shared" si="17"/>
        <v>1943485.8389107157</v>
      </c>
      <c r="DS7" s="208">
        <f t="shared" si="17"/>
        <v>1943485.8389107157</v>
      </c>
      <c r="DT7" s="208">
        <f t="shared" si="17"/>
        <v>1943485.8389107157</v>
      </c>
      <c r="DU7" s="208">
        <f t="shared" si="17"/>
        <v>1943485.8389107157</v>
      </c>
      <c r="DV7" s="208">
        <f t="shared" si="17"/>
        <v>1943485.8389107157</v>
      </c>
      <c r="DW7" s="208">
        <f t="shared" si="17"/>
        <v>1943485.8389107157</v>
      </c>
      <c r="DX7" s="208">
        <f t="shared" si="17"/>
        <v>1943485.8389107157</v>
      </c>
      <c r="DY7" s="208">
        <f t="shared" si="17"/>
        <v>1943485.8389107157</v>
      </c>
      <c r="DZ7" s="208">
        <f t="shared" si="17"/>
        <v>1943485.8389107157</v>
      </c>
      <c r="EA7" s="208">
        <f t="shared" si="17"/>
        <v>1943485.8389107157</v>
      </c>
      <c r="EB7" s="208">
        <f t="shared" si="17"/>
        <v>1943485.8389107157</v>
      </c>
      <c r="EC7" s="208">
        <f t="shared" si="17"/>
        <v>1943485.8389107157</v>
      </c>
      <c r="ED7" s="208">
        <f t="shared" si="17"/>
        <v>1943485.8389107157</v>
      </c>
      <c r="EE7" s="208">
        <f t="shared" si="17"/>
        <v>1943485.8389107157</v>
      </c>
      <c r="EF7" s="208">
        <f t="shared" si="17"/>
        <v>1943485.8389107157</v>
      </c>
      <c r="EG7" s="208">
        <f t="shared" ref="EG7:GR7" si="18">EG4-EG6</f>
        <v>1943485.8389107157</v>
      </c>
      <c r="EH7" s="208">
        <f t="shared" si="18"/>
        <v>1943485.8389107157</v>
      </c>
      <c r="EI7" s="208">
        <f t="shared" si="18"/>
        <v>1943485.8389107157</v>
      </c>
      <c r="EJ7" s="208">
        <f t="shared" si="18"/>
        <v>1943485.8389107157</v>
      </c>
      <c r="EK7" s="208">
        <f t="shared" si="18"/>
        <v>1943485.8389107157</v>
      </c>
      <c r="EL7" s="208">
        <f t="shared" si="18"/>
        <v>1943485.8389107157</v>
      </c>
      <c r="EM7" s="208">
        <f t="shared" si="18"/>
        <v>1943485.8389107157</v>
      </c>
      <c r="EN7" s="208">
        <f t="shared" si="18"/>
        <v>1943485.8389107157</v>
      </c>
      <c r="EO7" s="208">
        <f t="shared" si="18"/>
        <v>1943485.8389107157</v>
      </c>
      <c r="EP7" s="208">
        <f t="shared" si="18"/>
        <v>1943485.8389107157</v>
      </c>
      <c r="EQ7" s="208">
        <f t="shared" si="18"/>
        <v>1943485.8389107157</v>
      </c>
      <c r="ER7" s="208">
        <f t="shared" si="18"/>
        <v>1943485.8389107157</v>
      </c>
      <c r="ES7" s="208">
        <f t="shared" si="18"/>
        <v>1943485.8389107157</v>
      </c>
      <c r="ET7" s="208">
        <f t="shared" si="18"/>
        <v>1943485.8389107157</v>
      </c>
      <c r="EU7" s="208">
        <f t="shared" si="18"/>
        <v>1943485.8389107157</v>
      </c>
      <c r="EV7" s="208">
        <f t="shared" si="18"/>
        <v>1943485.8389107157</v>
      </c>
      <c r="EW7" s="208">
        <f t="shared" si="18"/>
        <v>1943485.8389107157</v>
      </c>
      <c r="EX7" s="208">
        <f t="shared" si="18"/>
        <v>1943485.8389107157</v>
      </c>
      <c r="EY7" s="208">
        <f t="shared" si="18"/>
        <v>1943485.8389107157</v>
      </c>
      <c r="EZ7" s="208">
        <f t="shared" si="18"/>
        <v>1943485.8389107157</v>
      </c>
      <c r="FA7" s="208">
        <f t="shared" si="18"/>
        <v>1943485.8389107157</v>
      </c>
      <c r="FB7" s="208">
        <f t="shared" si="18"/>
        <v>1943485.8389107157</v>
      </c>
      <c r="FC7" s="208">
        <f t="shared" si="18"/>
        <v>1943485.8389107157</v>
      </c>
      <c r="FD7" s="208">
        <f t="shared" si="18"/>
        <v>1943485.8389107157</v>
      </c>
      <c r="FE7" s="208">
        <f t="shared" si="18"/>
        <v>1943485.8389107157</v>
      </c>
      <c r="FF7" s="208">
        <f t="shared" si="18"/>
        <v>1943485.8389107157</v>
      </c>
      <c r="FG7" s="208">
        <f t="shared" si="18"/>
        <v>1943485.8389107157</v>
      </c>
      <c r="FH7" s="208">
        <f t="shared" si="18"/>
        <v>1943485.8389107157</v>
      </c>
      <c r="FI7" s="208">
        <f t="shared" si="18"/>
        <v>1943485.8389107157</v>
      </c>
      <c r="FJ7" s="208">
        <f t="shared" si="18"/>
        <v>1943485.8389107157</v>
      </c>
      <c r="FK7" s="208">
        <f t="shared" si="18"/>
        <v>1943485.8389107157</v>
      </c>
      <c r="FL7" s="208">
        <f t="shared" si="18"/>
        <v>1943485.8389107157</v>
      </c>
      <c r="FM7" s="208">
        <f t="shared" si="18"/>
        <v>1943485.8389107157</v>
      </c>
      <c r="FN7" s="208">
        <f t="shared" si="18"/>
        <v>1943485.8389107157</v>
      </c>
      <c r="FO7" s="208">
        <f t="shared" si="18"/>
        <v>1943485.8389107157</v>
      </c>
      <c r="FP7" s="208">
        <f t="shared" si="18"/>
        <v>1943485.8389107157</v>
      </c>
      <c r="FQ7" s="208">
        <f t="shared" si="18"/>
        <v>1943485.8389107157</v>
      </c>
      <c r="FR7" s="208">
        <f t="shared" si="18"/>
        <v>1943485.8389107157</v>
      </c>
      <c r="FS7" s="208">
        <f t="shared" si="18"/>
        <v>1943485.8389107157</v>
      </c>
      <c r="FT7" s="208">
        <f t="shared" si="18"/>
        <v>1943485.8389107157</v>
      </c>
      <c r="FU7" s="208">
        <f t="shared" si="18"/>
        <v>1943485.8389107157</v>
      </c>
      <c r="FV7" s="208">
        <f t="shared" si="18"/>
        <v>1943485.8389107157</v>
      </c>
      <c r="FW7" s="208">
        <f t="shared" si="18"/>
        <v>1943485.8389107157</v>
      </c>
      <c r="FX7" s="208">
        <f t="shared" si="18"/>
        <v>1943485.8389107157</v>
      </c>
      <c r="FY7" s="208">
        <f t="shared" si="18"/>
        <v>1943485.8389107157</v>
      </c>
      <c r="FZ7" s="208">
        <f t="shared" si="18"/>
        <v>1943485.8389107157</v>
      </c>
      <c r="GA7" s="208">
        <f t="shared" si="18"/>
        <v>1943485.8389107157</v>
      </c>
      <c r="GB7" s="208">
        <f t="shared" si="18"/>
        <v>1943485.8389107157</v>
      </c>
      <c r="GC7" s="208">
        <f t="shared" si="18"/>
        <v>1943485.8389107157</v>
      </c>
      <c r="GD7" s="208">
        <f t="shared" si="18"/>
        <v>1943485.8389107157</v>
      </c>
      <c r="GE7" s="208">
        <f t="shared" si="18"/>
        <v>1943485.8389107157</v>
      </c>
      <c r="GF7" s="208">
        <f t="shared" si="18"/>
        <v>1943485.8389107157</v>
      </c>
      <c r="GG7" s="208">
        <f t="shared" si="18"/>
        <v>1943485.8389107157</v>
      </c>
      <c r="GH7" s="208">
        <f t="shared" si="18"/>
        <v>1943485.8389107157</v>
      </c>
      <c r="GI7" s="208">
        <f t="shared" si="18"/>
        <v>1943485.8389107157</v>
      </c>
      <c r="GJ7" s="208">
        <f t="shared" si="18"/>
        <v>1943485.8389107157</v>
      </c>
      <c r="GK7" s="208">
        <f t="shared" si="18"/>
        <v>1943485.8389107157</v>
      </c>
      <c r="GL7" s="208">
        <f t="shared" si="18"/>
        <v>1943485.8389107157</v>
      </c>
      <c r="GM7" s="208">
        <f t="shared" si="18"/>
        <v>1943485.8389107157</v>
      </c>
      <c r="GN7" s="208">
        <f t="shared" si="18"/>
        <v>1943485.8389107157</v>
      </c>
      <c r="GO7" s="208">
        <f t="shared" si="18"/>
        <v>1943485.8389107157</v>
      </c>
      <c r="GP7" s="208">
        <f t="shared" si="18"/>
        <v>1943485.8389107157</v>
      </c>
      <c r="GQ7" s="208">
        <f t="shared" si="18"/>
        <v>1943485.8389107157</v>
      </c>
      <c r="GR7" s="208">
        <f t="shared" si="18"/>
        <v>1943485.8389107157</v>
      </c>
      <c r="GS7" s="208">
        <f t="shared" ref="GS7:JD7" si="19">GS4-GS6</f>
        <v>1943485.8389107157</v>
      </c>
      <c r="GT7" s="208">
        <f t="shared" si="19"/>
        <v>1943485.8389107157</v>
      </c>
      <c r="GU7" s="208">
        <f t="shared" si="19"/>
        <v>1943485.8389107157</v>
      </c>
      <c r="GV7" s="208">
        <f t="shared" si="19"/>
        <v>1943485.8389107157</v>
      </c>
      <c r="GW7" s="208">
        <f t="shared" si="19"/>
        <v>1943485.8389107157</v>
      </c>
      <c r="GX7" s="208">
        <f t="shared" si="19"/>
        <v>1943485.8389107157</v>
      </c>
      <c r="GY7" s="208">
        <f t="shared" si="19"/>
        <v>1943485.8389107157</v>
      </c>
      <c r="GZ7" s="208">
        <f t="shared" si="19"/>
        <v>1943485.8389107157</v>
      </c>
      <c r="HA7" s="208">
        <f t="shared" si="19"/>
        <v>1943485.8389107157</v>
      </c>
      <c r="HB7" s="208">
        <f t="shared" si="19"/>
        <v>1943485.8389107157</v>
      </c>
      <c r="HC7" s="208">
        <f t="shared" si="19"/>
        <v>1943485.8389107157</v>
      </c>
      <c r="HD7" s="208">
        <f t="shared" si="19"/>
        <v>1943485.8389107157</v>
      </c>
      <c r="HE7" s="208">
        <f t="shared" si="19"/>
        <v>1943485.8389107157</v>
      </c>
      <c r="HF7" s="208">
        <f t="shared" si="19"/>
        <v>1943485.8389107157</v>
      </c>
      <c r="HG7" s="208">
        <f t="shared" si="19"/>
        <v>1943485.8389107157</v>
      </c>
      <c r="HH7" s="208">
        <f t="shared" si="19"/>
        <v>1943485.8389107157</v>
      </c>
      <c r="HI7" s="208">
        <f t="shared" si="19"/>
        <v>1943485.8389107157</v>
      </c>
      <c r="HJ7" s="208">
        <f t="shared" si="19"/>
        <v>1943485.8389107157</v>
      </c>
      <c r="HK7" s="208">
        <f t="shared" si="19"/>
        <v>1943485.8389107157</v>
      </c>
      <c r="HL7" s="208">
        <f t="shared" si="19"/>
        <v>1943485.8389107157</v>
      </c>
      <c r="HM7" s="208">
        <f t="shared" si="19"/>
        <v>1943485.8389107157</v>
      </c>
      <c r="HN7" s="208">
        <f t="shared" si="19"/>
        <v>1943485.8389107157</v>
      </c>
      <c r="HO7" s="208">
        <f t="shared" si="19"/>
        <v>1943485.8389107157</v>
      </c>
      <c r="HP7" s="208">
        <f t="shared" si="19"/>
        <v>1943485.8389107157</v>
      </c>
      <c r="HQ7" s="208">
        <f t="shared" si="19"/>
        <v>1943485.8389107157</v>
      </c>
      <c r="HR7" s="208">
        <f t="shared" si="19"/>
        <v>1943485.8389107157</v>
      </c>
      <c r="HS7" s="208">
        <f t="shared" si="19"/>
        <v>1943485.8389107157</v>
      </c>
      <c r="HT7" s="208">
        <f t="shared" si="19"/>
        <v>1943485.8389107157</v>
      </c>
      <c r="HU7" s="208">
        <f t="shared" si="19"/>
        <v>1943485.8389107157</v>
      </c>
      <c r="HV7" s="208">
        <f t="shared" si="19"/>
        <v>1943485.8389107157</v>
      </c>
      <c r="HW7" s="208">
        <f t="shared" si="19"/>
        <v>1943485.8389107157</v>
      </c>
      <c r="HX7" s="208">
        <f t="shared" si="19"/>
        <v>1943485.8389107157</v>
      </c>
      <c r="HY7" s="208">
        <f t="shared" si="19"/>
        <v>1943485.8389107157</v>
      </c>
      <c r="HZ7" s="208">
        <f t="shared" si="19"/>
        <v>1943485.8389107157</v>
      </c>
      <c r="IA7" s="208">
        <f t="shared" si="19"/>
        <v>1943485.8389107157</v>
      </c>
      <c r="IB7" s="208">
        <f t="shared" si="19"/>
        <v>1943485.8389107157</v>
      </c>
      <c r="IC7" s="208">
        <f t="shared" si="19"/>
        <v>1943485.8389107157</v>
      </c>
      <c r="ID7" s="208">
        <f t="shared" si="19"/>
        <v>1943485.8389107157</v>
      </c>
      <c r="IE7" s="208">
        <f t="shared" si="19"/>
        <v>1943485.8389107157</v>
      </c>
      <c r="IF7" s="208">
        <f t="shared" si="19"/>
        <v>1943485.8389107157</v>
      </c>
      <c r="IG7" s="208">
        <f t="shared" si="19"/>
        <v>1943485.8389107157</v>
      </c>
      <c r="IH7" s="208">
        <f t="shared" si="19"/>
        <v>1943485.8389107157</v>
      </c>
      <c r="II7" s="208">
        <f t="shared" si="19"/>
        <v>1943485.8389107157</v>
      </c>
      <c r="IJ7" s="208">
        <f t="shared" si="19"/>
        <v>1943485.8389107157</v>
      </c>
      <c r="IK7" s="208">
        <f t="shared" si="19"/>
        <v>1943485.8389107157</v>
      </c>
      <c r="IL7" s="208">
        <f t="shared" si="19"/>
        <v>1943485.8389107157</v>
      </c>
      <c r="IM7" s="208">
        <f t="shared" si="19"/>
        <v>1943485.8389107157</v>
      </c>
      <c r="IN7" s="208">
        <f t="shared" si="19"/>
        <v>1943485.8389107157</v>
      </c>
      <c r="IO7" s="208">
        <f t="shared" si="19"/>
        <v>1943485.8389107157</v>
      </c>
      <c r="IP7" s="208">
        <f t="shared" si="19"/>
        <v>1943485.8389107157</v>
      </c>
      <c r="IQ7" s="208">
        <f t="shared" si="19"/>
        <v>1943485.8389107157</v>
      </c>
      <c r="IR7" s="208">
        <f t="shared" si="19"/>
        <v>1943485.8389107157</v>
      </c>
      <c r="IS7" s="208">
        <f t="shared" si="19"/>
        <v>1943485.8389107157</v>
      </c>
      <c r="IT7" s="208">
        <f t="shared" si="19"/>
        <v>1943485.8389107157</v>
      </c>
      <c r="IU7" s="208">
        <f t="shared" si="19"/>
        <v>1943485.8389107157</v>
      </c>
      <c r="IV7" s="208">
        <f t="shared" si="19"/>
        <v>1943485.8389107157</v>
      </c>
      <c r="IW7" s="208">
        <f t="shared" si="19"/>
        <v>1943485.8389107157</v>
      </c>
      <c r="IX7" s="208">
        <f t="shared" si="19"/>
        <v>1943485.8389107157</v>
      </c>
      <c r="IY7" s="208">
        <f t="shared" si="19"/>
        <v>1943485.8389107157</v>
      </c>
      <c r="IZ7" s="208">
        <f t="shared" si="19"/>
        <v>1943485.8389107157</v>
      </c>
      <c r="JA7" s="208">
        <f t="shared" si="19"/>
        <v>1943485.8389107157</v>
      </c>
      <c r="JB7" s="208">
        <f t="shared" si="19"/>
        <v>1943485.8389107157</v>
      </c>
      <c r="JC7" s="208">
        <f t="shared" si="19"/>
        <v>1943485.8389107157</v>
      </c>
      <c r="JD7" s="208">
        <f t="shared" si="19"/>
        <v>1943485.8389107157</v>
      </c>
      <c r="JE7" s="208">
        <f t="shared" ref="JE7:LD7" si="20">JE4-JE6</f>
        <v>1943485.8389107157</v>
      </c>
      <c r="JF7" s="208">
        <f t="shared" si="20"/>
        <v>1943485.8389107157</v>
      </c>
      <c r="JG7" s="208">
        <f t="shared" si="20"/>
        <v>1943485.8389107157</v>
      </c>
      <c r="JH7" s="208">
        <f t="shared" si="20"/>
        <v>1943485.8389107157</v>
      </c>
      <c r="JI7" s="208">
        <f t="shared" si="20"/>
        <v>1943485.8389107157</v>
      </c>
      <c r="JJ7" s="208">
        <f t="shared" si="20"/>
        <v>1943485.8389107157</v>
      </c>
      <c r="JK7" s="208">
        <f t="shared" si="20"/>
        <v>1943485.8389107157</v>
      </c>
      <c r="JL7" s="208">
        <f t="shared" si="20"/>
        <v>1943485.8389107157</v>
      </c>
      <c r="JM7" s="208">
        <f t="shared" si="20"/>
        <v>1943485.8389107157</v>
      </c>
      <c r="JN7" s="208">
        <f t="shared" si="20"/>
        <v>1943485.8389107157</v>
      </c>
      <c r="JO7" s="208">
        <f t="shared" si="20"/>
        <v>1943485.8389107157</v>
      </c>
      <c r="JP7" s="208">
        <f t="shared" si="20"/>
        <v>1943485.8389107157</v>
      </c>
      <c r="JQ7" s="208">
        <f t="shared" si="20"/>
        <v>1943485.8389107157</v>
      </c>
      <c r="JR7" s="208">
        <f t="shared" si="20"/>
        <v>1943485.8389107157</v>
      </c>
      <c r="JS7" s="208">
        <f t="shared" si="20"/>
        <v>1943485.8389107157</v>
      </c>
      <c r="JT7" s="208">
        <f t="shared" si="20"/>
        <v>1943485.8389107157</v>
      </c>
      <c r="JU7" s="208">
        <f t="shared" si="20"/>
        <v>1943485.8389107157</v>
      </c>
      <c r="JV7" s="208">
        <f t="shared" si="20"/>
        <v>1943485.8389107157</v>
      </c>
      <c r="JW7" s="208">
        <f t="shared" si="20"/>
        <v>1943485.8389107157</v>
      </c>
      <c r="JX7" s="208">
        <f t="shared" si="20"/>
        <v>1943485.8389107157</v>
      </c>
      <c r="JY7" s="208">
        <f t="shared" si="20"/>
        <v>1943485.8389107157</v>
      </c>
      <c r="JZ7" s="208">
        <f t="shared" si="20"/>
        <v>1943485.8389107157</v>
      </c>
      <c r="KA7" s="208">
        <f t="shared" si="20"/>
        <v>1943485.8389107157</v>
      </c>
      <c r="KB7" s="208">
        <f t="shared" si="20"/>
        <v>1943485.8389107157</v>
      </c>
      <c r="KC7" s="208">
        <f t="shared" si="20"/>
        <v>1943485.8389107157</v>
      </c>
      <c r="KD7" s="208">
        <f t="shared" si="20"/>
        <v>1943485.8389107157</v>
      </c>
      <c r="KE7" s="208">
        <f t="shared" si="20"/>
        <v>1943485.8389107157</v>
      </c>
      <c r="KF7" s="208">
        <f t="shared" si="20"/>
        <v>1943485.8389107157</v>
      </c>
      <c r="KG7" s="208">
        <f t="shared" si="20"/>
        <v>1943485.8389107157</v>
      </c>
      <c r="KH7" s="208">
        <f t="shared" si="20"/>
        <v>1943485.8389107157</v>
      </c>
      <c r="KI7" s="208">
        <f t="shared" si="20"/>
        <v>1943485.8389107157</v>
      </c>
      <c r="KJ7" s="208">
        <f t="shared" si="20"/>
        <v>1943485.8389107157</v>
      </c>
      <c r="KK7" s="208">
        <f t="shared" si="20"/>
        <v>1943485.8389107157</v>
      </c>
      <c r="KL7" s="208">
        <f t="shared" si="20"/>
        <v>1943485.8389107157</v>
      </c>
      <c r="KM7" s="208">
        <f t="shared" si="20"/>
        <v>1943485.8389107157</v>
      </c>
      <c r="KN7" s="208">
        <f t="shared" si="20"/>
        <v>1943485.8389107157</v>
      </c>
      <c r="KO7" s="208">
        <f t="shared" si="20"/>
        <v>1943485.8389107157</v>
      </c>
      <c r="KP7" s="208">
        <f t="shared" si="20"/>
        <v>1943485.8389107157</v>
      </c>
      <c r="KQ7" s="208">
        <f t="shared" si="20"/>
        <v>1943485.8389107157</v>
      </c>
      <c r="KR7" s="208">
        <f t="shared" si="20"/>
        <v>1943485.8389107157</v>
      </c>
      <c r="KS7" s="208">
        <f t="shared" si="20"/>
        <v>1943485.8389107157</v>
      </c>
      <c r="KT7" s="208">
        <f t="shared" si="20"/>
        <v>1943485.8389107157</v>
      </c>
      <c r="KU7" s="208">
        <f t="shared" si="20"/>
        <v>1943485.8389107157</v>
      </c>
      <c r="KV7" s="208">
        <f t="shared" si="20"/>
        <v>1943485.8389107157</v>
      </c>
      <c r="KW7" s="208">
        <f t="shared" si="20"/>
        <v>1943485.8389107157</v>
      </c>
      <c r="KX7" s="208">
        <f t="shared" si="20"/>
        <v>1943485.8389107157</v>
      </c>
      <c r="KY7" s="208">
        <f t="shared" si="20"/>
        <v>1943485.8389107157</v>
      </c>
      <c r="KZ7" s="208">
        <f t="shared" si="20"/>
        <v>1943485.8389107157</v>
      </c>
      <c r="LA7" s="208">
        <f t="shared" si="20"/>
        <v>1943485.8389107157</v>
      </c>
      <c r="LB7" s="208">
        <f t="shared" si="20"/>
        <v>1943485.8389107157</v>
      </c>
      <c r="LC7" s="208">
        <f t="shared" si="20"/>
        <v>1943485.8389107157</v>
      </c>
      <c r="LD7" s="208">
        <f t="shared" si="20"/>
        <v>1943485.8389107157</v>
      </c>
    </row>
    <row r="8" spans="1:794" s="192" customFormat="1">
      <c r="A8" s="841" t="s">
        <v>269</v>
      </c>
      <c r="B8" s="193"/>
      <c r="C8" s="194" t="s">
        <v>354</v>
      </c>
      <c r="D8" s="194" t="s">
        <v>354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2"/>
      <c r="B9" s="210" t="s">
        <v>580</v>
      </c>
      <c r="C9" s="211">
        <f>'Revenue Tracking'!F4</f>
        <v>10428343.76</v>
      </c>
      <c r="D9" s="211">
        <f>SUM(F9:LD9)</f>
        <v>10428343.76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0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1701808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487762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42"/>
      <c r="B10" s="210" t="s">
        <v>581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8238773.7599999998</v>
      </c>
      <c r="BP10" s="212">
        <f t="shared" si="21"/>
        <v>8238773.7599999998</v>
      </c>
      <c r="BQ10" s="212">
        <f t="shared" si="21"/>
        <v>9940581.7599999998</v>
      </c>
      <c r="BR10" s="212">
        <f t="shared" si="21"/>
        <v>9940581.7599999998</v>
      </c>
      <c r="BS10" s="212">
        <f t="shared" si="21"/>
        <v>9940581.7599999998</v>
      </c>
      <c r="BT10" s="212">
        <f t="shared" si="21"/>
        <v>9940581.7599999998</v>
      </c>
      <c r="BU10" s="212">
        <f t="shared" ref="BU10:EF10" si="22">BT10+BU9</f>
        <v>9940581.7599999998</v>
      </c>
      <c r="BV10" s="212">
        <f t="shared" si="22"/>
        <v>9940581.7599999998</v>
      </c>
      <c r="BW10" s="212">
        <f t="shared" si="22"/>
        <v>10428343.76</v>
      </c>
      <c r="BX10" s="212">
        <f t="shared" si="22"/>
        <v>10428343.76</v>
      </c>
      <c r="BY10" s="212">
        <f t="shared" si="22"/>
        <v>10428343.76</v>
      </c>
      <c r="BZ10" s="212">
        <f t="shared" si="22"/>
        <v>10428343.76</v>
      </c>
      <c r="CA10" s="212">
        <f t="shared" si="22"/>
        <v>10428343.76</v>
      </c>
      <c r="CB10" s="212">
        <f t="shared" si="22"/>
        <v>10428343.76</v>
      </c>
      <c r="CC10" s="212">
        <f t="shared" si="22"/>
        <v>10428343.76</v>
      </c>
      <c r="CD10" s="212">
        <f t="shared" si="22"/>
        <v>10428343.76</v>
      </c>
      <c r="CE10" s="212">
        <f t="shared" si="22"/>
        <v>10428343.76</v>
      </c>
      <c r="CF10" s="212">
        <f t="shared" si="22"/>
        <v>10428343.76</v>
      </c>
      <c r="CG10" s="212">
        <f t="shared" si="22"/>
        <v>10428343.76</v>
      </c>
      <c r="CH10" s="212">
        <f t="shared" si="22"/>
        <v>10428343.76</v>
      </c>
      <c r="CI10" s="212">
        <f t="shared" si="22"/>
        <v>10428343.76</v>
      </c>
      <c r="CJ10" s="212">
        <f t="shared" si="22"/>
        <v>10428343.76</v>
      </c>
      <c r="CK10" s="212">
        <f t="shared" si="22"/>
        <v>10428343.76</v>
      </c>
      <c r="CL10" s="212">
        <f t="shared" si="22"/>
        <v>10428343.76</v>
      </c>
      <c r="CM10" s="212">
        <f t="shared" si="22"/>
        <v>10428343.76</v>
      </c>
      <c r="CN10" s="212">
        <f t="shared" si="22"/>
        <v>10428343.76</v>
      </c>
      <c r="CO10" s="212">
        <f t="shared" si="22"/>
        <v>10428343.76</v>
      </c>
      <c r="CP10" s="212">
        <f t="shared" si="22"/>
        <v>10428343.76</v>
      </c>
      <c r="CQ10" s="212">
        <f t="shared" si="22"/>
        <v>10428343.76</v>
      </c>
      <c r="CR10" s="212">
        <f t="shared" si="22"/>
        <v>10428343.76</v>
      </c>
      <c r="CS10" s="212">
        <f t="shared" si="22"/>
        <v>10428343.76</v>
      </c>
      <c r="CT10" s="212">
        <f t="shared" si="22"/>
        <v>10428343.76</v>
      </c>
      <c r="CU10" s="212">
        <f t="shared" si="22"/>
        <v>10428343.76</v>
      </c>
      <c r="CV10" s="212">
        <f t="shared" si="22"/>
        <v>10428343.76</v>
      </c>
      <c r="CW10" s="212">
        <f t="shared" si="22"/>
        <v>10428343.76</v>
      </c>
      <c r="CX10" s="212">
        <f t="shared" si="22"/>
        <v>10428343.76</v>
      </c>
      <c r="CY10" s="212">
        <f t="shared" si="22"/>
        <v>10428343.76</v>
      </c>
      <c r="CZ10" s="212">
        <f t="shared" si="22"/>
        <v>10428343.76</v>
      </c>
      <c r="DA10" s="212">
        <f t="shared" si="22"/>
        <v>10428343.76</v>
      </c>
      <c r="DB10" s="212">
        <f t="shared" si="22"/>
        <v>10428343.76</v>
      </c>
      <c r="DC10" s="212">
        <f t="shared" si="22"/>
        <v>10428343.76</v>
      </c>
      <c r="DD10" s="212">
        <f t="shared" si="22"/>
        <v>10428343.76</v>
      </c>
      <c r="DE10" s="212">
        <f t="shared" si="22"/>
        <v>10428343.76</v>
      </c>
      <c r="DF10" s="212">
        <f t="shared" si="22"/>
        <v>10428343.76</v>
      </c>
      <c r="DG10" s="212">
        <f t="shared" si="22"/>
        <v>10428343.76</v>
      </c>
      <c r="DH10" s="212">
        <f t="shared" si="22"/>
        <v>10428343.76</v>
      </c>
      <c r="DI10" s="212">
        <f t="shared" si="22"/>
        <v>10428343.76</v>
      </c>
      <c r="DJ10" s="212">
        <f t="shared" si="22"/>
        <v>10428343.76</v>
      </c>
      <c r="DK10" s="212">
        <f t="shared" si="22"/>
        <v>10428343.76</v>
      </c>
      <c r="DL10" s="212">
        <f t="shared" si="22"/>
        <v>10428343.76</v>
      </c>
      <c r="DM10" s="212">
        <f t="shared" si="22"/>
        <v>10428343.76</v>
      </c>
      <c r="DN10" s="212">
        <f t="shared" si="22"/>
        <v>10428343.76</v>
      </c>
      <c r="DO10" s="212">
        <f t="shared" si="22"/>
        <v>10428343.76</v>
      </c>
      <c r="DP10" s="212">
        <f t="shared" si="22"/>
        <v>10428343.76</v>
      </c>
      <c r="DQ10" s="212">
        <f t="shared" si="22"/>
        <v>10428343.76</v>
      </c>
      <c r="DR10" s="212">
        <f t="shared" si="22"/>
        <v>10428343.76</v>
      </c>
      <c r="DS10" s="212">
        <f t="shared" si="22"/>
        <v>10428343.76</v>
      </c>
      <c r="DT10" s="212">
        <f t="shared" si="22"/>
        <v>10428343.76</v>
      </c>
      <c r="DU10" s="212">
        <f t="shared" si="22"/>
        <v>10428343.76</v>
      </c>
      <c r="DV10" s="212">
        <f t="shared" si="22"/>
        <v>10428343.76</v>
      </c>
      <c r="DW10" s="212">
        <f t="shared" si="22"/>
        <v>10428343.76</v>
      </c>
      <c r="DX10" s="212">
        <f t="shared" si="22"/>
        <v>10428343.76</v>
      </c>
      <c r="DY10" s="212">
        <f t="shared" si="22"/>
        <v>10428343.76</v>
      </c>
      <c r="DZ10" s="212">
        <f t="shared" si="22"/>
        <v>10428343.76</v>
      </c>
      <c r="EA10" s="212">
        <f t="shared" si="22"/>
        <v>10428343.76</v>
      </c>
      <c r="EB10" s="212">
        <f t="shared" si="22"/>
        <v>10428343.76</v>
      </c>
      <c r="EC10" s="212">
        <f t="shared" si="22"/>
        <v>10428343.76</v>
      </c>
      <c r="ED10" s="212">
        <f t="shared" si="22"/>
        <v>10428343.76</v>
      </c>
      <c r="EE10" s="212">
        <f t="shared" si="22"/>
        <v>10428343.76</v>
      </c>
      <c r="EF10" s="212">
        <f t="shared" si="22"/>
        <v>10428343.76</v>
      </c>
      <c r="EG10" s="212">
        <f t="shared" ref="EG10:GR10" si="23">EF10+EG9</f>
        <v>10428343.76</v>
      </c>
      <c r="EH10" s="212">
        <f t="shared" si="23"/>
        <v>10428343.76</v>
      </c>
      <c r="EI10" s="212">
        <f t="shared" si="23"/>
        <v>10428343.76</v>
      </c>
      <c r="EJ10" s="212">
        <f t="shared" si="23"/>
        <v>10428343.76</v>
      </c>
      <c r="EK10" s="212">
        <f t="shared" si="23"/>
        <v>10428343.76</v>
      </c>
      <c r="EL10" s="212">
        <f t="shared" si="23"/>
        <v>10428343.76</v>
      </c>
      <c r="EM10" s="212">
        <f t="shared" si="23"/>
        <v>10428343.76</v>
      </c>
      <c r="EN10" s="212">
        <f t="shared" si="23"/>
        <v>10428343.76</v>
      </c>
      <c r="EO10" s="212">
        <f t="shared" si="23"/>
        <v>10428343.76</v>
      </c>
      <c r="EP10" s="212">
        <f t="shared" si="23"/>
        <v>10428343.76</v>
      </c>
      <c r="EQ10" s="212">
        <f t="shared" si="23"/>
        <v>10428343.76</v>
      </c>
      <c r="ER10" s="212">
        <f t="shared" si="23"/>
        <v>10428343.76</v>
      </c>
      <c r="ES10" s="212">
        <f t="shared" si="23"/>
        <v>10428343.76</v>
      </c>
      <c r="ET10" s="212">
        <f t="shared" si="23"/>
        <v>10428343.76</v>
      </c>
      <c r="EU10" s="212">
        <f t="shared" si="23"/>
        <v>10428343.76</v>
      </c>
      <c r="EV10" s="212">
        <f t="shared" si="23"/>
        <v>10428343.76</v>
      </c>
      <c r="EW10" s="212">
        <f t="shared" si="23"/>
        <v>10428343.76</v>
      </c>
      <c r="EX10" s="212">
        <f t="shared" si="23"/>
        <v>10428343.76</v>
      </c>
      <c r="EY10" s="212">
        <f t="shared" si="23"/>
        <v>10428343.76</v>
      </c>
      <c r="EZ10" s="212">
        <f t="shared" si="23"/>
        <v>10428343.76</v>
      </c>
      <c r="FA10" s="212">
        <f t="shared" si="23"/>
        <v>10428343.76</v>
      </c>
      <c r="FB10" s="212">
        <f t="shared" si="23"/>
        <v>10428343.76</v>
      </c>
      <c r="FC10" s="212">
        <f t="shared" si="23"/>
        <v>10428343.76</v>
      </c>
      <c r="FD10" s="212">
        <f t="shared" si="23"/>
        <v>10428343.76</v>
      </c>
      <c r="FE10" s="212">
        <f t="shared" si="23"/>
        <v>10428343.76</v>
      </c>
      <c r="FF10" s="212">
        <f t="shared" si="23"/>
        <v>10428343.76</v>
      </c>
      <c r="FG10" s="212">
        <f t="shared" si="23"/>
        <v>10428343.76</v>
      </c>
      <c r="FH10" s="212">
        <f t="shared" si="23"/>
        <v>10428343.76</v>
      </c>
      <c r="FI10" s="212">
        <f t="shared" si="23"/>
        <v>10428343.76</v>
      </c>
      <c r="FJ10" s="212">
        <f t="shared" si="23"/>
        <v>10428343.76</v>
      </c>
      <c r="FK10" s="212">
        <f t="shared" si="23"/>
        <v>10428343.76</v>
      </c>
      <c r="FL10" s="212">
        <f t="shared" si="23"/>
        <v>10428343.76</v>
      </c>
      <c r="FM10" s="212">
        <f t="shared" si="23"/>
        <v>10428343.76</v>
      </c>
      <c r="FN10" s="212">
        <f t="shared" si="23"/>
        <v>10428343.76</v>
      </c>
      <c r="FO10" s="212">
        <f t="shared" si="23"/>
        <v>10428343.76</v>
      </c>
      <c r="FP10" s="212">
        <f t="shared" si="23"/>
        <v>10428343.76</v>
      </c>
      <c r="FQ10" s="212">
        <f t="shared" si="23"/>
        <v>10428343.76</v>
      </c>
      <c r="FR10" s="212">
        <f t="shared" si="23"/>
        <v>10428343.76</v>
      </c>
      <c r="FS10" s="212">
        <f t="shared" si="23"/>
        <v>10428343.76</v>
      </c>
      <c r="FT10" s="212">
        <f t="shared" si="23"/>
        <v>10428343.76</v>
      </c>
      <c r="FU10" s="212">
        <f t="shared" si="23"/>
        <v>10428343.76</v>
      </c>
      <c r="FV10" s="212">
        <f t="shared" si="23"/>
        <v>10428343.76</v>
      </c>
      <c r="FW10" s="212">
        <f t="shared" si="23"/>
        <v>10428343.76</v>
      </c>
      <c r="FX10" s="212">
        <f t="shared" si="23"/>
        <v>10428343.76</v>
      </c>
      <c r="FY10" s="212">
        <f t="shared" si="23"/>
        <v>10428343.76</v>
      </c>
      <c r="FZ10" s="212">
        <f t="shared" si="23"/>
        <v>10428343.76</v>
      </c>
      <c r="GA10" s="212">
        <f t="shared" si="23"/>
        <v>10428343.76</v>
      </c>
      <c r="GB10" s="212">
        <f t="shared" si="23"/>
        <v>10428343.76</v>
      </c>
      <c r="GC10" s="212">
        <f t="shared" si="23"/>
        <v>10428343.76</v>
      </c>
      <c r="GD10" s="212">
        <f t="shared" si="23"/>
        <v>10428343.76</v>
      </c>
      <c r="GE10" s="212">
        <f t="shared" si="23"/>
        <v>10428343.76</v>
      </c>
      <c r="GF10" s="212">
        <f t="shared" si="23"/>
        <v>10428343.76</v>
      </c>
      <c r="GG10" s="212">
        <f t="shared" si="23"/>
        <v>10428343.76</v>
      </c>
      <c r="GH10" s="212">
        <f t="shared" si="23"/>
        <v>10428343.76</v>
      </c>
      <c r="GI10" s="212">
        <f t="shared" si="23"/>
        <v>10428343.76</v>
      </c>
      <c r="GJ10" s="212">
        <f t="shared" si="23"/>
        <v>10428343.76</v>
      </c>
      <c r="GK10" s="212">
        <f t="shared" si="23"/>
        <v>10428343.76</v>
      </c>
      <c r="GL10" s="212">
        <f t="shared" si="23"/>
        <v>10428343.76</v>
      </c>
      <c r="GM10" s="212">
        <f t="shared" si="23"/>
        <v>10428343.76</v>
      </c>
      <c r="GN10" s="212">
        <f t="shared" si="23"/>
        <v>10428343.76</v>
      </c>
      <c r="GO10" s="212">
        <f t="shared" si="23"/>
        <v>10428343.76</v>
      </c>
      <c r="GP10" s="212">
        <f t="shared" si="23"/>
        <v>10428343.76</v>
      </c>
      <c r="GQ10" s="212">
        <f t="shared" si="23"/>
        <v>10428343.76</v>
      </c>
      <c r="GR10" s="212">
        <f t="shared" si="23"/>
        <v>10428343.76</v>
      </c>
      <c r="GS10" s="212">
        <f t="shared" ref="GS10:JD10" si="24">GR10+GS9</f>
        <v>10428343.76</v>
      </c>
      <c r="GT10" s="212">
        <f t="shared" si="24"/>
        <v>10428343.76</v>
      </c>
      <c r="GU10" s="212">
        <f t="shared" si="24"/>
        <v>10428343.76</v>
      </c>
      <c r="GV10" s="212">
        <f t="shared" si="24"/>
        <v>10428343.76</v>
      </c>
      <c r="GW10" s="212">
        <f t="shared" si="24"/>
        <v>10428343.76</v>
      </c>
      <c r="GX10" s="212">
        <f t="shared" si="24"/>
        <v>10428343.76</v>
      </c>
      <c r="GY10" s="212">
        <f t="shared" si="24"/>
        <v>10428343.76</v>
      </c>
      <c r="GZ10" s="212">
        <f t="shared" si="24"/>
        <v>10428343.76</v>
      </c>
      <c r="HA10" s="212">
        <f t="shared" si="24"/>
        <v>10428343.76</v>
      </c>
      <c r="HB10" s="212">
        <f t="shared" si="24"/>
        <v>10428343.76</v>
      </c>
      <c r="HC10" s="212">
        <f t="shared" si="24"/>
        <v>10428343.76</v>
      </c>
      <c r="HD10" s="212">
        <f t="shared" si="24"/>
        <v>10428343.76</v>
      </c>
      <c r="HE10" s="212">
        <f t="shared" si="24"/>
        <v>10428343.76</v>
      </c>
      <c r="HF10" s="212">
        <f t="shared" si="24"/>
        <v>10428343.76</v>
      </c>
      <c r="HG10" s="212">
        <f t="shared" si="24"/>
        <v>10428343.76</v>
      </c>
      <c r="HH10" s="212">
        <f t="shared" si="24"/>
        <v>10428343.76</v>
      </c>
      <c r="HI10" s="212">
        <f t="shared" si="24"/>
        <v>10428343.76</v>
      </c>
      <c r="HJ10" s="212">
        <f t="shared" si="24"/>
        <v>10428343.76</v>
      </c>
      <c r="HK10" s="212">
        <f t="shared" si="24"/>
        <v>10428343.76</v>
      </c>
      <c r="HL10" s="212">
        <f t="shared" si="24"/>
        <v>10428343.76</v>
      </c>
      <c r="HM10" s="212">
        <f t="shared" si="24"/>
        <v>10428343.76</v>
      </c>
      <c r="HN10" s="212">
        <f t="shared" si="24"/>
        <v>10428343.76</v>
      </c>
      <c r="HO10" s="212">
        <f t="shared" si="24"/>
        <v>10428343.76</v>
      </c>
      <c r="HP10" s="212">
        <f t="shared" si="24"/>
        <v>10428343.76</v>
      </c>
      <c r="HQ10" s="212">
        <f t="shared" si="24"/>
        <v>10428343.76</v>
      </c>
      <c r="HR10" s="212">
        <f t="shared" si="24"/>
        <v>10428343.76</v>
      </c>
      <c r="HS10" s="212">
        <f t="shared" si="24"/>
        <v>10428343.76</v>
      </c>
      <c r="HT10" s="212">
        <f t="shared" si="24"/>
        <v>10428343.76</v>
      </c>
      <c r="HU10" s="212">
        <f t="shared" si="24"/>
        <v>10428343.76</v>
      </c>
      <c r="HV10" s="212">
        <f t="shared" si="24"/>
        <v>10428343.76</v>
      </c>
      <c r="HW10" s="212">
        <f t="shared" si="24"/>
        <v>10428343.76</v>
      </c>
      <c r="HX10" s="212">
        <f t="shared" si="24"/>
        <v>10428343.76</v>
      </c>
      <c r="HY10" s="212">
        <f t="shared" si="24"/>
        <v>10428343.76</v>
      </c>
      <c r="HZ10" s="212">
        <f t="shared" si="24"/>
        <v>10428343.76</v>
      </c>
      <c r="IA10" s="212">
        <f t="shared" si="24"/>
        <v>10428343.76</v>
      </c>
      <c r="IB10" s="212">
        <f t="shared" si="24"/>
        <v>10428343.76</v>
      </c>
      <c r="IC10" s="212">
        <f t="shared" si="24"/>
        <v>10428343.76</v>
      </c>
      <c r="ID10" s="212">
        <f t="shared" si="24"/>
        <v>10428343.76</v>
      </c>
      <c r="IE10" s="212">
        <f t="shared" si="24"/>
        <v>10428343.76</v>
      </c>
      <c r="IF10" s="212">
        <f t="shared" si="24"/>
        <v>10428343.76</v>
      </c>
      <c r="IG10" s="212">
        <f t="shared" si="24"/>
        <v>10428343.76</v>
      </c>
      <c r="IH10" s="212">
        <f t="shared" si="24"/>
        <v>10428343.76</v>
      </c>
      <c r="II10" s="212">
        <f t="shared" si="24"/>
        <v>10428343.76</v>
      </c>
      <c r="IJ10" s="212">
        <f t="shared" si="24"/>
        <v>10428343.76</v>
      </c>
      <c r="IK10" s="212">
        <f t="shared" si="24"/>
        <v>10428343.76</v>
      </c>
      <c r="IL10" s="212">
        <f t="shared" si="24"/>
        <v>10428343.76</v>
      </c>
      <c r="IM10" s="212">
        <f t="shared" si="24"/>
        <v>10428343.76</v>
      </c>
      <c r="IN10" s="212">
        <f t="shared" si="24"/>
        <v>10428343.76</v>
      </c>
      <c r="IO10" s="212">
        <f t="shared" si="24"/>
        <v>10428343.76</v>
      </c>
      <c r="IP10" s="212">
        <f t="shared" si="24"/>
        <v>10428343.76</v>
      </c>
      <c r="IQ10" s="212">
        <f t="shared" si="24"/>
        <v>10428343.76</v>
      </c>
      <c r="IR10" s="212">
        <f t="shared" si="24"/>
        <v>10428343.76</v>
      </c>
      <c r="IS10" s="212">
        <f t="shared" si="24"/>
        <v>10428343.76</v>
      </c>
      <c r="IT10" s="212">
        <f t="shared" si="24"/>
        <v>10428343.76</v>
      </c>
      <c r="IU10" s="212">
        <f t="shared" si="24"/>
        <v>10428343.76</v>
      </c>
      <c r="IV10" s="212">
        <f t="shared" si="24"/>
        <v>10428343.76</v>
      </c>
      <c r="IW10" s="212">
        <f t="shared" si="24"/>
        <v>10428343.76</v>
      </c>
      <c r="IX10" s="212">
        <f t="shared" si="24"/>
        <v>10428343.76</v>
      </c>
      <c r="IY10" s="212">
        <f t="shared" si="24"/>
        <v>10428343.76</v>
      </c>
      <c r="IZ10" s="212">
        <f t="shared" si="24"/>
        <v>10428343.76</v>
      </c>
      <c r="JA10" s="212">
        <f t="shared" si="24"/>
        <v>10428343.76</v>
      </c>
      <c r="JB10" s="212">
        <f t="shared" si="24"/>
        <v>10428343.76</v>
      </c>
      <c r="JC10" s="212">
        <f t="shared" si="24"/>
        <v>10428343.76</v>
      </c>
      <c r="JD10" s="212">
        <f t="shared" si="24"/>
        <v>10428343.76</v>
      </c>
      <c r="JE10" s="212">
        <f t="shared" ref="JE10:LD10" si="25">JD10+JE9</f>
        <v>10428343.76</v>
      </c>
      <c r="JF10" s="212">
        <f t="shared" si="25"/>
        <v>10428343.76</v>
      </c>
      <c r="JG10" s="212">
        <f t="shared" si="25"/>
        <v>10428343.76</v>
      </c>
      <c r="JH10" s="212">
        <f t="shared" si="25"/>
        <v>10428343.76</v>
      </c>
      <c r="JI10" s="212">
        <f t="shared" si="25"/>
        <v>10428343.76</v>
      </c>
      <c r="JJ10" s="212">
        <f t="shared" si="25"/>
        <v>10428343.76</v>
      </c>
      <c r="JK10" s="212">
        <f t="shared" si="25"/>
        <v>10428343.76</v>
      </c>
      <c r="JL10" s="212">
        <f t="shared" si="25"/>
        <v>10428343.76</v>
      </c>
      <c r="JM10" s="212">
        <f t="shared" si="25"/>
        <v>10428343.76</v>
      </c>
      <c r="JN10" s="212">
        <f t="shared" si="25"/>
        <v>10428343.76</v>
      </c>
      <c r="JO10" s="212">
        <f t="shared" si="25"/>
        <v>10428343.76</v>
      </c>
      <c r="JP10" s="212">
        <f t="shared" si="25"/>
        <v>10428343.76</v>
      </c>
      <c r="JQ10" s="212">
        <f t="shared" si="25"/>
        <v>10428343.76</v>
      </c>
      <c r="JR10" s="212">
        <f t="shared" si="25"/>
        <v>10428343.76</v>
      </c>
      <c r="JS10" s="212">
        <f t="shared" si="25"/>
        <v>10428343.76</v>
      </c>
      <c r="JT10" s="212">
        <f t="shared" si="25"/>
        <v>10428343.76</v>
      </c>
      <c r="JU10" s="212">
        <f t="shared" si="25"/>
        <v>10428343.76</v>
      </c>
      <c r="JV10" s="212">
        <f t="shared" si="25"/>
        <v>10428343.76</v>
      </c>
      <c r="JW10" s="212">
        <f t="shared" si="25"/>
        <v>10428343.76</v>
      </c>
      <c r="JX10" s="212">
        <f t="shared" si="25"/>
        <v>10428343.76</v>
      </c>
      <c r="JY10" s="212">
        <f t="shared" si="25"/>
        <v>10428343.76</v>
      </c>
      <c r="JZ10" s="212">
        <f t="shared" si="25"/>
        <v>10428343.76</v>
      </c>
      <c r="KA10" s="212">
        <f t="shared" si="25"/>
        <v>10428343.76</v>
      </c>
      <c r="KB10" s="212">
        <f t="shared" si="25"/>
        <v>10428343.76</v>
      </c>
      <c r="KC10" s="212">
        <f t="shared" si="25"/>
        <v>10428343.76</v>
      </c>
      <c r="KD10" s="212">
        <f t="shared" si="25"/>
        <v>10428343.76</v>
      </c>
      <c r="KE10" s="212">
        <f t="shared" si="25"/>
        <v>10428343.76</v>
      </c>
      <c r="KF10" s="212">
        <f t="shared" si="25"/>
        <v>10428343.76</v>
      </c>
      <c r="KG10" s="212">
        <f t="shared" si="25"/>
        <v>10428343.76</v>
      </c>
      <c r="KH10" s="212">
        <f t="shared" si="25"/>
        <v>10428343.76</v>
      </c>
      <c r="KI10" s="212">
        <f t="shared" si="25"/>
        <v>10428343.76</v>
      </c>
      <c r="KJ10" s="212">
        <f t="shared" si="25"/>
        <v>10428343.76</v>
      </c>
      <c r="KK10" s="212">
        <f t="shared" si="25"/>
        <v>10428343.76</v>
      </c>
      <c r="KL10" s="212">
        <f t="shared" si="25"/>
        <v>10428343.76</v>
      </c>
      <c r="KM10" s="212">
        <f t="shared" si="25"/>
        <v>10428343.76</v>
      </c>
      <c r="KN10" s="212">
        <f t="shared" si="25"/>
        <v>10428343.76</v>
      </c>
      <c r="KO10" s="212">
        <f t="shared" si="25"/>
        <v>10428343.76</v>
      </c>
      <c r="KP10" s="212">
        <f t="shared" si="25"/>
        <v>10428343.76</v>
      </c>
      <c r="KQ10" s="212">
        <f t="shared" si="25"/>
        <v>10428343.76</v>
      </c>
      <c r="KR10" s="212">
        <f t="shared" si="25"/>
        <v>10428343.76</v>
      </c>
      <c r="KS10" s="212">
        <f t="shared" si="25"/>
        <v>10428343.76</v>
      </c>
      <c r="KT10" s="212">
        <f t="shared" si="25"/>
        <v>10428343.76</v>
      </c>
      <c r="KU10" s="212">
        <f t="shared" si="25"/>
        <v>10428343.76</v>
      </c>
      <c r="KV10" s="212">
        <f t="shared" si="25"/>
        <v>10428343.76</v>
      </c>
      <c r="KW10" s="212">
        <f t="shared" si="25"/>
        <v>10428343.76</v>
      </c>
      <c r="KX10" s="212">
        <f t="shared" si="25"/>
        <v>10428343.76</v>
      </c>
      <c r="KY10" s="212">
        <f t="shared" si="25"/>
        <v>10428343.76</v>
      </c>
      <c r="KZ10" s="212">
        <f t="shared" si="25"/>
        <v>10428343.76</v>
      </c>
      <c r="LA10" s="212">
        <f t="shared" si="25"/>
        <v>10428343.76</v>
      </c>
      <c r="LB10" s="212">
        <f t="shared" si="25"/>
        <v>10428343.76</v>
      </c>
      <c r="LC10" s="212">
        <f t="shared" si="25"/>
        <v>10428343.76</v>
      </c>
      <c r="LD10" s="212">
        <f t="shared" si="25"/>
        <v>10428343.76</v>
      </c>
    </row>
    <row r="11" spans="1:794" s="204" customFormat="1">
      <c r="A11" s="842"/>
      <c r="B11" s="213" t="s">
        <v>582</v>
      </c>
      <c r="C11" s="214">
        <f>'Revenue Tracking'!F5</f>
        <v>7623191.6623272402</v>
      </c>
      <c r="D11" s="214">
        <f>SUM(F11:LD11)</f>
        <v>7622891.6623272402</v>
      </c>
      <c r="E11" s="198"/>
      <c r="F11" s="215">
        <f>SUMIFS('Expenditure Breakdown'!$Q$6:$Q$203, 'Expenditure Breakdown'!$W$6:$W$203, "&gt;="&amp;F1,'Expenditure Breakdown'!$W$6:$W$203, "&lt;"&amp;G1)</f>
        <v>0</v>
      </c>
      <c r="G11" s="215">
        <f>SUMIFS('Expenditure Breakdown'!$Q$6:$Q$203, 'Expenditure Breakdown'!$W$6:$W$203, "&gt;="&amp;G1,'Expenditure Breakdown'!$W$6:$W$203, "&lt;"&amp;H1)</f>
        <v>0</v>
      </c>
      <c r="H11" s="215">
        <f>SUMIFS('Expenditure Breakdown'!$Q$6:$Q$203, 'Expenditure Breakdown'!$W$6:$W$203, "&gt;="&amp;H1,'Expenditure Breakdown'!$W$6:$W$203, "&lt;"&amp;I1)</f>
        <v>0</v>
      </c>
      <c r="I11" s="215">
        <f>SUMIFS('Expenditure Breakdown'!$Q$6:$Q$203, 'Expenditure Breakdown'!$W$6:$W$203, "&gt;="&amp;I1,'Expenditure Breakdown'!$W$6:$W$203, "&lt;"&amp;J1)</f>
        <v>0</v>
      </c>
      <c r="J11" s="215">
        <f>SUMIFS('Expenditure Breakdown'!$Q$6:$Q$203, 'Expenditure Breakdown'!$W$6:$W$203, "&gt;="&amp;J1,'Expenditure Breakdown'!$W$6:$W$203, "&lt;"&amp;K1)</f>
        <v>0</v>
      </c>
      <c r="K11" s="215">
        <f>SUMIFS('Expenditure Breakdown'!$Q$6:$Q$203, 'Expenditure Breakdown'!$W$6:$W$203, "&gt;="&amp;K1,'Expenditure Breakdown'!$W$6:$W$203, "&lt;"&amp;L1)</f>
        <v>0</v>
      </c>
      <c r="L11" s="215">
        <f>SUMIFS('Expenditure Breakdown'!$Q$6:$Q$203, 'Expenditure Breakdown'!$W$6:$W$203, "&gt;="&amp;L1,'Expenditure Breakdown'!$W$6:$W$203, "&lt;"&amp;M1)</f>
        <v>9620</v>
      </c>
      <c r="M11" s="215">
        <f>SUMIFS('Expenditure Breakdown'!$Q$6:$Q$203, 'Expenditure Breakdown'!$W$6:$W$203, "&gt;="&amp;M1,'Expenditure Breakdown'!$W$6:$W$203, "&lt;"&amp;N1)</f>
        <v>0</v>
      </c>
      <c r="N11" s="215">
        <f>SUMIFS('Expenditure Breakdown'!$Q$6:$Q$203, 'Expenditure Breakdown'!$W$6:$W$203, "&gt;="&amp;N1,'Expenditure Breakdown'!$W$6:$W$203, "&lt;"&amp;O1)</f>
        <v>0</v>
      </c>
      <c r="O11" s="215">
        <f>SUMIFS('Expenditure Breakdown'!$Q$6:$Q$203, 'Expenditure Breakdown'!$W$6:$W$203, "&gt;="&amp;O1,'Expenditure Breakdown'!$W$6:$W$203, "&lt;"&amp;P1)</f>
        <v>0</v>
      </c>
      <c r="P11" s="215">
        <f>SUMIFS('Expenditure Breakdown'!$Q$6:$Q$203, 'Expenditure Breakdown'!$W$6:$W$203, "&gt;="&amp;P1,'Expenditure Breakdown'!$W$6:$W$203, "&lt;"&amp;Q1)</f>
        <v>0</v>
      </c>
      <c r="Q11" s="215">
        <f>SUMIFS('Expenditure Breakdown'!$Q$6:$Q$203, 'Expenditure Breakdown'!$W$6:$W$203, "&gt;="&amp;Q1,'Expenditure Breakdown'!$W$6:$W$203, "&lt;"&amp;R1)</f>
        <v>9019.6</v>
      </c>
      <c r="R11" s="215">
        <f>SUMIFS('Expenditure Breakdown'!$Q$6:$Q$203, 'Expenditure Breakdown'!$W$6:$W$203, "&gt;="&amp;R1,'Expenditure Breakdown'!$W$6:$W$203, "&lt;"&amp;S1)</f>
        <v>0</v>
      </c>
      <c r="S11" s="215">
        <f>SUMIFS('Expenditure Breakdown'!$Q$6:$Q$203, 'Expenditure Breakdown'!$W$6:$W$203, "&gt;="&amp;S1,'Expenditure Breakdown'!$W$6:$W$203, "&lt;"&amp;T1)</f>
        <v>0</v>
      </c>
      <c r="T11" s="215">
        <f>SUMIFS('Expenditure Breakdown'!$Q$6:$Q$203, 'Expenditure Breakdown'!$W$6:$W$203, "&gt;="&amp;T1,'Expenditure Breakdown'!$W$6:$W$203, "&lt;"&amp;U1)</f>
        <v>79700</v>
      </c>
      <c r="U11" s="215">
        <f>SUMIFS('Expenditure Breakdown'!$Q$6:$Q$203, 'Expenditure Breakdown'!$W$6:$W$203, "&gt;="&amp;U1,'Expenditure Breakdown'!$W$6:$W$203, "&lt;"&amp;V1)</f>
        <v>0</v>
      </c>
      <c r="V11" s="215">
        <f>SUMIFS('Expenditure Breakdown'!$Q$6:$Q$203, 'Expenditure Breakdown'!$W$6:$W$203, "&gt;="&amp;V1,'Expenditure Breakdown'!$W$6:$W$203, "&lt;"&amp;W1)</f>
        <v>0</v>
      </c>
      <c r="W11" s="215">
        <f>SUMIFS('Expenditure Breakdown'!$Q$6:$Q$203, 'Expenditure Breakdown'!$W$6:$W$203, "&gt;="&amp;W1,'Expenditure Breakdown'!$W$6:$W$203, "&lt;"&amp;X1)</f>
        <v>0</v>
      </c>
      <c r="X11" s="215">
        <f>SUMIFS('Expenditure Breakdown'!$Q$6:$Q$203, 'Expenditure Breakdown'!$W$6:$W$203, "&gt;="&amp;X1,'Expenditure Breakdown'!$W$6:$W$203, "&lt;"&amp;Y1)</f>
        <v>0</v>
      </c>
      <c r="Y11" s="215">
        <f>SUMIFS('Expenditure Breakdown'!$Q$6:$Q$203, 'Expenditure Breakdown'!$W$6:$W$203, "&gt;="&amp;Y1,'Expenditure Breakdown'!$W$6:$W$203, "&lt;"&amp;Z1)</f>
        <v>0</v>
      </c>
      <c r="Z11" s="215">
        <f>SUMIFS('Expenditure Breakdown'!$Q$6:$Q$203, 'Expenditure Breakdown'!$W$6:$W$203, "&gt;="&amp;Z1,'Expenditure Breakdown'!$W$6:$W$203, "&lt;"&amp;AA1)</f>
        <v>0</v>
      </c>
      <c r="AA11" s="215">
        <f>SUMIFS('Expenditure Breakdown'!$Q$6:$Q$203, 'Expenditure Breakdown'!$W$6:$W$203, "&gt;="&amp;AA1,'Expenditure Breakdown'!$W$6:$W$203, "&lt;"&amp;AB1)</f>
        <v>0</v>
      </c>
      <c r="AB11" s="215">
        <f>SUMIFS('Expenditure Breakdown'!$Q$6:$Q$203, 'Expenditure Breakdown'!$W$6:$W$203, "&gt;="&amp;AB1,'Expenditure Breakdown'!$W$6:$W$203, "&lt;"&amp;AC1)</f>
        <v>0</v>
      </c>
      <c r="AC11" s="215">
        <f>SUMIFS('Expenditure Breakdown'!$Q$6:$Q$203, 'Expenditure Breakdown'!$W$6:$W$203, "&gt;="&amp;AC1,'Expenditure Breakdown'!$W$6:$W$203, "&lt;"&amp;AD1)</f>
        <v>0</v>
      </c>
      <c r="AD11" s="215">
        <f>SUMIFS('Expenditure Breakdown'!$Q$6:$Q$203, 'Expenditure Breakdown'!$W$6:$W$203, "&gt;="&amp;AD1,'Expenditure Breakdown'!$W$6:$W$203, "&lt;"&amp;AE1)</f>
        <v>0</v>
      </c>
      <c r="AE11" s="215">
        <f>SUMIFS('Expenditure Breakdown'!$Q$6:$Q$203, 'Expenditure Breakdown'!$W$6:$W$203, "&gt;="&amp;AE1,'Expenditure Breakdown'!$W$6:$W$203, "&lt;"&amp;AF1)</f>
        <v>0</v>
      </c>
      <c r="AF11" s="215">
        <f>SUMIFS('Expenditure Breakdown'!$Q$6:$Q$203, 'Expenditure Breakdown'!$W$6:$W$203, "&gt;="&amp;AF1,'Expenditure Breakdown'!$W$6:$W$203, "&lt;"&amp;AG1)</f>
        <v>0</v>
      </c>
      <c r="AG11" s="215">
        <f>SUMIFS('Expenditure Breakdown'!$Q$6:$Q$203, 'Expenditure Breakdown'!$W$6:$W$203, "&gt;="&amp;AG1,'Expenditure Breakdown'!$W$6:$W$203, "&lt;"&amp;AH1)</f>
        <v>0</v>
      </c>
      <c r="AH11" s="215">
        <f>SUMIFS('Expenditure Breakdown'!$Q$6:$Q$203, 'Expenditure Breakdown'!$W$6:$W$203, "&gt;="&amp;AH1,'Expenditure Breakdown'!$W$6:$W$203, "&lt;"&amp;AI1)</f>
        <v>3575.5</v>
      </c>
      <c r="AI11" s="215">
        <f>SUMIFS('Expenditure Breakdown'!$Q$6:$Q$203, 'Expenditure Breakdown'!$W$6:$W$203, "&gt;="&amp;AI1,'Expenditure Breakdown'!$W$6:$W$203, "&lt;"&amp;AJ1)</f>
        <v>0</v>
      </c>
      <c r="AJ11" s="215">
        <f>SUMIFS('Expenditure Breakdown'!$Q$6:$Q$203, 'Expenditure Breakdown'!$W$6:$W$203, "&gt;="&amp;AJ1,'Expenditure Breakdown'!$W$6:$W$203, "&lt;"&amp;AK1)</f>
        <v>0</v>
      </c>
      <c r="AK11" s="215">
        <f>SUMIFS('Expenditure Breakdown'!$Q$6:$Q$203, 'Expenditure Breakdown'!$W$6:$W$203, "&gt;="&amp;AK1,'Expenditure Breakdown'!$W$6:$W$203, "&lt;"&amp;AL1)</f>
        <v>55169</v>
      </c>
      <c r="AL11" s="215">
        <f>SUMIFS('Expenditure Breakdown'!$Q$6:$Q$203, 'Expenditure Breakdown'!$W$6:$W$203, "&gt;="&amp;AL1,'Expenditure Breakdown'!$W$6:$W$203, "&lt;"&amp;AM1)</f>
        <v>13986.749999999998</v>
      </c>
      <c r="AM11" s="215">
        <f>SUMIFS('Expenditure Breakdown'!$Q$6:$Q$203, 'Expenditure Breakdown'!$W$6:$W$203, "&gt;="&amp;AM1,'Expenditure Breakdown'!$W$6:$W$203, "&lt;"&amp;AN1)</f>
        <v>0</v>
      </c>
      <c r="AN11" s="215">
        <f>SUMIFS('Expenditure Breakdown'!$Q$6:$Q$203, 'Expenditure Breakdown'!$W$6:$W$203, "&gt;="&amp;AN1,'Expenditure Breakdown'!$W$6:$W$203, "&lt;"&amp;AO1)</f>
        <v>0</v>
      </c>
      <c r="AO11" s="215">
        <f>SUMIFS('Expenditure Breakdown'!$Q$6:$Q$203, 'Expenditure Breakdown'!$W$6:$W$203, "&gt;="&amp;AO1,'Expenditure Breakdown'!$W$6:$W$203, "&lt;"&amp;AP1)</f>
        <v>0</v>
      </c>
      <c r="AP11" s="215">
        <f>SUMIFS('Expenditure Breakdown'!$Q$6:$Q$203, 'Expenditure Breakdown'!$W$6:$W$203, "&gt;="&amp;AP1,'Expenditure Breakdown'!$W$6:$W$203, "&lt;"&amp;AQ1)</f>
        <v>0</v>
      </c>
      <c r="AQ11" s="215">
        <f>SUMIFS('Expenditure Breakdown'!$Q$6:$Q$203, 'Expenditure Breakdown'!$W$6:$W$203, "&gt;="&amp;AQ1,'Expenditure Breakdown'!$W$6:$W$203, "&lt;"&amp;AR1)</f>
        <v>0</v>
      </c>
      <c r="AR11" s="215">
        <f>SUMIFS('Expenditure Breakdown'!$Q$6:$Q$203, 'Expenditure Breakdown'!$W$6:$W$203, "&gt;="&amp;AR1,'Expenditure Breakdown'!$W$6:$W$203, "&lt;"&amp;AS1)</f>
        <v>192717</v>
      </c>
      <c r="AS11" s="215">
        <f>SUMIFS('Expenditure Breakdown'!$Q$6:$Q$203, 'Expenditure Breakdown'!$W$6:$W$203, "&gt;="&amp;AS1,'Expenditure Breakdown'!$W$6:$W$203, "&lt;"&amp;AT1)</f>
        <v>0</v>
      </c>
      <c r="AT11" s="215">
        <f>SUMIFS('Expenditure Breakdown'!$Q$6:$Q$203, 'Expenditure Breakdown'!$W$6:$W$203, "&gt;="&amp;AT1,'Expenditure Breakdown'!$W$6:$W$203, "&lt;"&amp;AU1)</f>
        <v>-26000</v>
      </c>
      <c r="AU11" s="215">
        <f>SUMIFS('Expenditure Breakdown'!$Q$6:$Q$203, 'Expenditure Breakdown'!$W$6:$W$203, "&gt;="&amp;AU1,'Expenditure Breakdown'!$W$6:$W$203, "&lt;"&amp;AV1)</f>
        <v>436340</v>
      </c>
      <c r="AV11" s="215">
        <f>SUMIFS('Expenditure Breakdown'!$Q$6:$Q$203, 'Expenditure Breakdown'!$W$6:$W$203, "&gt;="&amp;AV1,'Expenditure Breakdown'!$W$6:$W$203, "&lt;"&amp;AW1)</f>
        <v>0</v>
      </c>
      <c r="AW11" s="215">
        <f>SUMIFS('Expenditure Breakdown'!$Q$6:$Q$203, 'Expenditure Breakdown'!$W$6:$W$203, "&gt;="&amp;AW1,'Expenditure Breakdown'!$W$6:$W$203, "&lt;"&amp;AX1)</f>
        <v>0</v>
      </c>
      <c r="AX11" s="215">
        <f>SUMIFS('Expenditure Breakdown'!$Q$6:$Q$203, 'Expenditure Breakdown'!$W$6:$W$203, "&gt;="&amp;AX1,'Expenditure Breakdown'!$W$6:$W$203, "&lt;"&amp;AY1)</f>
        <v>158695.91999999998</v>
      </c>
      <c r="AY11" s="215">
        <f>SUMIFS('Expenditure Breakdown'!$Q$6:$Q$203, 'Expenditure Breakdown'!$W$6:$W$203, "&gt;="&amp;AY1,'Expenditure Breakdown'!$W$6:$W$203, "&lt;"&amp;AZ1)</f>
        <v>5515.35</v>
      </c>
      <c r="AZ11" s="215">
        <f>SUMIFS('Expenditure Breakdown'!$Q$6:$Q$203, 'Expenditure Breakdown'!$W$6:$W$203, "&gt;="&amp;AZ1,'Expenditure Breakdown'!$W$6:$W$203, "&lt;"&amp;BA1)</f>
        <v>3263161.0080000008</v>
      </c>
      <c r="BA11" s="215">
        <f>SUMIFS('Expenditure Breakdown'!$Q$6:$Q$203, 'Expenditure Breakdown'!$W$6:$W$203, "&gt;="&amp;BA1,'Expenditure Breakdown'!$W$6:$W$203, "&lt;"&amp;BB1)</f>
        <v>1618621.95</v>
      </c>
      <c r="BB11" s="215">
        <f>SUMIFS('Expenditure Breakdown'!$Q$6:$Q$203, 'Expenditure Breakdown'!$W$6:$W$203, "&gt;="&amp;BB1,'Expenditure Breakdown'!$W$6:$W$203, "&lt;"&amp;BC1)</f>
        <v>0</v>
      </c>
      <c r="BC11" s="215">
        <f>SUMIFS('Expenditure Breakdown'!$Q$6:$Q$203, 'Expenditure Breakdown'!$W$6:$W$203, "&gt;="&amp;BC1,'Expenditure Breakdown'!$W$6:$W$203, "&lt;"&amp;BD1)</f>
        <v>395550.67</v>
      </c>
      <c r="BD11" s="215">
        <f>SUMIFS('Expenditure Breakdown'!$Q$6:$Q$203, 'Expenditure Breakdown'!$W$6:$W$203, "&gt;="&amp;BD1,'Expenditure Breakdown'!$W$6:$W$203, "&lt;"&amp;BE1)</f>
        <v>0</v>
      </c>
      <c r="BE11" s="215">
        <f>SUMIFS('Expenditure Breakdown'!$Q$6:$Q$203, 'Expenditure Breakdown'!$W$6:$W$203, "&gt;="&amp;BE1,'Expenditure Breakdown'!$W$6:$W$203, "&lt;"&amp;BF1)</f>
        <v>0</v>
      </c>
      <c r="BF11" s="215">
        <f>SUMIFS('Expenditure Breakdown'!$Q$6:$Q$203, 'Expenditure Breakdown'!$W$6:$W$203, "&gt;="&amp;BF1,'Expenditure Breakdown'!$W$6:$W$203, "&lt;"&amp;BG1)</f>
        <v>15556.95</v>
      </c>
      <c r="BG11" s="215">
        <f>SUMIFS('Expenditure Breakdown'!$Q$6:$Q$203, 'Expenditure Breakdown'!$W$6:$W$203, "&gt;="&amp;BG1,'Expenditure Breakdown'!$W$6:$W$203, "&lt;"&amp;BH1)</f>
        <v>0</v>
      </c>
      <c r="BH11" s="215">
        <f>SUMIFS('Expenditure Breakdown'!$Q$6:$Q$203, 'Expenditure Breakdown'!$W$6:$W$203, "&gt;="&amp;BH1,'Expenditure Breakdown'!$W$6:$W$203, "&lt;"&amp;BI1)</f>
        <v>-8629.7799999999988</v>
      </c>
      <c r="BI11" s="215">
        <f>SUMIFS('Expenditure Breakdown'!$Q$6:$Q$203, 'Expenditure Breakdown'!$W$6:$W$203, "&gt;="&amp;BI1,'Expenditure Breakdown'!$W$6:$W$203, "&lt;"&amp;BJ1)</f>
        <v>379446.33</v>
      </c>
      <c r="BJ11" s="215">
        <f>SUMIFS('Expenditure Breakdown'!$Q$6:$Q$203, 'Expenditure Breakdown'!$W$6:$W$203, "&gt;="&amp;BJ1,'Expenditure Breakdown'!$W$6:$W$203, "&lt;"&amp;BK1)</f>
        <v>0</v>
      </c>
      <c r="BK11" s="215">
        <f>SUMIFS('Expenditure Breakdown'!$Q$6:$Q$203, 'Expenditure Breakdown'!$W$6:$W$203, "&gt;="&amp;BK1,'Expenditure Breakdown'!$W$6:$W$203, "&lt;"&amp;BL1)</f>
        <v>0</v>
      </c>
      <c r="BL11" s="215">
        <f>SUMIFS('Expenditure Breakdown'!$Q$6:$Q$203, 'Expenditure Breakdown'!$W$6:$W$203, "&gt;="&amp;BL1,'Expenditure Breakdown'!$W$6:$W$203, "&lt;"&amp;BM1)</f>
        <v>23198.03</v>
      </c>
      <c r="BM11" s="215">
        <f>SUMIFS('Expenditure Breakdown'!$Q$6:$Q$203, 'Expenditure Breakdown'!$W$6:$W$203, "&gt;="&amp;BM1,'Expenditure Breakdown'!$W$6:$W$203, "&lt;"&amp;BN1)</f>
        <v>0</v>
      </c>
      <c r="BN11" s="215">
        <f>SUMIFS('Expenditure Breakdown'!$Q$6:$Q$203, 'Expenditure Breakdown'!$W$6:$W$203, "&gt;="&amp;BN1,'Expenditure Breakdown'!$W$6:$W$203, "&lt;"&amp;BO1)</f>
        <v>361924.72000000003</v>
      </c>
      <c r="BO11" s="215">
        <f>SUMIFS('Expenditure Breakdown'!$Q$6:$Q$203, 'Expenditure Breakdown'!$W$6:$W$203, "&gt;="&amp;BO1,'Expenditure Breakdown'!$W$6:$W$203, "&lt;"&amp;BP1)</f>
        <v>226.34</v>
      </c>
      <c r="BP11" s="215">
        <f>SUMIFS('Expenditure Breakdown'!$Q$6:$Q$203, 'Expenditure Breakdown'!$W$6:$W$203, "&gt;="&amp;BP1,'Expenditure Breakdown'!$W$6:$W$203, "&lt;"&amp;BQ1)</f>
        <v>-49161.4</v>
      </c>
      <c r="BQ11" s="215">
        <f>SUMIFS('Expenditure Breakdown'!$Q$6:$Q$203, 'Expenditure Breakdown'!$W$6:$W$203, "&gt;="&amp;BQ1,'Expenditure Breakdown'!$W$6:$W$203, "&lt;"&amp;BR1)</f>
        <v>449560.50000000006</v>
      </c>
      <c r="BR11" s="215">
        <f>SUMIFS('Expenditure Breakdown'!$Q$6:$Q$203, 'Expenditure Breakdown'!$W$6:$W$203, "&gt;="&amp;BR1,'Expenditure Breakdown'!$W$6:$W$203, "&lt;"&amp;BS1)</f>
        <v>2250</v>
      </c>
      <c r="BS11" s="215">
        <f>SUMIFS('Expenditure Breakdown'!$Q$6:$Q$203, 'Expenditure Breakdown'!$W$6:$W$203, "&gt;="&amp;BS1,'Expenditure Breakdown'!$W$6:$W$203, "&lt;"&amp;BT1)</f>
        <v>0</v>
      </c>
      <c r="BT11" s="215">
        <f>SUMIFS('Expenditure Breakdown'!$Q$6:$Q$203, 'Expenditure Breakdown'!$W$6:$W$203, "&gt;="&amp;BT1,'Expenditure Breakdown'!$W$6:$W$203, "&lt;"&amp;BU1)</f>
        <v>8842.4600000000009</v>
      </c>
      <c r="BU11" s="215">
        <f>SUMIFS('Expenditure Breakdown'!$Q$6:$Q$203, 'Expenditure Breakdown'!$W$6:$W$203, "&gt;="&amp;BU1,'Expenditure Breakdown'!$W$6:$W$203, "&lt;"&amp;BV1)</f>
        <v>93650.459999999992</v>
      </c>
      <c r="BV11" s="215">
        <f>SUMIFS('Expenditure Breakdown'!$Q$6:$Q$203, 'Expenditure Breakdown'!$W$6:$W$203, "&gt;="&amp;BV1,'Expenditure Breakdown'!$W$6:$W$203, "&lt;"&amp;BW1)</f>
        <v>0</v>
      </c>
      <c r="BW11" s="215">
        <f>SUMIFS('Expenditure Breakdown'!$Q$6:$Q$203, 'Expenditure Breakdown'!$W$6:$W$203, "&gt;="&amp;BW1,'Expenditure Breakdown'!$W$6:$W$203, "&lt;"&amp;BX1)</f>
        <v>0</v>
      </c>
      <c r="BX11" s="215">
        <f>SUMIFS('Expenditure Breakdown'!$Q$6:$Q$203, 'Expenditure Breakdown'!$W$6:$W$203, "&gt;="&amp;BX1,'Expenditure Breakdown'!$W$6:$W$203, "&lt;"&amp;BY1)</f>
        <v>130354.30432724001</v>
      </c>
      <c r="BY11" s="215">
        <f>SUMIFS('Expenditure Breakdown'!$Q$6:$Q$203, 'Expenditure Breakdown'!$W$6:$W$203, "&gt;="&amp;BY1,'Expenditure Breakdown'!$W$6:$W$203, "&lt;"&amp;BZ1)</f>
        <v>0</v>
      </c>
      <c r="BZ11" s="215">
        <f>SUMIFS('Expenditure Breakdown'!$Q$6:$Q$203, 'Expenditure Breakdown'!$W$6:$W$203, "&gt;="&amp;BZ1,'Expenditure Breakdown'!$W$6:$W$203, "&lt;"&amp;CA1)</f>
        <v>0</v>
      </c>
      <c r="CA11" s="215">
        <f>SUMIFS('Expenditure Breakdown'!$Q$6:$Q$203, 'Expenditure Breakdown'!$W$6:$W$203, "&gt;="&amp;CA1,'Expenditure Breakdown'!$W$6:$W$203, "&lt;"&amp;CB1)</f>
        <v>0</v>
      </c>
      <c r="CB11" s="215">
        <f>SUMIFS('Expenditure Breakdown'!$Q$6:$Q$203, 'Expenditure Breakdown'!$W$6:$W$203, "&gt;="&amp;CB1,'Expenditure Breakdown'!$W$6:$W$203, "&lt;"&amp;CC1)</f>
        <v>0</v>
      </c>
      <c r="CC11" s="215">
        <f>SUMIFS('Expenditure Breakdown'!$Q$6:$Q$203, 'Expenditure Breakdown'!$W$6:$W$203, "&gt;="&amp;CC1,'Expenditure Breakdown'!$W$6:$W$203, "&lt;"&amp;CD1)</f>
        <v>0</v>
      </c>
      <c r="CD11" s="215">
        <f>SUMIFS('Expenditure Breakdown'!$Q$6:$Q$203, 'Expenditure Breakdown'!$W$6:$W$203, "&gt;="&amp;CD1,'Expenditure Breakdown'!$W$6:$W$203, "&lt;"&amp;CE1)</f>
        <v>0</v>
      </c>
      <c r="CE11" s="215">
        <f>SUMIFS('Expenditure Breakdown'!$Q$6:$Q$203, 'Expenditure Breakdown'!$W$6:$W$203, "&gt;="&amp;CE1,'Expenditure Breakdown'!$W$6:$W$203, "&lt;"&amp;CF1)</f>
        <v>0</v>
      </c>
      <c r="CF11" s="215">
        <f>SUMIFS('Expenditure Breakdown'!$Q$6:$Q$203, 'Expenditure Breakdown'!$W$6:$W$203, "&gt;="&amp;CF1,'Expenditure Breakdown'!$W$6:$W$203, "&lt;"&amp;CG1)</f>
        <v>0</v>
      </c>
      <c r="CG11" s="215">
        <f>SUMIFS('Expenditure Breakdown'!$Q$6:$Q$203, 'Expenditure Breakdown'!$W$6:$W$203, "&gt;="&amp;CG1,'Expenditure Breakdown'!$W$6:$W$203, "&lt;"&amp;CH1)</f>
        <v>0</v>
      </c>
      <c r="CH11" s="215">
        <f>SUMIFS('Expenditure Breakdown'!$Q$6:$Q$203, 'Expenditure Breakdown'!$W$6:$W$203, "&gt;="&amp;CH1,'Expenditure Breakdown'!$W$6:$W$203, "&lt;"&amp;CI1)</f>
        <v>0</v>
      </c>
      <c r="CI11" s="215">
        <f>SUMIFS('Expenditure Breakdown'!$Q$6:$Q$203, 'Expenditure Breakdown'!$W$6:$W$203, "&gt;="&amp;CI1,'Expenditure Breakdown'!$W$6:$W$203, "&lt;"&amp;CJ1)</f>
        <v>0</v>
      </c>
      <c r="CJ11" s="215">
        <f>SUMIFS('Expenditure Breakdown'!$Q$6:$Q$203, 'Expenditure Breakdown'!$W$6:$W$203, "&gt;="&amp;CJ1,'Expenditure Breakdown'!$W$6:$W$203, "&lt;"&amp;CK1)</f>
        <v>0</v>
      </c>
      <c r="CK11" s="215">
        <f>SUMIFS('Expenditure Breakdown'!$Q$6:$Q$203, 'Expenditure Breakdown'!$W$6:$W$203, "&gt;="&amp;CK1,'Expenditure Breakdown'!$W$6:$W$203, "&lt;"&amp;CL1)</f>
        <v>0</v>
      </c>
      <c r="CL11" s="215">
        <f>SUMIFS('Expenditure Breakdown'!$Q$6:$Q$203, 'Expenditure Breakdown'!$W$6:$W$203, "&gt;="&amp;CL1,'Expenditure Breakdown'!$W$6:$W$203, "&lt;"&amp;CM1)</f>
        <v>0</v>
      </c>
      <c r="CM11" s="215">
        <f>SUMIFS('Expenditure Breakdown'!$Q$6:$Q$203, 'Expenditure Breakdown'!$W$6:$W$203, "&gt;="&amp;CM1,'Expenditure Breakdown'!$W$6:$W$203, "&lt;"&amp;CN1)</f>
        <v>0</v>
      </c>
      <c r="CN11" s="215">
        <f>SUMIFS('Expenditure Breakdown'!$Q$6:$Q$203, 'Expenditure Breakdown'!$W$6:$W$203, "&gt;="&amp;CN1,'Expenditure Breakdown'!$W$6:$W$203, "&lt;"&amp;CO1)</f>
        <v>0</v>
      </c>
      <c r="CO11" s="215">
        <f>SUMIFS('Expenditure Breakdown'!$Q$6:$Q$203, 'Expenditure Breakdown'!$W$6:$W$203, "&gt;="&amp;CO1,'Expenditure Breakdown'!$W$6:$W$203, "&lt;"&amp;CP1)</f>
        <v>0</v>
      </c>
      <c r="CP11" s="215">
        <f>SUMIFS('Expenditure Breakdown'!$Q$6:$Q$203, 'Expenditure Breakdown'!$W$6:$W$203, "&gt;="&amp;CP1,'Expenditure Breakdown'!$W$6:$W$203, "&lt;"&amp;CQ1)</f>
        <v>0</v>
      </c>
      <c r="CQ11" s="215">
        <f>SUMIFS('Expenditure Breakdown'!$Q$6:$Q$203, 'Expenditure Breakdown'!$W$6:$W$203, "&gt;="&amp;CQ1,'Expenditure Breakdown'!$W$6:$W$203, "&lt;"&amp;CR1)</f>
        <v>0</v>
      </c>
      <c r="CR11" s="215">
        <f>SUMIFS('Expenditure Breakdown'!$Q$6:$Q$203, 'Expenditure Breakdown'!$W$6:$W$203, "&gt;="&amp;CR1,'Expenditure Breakdown'!$W$6:$W$203, "&lt;"&amp;CS1)</f>
        <v>0</v>
      </c>
      <c r="CS11" s="215">
        <f>SUMIFS('Expenditure Breakdown'!$Q$6:$Q$203, 'Expenditure Breakdown'!$W$6:$W$203, "&gt;="&amp;CS1,'Expenditure Breakdown'!$W$6:$W$203, "&lt;"&amp;CT1)</f>
        <v>0</v>
      </c>
      <c r="CT11" s="215">
        <f>SUMIFS('Expenditure Breakdown'!$Q$6:$Q$203, 'Expenditure Breakdown'!$W$6:$W$203, "&gt;="&amp;CT1,'Expenditure Breakdown'!$W$6:$W$203, "&lt;"&amp;CU1)</f>
        <v>0</v>
      </c>
      <c r="CU11" s="215">
        <f>SUMIFS('Expenditure Breakdown'!$Q$6:$Q$203, 'Expenditure Breakdown'!$W$6:$W$203, "&gt;="&amp;CU1,'Expenditure Breakdown'!$W$6:$W$203, "&lt;"&amp;CV1)</f>
        <v>0</v>
      </c>
      <c r="CV11" s="215">
        <f>SUMIFS('Expenditure Breakdown'!$Q$6:$Q$203, 'Expenditure Breakdown'!$W$6:$W$203, "&gt;="&amp;CV1,'Expenditure Breakdown'!$W$6:$W$203, "&lt;"&amp;CW1)</f>
        <v>0</v>
      </c>
      <c r="CW11" s="215">
        <f>SUMIFS('Expenditure Breakdown'!$Q$6:$Q$203, 'Expenditure Breakdown'!$W$6:$W$203, "&gt;="&amp;CW1,'Expenditure Breakdown'!$W$6:$W$203, "&lt;"&amp;CX1)</f>
        <v>0</v>
      </c>
      <c r="CX11" s="215">
        <f>SUMIFS('Expenditure Breakdown'!$Q$6:$Q$203, 'Expenditure Breakdown'!$W$6:$W$203, "&gt;="&amp;CX1,'Expenditure Breakdown'!$W$6:$W$203, "&lt;"&amp;CY1)</f>
        <v>0</v>
      </c>
      <c r="CY11" s="215">
        <f>SUMIFS('Expenditure Breakdown'!$Q$6:$Q$203, 'Expenditure Breakdown'!$W$6:$W$203, "&gt;="&amp;CY1,'Expenditure Breakdown'!$W$6:$W$203, "&lt;"&amp;CZ1)</f>
        <v>0</v>
      </c>
      <c r="CZ11" s="215">
        <f>SUMIFS('Expenditure Breakdown'!$Q$6:$Q$203, 'Expenditure Breakdown'!$W$6:$W$203, "&gt;="&amp;CZ1,'Expenditure Breakdown'!$W$6:$W$203, "&lt;"&amp;DA1)</f>
        <v>0</v>
      </c>
      <c r="DA11" s="215">
        <f>SUMIFS('Expenditure Breakdown'!$Q$6:$Q$203, 'Expenditure Breakdown'!$W$6:$W$203, "&gt;="&amp;DA1,'Expenditure Breakdown'!$W$6:$W$203, "&lt;"&amp;DB1)</f>
        <v>0</v>
      </c>
      <c r="DB11" s="215">
        <f>SUMIFS('Expenditure Breakdown'!$Q$6:$Q$203, 'Expenditure Breakdown'!$W$6:$W$203, "&gt;="&amp;DB1,'Expenditure Breakdown'!$W$6:$W$203, "&lt;"&amp;DC1)</f>
        <v>0</v>
      </c>
      <c r="DC11" s="215">
        <f>SUMIFS('Expenditure Breakdown'!$Q$6:$Q$203, 'Expenditure Breakdown'!$W$6:$W$203, "&gt;="&amp;DC1,'Expenditure Breakdown'!$W$6:$W$203, "&lt;"&amp;DD1)</f>
        <v>0</v>
      </c>
      <c r="DD11" s="215">
        <f>SUMIFS('Expenditure Breakdown'!$Q$6:$Q$203, 'Expenditure Breakdown'!$W$6:$W$203, "&gt;="&amp;DD1,'Expenditure Breakdown'!$W$6:$W$203, "&lt;"&amp;DE1)</f>
        <v>0</v>
      </c>
      <c r="DE11" s="215">
        <f>SUMIFS('Expenditure Breakdown'!$Q$6:$Q$203, 'Expenditure Breakdown'!$W$6:$W$203, "&gt;="&amp;DE1,'Expenditure Breakdown'!$W$6:$W$203, "&lt;"&amp;DF1)</f>
        <v>0</v>
      </c>
      <c r="DF11" s="215">
        <f>SUMIFS('Expenditure Breakdown'!$Q$6:$Q$203, 'Expenditure Breakdown'!$W$6:$W$203, "&gt;="&amp;DF1,'Expenditure Breakdown'!$W$6:$W$203, "&lt;"&amp;DG1)</f>
        <v>0</v>
      </c>
      <c r="DG11" s="215">
        <f>SUMIFS('Expenditure Breakdown'!$Q$6:$Q$203, 'Expenditure Breakdown'!$W$6:$W$203, "&gt;="&amp;DG1,'Expenditure Breakdown'!$W$6:$W$203, "&lt;"&amp;DH1)</f>
        <v>0</v>
      </c>
      <c r="DH11" s="215">
        <f>SUMIFS('Expenditure Breakdown'!$Q$6:$Q$203, 'Expenditure Breakdown'!$W$6:$W$203, "&gt;="&amp;DH1,'Expenditure Breakdown'!$W$6:$W$203, "&lt;"&amp;DI1)</f>
        <v>0</v>
      </c>
      <c r="DI11" s="215">
        <f>SUMIFS('Expenditure Breakdown'!$Q$6:$Q$203, 'Expenditure Breakdown'!$W$6:$W$203, "&gt;="&amp;DI1,'Expenditure Breakdown'!$W$6:$W$203, "&lt;"&amp;DJ1)</f>
        <v>0</v>
      </c>
      <c r="DJ11" s="215">
        <f>SUMIFS('Expenditure Breakdown'!$Q$6:$Q$203, 'Expenditure Breakdown'!$W$6:$W$203, "&gt;="&amp;DJ1,'Expenditure Breakdown'!$W$6:$W$203, "&lt;"&amp;DK1)</f>
        <v>0</v>
      </c>
      <c r="DK11" s="215">
        <f>SUMIFS('Expenditure Breakdown'!$Q$6:$Q$203, 'Expenditure Breakdown'!$W$6:$W$203, "&gt;="&amp;DK1,'Expenditure Breakdown'!$W$6:$W$203, "&lt;"&amp;DL1)</f>
        <v>0</v>
      </c>
      <c r="DL11" s="215">
        <f>SUMIFS('Expenditure Breakdown'!$Q$6:$Q$203, 'Expenditure Breakdown'!$W$6:$W$203, "&gt;="&amp;DL1,'Expenditure Breakdown'!$W$6:$W$203, "&lt;"&amp;DM1)</f>
        <v>0</v>
      </c>
      <c r="DM11" s="215">
        <f>SUMIFS('Expenditure Breakdown'!$Q$6:$Q$203, 'Expenditure Breakdown'!$W$6:$W$203, "&gt;="&amp;DM1,'Expenditure Breakdown'!$W$6:$W$203, "&lt;"&amp;DN1)</f>
        <v>0</v>
      </c>
      <c r="DN11" s="215">
        <f>SUMIFS('Expenditure Breakdown'!$Q$6:$Q$203, 'Expenditure Breakdown'!$W$6:$W$203, "&gt;="&amp;DN1,'Expenditure Breakdown'!$W$6:$W$203, "&lt;"&amp;DO1)</f>
        <v>0</v>
      </c>
      <c r="DO11" s="215">
        <f>SUMIFS('Expenditure Breakdown'!$Q$6:$Q$203, 'Expenditure Breakdown'!$W$6:$W$203, "&gt;="&amp;DO1,'Expenditure Breakdown'!$W$6:$W$203, "&lt;"&amp;DP1)</f>
        <v>0</v>
      </c>
      <c r="DP11" s="215">
        <f>SUMIFS('Expenditure Breakdown'!$Q$6:$Q$203, 'Expenditure Breakdown'!$W$6:$W$203, "&gt;="&amp;DP1,'Expenditure Breakdown'!$W$6:$W$203, "&lt;"&amp;DQ1)</f>
        <v>0</v>
      </c>
      <c r="DQ11" s="215">
        <f>SUMIFS('Expenditure Breakdown'!$Q$6:$Q$203, 'Expenditure Breakdown'!$W$6:$W$203, "&gt;="&amp;DQ1,'Expenditure Breakdown'!$W$6:$W$203, "&lt;"&amp;DR1)</f>
        <v>0</v>
      </c>
      <c r="DR11" s="215">
        <f>SUMIFS('Expenditure Breakdown'!$Q$6:$Q$203, 'Expenditure Breakdown'!$W$6:$W$203, "&gt;="&amp;DR1,'Expenditure Breakdown'!$W$6:$W$203, "&lt;"&amp;DS1)</f>
        <v>0</v>
      </c>
      <c r="DS11" s="215">
        <f>SUMIFS('Expenditure Breakdown'!$Q$6:$Q$203, 'Expenditure Breakdown'!$W$6:$W$203, "&gt;="&amp;DS1,'Expenditure Breakdown'!$W$6:$W$203, "&lt;"&amp;DT1)</f>
        <v>0</v>
      </c>
      <c r="DT11" s="215">
        <f>SUMIFS('Expenditure Breakdown'!$Q$6:$Q$203, 'Expenditure Breakdown'!$W$6:$W$203, "&gt;="&amp;DT1,'Expenditure Breakdown'!$W$6:$W$203, "&lt;"&amp;DU1)</f>
        <v>0</v>
      </c>
      <c r="DU11" s="215">
        <f>SUMIFS('Expenditure Breakdown'!$Q$6:$Q$203, 'Expenditure Breakdown'!$W$6:$W$203, "&gt;="&amp;DU1,'Expenditure Breakdown'!$W$6:$W$203, "&lt;"&amp;DV1)</f>
        <v>0</v>
      </c>
      <c r="DV11" s="215">
        <f>SUMIFS('Expenditure Breakdown'!$Q$6:$Q$203, 'Expenditure Breakdown'!$W$6:$W$203, "&gt;="&amp;DV1,'Expenditure Breakdown'!$W$6:$W$203, "&lt;"&amp;DW1)</f>
        <v>0</v>
      </c>
      <c r="DW11" s="215">
        <f>SUMIFS('Expenditure Breakdown'!$Q$6:$Q$203, 'Expenditure Breakdown'!$W$6:$W$203, "&gt;="&amp;DW1,'Expenditure Breakdown'!$W$6:$W$203, "&lt;"&amp;DX1)</f>
        <v>0</v>
      </c>
      <c r="DX11" s="215">
        <f>SUMIFS('Expenditure Breakdown'!$Q$6:$Q$203, 'Expenditure Breakdown'!$W$6:$W$203, "&gt;="&amp;DX1,'Expenditure Breakdown'!$W$6:$W$203, "&lt;"&amp;DY1)</f>
        <v>0</v>
      </c>
      <c r="DY11" s="215">
        <f>SUMIFS('Expenditure Breakdown'!$Q$6:$Q$203, 'Expenditure Breakdown'!$W$6:$W$203, "&gt;="&amp;DY1,'Expenditure Breakdown'!$W$6:$W$203, "&lt;"&amp;DZ1)</f>
        <v>0</v>
      </c>
      <c r="DZ11" s="215">
        <f>SUMIFS('Expenditure Breakdown'!$Q$6:$Q$203, 'Expenditure Breakdown'!$W$6:$W$203, "&gt;="&amp;DZ1,'Expenditure Breakdown'!$W$6:$W$203, "&lt;"&amp;EA1)</f>
        <v>0</v>
      </c>
      <c r="EA11" s="215">
        <f>SUMIFS('Expenditure Breakdown'!$Q$6:$Q$203, 'Expenditure Breakdown'!$W$6:$W$203, "&gt;="&amp;EA1,'Expenditure Breakdown'!$W$6:$W$203, "&lt;"&amp;EB1)</f>
        <v>0</v>
      </c>
      <c r="EB11" s="215">
        <f>SUMIFS('Expenditure Breakdown'!$Q$6:$Q$203, 'Expenditure Breakdown'!$W$6:$W$203, "&gt;="&amp;EB1,'Expenditure Breakdown'!$W$6:$W$203, "&lt;"&amp;EC1)</f>
        <v>0</v>
      </c>
      <c r="EC11" s="215">
        <f>SUMIFS('Expenditure Breakdown'!$Q$6:$Q$203, 'Expenditure Breakdown'!$W$6:$W$203, "&gt;="&amp;EC1,'Expenditure Breakdown'!$W$6:$W$203, "&lt;"&amp;ED1)</f>
        <v>0</v>
      </c>
      <c r="ED11" s="215">
        <f>SUMIFS('Expenditure Breakdown'!$Q$6:$Q$203, 'Expenditure Breakdown'!$W$6:$W$203, "&gt;="&amp;ED1,'Expenditure Breakdown'!$W$6:$W$203, "&lt;"&amp;EE1)</f>
        <v>0</v>
      </c>
      <c r="EE11" s="215">
        <f>SUMIFS('Expenditure Breakdown'!$Q$6:$Q$203, 'Expenditure Breakdown'!$W$6:$W$203, "&gt;="&amp;EE1,'Expenditure Breakdown'!$W$6:$W$203, "&lt;"&amp;EF1)</f>
        <v>0</v>
      </c>
      <c r="EF11" s="215">
        <f>SUMIFS('Expenditure Breakdown'!$Q$6:$Q$203, 'Expenditure Breakdown'!$W$6:$W$203, "&gt;="&amp;EF1,'Expenditure Breakdown'!$W$6:$W$203, "&lt;"&amp;EG1)</f>
        <v>0</v>
      </c>
      <c r="EG11" s="215">
        <f>SUMIFS('Expenditure Breakdown'!$Q$6:$Q$203, 'Expenditure Breakdown'!$W$6:$W$203, "&gt;="&amp;EG1,'Expenditure Breakdown'!$W$6:$W$203, "&lt;"&amp;EH1)</f>
        <v>0</v>
      </c>
      <c r="EH11" s="215">
        <f>SUMIFS('Expenditure Breakdown'!$Q$6:$Q$203, 'Expenditure Breakdown'!$W$6:$W$203, "&gt;="&amp;EH1,'Expenditure Breakdown'!$W$6:$W$203, "&lt;"&amp;EI1)</f>
        <v>0</v>
      </c>
      <c r="EI11" s="215">
        <f>SUMIFS('Expenditure Breakdown'!$Q$6:$Q$203, 'Expenditure Breakdown'!$W$6:$W$203, "&gt;="&amp;EI1,'Expenditure Breakdown'!$W$6:$W$203, "&lt;"&amp;EJ1)</f>
        <v>0</v>
      </c>
      <c r="EJ11" s="215">
        <f>SUMIFS('Expenditure Breakdown'!$Q$6:$Q$203, 'Expenditure Breakdown'!$W$6:$W$203, "&gt;="&amp;EJ1,'Expenditure Breakdown'!$W$6:$W$203, "&lt;"&amp;EK1)</f>
        <v>0</v>
      </c>
      <c r="EK11" s="215">
        <f>SUMIFS('Expenditure Breakdown'!$Q$6:$Q$203, 'Expenditure Breakdown'!$W$6:$W$203, "&gt;="&amp;EK1,'Expenditure Breakdown'!$W$6:$W$203, "&lt;"&amp;EL1)</f>
        <v>0</v>
      </c>
      <c r="EL11" s="215">
        <f>SUMIFS('Expenditure Breakdown'!$Q$6:$Q$203, 'Expenditure Breakdown'!$W$6:$W$203, "&gt;="&amp;EL1,'Expenditure Breakdown'!$W$6:$W$203, "&lt;"&amp;EM1)</f>
        <v>0</v>
      </c>
      <c r="EM11" s="215">
        <f>SUMIFS('Expenditure Breakdown'!$Q$6:$Q$203, 'Expenditure Breakdown'!$W$6:$W$203, "&gt;="&amp;EM1,'Expenditure Breakdown'!$W$6:$W$203, "&lt;"&amp;EN1)</f>
        <v>0</v>
      </c>
      <c r="EN11" s="215">
        <f>SUMIFS('Expenditure Breakdown'!$Q$6:$Q$203, 'Expenditure Breakdown'!$W$6:$W$203, "&gt;="&amp;EN1,'Expenditure Breakdown'!$W$6:$W$203, "&lt;"&amp;EO1)</f>
        <v>0</v>
      </c>
      <c r="EO11" s="215">
        <f>SUMIFS('Expenditure Breakdown'!$Q$6:$Q$203, 'Expenditure Breakdown'!$W$6:$W$203, "&gt;="&amp;EO1,'Expenditure Breakdown'!$W$6:$W$203, "&lt;"&amp;EP1)</f>
        <v>0</v>
      </c>
      <c r="EP11" s="215">
        <f>SUMIFS('Expenditure Breakdown'!$Q$6:$Q$203, 'Expenditure Breakdown'!$W$6:$W$203, "&gt;="&amp;EP1,'Expenditure Breakdown'!$W$6:$W$203, "&lt;"&amp;EQ1)</f>
        <v>0</v>
      </c>
      <c r="EQ11" s="215">
        <f>SUMIFS('Expenditure Breakdown'!$Q$6:$Q$203, 'Expenditure Breakdown'!$W$6:$W$203, "&gt;="&amp;EQ1,'Expenditure Breakdown'!$W$6:$W$203, "&lt;"&amp;ER1)</f>
        <v>0</v>
      </c>
      <c r="ER11" s="215">
        <f>SUMIFS('Expenditure Breakdown'!$Q$6:$Q$203, 'Expenditure Breakdown'!$W$6:$W$203, "&gt;="&amp;ER1,'Expenditure Breakdown'!$W$6:$W$203, "&lt;"&amp;ES1)</f>
        <v>0</v>
      </c>
      <c r="ES11" s="215">
        <f>SUMIFS('Expenditure Breakdown'!$Q$6:$Q$203, 'Expenditure Breakdown'!$W$6:$W$203, "&gt;="&amp;ES1,'Expenditure Breakdown'!$W$6:$W$203, "&lt;"&amp;ET1)</f>
        <v>0</v>
      </c>
      <c r="ET11" s="215">
        <f>SUMIFS('Expenditure Breakdown'!$Q$6:$Q$203, 'Expenditure Breakdown'!$W$6:$W$203, "&gt;="&amp;ET1,'Expenditure Breakdown'!$W$6:$W$203, "&lt;"&amp;EU1)</f>
        <v>0</v>
      </c>
      <c r="EU11" s="215">
        <f>SUMIFS('Expenditure Breakdown'!$Q$6:$Q$203, 'Expenditure Breakdown'!$W$6:$W$203, "&gt;="&amp;EU1,'Expenditure Breakdown'!$W$6:$W$203, "&lt;"&amp;EV1)</f>
        <v>0</v>
      </c>
      <c r="EV11" s="215">
        <f>SUMIFS('Expenditure Breakdown'!$Q$6:$Q$203, 'Expenditure Breakdown'!$W$6:$W$203, "&gt;="&amp;EV1,'Expenditure Breakdown'!$W$6:$W$203, "&lt;"&amp;EW1)</f>
        <v>0</v>
      </c>
      <c r="EW11" s="215">
        <f>SUMIFS('Expenditure Breakdown'!$Q$6:$Q$203, 'Expenditure Breakdown'!$W$6:$W$203, "&gt;="&amp;EW1,'Expenditure Breakdown'!$W$6:$W$203, "&lt;"&amp;EX1)</f>
        <v>0</v>
      </c>
      <c r="EX11" s="215">
        <f>SUMIFS('Expenditure Breakdown'!$Q$6:$Q$203, 'Expenditure Breakdown'!$W$6:$W$203, "&gt;="&amp;EX1,'Expenditure Breakdown'!$W$6:$W$203, "&lt;"&amp;EY1)</f>
        <v>0</v>
      </c>
      <c r="EY11" s="215">
        <f>SUMIFS('Expenditure Breakdown'!$Q$6:$Q$203, 'Expenditure Breakdown'!$W$6:$W$203, "&gt;="&amp;EY1,'Expenditure Breakdown'!$W$6:$W$203, "&lt;"&amp;EZ1)</f>
        <v>0</v>
      </c>
      <c r="EZ11" s="215">
        <f>SUMIFS('Expenditure Breakdown'!$Q$6:$Q$203, 'Expenditure Breakdown'!$W$6:$W$203, "&gt;="&amp;EZ1,'Expenditure Breakdown'!$W$6:$W$203, "&lt;"&amp;FA1)</f>
        <v>0</v>
      </c>
      <c r="FA11" s="215">
        <f>SUMIFS('Expenditure Breakdown'!$Q$6:$Q$203, 'Expenditure Breakdown'!$W$6:$W$203, "&gt;="&amp;FA1,'Expenditure Breakdown'!$W$6:$W$203, "&lt;"&amp;FB1)</f>
        <v>0</v>
      </c>
      <c r="FB11" s="215">
        <f>SUMIFS('Expenditure Breakdown'!$Q$6:$Q$203, 'Expenditure Breakdown'!$W$6:$W$203, "&gt;="&amp;FB1,'Expenditure Breakdown'!$W$6:$W$203, "&lt;"&amp;FC1)</f>
        <v>0</v>
      </c>
      <c r="FC11" s="215">
        <f>SUMIFS('Expenditure Breakdown'!$Q$6:$Q$203, 'Expenditure Breakdown'!$W$6:$W$203, "&gt;="&amp;FC1,'Expenditure Breakdown'!$W$6:$W$203, "&lt;"&amp;FD1)</f>
        <v>0</v>
      </c>
      <c r="FD11" s="215">
        <f>SUMIFS('Expenditure Breakdown'!$Q$6:$Q$203, 'Expenditure Breakdown'!$W$6:$W$203, "&gt;="&amp;FD1,'Expenditure Breakdown'!$W$6:$W$203, "&lt;"&amp;FE1)</f>
        <v>0</v>
      </c>
      <c r="FE11" s="215">
        <f>SUMIFS('Expenditure Breakdown'!$Q$6:$Q$203, 'Expenditure Breakdown'!$W$6:$W$203, "&gt;="&amp;FE1,'Expenditure Breakdown'!$W$6:$W$203, "&lt;"&amp;FF1)</f>
        <v>0</v>
      </c>
      <c r="FF11" s="215">
        <f>SUMIFS('Expenditure Breakdown'!$Q$6:$Q$203, 'Expenditure Breakdown'!$W$6:$W$203, "&gt;="&amp;FF1,'Expenditure Breakdown'!$W$6:$W$203, "&lt;"&amp;FG1)</f>
        <v>0</v>
      </c>
      <c r="FG11" s="215">
        <f>SUMIFS('Expenditure Breakdown'!$Q$6:$Q$203, 'Expenditure Breakdown'!$W$6:$W$203, "&gt;="&amp;FG1,'Expenditure Breakdown'!$W$6:$W$203, "&lt;"&amp;FH1)</f>
        <v>0</v>
      </c>
      <c r="FH11" s="215">
        <f>SUMIFS('Expenditure Breakdown'!$Q$6:$Q$203, 'Expenditure Breakdown'!$W$6:$W$203, "&gt;="&amp;FH1,'Expenditure Breakdown'!$W$6:$W$203, "&lt;"&amp;FI1)</f>
        <v>0</v>
      </c>
      <c r="FI11" s="215">
        <f>SUMIFS('Expenditure Breakdown'!$Q$6:$Q$203, 'Expenditure Breakdown'!$W$6:$W$203, "&gt;="&amp;FI1,'Expenditure Breakdown'!$W$6:$W$203, "&lt;"&amp;FJ1)</f>
        <v>0</v>
      </c>
      <c r="FJ11" s="215">
        <f>SUMIFS('Expenditure Breakdown'!$Q$6:$Q$203, 'Expenditure Breakdown'!$W$6:$W$203, "&gt;="&amp;FJ1,'Expenditure Breakdown'!$W$6:$W$203, "&lt;"&amp;FK1)</f>
        <v>0</v>
      </c>
      <c r="FK11" s="215">
        <f>SUMIFS('Expenditure Breakdown'!$Q$6:$Q$203, 'Expenditure Breakdown'!$W$6:$W$203, "&gt;="&amp;FK1,'Expenditure Breakdown'!$W$6:$W$203, "&lt;"&amp;FL1)</f>
        <v>0</v>
      </c>
      <c r="FL11" s="215">
        <f>SUMIFS('Expenditure Breakdown'!$Q$6:$Q$203, 'Expenditure Breakdown'!$W$6:$W$203, "&gt;="&amp;FL1,'Expenditure Breakdown'!$W$6:$W$203, "&lt;"&amp;FM1)</f>
        <v>0</v>
      </c>
      <c r="FM11" s="215">
        <f>SUMIFS('Expenditure Breakdown'!$Q$6:$Q$203, 'Expenditure Breakdown'!$W$6:$W$203, "&gt;="&amp;FM1,'Expenditure Breakdown'!$W$6:$W$203, "&lt;"&amp;FN1)</f>
        <v>0</v>
      </c>
      <c r="FN11" s="215">
        <f>SUMIFS('Expenditure Breakdown'!$Q$6:$Q$203, 'Expenditure Breakdown'!$W$6:$W$203, "&gt;="&amp;FN1,'Expenditure Breakdown'!$W$6:$W$203, "&lt;"&amp;FO1)</f>
        <v>0</v>
      </c>
      <c r="FO11" s="215">
        <f>SUMIFS('Expenditure Breakdown'!$Q$6:$Q$203, 'Expenditure Breakdown'!$W$6:$W$203, "&gt;="&amp;FO1,'Expenditure Breakdown'!$W$6:$W$203, "&lt;"&amp;FP1)</f>
        <v>0</v>
      </c>
      <c r="FP11" s="215">
        <f>SUMIFS('Expenditure Breakdown'!$Q$6:$Q$203, 'Expenditure Breakdown'!$W$6:$W$203, "&gt;="&amp;FP1,'Expenditure Breakdown'!$W$6:$W$203, "&lt;"&amp;FQ1)</f>
        <v>0</v>
      </c>
      <c r="FQ11" s="215">
        <f>SUMIFS('Expenditure Breakdown'!$Q$6:$Q$203, 'Expenditure Breakdown'!$W$6:$W$203, "&gt;="&amp;FQ1,'Expenditure Breakdown'!$W$6:$W$203, "&lt;"&amp;FR1)</f>
        <v>0</v>
      </c>
      <c r="FR11" s="215">
        <f>SUMIFS('Expenditure Breakdown'!$Q$6:$Q$203, 'Expenditure Breakdown'!$W$6:$W$203, "&gt;="&amp;FR1,'Expenditure Breakdown'!$W$6:$W$203, "&lt;"&amp;FS1)</f>
        <v>0</v>
      </c>
      <c r="FS11" s="215">
        <f>SUMIFS('Expenditure Breakdown'!$Q$6:$Q$203, 'Expenditure Breakdown'!$W$6:$W$203, "&gt;="&amp;FS1,'Expenditure Breakdown'!$W$6:$W$203, "&lt;"&amp;FT1)</f>
        <v>0</v>
      </c>
      <c r="FT11" s="215">
        <f>SUMIFS('Expenditure Breakdown'!$Q$6:$Q$203, 'Expenditure Breakdown'!$W$6:$W$203, "&gt;="&amp;FT1,'Expenditure Breakdown'!$W$6:$W$203, "&lt;"&amp;FU1)</f>
        <v>0</v>
      </c>
      <c r="FU11" s="215">
        <f>SUMIFS('Expenditure Breakdown'!$Q$6:$Q$203, 'Expenditure Breakdown'!$W$6:$W$203, "&gt;="&amp;FU1,'Expenditure Breakdown'!$W$6:$W$203, "&lt;"&amp;FV1)</f>
        <v>0</v>
      </c>
      <c r="FV11" s="215">
        <f>SUMIFS('Expenditure Breakdown'!$Q$6:$Q$203, 'Expenditure Breakdown'!$W$6:$W$203, "&gt;="&amp;FV1,'Expenditure Breakdown'!$W$6:$W$203, "&lt;"&amp;FW1)</f>
        <v>0</v>
      </c>
      <c r="FW11" s="215">
        <f>SUMIFS('Expenditure Breakdown'!$Q$6:$Q$203, 'Expenditure Breakdown'!$W$6:$W$203, "&gt;="&amp;FW1,'Expenditure Breakdown'!$W$6:$W$203, "&lt;"&amp;FX1)</f>
        <v>0</v>
      </c>
      <c r="FX11" s="215">
        <f>SUMIFS('Expenditure Breakdown'!$Q$6:$Q$203, 'Expenditure Breakdown'!$W$6:$W$203, "&gt;="&amp;FX1,'Expenditure Breakdown'!$W$6:$W$203, "&lt;"&amp;FY1)</f>
        <v>0</v>
      </c>
      <c r="FY11" s="215">
        <f>SUMIFS('Expenditure Breakdown'!$Q$6:$Q$203, 'Expenditure Breakdown'!$W$6:$W$203, "&gt;="&amp;FY1,'Expenditure Breakdown'!$W$6:$W$203, "&lt;"&amp;FZ1)</f>
        <v>0</v>
      </c>
      <c r="FZ11" s="215">
        <f>SUMIFS('Expenditure Breakdown'!$Q$6:$Q$203, 'Expenditure Breakdown'!$W$6:$W$203, "&gt;="&amp;FZ1,'Expenditure Breakdown'!$W$6:$W$203, "&lt;"&amp;GA1)</f>
        <v>0</v>
      </c>
      <c r="GA11" s="215">
        <f>SUMIFS('Expenditure Breakdown'!$Q$6:$Q$203, 'Expenditure Breakdown'!$W$6:$W$203, "&gt;="&amp;GA1,'Expenditure Breakdown'!$W$6:$W$203, "&lt;"&amp;GB1)</f>
        <v>0</v>
      </c>
      <c r="GB11" s="215">
        <f>SUMIFS('Expenditure Breakdown'!$Q$6:$Q$203, 'Expenditure Breakdown'!$W$6:$W$203, "&gt;="&amp;GB1,'Expenditure Breakdown'!$W$6:$W$203, "&lt;"&amp;GC1)</f>
        <v>0</v>
      </c>
      <c r="GC11" s="215">
        <f>SUMIFS('Expenditure Breakdown'!$Q$6:$Q$203, 'Expenditure Breakdown'!$W$6:$W$203, "&gt;="&amp;GC1,'Expenditure Breakdown'!$W$6:$W$203, "&lt;"&amp;GD1)</f>
        <v>0</v>
      </c>
      <c r="GD11" s="215">
        <f>SUMIFS('Expenditure Breakdown'!$Q$6:$Q$203, 'Expenditure Breakdown'!$W$6:$W$203, "&gt;="&amp;GD1,'Expenditure Breakdown'!$W$6:$W$203, "&lt;"&amp;GE1)</f>
        <v>0</v>
      </c>
      <c r="GE11" s="215">
        <f>SUMIFS('Expenditure Breakdown'!$Q$6:$Q$203, 'Expenditure Breakdown'!$W$6:$W$203, "&gt;="&amp;GE1,'Expenditure Breakdown'!$W$6:$W$203, "&lt;"&amp;GF1)</f>
        <v>0</v>
      </c>
      <c r="GF11" s="215">
        <f>SUMIFS('Expenditure Breakdown'!$Q$6:$Q$203, 'Expenditure Breakdown'!$W$6:$W$203, "&gt;="&amp;GF1,'Expenditure Breakdown'!$W$6:$W$203, "&lt;"&amp;GG1)</f>
        <v>0</v>
      </c>
      <c r="GG11" s="215">
        <f>SUMIFS('Expenditure Breakdown'!$Q$6:$Q$203, 'Expenditure Breakdown'!$W$6:$W$203, "&gt;="&amp;GG1,'Expenditure Breakdown'!$W$6:$W$203, "&lt;"&amp;GH1)</f>
        <v>0</v>
      </c>
      <c r="GH11" s="215">
        <f>SUMIFS('Expenditure Breakdown'!$Q$6:$Q$203, 'Expenditure Breakdown'!$W$6:$W$203, "&gt;="&amp;GH1,'Expenditure Breakdown'!$W$6:$W$203, "&lt;"&amp;GI1)</f>
        <v>0</v>
      </c>
      <c r="GI11" s="215">
        <f>SUMIFS('Expenditure Breakdown'!$Q$6:$Q$203, 'Expenditure Breakdown'!$W$6:$W$203, "&gt;="&amp;GI1,'Expenditure Breakdown'!$W$6:$W$203, "&lt;"&amp;GJ1)</f>
        <v>0</v>
      </c>
      <c r="GJ11" s="215">
        <f>SUMIFS('Expenditure Breakdown'!$Q$6:$Q$203, 'Expenditure Breakdown'!$W$6:$W$203, "&gt;="&amp;GJ1,'Expenditure Breakdown'!$W$6:$W$203, "&lt;"&amp;GK1)</f>
        <v>0</v>
      </c>
      <c r="GK11" s="215">
        <f>SUMIFS('Expenditure Breakdown'!$Q$6:$Q$203, 'Expenditure Breakdown'!$W$6:$W$203, "&gt;="&amp;GK1,'Expenditure Breakdown'!$W$6:$W$203, "&lt;"&amp;GL1)</f>
        <v>0</v>
      </c>
      <c r="GL11" s="215">
        <f>SUMIFS('Expenditure Breakdown'!$Q$6:$Q$203, 'Expenditure Breakdown'!$W$6:$W$203, "&gt;="&amp;GL1,'Expenditure Breakdown'!$W$6:$W$203, "&lt;"&amp;GM1)</f>
        <v>0</v>
      </c>
      <c r="GM11" s="215">
        <f>SUMIFS('Expenditure Breakdown'!$Q$6:$Q$203, 'Expenditure Breakdown'!$W$6:$W$203, "&gt;="&amp;GM1,'Expenditure Breakdown'!$W$6:$W$203, "&lt;"&amp;GN1)</f>
        <v>0</v>
      </c>
      <c r="GN11" s="215">
        <f>SUMIFS('Expenditure Breakdown'!$Q$6:$Q$203, 'Expenditure Breakdown'!$W$6:$W$203, "&gt;="&amp;GN1,'Expenditure Breakdown'!$W$6:$W$203, "&lt;"&amp;GO1)</f>
        <v>0</v>
      </c>
      <c r="GO11" s="215">
        <f>SUMIFS('Expenditure Breakdown'!$Q$6:$Q$203, 'Expenditure Breakdown'!$W$6:$W$203, "&gt;="&amp;GO1,'Expenditure Breakdown'!$W$6:$W$203, "&lt;"&amp;GP1)</f>
        <v>0</v>
      </c>
      <c r="GP11" s="215">
        <f>SUMIFS('Expenditure Breakdown'!$Q$6:$Q$203, 'Expenditure Breakdown'!$W$6:$W$203, "&gt;="&amp;GP1,'Expenditure Breakdown'!$W$6:$W$203, "&lt;"&amp;GQ1)</f>
        <v>0</v>
      </c>
      <c r="GQ11" s="215">
        <f>SUMIFS('Expenditure Breakdown'!$Q$6:$Q$203, 'Expenditure Breakdown'!$W$6:$W$203, "&gt;="&amp;GQ1,'Expenditure Breakdown'!$W$6:$W$203, "&lt;"&amp;GR1)</f>
        <v>0</v>
      </c>
      <c r="GR11" s="215">
        <f>SUMIFS('Expenditure Breakdown'!$Q$6:$Q$203, 'Expenditure Breakdown'!$W$6:$W$203, "&gt;="&amp;GR1,'Expenditure Breakdown'!$W$6:$W$203, "&lt;"&amp;GS1)</f>
        <v>0</v>
      </c>
      <c r="GS11" s="215">
        <f>SUMIFS('Expenditure Breakdown'!$Q$6:$Q$203, 'Expenditure Breakdown'!$W$6:$W$203, "&gt;="&amp;GS1,'Expenditure Breakdown'!$W$6:$W$203, "&lt;"&amp;GT1)</f>
        <v>0</v>
      </c>
      <c r="GT11" s="215">
        <f>SUMIFS('Expenditure Breakdown'!$Q$6:$Q$203, 'Expenditure Breakdown'!$W$6:$W$203, "&gt;="&amp;GT1,'Expenditure Breakdown'!$W$6:$W$203, "&lt;"&amp;GU1)</f>
        <v>0</v>
      </c>
      <c r="GU11" s="215">
        <f>SUMIFS('Expenditure Breakdown'!$Q$6:$Q$203, 'Expenditure Breakdown'!$W$6:$W$203, "&gt;="&amp;GU1,'Expenditure Breakdown'!$W$6:$W$203, "&lt;"&amp;GV1)</f>
        <v>0</v>
      </c>
      <c r="GV11" s="215">
        <f>SUMIFS('Expenditure Breakdown'!$Q$6:$Q$203, 'Expenditure Breakdown'!$W$6:$W$203, "&gt;="&amp;GV1,'Expenditure Breakdown'!$W$6:$W$203, "&lt;"&amp;GW1)</f>
        <v>0</v>
      </c>
      <c r="GW11" s="215">
        <f>SUMIFS('Expenditure Breakdown'!$Q$6:$Q$203, 'Expenditure Breakdown'!$W$6:$W$203, "&gt;="&amp;GW1,'Expenditure Breakdown'!$W$6:$W$203, "&lt;"&amp;GX1)</f>
        <v>0</v>
      </c>
      <c r="GX11" s="215">
        <f>SUMIFS('Expenditure Breakdown'!$Q$6:$Q$203, 'Expenditure Breakdown'!$W$6:$W$203, "&gt;="&amp;GX1,'Expenditure Breakdown'!$W$6:$W$203, "&lt;"&amp;GY1)</f>
        <v>0</v>
      </c>
      <c r="GY11" s="215">
        <f>SUMIFS('Expenditure Breakdown'!$Q$6:$Q$203, 'Expenditure Breakdown'!$W$6:$W$203, "&gt;="&amp;GY1,'Expenditure Breakdown'!$W$6:$W$203, "&lt;"&amp;GZ1)</f>
        <v>0</v>
      </c>
      <c r="GZ11" s="215">
        <f>SUMIFS('Expenditure Breakdown'!$Q$6:$Q$203, 'Expenditure Breakdown'!$W$6:$W$203, "&gt;="&amp;GZ1,'Expenditure Breakdown'!$W$6:$W$203, "&lt;"&amp;HA1)</f>
        <v>0</v>
      </c>
      <c r="HA11" s="215">
        <f>SUMIFS('Expenditure Breakdown'!$Q$6:$Q$203, 'Expenditure Breakdown'!$W$6:$W$203, "&gt;="&amp;HA1,'Expenditure Breakdown'!$W$6:$W$203, "&lt;"&amp;HB1)</f>
        <v>0</v>
      </c>
      <c r="HB11" s="215">
        <f>SUMIFS('Expenditure Breakdown'!$Q$6:$Q$203, 'Expenditure Breakdown'!$W$6:$W$203, "&gt;="&amp;HB1,'Expenditure Breakdown'!$W$6:$W$203, "&lt;"&amp;HC1)</f>
        <v>0</v>
      </c>
      <c r="HC11" s="215">
        <f>SUMIFS('Expenditure Breakdown'!$Q$6:$Q$203, 'Expenditure Breakdown'!$W$6:$W$203, "&gt;="&amp;HC1,'Expenditure Breakdown'!$W$6:$W$203, "&lt;"&amp;HD1)</f>
        <v>0</v>
      </c>
      <c r="HD11" s="215">
        <f>SUMIFS('Expenditure Breakdown'!$Q$6:$Q$203, 'Expenditure Breakdown'!$W$6:$W$203, "&gt;="&amp;HD1,'Expenditure Breakdown'!$W$6:$W$203, "&lt;"&amp;HE1)</f>
        <v>0</v>
      </c>
      <c r="HE11" s="215">
        <f>SUMIFS('Expenditure Breakdown'!$Q$6:$Q$203, 'Expenditure Breakdown'!$W$6:$W$203, "&gt;="&amp;HE1,'Expenditure Breakdown'!$W$6:$W$203, "&lt;"&amp;HF1)</f>
        <v>0</v>
      </c>
      <c r="HF11" s="215">
        <f>SUMIFS('Expenditure Breakdown'!$Q$6:$Q$203, 'Expenditure Breakdown'!$W$6:$W$203, "&gt;="&amp;HF1,'Expenditure Breakdown'!$W$6:$W$203, "&lt;"&amp;HG1)</f>
        <v>0</v>
      </c>
      <c r="HG11" s="215">
        <f>SUMIFS('Expenditure Breakdown'!$Q$6:$Q$203, 'Expenditure Breakdown'!$W$6:$W$203, "&gt;="&amp;HG1,'Expenditure Breakdown'!$W$6:$W$203, "&lt;"&amp;HH1)</f>
        <v>0</v>
      </c>
      <c r="HH11" s="215">
        <f>SUMIFS('Expenditure Breakdown'!$Q$6:$Q$203, 'Expenditure Breakdown'!$W$6:$W$203, "&gt;="&amp;HH1,'Expenditure Breakdown'!$W$6:$W$203, "&lt;"&amp;HI1)</f>
        <v>0</v>
      </c>
      <c r="HI11" s="215">
        <f>SUMIFS('Expenditure Breakdown'!$Q$6:$Q$203, 'Expenditure Breakdown'!$W$6:$W$203, "&gt;="&amp;HI1,'Expenditure Breakdown'!$W$6:$W$203, "&lt;"&amp;HJ1)</f>
        <v>0</v>
      </c>
      <c r="HJ11" s="215">
        <f>SUMIFS('Expenditure Breakdown'!$Q$6:$Q$203, 'Expenditure Breakdown'!$W$6:$W$203, "&gt;="&amp;HJ1,'Expenditure Breakdown'!$W$6:$W$203, "&lt;"&amp;HK1)</f>
        <v>0</v>
      </c>
      <c r="HK11" s="215">
        <f>SUMIFS('Expenditure Breakdown'!$Q$6:$Q$203, 'Expenditure Breakdown'!$W$6:$W$203, "&gt;="&amp;HK1,'Expenditure Breakdown'!$W$6:$W$203, "&lt;"&amp;HL1)</f>
        <v>0</v>
      </c>
      <c r="HL11" s="215">
        <f>SUMIFS('Expenditure Breakdown'!$Q$6:$Q$203, 'Expenditure Breakdown'!$W$6:$W$203, "&gt;="&amp;HL1,'Expenditure Breakdown'!$W$6:$W$203, "&lt;"&amp;HM1)</f>
        <v>0</v>
      </c>
      <c r="HM11" s="215">
        <f>SUMIFS('Expenditure Breakdown'!$Q$6:$Q$203, 'Expenditure Breakdown'!$W$6:$W$203, "&gt;="&amp;HM1,'Expenditure Breakdown'!$W$6:$W$203, "&lt;"&amp;HN1)</f>
        <v>0</v>
      </c>
      <c r="HN11" s="215">
        <f>SUMIFS('Expenditure Breakdown'!$Q$6:$Q$203, 'Expenditure Breakdown'!$W$6:$W$203, "&gt;="&amp;HN1,'Expenditure Breakdown'!$W$6:$W$203, "&lt;"&amp;HO1)</f>
        <v>0</v>
      </c>
      <c r="HO11" s="215">
        <f>SUMIFS('Expenditure Breakdown'!$Q$6:$Q$203, 'Expenditure Breakdown'!$W$6:$W$203, "&gt;="&amp;HO1,'Expenditure Breakdown'!$W$6:$W$203, "&lt;"&amp;HP1)</f>
        <v>0</v>
      </c>
      <c r="HP11" s="215">
        <f>SUMIFS('Expenditure Breakdown'!$Q$6:$Q$203, 'Expenditure Breakdown'!$W$6:$W$203, "&gt;="&amp;HP1,'Expenditure Breakdown'!$W$6:$W$203, "&lt;"&amp;HQ1)</f>
        <v>0</v>
      </c>
      <c r="HQ11" s="215">
        <f>SUMIFS('Expenditure Breakdown'!$Q$6:$Q$203, 'Expenditure Breakdown'!$W$6:$W$203, "&gt;="&amp;HQ1,'Expenditure Breakdown'!$W$6:$W$203, "&lt;"&amp;HR1)</f>
        <v>0</v>
      </c>
      <c r="HR11" s="215">
        <f>SUMIFS('Expenditure Breakdown'!$Q$6:$Q$203, 'Expenditure Breakdown'!$W$6:$W$203, "&gt;="&amp;HR1,'Expenditure Breakdown'!$W$6:$W$203, "&lt;"&amp;HS1)</f>
        <v>0</v>
      </c>
      <c r="HS11" s="215">
        <f>SUMIFS('Expenditure Breakdown'!$Q$6:$Q$203, 'Expenditure Breakdown'!$W$6:$W$203, "&gt;="&amp;HS1,'Expenditure Breakdown'!$W$6:$W$203, "&lt;"&amp;HT1)</f>
        <v>0</v>
      </c>
      <c r="HT11" s="215">
        <f>SUMIFS('Expenditure Breakdown'!$Q$6:$Q$203, 'Expenditure Breakdown'!$W$6:$W$203, "&gt;="&amp;HT1,'Expenditure Breakdown'!$W$6:$W$203, "&lt;"&amp;HU1)</f>
        <v>0</v>
      </c>
      <c r="HU11" s="215">
        <f>SUMIFS('Expenditure Breakdown'!$Q$6:$Q$203, 'Expenditure Breakdown'!$W$6:$W$203, "&gt;="&amp;HU1,'Expenditure Breakdown'!$W$6:$W$203, "&lt;"&amp;HV1)</f>
        <v>0</v>
      </c>
      <c r="HV11" s="215">
        <f>SUMIFS('Expenditure Breakdown'!$Q$6:$Q$203, 'Expenditure Breakdown'!$W$6:$W$203, "&gt;="&amp;HV1,'Expenditure Breakdown'!$W$6:$W$203, "&lt;"&amp;HW1)</f>
        <v>0</v>
      </c>
      <c r="HW11" s="215">
        <f>SUMIFS('Expenditure Breakdown'!$Q$6:$Q$203, 'Expenditure Breakdown'!$W$6:$W$203, "&gt;="&amp;HW1,'Expenditure Breakdown'!$W$6:$W$203, "&lt;"&amp;HX1)</f>
        <v>0</v>
      </c>
      <c r="HX11" s="215">
        <f>SUMIFS('Expenditure Breakdown'!$Q$6:$Q$203, 'Expenditure Breakdown'!$W$6:$W$203, "&gt;="&amp;HX1,'Expenditure Breakdown'!$W$6:$W$203, "&lt;"&amp;HY1)</f>
        <v>0</v>
      </c>
      <c r="HY11" s="215">
        <f>SUMIFS('Expenditure Breakdown'!$Q$6:$Q$203, 'Expenditure Breakdown'!$W$6:$W$203, "&gt;="&amp;HY1,'Expenditure Breakdown'!$W$6:$W$203, "&lt;"&amp;HZ1)</f>
        <v>0</v>
      </c>
      <c r="HZ11" s="215">
        <f>SUMIFS('Expenditure Breakdown'!$Q$6:$Q$203, 'Expenditure Breakdown'!$W$6:$W$203, "&gt;="&amp;HZ1,'Expenditure Breakdown'!$W$6:$W$203, "&lt;"&amp;IA1)</f>
        <v>0</v>
      </c>
      <c r="IA11" s="215">
        <f>SUMIFS('Expenditure Breakdown'!$Q$6:$Q$203, 'Expenditure Breakdown'!$W$6:$W$203, "&gt;="&amp;IA1,'Expenditure Breakdown'!$W$6:$W$203, "&lt;"&amp;IB1)</f>
        <v>0</v>
      </c>
      <c r="IB11" s="215">
        <f>SUMIFS('Expenditure Breakdown'!$Q$6:$Q$203, 'Expenditure Breakdown'!$W$6:$W$203, "&gt;="&amp;IB1,'Expenditure Breakdown'!$W$6:$W$203, "&lt;"&amp;IC1)</f>
        <v>0</v>
      </c>
      <c r="IC11" s="215">
        <f>SUMIFS('Expenditure Breakdown'!$Q$6:$Q$203, 'Expenditure Breakdown'!$W$6:$W$203, "&gt;="&amp;IC1,'Expenditure Breakdown'!$W$6:$W$203, "&lt;"&amp;ID1)</f>
        <v>0</v>
      </c>
      <c r="ID11" s="215">
        <f>SUMIFS('Expenditure Breakdown'!$Q$6:$Q$203, 'Expenditure Breakdown'!$W$6:$W$203, "&gt;="&amp;ID1,'Expenditure Breakdown'!$W$6:$W$203, "&lt;"&amp;IE1)</f>
        <v>0</v>
      </c>
      <c r="IE11" s="215">
        <f>SUMIFS('Expenditure Breakdown'!$Q$6:$Q$203, 'Expenditure Breakdown'!$W$6:$W$203, "&gt;="&amp;IE1,'Expenditure Breakdown'!$W$6:$W$203, "&lt;"&amp;IF1)</f>
        <v>0</v>
      </c>
      <c r="IF11" s="215">
        <f>SUMIFS('Expenditure Breakdown'!$Q$6:$Q$203, 'Expenditure Breakdown'!$W$6:$W$203, "&gt;="&amp;IF1,'Expenditure Breakdown'!$W$6:$W$203, "&lt;"&amp;IG1)</f>
        <v>0</v>
      </c>
      <c r="IG11" s="215">
        <f>SUMIFS('Expenditure Breakdown'!$Q$6:$Q$203, 'Expenditure Breakdown'!$W$6:$W$203, "&gt;="&amp;IG1,'Expenditure Breakdown'!$W$6:$W$203, "&lt;"&amp;IH1)</f>
        <v>0</v>
      </c>
      <c r="IH11" s="215">
        <f>SUMIFS('Expenditure Breakdown'!$Q$6:$Q$203, 'Expenditure Breakdown'!$W$6:$W$203, "&gt;="&amp;IH1,'Expenditure Breakdown'!$W$6:$W$203, "&lt;"&amp;II1)</f>
        <v>0</v>
      </c>
      <c r="II11" s="215">
        <f>SUMIFS('Expenditure Breakdown'!$Q$6:$Q$203, 'Expenditure Breakdown'!$W$6:$W$203, "&gt;="&amp;II1,'Expenditure Breakdown'!$W$6:$W$203, "&lt;"&amp;IJ1)</f>
        <v>0</v>
      </c>
      <c r="IJ11" s="215">
        <f>SUMIFS('Expenditure Breakdown'!$Q$6:$Q$203, 'Expenditure Breakdown'!$W$6:$W$203, "&gt;="&amp;IJ1,'Expenditure Breakdown'!$W$6:$W$203, "&lt;"&amp;IK1)</f>
        <v>0</v>
      </c>
      <c r="IK11" s="215">
        <f>SUMIFS('Expenditure Breakdown'!$Q$6:$Q$203, 'Expenditure Breakdown'!$W$6:$W$203, "&gt;="&amp;IK1,'Expenditure Breakdown'!$W$6:$W$203, "&lt;"&amp;IL1)</f>
        <v>0</v>
      </c>
      <c r="IL11" s="215">
        <f>SUMIFS('Expenditure Breakdown'!$Q$6:$Q$203, 'Expenditure Breakdown'!$W$6:$W$203, "&gt;="&amp;IL1,'Expenditure Breakdown'!$W$6:$W$203, "&lt;"&amp;IM1)</f>
        <v>0</v>
      </c>
      <c r="IM11" s="215">
        <f>SUMIFS('Expenditure Breakdown'!$Q$6:$Q$203, 'Expenditure Breakdown'!$W$6:$W$203, "&gt;="&amp;IM1,'Expenditure Breakdown'!$W$6:$W$203, "&lt;"&amp;IN1)</f>
        <v>0</v>
      </c>
      <c r="IN11" s="215">
        <f>SUMIFS('Expenditure Breakdown'!$Q$6:$Q$203, 'Expenditure Breakdown'!$W$6:$W$203, "&gt;="&amp;IN1,'Expenditure Breakdown'!$W$6:$W$203, "&lt;"&amp;IO1)</f>
        <v>0</v>
      </c>
      <c r="IO11" s="215">
        <f>SUMIFS('Expenditure Breakdown'!$Q$6:$Q$203, 'Expenditure Breakdown'!$W$6:$W$203, "&gt;="&amp;IO1,'Expenditure Breakdown'!$W$6:$W$203, "&lt;"&amp;IP1)</f>
        <v>0</v>
      </c>
      <c r="IP11" s="215">
        <f>SUMIFS('Expenditure Breakdown'!$Q$6:$Q$203, 'Expenditure Breakdown'!$W$6:$W$203, "&gt;="&amp;IP1,'Expenditure Breakdown'!$W$6:$W$203, "&lt;"&amp;IQ1)</f>
        <v>0</v>
      </c>
      <c r="IQ11" s="215">
        <f>SUMIFS('Expenditure Breakdown'!$Q$6:$Q$203, 'Expenditure Breakdown'!$W$6:$W$203, "&gt;="&amp;IQ1,'Expenditure Breakdown'!$W$6:$W$203, "&lt;"&amp;IR1)</f>
        <v>0</v>
      </c>
      <c r="IR11" s="215">
        <f>SUMIFS('Expenditure Breakdown'!$Q$6:$Q$203, 'Expenditure Breakdown'!$W$6:$W$203, "&gt;="&amp;IR1,'Expenditure Breakdown'!$W$6:$W$203, "&lt;"&amp;IS1)</f>
        <v>0</v>
      </c>
      <c r="IS11" s="215">
        <f>SUMIFS('Expenditure Breakdown'!$Q$6:$Q$203, 'Expenditure Breakdown'!$W$6:$W$203, "&gt;="&amp;IS1,'Expenditure Breakdown'!$W$6:$W$203, "&lt;"&amp;IT1)</f>
        <v>0</v>
      </c>
      <c r="IT11" s="215">
        <f>SUMIFS('Expenditure Breakdown'!$Q$6:$Q$203, 'Expenditure Breakdown'!$W$6:$W$203, "&gt;="&amp;IT1,'Expenditure Breakdown'!$W$6:$W$203, "&lt;"&amp;IU1)</f>
        <v>0</v>
      </c>
      <c r="IU11" s="215">
        <f>SUMIFS('Expenditure Breakdown'!$Q$6:$Q$203, 'Expenditure Breakdown'!$W$6:$W$203, "&gt;="&amp;IU1,'Expenditure Breakdown'!$W$6:$W$203, "&lt;"&amp;IV1)</f>
        <v>0</v>
      </c>
      <c r="IV11" s="215">
        <f>SUMIFS('Expenditure Breakdown'!$Q$6:$Q$203, 'Expenditure Breakdown'!$W$6:$W$203, "&gt;="&amp;IV1,'Expenditure Breakdown'!$W$6:$W$203, "&lt;"&amp;IW1)</f>
        <v>0</v>
      </c>
      <c r="IW11" s="215">
        <f>SUMIFS('Expenditure Breakdown'!$Q$6:$Q$203, 'Expenditure Breakdown'!$W$6:$W$203, "&gt;="&amp;IW1,'Expenditure Breakdown'!$W$6:$W$203, "&lt;"&amp;IX1)</f>
        <v>0</v>
      </c>
      <c r="IX11" s="215">
        <f>SUMIFS('Expenditure Breakdown'!$Q$6:$Q$203, 'Expenditure Breakdown'!$W$6:$W$203, "&gt;="&amp;IX1,'Expenditure Breakdown'!$W$6:$W$203, "&lt;"&amp;IY1)</f>
        <v>0</v>
      </c>
      <c r="IY11" s="215">
        <f>SUMIFS('Expenditure Breakdown'!$Q$6:$Q$203, 'Expenditure Breakdown'!$W$6:$W$203, "&gt;="&amp;IY1,'Expenditure Breakdown'!$W$6:$W$203, "&lt;"&amp;IZ1)</f>
        <v>0</v>
      </c>
      <c r="IZ11" s="215">
        <f>SUMIFS('Expenditure Breakdown'!$Q$6:$Q$203, 'Expenditure Breakdown'!$W$6:$W$203, "&gt;="&amp;IZ1,'Expenditure Breakdown'!$W$6:$W$203, "&lt;"&amp;JA1)</f>
        <v>0</v>
      </c>
      <c r="JA11" s="215">
        <f>SUMIFS('Expenditure Breakdown'!$Q$6:$Q$203, 'Expenditure Breakdown'!$W$6:$W$203, "&gt;="&amp;JA1,'Expenditure Breakdown'!$W$6:$W$203, "&lt;"&amp;JB1)</f>
        <v>0</v>
      </c>
      <c r="JB11" s="215">
        <f>SUMIFS('Expenditure Breakdown'!$Q$6:$Q$203, 'Expenditure Breakdown'!$W$6:$W$203, "&gt;="&amp;JB1,'Expenditure Breakdown'!$W$6:$W$203, "&lt;"&amp;JC1)</f>
        <v>0</v>
      </c>
      <c r="JC11" s="215">
        <f>SUMIFS('Expenditure Breakdown'!$Q$6:$Q$203, 'Expenditure Breakdown'!$W$6:$W$203, "&gt;="&amp;JC1,'Expenditure Breakdown'!$W$6:$W$203, "&lt;"&amp;JD1)</f>
        <v>0</v>
      </c>
      <c r="JD11" s="215">
        <f>SUMIFS('Expenditure Breakdown'!$Q$6:$Q$203, 'Expenditure Breakdown'!$W$6:$W$203, "&gt;="&amp;JD1,'Expenditure Breakdown'!$W$6:$W$203, "&lt;"&amp;JE1)</f>
        <v>0</v>
      </c>
      <c r="JE11" s="215">
        <f>SUMIFS('Expenditure Breakdown'!$Q$6:$Q$203, 'Expenditure Breakdown'!$W$6:$W$203, "&gt;="&amp;JE1,'Expenditure Breakdown'!$W$6:$W$203, "&lt;"&amp;JF1)</f>
        <v>0</v>
      </c>
      <c r="JF11" s="215">
        <f>SUMIFS('Expenditure Breakdown'!$Q$6:$Q$203, 'Expenditure Breakdown'!$W$6:$W$203, "&gt;="&amp;JF1,'Expenditure Breakdown'!$W$6:$W$203, "&lt;"&amp;JG1)</f>
        <v>0</v>
      </c>
      <c r="JG11" s="215">
        <f>SUMIFS('Expenditure Breakdown'!$Q$6:$Q$203, 'Expenditure Breakdown'!$W$6:$W$203, "&gt;="&amp;JG1,'Expenditure Breakdown'!$W$6:$W$203, "&lt;"&amp;JH1)</f>
        <v>0</v>
      </c>
      <c r="JH11" s="215">
        <f>SUMIFS('Expenditure Breakdown'!$Q$6:$Q$203, 'Expenditure Breakdown'!$W$6:$W$203, "&gt;="&amp;JH1,'Expenditure Breakdown'!$W$6:$W$203, "&lt;"&amp;JI1)</f>
        <v>0</v>
      </c>
      <c r="JI11" s="215">
        <f>SUMIFS('Expenditure Breakdown'!$Q$6:$Q$203, 'Expenditure Breakdown'!$W$6:$W$203, "&gt;="&amp;JI1,'Expenditure Breakdown'!$W$6:$W$203, "&lt;"&amp;JJ1)</f>
        <v>0</v>
      </c>
      <c r="JJ11" s="215">
        <f>SUMIFS('Expenditure Breakdown'!$Q$6:$Q$203, 'Expenditure Breakdown'!$W$6:$W$203, "&gt;="&amp;JJ1,'Expenditure Breakdown'!$W$6:$W$203, "&lt;"&amp;JK1)</f>
        <v>0</v>
      </c>
      <c r="JK11" s="215">
        <f>SUMIFS('Expenditure Breakdown'!$Q$6:$Q$203, 'Expenditure Breakdown'!$W$6:$W$203, "&gt;="&amp;JK1,'Expenditure Breakdown'!$W$6:$W$203, "&lt;"&amp;JL1)</f>
        <v>0</v>
      </c>
      <c r="JL11" s="215">
        <f>SUMIFS('Expenditure Breakdown'!$Q$6:$Q$203, 'Expenditure Breakdown'!$W$6:$W$203, "&gt;="&amp;JL1,'Expenditure Breakdown'!$W$6:$W$203, "&lt;"&amp;JM1)</f>
        <v>0</v>
      </c>
      <c r="JM11" s="215">
        <f>SUMIFS('Expenditure Breakdown'!$Q$6:$Q$203, 'Expenditure Breakdown'!$W$6:$W$203, "&gt;="&amp;JM1,'Expenditure Breakdown'!$W$6:$W$203, "&lt;"&amp;JN1)</f>
        <v>0</v>
      </c>
      <c r="JN11" s="215">
        <f>SUMIFS('Expenditure Breakdown'!$Q$6:$Q$203, 'Expenditure Breakdown'!$W$6:$W$203, "&gt;="&amp;JN1,'Expenditure Breakdown'!$W$6:$W$203, "&lt;"&amp;JO1)</f>
        <v>0</v>
      </c>
      <c r="JO11" s="215">
        <f>SUMIFS('Expenditure Breakdown'!$Q$6:$Q$203, 'Expenditure Breakdown'!$W$6:$W$203, "&gt;="&amp;JO1,'Expenditure Breakdown'!$W$6:$W$203, "&lt;"&amp;JP1)</f>
        <v>0</v>
      </c>
      <c r="JP11" s="215">
        <f>SUMIFS('Expenditure Breakdown'!$Q$6:$Q$203, 'Expenditure Breakdown'!$W$6:$W$203, "&gt;="&amp;JP1,'Expenditure Breakdown'!$W$6:$W$203, "&lt;"&amp;JQ1)</f>
        <v>0</v>
      </c>
      <c r="JQ11" s="215">
        <f>SUMIFS('Expenditure Breakdown'!$Q$6:$Q$203, 'Expenditure Breakdown'!$W$6:$W$203, "&gt;="&amp;JQ1,'Expenditure Breakdown'!$W$6:$W$203, "&lt;"&amp;JR1)</f>
        <v>0</v>
      </c>
      <c r="JR11" s="215">
        <f>SUMIFS('Expenditure Breakdown'!$Q$6:$Q$203, 'Expenditure Breakdown'!$W$6:$W$203, "&gt;="&amp;JR1,'Expenditure Breakdown'!$W$6:$W$203, "&lt;"&amp;JS1)</f>
        <v>0</v>
      </c>
      <c r="JS11" s="215">
        <f>SUMIFS('Expenditure Breakdown'!$Q$6:$Q$203, 'Expenditure Breakdown'!$W$6:$W$203, "&gt;="&amp;JS1,'Expenditure Breakdown'!$W$6:$W$203, "&lt;"&amp;JT1)</f>
        <v>0</v>
      </c>
      <c r="JT11" s="215">
        <f>SUMIFS('Expenditure Breakdown'!$Q$6:$Q$203, 'Expenditure Breakdown'!$W$6:$W$203, "&gt;="&amp;JT1,'Expenditure Breakdown'!$W$6:$W$203, "&lt;"&amp;JU1)</f>
        <v>0</v>
      </c>
      <c r="JU11" s="215">
        <f>SUMIFS('Expenditure Breakdown'!$Q$6:$Q$203, 'Expenditure Breakdown'!$W$6:$W$203, "&gt;="&amp;JU1,'Expenditure Breakdown'!$W$6:$W$203, "&lt;"&amp;JV1)</f>
        <v>0</v>
      </c>
      <c r="JV11" s="215">
        <f>SUMIFS('Expenditure Breakdown'!$Q$6:$Q$203, 'Expenditure Breakdown'!$W$6:$W$203, "&gt;="&amp;JV1,'Expenditure Breakdown'!$W$6:$W$203, "&lt;"&amp;JW1)</f>
        <v>0</v>
      </c>
      <c r="JW11" s="215">
        <f>SUMIFS('Expenditure Breakdown'!$Q$6:$Q$203, 'Expenditure Breakdown'!$W$6:$W$203, "&gt;="&amp;JW1,'Expenditure Breakdown'!$W$6:$W$203, "&lt;"&amp;JX1)</f>
        <v>0</v>
      </c>
      <c r="JX11" s="215">
        <f>SUMIFS('Expenditure Breakdown'!$Q$6:$Q$203, 'Expenditure Breakdown'!$W$6:$W$203, "&gt;="&amp;JX1,'Expenditure Breakdown'!$W$6:$W$203, "&lt;"&amp;JY1)</f>
        <v>0</v>
      </c>
      <c r="JY11" s="215">
        <f>SUMIFS('Expenditure Breakdown'!$Q$6:$Q$203, 'Expenditure Breakdown'!$W$6:$W$203, "&gt;="&amp;JY1,'Expenditure Breakdown'!$W$6:$W$203, "&lt;"&amp;JZ1)</f>
        <v>0</v>
      </c>
      <c r="JZ11" s="215">
        <f>SUMIFS('Expenditure Breakdown'!$Q$6:$Q$203, 'Expenditure Breakdown'!$W$6:$W$203, "&gt;="&amp;JZ1,'Expenditure Breakdown'!$W$6:$W$203, "&lt;"&amp;KA1)</f>
        <v>0</v>
      </c>
      <c r="KA11" s="215">
        <f>SUMIFS('Expenditure Breakdown'!$Q$6:$Q$203, 'Expenditure Breakdown'!$W$6:$W$203, "&gt;="&amp;KA1,'Expenditure Breakdown'!$W$6:$W$203, "&lt;"&amp;KB1)</f>
        <v>0</v>
      </c>
      <c r="KB11" s="215">
        <f>SUMIFS('Expenditure Breakdown'!$Q$6:$Q$203, 'Expenditure Breakdown'!$W$6:$W$203, "&gt;="&amp;KB1,'Expenditure Breakdown'!$W$6:$W$203, "&lt;"&amp;KC1)</f>
        <v>0</v>
      </c>
      <c r="KC11" s="215">
        <f>SUMIFS('Expenditure Breakdown'!$Q$6:$Q$203, 'Expenditure Breakdown'!$W$6:$W$203, "&gt;="&amp;KC1,'Expenditure Breakdown'!$W$6:$W$203, "&lt;"&amp;KD1)</f>
        <v>0</v>
      </c>
      <c r="KD11" s="215">
        <f>SUMIFS('Expenditure Breakdown'!$Q$6:$Q$203, 'Expenditure Breakdown'!$W$6:$W$203, "&gt;="&amp;KD1,'Expenditure Breakdown'!$W$6:$W$203, "&lt;"&amp;KE1)</f>
        <v>0</v>
      </c>
      <c r="KE11" s="215">
        <f>SUMIFS('Expenditure Breakdown'!$Q$6:$Q$203, 'Expenditure Breakdown'!$W$6:$W$203, "&gt;="&amp;KE1,'Expenditure Breakdown'!$W$6:$W$203, "&lt;"&amp;KF1)</f>
        <v>0</v>
      </c>
      <c r="KF11" s="215">
        <f>SUMIFS('Expenditure Breakdown'!$Q$6:$Q$203, 'Expenditure Breakdown'!$W$6:$W$203, "&gt;="&amp;KF1,'Expenditure Breakdown'!$W$6:$W$203, "&lt;"&amp;KG1)</f>
        <v>0</v>
      </c>
      <c r="KG11" s="215">
        <f>SUMIFS('Expenditure Breakdown'!$Q$6:$Q$203, 'Expenditure Breakdown'!$W$6:$W$203, "&gt;="&amp;KG1,'Expenditure Breakdown'!$W$6:$W$203, "&lt;"&amp;KH1)</f>
        <v>0</v>
      </c>
      <c r="KH11" s="215">
        <f>SUMIFS('Expenditure Breakdown'!$Q$6:$Q$203, 'Expenditure Breakdown'!$W$6:$W$203, "&gt;="&amp;KH1,'Expenditure Breakdown'!$W$6:$W$203, "&lt;"&amp;KI1)</f>
        <v>0</v>
      </c>
      <c r="KI11" s="215">
        <f>SUMIFS('Expenditure Breakdown'!$Q$6:$Q$203, 'Expenditure Breakdown'!$W$6:$W$203, "&gt;="&amp;KI1,'Expenditure Breakdown'!$W$6:$W$203, "&lt;"&amp;KJ1)</f>
        <v>0</v>
      </c>
      <c r="KJ11" s="215">
        <f>SUMIFS('Expenditure Breakdown'!$Q$6:$Q$203, 'Expenditure Breakdown'!$W$6:$W$203, "&gt;="&amp;KJ1,'Expenditure Breakdown'!$W$6:$W$203, "&lt;"&amp;KK1)</f>
        <v>0</v>
      </c>
      <c r="KK11" s="215">
        <f>SUMIFS('Expenditure Breakdown'!$Q$6:$Q$203, 'Expenditure Breakdown'!$W$6:$W$203, "&gt;="&amp;KK1,'Expenditure Breakdown'!$W$6:$W$203, "&lt;"&amp;KL1)</f>
        <v>0</v>
      </c>
      <c r="KL11" s="215">
        <f>SUMIFS('Expenditure Breakdown'!$Q$6:$Q$203, 'Expenditure Breakdown'!$W$6:$W$203, "&gt;="&amp;KL1,'Expenditure Breakdown'!$W$6:$W$203, "&lt;"&amp;KM1)</f>
        <v>0</v>
      </c>
      <c r="KM11" s="215">
        <f>SUMIFS('Expenditure Breakdown'!$Q$6:$Q$203, 'Expenditure Breakdown'!$W$6:$W$203, "&gt;="&amp;KM1,'Expenditure Breakdown'!$W$6:$W$203, "&lt;"&amp;KN1)</f>
        <v>0</v>
      </c>
      <c r="KN11" s="215">
        <f>SUMIFS('Expenditure Breakdown'!$Q$6:$Q$203, 'Expenditure Breakdown'!$W$6:$W$203, "&gt;="&amp;KN1,'Expenditure Breakdown'!$W$6:$W$203, "&lt;"&amp;KO1)</f>
        <v>0</v>
      </c>
      <c r="KO11" s="215">
        <f>SUMIFS('Expenditure Breakdown'!$Q$6:$Q$203, 'Expenditure Breakdown'!$W$6:$W$203, "&gt;="&amp;KO1,'Expenditure Breakdown'!$W$6:$W$203, "&lt;"&amp;KP1)</f>
        <v>0</v>
      </c>
      <c r="KP11" s="215">
        <f>SUMIFS('Expenditure Breakdown'!$Q$6:$Q$203, 'Expenditure Breakdown'!$W$6:$W$203, "&gt;="&amp;KP1,'Expenditure Breakdown'!$W$6:$W$203, "&lt;"&amp;KQ1)</f>
        <v>0</v>
      </c>
      <c r="KQ11" s="215">
        <f>SUMIFS('Expenditure Breakdown'!$Q$6:$Q$203, 'Expenditure Breakdown'!$W$6:$W$203, "&gt;="&amp;KQ1,'Expenditure Breakdown'!$W$6:$W$203, "&lt;"&amp;KR1)</f>
        <v>0</v>
      </c>
      <c r="KR11" s="215">
        <f>SUMIFS('Expenditure Breakdown'!$Q$6:$Q$203, 'Expenditure Breakdown'!$W$6:$W$203, "&gt;="&amp;KR1,'Expenditure Breakdown'!$W$6:$W$203, "&lt;"&amp;KS1)</f>
        <v>0</v>
      </c>
      <c r="KS11" s="215">
        <f>SUMIFS('Expenditure Breakdown'!$Q$6:$Q$203, 'Expenditure Breakdown'!$W$6:$W$203, "&gt;="&amp;KS1,'Expenditure Breakdown'!$W$6:$W$203, "&lt;"&amp;KT1)</f>
        <v>0</v>
      </c>
      <c r="KT11" s="215">
        <f>SUMIFS('Expenditure Breakdown'!$Q$6:$Q$203, 'Expenditure Breakdown'!$W$6:$W$203, "&gt;="&amp;KT1,'Expenditure Breakdown'!$W$6:$W$203, "&lt;"&amp;KU1)</f>
        <v>0</v>
      </c>
      <c r="KU11" s="215">
        <f>SUMIFS('Expenditure Breakdown'!$Q$6:$Q$203, 'Expenditure Breakdown'!$W$6:$W$203, "&gt;="&amp;KU1,'Expenditure Breakdown'!$W$6:$W$203, "&lt;"&amp;KV1)</f>
        <v>0</v>
      </c>
      <c r="KV11" s="215">
        <f>SUMIFS('Expenditure Breakdown'!$Q$6:$Q$203, 'Expenditure Breakdown'!$W$6:$W$203, "&gt;="&amp;KV1,'Expenditure Breakdown'!$W$6:$W$203, "&lt;"&amp;KW1)</f>
        <v>0</v>
      </c>
      <c r="KW11" s="215">
        <f>SUMIFS('Expenditure Breakdown'!$Q$6:$Q$203, 'Expenditure Breakdown'!$W$6:$W$203, "&gt;="&amp;KW1,'Expenditure Breakdown'!$W$6:$W$203, "&lt;"&amp;KX1)</f>
        <v>0</v>
      </c>
      <c r="KX11" s="215">
        <f>SUMIFS('Expenditure Breakdown'!$Q$6:$Q$203, 'Expenditure Breakdown'!$W$6:$W$203, "&gt;="&amp;KX1,'Expenditure Breakdown'!$W$6:$W$203, "&lt;"&amp;KY1)</f>
        <v>0</v>
      </c>
      <c r="KY11" s="215">
        <f>SUMIFS('Expenditure Breakdown'!$Q$6:$Q$203, 'Expenditure Breakdown'!$W$6:$W$203, "&gt;="&amp;KY1,'Expenditure Breakdown'!$W$6:$W$203, "&lt;"&amp;KZ1)</f>
        <v>0</v>
      </c>
      <c r="KZ11" s="215">
        <f>SUMIFS('Expenditure Breakdown'!$Q$6:$Q$203, 'Expenditure Breakdown'!$W$6:$W$203, "&gt;="&amp;KZ1,'Expenditure Breakdown'!$W$6:$W$203, "&lt;"&amp;LA1)</f>
        <v>0</v>
      </c>
      <c r="LA11" s="215">
        <f>SUMIFS('Expenditure Breakdown'!$Q$6:$Q$203, 'Expenditure Breakdown'!$W$6:$W$203, "&gt;="&amp;LA1,'Expenditure Breakdown'!$W$6:$W$203, "&lt;"&amp;LB1)</f>
        <v>0</v>
      </c>
      <c r="LB11" s="215">
        <f>SUMIFS('Expenditure Breakdown'!$Q$6:$Q$203, 'Expenditure Breakdown'!$W$6:$W$203, "&gt;="&amp;LB1,'Expenditure Breakdown'!$W$6:$W$203, "&lt;"&amp;LC1)</f>
        <v>0</v>
      </c>
      <c r="LC11" s="215">
        <f>SUMIFS('Expenditure Breakdown'!$Q$6:$Q$203, 'Expenditure Breakdown'!$W$6:$W$203, "&gt;="&amp;LC1,'Expenditure Breakdown'!$W$6:$W$203, "&lt;"&amp;LD1)</f>
        <v>0</v>
      </c>
      <c r="LD11" s="215">
        <f>SUMIFS('Expenditure Breakdown'!$Q$6:$Q$203, 'Expenditure Breakdown'!$W$6:$W$203, "&gt;="&amp;LD1,'Expenditure Breakdown'!$W$6:$W$203, "&lt;"&amp;#REF!)</f>
        <v>0</v>
      </c>
      <c r="LE11" s="192"/>
      <c r="LF11" s="203"/>
      <c r="LG11" s="203"/>
    </row>
    <row r="12" spans="1:794" s="204" customFormat="1">
      <c r="A12" s="842"/>
      <c r="B12" s="213" t="s">
        <v>583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9620</v>
      </c>
      <c r="M12" s="215">
        <f t="shared" si="26"/>
        <v>9620</v>
      </c>
      <c r="N12" s="215">
        <f t="shared" si="26"/>
        <v>9620</v>
      </c>
      <c r="O12" s="215">
        <f t="shared" si="26"/>
        <v>9620</v>
      </c>
      <c r="P12" s="215">
        <f t="shared" si="26"/>
        <v>9620</v>
      </c>
      <c r="Q12" s="215">
        <f t="shared" si="26"/>
        <v>18639.599999999999</v>
      </c>
      <c r="R12" s="215">
        <f t="shared" si="26"/>
        <v>18639.599999999999</v>
      </c>
      <c r="S12" s="215">
        <f t="shared" si="26"/>
        <v>18639.599999999999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774127.85</v>
      </c>
      <c r="AV12" s="215">
        <f t="shared" si="26"/>
        <v>774127.85</v>
      </c>
      <c r="AW12" s="215">
        <f t="shared" si="26"/>
        <v>774127.85</v>
      </c>
      <c r="AX12" s="215">
        <f t="shared" si="26"/>
        <v>932823.77</v>
      </c>
      <c r="AY12" s="215">
        <f t="shared" si="26"/>
        <v>938339.12</v>
      </c>
      <c r="AZ12" s="215">
        <f t="shared" si="26"/>
        <v>4201500.1280000005</v>
      </c>
      <c r="BA12" s="215">
        <f t="shared" si="26"/>
        <v>5820122.0780000007</v>
      </c>
      <c r="BB12" s="215">
        <f t="shared" si="26"/>
        <v>5820122.0780000007</v>
      </c>
      <c r="BC12" s="215">
        <f t="shared" si="26"/>
        <v>6215672.7480000006</v>
      </c>
      <c r="BD12" s="215">
        <f t="shared" si="26"/>
        <v>6215672.7480000006</v>
      </c>
      <c r="BE12" s="215">
        <f t="shared" si="26"/>
        <v>6215672.7480000006</v>
      </c>
      <c r="BF12" s="215">
        <f t="shared" si="26"/>
        <v>6231229.6980000008</v>
      </c>
      <c r="BG12" s="215">
        <f t="shared" si="26"/>
        <v>6231229.6980000008</v>
      </c>
      <c r="BH12" s="215">
        <f t="shared" si="26"/>
        <v>6222599.9180000005</v>
      </c>
      <c r="BI12" s="215">
        <f t="shared" si="26"/>
        <v>6602046.2480000006</v>
      </c>
      <c r="BJ12" s="215">
        <f t="shared" si="26"/>
        <v>6602046.2480000006</v>
      </c>
      <c r="BK12" s="215">
        <f t="shared" si="26"/>
        <v>6602046.2480000006</v>
      </c>
      <c r="BL12" s="215">
        <f t="shared" si="26"/>
        <v>6625244.2780000009</v>
      </c>
      <c r="BM12" s="215">
        <f t="shared" si="26"/>
        <v>6625244.2780000009</v>
      </c>
      <c r="BN12" s="215">
        <f t="shared" si="26"/>
        <v>6987168.9980000006</v>
      </c>
      <c r="BO12" s="215">
        <f t="shared" si="26"/>
        <v>6987395.3380000005</v>
      </c>
      <c r="BP12" s="215">
        <f t="shared" si="26"/>
        <v>6938233.9380000001</v>
      </c>
      <c r="BQ12" s="215">
        <f t="shared" si="26"/>
        <v>7387794.4380000001</v>
      </c>
      <c r="BR12" s="215">
        <f t="shared" si="26"/>
        <v>7390044.4380000001</v>
      </c>
      <c r="BS12" s="215">
        <f t="shared" si="26"/>
        <v>7390044.4380000001</v>
      </c>
      <c r="BT12" s="215">
        <f t="shared" si="26"/>
        <v>7398886.898</v>
      </c>
      <c r="BU12" s="215">
        <f t="shared" ref="BU12:EF12" si="27">BT12+BU11</f>
        <v>7492537.358</v>
      </c>
      <c r="BV12" s="215">
        <f t="shared" si="27"/>
        <v>7492537.358</v>
      </c>
      <c r="BW12" s="215">
        <f t="shared" si="27"/>
        <v>7492537.358</v>
      </c>
      <c r="BX12" s="215">
        <f t="shared" si="27"/>
        <v>7622891.6623272402</v>
      </c>
      <c r="BY12" s="215">
        <f t="shared" si="27"/>
        <v>7622891.6623272402</v>
      </c>
      <c r="BZ12" s="215">
        <f t="shared" si="27"/>
        <v>7622891.6623272402</v>
      </c>
      <c r="CA12" s="215">
        <f t="shared" si="27"/>
        <v>7622891.6623272402</v>
      </c>
      <c r="CB12" s="215">
        <f t="shared" si="27"/>
        <v>7622891.6623272402</v>
      </c>
      <c r="CC12" s="215">
        <f t="shared" si="27"/>
        <v>7622891.6623272402</v>
      </c>
      <c r="CD12" s="215">
        <f t="shared" si="27"/>
        <v>7622891.6623272402</v>
      </c>
      <c r="CE12" s="215">
        <f t="shared" si="27"/>
        <v>7622891.6623272402</v>
      </c>
      <c r="CF12" s="215">
        <f t="shared" si="27"/>
        <v>7622891.6623272402</v>
      </c>
      <c r="CG12" s="215">
        <f t="shared" si="27"/>
        <v>7622891.6623272402</v>
      </c>
      <c r="CH12" s="215">
        <f t="shared" si="27"/>
        <v>7622891.6623272402</v>
      </c>
      <c r="CI12" s="215">
        <f t="shared" si="27"/>
        <v>7622891.6623272402</v>
      </c>
      <c r="CJ12" s="215">
        <f t="shared" si="27"/>
        <v>7622891.6623272402</v>
      </c>
      <c r="CK12" s="215">
        <f t="shared" si="27"/>
        <v>7622891.6623272402</v>
      </c>
      <c r="CL12" s="215">
        <f t="shared" si="27"/>
        <v>7622891.6623272402</v>
      </c>
      <c r="CM12" s="215">
        <f t="shared" si="27"/>
        <v>7622891.6623272402</v>
      </c>
      <c r="CN12" s="215">
        <f t="shared" si="27"/>
        <v>7622891.6623272402</v>
      </c>
      <c r="CO12" s="215">
        <f t="shared" si="27"/>
        <v>7622891.6623272402</v>
      </c>
      <c r="CP12" s="215">
        <f t="shared" si="27"/>
        <v>7622891.6623272402</v>
      </c>
      <c r="CQ12" s="215">
        <f t="shared" si="27"/>
        <v>7622891.6623272402</v>
      </c>
      <c r="CR12" s="215">
        <f t="shared" si="27"/>
        <v>7622891.6623272402</v>
      </c>
      <c r="CS12" s="215">
        <f t="shared" si="27"/>
        <v>7622891.6623272402</v>
      </c>
      <c r="CT12" s="215">
        <f t="shared" si="27"/>
        <v>7622891.6623272402</v>
      </c>
      <c r="CU12" s="215">
        <f t="shared" si="27"/>
        <v>7622891.6623272402</v>
      </c>
      <c r="CV12" s="215">
        <f t="shared" si="27"/>
        <v>7622891.6623272402</v>
      </c>
      <c r="CW12" s="215">
        <f t="shared" si="27"/>
        <v>7622891.6623272402</v>
      </c>
      <c r="CX12" s="215">
        <f t="shared" si="27"/>
        <v>7622891.6623272402</v>
      </c>
      <c r="CY12" s="215">
        <f t="shared" si="27"/>
        <v>7622891.6623272402</v>
      </c>
      <c r="CZ12" s="215">
        <f t="shared" si="27"/>
        <v>7622891.6623272402</v>
      </c>
      <c r="DA12" s="215">
        <f t="shared" si="27"/>
        <v>7622891.6623272402</v>
      </c>
      <c r="DB12" s="215">
        <f t="shared" si="27"/>
        <v>7622891.6623272402</v>
      </c>
      <c r="DC12" s="215">
        <f t="shared" si="27"/>
        <v>7622891.6623272402</v>
      </c>
      <c r="DD12" s="215">
        <f t="shared" si="27"/>
        <v>7622891.6623272402</v>
      </c>
      <c r="DE12" s="215">
        <f t="shared" si="27"/>
        <v>7622891.6623272402</v>
      </c>
      <c r="DF12" s="215">
        <f t="shared" si="27"/>
        <v>7622891.6623272402</v>
      </c>
      <c r="DG12" s="215">
        <f t="shared" si="27"/>
        <v>7622891.6623272402</v>
      </c>
      <c r="DH12" s="215">
        <f t="shared" si="27"/>
        <v>7622891.6623272402</v>
      </c>
      <c r="DI12" s="215">
        <f t="shared" si="27"/>
        <v>7622891.6623272402</v>
      </c>
      <c r="DJ12" s="215">
        <f t="shared" si="27"/>
        <v>7622891.6623272402</v>
      </c>
      <c r="DK12" s="215">
        <f t="shared" si="27"/>
        <v>7622891.6623272402</v>
      </c>
      <c r="DL12" s="215">
        <f t="shared" si="27"/>
        <v>7622891.6623272402</v>
      </c>
      <c r="DM12" s="215">
        <f t="shared" si="27"/>
        <v>7622891.6623272402</v>
      </c>
      <c r="DN12" s="215">
        <f t="shared" si="27"/>
        <v>7622891.6623272402</v>
      </c>
      <c r="DO12" s="215">
        <f t="shared" si="27"/>
        <v>7622891.6623272402</v>
      </c>
      <c r="DP12" s="215">
        <f t="shared" si="27"/>
        <v>7622891.6623272402</v>
      </c>
      <c r="DQ12" s="215">
        <f t="shared" si="27"/>
        <v>7622891.6623272402</v>
      </c>
      <c r="DR12" s="215">
        <f t="shared" si="27"/>
        <v>7622891.6623272402</v>
      </c>
      <c r="DS12" s="215">
        <f t="shared" si="27"/>
        <v>7622891.6623272402</v>
      </c>
      <c r="DT12" s="215">
        <f t="shared" si="27"/>
        <v>7622891.6623272402</v>
      </c>
      <c r="DU12" s="215">
        <f t="shared" si="27"/>
        <v>7622891.6623272402</v>
      </c>
      <c r="DV12" s="215">
        <f t="shared" si="27"/>
        <v>7622891.6623272402</v>
      </c>
      <c r="DW12" s="215">
        <f t="shared" si="27"/>
        <v>7622891.6623272402</v>
      </c>
      <c r="DX12" s="215">
        <f t="shared" si="27"/>
        <v>7622891.6623272402</v>
      </c>
      <c r="DY12" s="215">
        <f t="shared" si="27"/>
        <v>7622891.6623272402</v>
      </c>
      <c r="DZ12" s="215">
        <f t="shared" si="27"/>
        <v>7622891.6623272402</v>
      </c>
      <c r="EA12" s="215">
        <f t="shared" si="27"/>
        <v>7622891.6623272402</v>
      </c>
      <c r="EB12" s="215">
        <f t="shared" si="27"/>
        <v>7622891.6623272402</v>
      </c>
      <c r="EC12" s="215">
        <f t="shared" si="27"/>
        <v>7622891.6623272402</v>
      </c>
      <c r="ED12" s="215">
        <f t="shared" si="27"/>
        <v>7622891.6623272402</v>
      </c>
      <c r="EE12" s="215">
        <f t="shared" si="27"/>
        <v>7622891.6623272402</v>
      </c>
      <c r="EF12" s="215">
        <f t="shared" si="27"/>
        <v>7622891.6623272402</v>
      </c>
      <c r="EG12" s="215">
        <f t="shared" ref="EG12:GR12" si="28">EF12+EG11</f>
        <v>7622891.6623272402</v>
      </c>
      <c r="EH12" s="215">
        <f t="shared" si="28"/>
        <v>7622891.6623272402</v>
      </c>
      <c r="EI12" s="215">
        <f t="shared" si="28"/>
        <v>7622891.6623272402</v>
      </c>
      <c r="EJ12" s="215">
        <f t="shared" si="28"/>
        <v>7622891.6623272402</v>
      </c>
      <c r="EK12" s="215">
        <f t="shared" si="28"/>
        <v>7622891.6623272402</v>
      </c>
      <c r="EL12" s="215">
        <f t="shared" si="28"/>
        <v>7622891.6623272402</v>
      </c>
      <c r="EM12" s="215">
        <f t="shared" si="28"/>
        <v>7622891.6623272402</v>
      </c>
      <c r="EN12" s="215">
        <f t="shared" si="28"/>
        <v>7622891.6623272402</v>
      </c>
      <c r="EO12" s="215">
        <f t="shared" si="28"/>
        <v>7622891.6623272402</v>
      </c>
      <c r="EP12" s="215">
        <f t="shared" si="28"/>
        <v>7622891.6623272402</v>
      </c>
      <c r="EQ12" s="215">
        <f t="shared" si="28"/>
        <v>7622891.6623272402</v>
      </c>
      <c r="ER12" s="215">
        <f t="shared" si="28"/>
        <v>7622891.6623272402</v>
      </c>
      <c r="ES12" s="215">
        <f t="shared" si="28"/>
        <v>7622891.6623272402</v>
      </c>
      <c r="ET12" s="215">
        <f t="shared" si="28"/>
        <v>7622891.6623272402</v>
      </c>
      <c r="EU12" s="215">
        <f t="shared" si="28"/>
        <v>7622891.6623272402</v>
      </c>
      <c r="EV12" s="215">
        <f t="shared" si="28"/>
        <v>7622891.6623272402</v>
      </c>
      <c r="EW12" s="215">
        <f t="shared" si="28"/>
        <v>7622891.6623272402</v>
      </c>
      <c r="EX12" s="215">
        <f t="shared" si="28"/>
        <v>7622891.6623272402</v>
      </c>
      <c r="EY12" s="215">
        <f t="shared" si="28"/>
        <v>7622891.6623272402</v>
      </c>
      <c r="EZ12" s="215">
        <f t="shared" si="28"/>
        <v>7622891.6623272402</v>
      </c>
      <c r="FA12" s="215">
        <f t="shared" si="28"/>
        <v>7622891.6623272402</v>
      </c>
      <c r="FB12" s="215">
        <f t="shared" si="28"/>
        <v>7622891.6623272402</v>
      </c>
      <c r="FC12" s="215">
        <f t="shared" si="28"/>
        <v>7622891.6623272402</v>
      </c>
      <c r="FD12" s="215">
        <f t="shared" si="28"/>
        <v>7622891.6623272402</v>
      </c>
      <c r="FE12" s="215">
        <f t="shared" si="28"/>
        <v>7622891.6623272402</v>
      </c>
      <c r="FF12" s="215">
        <f t="shared" si="28"/>
        <v>7622891.6623272402</v>
      </c>
      <c r="FG12" s="215">
        <f t="shared" si="28"/>
        <v>7622891.6623272402</v>
      </c>
      <c r="FH12" s="215">
        <f t="shared" si="28"/>
        <v>7622891.6623272402</v>
      </c>
      <c r="FI12" s="215">
        <f t="shared" si="28"/>
        <v>7622891.6623272402</v>
      </c>
      <c r="FJ12" s="215">
        <f t="shared" si="28"/>
        <v>7622891.6623272402</v>
      </c>
      <c r="FK12" s="215">
        <f t="shared" si="28"/>
        <v>7622891.6623272402</v>
      </c>
      <c r="FL12" s="215">
        <f t="shared" si="28"/>
        <v>7622891.6623272402</v>
      </c>
      <c r="FM12" s="215">
        <f t="shared" si="28"/>
        <v>7622891.6623272402</v>
      </c>
      <c r="FN12" s="215">
        <f t="shared" si="28"/>
        <v>7622891.6623272402</v>
      </c>
      <c r="FO12" s="215">
        <f t="shared" si="28"/>
        <v>7622891.6623272402</v>
      </c>
      <c r="FP12" s="215">
        <f t="shared" si="28"/>
        <v>7622891.6623272402</v>
      </c>
      <c r="FQ12" s="215">
        <f t="shared" si="28"/>
        <v>7622891.6623272402</v>
      </c>
      <c r="FR12" s="215">
        <f t="shared" si="28"/>
        <v>7622891.6623272402</v>
      </c>
      <c r="FS12" s="215">
        <f t="shared" si="28"/>
        <v>7622891.6623272402</v>
      </c>
      <c r="FT12" s="215">
        <f t="shared" si="28"/>
        <v>7622891.6623272402</v>
      </c>
      <c r="FU12" s="215">
        <f t="shared" si="28"/>
        <v>7622891.6623272402</v>
      </c>
      <c r="FV12" s="215">
        <f t="shared" si="28"/>
        <v>7622891.6623272402</v>
      </c>
      <c r="FW12" s="215">
        <f t="shared" si="28"/>
        <v>7622891.6623272402</v>
      </c>
      <c r="FX12" s="215">
        <f t="shared" si="28"/>
        <v>7622891.6623272402</v>
      </c>
      <c r="FY12" s="215">
        <f t="shared" si="28"/>
        <v>7622891.6623272402</v>
      </c>
      <c r="FZ12" s="215">
        <f t="shared" si="28"/>
        <v>7622891.6623272402</v>
      </c>
      <c r="GA12" s="215">
        <f t="shared" si="28"/>
        <v>7622891.6623272402</v>
      </c>
      <c r="GB12" s="215">
        <f t="shared" si="28"/>
        <v>7622891.6623272402</v>
      </c>
      <c r="GC12" s="215">
        <f t="shared" si="28"/>
        <v>7622891.6623272402</v>
      </c>
      <c r="GD12" s="215">
        <f t="shared" si="28"/>
        <v>7622891.6623272402</v>
      </c>
      <c r="GE12" s="215">
        <f t="shared" si="28"/>
        <v>7622891.6623272402</v>
      </c>
      <c r="GF12" s="215">
        <f t="shared" si="28"/>
        <v>7622891.6623272402</v>
      </c>
      <c r="GG12" s="215">
        <f t="shared" si="28"/>
        <v>7622891.6623272402</v>
      </c>
      <c r="GH12" s="215">
        <f t="shared" si="28"/>
        <v>7622891.6623272402</v>
      </c>
      <c r="GI12" s="215">
        <f t="shared" si="28"/>
        <v>7622891.6623272402</v>
      </c>
      <c r="GJ12" s="215">
        <f t="shared" si="28"/>
        <v>7622891.6623272402</v>
      </c>
      <c r="GK12" s="215">
        <f t="shared" si="28"/>
        <v>7622891.6623272402</v>
      </c>
      <c r="GL12" s="215">
        <f t="shared" si="28"/>
        <v>7622891.6623272402</v>
      </c>
      <c r="GM12" s="215">
        <f t="shared" si="28"/>
        <v>7622891.6623272402</v>
      </c>
      <c r="GN12" s="215">
        <f t="shared" si="28"/>
        <v>7622891.6623272402</v>
      </c>
      <c r="GO12" s="215">
        <f t="shared" si="28"/>
        <v>7622891.6623272402</v>
      </c>
      <c r="GP12" s="215">
        <f t="shared" si="28"/>
        <v>7622891.6623272402</v>
      </c>
      <c r="GQ12" s="215">
        <f t="shared" si="28"/>
        <v>7622891.6623272402</v>
      </c>
      <c r="GR12" s="215">
        <f t="shared" si="28"/>
        <v>7622891.6623272402</v>
      </c>
      <c r="GS12" s="215">
        <f t="shared" ref="GS12:JD12" si="29">GR12+GS11</f>
        <v>7622891.6623272402</v>
      </c>
      <c r="GT12" s="215">
        <f t="shared" si="29"/>
        <v>7622891.6623272402</v>
      </c>
      <c r="GU12" s="215">
        <f t="shared" si="29"/>
        <v>7622891.6623272402</v>
      </c>
      <c r="GV12" s="215">
        <f t="shared" si="29"/>
        <v>7622891.6623272402</v>
      </c>
      <c r="GW12" s="215">
        <f t="shared" si="29"/>
        <v>7622891.6623272402</v>
      </c>
      <c r="GX12" s="215">
        <f t="shared" si="29"/>
        <v>7622891.6623272402</v>
      </c>
      <c r="GY12" s="215">
        <f t="shared" si="29"/>
        <v>7622891.6623272402</v>
      </c>
      <c r="GZ12" s="215">
        <f t="shared" si="29"/>
        <v>7622891.6623272402</v>
      </c>
      <c r="HA12" s="215">
        <f t="shared" si="29"/>
        <v>7622891.6623272402</v>
      </c>
      <c r="HB12" s="215">
        <f t="shared" si="29"/>
        <v>7622891.6623272402</v>
      </c>
      <c r="HC12" s="215">
        <f t="shared" si="29"/>
        <v>7622891.6623272402</v>
      </c>
      <c r="HD12" s="215">
        <f t="shared" si="29"/>
        <v>7622891.6623272402</v>
      </c>
      <c r="HE12" s="215">
        <f t="shared" si="29"/>
        <v>7622891.6623272402</v>
      </c>
      <c r="HF12" s="215">
        <f t="shared" si="29"/>
        <v>7622891.6623272402</v>
      </c>
      <c r="HG12" s="215">
        <f t="shared" si="29"/>
        <v>7622891.6623272402</v>
      </c>
      <c r="HH12" s="215">
        <f t="shared" si="29"/>
        <v>7622891.6623272402</v>
      </c>
      <c r="HI12" s="215">
        <f t="shared" si="29"/>
        <v>7622891.6623272402</v>
      </c>
      <c r="HJ12" s="215">
        <f t="shared" si="29"/>
        <v>7622891.6623272402</v>
      </c>
      <c r="HK12" s="215">
        <f t="shared" si="29"/>
        <v>7622891.6623272402</v>
      </c>
      <c r="HL12" s="215">
        <f t="shared" si="29"/>
        <v>7622891.6623272402</v>
      </c>
      <c r="HM12" s="215">
        <f t="shared" si="29"/>
        <v>7622891.6623272402</v>
      </c>
      <c r="HN12" s="215">
        <f t="shared" si="29"/>
        <v>7622891.6623272402</v>
      </c>
      <c r="HO12" s="215">
        <f t="shared" si="29"/>
        <v>7622891.6623272402</v>
      </c>
      <c r="HP12" s="215">
        <f t="shared" si="29"/>
        <v>7622891.6623272402</v>
      </c>
      <c r="HQ12" s="215">
        <f t="shared" si="29"/>
        <v>7622891.6623272402</v>
      </c>
      <c r="HR12" s="215">
        <f t="shared" si="29"/>
        <v>7622891.6623272402</v>
      </c>
      <c r="HS12" s="215">
        <f t="shared" si="29"/>
        <v>7622891.6623272402</v>
      </c>
      <c r="HT12" s="215">
        <f t="shared" si="29"/>
        <v>7622891.6623272402</v>
      </c>
      <c r="HU12" s="215">
        <f t="shared" si="29"/>
        <v>7622891.6623272402</v>
      </c>
      <c r="HV12" s="215">
        <f t="shared" si="29"/>
        <v>7622891.6623272402</v>
      </c>
      <c r="HW12" s="215">
        <f t="shared" si="29"/>
        <v>7622891.6623272402</v>
      </c>
      <c r="HX12" s="215">
        <f t="shared" si="29"/>
        <v>7622891.6623272402</v>
      </c>
      <c r="HY12" s="215">
        <f t="shared" si="29"/>
        <v>7622891.6623272402</v>
      </c>
      <c r="HZ12" s="215">
        <f t="shared" si="29"/>
        <v>7622891.6623272402</v>
      </c>
      <c r="IA12" s="215">
        <f t="shared" si="29"/>
        <v>7622891.6623272402</v>
      </c>
      <c r="IB12" s="215">
        <f t="shared" si="29"/>
        <v>7622891.6623272402</v>
      </c>
      <c r="IC12" s="215">
        <f t="shared" si="29"/>
        <v>7622891.6623272402</v>
      </c>
      <c r="ID12" s="215">
        <f t="shared" si="29"/>
        <v>7622891.6623272402</v>
      </c>
      <c r="IE12" s="215">
        <f t="shared" si="29"/>
        <v>7622891.6623272402</v>
      </c>
      <c r="IF12" s="215">
        <f t="shared" si="29"/>
        <v>7622891.6623272402</v>
      </c>
      <c r="IG12" s="215">
        <f t="shared" si="29"/>
        <v>7622891.6623272402</v>
      </c>
      <c r="IH12" s="215">
        <f t="shared" si="29"/>
        <v>7622891.6623272402</v>
      </c>
      <c r="II12" s="215">
        <f t="shared" si="29"/>
        <v>7622891.6623272402</v>
      </c>
      <c r="IJ12" s="215">
        <f t="shared" si="29"/>
        <v>7622891.6623272402</v>
      </c>
      <c r="IK12" s="215">
        <f t="shared" si="29"/>
        <v>7622891.6623272402</v>
      </c>
      <c r="IL12" s="215">
        <f t="shared" si="29"/>
        <v>7622891.6623272402</v>
      </c>
      <c r="IM12" s="215">
        <f t="shared" si="29"/>
        <v>7622891.6623272402</v>
      </c>
      <c r="IN12" s="215">
        <f t="shared" si="29"/>
        <v>7622891.6623272402</v>
      </c>
      <c r="IO12" s="215">
        <f t="shared" si="29"/>
        <v>7622891.6623272402</v>
      </c>
      <c r="IP12" s="215">
        <f t="shared" si="29"/>
        <v>7622891.6623272402</v>
      </c>
      <c r="IQ12" s="215">
        <f t="shared" si="29"/>
        <v>7622891.6623272402</v>
      </c>
      <c r="IR12" s="215">
        <f t="shared" si="29"/>
        <v>7622891.6623272402</v>
      </c>
      <c r="IS12" s="215">
        <f t="shared" si="29"/>
        <v>7622891.6623272402</v>
      </c>
      <c r="IT12" s="215">
        <f t="shared" si="29"/>
        <v>7622891.6623272402</v>
      </c>
      <c r="IU12" s="215">
        <f t="shared" si="29"/>
        <v>7622891.6623272402</v>
      </c>
      <c r="IV12" s="215">
        <f t="shared" si="29"/>
        <v>7622891.6623272402</v>
      </c>
      <c r="IW12" s="215">
        <f t="shared" si="29"/>
        <v>7622891.6623272402</v>
      </c>
      <c r="IX12" s="215">
        <f t="shared" si="29"/>
        <v>7622891.6623272402</v>
      </c>
      <c r="IY12" s="215">
        <f t="shared" si="29"/>
        <v>7622891.6623272402</v>
      </c>
      <c r="IZ12" s="215">
        <f t="shared" si="29"/>
        <v>7622891.6623272402</v>
      </c>
      <c r="JA12" s="215">
        <f t="shared" si="29"/>
        <v>7622891.6623272402</v>
      </c>
      <c r="JB12" s="215">
        <f t="shared" si="29"/>
        <v>7622891.6623272402</v>
      </c>
      <c r="JC12" s="215">
        <f t="shared" si="29"/>
        <v>7622891.6623272402</v>
      </c>
      <c r="JD12" s="215">
        <f t="shared" si="29"/>
        <v>7622891.6623272402</v>
      </c>
      <c r="JE12" s="215">
        <f t="shared" ref="JE12:LD12" si="30">JD12+JE11</f>
        <v>7622891.6623272402</v>
      </c>
      <c r="JF12" s="215">
        <f t="shared" si="30"/>
        <v>7622891.6623272402</v>
      </c>
      <c r="JG12" s="215">
        <f t="shared" si="30"/>
        <v>7622891.6623272402</v>
      </c>
      <c r="JH12" s="215">
        <f t="shared" si="30"/>
        <v>7622891.6623272402</v>
      </c>
      <c r="JI12" s="215">
        <f t="shared" si="30"/>
        <v>7622891.6623272402</v>
      </c>
      <c r="JJ12" s="215">
        <f t="shared" si="30"/>
        <v>7622891.6623272402</v>
      </c>
      <c r="JK12" s="215">
        <f t="shared" si="30"/>
        <v>7622891.6623272402</v>
      </c>
      <c r="JL12" s="215">
        <f t="shared" si="30"/>
        <v>7622891.6623272402</v>
      </c>
      <c r="JM12" s="215">
        <f t="shared" si="30"/>
        <v>7622891.6623272402</v>
      </c>
      <c r="JN12" s="215">
        <f t="shared" si="30"/>
        <v>7622891.6623272402</v>
      </c>
      <c r="JO12" s="215">
        <f t="shared" si="30"/>
        <v>7622891.6623272402</v>
      </c>
      <c r="JP12" s="215">
        <f t="shared" si="30"/>
        <v>7622891.6623272402</v>
      </c>
      <c r="JQ12" s="215">
        <f t="shared" si="30"/>
        <v>7622891.6623272402</v>
      </c>
      <c r="JR12" s="215">
        <f t="shared" si="30"/>
        <v>7622891.6623272402</v>
      </c>
      <c r="JS12" s="215">
        <f t="shared" si="30"/>
        <v>7622891.6623272402</v>
      </c>
      <c r="JT12" s="215">
        <f t="shared" si="30"/>
        <v>7622891.6623272402</v>
      </c>
      <c r="JU12" s="215">
        <f t="shared" si="30"/>
        <v>7622891.6623272402</v>
      </c>
      <c r="JV12" s="215">
        <f t="shared" si="30"/>
        <v>7622891.6623272402</v>
      </c>
      <c r="JW12" s="215">
        <f t="shared" si="30"/>
        <v>7622891.6623272402</v>
      </c>
      <c r="JX12" s="215">
        <f t="shared" si="30"/>
        <v>7622891.6623272402</v>
      </c>
      <c r="JY12" s="215">
        <f t="shared" si="30"/>
        <v>7622891.6623272402</v>
      </c>
      <c r="JZ12" s="215">
        <f t="shared" si="30"/>
        <v>7622891.6623272402</v>
      </c>
      <c r="KA12" s="215">
        <f t="shared" si="30"/>
        <v>7622891.6623272402</v>
      </c>
      <c r="KB12" s="215">
        <f t="shared" si="30"/>
        <v>7622891.6623272402</v>
      </c>
      <c r="KC12" s="215">
        <f t="shared" si="30"/>
        <v>7622891.6623272402</v>
      </c>
      <c r="KD12" s="215">
        <f t="shared" si="30"/>
        <v>7622891.6623272402</v>
      </c>
      <c r="KE12" s="215">
        <f t="shared" si="30"/>
        <v>7622891.6623272402</v>
      </c>
      <c r="KF12" s="215">
        <f t="shared" si="30"/>
        <v>7622891.6623272402</v>
      </c>
      <c r="KG12" s="215">
        <f t="shared" si="30"/>
        <v>7622891.6623272402</v>
      </c>
      <c r="KH12" s="215">
        <f t="shared" si="30"/>
        <v>7622891.6623272402</v>
      </c>
      <c r="KI12" s="215">
        <f t="shared" si="30"/>
        <v>7622891.6623272402</v>
      </c>
      <c r="KJ12" s="215">
        <f t="shared" si="30"/>
        <v>7622891.6623272402</v>
      </c>
      <c r="KK12" s="215">
        <f t="shared" si="30"/>
        <v>7622891.6623272402</v>
      </c>
      <c r="KL12" s="215">
        <f t="shared" si="30"/>
        <v>7622891.6623272402</v>
      </c>
      <c r="KM12" s="215">
        <f t="shared" si="30"/>
        <v>7622891.6623272402</v>
      </c>
      <c r="KN12" s="215">
        <f t="shared" si="30"/>
        <v>7622891.6623272402</v>
      </c>
      <c r="KO12" s="215">
        <f t="shared" si="30"/>
        <v>7622891.6623272402</v>
      </c>
      <c r="KP12" s="215">
        <f t="shared" si="30"/>
        <v>7622891.6623272402</v>
      </c>
      <c r="KQ12" s="215">
        <f t="shared" si="30"/>
        <v>7622891.6623272402</v>
      </c>
      <c r="KR12" s="215">
        <f t="shared" si="30"/>
        <v>7622891.6623272402</v>
      </c>
      <c r="KS12" s="215">
        <f t="shared" si="30"/>
        <v>7622891.6623272402</v>
      </c>
      <c r="KT12" s="215">
        <f t="shared" si="30"/>
        <v>7622891.6623272402</v>
      </c>
      <c r="KU12" s="215">
        <f t="shared" si="30"/>
        <v>7622891.6623272402</v>
      </c>
      <c r="KV12" s="215">
        <f t="shared" si="30"/>
        <v>7622891.6623272402</v>
      </c>
      <c r="KW12" s="215">
        <f t="shared" si="30"/>
        <v>7622891.6623272402</v>
      </c>
      <c r="KX12" s="215">
        <f t="shared" si="30"/>
        <v>7622891.6623272402</v>
      </c>
      <c r="KY12" s="215">
        <f t="shared" si="30"/>
        <v>7622891.6623272402</v>
      </c>
      <c r="KZ12" s="215">
        <f t="shared" si="30"/>
        <v>7622891.6623272402</v>
      </c>
      <c r="LA12" s="215">
        <f t="shared" si="30"/>
        <v>7622891.6623272402</v>
      </c>
      <c r="LB12" s="215">
        <f t="shared" si="30"/>
        <v>7622891.6623272402</v>
      </c>
      <c r="LC12" s="215">
        <f t="shared" si="30"/>
        <v>7622891.6623272402</v>
      </c>
      <c r="LD12" s="215">
        <f t="shared" si="30"/>
        <v>7622891.6623272402</v>
      </c>
      <c r="LE12" s="192"/>
      <c r="LF12" s="203"/>
    </row>
    <row r="13" spans="1:794" s="192" customFormat="1">
      <c r="A13" s="842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2"/>
      <c r="B14" s="205" t="s">
        <v>584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-9620</v>
      </c>
      <c r="M14" s="208">
        <f t="shared" si="32"/>
        <v>-9620</v>
      </c>
      <c r="N14" s="208">
        <f t="shared" si="32"/>
        <v>-9620</v>
      </c>
      <c r="O14" s="208">
        <f t="shared" si="32"/>
        <v>-9620</v>
      </c>
      <c r="P14" s="208">
        <f t="shared" si="32"/>
        <v>-9620</v>
      </c>
      <c r="Q14" s="208">
        <f t="shared" si="32"/>
        <v>-18639.599999999999</v>
      </c>
      <c r="R14" s="208">
        <f t="shared" si="32"/>
        <v>-18639.599999999999</v>
      </c>
      <c r="S14" s="208">
        <f t="shared" si="32"/>
        <v>-18639.599999999999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-774127.85</v>
      </c>
      <c r="AV14" s="208">
        <f t="shared" si="32"/>
        <v>-774127.85</v>
      </c>
      <c r="AW14" s="208">
        <f t="shared" si="32"/>
        <v>-774127.85</v>
      </c>
      <c r="AX14" s="208">
        <f t="shared" si="32"/>
        <v>-932823.77</v>
      </c>
      <c r="AY14" s="208">
        <f t="shared" si="32"/>
        <v>2068263.2599999998</v>
      </c>
      <c r="AZ14" s="208">
        <f t="shared" si="32"/>
        <v>1811704.6319999993</v>
      </c>
      <c r="BA14" s="208">
        <f t="shared" si="32"/>
        <v>193082.6819999991</v>
      </c>
      <c r="BB14" s="208">
        <f t="shared" si="32"/>
        <v>193082.6819999991</v>
      </c>
      <c r="BC14" s="208">
        <f t="shared" si="32"/>
        <v>-202467.98800000083</v>
      </c>
      <c r="BD14" s="208">
        <f t="shared" si="32"/>
        <v>-202467.98800000083</v>
      </c>
      <c r="BE14" s="208">
        <f t="shared" si="32"/>
        <v>2023101.0119999992</v>
      </c>
      <c r="BF14" s="208">
        <f t="shared" si="32"/>
        <v>2007544.061999999</v>
      </c>
      <c r="BG14" s="208">
        <f t="shared" si="32"/>
        <v>2007544.061999999</v>
      </c>
      <c r="BH14" s="208">
        <f t="shared" si="32"/>
        <v>2016173.8419999992</v>
      </c>
      <c r="BI14" s="208">
        <f t="shared" si="32"/>
        <v>1636727.5119999992</v>
      </c>
      <c r="BJ14" s="208">
        <f t="shared" si="32"/>
        <v>1636727.5119999992</v>
      </c>
      <c r="BK14" s="208">
        <f t="shared" si="32"/>
        <v>1636727.5119999992</v>
      </c>
      <c r="BL14" s="208">
        <f t="shared" si="32"/>
        <v>1613529.4819999989</v>
      </c>
      <c r="BM14" s="208">
        <f t="shared" si="32"/>
        <v>1613529.4819999989</v>
      </c>
      <c r="BN14" s="208">
        <f t="shared" si="32"/>
        <v>1251604.7619999992</v>
      </c>
      <c r="BO14" s="208">
        <f t="shared" si="32"/>
        <v>1251378.4219999993</v>
      </c>
      <c r="BP14" s="208">
        <f t="shared" si="32"/>
        <v>1300539.8219999997</v>
      </c>
      <c r="BQ14" s="208">
        <f t="shared" si="32"/>
        <v>2552787.3219999997</v>
      </c>
      <c r="BR14" s="208">
        <f t="shared" si="32"/>
        <v>2550537.3219999997</v>
      </c>
      <c r="BS14" s="208">
        <f t="shared" si="32"/>
        <v>2550537.3219999997</v>
      </c>
      <c r="BT14" s="208">
        <f t="shared" si="32"/>
        <v>2541694.8619999997</v>
      </c>
      <c r="BU14" s="208">
        <f t="shared" ref="BU14:EF14" si="33">BU10-BU12</f>
        <v>2448044.4019999998</v>
      </c>
      <c r="BV14" s="208">
        <f t="shared" si="33"/>
        <v>2448044.4019999998</v>
      </c>
      <c r="BW14" s="208">
        <f t="shared" si="33"/>
        <v>2935806.4019999998</v>
      </c>
      <c r="BX14" s="208">
        <f t="shared" si="33"/>
        <v>2805452.0976727596</v>
      </c>
      <c r="BY14" s="208">
        <f t="shared" si="33"/>
        <v>2805452.0976727596</v>
      </c>
      <c r="BZ14" s="208">
        <f t="shared" si="33"/>
        <v>2805452.0976727596</v>
      </c>
      <c r="CA14" s="208">
        <f t="shared" si="33"/>
        <v>2805452.0976727596</v>
      </c>
      <c r="CB14" s="208">
        <f t="shared" si="33"/>
        <v>2805452.0976727596</v>
      </c>
      <c r="CC14" s="208">
        <f t="shared" si="33"/>
        <v>2805452.0976727596</v>
      </c>
      <c r="CD14" s="208">
        <f t="shared" si="33"/>
        <v>2805452.0976727596</v>
      </c>
      <c r="CE14" s="208">
        <f t="shared" si="33"/>
        <v>2805452.0976727596</v>
      </c>
      <c r="CF14" s="208">
        <f t="shared" si="33"/>
        <v>2805452.0976727596</v>
      </c>
      <c r="CG14" s="208">
        <f t="shared" si="33"/>
        <v>2805452.0976727596</v>
      </c>
      <c r="CH14" s="208">
        <f t="shared" si="33"/>
        <v>2805452.0976727596</v>
      </c>
      <c r="CI14" s="208">
        <f t="shared" si="33"/>
        <v>2805452.0976727596</v>
      </c>
      <c r="CJ14" s="208">
        <f t="shared" si="33"/>
        <v>2805452.0976727596</v>
      </c>
      <c r="CK14" s="208">
        <f t="shared" si="33"/>
        <v>2805452.0976727596</v>
      </c>
      <c r="CL14" s="208">
        <f t="shared" si="33"/>
        <v>2805452.0976727596</v>
      </c>
      <c r="CM14" s="208">
        <f t="shared" si="33"/>
        <v>2805452.0976727596</v>
      </c>
      <c r="CN14" s="208">
        <f t="shared" si="33"/>
        <v>2805452.0976727596</v>
      </c>
      <c r="CO14" s="208">
        <f t="shared" si="33"/>
        <v>2805452.0976727596</v>
      </c>
      <c r="CP14" s="208">
        <f t="shared" si="33"/>
        <v>2805452.0976727596</v>
      </c>
      <c r="CQ14" s="208">
        <f t="shared" si="33"/>
        <v>2805452.0976727596</v>
      </c>
      <c r="CR14" s="208">
        <f t="shared" si="33"/>
        <v>2805452.0976727596</v>
      </c>
      <c r="CS14" s="208">
        <f t="shared" si="33"/>
        <v>2805452.0976727596</v>
      </c>
      <c r="CT14" s="208">
        <f t="shared" si="33"/>
        <v>2805452.0976727596</v>
      </c>
      <c r="CU14" s="208">
        <f t="shared" si="33"/>
        <v>2805452.0976727596</v>
      </c>
      <c r="CV14" s="208">
        <f t="shared" si="33"/>
        <v>2805452.0976727596</v>
      </c>
      <c r="CW14" s="208">
        <f t="shared" si="33"/>
        <v>2805452.0976727596</v>
      </c>
      <c r="CX14" s="208">
        <f t="shared" si="33"/>
        <v>2805452.0976727596</v>
      </c>
      <c r="CY14" s="208">
        <f t="shared" si="33"/>
        <v>2805452.0976727596</v>
      </c>
      <c r="CZ14" s="208">
        <f t="shared" si="33"/>
        <v>2805452.0976727596</v>
      </c>
      <c r="DA14" s="208">
        <f t="shared" si="33"/>
        <v>2805452.0976727596</v>
      </c>
      <c r="DB14" s="208">
        <f t="shared" si="33"/>
        <v>2805452.0976727596</v>
      </c>
      <c r="DC14" s="208">
        <f t="shared" si="33"/>
        <v>2805452.0976727596</v>
      </c>
      <c r="DD14" s="208">
        <f t="shared" si="33"/>
        <v>2805452.0976727596</v>
      </c>
      <c r="DE14" s="208">
        <f t="shared" si="33"/>
        <v>2805452.0976727596</v>
      </c>
      <c r="DF14" s="208">
        <f t="shared" si="33"/>
        <v>2805452.0976727596</v>
      </c>
      <c r="DG14" s="208">
        <f t="shared" si="33"/>
        <v>2805452.0976727596</v>
      </c>
      <c r="DH14" s="208">
        <f t="shared" si="33"/>
        <v>2805452.0976727596</v>
      </c>
      <c r="DI14" s="208">
        <f t="shared" si="33"/>
        <v>2805452.0976727596</v>
      </c>
      <c r="DJ14" s="208">
        <f t="shared" si="33"/>
        <v>2805452.0976727596</v>
      </c>
      <c r="DK14" s="208">
        <f t="shared" si="33"/>
        <v>2805452.0976727596</v>
      </c>
      <c r="DL14" s="208">
        <f t="shared" si="33"/>
        <v>2805452.0976727596</v>
      </c>
      <c r="DM14" s="208">
        <f t="shared" si="33"/>
        <v>2805452.0976727596</v>
      </c>
      <c r="DN14" s="208">
        <f t="shared" si="33"/>
        <v>2805452.0976727596</v>
      </c>
      <c r="DO14" s="208">
        <f t="shared" si="33"/>
        <v>2805452.0976727596</v>
      </c>
      <c r="DP14" s="208">
        <f t="shared" si="33"/>
        <v>2805452.0976727596</v>
      </c>
      <c r="DQ14" s="208">
        <f t="shared" si="33"/>
        <v>2805452.0976727596</v>
      </c>
      <c r="DR14" s="208">
        <f t="shared" si="33"/>
        <v>2805452.0976727596</v>
      </c>
      <c r="DS14" s="208">
        <f t="shared" si="33"/>
        <v>2805452.0976727596</v>
      </c>
      <c r="DT14" s="208">
        <f t="shared" si="33"/>
        <v>2805452.0976727596</v>
      </c>
      <c r="DU14" s="208">
        <f t="shared" si="33"/>
        <v>2805452.0976727596</v>
      </c>
      <c r="DV14" s="208">
        <f t="shared" si="33"/>
        <v>2805452.0976727596</v>
      </c>
      <c r="DW14" s="208">
        <f t="shared" si="33"/>
        <v>2805452.0976727596</v>
      </c>
      <c r="DX14" s="208">
        <f t="shared" si="33"/>
        <v>2805452.0976727596</v>
      </c>
      <c r="DY14" s="208">
        <f t="shared" si="33"/>
        <v>2805452.0976727596</v>
      </c>
      <c r="DZ14" s="208">
        <f t="shared" si="33"/>
        <v>2805452.0976727596</v>
      </c>
      <c r="EA14" s="208">
        <f t="shared" si="33"/>
        <v>2805452.0976727596</v>
      </c>
      <c r="EB14" s="208">
        <f t="shared" si="33"/>
        <v>2805452.0976727596</v>
      </c>
      <c r="EC14" s="208">
        <f t="shared" si="33"/>
        <v>2805452.0976727596</v>
      </c>
      <c r="ED14" s="208">
        <f t="shared" si="33"/>
        <v>2805452.0976727596</v>
      </c>
      <c r="EE14" s="208">
        <f t="shared" si="33"/>
        <v>2805452.0976727596</v>
      </c>
      <c r="EF14" s="208">
        <f t="shared" si="33"/>
        <v>2805452.0976727596</v>
      </c>
      <c r="EG14" s="208">
        <f t="shared" ref="EG14:GR14" si="34">EG10-EG12</f>
        <v>2805452.0976727596</v>
      </c>
      <c r="EH14" s="208">
        <f t="shared" si="34"/>
        <v>2805452.0976727596</v>
      </c>
      <c r="EI14" s="208">
        <f t="shared" si="34"/>
        <v>2805452.0976727596</v>
      </c>
      <c r="EJ14" s="208">
        <f t="shared" si="34"/>
        <v>2805452.0976727596</v>
      </c>
      <c r="EK14" s="208">
        <f t="shared" si="34"/>
        <v>2805452.0976727596</v>
      </c>
      <c r="EL14" s="208">
        <f t="shared" si="34"/>
        <v>2805452.0976727596</v>
      </c>
      <c r="EM14" s="208">
        <f t="shared" si="34"/>
        <v>2805452.0976727596</v>
      </c>
      <c r="EN14" s="208">
        <f t="shared" si="34"/>
        <v>2805452.0976727596</v>
      </c>
      <c r="EO14" s="208">
        <f t="shared" si="34"/>
        <v>2805452.0976727596</v>
      </c>
      <c r="EP14" s="208">
        <f t="shared" si="34"/>
        <v>2805452.0976727596</v>
      </c>
      <c r="EQ14" s="208">
        <f t="shared" si="34"/>
        <v>2805452.0976727596</v>
      </c>
      <c r="ER14" s="208">
        <f t="shared" si="34"/>
        <v>2805452.0976727596</v>
      </c>
      <c r="ES14" s="208">
        <f t="shared" si="34"/>
        <v>2805452.0976727596</v>
      </c>
      <c r="ET14" s="208">
        <f t="shared" si="34"/>
        <v>2805452.0976727596</v>
      </c>
      <c r="EU14" s="208">
        <f t="shared" si="34"/>
        <v>2805452.0976727596</v>
      </c>
      <c r="EV14" s="208">
        <f t="shared" si="34"/>
        <v>2805452.0976727596</v>
      </c>
      <c r="EW14" s="208">
        <f t="shared" si="34"/>
        <v>2805452.0976727596</v>
      </c>
      <c r="EX14" s="208">
        <f t="shared" si="34"/>
        <v>2805452.0976727596</v>
      </c>
      <c r="EY14" s="208">
        <f t="shared" si="34"/>
        <v>2805452.0976727596</v>
      </c>
      <c r="EZ14" s="208">
        <f t="shared" si="34"/>
        <v>2805452.0976727596</v>
      </c>
      <c r="FA14" s="208">
        <f t="shared" si="34"/>
        <v>2805452.0976727596</v>
      </c>
      <c r="FB14" s="208">
        <f t="shared" si="34"/>
        <v>2805452.0976727596</v>
      </c>
      <c r="FC14" s="208">
        <f t="shared" si="34"/>
        <v>2805452.0976727596</v>
      </c>
      <c r="FD14" s="208">
        <f t="shared" si="34"/>
        <v>2805452.0976727596</v>
      </c>
      <c r="FE14" s="208">
        <f t="shared" si="34"/>
        <v>2805452.0976727596</v>
      </c>
      <c r="FF14" s="208">
        <f t="shared" si="34"/>
        <v>2805452.0976727596</v>
      </c>
      <c r="FG14" s="208">
        <f t="shared" si="34"/>
        <v>2805452.0976727596</v>
      </c>
      <c r="FH14" s="208">
        <f t="shared" si="34"/>
        <v>2805452.0976727596</v>
      </c>
      <c r="FI14" s="208">
        <f t="shared" si="34"/>
        <v>2805452.0976727596</v>
      </c>
      <c r="FJ14" s="208">
        <f t="shared" si="34"/>
        <v>2805452.0976727596</v>
      </c>
      <c r="FK14" s="208">
        <f t="shared" si="34"/>
        <v>2805452.0976727596</v>
      </c>
      <c r="FL14" s="208">
        <f t="shared" si="34"/>
        <v>2805452.0976727596</v>
      </c>
      <c r="FM14" s="208">
        <f t="shared" si="34"/>
        <v>2805452.0976727596</v>
      </c>
      <c r="FN14" s="208">
        <f t="shared" si="34"/>
        <v>2805452.0976727596</v>
      </c>
      <c r="FO14" s="208">
        <f t="shared" si="34"/>
        <v>2805452.0976727596</v>
      </c>
      <c r="FP14" s="208">
        <f t="shared" si="34"/>
        <v>2805452.0976727596</v>
      </c>
      <c r="FQ14" s="208">
        <f t="shared" si="34"/>
        <v>2805452.0976727596</v>
      </c>
      <c r="FR14" s="208">
        <f t="shared" si="34"/>
        <v>2805452.0976727596</v>
      </c>
      <c r="FS14" s="208">
        <f t="shared" si="34"/>
        <v>2805452.0976727596</v>
      </c>
      <c r="FT14" s="208">
        <f t="shared" si="34"/>
        <v>2805452.0976727596</v>
      </c>
      <c r="FU14" s="208">
        <f t="shared" si="34"/>
        <v>2805452.0976727596</v>
      </c>
      <c r="FV14" s="208">
        <f t="shared" si="34"/>
        <v>2805452.0976727596</v>
      </c>
      <c r="FW14" s="208">
        <f t="shared" si="34"/>
        <v>2805452.0976727596</v>
      </c>
      <c r="FX14" s="208">
        <f t="shared" si="34"/>
        <v>2805452.0976727596</v>
      </c>
      <c r="FY14" s="208">
        <f t="shared" si="34"/>
        <v>2805452.0976727596</v>
      </c>
      <c r="FZ14" s="208">
        <f t="shared" si="34"/>
        <v>2805452.0976727596</v>
      </c>
      <c r="GA14" s="208">
        <f t="shared" si="34"/>
        <v>2805452.0976727596</v>
      </c>
      <c r="GB14" s="208">
        <f t="shared" si="34"/>
        <v>2805452.0976727596</v>
      </c>
      <c r="GC14" s="208">
        <f t="shared" si="34"/>
        <v>2805452.0976727596</v>
      </c>
      <c r="GD14" s="208">
        <f t="shared" si="34"/>
        <v>2805452.0976727596</v>
      </c>
      <c r="GE14" s="208">
        <f t="shared" si="34"/>
        <v>2805452.0976727596</v>
      </c>
      <c r="GF14" s="208">
        <f t="shared" si="34"/>
        <v>2805452.0976727596</v>
      </c>
      <c r="GG14" s="208">
        <f t="shared" si="34"/>
        <v>2805452.0976727596</v>
      </c>
      <c r="GH14" s="208">
        <f t="shared" si="34"/>
        <v>2805452.0976727596</v>
      </c>
      <c r="GI14" s="208">
        <f t="shared" si="34"/>
        <v>2805452.0976727596</v>
      </c>
      <c r="GJ14" s="208">
        <f t="shared" si="34"/>
        <v>2805452.0976727596</v>
      </c>
      <c r="GK14" s="208">
        <f t="shared" si="34"/>
        <v>2805452.0976727596</v>
      </c>
      <c r="GL14" s="208">
        <f t="shared" si="34"/>
        <v>2805452.0976727596</v>
      </c>
      <c r="GM14" s="208">
        <f t="shared" si="34"/>
        <v>2805452.0976727596</v>
      </c>
      <c r="GN14" s="208">
        <f t="shared" si="34"/>
        <v>2805452.0976727596</v>
      </c>
      <c r="GO14" s="208">
        <f t="shared" si="34"/>
        <v>2805452.0976727596</v>
      </c>
      <c r="GP14" s="208">
        <f t="shared" si="34"/>
        <v>2805452.0976727596</v>
      </c>
      <c r="GQ14" s="208">
        <f t="shared" si="34"/>
        <v>2805452.0976727596</v>
      </c>
      <c r="GR14" s="208">
        <f t="shared" si="34"/>
        <v>2805452.0976727596</v>
      </c>
      <c r="GS14" s="208">
        <f t="shared" ref="GS14:JD14" si="35">GS10-GS12</f>
        <v>2805452.0976727596</v>
      </c>
      <c r="GT14" s="208">
        <f t="shared" si="35"/>
        <v>2805452.0976727596</v>
      </c>
      <c r="GU14" s="208">
        <f t="shared" si="35"/>
        <v>2805452.0976727596</v>
      </c>
      <c r="GV14" s="208">
        <f t="shared" si="35"/>
        <v>2805452.0976727596</v>
      </c>
      <c r="GW14" s="208">
        <f t="shared" si="35"/>
        <v>2805452.0976727596</v>
      </c>
      <c r="GX14" s="208">
        <f t="shared" si="35"/>
        <v>2805452.0976727596</v>
      </c>
      <c r="GY14" s="208">
        <f t="shared" si="35"/>
        <v>2805452.0976727596</v>
      </c>
      <c r="GZ14" s="208">
        <f t="shared" si="35"/>
        <v>2805452.0976727596</v>
      </c>
      <c r="HA14" s="208">
        <f t="shared" si="35"/>
        <v>2805452.0976727596</v>
      </c>
      <c r="HB14" s="208">
        <f t="shared" si="35"/>
        <v>2805452.0976727596</v>
      </c>
      <c r="HC14" s="208">
        <f t="shared" si="35"/>
        <v>2805452.0976727596</v>
      </c>
      <c r="HD14" s="208">
        <f t="shared" si="35"/>
        <v>2805452.0976727596</v>
      </c>
      <c r="HE14" s="208">
        <f t="shared" si="35"/>
        <v>2805452.0976727596</v>
      </c>
      <c r="HF14" s="208">
        <f t="shared" si="35"/>
        <v>2805452.0976727596</v>
      </c>
      <c r="HG14" s="208">
        <f t="shared" si="35"/>
        <v>2805452.0976727596</v>
      </c>
      <c r="HH14" s="208">
        <f t="shared" si="35"/>
        <v>2805452.0976727596</v>
      </c>
      <c r="HI14" s="208">
        <f t="shared" si="35"/>
        <v>2805452.0976727596</v>
      </c>
      <c r="HJ14" s="208">
        <f t="shared" si="35"/>
        <v>2805452.0976727596</v>
      </c>
      <c r="HK14" s="208">
        <f t="shared" si="35"/>
        <v>2805452.0976727596</v>
      </c>
      <c r="HL14" s="208">
        <f t="shared" si="35"/>
        <v>2805452.0976727596</v>
      </c>
      <c r="HM14" s="208">
        <f t="shared" si="35"/>
        <v>2805452.0976727596</v>
      </c>
      <c r="HN14" s="208">
        <f t="shared" si="35"/>
        <v>2805452.0976727596</v>
      </c>
      <c r="HO14" s="208">
        <f t="shared" si="35"/>
        <v>2805452.0976727596</v>
      </c>
      <c r="HP14" s="208">
        <f t="shared" si="35"/>
        <v>2805452.0976727596</v>
      </c>
      <c r="HQ14" s="208">
        <f t="shared" si="35"/>
        <v>2805452.0976727596</v>
      </c>
      <c r="HR14" s="208">
        <f t="shared" si="35"/>
        <v>2805452.0976727596</v>
      </c>
      <c r="HS14" s="208">
        <f t="shared" si="35"/>
        <v>2805452.0976727596</v>
      </c>
      <c r="HT14" s="208">
        <f t="shared" si="35"/>
        <v>2805452.0976727596</v>
      </c>
      <c r="HU14" s="208">
        <f t="shared" si="35"/>
        <v>2805452.0976727596</v>
      </c>
      <c r="HV14" s="208">
        <f t="shared" si="35"/>
        <v>2805452.0976727596</v>
      </c>
      <c r="HW14" s="208">
        <f t="shared" si="35"/>
        <v>2805452.0976727596</v>
      </c>
      <c r="HX14" s="208">
        <f t="shared" si="35"/>
        <v>2805452.0976727596</v>
      </c>
      <c r="HY14" s="208">
        <f t="shared" si="35"/>
        <v>2805452.0976727596</v>
      </c>
      <c r="HZ14" s="208">
        <f t="shared" si="35"/>
        <v>2805452.0976727596</v>
      </c>
      <c r="IA14" s="208">
        <f t="shared" si="35"/>
        <v>2805452.0976727596</v>
      </c>
      <c r="IB14" s="208">
        <f t="shared" si="35"/>
        <v>2805452.0976727596</v>
      </c>
      <c r="IC14" s="208">
        <f t="shared" si="35"/>
        <v>2805452.0976727596</v>
      </c>
      <c r="ID14" s="208">
        <f t="shared" si="35"/>
        <v>2805452.0976727596</v>
      </c>
      <c r="IE14" s="208">
        <f t="shared" si="35"/>
        <v>2805452.0976727596</v>
      </c>
      <c r="IF14" s="208">
        <f t="shared" si="35"/>
        <v>2805452.0976727596</v>
      </c>
      <c r="IG14" s="208">
        <f t="shared" si="35"/>
        <v>2805452.0976727596</v>
      </c>
      <c r="IH14" s="208">
        <f t="shared" si="35"/>
        <v>2805452.0976727596</v>
      </c>
      <c r="II14" s="208">
        <f t="shared" si="35"/>
        <v>2805452.0976727596</v>
      </c>
      <c r="IJ14" s="208">
        <f t="shared" si="35"/>
        <v>2805452.0976727596</v>
      </c>
      <c r="IK14" s="208">
        <f t="shared" si="35"/>
        <v>2805452.0976727596</v>
      </c>
      <c r="IL14" s="208">
        <f t="shared" si="35"/>
        <v>2805452.0976727596</v>
      </c>
      <c r="IM14" s="208">
        <f t="shared" si="35"/>
        <v>2805452.0976727596</v>
      </c>
      <c r="IN14" s="208">
        <f t="shared" si="35"/>
        <v>2805452.0976727596</v>
      </c>
      <c r="IO14" s="208">
        <f t="shared" si="35"/>
        <v>2805452.0976727596</v>
      </c>
      <c r="IP14" s="208">
        <f t="shared" si="35"/>
        <v>2805452.0976727596</v>
      </c>
      <c r="IQ14" s="208">
        <f t="shared" si="35"/>
        <v>2805452.0976727596</v>
      </c>
      <c r="IR14" s="208">
        <f t="shared" si="35"/>
        <v>2805452.0976727596</v>
      </c>
      <c r="IS14" s="208">
        <f t="shared" si="35"/>
        <v>2805452.0976727596</v>
      </c>
      <c r="IT14" s="208">
        <f t="shared" si="35"/>
        <v>2805452.0976727596</v>
      </c>
      <c r="IU14" s="208">
        <f t="shared" si="35"/>
        <v>2805452.0976727596</v>
      </c>
      <c r="IV14" s="208">
        <f t="shared" si="35"/>
        <v>2805452.0976727596</v>
      </c>
      <c r="IW14" s="208">
        <f t="shared" si="35"/>
        <v>2805452.0976727596</v>
      </c>
      <c r="IX14" s="208">
        <f t="shared" si="35"/>
        <v>2805452.0976727596</v>
      </c>
      <c r="IY14" s="208">
        <f t="shared" si="35"/>
        <v>2805452.0976727596</v>
      </c>
      <c r="IZ14" s="208">
        <f t="shared" si="35"/>
        <v>2805452.0976727596</v>
      </c>
      <c r="JA14" s="208">
        <f t="shared" si="35"/>
        <v>2805452.0976727596</v>
      </c>
      <c r="JB14" s="208">
        <f t="shared" si="35"/>
        <v>2805452.0976727596</v>
      </c>
      <c r="JC14" s="208">
        <f t="shared" si="35"/>
        <v>2805452.0976727596</v>
      </c>
      <c r="JD14" s="208">
        <f t="shared" si="35"/>
        <v>2805452.0976727596</v>
      </c>
      <c r="JE14" s="208">
        <f t="shared" ref="JE14:LD14" si="36">JE10-JE12</f>
        <v>2805452.0976727596</v>
      </c>
      <c r="JF14" s="208">
        <f t="shared" si="36"/>
        <v>2805452.0976727596</v>
      </c>
      <c r="JG14" s="208">
        <f t="shared" si="36"/>
        <v>2805452.0976727596</v>
      </c>
      <c r="JH14" s="208">
        <f t="shared" si="36"/>
        <v>2805452.0976727596</v>
      </c>
      <c r="JI14" s="208">
        <f t="shared" si="36"/>
        <v>2805452.0976727596</v>
      </c>
      <c r="JJ14" s="208">
        <f t="shared" si="36"/>
        <v>2805452.0976727596</v>
      </c>
      <c r="JK14" s="208">
        <f t="shared" si="36"/>
        <v>2805452.0976727596</v>
      </c>
      <c r="JL14" s="208">
        <f t="shared" si="36"/>
        <v>2805452.0976727596</v>
      </c>
      <c r="JM14" s="208">
        <f t="shared" si="36"/>
        <v>2805452.0976727596</v>
      </c>
      <c r="JN14" s="208">
        <f t="shared" si="36"/>
        <v>2805452.0976727596</v>
      </c>
      <c r="JO14" s="208">
        <f t="shared" si="36"/>
        <v>2805452.0976727596</v>
      </c>
      <c r="JP14" s="208">
        <f t="shared" si="36"/>
        <v>2805452.0976727596</v>
      </c>
      <c r="JQ14" s="208">
        <f t="shared" si="36"/>
        <v>2805452.0976727596</v>
      </c>
      <c r="JR14" s="208">
        <f t="shared" si="36"/>
        <v>2805452.0976727596</v>
      </c>
      <c r="JS14" s="208">
        <f t="shared" si="36"/>
        <v>2805452.0976727596</v>
      </c>
      <c r="JT14" s="208">
        <f t="shared" si="36"/>
        <v>2805452.0976727596</v>
      </c>
      <c r="JU14" s="208">
        <f t="shared" si="36"/>
        <v>2805452.0976727596</v>
      </c>
      <c r="JV14" s="208">
        <f t="shared" si="36"/>
        <v>2805452.0976727596</v>
      </c>
      <c r="JW14" s="208">
        <f t="shared" si="36"/>
        <v>2805452.0976727596</v>
      </c>
      <c r="JX14" s="208">
        <f t="shared" si="36"/>
        <v>2805452.0976727596</v>
      </c>
      <c r="JY14" s="208">
        <f t="shared" si="36"/>
        <v>2805452.0976727596</v>
      </c>
      <c r="JZ14" s="208">
        <f t="shared" si="36"/>
        <v>2805452.0976727596</v>
      </c>
      <c r="KA14" s="208">
        <f t="shared" si="36"/>
        <v>2805452.0976727596</v>
      </c>
      <c r="KB14" s="208">
        <f t="shared" si="36"/>
        <v>2805452.0976727596</v>
      </c>
      <c r="KC14" s="208">
        <f t="shared" si="36"/>
        <v>2805452.0976727596</v>
      </c>
      <c r="KD14" s="208">
        <f t="shared" si="36"/>
        <v>2805452.0976727596</v>
      </c>
      <c r="KE14" s="208">
        <f t="shared" si="36"/>
        <v>2805452.0976727596</v>
      </c>
      <c r="KF14" s="208">
        <f t="shared" si="36"/>
        <v>2805452.0976727596</v>
      </c>
      <c r="KG14" s="208">
        <f t="shared" si="36"/>
        <v>2805452.0976727596</v>
      </c>
      <c r="KH14" s="208">
        <f t="shared" si="36"/>
        <v>2805452.0976727596</v>
      </c>
      <c r="KI14" s="208">
        <f t="shared" si="36"/>
        <v>2805452.0976727596</v>
      </c>
      <c r="KJ14" s="208">
        <f t="shared" si="36"/>
        <v>2805452.0976727596</v>
      </c>
      <c r="KK14" s="208">
        <f t="shared" si="36"/>
        <v>2805452.0976727596</v>
      </c>
      <c r="KL14" s="208">
        <f t="shared" si="36"/>
        <v>2805452.0976727596</v>
      </c>
      <c r="KM14" s="208">
        <f t="shared" si="36"/>
        <v>2805452.0976727596</v>
      </c>
      <c r="KN14" s="208">
        <f t="shared" si="36"/>
        <v>2805452.0976727596</v>
      </c>
      <c r="KO14" s="208">
        <f t="shared" si="36"/>
        <v>2805452.0976727596</v>
      </c>
      <c r="KP14" s="208">
        <f t="shared" si="36"/>
        <v>2805452.0976727596</v>
      </c>
      <c r="KQ14" s="208">
        <f t="shared" si="36"/>
        <v>2805452.0976727596</v>
      </c>
      <c r="KR14" s="208">
        <f t="shared" si="36"/>
        <v>2805452.0976727596</v>
      </c>
      <c r="KS14" s="208">
        <f t="shared" si="36"/>
        <v>2805452.0976727596</v>
      </c>
      <c r="KT14" s="208">
        <f t="shared" si="36"/>
        <v>2805452.0976727596</v>
      </c>
      <c r="KU14" s="208">
        <f t="shared" si="36"/>
        <v>2805452.0976727596</v>
      </c>
      <c r="KV14" s="208">
        <f t="shared" si="36"/>
        <v>2805452.0976727596</v>
      </c>
      <c r="KW14" s="208">
        <f t="shared" si="36"/>
        <v>2805452.0976727596</v>
      </c>
      <c r="KX14" s="208">
        <f t="shared" si="36"/>
        <v>2805452.0976727596</v>
      </c>
      <c r="KY14" s="208">
        <f t="shared" si="36"/>
        <v>2805452.0976727596</v>
      </c>
      <c r="KZ14" s="208">
        <f t="shared" si="36"/>
        <v>2805452.0976727596</v>
      </c>
      <c r="LA14" s="208">
        <f t="shared" si="36"/>
        <v>2805452.0976727596</v>
      </c>
      <c r="LB14" s="208">
        <f t="shared" si="36"/>
        <v>2805452.0976727596</v>
      </c>
      <c r="LC14" s="208">
        <f t="shared" si="36"/>
        <v>2805452.0976727596</v>
      </c>
      <c r="LD14" s="208">
        <f t="shared" si="36"/>
        <v>2805452.0976727596</v>
      </c>
    </row>
    <row r="15" spans="1:794" s="192" customFormat="1"/>
    <row r="16" spans="1:794" s="192" customFormat="1">
      <c r="C16" s="194" t="s">
        <v>354</v>
      </c>
      <c r="D16" s="194" t="s">
        <v>354</v>
      </c>
    </row>
    <row r="17" spans="1:316">
      <c r="A17" s="843"/>
      <c r="B17" s="196" t="s">
        <v>585</v>
      </c>
      <c r="C17" s="374">
        <f>C3-D17</f>
        <v>3.7311797961592674E-2</v>
      </c>
      <c r="D17" s="197">
        <f>SUM(F17:LD17)</f>
        <v>10428344.308867402</v>
      </c>
      <c r="E17" s="207"/>
      <c r="F17" s="215">
        <f>SUMIFS('Expenditure Breakdown'!$U$6:$U$203, 'Expenditure Breakdown'!$T$6:$T$203, "&gt;="&amp;F1,'Expenditure Breakdown'!$T$6:$T$203, "&lt;"&amp;G1)</f>
        <v>0</v>
      </c>
      <c r="G17" s="215">
        <f>SUMIFS('Expenditure Breakdown'!$U$6:$U$203, 'Expenditure Breakdown'!$T$6:$T$203, "&gt;="&amp;G1,'Expenditure Breakdown'!$T$6:$T$203, "&lt;"&amp;H1)</f>
        <v>0</v>
      </c>
      <c r="H17" s="215">
        <f>SUMIFS('Expenditure Breakdown'!$U$6:$U$203, 'Expenditure Breakdown'!$T$6:$T$203, "&gt;="&amp;H1,'Expenditure Breakdown'!$T$6:$T$203, "&lt;"&amp;I1)</f>
        <v>0</v>
      </c>
      <c r="I17" s="215">
        <f>SUMIFS('Expenditure Breakdown'!$U$6:$U$203, 'Expenditure Breakdown'!$T$6:$T$203, "&gt;="&amp;I1,'Expenditure Breakdown'!$T$6:$T$203, "&lt;"&amp;J1)</f>
        <v>0</v>
      </c>
      <c r="J17" s="215">
        <f>SUMIFS('Expenditure Breakdown'!$U$6:$U$203, 'Expenditure Breakdown'!$T$6:$T$203, "&gt;="&amp;J1,'Expenditure Breakdown'!$T$6:$T$203, "&lt;"&amp;K1)</f>
        <v>0</v>
      </c>
      <c r="K17" s="215">
        <f>SUMIFS('Expenditure Breakdown'!$U$6:$U$203, 'Expenditure Breakdown'!$T$6:$T$203, "&gt;="&amp;K1,'Expenditure Breakdown'!$T$6:$T$203, "&lt;"&amp;L1)</f>
        <v>0</v>
      </c>
      <c r="L17" s="215">
        <f>SUMIFS('Expenditure Breakdown'!$U$6:$U$203, 'Expenditure Breakdown'!$T$6:$T$203, "&gt;="&amp;L1,'Expenditure Breakdown'!$T$6:$T$203, "&lt;"&amp;M1)</f>
        <v>0</v>
      </c>
      <c r="M17" s="215">
        <f>SUMIFS('Expenditure Breakdown'!$U$6:$U$203, 'Expenditure Breakdown'!$T$6:$T$203, "&gt;="&amp;M1,'Expenditure Breakdown'!$T$6:$T$203, "&lt;"&amp;N1)</f>
        <v>0</v>
      </c>
      <c r="N17" s="215">
        <f>SUMIFS('Expenditure Breakdown'!$U$6:$U$203, 'Expenditure Breakdown'!$T$6:$T$203, "&gt;="&amp;N1,'Expenditure Breakdown'!$T$6:$T$203, "&lt;"&amp;O1)</f>
        <v>0</v>
      </c>
      <c r="O17" s="215">
        <f>SUMIFS('Expenditure Breakdown'!$U$6:$U$203, 'Expenditure Breakdown'!$T$6:$T$203, "&gt;="&amp;O1,'Expenditure Breakdown'!$T$6:$T$203, "&lt;"&amp;P1)</f>
        <v>0</v>
      </c>
      <c r="P17" s="215">
        <f>SUMIFS('Expenditure Breakdown'!$U$6:$U$203, 'Expenditure Breakdown'!$T$6:$T$203, "&gt;="&amp;P1,'Expenditure Breakdown'!$T$6:$T$203, "&lt;"&amp;Q1)</f>
        <v>0</v>
      </c>
      <c r="Q17" s="215">
        <f>SUMIFS('Expenditure Breakdown'!$U$6:$U$203, 'Expenditure Breakdown'!$T$6:$T$203, "&gt;="&amp;Q1,'Expenditure Breakdown'!$T$6:$T$203, "&lt;"&amp;R1)</f>
        <v>0</v>
      </c>
      <c r="R17" s="215">
        <f>SUMIFS('Expenditure Breakdown'!$U$6:$U$203, 'Expenditure Breakdown'!$T$6:$T$203, "&gt;="&amp;R1,'Expenditure Breakdown'!$T$6:$T$203, "&lt;"&amp;S1)</f>
        <v>0</v>
      </c>
      <c r="S17" s="215">
        <f>SUMIFS('Expenditure Breakdown'!$U$6:$U$203, 'Expenditure Breakdown'!$T$6:$T$203, "&gt;="&amp;S1,'Expenditure Breakdown'!$T$6:$T$203, "&lt;"&amp;T1)</f>
        <v>0</v>
      </c>
      <c r="T17" s="215">
        <f>SUMIFS('Expenditure Breakdown'!$U$6:$U$203, 'Expenditure Breakdown'!$T$6:$T$203, "&gt;="&amp;T1,'Expenditure Breakdown'!$T$6:$T$203, "&lt;"&amp;U1)</f>
        <v>0</v>
      </c>
      <c r="U17" s="215">
        <f>SUMIFS('Expenditure Breakdown'!$U$6:$U$203, 'Expenditure Breakdown'!$T$6:$T$203, "&gt;="&amp;U1,'Expenditure Breakdown'!$T$6:$T$203, "&lt;"&amp;V1)</f>
        <v>0</v>
      </c>
      <c r="V17" s="215">
        <f>SUMIFS('Expenditure Breakdown'!$U$6:$U$203, 'Expenditure Breakdown'!$T$6:$T$203, "&gt;="&amp;V1,'Expenditure Breakdown'!$T$6:$T$203, "&lt;"&amp;W1)</f>
        <v>0</v>
      </c>
      <c r="W17" s="215">
        <f>SUMIFS('Expenditure Breakdown'!$U$6:$U$203, 'Expenditure Breakdown'!$T$6:$T$203, "&gt;="&amp;W1,'Expenditure Breakdown'!$T$6:$T$203, "&lt;"&amp;X1)</f>
        <v>0</v>
      </c>
      <c r="X17" s="215">
        <f>SUMIFS('Expenditure Breakdown'!$U$6:$U$203, 'Expenditure Breakdown'!$T$6:$T$203, "&gt;="&amp;X1,'Expenditure Breakdown'!$T$6:$T$203, "&lt;"&amp;Y1)</f>
        <v>0</v>
      </c>
      <c r="Y17" s="215">
        <f>SUMIFS('Expenditure Breakdown'!$U$6:$U$203, 'Expenditure Breakdown'!$T$6:$T$203, "&gt;="&amp;Y1,'Expenditure Breakdown'!$T$6:$T$203, "&lt;"&amp;Z1)</f>
        <v>0</v>
      </c>
      <c r="Z17" s="215">
        <f>SUMIFS('Expenditure Breakdown'!$U$6:$U$203, 'Expenditure Breakdown'!$T$6:$T$203, "&gt;="&amp;Z1,'Expenditure Breakdown'!$T$6:$T$203, "&lt;"&amp;AA1)</f>
        <v>0</v>
      </c>
      <c r="AA17" s="215">
        <f>SUMIFS('Expenditure Breakdown'!$U$6:$U$203, 'Expenditure Breakdown'!$T$6:$T$203, "&gt;="&amp;AA1,'Expenditure Breakdown'!$T$6:$T$203, "&lt;"&amp;AB1)</f>
        <v>0</v>
      </c>
      <c r="AB17" s="215">
        <f>SUMIFS('Expenditure Breakdown'!$U$6:$U$203, 'Expenditure Breakdown'!$T$6:$T$203, "&gt;="&amp;AB1,'Expenditure Breakdown'!$T$6:$T$203, "&lt;"&amp;AC1)</f>
        <v>0</v>
      </c>
      <c r="AC17" s="215">
        <f>SUMIFS('Expenditure Breakdown'!$U$6:$U$203, 'Expenditure Breakdown'!$T$6:$T$203, "&gt;="&amp;AC1,'Expenditure Breakdown'!$T$6:$T$203, "&lt;"&amp;AD1)</f>
        <v>0</v>
      </c>
      <c r="AD17" s="215">
        <f>SUMIFS('Expenditure Breakdown'!$U$6:$U$203, 'Expenditure Breakdown'!$T$6:$T$203, "&gt;="&amp;AD1,'Expenditure Breakdown'!$T$6:$T$203, "&lt;"&amp;AE1)</f>
        <v>0</v>
      </c>
      <c r="AE17" s="215">
        <f>SUMIFS('Expenditure Breakdown'!$U$6:$U$203, 'Expenditure Breakdown'!$T$6:$T$203, "&gt;="&amp;AE1,'Expenditure Breakdown'!$T$6:$T$203, "&lt;"&amp;AF1)</f>
        <v>0</v>
      </c>
      <c r="AF17" s="215">
        <f>SUMIFS('Expenditure Breakdown'!$U$6:$U$203, 'Expenditure Breakdown'!$T$6:$T$203, "&gt;="&amp;AF1,'Expenditure Breakdown'!$T$6:$T$203, "&lt;"&amp;AG1)</f>
        <v>0</v>
      </c>
      <c r="AG17" s="215">
        <f>SUMIFS('Expenditure Breakdown'!$U$6:$U$203, 'Expenditure Breakdown'!$T$6:$T$203, "&gt;="&amp;AG1,'Expenditure Breakdown'!$T$6:$T$203, "&lt;"&amp;AH1)</f>
        <v>0</v>
      </c>
      <c r="AH17" s="215">
        <f>SUMIFS('Expenditure Breakdown'!$U$6:$U$203, 'Expenditure Breakdown'!$T$6:$T$203, "&gt;="&amp;AH1,'Expenditure Breakdown'!$T$6:$T$203, "&lt;"&amp;AI1)</f>
        <v>0</v>
      </c>
      <c r="AI17" s="215">
        <f>SUMIFS('Expenditure Breakdown'!$U$6:$U$203, 'Expenditure Breakdown'!$T$6:$T$203, "&gt;="&amp;AI1,'Expenditure Breakdown'!$T$6:$T$203, "&lt;"&amp;AJ1)</f>
        <v>0</v>
      </c>
      <c r="AJ17" s="215">
        <f>SUMIFS('Expenditure Breakdown'!$U$6:$U$203, 'Expenditure Breakdown'!$T$6:$T$203, "&gt;="&amp;AJ1,'Expenditure Breakdown'!$T$6:$T$203, "&lt;"&amp;AK1)</f>
        <v>0</v>
      </c>
      <c r="AK17" s="215">
        <f>SUMIFS('Expenditure Breakdown'!$U$6:$U$203, 'Expenditure Breakdown'!$T$6:$T$203, "&gt;="&amp;AK1,'Expenditure Breakdown'!$T$6:$T$203, "&lt;"&amp;AL1)</f>
        <v>0</v>
      </c>
      <c r="AL17" s="215">
        <f>SUMIFS('Expenditure Breakdown'!$U$6:$U$203, 'Expenditure Breakdown'!$T$6:$T$203, "&gt;="&amp;AL1,'Expenditure Breakdown'!$T$6:$T$203, "&lt;"&amp;AM1)</f>
        <v>0</v>
      </c>
      <c r="AM17" s="215">
        <f>SUMIFS('Expenditure Breakdown'!$U$6:$U$203, 'Expenditure Breakdown'!$T$6:$T$203, "&gt;="&amp;AM1,'Expenditure Breakdown'!$T$6:$T$203, "&lt;"&amp;AN1)</f>
        <v>0</v>
      </c>
      <c r="AN17" s="215">
        <f>SUMIFS('Expenditure Breakdown'!$U$6:$U$203, 'Expenditure Breakdown'!$T$6:$T$203, "&gt;="&amp;AN1,'Expenditure Breakdown'!$T$6:$T$203, "&lt;"&amp;AO1)</f>
        <v>0</v>
      </c>
      <c r="AO17" s="215">
        <f>SUMIFS('Expenditure Breakdown'!$U$6:$U$203, 'Expenditure Breakdown'!$T$6:$T$203, "&gt;="&amp;AO1,'Expenditure Breakdown'!$T$6:$T$203, "&lt;"&amp;AP1)</f>
        <v>0</v>
      </c>
      <c r="AP17" s="215">
        <f>SUMIFS('Expenditure Breakdown'!$U$6:$U$203, 'Expenditure Breakdown'!$T$6:$T$203, "&gt;="&amp;AP1,'Expenditure Breakdown'!$T$6:$T$203, "&lt;"&amp;AQ1)</f>
        <v>207057.43767521574</v>
      </c>
      <c r="AQ17" s="215">
        <f>SUMIFS('Expenditure Breakdown'!$U$6:$U$203, 'Expenditure Breakdown'!$T$6:$T$203, "&gt;="&amp;AQ1,'Expenditure Breakdown'!$T$6:$T$203, "&lt;"&amp;AR1)</f>
        <v>0</v>
      </c>
      <c r="AR17" s="215">
        <f>SUMIFS('Expenditure Breakdown'!$U$6:$U$203, 'Expenditure Breakdown'!$T$6:$T$203, "&gt;="&amp;AR1,'Expenditure Breakdown'!$T$6:$T$203, "&lt;"&amp;AS1)</f>
        <v>0</v>
      </c>
      <c r="AS17" s="215">
        <f>SUMIFS('Expenditure Breakdown'!$U$6:$U$203, 'Expenditure Breakdown'!$T$6:$T$203, "&gt;="&amp;AS1,'Expenditure Breakdown'!$T$6:$T$203, "&lt;"&amp;AT1)</f>
        <v>0</v>
      </c>
      <c r="AT17" s="215">
        <f>SUMIFS('Expenditure Breakdown'!$U$6:$U$203, 'Expenditure Breakdown'!$T$6:$T$203, "&gt;="&amp;AT1,'Expenditure Breakdown'!$T$6:$T$203, "&lt;"&amp;AU1)</f>
        <v>6882663.6018825844</v>
      </c>
      <c r="AU17" s="215">
        <f>SUMIFS('Expenditure Breakdown'!$U$6:$U$203, 'Expenditure Breakdown'!$T$6:$T$203, "&gt;="&amp;AU1,'Expenditure Breakdown'!$T$6:$T$203, "&lt;"&amp;AV1)</f>
        <v>0</v>
      </c>
      <c r="AV17" s="215">
        <f>SUMIFS('Expenditure Breakdown'!$U$6:$U$203, 'Expenditure Breakdown'!$T$6:$T$203, "&gt;="&amp;AV1,'Expenditure Breakdown'!$T$6:$T$203, "&lt;"&amp;AW1)</f>
        <v>0</v>
      </c>
      <c r="AW17" s="215">
        <f>SUMIFS('Expenditure Breakdown'!$U$6:$U$203, 'Expenditure Breakdown'!$T$6:$T$203, "&gt;="&amp;AW1,'Expenditure Breakdown'!$T$6:$T$203, "&lt;"&amp;AX1)</f>
        <v>0</v>
      </c>
      <c r="AX17" s="215">
        <f>SUMIFS('Expenditure Breakdown'!$U$6:$U$203, 'Expenditure Breakdown'!$T$6:$T$203, "&gt;="&amp;AX1,'Expenditure Breakdown'!$T$6:$T$203, "&lt;"&amp;AY1)</f>
        <v>1024984.8349152408</v>
      </c>
      <c r="AY17" s="215">
        <f>SUMIFS('Expenditure Breakdown'!$U$6:$U$203, 'Expenditure Breakdown'!$T$6:$T$203, "&gt;="&amp;AY1,'Expenditure Breakdown'!$T$6:$T$203, "&lt;"&amp;AZ1)</f>
        <v>0</v>
      </c>
      <c r="AZ17" s="215">
        <f>SUMIFS('Expenditure Breakdown'!$U$6:$U$203, 'Expenditure Breakdown'!$T$6:$T$203, "&gt;="&amp;AZ1,'Expenditure Breakdown'!$T$6:$T$203, "&lt;"&amp;BA1)</f>
        <v>0</v>
      </c>
      <c r="BA17" s="215">
        <f>SUMIFS('Expenditure Breakdown'!$U$6:$U$203, 'Expenditure Breakdown'!$T$6:$T$203, "&gt;="&amp;BA1,'Expenditure Breakdown'!$T$6:$T$203, "&lt;"&amp;BB1)</f>
        <v>0</v>
      </c>
      <c r="BB17" s="215">
        <f>SUMIFS('Expenditure Breakdown'!$U$6:$U$203, 'Expenditure Breakdown'!$T$6:$T$203, "&gt;="&amp;BB1,'Expenditure Breakdown'!$T$6:$T$203, "&lt;"&amp;BC1)</f>
        <v>0</v>
      </c>
      <c r="BC17" s="215">
        <f>SUMIFS('Expenditure Breakdown'!$U$6:$U$203, 'Expenditure Breakdown'!$T$6:$T$203, "&gt;="&amp;BC1,'Expenditure Breakdown'!$T$6:$T$203, "&lt;"&amp;BD1)</f>
        <v>746331.27150348085</v>
      </c>
      <c r="BD17" s="215">
        <f>SUMIFS('Expenditure Breakdown'!$U$6:$U$203, 'Expenditure Breakdown'!$T$6:$T$203, "&gt;="&amp;BD1,'Expenditure Breakdown'!$T$6:$T$203, "&lt;"&amp;BE1)</f>
        <v>0</v>
      </c>
      <c r="BE17" s="215">
        <f>SUMIFS('Expenditure Breakdown'!$U$6:$U$203, 'Expenditure Breakdown'!$T$6:$T$203, "&gt;="&amp;BE1,'Expenditure Breakdown'!$T$6:$T$203, "&lt;"&amp;BF1)</f>
        <v>0</v>
      </c>
      <c r="BF17" s="215">
        <f>SUMIFS('Expenditure Breakdown'!$U$6:$U$203, 'Expenditure Breakdown'!$T$6:$T$203, "&gt;="&amp;BF1,'Expenditure Breakdown'!$T$6:$T$203, "&lt;"&amp;BG1)</f>
        <v>0</v>
      </c>
      <c r="BG17" s="215">
        <f>SUMIFS('Expenditure Breakdown'!$U$6:$U$203, 'Expenditure Breakdown'!$T$6:$T$203, "&gt;="&amp;BG1,'Expenditure Breakdown'!$T$6:$T$203, "&lt;"&amp;BH1)</f>
        <v>226797.26379107923</v>
      </c>
      <c r="BH17" s="215">
        <f>SUMIFS('Expenditure Breakdown'!$U$6:$U$203, 'Expenditure Breakdown'!$T$6:$T$203, "&gt;="&amp;BH1,'Expenditure Breakdown'!$T$6:$T$203, "&lt;"&amp;BI1)</f>
        <v>0</v>
      </c>
      <c r="BI17" s="215">
        <f>SUMIFS('Expenditure Breakdown'!$U$6:$U$203, 'Expenditure Breakdown'!$T$6:$T$203, "&gt;="&amp;BI1,'Expenditure Breakdown'!$T$6:$T$203, "&lt;"&amp;BJ1)</f>
        <v>0</v>
      </c>
      <c r="BJ17" s="215">
        <f>SUMIFS('Expenditure Breakdown'!$U$6:$U$203, 'Expenditure Breakdown'!$T$6:$T$203, "&gt;="&amp;BJ1,'Expenditure Breakdown'!$T$6:$T$203, "&lt;"&amp;BK1)</f>
        <v>0</v>
      </c>
      <c r="BK17" s="215">
        <f>SUMIFS('Expenditure Breakdown'!$U$6:$U$203, 'Expenditure Breakdown'!$T$6:$T$203, "&gt;="&amp;BK1,'Expenditure Breakdown'!$T$6:$T$203, "&lt;"&amp;BL1)</f>
        <v>115729.40242714086</v>
      </c>
      <c r="BL17" s="215">
        <f>SUMIFS('Expenditure Breakdown'!$U$6:$U$203, 'Expenditure Breakdown'!$T$6:$T$203, "&gt;="&amp;BL1,'Expenditure Breakdown'!$T$6:$T$203, "&lt;"&amp;BM1)</f>
        <v>0</v>
      </c>
      <c r="BM17" s="215">
        <f>SUMIFS('Expenditure Breakdown'!$U$6:$U$203, 'Expenditure Breakdown'!$T$6:$T$203, "&gt;="&amp;BM1,'Expenditure Breakdown'!$T$6:$T$203, "&lt;"&amp;BN1)</f>
        <v>0</v>
      </c>
      <c r="BN17" s="215">
        <f>SUMIFS('Expenditure Breakdown'!$U$6:$U$203, 'Expenditure Breakdown'!$T$6:$T$203, "&gt;="&amp;BN1,'Expenditure Breakdown'!$T$6:$T$203, "&lt;"&amp;BO1)</f>
        <v>0</v>
      </c>
      <c r="BO17" s="215">
        <f>SUMIFS('Expenditure Breakdown'!$U$6:$U$203, 'Expenditure Breakdown'!$T$6:$T$203, "&gt;="&amp;BO1,'Expenditure Breakdown'!$T$6:$T$203, "&lt;"&amp;BP1)</f>
        <v>0</v>
      </c>
      <c r="BP17" s="215">
        <f>SUMIFS('Expenditure Breakdown'!$U$6:$U$203, 'Expenditure Breakdown'!$T$6:$T$203, "&gt;="&amp;BP1,'Expenditure Breakdown'!$T$6:$T$203, "&lt;"&amp;BQ1)</f>
        <v>620061.59789589501</v>
      </c>
      <c r="BQ17" s="215">
        <f>SUMIFS('Expenditure Breakdown'!$U$6:$U$203, 'Expenditure Breakdown'!$T$6:$T$203, "&gt;="&amp;BQ1,'Expenditure Breakdown'!$T$6:$T$203, "&lt;"&amp;BR1)</f>
        <v>0</v>
      </c>
      <c r="BR17" s="215">
        <f>SUMIFS('Expenditure Breakdown'!$U$6:$U$203, 'Expenditure Breakdown'!$T$6:$T$203, "&gt;="&amp;BR1,'Expenditure Breakdown'!$T$6:$T$203, "&lt;"&amp;BS1)</f>
        <v>0</v>
      </c>
      <c r="BS17" s="215">
        <f>SUMIFS('Expenditure Breakdown'!$U$6:$U$203, 'Expenditure Breakdown'!$T$6:$T$203, "&gt;="&amp;BS1,'Expenditure Breakdown'!$T$6:$T$203, "&lt;"&amp;BT1)</f>
        <v>0</v>
      </c>
      <c r="BT17" s="215">
        <f>SUMIFS('Expenditure Breakdown'!$U$6:$U$203, 'Expenditure Breakdown'!$T$6:$T$203, "&gt;="&amp;BT1,'Expenditure Breakdown'!$T$6:$T$203, "&lt;"&amp;BU1)</f>
        <v>604718.89877676719</v>
      </c>
      <c r="BU17" s="215">
        <f>SUMIFS('Expenditure Breakdown'!$U$6:$U$203, 'Expenditure Breakdown'!$T$6:$T$203, "&gt;="&amp;BU1,'Expenditure Breakdown'!$T$6:$T$203, "&lt;"&amp;BV1)</f>
        <v>0</v>
      </c>
      <c r="BV17" s="215">
        <f>SUMIFS('Expenditure Breakdown'!$U$6:$U$203, 'Expenditure Breakdown'!$T$6:$T$203, "&gt;="&amp;BV1,'Expenditure Breakdown'!$T$6:$T$203, "&lt;"&amp;BW1)</f>
        <v>0</v>
      </c>
      <c r="BW17" s="215">
        <f>SUMIFS('Expenditure Breakdown'!$U$6:$U$203, 'Expenditure Breakdown'!$T$6:$T$203, "&gt;="&amp;BW1,'Expenditure Breakdown'!$T$6:$T$203, "&lt;"&amp;BX1)</f>
        <v>0</v>
      </c>
      <c r="BX17" s="215">
        <f>SUMIFS('Expenditure Breakdown'!$U$6:$U$203, 'Expenditure Breakdown'!$T$6:$T$203, "&gt;="&amp;BX1,'Expenditure Breakdown'!$T$6:$T$203, "&lt;"&amp;BY1)</f>
        <v>0</v>
      </c>
      <c r="BY17" s="215">
        <f>SUMIFS('Expenditure Breakdown'!$U$6:$U$203, 'Expenditure Breakdown'!$T$6:$T$203, "&gt;="&amp;BY1,'Expenditure Breakdown'!$T$6:$T$203, "&lt;"&amp;BZ1)</f>
        <v>0</v>
      </c>
      <c r="BZ17" s="215">
        <f>SUMIFS('Expenditure Breakdown'!$U$6:$U$203, 'Expenditure Breakdown'!$T$6:$T$203, "&gt;="&amp;BZ1,'Expenditure Breakdown'!$T$6:$T$203, "&lt;"&amp;CA1)</f>
        <v>0</v>
      </c>
      <c r="CA17" s="215">
        <f>SUMIFS('Expenditure Breakdown'!$U$6:$U$203, 'Expenditure Breakdown'!$T$6:$T$203, "&gt;="&amp;CA1,'Expenditure Breakdown'!$T$6:$T$203, "&lt;"&amp;CB1)</f>
        <v>0</v>
      </c>
      <c r="CB17" s="215">
        <f>SUMIFS('Expenditure Breakdown'!$U$6:$U$203, 'Expenditure Breakdown'!$T$6:$T$203, "&gt;="&amp;CB1,'Expenditure Breakdown'!$T$6:$T$203, "&lt;"&amp;CC1)</f>
        <v>0</v>
      </c>
      <c r="CC17" s="215">
        <f>SUMIFS('Expenditure Breakdown'!$U$6:$U$203, 'Expenditure Breakdown'!$T$6:$T$203, "&gt;="&amp;CC1,'Expenditure Breakdown'!$T$6:$T$203, "&lt;"&amp;CD1)</f>
        <v>0</v>
      </c>
      <c r="CD17" s="215">
        <f>SUMIFS('Expenditure Breakdown'!$U$6:$U$203, 'Expenditure Breakdown'!$T$6:$T$203, "&gt;="&amp;CD1,'Expenditure Breakdown'!$T$6:$T$203, "&lt;"&amp;CE1)</f>
        <v>0</v>
      </c>
      <c r="CE17" s="215">
        <f>SUMIFS('Expenditure Breakdown'!$U$6:$U$203, 'Expenditure Breakdown'!$T$6:$T$203, "&gt;="&amp;CE1,'Expenditure Breakdown'!$T$6:$T$203, "&lt;"&amp;CF1)</f>
        <v>0</v>
      </c>
      <c r="CF17" s="215">
        <f>SUMIFS('Expenditure Breakdown'!$U$6:$U$203, 'Expenditure Breakdown'!$T$6:$T$203, "&gt;="&amp;CF1,'Expenditure Breakdown'!$T$6:$T$203, "&lt;"&amp;CG1)</f>
        <v>0</v>
      </c>
      <c r="CG17" s="215">
        <f>SUMIFS('Expenditure Breakdown'!$U$6:$U$203, 'Expenditure Breakdown'!$T$6:$T$203, "&gt;="&amp;CG1,'Expenditure Breakdown'!$T$6:$T$203, "&lt;"&amp;CH1)</f>
        <v>0</v>
      </c>
      <c r="CH17" s="215">
        <f>SUMIFS('Expenditure Breakdown'!$U$6:$U$203, 'Expenditure Breakdown'!$T$6:$T$203, "&gt;="&amp;CH1,'Expenditure Breakdown'!$T$6:$T$203, "&lt;"&amp;CI1)</f>
        <v>0</v>
      </c>
      <c r="CI17" s="215">
        <f>SUMIFS('Expenditure Breakdown'!$U$6:$U$203, 'Expenditure Breakdown'!$T$6:$T$203, "&gt;="&amp;CI1,'Expenditure Breakdown'!$T$6:$T$203, "&lt;"&amp;CJ1)</f>
        <v>0</v>
      </c>
      <c r="CJ17" s="215">
        <f>SUMIFS('Expenditure Breakdown'!$U$6:$U$203, 'Expenditure Breakdown'!$T$6:$T$203, "&gt;="&amp;CJ1,'Expenditure Breakdown'!$T$6:$T$203, "&lt;"&amp;CK1)</f>
        <v>0</v>
      </c>
      <c r="CK17" s="215">
        <f>SUMIFS('Expenditure Breakdown'!$U$6:$U$203, 'Expenditure Breakdown'!$T$6:$T$203, "&gt;="&amp;CK1,'Expenditure Breakdown'!$T$6:$T$203, "&lt;"&amp;CL1)</f>
        <v>0</v>
      </c>
      <c r="CL17" s="215">
        <f>SUMIFS('Expenditure Breakdown'!$U$6:$U$203, 'Expenditure Breakdown'!$T$6:$T$203, "&gt;="&amp;CL1,'Expenditure Breakdown'!$T$6:$T$203, "&lt;"&amp;CM1)</f>
        <v>0</v>
      </c>
      <c r="CM17" s="215">
        <f>SUMIFS('Expenditure Breakdown'!$U$6:$U$203, 'Expenditure Breakdown'!$T$6:$T$203, "&gt;="&amp;CM1,'Expenditure Breakdown'!$T$6:$T$203, "&lt;"&amp;CN1)</f>
        <v>0</v>
      </c>
      <c r="CN17" s="215">
        <f>SUMIFS('Expenditure Breakdown'!$U$6:$U$203, 'Expenditure Breakdown'!$T$6:$T$203, "&gt;="&amp;CN1,'Expenditure Breakdown'!$T$6:$T$203, "&lt;"&amp;CO1)</f>
        <v>0</v>
      </c>
      <c r="CO17" s="215">
        <f>SUMIFS('Expenditure Breakdown'!$U$6:$U$203, 'Expenditure Breakdown'!$T$6:$T$203, "&gt;="&amp;CO1,'Expenditure Breakdown'!$T$6:$T$203, "&lt;"&amp;CP1)</f>
        <v>0</v>
      </c>
      <c r="CP17" s="215">
        <f>SUMIFS('Expenditure Breakdown'!$U$6:$U$203, 'Expenditure Breakdown'!$T$6:$T$203, "&gt;="&amp;CP1,'Expenditure Breakdown'!$T$6:$T$203, "&lt;"&amp;CQ1)</f>
        <v>0</v>
      </c>
      <c r="CQ17" s="215">
        <f>SUMIFS('Expenditure Breakdown'!$U$6:$U$203, 'Expenditure Breakdown'!$T$6:$T$203, "&gt;="&amp;CQ1,'Expenditure Breakdown'!$T$6:$T$203, "&lt;"&amp;CR1)</f>
        <v>0</v>
      </c>
      <c r="CR17" s="215">
        <f>SUMIFS('Expenditure Breakdown'!$U$6:$U$203, 'Expenditure Breakdown'!$T$6:$T$203, "&gt;="&amp;CR1,'Expenditure Breakdown'!$T$6:$T$203, "&lt;"&amp;CS1)</f>
        <v>0</v>
      </c>
      <c r="CS17" s="215">
        <f>SUMIFS('Expenditure Breakdown'!$U$6:$U$203, 'Expenditure Breakdown'!$T$6:$T$203, "&gt;="&amp;CS1,'Expenditure Breakdown'!$T$6:$T$203, "&lt;"&amp;CT1)</f>
        <v>0</v>
      </c>
      <c r="CT17" s="215">
        <f>SUMIFS('Expenditure Breakdown'!$U$6:$U$203, 'Expenditure Breakdown'!$T$6:$T$203, "&gt;="&amp;CT1,'Expenditure Breakdown'!$T$6:$T$203, "&lt;"&amp;CU1)</f>
        <v>0</v>
      </c>
      <c r="CU17" s="215">
        <f>SUMIFS('Expenditure Breakdown'!$U$6:$U$203, 'Expenditure Breakdown'!$T$6:$T$203, "&gt;="&amp;CU1,'Expenditure Breakdown'!$T$6:$T$203, "&lt;"&amp;CV1)</f>
        <v>0</v>
      </c>
      <c r="CV17" s="215">
        <f>SUMIFS('Expenditure Breakdown'!$U$6:$U$203, 'Expenditure Breakdown'!$T$6:$T$203, "&gt;="&amp;CV1,'Expenditure Breakdown'!$T$6:$T$203, "&lt;"&amp;CW1)</f>
        <v>0</v>
      </c>
      <c r="CW17" s="215">
        <f>SUMIFS('Expenditure Breakdown'!$U$6:$U$203, 'Expenditure Breakdown'!$T$6:$T$203, "&gt;="&amp;CW1,'Expenditure Breakdown'!$T$6:$T$203, "&lt;"&amp;CX1)</f>
        <v>0</v>
      </c>
      <c r="CX17" s="215">
        <f>SUMIFS('Expenditure Breakdown'!$U$6:$U$203, 'Expenditure Breakdown'!$T$6:$T$203, "&gt;="&amp;CX1,'Expenditure Breakdown'!$T$6:$T$203, "&lt;"&amp;CY1)</f>
        <v>0</v>
      </c>
      <c r="CY17" s="215">
        <f>SUMIFS('Expenditure Breakdown'!$U$6:$U$203, 'Expenditure Breakdown'!$T$6:$T$203, "&gt;="&amp;CY1,'Expenditure Breakdown'!$T$6:$T$203, "&lt;"&amp;CZ1)</f>
        <v>0</v>
      </c>
      <c r="CZ17" s="215">
        <f>SUMIFS('Expenditure Breakdown'!$U$6:$U$203, 'Expenditure Breakdown'!$T$6:$T$203, "&gt;="&amp;CZ1,'Expenditure Breakdown'!$T$6:$T$203, "&lt;"&amp;DA1)</f>
        <v>0</v>
      </c>
      <c r="DA17" s="215">
        <f>SUMIFS('Expenditure Breakdown'!$U$6:$U$203, 'Expenditure Breakdown'!$T$6:$T$203, "&gt;="&amp;DA1,'Expenditure Breakdown'!$T$6:$T$203, "&lt;"&amp;DB1)</f>
        <v>0</v>
      </c>
      <c r="DB17" s="215">
        <f>SUMIFS('Expenditure Breakdown'!$U$6:$U$203, 'Expenditure Breakdown'!$T$6:$T$203, "&gt;="&amp;DB1,'Expenditure Breakdown'!$T$6:$T$203, "&lt;"&amp;DC1)</f>
        <v>0</v>
      </c>
      <c r="DC17" s="215">
        <f>SUMIFS('Expenditure Breakdown'!$U$6:$U$203, 'Expenditure Breakdown'!$T$6:$T$203, "&gt;="&amp;DC1,'Expenditure Breakdown'!$T$6:$T$203, "&lt;"&amp;DD1)</f>
        <v>0</v>
      </c>
      <c r="DD17" s="215">
        <f>SUMIFS('Expenditure Breakdown'!$U$6:$U$203, 'Expenditure Breakdown'!$T$6:$T$203, "&gt;="&amp;DD1,'Expenditure Breakdown'!$T$6:$T$203, "&lt;"&amp;DE1)</f>
        <v>0</v>
      </c>
      <c r="DE17" s="215">
        <f>SUMIFS('Expenditure Breakdown'!$U$6:$U$203, 'Expenditure Breakdown'!$T$6:$T$203, "&gt;="&amp;DE1,'Expenditure Breakdown'!$T$6:$T$203, "&lt;"&amp;DF1)</f>
        <v>0</v>
      </c>
      <c r="DF17" s="215">
        <f>SUMIFS('Expenditure Breakdown'!$U$6:$U$203, 'Expenditure Breakdown'!$T$6:$T$203, "&gt;="&amp;DF1,'Expenditure Breakdown'!$T$6:$T$203, "&lt;"&amp;DG1)</f>
        <v>0</v>
      </c>
      <c r="DG17" s="215">
        <f>SUMIFS('Expenditure Breakdown'!$U$6:$U$203, 'Expenditure Breakdown'!$T$6:$T$203, "&gt;="&amp;DG1,'Expenditure Breakdown'!$T$6:$T$203, "&lt;"&amp;DH1)</f>
        <v>0</v>
      </c>
      <c r="DH17" s="215">
        <f>SUMIFS('Expenditure Breakdown'!$U$6:$U$203, 'Expenditure Breakdown'!$T$6:$T$203, "&gt;="&amp;DH1,'Expenditure Breakdown'!$T$6:$T$203, "&lt;"&amp;DI1)</f>
        <v>0</v>
      </c>
      <c r="DI17" s="215">
        <f>SUMIFS('Expenditure Breakdown'!$U$6:$U$203, 'Expenditure Breakdown'!$T$6:$T$203, "&gt;="&amp;DI1,'Expenditure Breakdown'!$T$6:$T$203, "&lt;"&amp;DJ1)</f>
        <v>0</v>
      </c>
      <c r="DJ17" s="215">
        <f>SUMIFS('Expenditure Breakdown'!$U$6:$U$203, 'Expenditure Breakdown'!$T$6:$T$203, "&gt;="&amp;DJ1,'Expenditure Breakdown'!$T$6:$T$203, "&lt;"&amp;DK1)</f>
        <v>0</v>
      </c>
      <c r="DK17" s="215">
        <f>SUMIFS('Expenditure Breakdown'!$U$6:$U$203, 'Expenditure Breakdown'!$T$6:$T$203, "&gt;="&amp;DK1,'Expenditure Breakdown'!$T$6:$T$203, "&lt;"&amp;DL1)</f>
        <v>0</v>
      </c>
      <c r="DL17" s="215">
        <f>SUMIFS('Expenditure Breakdown'!$U$6:$U$203, 'Expenditure Breakdown'!$T$6:$T$203, "&gt;="&amp;DL1,'Expenditure Breakdown'!$T$6:$T$203, "&lt;"&amp;DM1)</f>
        <v>0</v>
      </c>
      <c r="DM17" s="215">
        <f>SUMIFS('Expenditure Breakdown'!$U$6:$U$203, 'Expenditure Breakdown'!$T$6:$T$203, "&gt;="&amp;DM1,'Expenditure Breakdown'!$T$6:$T$203, "&lt;"&amp;DN1)</f>
        <v>0</v>
      </c>
      <c r="DN17" s="215">
        <f>SUMIFS('Expenditure Breakdown'!$U$6:$U$203, 'Expenditure Breakdown'!$T$6:$T$203, "&gt;="&amp;DN1,'Expenditure Breakdown'!$T$6:$T$203, "&lt;"&amp;DO1)</f>
        <v>0</v>
      </c>
      <c r="DO17" s="215">
        <f>SUMIFS('Expenditure Breakdown'!$U$6:$U$203, 'Expenditure Breakdown'!$T$6:$T$203, "&gt;="&amp;DO1,'Expenditure Breakdown'!$T$6:$T$203, "&lt;"&amp;DP1)</f>
        <v>0</v>
      </c>
      <c r="DP17" s="215">
        <f>SUMIFS('Expenditure Breakdown'!$U$6:$U$203, 'Expenditure Breakdown'!$T$6:$T$203, "&gt;="&amp;DP1,'Expenditure Breakdown'!$T$6:$T$203, "&lt;"&amp;DQ1)</f>
        <v>0</v>
      </c>
      <c r="DQ17" s="215">
        <f>SUMIFS('Expenditure Breakdown'!$U$6:$U$203, 'Expenditure Breakdown'!$T$6:$T$203, "&gt;="&amp;DQ1,'Expenditure Breakdown'!$T$6:$T$203, "&lt;"&amp;DR1)</f>
        <v>0</v>
      </c>
      <c r="DR17" s="215">
        <f>SUMIFS('Expenditure Breakdown'!$U$6:$U$203, 'Expenditure Breakdown'!$T$6:$T$203, "&gt;="&amp;DR1,'Expenditure Breakdown'!$T$6:$T$203, "&lt;"&amp;DS1)</f>
        <v>0</v>
      </c>
      <c r="DS17" s="215">
        <f>SUMIFS('Expenditure Breakdown'!$U$6:$U$203, 'Expenditure Breakdown'!$T$6:$T$203, "&gt;="&amp;DS1,'Expenditure Breakdown'!$T$6:$T$203, "&lt;"&amp;DT1)</f>
        <v>0</v>
      </c>
      <c r="DT17" s="215">
        <f>SUMIFS('Expenditure Breakdown'!$U$6:$U$203, 'Expenditure Breakdown'!$T$6:$T$203, "&gt;="&amp;DT1,'Expenditure Breakdown'!$T$6:$T$203, "&lt;"&amp;DU1)</f>
        <v>0</v>
      </c>
      <c r="DU17" s="215">
        <f>SUMIFS('Expenditure Breakdown'!$U$6:$U$203, 'Expenditure Breakdown'!$T$6:$T$203, "&gt;="&amp;DU1,'Expenditure Breakdown'!$T$6:$T$203, "&lt;"&amp;DV1)</f>
        <v>0</v>
      </c>
      <c r="DV17" s="215">
        <f>SUMIFS('Expenditure Breakdown'!$U$6:$U$203, 'Expenditure Breakdown'!$T$6:$T$203, "&gt;="&amp;DV1,'Expenditure Breakdown'!$T$6:$T$203, "&lt;"&amp;DW1)</f>
        <v>0</v>
      </c>
      <c r="DW17" s="215">
        <f>SUMIFS('Expenditure Breakdown'!$U$6:$U$203, 'Expenditure Breakdown'!$T$6:$T$203, "&gt;="&amp;DW1,'Expenditure Breakdown'!$T$6:$T$203, "&lt;"&amp;DX1)</f>
        <v>0</v>
      </c>
      <c r="DX17" s="215">
        <f>SUMIFS('Expenditure Breakdown'!$U$6:$U$203, 'Expenditure Breakdown'!$T$6:$T$203, "&gt;="&amp;DX1,'Expenditure Breakdown'!$T$6:$T$203, "&lt;"&amp;DY1)</f>
        <v>0</v>
      </c>
      <c r="DY17" s="215">
        <f>SUMIFS('Expenditure Breakdown'!$U$6:$U$203, 'Expenditure Breakdown'!$T$6:$T$203, "&gt;="&amp;DY1,'Expenditure Breakdown'!$T$6:$T$203, "&lt;"&amp;DZ1)</f>
        <v>0</v>
      </c>
      <c r="DZ17" s="215">
        <f>SUMIFS('Expenditure Breakdown'!$U$6:$U$203, 'Expenditure Breakdown'!$T$6:$T$203, "&gt;="&amp;DZ1,'Expenditure Breakdown'!$T$6:$T$203, "&lt;"&amp;EA1)</f>
        <v>0</v>
      </c>
      <c r="EA17" s="215">
        <f>SUMIFS('Expenditure Breakdown'!$U$6:$U$203, 'Expenditure Breakdown'!$T$6:$T$203, "&gt;="&amp;EA1,'Expenditure Breakdown'!$T$6:$T$203, "&lt;"&amp;EB1)</f>
        <v>0</v>
      </c>
      <c r="EB17" s="215">
        <f>SUMIFS('Expenditure Breakdown'!$U$6:$U$203, 'Expenditure Breakdown'!$T$6:$T$203, "&gt;="&amp;EB1,'Expenditure Breakdown'!$T$6:$T$203, "&lt;"&amp;EC1)</f>
        <v>0</v>
      </c>
      <c r="EC17" s="215">
        <f>SUMIFS('Expenditure Breakdown'!$U$6:$U$203, 'Expenditure Breakdown'!$T$6:$T$203, "&gt;="&amp;EC1,'Expenditure Breakdown'!$T$6:$T$203, "&lt;"&amp;ED1)</f>
        <v>0</v>
      </c>
      <c r="ED17" s="215">
        <f>SUMIFS('Expenditure Breakdown'!$U$6:$U$203, 'Expenditure Breakdown'!$T$6:$T$203, "&gt;="&amp;ED1,'Expenditure Breakdown'!$T$6:$T$203, "&lt;"&amp;EE1)</f>
        <v>0</v>
      </c>
      <c r="EE17" s="215">
        <f>SUMIFS('Expenditure Breakdown'!$U$6:$U$203, 'Expenditure Breakdown'!$T$6:$T$203, "&gt;="&amp;EE1,'Expenditure Breakdown'!$T$6:$T$203, "&lt;"&amp;EF1)</f>
        <v>0</v>
      </c>
      <c r="EF17" s="215">
        <f>SUMIFS('Expenditure Breakdown'!$U$6:$U$203, 'Expenditure Breakdown'!$T$6:$T$203, "&gt;="&amp;EF1,'Expenditure Breakdown'!$T$6:$T$203, "&lt;"&amp;EG1)</f>
        <v>0</v>
      </c>
      <c r="EG17" s="215">
        <f>SUMIFS('Expenditure Breakdown'!$U$6:$U$203, 'Expenditure Breakdown'!$T$6:$T$203, "&gt;="&amp;EG1,'Expenditure Breakdown'!$T$6:$T$203, "&lt;"&amp;EH1)</f>
        <v>0</v>
      </c>
      <c r="EH17" s="215">
        <f>SUMIFS('Expenditure Breakdown'!$U$6:$U$203, 'Expenditure Breakdown'!$T$6:$T$203, "&gt;="&amp;EH1,'Expenditure Breakdown'!$T$6:$T$203, "&lt;"&amp;EI1)</f>
        <v>0</v>
      </c>
      <c r="EI17" s="215">
        <f>SUMIFS('Expenditure Breakdown'!$U$6:$U$203, 'Expenditure Breakdown'!$T$6:$T$203, "&gt;="&amp;EI1,'Expenditure Breakdown'!$T$6:$T$203, "&lt;"&amp;EJ1)</f>
        <v>0</v>
      </c>
      <c r="EJ17" s="215">
        <f>SUMIFS('Expenditure Breakdown'!$U$6:$U$203, 'Expenditure Breakdown'!$T$6:$T$203, "&gt;="&amp;EJ1,'Expenditure Breakdown'!$T$6:$T$203, "&lt;"&amp;EK1)</f>
        <v>0</v>
      </c>
      <c r="EK17" s="215">
        <f>SUMIFS('Expenditure Breakdown'!$U$6:$U$203, 'Expenditure Breakdown'!$T$6:$T$203, "&gt;="&amp;EK1,'Expenditure Breakdown'!$T$6:$T$203, "&lt;"&amp;EL1)</f>
        <v>0</v>
      </c>
      <c r="EL17" s="215">
        <f>SUMIFS('Expenditure Breakdown'!$U$6:$U$203, 'Expenditure Breakdown'!$T$6:$T$203, "&gt;="&amp;EL1,'Expenditure Breakdown'!$T$6:$T$203, "&lt;"&amp;EM1)</f>
        <v>0</v>
      </c>
      <c r="EM17" s="215">
        <f>SUMIFS('Expenditure Breakdown'!$U$6:$U$203, 'Expenditure Breakdown'!$T$6:$T$203, "&gt;="&amp;EM1,'Expenditure Breakdown'!$T$6:$T$203, "&lt;"&amp;EN1)</f>
        <v>0</v>
      </c>
      <c r="EN17" s="215">
        <f>SUMIFS('Expenditure Breakdown'!$U$6:$U$203, 'Expenditure Breakdown'!$T$6:$T$203, "&gt;="&amp;EN1,'Expenditure Breakdown'!$T$6:$T$203, "&lt;"&amp;EO1)</f>
        <v>0</v>
      </c>
      <c r="EO17" s="215">
        <f>SUMIFS('Expenditure Breakdown'!$U$6:$U$203, 'Expenditure Breakdown'!$T$6:$T$203, "&gt;="&amp;EO1,'Expenditure Breakdown'!$T$6:$T$203, "&lt;"&amp;EP1)</f>
        <v>0</v>
      </c>
      <c r="EP17" s="215">
        <f>SUMIFS('Expenditure Breakdown'!$U$6:$U$203, 'Expenditure Breakdown'!$T$6:$T$203, "&gt;="&amp;EP1,'Expenditure Breakdown'!$T$6:$T$203, "&lt;"&amp;EQ1)</f>
        <v>0</v>
      </c>
      <c r="EQ17" s="215">
        <f>SUMIFS('Expenditure Breakdown'!$U$6:$U$203, 'Expenditure Breakdown'!$T$6:$T$203, "&gt;="&amp;EQ1,'Expenditure Breakdown'!$T$6:$T$203, "&lt;"&amp;ER1)</f>
        <v>0</v>
      </c>
      <c r="ER17" s="215">
        <f>SUMIFS('Expenditure Breakdown'!$U$6:$U$203, 'Expenditure Breakdown'!$T$6:$T$203, "&gt;="&amp;ER1,'Expenditure Breakdown'!$T$6:$T$203, "&lt;"&amp;ES1)</f>
        <v>0</v>
      </c>
      <c r="ES17" s="215">
        <f>SUMIFS('Expenditure Breakdown'!$U$6:$U$203, 'Expenditure Breakdown'!$T$6:$T$203, "&gt;="&amp;ES1,'Expenditure Breakdown'!$T$6:$T$203, "&lt;"&amp;ET1)</f>
        <v>0</v>
      </c>
      <c r="ET17" s="215">
        <f>SUMIFS('Expenditure Breakdown'!$U$6:$U$203, 'Expenditure Breakdown'!$T$6:$T$203, "&gt;="&amp;ET1,'Expenditure Breakdown'!$T$6:$T$203, "&lt;"&amp;EU1)</f>
        <v>0</v>
      </c>
      <c r="EU17" s="215">
        <f>SUMIFS('Expenditure Breakdown'!$U$6:$U$203, 'Expenditure Breakdown'!$T$6:$T$203, "&gt;="&amp;EU1,'Expenditure Breakdown'!$T$6:$T$203, "&lt;"&amp;EV1)</f>
        <v>0</v>
      </c>
      <c r="EV17" s="215">
        <f>SUMIFS('Expenditure Breakdown'!$U$6:$U$203, 'Expenditure Breakdown'!$T$6:$T$203, "&gt;="&amp;EV1,'Expenditure Breakdown'!$T$6:$T$203, "&lt;"&amp;EW1)</f>
        <v>0</v>
      </c>
      <c r="EW17" s="215">
        <f>SUMIFS('Expenditure Breakdown'!$U$6:$U$203, 'Expenditure Breakdown'!$T$6:$T$203, "&gt;="&amp;EW1,'Expenditure Breakdown'!$T$6:$T$203, "&lt;"&amp;EX1)</f>
        <v>0</v>
      </c>
      <c r="EX17" s="215">
        <f>SUMIFS('Expenditure Breakdown'!$U$6:$U$203, 'Expenditure Breakdown'!$T$6:$T$203, "&gt;="&amp;EX1,'Expenditure Breakdown'!$T$6:$T$203, "&lt;"&amp;EY1)</f>
        <v>0</v>
      </c>
      <c r="EY17" s="215">
        <f>SUMIFS('Expenditure Breakdown'!$U$6:$U$203, 'Expenditure Breakdown'!$T$6:$T$203, "&gt;="&amp;EY1,'Expenditure Breakdown'!$T$6:$T$203, "&lt;"&amp;EZ1)</f>
        <v>0</v>
      </c>
      <c r="EZ17" s="215">
        <f>SUMIFS('Expenditure Breakdown'!$U$6:$U$203, 'Expenditure Breakdown'!$T$6:$T$203, "&gt;="&amp;EZ1,'Expenditure Breakdown'!$T$6:$T$203, "&lt;"&amp;FA1)</f>
        <v>0</v>
      </c>
      <c r="FA17" s="215">
        <f>SUMIFS('Expenditure Breakdown'!$U$6:$U$203, 'Expenditure Breakdown'!$T$6:$T$203, "&gt;="&amp;FA1,'Expenditure Breakdown'!$T$6:$T$203, "&lt;"&amp;FB1)</f>
        <v>0</v>
      </c>
      <c r="FB17" s="215">
        <f>SUMIFS('Expenditure Breakdown'!$U$6:$U$203, 'Expenditure Breakdown'!$T$6:$T$203, "&gt;="&amp;FB1,'Expenditure Breakdown'!$T$6:$T$203, "&lt;"&amp;FC1)</f>
        <v>0</v>
      </c>
      <c r="FC17" s="215">
        <f>SUMIFS('Expenditure Breakdown'!$U$6:$U$203, 'Expenditure Breakdown'!$T$6:$T$203, "&gt;="&amp;FC1,'Expenditure Breakdown'!$T$6:$T$203, "&lt;"&amp;FD1)</f>
        <v>0</v>
      </c>
      <c r="FD17" s="215">
        <f>SUMIFS('Expenditure Breakdown'!$U$6:$U$203, 'Expenditure Breakdown'!$T$6:$T$203, "&gt;="&amp;FD1,'Expenditure Breakdown'!$T$6:$T$203, "&lt;"&amp;FE1)</f>
        <v>0</v>
      </c>
      <c r="FE17" s="215">
        <f>SUMIFS('Expenditure Breakdown'!$U$6:$U$203, 'Expenditure Breakdown'!$T$6:$T$203, "&gt;="&amp;FE1,'Expenditure Breakdown'!$T$6:$T$203, "&lt;"&amp;FF1)</f>
        <v>0</v>
      </c>
      <c r="FF17" s="215">
        <f>SUMIFS('Expenditure Breakdown'!$U$6:$U$203, 'Expenditure Breakdown'!$T$6:$T$203, "&gt;="&amp;FF1,'Expenditure Breakdown'!$T$6:$T$203, "&lt;"&amp;FG1)</f>
        <v>0</v>
      </c>
      <c r="FG17" s="215">
        <f>SUMIFS('Expenditure Breakdown'!$U$6:$U$203, 'Expenditure Breakdown'!$T$6:$T$203, "&gt;="&amp;FG1,'Expenditure Breakdown'!$T$6:$T$203, "&lt;"&amp;FH1)</f>
        <v>0</v>
      </c>
      <c r="FH17" s="215">
        <f>SUMIFS('Expenditure Breakdown'!$U$6:$U$203, 'Expenditure Breakdown'!$T$6:$T$203, "&gt;="&amp;FH1,'Expenditure Breakdown'!$T$6:$T$203, "&lt;"&amp;FI1)</f>
        <v>0</v>
      </c>
      <c r="FI17" s="215">
        <f>SUMIFS('Expenditure Breakdown'!$U$6:$U$203, 'Expenditure Breakdown'!$T$6:$T$203, "&gt;="&amp;FI1,'Expenditure Breakdown'!$T$6:$T$203, "&lt;"&amp;FJ1)</f>
        <v>0</v>
      </c>
      <c r="FJ17" s="215">
        <f>SUMIFS('Expenditure Breakdown'!$U$6:$U$203, 'Expenditure Breakdown'!$T$6:$T$203, "&gt;="&amp;FJ1,'Expenditure Breakdown'!$T$6:$T$203, "&lt;"&amp;FK1)</f>
        <v>0</v>
      </c>
      <c r="FK17" s="215">
        <f>SUMIFS('Expenditure Breakdown'!$U$6:$U$203, 'Expenditure Breakdown'!$T$6:$T$203, "&gt;="&amp;FK1,'Expenditure Breakdown'!$T$6:$T$203, "&lt;"&amp;FL1)</f>
        <v>0</v>
      </c>
      <c r="FL17" s="215">
        <f>SUMIFS('Expenditure Breakdown'!$U$6:$U$203, 'Expenditure Breakdown'!$T$6:$T$203, "&gt;="&amp;FL1,'Expenditure Breakdown'!$T$6:$T$203, "&lt;"&amp;FM1)</f>
        <v>0</v>
      </c>
      <c r="FM17" s="215">
        <f>SUMIFS('Expenditure Breakdown'!$U$6:$U$203, 'Expenditure Breakdown'!$T$6:$T$203, "&gt;="&amp;FM1,'Expenditure Breakdown'!$T$6:$T$203, "&lt;"&amp;FN1)</f>
        <v>0</v>
      </c>
      <c r="FN17" s="215">
        <f>SUMIFS('Expenditure Breakdown'!$U$6:$U$203, 'Expenditure Breakdown'!$T$6:$T$203, "&gt;="&amp;FN1,'Expenditure Breakdown'!$T$6:$T$203, "&lt;"&amp;FO1)</f>
        <v>0</v>
      </c>
      <c r="FO17" s="215">
        <f>SUMIFS('Expenditure Breakdown'!$U$6:$U$203, 'Expenditure Breakdown'!$T$6:$T$203, "&gt;="&amp;FO1,'Expenditure Breakdown'!$T$6:$T$203, "&lt;"&amp;FP1)</f>
        <v>0</v>
      </c>
      <c r="FP17" s="215">
        <f>SUMIFS('Expenditure Breakdown'!$U$6:$U$203, 'Expenditure Breakdown'!$T$6:$T$203, "&gt;="&amp;FP1,'Expenditure Breakdown'!$T$6:$T$203, "&lt;"&amp;FQ1)</f>
        <v>0</v>
      </c>
      <c r="FQ17" s="215">
        <f>SUMIFS('Expenditure Breakdown'!$U$6:$U$203, 'Expenditure Breakdown'!$T$6:$T$203, "&gt;="&amp;FQ1,'Expenditure Breakdown'!$T$6:$T$203, "&lt;"&amp;FR1)</f>
        <v>0</v>
      </c>
      <c r="FR17" s="215">
        <f>SUMIFS('Expenditure Breakdown'!$U$6:$U$203, 'Expenditure Breakdown'!$T$6:$T$203, "&gt;="&amp;FR1,'Expenditure Breakdown'!$T$6:$T$203, "&lt;"&amp;FS1)</f>
        <v>0</v>
      </c>
      <c r="FS17" s="215">
        <f>SUMIFS('Expenditure Breakdown'!$U$6:$U$203, 'Expenditure Breakdown'!$T$6:$T$203, "&gt;="&amp;FS1,'Expenditure Breakdown'!$T$6:$T$203, "&lt;"&amp;FT1)</f>
        <v>0</v>
      </c>
      <c r="FT17" s="215">
        <f>SUMIFS('Expenditure Breakdown'!$U$6:$U$203, 'Expenditure Breakdown'!$T$6:$T$203, "&gt;="&amp;FT1,'Expenditure Breakdown'!$T$6:$T$203, "&lt;"&amp;FU1)</f>
        <v>0</v>
      </c>
      <c r="FU17" s="215">
        <f>SUMIFS('Expenditure Breakdown'!$U$6:$U$203, 'Expenditure Breakdown'!$T$6:$T$203, "&gt;="&amp;FU1,'Expenditure Breakdown'!$T$6:$T$203, "&lt;"&amp;FV1)</f>
        <v>0</v>
      </c>
      <c r="FV17" s="215">
        <f>SUMIFS('Expenditure Breakdown'!$U$6:$U$203, 'Expenditure Breakdown'!$T$6:$T$203, "&gt;="&amp;FV1,'Expenditure Breakdown'!$T$6:$T$203, "&lt;"&amp;FW1)</f>
        <v>0</v>
      </c>
      <c r="FW17" s="215">
        <f>SUMIFS('Expenditure Breakdown'!$U$6:$U$203, 'Expenditure Breakdown'!$T$6:$T$203, "&gt;="&amp;FW1,'Expenditure Breakdown'!$T$6:$T$203, "&lt;"&amp;FX1)</f>
        <v>0</v>
      </c>
      <c r="FX17" s="215">
        <f>SUMIFS('Expenditure Breakdown'!$U$6:$U$203, 'Expenditure Breakdown'!$T$6:$T$203, "&gt;="&amp;FX1,'Expenditure Breakdown'!$T$6:$T$203, "&lt;"&amp;FY1)</f>
        <v>0</v>
      </c>
      <c r="FY17" s="215">
        <f>SUMIFS('Expenditure Breakdown'!$U$6:$U$203, 'Expenditure Breakdown'!$T$6:$T$203, "&gt;="&amp;FY1,'Expenditure Breakdown'!$T$6:$T$203, "&lt;"&amp;FZ1)</f>
        <v>0</v>
      </c>
      <c r="FZ17" s="215">
        <f>SUMIFS('Expenditure Breakdown'!$U$6:$U$203, 'Expenditure Breakdown'!$T$6:$T$203, "&gt;="&amp;FZ1,'Expenditure Breakdown'!$T$6:$T$203, "&lt;"&amp;GA1)</f>
        <v>0</v>
      </c>
      <c r="GA17" s="215">
        <f>SUMIFS('Expenditure Breakdown'!$U$6:$U$203, 'Expenditure Breakdown'!$T$6:$T$203, "&gt;="&amp;GA1,'Expenditure Breakdown'!$T$6:$T$203, "&lt;"&amp;GB1)</f>
        <v>0</v>
      </c>
      <c r="GB17" s="215">
        <f>SUMIFS('Expenditure Breakdown'!$U$6:$U$203, 'Expenditure Breakdown'!$T$6:$T$203, "&gt;="&amp;GB1,'Expenditure Breakdown'!$T$6:$T$203, "&lt;"&amp;GC1)</f>
        <v>0</v>
      </c>
      <c r="GC17" s="215">
        <f>SUMIFS('Expenditure Breakdown'!$U$6:$U$203, 'Expenditure Breakdown'!$T$6:$T$203, "&gt;="&amp;GC1,'Expenditure Breakdown'!$T$6:$T$203, "&lt;"&amp;GD1)</f>
        <v>0</v>
      </c>
      <c r="GD17" s="215">
        <f>SUMIFS('Expenditure Breakdown'!$U$6:$U$203, 'Expenditure Breakdown'!$T$6:$T$203, "&gt;="&amp;GD1,'Expenditure Breakdown'!$T$6:$T$203, "&lt;"&amp;GE1)</f>
        <v>0</v>
      </c>
      <c r="GE17" s="215">
        <f>SUMIFS('Expenditure Breakdown'!$U$6:$U$203, 'Expenditure Breakdown'!$T$6:$T$203, "&gt;="&amp;GE1,'Expenditure Breakdown'!$T$6:$T$203, "&lt;"&amp;GF1)</f>
        <v>0</v>
      </c>
      <c r="GF17" s="215">
        <f>SUMIFS('Expenditure Breakdown'!$U$6:$U$203, 'Expenditure Breakdown'!$T$6:$T$203, "&gt;="&amp;GF1,'Expenditure Breakdown'!$T$6:$T$203, "&lt;"&amp;GG1)</f>
        <v>0</v>
      </c>
      <c r="GG17" s="215">
        <f>SUMIFS('Expenditure Breakdown'!$U$6:$U$203, 'Expenditure Breakdown'!$T$6:$T$203, "&gt;="&amp;GG1,'Expenditure Breakdown'!$T$6:$T$203, "&lt;"&amp;GH1)</f>
        <v>0</v>
      </c>
      <c r="GH17" s="215">
        <f>SUMIFS('Expenditure Breakdown'!$U$6:$U$203, 'Expenditure Breakdown'!$T$6:$T$203, "&gt;="&amp;GH1,'Expenditure Breakdown'!$T$6:$T$203, "&lt;"&amp;GI1)</f>
        <v>0</v>
      </c>
      <c r="GI17" s="215">
        <f>SUMIFS('Expenditure Breakdown'!$U$6:$U$203, 'Expenditure Breakdown'!$T$6:$T$203, "&gt;="&amp;GI1,'Expenditure Breakdown'!$T$6:$T$203, "&lt;"&amp;GJ1)</f>
        <v>0</v>
      </c>
      <c r="GJ17" s="215">
        <f>SUMIFS('Expenditure Breakdown'!$U$6:$U$203, 'Expenditure Breakdown'!$T$6:$T$203, "&gt;="&amp;GJ1,'Expenditure Breakdown'!$T$6:$T$203, "&lt;"&amp;GK1)</f>
        <v>0</v>
      </c>
      <c r="GK17" s="215">
        <f>SUMIFS('Expenditure Breakdown'!$U$6:$U$203, 'Expenditure Breakdown'!$T$6:$T$203, "&gt;="&amp;GK1,'Expenditure Breakdown'!$T$6:$T$203, "&lt;"&amp;GL1)</f>
        <v>0</v>
      </c>
      <c r="GL17" s="215">
        <f>SUMIFS('Expenditure Breakdown'!$U$6:$U$203, 'Expenditure Breakdown'!$T$6:$T$203, "&gt;="&amp;GL1,'Expenditure Breakdown'!$T$6:$T$203, "&lt;"&amp;GM1)</f>
        <v>0</v>
      </c>
      <c r="GM17" s="215">
        <f>SUMIFS('Expenditure Breakdown'!$U$6:$U$203, 'Expenditure Breakdown'!$T$6:$T$203, "&gt;="&amp;GM1,'Expenditure Breakdown'!$T$6:$T$203, "&lt;"&amp;GN1)</f>
        <v>0</v>
      </c>
      <c r="GN17" s="215">
        <f>SUMIFS('Expenditure Breakdown'!$U$6:$U$203, 'Expenditure Breakdown'!$T$6:$T$203, "&gt;="&amp;GN1,'Expenditure Breakdown'!$T$6:$T$203, "&lt;"&amp;GO1)</f>
        <v>0</v>
      </c>
      <c r="GO17" s="215">
        <f>SUMIFS('Expenditure Breakdown'!$U$6:$U$203, 'Expenditure Breakdown'!$T$6:$T$203, "&gt;="&amp;GO1,'Expenditure Breakdown'!$T$6:$T$203, "&lt;"&amp;GP1)</f>
        <v>0</v>
      </c>
      <c r="GP17" s="215">
        <f>SUMIFS('Expenditure Breakdown'!$U$6:$U$203, 'Expenditure Breakdown'!$T$6:$T$203, "&gt;="&amp;GP1,'Expenditure Breakdown'!$T$6:$T$203, "&lt;"&amp;GQ1)</f>
        <v>0</v>
      </c>
      <c r="GQ17" s="215">
        <f>SUMIFS('Expenditure Breakdown'!$U$6:$U$203, 'Expenditure Breakdown'!$T$6:$T$203, "&gt;="&amp;GQ1,'Expenditure Breakdown'!$T$6:$T$203, "&lt;"&amp;GR1)</f>
        <v>0</v>
      </c>
      <c r="GR17" s="215">
        <f>SUMIFS('Expenditure Breakdown'!$U$6:$U$203, 'Expenditure Breakdown'!$T$6:$T$203, "&gt;="&amp;GR1,'Expenditure Breakdown'!$T$6:$T$203, "&lt;"&amp;GS1)</f>
        <v>0</v>
      </c>
      <c r="GS17" s="215">
        <f>SUMIFS('Expenditure Breakdown'!$U$6:$U$203, 'Expenditure Breakdown'!$T$6:$T$203, "&gt;="&amp;GS1,'Expenditure Breakdown'!$T$6:$T$203, "&lt;"&amp;GT1)</f>
        <v>0</v>
      </c>
      <c r="GT17" s="215">
        <f>SUMIFS('Expenditure Breakdown'!$U$6:$U$203, 'Expenditure Breakdown'!$T$6:$T$203, "&gt;="&amp;GT1,'Expenditure Breakdown'!$T$6:$T$203, "&lt;"&amp;GU1)</f>
        <v>0</v>
      </c>
      <c r="GU17" s="215">
        <f>SUMIFS('Expenditure Breakdown'!$U$6:$U$203, 'Expenditure Breakdown'!$T$6:$T$203, "&gt;="&amp;GU1,'Expenditure Breakdown'!$T$6:$T$203, "&lt;"&amp;GV1)</f>
        <v>0</v>
      </c>
      <c r="GV17" s="215">
        <f>SUMIFS('Expenditure Breakdown'!$U$6:$U$203, 'Expenditure Breakdown'!$T$6:$T$203, "&gt;="&amp;GV1,'Expenditure Breakdown'!$T$6:$T$203, "&lt;"&amp;GW1)</f>
        <v>0</v>
      </c>
      <c r="GW17" s="215">
        <f>SUMIFS('Expenditure Breakdown'!$U$6:$U$203, 'Expenditure Breakdown'!$T$6:$T$203, "&gt;="&amp;GW1,'Expenditure Breakdown'!$T$6:$T$203, "&lt;"&amp;GX1)</f>
        <v>0</v>
      </c>
      <c r="GX17" s="215">
        <f>SUMIFS('Expenditure Breakdown'!$U$6:$U$203, 'Expenditure Breakdown'!$T$6:$T$203, "&gt;="&amp;GX1,'Expenditure Breakdown'!$T$6:$T$203, "&lt;"&amp;GY1)</f>
        <v>0</v>
      </c>
      <c r="GY17" s="215">
        <f>SUMIFS('Expenditure Breakdown'!$U$6:$U$203, 'Expenditure Breakdown'!$T$6:$T$203, "&gt;="&amp;GY1,'Expenditure Breakdown'!$T$6:$T$203, "&lt;"&amp;GZ1)</f>
        <v>0</v>
      </c>
      <c r="GZ17" s="215">
        <f>SUMIFS('Expenditure Breakdown'!$U$6:$U$203, 'Expenditure Breakdown'!$T$6:$T$203, "&gt;="&amp;GZ1,'Expenditure Breakdown'!$T$6:$T$203, "&lt;"&amp;HA1)</f>
        <v>0</v>
      </c>
      <c r="HA17" s="215">
        <f>SUMIFS('Expenditure Breakdown'!$U$6:$U$203, 'Expenditure Breakdown'!$T$6:$T$203, "&gt;="&amp;HA1,'Expenditure Breakdown'!$T$6:$T$203, "&lt;"&amp;HB1)</f>
        <v>0</v>
      </c>
      <c r="HB17" s="215">
        <f>SUMIFS('Expenditure Breakdown'!$U$6:$U$203, 'Expenditure Breakdown'!$T$6:$T$203, "&gt;="&amp;HB1,'Expenditure Breakdown'!$T$6:$T$203, "&lt;"&amp;HC1)</f>
        <v>0</v>
      </c>
      <c r="HC17" s="215">
        <f>SUMIFS('Expenditure Breakdown'!$U$6:$U$203, 'Expenditure Breakdown'!$T$6:$T$203, "&gt;="&amp;HC1,'Expenditure Breakdown'!$T$6:$T$203, "&lt;"&amp;HD1)</f>
        <v>0</v>
      </c>
      <c r="HD17" s="215">
        <f>SUMIFS('Expenditure Breakdown'!$U$6:$U$203, 'Expenditure Breakdown'!$T$6:$T$203, "&gt;="&amp;HD1,'Expenditure Breakdown'!$T$6:$T$203, "&lt;"&amp;HE1)</f>
        <v>0</v>
      </c>
      <c r="HE17" s="215">
        <f>SUMIFS('Expenditure Breakdown'!$U$6:$U$203, 'Expenditure Breakdown'!$T$6:$T$203, "&gt;="&amp;HE1,'Expenditure Breakdown'!$T$6:$T$203, "&lt;"&amp;HF1)</f>
        <v>0</v>
      </c>
      <c r="HF17" s="215">
        <f>SUMIFS('Expenditure Breakdown'!$U$6:$U$203, 'Expenditure Breakdown'!$T$6:$T$203, "&gt;="&amp;HF1,'Expenditure Breakdown'!$T$6:$T$203, "&lt;"&amp;HG1)</f>
        <v>0</v>
      </c>
      <c r="HG17" s="215">
        <f>SUMIFS('Expenditure Breakdown'!$U$6:$U$203, 'Expenditure Breakdown'!$T$6:$T$203, "&gt;="&amp;HG1,'Expenditure Breakdown'!$T$6:$T$203, "&lt;"&amp;HH1)</f>
        <v>0</v>
      </c>
      <c r="HH17" s="215">
        <f>SUMIFS('Expenditure Breakdown'!$U$6:$U$203, 'Expenditure Breakdown'!$T$6:$T$203, "&gt;="&amp;HH1,'Expenditure Breakdown'!$T$6:$T$203, "&lt;"&amp;HI1)</f>
        <v>0</v>
      </c>
      <c r="HI17" s="215">
        <f>SUMIFS('Expenditure Breakdown'!$U$6:$U$203, 'Expenditure Breakdown'!$T$6:$T$203, "&gt;="&amp;HI1,'Expenditure Breakdown'!$T$6:$T$203, "&lt;"&amp;HJ1)</f>
        <v>0</v>
      </c>
      <c r="HJ17" s="215">
        <f>SUMIFS('Expenditure Breakdown'!$U$6:$U$203, 'Expenditure Breakdown'!$T$6:$T$203, "&gt;="&amp;HJ1,'Expenditure Breakdown'!$T$6:$T$203, "&lt;"&amp;HK1)</f>
        <v>0</v>
      </c>
      <c r="HK17" s="215">
        <f>SUMIFS('Expenditure Breakdown'!$U$6:$U$203, 'Expenditure Breakdown'!$T$6:$T$203, "&gt;="&amp;HK1,'Expenditure Breakdown'!$T$6:$T$203, "&lt;"&amp;HL1)</f>
        <v>0</v>
      </c>
      <c r="HL17" s="215">
        <f>SUMIFS('Expenditure Breakdown'!$U$6:$U$203, 'Expenditure Breakdown'!$T$6:$T$203, "&gt;="&amp;HL1,'Expenditure Breakdown'!$T$6:$T$203, "&lt;"&amp;HM1)</f>
        <v>0</v>
      </c>
      <c r="HM17" s="215">
        <f>SUMIFS('Expenditure Breakdown'!$U$6:$U$203, 'Expenditure Breakdown'!$T$6:$T$203, "&gt;="&amp;HM1,'Expenditure Breakdown'!$T$6:$T$203, "&lt;"&amp;HN1)</f>
        <v>0</v>
      </c>
      <c r="HN17" s="215">
        <f>SUMIFS('Expenditure Breakdown'!$U$6:$U$203, 'Expenditure Breakdown'!$T$6:$T$203, "&gt;="&amp;HN1,'Expenditure Breakdown'!$T$6:$T$203, "&lt;"&amp;HO1)</f>
        <v>0</v>
      </c>
      <c r="HO17" s="215">
        <f>SUMIFS('Expenditure Breakdown'!$U$6:$U$203, 'Expenditure Breakdown'!$T$6:$T$203, "&gt;="&amp;HO1,'Expenditure Breakdown'!$T$6:$T$203, "&lt;"&amp;HP1)</f>
        <v>0</v>
      </c>
      <c r="HP17" s="215">
        <f>SUMIFS('Expenditure Breakdown'!$U$6:$U$203, 'Expenditure Breakdown'!$T$6:$T$203, "&gt;="&amp;HP1,'Expenditure Breakdown'!$T$6:$T$203, "&lt;"&amp;HQ1)</f>
        <v>0</v>
      </c>
      <c r="HQ17" s="215">
        <f>SUMIFS('Expenditure Breakdown'!$U$6:$U$203, 'Expenditure Breakdown'!$T$6:$T$203, "&gt;="&amp;HQ1,'Expenditure Breakdown'!$T$6:$T$203, "&lt;"&amp;HR1)</f>
        <v>0</v>
      </c>
      <c r="HR17" s="215">
        <f>SUMIFS('Expenditure Breakdown'!$U$6:$U$203, 'Expenditure Breakdown'!$T$6:$T$203, "&gt;="&amp;HR1,'Expenditure Breakdown'!$T$6:$T$203, "&lt;"&amp;HS1)</f>
        <v>0</v>
      </c>
      <c r="HS17" s="215">
        <f>SUMIFS('Expenditure Breakdown'!$U$6:$U$203, 'Expenditure Breakdown'!$T$6:$T$203, "&gt;="&amp;HS1,'Expenditure Breakdown'!$T$6:$T$203, "&lt;"&amp;HT1)</f>
        <v>0</v>
      </c>
      <c r="HT17" s="215">
        <f>SUMIFS('Expenditure Breakdown'!$U$6:$U$203, 'Expenditure Breakdown'!$T$6:$T$203, "&gt;="&amp;HT1,'Expenditure Breakdown'!$T$6:$T$203, "&lt;"&amp;HU1)</f>
        <v>0</v>
      </c>
      <c r="HU17" s="215">
        <f>SUMIFS('Expenditure Breakdown'!$U$6:$U$203, 'Expenditure Breakdown'!$T$6:$T$203, "&gt;="&amp;HU1,'Expenditure Breakdown'!$T$6:$T$203, "&lt;"&amp;HV1)</f>
        <v>0</v>
      </c>
      <c r="HV17" s="215">
        <f>SUMIFS('Expenditure Breakdown'!$U$6:$U$203, 'Expenditure Breakdown'!$T$6:$T$203, "&gt;="&amp;HV1,'Expenditure Breakdown'!$T$6:$T$203, "&lt;"&amp;HW1)</f>
        <v>0</v>
      </c>
      <c r="HW17" s="215">
        <f>SUMIFS('Expenditure Breakdown'!$U$6:$U$203, 'Expenditure Breakdown'!$T$6:$T$203, "&gt;="&amp;HW1,'Expenditure Breakdown'!$T$6:$T$203, "&lt;"&amp;HX1)</f>
        <v>0</v>
      </c>
      <c r="HX17" s="215">
        <f>SUMIFS('Expenditure Breakdown'!$U$6:$U$203, 'Expenditure Breakdown'!$T$6:$T$203, "&gt;="&amp;HX1,'Expenditure Breakdown'!$T$6:$T$203, "&lt;"&amp;HY1)</f>
        <v>0</v>
      </c>
      <c r="HY17" s="215">
        <f>SUMIFS('Expenditure Breakdown'!$U$6:$U$203, 'Expenditure Breakdown'!$T$6:$T$203, "&gt;="&amp;HY1,'Expenditure Breakdown'!$T$6:$T$203, "&lt;"&amp;HZ1)</f>
        <v>0</v>
      </c>
      <c r="HZ17" s="215">
        <f>SUMIFS('Expenditure Breakdown'!$U$6:$U$203, 'Expenditure Breakdown'!$T$6:$T$203, "&gt;="&amp;HZ1,'Expenditure Breakdown'!$T$6:$T$203, "&lt;"&amp;IA1)</f>
        <v>0</v>
      </c>
      <c r="IA17" s="215">
        <f>SUMIFS('Expenditure Breakdown'!$U$6:$U$203, 'Expenditure Breakdown'!$T$6:$T$203, "&gt;="&amp;IA1,'Expenditure Breakdown'!$T$6:$T$203, "&lt;"&amp;IB1)</f>
        <v>0</v>
      </c>
      <c r="IB17" s="215">
        <f>SUMIFS('Expenditure Breakdown'!$U$6:$U$203, 'Expenditure Breakdown'!$T$6:$T$203, "&gt;="&amp;IB1,'Expenditure Breakdown'!$T$6:$T$203, "&lt;"&amp;IC1)</f>
        <v>0</v>
      </c>
      <c r="IC17" s="215">
        <f>SUMIFS('Expenditure Breakdown'!$U$6:$U$203, 'Expenditure Breakdown'!$T$6:$T$203, "&gt;="&amp;IC1,'Expenditure Breakdown'!$T$6:$T$203, "&lt;"&amp;ID1)</f>
        <v>0</v>
      </c>
      <c r="ID17" s="215">
        <f>SUMIFS('Expenditure Breakdown'!$U$6:$U$203, 'Expenditure Breakdown'!$T$6:$T$203, "&gt;="&amp;ID1,'Expenditure Breakdown'!$T$6:$T$203, "&lt;"&amp;IE1)</f>
        <v>0</v>
      </c>
      <c r="IE17" s="215">
        <f>SUMIFS('Expenditure Breakdown'!$U$6:$U$203, 'Expenditure Breakdown'!$T$6:$T$203, "&gt;="&amp;IE1,'Expenditure Breakdown'!$T$6:$T$203, "&lt;"&amp;IF1)</f>
        <v>0</v>
      </c>
      <c r="IF17" s="215">
        <f>SUMIFS('Expenditure Breakdown'!$U$6:$U$203, 'Expenditure Breakdown'!$T$6:$T$203, "&gt;="&amp;IF1,'Expenditure Breakdown'!$T$6:$T$203, "&lt;"&amp;IG1)</f>
        <v>0</v>
      </c>
      <c r="IG17" s="215">
        <f>SUMIFS('Expenditure Breakdown'!$U$6:$U$203, 'Expenditure Breakdown'!$T$6:$T$203, "&gt;="&amp;IG1,'Expenditure Breakdown'!$T$6:$T$203, "&lt;"&amp;IH1)</f>
        <v>0</v>
      </c>
      <c r="IH17" s="215">
        <f>SUMIFS('Expenditure Breakdown'!$U$6:$U$203, 'Expenditure Breakdown'!$T$6:$T$203, "&gt;="&amp;IH1,'Expenditure Breakdown'!$T$6:$T$203, "&lt;"&amp;II1)</f>
        <v>0</v>
      </c>
      <c r="II17" s="215">
        <f>SUMIFS('Expenditure Breakdown'!$U$6:$U$203, 'Expenditure Breakdown'!$T$6:$T$203, "&gt;="&amp;II1,'Expenditure Breakdown'!$T$6:$T$203, "&lt;"&amp;IJ1)</f>
        <v>0</v>
      </c>
      <c r="IJ17" s="215">
        <f>SUMIFS('Expenditure Breakdown'!$U$6:$U$203, 'Expenditure Breakdown'!$T$6:$T$203, "&gt;="&amp;IJ1,'Expenditure Breakdown'!$T$6:$T$203, "&lt;"&amp;IK1)</f>
        <v>0</v>
      </c>
      <c r="IK17" s="215">
        <f>SUMIFS('Expenditure Breakdown'!$U$6:$U$203, 'Expenditure Breakdown'!$T$6:$T$203, "&gt;="&amp;IK1,'Expenditure Breakdown'!$T$6:$T$203, "&lt;"&amp;IL1)</f>
        <v>0</v>
      </c>
      <c r="IL17" s="215">
        <f>SUMIFS('Expenditure Breakdown'!$U$6:$U$203, 'Expenditure Breakdown'!$T$6:$T$203, "&gt;="&amp;IL1,'Expenditure Breakdown'!$T$6:$T$203, "&lt;"&amp;IM1)</f>
        <v>0</v>
      </c>
      <c r="IM17" s="215">
        <f>SUMIFS('Expenditure Breakdown'!$U$6:$U$203, 'Expenditure Breakdown'!$T$6:$T$203, "&gt;="&amp;IM1,'Expenditure Breakdown'!$T$6:$T$203, "&lt;"&amp;IN1)</f>
        <v>0</v>
      </c>
      <c r="IN17" s="215">
        <f>SUMIFS('Expenditure Breakdown'!$U$6:$U$203, 'Expenditure Breakdown'!$T$6:$T$203, "&gt;="&amp;IN1,'Expenditure Breakdown'!$T$6:$T$203, "&lt;"&amp;IO1)</f>
        <v>0</v>
      </c>
      <c r="IO17" s="215">
        <f>SUMIFS('Expenditure Breakdown'!$U$6:$U$203, 'Expenditure Breakdown'!$T$6:$T$203, "&gt;="&amp;IO1,'Expenditure Breakdown'!$T$6:$T$203, "&lt;"&amp;IP1)</f>
        <v>0</v>
      </c>
      <c r="IP17" s="215">
        <f>SUMIFS('Expenditure Breakdown'!$U$6:$U$203, 'Expenditure Breakdown'!$T$6:$T$203, "&gt;="&amp;IP1,'Expenditure Breakdown'!$T$6:$T$203, "&lt;"&amp;IQ1)</f>
        <v>0</v>
      </c>
      <c r="IQ17" s="215">
        <f>SUMIFS('Expenditure Breakdown'!$U$6:$U$203, 'Expenditure Breakdown'!$T$6:$T$203, "&gt;="&amp;IQ1,'Expenditure Breakdown'!$T$6:$T$203, "&lt;"&amp;IR1)</f>
        <v>0</v>
      </c>
      <c r="IR17" s="215">
        <f>SUMIFS('Expenditure Breakdown'!$U$6:$U$203, 'Expenditure Breakdown'!$T$6:$T$203, "&gt;="&amp;IR1,'Expenditure Breakdown'!$T$6:$T$203, "&lt;"&amp;IS1)</f>
        <v>0</v>
      </c>
      <c r="IS17" s="215">
        <f>SUMIFS('Expenditure Breakdown'!$U$6:$U$203, 'Expenditure Breakdown'!$T$6:$T$203, "&gt;="&amp;IS1,'Expenditure Breakdown'!$T$6:$T$203, "&lt;"&amp;IT1)</f>
        <v>0</v>
      </c>
      <c r="IT17" s="215">
        <f>SUMIFS('Expenditure Breakdown'!$U$6:$U$203, 'Expenditure Breakdown'!$T$6:$T$203, "&gt;="&amp;IT1,'Expenditure Breakdown'!$T$6:$T$203, "&lt;"&amp;IU1)</f>
        <v>0</v>
      </c>
      <c r="IU17" s="215">
        <f>SUMIFS('Expenditure Breakdown'!$U$6:$U$203, 'Expenditure Breakdown'!$T$6:$T$203, "&gt;="&amp;IU1,'Expenditure Breakdown'!$T$6:$T$203, "&lt;"&amp;IV1)</f>
        <v>0</v>
      </c>
      <c r="IV17" s="215">
        <f>SUMIFS('Expenditure Breakdown'!$U$6:$U$203, 'Expenditure Breakdown'!$T$6:$T$203, "&gt;="&amp;IV1,'Expenditure Breakdown'!$T$6:$T$203, "&lt;"&amp;IW1)</f>
        <v>0</v>
      </c>
      <c r="IW17" s="215">
        <f>SUMIFS('Expenditure Breakdown'!$U$6:$U$203, 'Expenditure Breakdown'!$T$6:$T$203, "&gt;="&amp;IW1,'Expenditure Breakdown'!$T$6:$T$203, "&lt;"&amp;IX1)</f>
        <v>0</v>
      </c>
      <c r="IX17" s="215">
        <f>SUMIFS('Expenditure Breakdown'!$U$6:$U$203, 'Expenditure Breakdown'!$T$6:$T$203, "&gt;="&amp;IX1,'Expenditure Breakdown'!$T$6:$T$203, "&lt;"&amp;IY1)</f>
        <v>0</v>
      </c>
      <c r="IY17" s="215">
        <f>SUMIFS('Expenditure Breakdown'!$U$6:$U$203, 'Expenditure Breakdown'!$T$6:$T$203, "&gt;="&amp;IY1,'Expenditure Breakdown'!$T$6:$T$203, "&lt;"&amp;IZ1)</f>
        <v>0</v>
      </c>
      <c r="IZ17" s="215">
        <f>SUMIFS('Expenditure Breakdown'!$U$6:$U$203, 'Expenditure Breakdown'!$T$6:$T$203, "&gt;="&amp;IZ1,'Expenditure Breakdown'!$T$6:$T$203, "&lt;"&amp;JA1)</f>
        <v>0</v>
      </c>
      <c r="JA17" s="215">
        <f>SUMIFS('Expenditure Breakdown'!$U$6:$U$203, 'Expenditure Breakdown'!$T$6:$T$203, "&gt;="&amp;JA1,'Expenditure Breakdown'!$T$6:$T$203, "&lt;"&amp;JB1)</f>
        <v>0</v>
      </c>
      <c r="JB17" s="215">
        <f>SUMIFS('Expenditure Breakdown'!$U$6:$U$203, 'Expenditure Breakdown'!$T$6:$T$203, "&gt;="&amp;JB1,'Expenditure Breakdown'!$T$6:$T$203, "&lt;"&amp;JC1)</f>
        <v>0</v>
      </c>
      <c r="JC17" s="215">
        <f>SUMIFS('Expenditure Breakdown'!$U$6:$U$203, 'Expenditure Breakdown'!$T$6:$T$203, "&gt;="&amp;JC1,'Expenditure Breakdown'!$T$6:$T$203, "&lt;"&amp;JD1)</f>
        <v>0</v>
      </c>
      <c r="JD17" s="215">
        <f>SUMIFS('Expenditure Breakdown'!$U$6:$U$203, 'Expenditure Breakdown'!$T$6:$T$203, "&gt;="&amp;JD1,'Expenditure Breakdown'!$T$6:$T$203, "&lt;"&amp;JE1)</f>
        <v>0</v>
      </c>
      <c r="JE17" s="215">
        <f>SUMIFS('Expenditure Breakdown'!$U$6:$U$203, 'Expenditure Breakdown'!$T$6:$T$203, "&gt;="&amp;JE1,'Expenditure Breakdown'!$T$6:$T$203, "&lt;"&amp;JF1)</f>
        <v>0</v>
      </c>
      <c r="JF17" s="215">
        <f>SUMIFS('Expenditure Breakdown'!$U$6:$U$203, 'Expenditure Breakdown'!$T$6:$T$203, "&gt;="&amp;JF1,'Expenditure Breakdown'!$T$6:$T$203, "&lt;"&amp;JG1)</f>
        <v>0</v>
      </c>
      <c r="JG17" s="215">
        <f>SUMIFS('Expenditure Breakdown'!$U$6:$U$203, 'Expenditure Breakdown'!$T$6:$T$203, "&gt;="&amp;JG1,'Expenditure Breakdown'!$T$6:$T$203, "&lt;"&amp;JH1)</f>
        <v>0</v>
      </c>
      <c r="JH17" s="215">
        <f>SUMIFS('Expenditure Breakdown'!$U$6:$U$203, 'Expenditure Breakdown'!$T$6:$T$203, "&gt;="&amp;JH1,'Expenditure Breakdown'!$T$6:$T$203, "&lt;"&amp;JI1)</f>
        <v>0</v>
      </c>
      <c r="JI17" s="215">
        <f>SUMIFS('Expenditure Breakdown'!$U$6:$U$203, 'Expenditure Breakdown'!$T$6:$T$203, "&gt;="&amp;JI1,'Expenditure Breakdown'!$T$6:$T$203, "&lt;"&amp;JJ1)</f>
        <v>0</v>
      </c>
      <c r="JJ17" s="215">
        <f>SUMIFS('Expenditure Breakdown'!$U$6:$U$203, 'Expenditure Breakdown'!$T$6:$T$203, "&gt;="&amp;JJ1,'Expenditure Breakdown'!$T$6:$T$203, "&lt;"&amp;JK1)</f>
        <v>0</v>
      </c>
      <c r="JK17" s="215">
        <f>SUMIFS('Expenditure Breakdown'!$U$6:$U$203, 'Expenditure Breakdown'!$T$6:$T$203, "&gt;="&amp;JK1,'Expenditure Breakdown'!$T$6:$T$203, "&lt;"&amp;JL1)</f>
        <v>0</v>
      </c>
      <c r="JL17" s="215">
        <f>SUMIFS('Expenditure Breakdown'!$U$6:$U$203, 'Expenditure Breakdown'!$T$6:$T$203, "&gt;="&amp;JL1,'Expenditure Breakdown'!$T$6:$T$203, "&lt;"&amp;JM1)</f>
        <v>0</v>
      </c>
      <c r="JM17" s="215">
        <f>SUMIFS('Expenditure Breakdown'!$U$6:$U$203, 'Expenditure Breakdown'!$T$6:$T$203, "&gt;="&amp;JM1,'Expenditure Breakdown'!$T$6:$T$203, "&lt;"&amp;JN1)</f>
        <v>0</v>
      </c>
      <c r="JN17" s="215">
        <f>SUMIFS('Expenditure Breakdown'!$U$6:$U$203, 'Expenditure Breakdown'!$T$6:$T$203, "&gt;="&amp;JN1,'Expenditure Breakdown'!$T$6:$T$203, "&lt;"&amp;JO1)</f>
        <v>0</v>
      </c>
      <c r="JO17" s="215">
        <f>SUMIFS('Expenditure Breakdown'!$U$6:$U$203, 'Expenditure Breakdown'!$T$6:$T$203, "&gt;="&amp;JO1,'Expenditure Breakdown'!$T$6:$T$203, "&lt;"&amp;JP1)</f>
        <v>0</v>
      </c>
      <c r="JP17" s="215">
        <f>SUMIFS('Expenditure Breakdown'!$U$6:$U$203, 'Expenditure Breakdown'!$T$6:$T$203, "&gt;="&amp;JP1,'Expenditure Breakdown'!$T$6:$T$203, "&lt;"&amp;JQ1)</f>
        <v>0</v>
      </c>
      <c r="JQ17" s="215">
        <f>SUMIFS('Expenditure Breakdown'!$U$6:$U$203, 'Expenditure Breakdown'!$T$6:$T$203, "&gt;="&amp;JQ1,'Expenditure Breakdown'!$T$6:$T$203, "&lt;"&amp;JR1)</f>
        <v>0</v>
      </c>
      <c r="JR17" s="215">
        <f>SUMIFS('Expenditure Breakdown'!$U$6:$U$203, 'Expenditure Breakdown'!$T$6:$T$203, "&gt;="&amp;JR1,'Expenditure Breakdown'!$T$6:$T$203, "&lt;"&amp;JS1)</f>
        <v>0</v>
      </c>
      <c r="JS17" s="215">
        <f>SUMIFS('Expenditure Breakdown'!$U$6:$U$203, 'Expenditure Breakdown'!$T$6:$T$203, "&gt;="&amp;JS1,'Expenditure Breakdown'!$T$6:$T$203, "&lt;"&amp;JT1)</f>
        <v>0</v>
      </c>
      <c r="JT17" s="215">
        <f>SUMIFS('Expenditure Breakdown'!$U$6:$U$203, 'Expenditure Breakdown'!$T$6:$T$203, "&gt;="&amp;JT1,'Expenditure Breakdown'!$T$6:$T$203, "&lt;"&amp;JU1)</f>
        <v>0</v>
      </c>
      <c r="JU17" s="215">
        <f>SUMIFS('Expenditure Breakdown'!$U$6:$U$203, 'Expenditure Breakdown'!$T$6:$T$203, "&gt;="&amp;JU1,'Expenditure Breakdown'!$T$6:$T$203, "&lt;"&amp;JV1)</f>
        <v>0</v>
      </c>
      <c r="JV17" s="215">
        <f>SUMIFS('Expenditure Breakdown'!$U$6:$U$203, 'Expenditure Breakdown'!$T$6:$T$203, "&gt;="&amp;JV1,'Expenditure Breakdown'!$T$6:$T$203, "&lt;"&amp;JW1)</f>
        <v>0</v>
      </c>
      <c r="JW17" s="215">
        <f>SUMIFS('Expenditure Breakdown'!$U$6:$U$203, 'Expenditure Breakdown'!$T$6:$T$203, "&gt;="&amp;JW1,'Expenditure Breakdown'!$T$6:$T$203, "&lt;"&amp;JX1)</f>
        <v>0</v>
      </c>
      <c r="JX17" s="215">
        <f>SUMIFS('Expenditure Breakdown'!$U$6:$U$203, 'Expenditure Breakdown'!$T$6:$T$203, "&gt;="&amp;JX1,'Expenditure Breakdown'!$T$6:$T$203, "&lt;"&amp;JY1)</f>
        <v>0</v>
      </c>
      <c r="JY17" s="215">
        <f>SUMIFS('Expenditure Breakdown'!$U$6:$U$203, 'Expenditure Breakdown'!$T$6:$T$203, "&gt;="&amp;JY1,'Expenditure Breakdown'!$T$6:$T$203, "&lt;"&amp;JZ1)</f>
        <v>0</v>
      </c>
      <c r="JZ17" s="215">
        <f>SUMIFS('Expenditure Breakdown'!$U$6:$U$203, 'Expenditure Breakdown'!$T$6:$T$203, "&gt;="&amp;JZ1,'Expenditure Breakdown'!$T$6:$T$203, "&lt;"&amp;KA1)</f>
        <v>0</v>
      </c>
      <c r="KA17" s="215">
        <f>SUMIFS('Expenditure Breakdown'!$U$6:$U$203, 'Expenditure Breakdown'!$T$6:$T$203, "&gt;="&amp;KA1,'Expenditure Breakdown'!$T$6:$T$203, "&lt;"&amp;KB1)</f>
        <v>0</v>
      </c>
      <c r="KB17" s="215">
        <f>SUMIFS('Expenditure Breakdown'!$U$6:$U$203, 'Expenditure Breakdown'!$T$6:$T$203, "&gt;="&amp;KB1,'Expenditure Breakdown'!$T$6:$T$203, "&lt;"&amp;KC1)</f>
        <v>0</v>
      </c>
      <c r="KC17" s="215">
        <f>SUMIFS('Expenditure Breakdown'!$U$6:$U$203, 'Expenditure Breakdown'!$T$6:$T$203, "&gt;="&amp;KC1,'Expenditure Breakdown'!$T$6:$T$203, "&lt;"&amp;KD1)</f>
        <v>0</v>
      </c>
      <c r="KD17" s="215">
        <f>SUMIFS('Expenditure Breakdown'!$U$6:$U$203, 'Expenditure Breakdown'!$T$6:$T$203, "&gt;="&amp;KD1,'Expenditure Breakdown'!$T$6:$T$203, "&lt;"&amp;KE1)</f>
        <v>0</v>
      </c>
      <c r="KE17" s="215">
        <f>SUMIFS('Expenditure Breakdown'!$U$6:$U$203, 'Expenditure Breakdown'!$T$6:$T$203, "&gt;="&amp;KE1,'Expenditure Breakdown'!$T$6:$T$203, "&lt;"&amp;KF1)</f>
        <v>0</v>
      </c>
      <c r="KF17" s="215">
        <f>SUMIFS('Expenditure Breakdown'!$U$6:$U$203, 'Expenditure Breakdown'!$T$6:$T$203, "&gt;="&amp;KF1,'Expenditure Breakdown'!$T$6:$T$203, "&lt;"&amp;KG1)</f>
        <v>0</v>
      </c>
      <c r="KG17" s="215">
        <f>SUMIFS('Expenditure Breakdown'!$U$6:$U$203, 'Expenditure Breakdown'!$T$6:$T$203, "&gt;="&amp;KG1,'Expenditure Breakdown'!$T$6:$T$203, "&lt;"&amp;KH1)</f>
        <v>0</v>
      </c>
      <c r="KH17" s="215">
        <f>SUMIFS('Expenditure Breakdown'!$U$6:$U$203, 'Expenditure Breakdown'!$T$6:$T$203, "&gt;="&amp;KH1,'Expenditure Breakdown'!$T$6:$T$203, "&lt;"&amp;KI1)</f>
        <v>0</v>
      </c>
      <c r="KI17" s="215">
        <f>SUMIFS('Expenditure Breakdown'!$U$6:$U$203, 'Expenditure Breakdown'!$T$6:$T$203, "&gt;="&amp;KI1,'Expenditure Breakdown'!$T$6:$T$203, "&lt;"&amp;KJ1)</f>
        <v>0</v>
      </c>
      <c r="KJ17" s="215">
        <f>SUMIFS('Expenditure Breakdown'!$U$6:$U$203, 'Expenditure Breakdown'!$T$6:$T$203, "&gt;="&amp;KJ1,'Expenditure Breakdown'!$T$6:$T$203, "&lt;"&amp;KK1)</f>
        <v>0</v>
      </c>
      <c r="KK17" s="215">
        <f>SUMIFS('Expenditure Breakdown'!$U$6:$U$203, 'Expenditure Breakdown'!$T$6:$T$203, "&gt;="&amp;KK1,'Expenditure Breakdown'!$T$6:$T$203, "&lt;"&amp;KL1)</f>
        <v>0</v>
      </c>
      <c r="KL17" s="215">
        <f>SUMIFS('Expenditure Breakdown'!$U$6:$U$203, 'Expenditure Breakdown'!$T$6:$T$203, "&gt;="&amp;KL1,'Expenditure Breakdown'!$T$6:$T$203, "&lt;"&amp;KM1)</f>
        <v>0</v>
      </c>
      <c r="KM17" s="215">
        <f>SUMIFS('Expenditure Breakdown'!$U$6:$U$203, 'Expenditure Breakdown'!$T$6:$T$203, "&gt;="&amp;KM1,'Expenditure Breakdown'!$T$6:$T$203, "&lt;"&amp;KN1)</f>
        <v>0</v>
      </c>
      <c r="KN17" s="215">
        <f>SUMIFS('Expenditure Breakdown'!$U$6:$U$203, 'Expenditure Breakdown'!$T$6:$T$203, "&gt;="&amp;KN1,'Expenditure Breakdown'!$T$6:$T$203, "&lt;"&amp;KO1)</f>
        <v>0</v>
      </c>
      <c r="KO17" s="215">
        <f>SUMIFS('Expenditure Breakdown'!$U$6:$U$203, 'Expenditure Breakdown'!$T$6:$T$203, "&gt;="&amp;KO1,'Expenditure Breakdown'!$T$6:$T$203, "&lt;"&amp;KP1)</f>
        <v>0</v>
      </c>
      <c r="KP17" s="215">
        <f>SUMIFS('Expenditure Breakdown'!$U$6:$U$203, 'Expenditure Breakdown'!$T$6:$T$203, "&gt;="&amp;KP1,'Expenditure Breakdown'!$T$6:$T$203, "&lt;"&amp;KQ1)</f>
        <v>0</v>
      </c>
      <c r="KQ17" s="215">
        <f>SUMIFS('Expenditure Breakdown'!$U$6:$U$203, 'Expenditure Breakdown'!$T$6:$T$203, "&gt;="&amp;KQ1,'Expenditure Breakdown'!$T$6:$T$203, "&lt;"&amp;KR1)</f>
        <v>0</v>
      </c>
      <c r="KR17" s="215">
        <f>SUMIFS('Expenditure Breakdown'!$U$6:$U$203, 'Expenditure Breakdown'!$T$6:$T$203, "&gt;="&amp;KR1,'Expenditure Breakdown'!$T$6:$T$203, "&lt;"&amp;KS1)</f>
        <v>0</v>
      </c>
      <c r="KS17" s="215">
        <f>SUMIFS('Expenditure Breakdown'!$U$6:$U$203, 'Expenditure Breakdown'!$T$6:$T$203, "&gt;="&amp;KS1,'Expenditure Breakdown'!$T$6:$T$203, "&lt;"&amp;KT1)</f>
        <v>0</v>
      </c>
      <c r="KT17" s="215">
        <f>SUMIFS('Expenditure Breakdown'!$U$6:$U$203, 'Expenditure Breakdown'!$T$6:$T$203, "&gt;="&amp;KT1,'Expenditure Breakdown'!$T$6:$T$203, "&lt;"&amp;KU1)</f>
        <v>0</v>
      </c>
      <c r="KU17" s="215">
        <f>SUMIFS('Expenditure Breakdown'!$U$6:$U$203, 'Expenditure Breakdown'!$T$6:$T$203, "&gt;="&amp;KU1,'Expenditure Breakdown'!$T$6:$T$203, "&lt;"&amp;KV1)</f>
        <v>0</v>
      </c>
      <c r="KV17" s="215">
        <f>SUMIFS('Expenditure Breakdown'!$U$6:$U$203, 'Expenditure Breakdown'!$T$6:$T$203, "&gt;="&amp;KV1,'Expenditure Breakdown'!$T$6:$T$203, "&lt;"&amp;KW1)</f>
        <v>0</v>
      </c>
      <c r="KW17" s="215">
        <f>SUMIFS('Expenditure Breakdown'!$U$6:$U$203, 'Expenditure Breakdown'!$T$6:$T$203, "&gt;="&amp;KW1,'Expenditure Breakdown'!$T$6:$T$203, "&lt;"&amp;KX1)</f>
        <v>0</v>
      </c>
      <c r="KX17" s="215">
        <f>SUMIFS('Expenditure Breakdown'!$U$6:$U$203, 'Expenditure Breakdown'!$T$6:$T$203, "&gt;="&amp;KX1,'Expenditure Breakdown'!$T$6:$T$203, "&lt;"&amp;KY1)</f>
        <v>0</v>
      </c>
      <c r="KY17" s="215">
        <f>SUMIFS('Expenditure Breakdown'!$U$6:$U$203, 'Expenditure Breakdown'!$T$6:$T$203, "&gt;="&amp;KY1,'Expenditure Breakdown'!$T$6:$T$203, "&lt;"&amp;KZ1)</f>
        <v>0</v>
      </c>
      <c r="KZ17" s="215">
        <f>SUMIFS('Expenditure Breakdown'!$U$6:$U$203, 'Expenditure Breakdown'!$T$6:$T$203, "&gt;="&amp;KZ1,'Expenditure Breakdown'!$T$6:$T$203, "&lt;"&amp;LA1)</f>
        <v>0</v>
      </c>
      <c r="LA17" s="215">
        <f>SUMIFS('Expenditure Breakdown'!$U$6:$U$203, 'Expenditure Breakdown'!$T$6:$T$203, "&gt;="&amp;LA1,'Expenditure Breakdown'!$T$6:$T$203, "&lt;"&amp;LB1)</f>
        <v>0</v>
      </c>
      <c r="LB17" s="215">
        <f>SUMIFS('Expenditure Breakdown'!$U$6:$U$203, 'Expenditure Breakdown'!$T$6:$T$203, "&gt;="&amp;LB1,'Expenditure Breakdown'!$T$6:$T$203, "&lt;"&amp;LC1)</f>
        <v>0</v>
      </c>
      <c r="LC17" s="215">
        <f>SUMIFS('Expenditure Breakdown'!$U$6:$U$203, 'Expenditure Breakdown'!$T$6:$T$203, "&gt;="&amp;LC1,'Expenditure Breakdown'!$T$6:$T$203, "&lt;"&amp;LD1)</f>
        <v>0</v>
      </c>
      <c r="LD17" s="215">
        <f>SUMIFS('Expenditure Breakdown'!$U$6:$U$203, 'Expenditure Breakdown'!$T$6:$T$203, "&gt;="&amp;LD1,'Expenditure Breakdown'!$T$6:$T$203, "&lt;"&amp;#REF!)</f>
        <v>0</v>
      </c>
    </row>
    <row r="18" spans="1:316">
      <c r="A18" s="843"/>
      <c r="B18" s="196" t="s">
        <v>586</v>
      </c>
      <c r="C18" s="374">
        <f>D17-D18</f>
        <v>0</v>
      </c>
      <c r="D18" s="197">
        <f>MAX(F18:LD18)</f>
        <v>10428344.308867402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9203563.8121947404</v>
      </c>
      <c r="BL18" s="215">
        <f t="shared" si="37"/>
        <v>9203563.8121947404</v>
      </c>
      <c r="BM18" s="215">
        <f t="shared" si="37"/>
        <v>9203563.8121947404</v>
      </c>
      <c r="BN18" s="215">
        <f t="shared" si="37"/>
        <v>9203563.8121947404</v>
      </c>
      <c r="BO18" s="215">
        <f t="shared" si="37"/>
        <v>9203563.8121947404</v>
      </c>
      <c r="BP18" s="215">
        <f t="shared" si="37"/>
        <v>9823625.4100906346</v>
      </c>
      <c r="BQ18" s="215">
        <f t="shared" si="37"/>
        <v>9823625.4100906346</v>
      </c>
      <c r="BR18" s="215">
        <f t="shared" si="37"/>
        <v>9823625.4100906346</v>
      </c>
      <c r="BS18" s="215">
        <f t="shared" si="37"/>
        <v>9823625.4100906346</v>
      </c>
      <c r="BT18" s="215">
        <f t="shared" si="37"/>
        <v>10428344.308867402</v>
      </c>
      <c r="BU18" s="215">
        <f t="shared" ref="BU18:EF18" si="38">BT18+BU17</f>
        <v>10428344.308867402</v>
      </c>
      <c r="BV18" s="215">
        <f t="shared" si="38"/>
        <v>10428344.308867402</v>
      </c>
      <c r="BW18" s="215">
        <f t="shared" si="38"/>
        <v>10428344.308867402</v>
      </c>
      <c r="BX18" s="215">
        <f t="shared" si="38"/>
        <v>10428344.308867402</v>
      </c>
      <c r="BY18" s="215">
        <f t="shared" si="38"/>
        <v>10428344.308867402</v>
      </c>
      <c r="BZ18" s="215">
        <f t="shared" si="38"/>
        <v>10428344.308867402</v>
      </c>
      <c r="CA18" s="215">
        <f t="shared" si="38"/>
        <v>10428344.308867402</v>
      </c>
      <c r="CB18" s="215">
        <f t="shared" si="38"/>
        <v>10428344.308867402</v>
      </c>
      <c r="CC18" s="215">
        <f t="shared" si="38"/>
        <v>10428344.308867402</v>
      </c>
      <c r="CD18" s="215">
        <f t="shared" si="38"/>
        <v>10428344.308867402</v>
      </c>
      <c r="CE18" s="215">
        <f t="shared" si="38"/>
        <v>10428344.308867402</v>
      </c>
      <c r="CF18" s="215">
        <f t="shared" si="38"/>
        <v>10428344.308867402</v>
      </c>
      <c r="CG18" s="215">
        <f t="shared" si="38"/>
        <v>10428344.308867402</v>
      </c>
      <c r="CH18" s="215">
        <f t="shared" si="38"/>
        <v>10428344.308867402</v>
      </c>
      <c r="CI18" s="215">
        <f t="shared" si="38"/>
        <v>10428344.308867402</v>
      </c>
      <c r="CJ18" s="215">
        <f t="shared" si="38"/>
        <v>10428344.308867402</v>
      </c>
      <c r="CK18" s="215">
        <f t="shared" si="38"/>
        <v>10428344.308867402</v>
      </c>
      <c r="CL18" s="215">
        <f t="shared" si="38"/>
        <v>10428344.308867402</v>
      </c>
      <c r="CM18" s="215">
        <f t="shared" si="38"/>
        <v>10428344.308867402</v>
      </c>
      <c r="CN18" s="215">
        <f t="shared" si="38"/>
        <v>10428344.308867402</v>
      </c>
      <c r="CO18" s="215">
        <f t="shared" si="38"/>
        <v>10428344.308867402</v>
      </c>
      <c r="CP18" s="215">
        <f t="shared" si="38"/>
        <v>10428344.308867402</v>
      </c>
      <c r="CQ18" s="215">
        <f t="shared" si="38"/>
        <v>10428344.308867402</v>
      </c>
      <c r="CR18" s="215">
        <f t="shared" si="38"/>
        <v>10428344.308867402</v>
      </c>
      <c r="CS18" s="215">
        <f t="shared" si="38"/>
        <v>10428344.308867402</v>
      </c>
      <c r="CT18" s="215">
        <f t="shared" si="38"/>
        <v>10428344.308867402</v>
      </c>
      <c r="CU18" s="215">
        <f t="shared" si="38"/>
        <v>10428344.308867402</v>
      </c>
      <c r="CV18" s="215">
        <f t="shared" si="38"/>
        <v>10428344.308867402</v>
      </c>
      <c r="CW18" s="215">
        <f t="shared" si="38"/>
        <v>10428344.308867402</v>
      </c>
      <c r="CX18" s="215">
        <f t="shared" si="38"/>
        <v>10428344.308867402</v>
      </c>
      <c r="CY18" s="215">
        <f t="shared" si="38"/>
        <v>10428344.308867402</v>
      </c>
      <c r="CZ18" s="215">
        <f t="shared" si="38"/>
        <v>10428344.308867402</v>
      </c>
      <c r="DA18" s="215">
        <f t="shared" si="38"/>
        <v>10428344.308867402</v>
      </c>
      <c r="DB18" s="215">
        <f t="shared" si="38"/>
        <v>10428344.308867402</v>
      </c>
      <c r="DC18" s="215">
        <f t="shared" si="38"/>
        <v>10428344.308867402</v>
      </c>
      <c r="DD18" s="215">
        <f t="shared" si="38"/>
        <v>10428344.308867402</v>
      </c>
      <c r="DE18" s="215">
        <f t="shared" si="38"/>
        <v>10428344.308867402</v>
      </c>
      <c r="DF18" s="215">
        <f t="shared" si="38"/>
        <v>10428344.308867402</v>
      </c>
      <c r="DG18" s="215">
        <f t="shared" si="38"/>
        <v>10428344.308867402</v>
      </c>
      <c r="DH18" s="215">
        <f t="shared" si="38"/>
        <v>10428344.308867402</v>
      </c>
      <c r="DI18" s="215">
        <f t="shared" si="38"/>
        <v>10428344.308867402</v>
      </c>
      <c r="DJ18" s="215">
        <f t="shared" si="38"/>
        <v>10428344.308867402</v>
      </c>
      <c r="DK18" s="215">
        <f t="shared" si="38"/>
        <v>10428344.308867402</v>
      </c>
      <c r="DL18" s="215">
        <f t="shared" si="38"/>
        <v>10428344.308867402</v>
      </c>
      <c r="DM18" s="215">
        <f t="shared" si="38"/>
        <v>10428344.308867402</v>
      </c>
      <c r="DN18" s="215">
        <f t="shared" si="38"/>
        <v>10428344.308867402</v>
      </c>
      <c r="DO18" s="215">
        <f t="shared" si="38"/>
        <v>10428344.308867402</v>
      </c>
      <c r="DP18" s="215">
        <f t="shared" si="38"/>
        <v>10428344.308867402</v>
      </c>
      <c r="DQ18" s="215">
        <f t="shared" si="38"/>
        <v>10428344.308867402</v>
      </c>
      <c r="DR18" s="215">
        <f t="shared" si="38"/>
        <v>10428344.308867402</v>
      </c>
      <c r="DS18" s="215">
        <f t="shared" si="38"/>
        <v>10428344.308867402</v>
      </c>
      <c r="DT18" s="215">
        <f t="shared" si="38"/>
        <v>10428344.308867402</v>
      </c>
      <c r="DU18" s="215">
        <f t="shared" si="38"/>
        <v>10428344.308867402</v>
      </c>
      <c r="DV18" s="215">
        <f t="shared" si="38"/>
        <v>10428344.308867402</v>
      </c>
      <c r="DW18" s="215">
        <f t="shared" si="38"/>
        <v>10428344.308867402</v>
      </c>
      <c r="DX18" s="215">
        <f t="shared" si="38"/>
        <v>10428344.308867402</v>
      </c>
      <c r="DY18" s="215">
        <f t="shared" si="38"/>
        <v>10428344.308867402</v>
      </c>
      <c r="DZ18" s="215">
        <f t="shared" si="38"/>
        <v>10428344.308867402</v>
      </c>
      <c r="EA18" s="215">
        <f t="shared" si="38"/>
        <v>10428344.308867402</v>
      </c>
      <c r="EB18" s="215">
        <f t="shared" si="38"/>
        <v>10428344.308867402</v>
      </c>
      <c r="EC18" s="215">
        <f t="shared" si="38"/>
        <v>10428344.308867402</v>
      </c>
      <c r="ED18" s="215">
        <f t="shared" si="38"/>
        <v>10428344.308867402</v>
      </c>
      <c r="EE18" s="215">
        <f t="shared" si="38"/>
        <v>10428344.308867402</v>
      </c>
      <c r="EF18" s="215">
        <f t="shared" si="38"/>
        <v>10428344.308867402</v>
      </c>
      <c r="EG18" s="215">
        <f t="shared" ref="EG18:GR18" si="39">EF18+EG17</f>
        <v>10428344.308867402</v>
      </c>
      <c r="EH18" s="215">
        <f t="shared" si="39"/>
        <v>10428344.308867402</v>
      </c>
      <c r="EI18" s="215">
        <f t="shared" si="39"/>
        <v>10428344.308867402</v>
      </c>
      <c r="EJ18" s="215">
        <f t="shared" si="39"/>
        <v>10428344.308867402</v>
      </c>
      <c r="EK18" s="215">
        <f t="shared" si="39"/>
        <v>10428344.308867402</v>
      </c>
      <c r="EL18" s="215">
        <f t="shared" si="39"/>
        <v>10428344.308867402</v>
      </c>
      <c r="EM18" s="215">
        <f t="shared" si="39"/>
        <v>10428344.308867402</v>
      </c>
      <c r="EN18" s="215">
        <f t="shared" si="39"/>
        <v>10428344.308867402</v>
      </c>
      <c r="EO18" s="215">
        <f t="shared" si="39"/>
        <v>10428344.308867402</v>
      </c>
      <c r="EP18" s="215">
        <f t="shared" si="39"/>
        <v>10428344.308867402</v>
      </c>
      <c r="EQ18" s="215">
        <f t="shared" si="39"/>
        <v>10428344.308867402</v>
      </c>
      <c r="ER18" s="215">
        <f t="shared" si="39"/>
        <v>10428344.308867402</v>
      </c>
      <c r="ES18" s="215">
        <f t="shared" si="39"/>
        <v>10428344.308867402</v>
      </c>
      <c r="ET18" s="215">
        <f t="shared" si="39"/>
        <v>10428344.308867402</v>
      </c>
      <c r="EU18" s="215">
        <f t="shared" si="39"/>
        <v>10428344.308867402</v>
      </c>
      <c r="EV18" s="215">
        <f t="shared" si="39"/>
        <v>10428344.308867402</v>
      </c>
      <c r="EW18" s="215">
        <f t="shared" si="39"/>
        <v>10428344.308867402</v>
      </c>
      <c r="EX18" s="215">
        <f t="shared" si="39"/>
        <v>10428344.308867402</v>
      </c>
      <c r="EY18" s="215">
        <f t="shared" si="39"/>
        <v>10428344.308867402</v>
      </c>
      <c r="EZ18" s="215">
        <f t="shared" si="39"/>
        <v>10428344.308867402</v>
      </c>
      <c r="FA18" s="215">
        <f t="shared" si="39"/>
        <v>10428344.308867402</v>
      </c>
      <c r="FB18" s="215">
        <f t="shared" si="39"/>
        <v>10428344.308867402</v>
      </c>
      <c r="FC18" s="215">
        <f t="shared" si="39"/>
        <v>10428344.308867402</v>
      </c>
      <c r="FD18" s="215">
        <f t="shared" si="39"/>
        <v>10428344.308867402</v>
      </c>
      <c r="FE18" s="215">
        <f t="shared" si="39"/>
        <v>10428344.308867402</v>
      </c>
      <c r="FF18" s="215">
        <f t="shared" si="39"/>
        <v>10428344.308867402</v>
      </c>
      <c r="FG18" s="215">
        <f t="shared" si="39"/>
        <v>10428344.308867402</v>
      </c>
      <c r="FH18" s="215">
        <f t="shared" si="39"/>
        <v>10428344.308867402</v>
      </c>
      <c r="FI18" s="215">
        <f t="shared" si="39"/>
        <v>10428344.308867402</v>
      </c>
      <c r="FJ18" s="215">
        <f t="shared" si="39"/>
        <v>10428344.308867402</v>
      </c>
      <c r="FK18" s="215">
        <f t="shared" si="39"/>
        <v>10428344.308867402</v>
      </c>
      <c r="FL18" s="215">
        <f t="shared" si="39"/>
        <v>10428344.308867402</v>
      </c>
      <c r="FM18" s="215">
        <f t="shared" si="39"/>
        <v>10428344.308867402</v>
      </c>
      <c r="FN18" s="215">
        <f t="shared" si="39"/>
        <v>10428344.308867402</v>
      </c>
      <c r="FO18" s="215">
        <f t="shared" si="39"/>
        <v>10428344.308867402</v>
      </c>
      <c r="FP18" s="215">
        <f t="shared" si="39"/>
        <v>10428344.308867402</v>
      </c>
      <c r="FQ18" s="215">
        <f t="shared" si="39"/>
        <v>10428344.308867402</v>
      </c>
      <c r="FR18" s="215">
        <f t="shared" si="39"/>
        <v>10428344.308867402</v>
      </c>
      <c r="FS18" s="215">
        <f t="shared" si="39"/>
        <v>10428344.308867402</v>
      </c>
      <c r="FT18" s="215">
        <f t="shared" si="39"/>
        <v>10428344.308867402</v>
      </c>
      <c r="FU18" s="215">
        <f t="shared" si="39"/>
        <v>10428344.308867402</v>
      </c>
      <c r="FV18" s="215">
        <f t="shared" si="39"/>
        <v>10428344.308867402</v>
      </c>
      <c r="FW18" s="215">
        <f t="shared" si="39"/>
        <v>10428344.308867402</v>
      </c>
      <c r="FX18" s="215">
        <f t="shared" si="39"/>
        <v>10428344.308867402</v>
      </c>
      <c r="FY18" s="215">
        <f t="shared" si="39"/>
        <v>10428344.308867402</v>
      </c>
      <c r="FZ18" s="215">
        <f t="shared" si="39"/>
        <v>10428344.308867402</v>
      </c>
      <c r="GA18" s="215">
        <f t="shared" si="39"/>
        <v>10428344.308867402</v>
      </c>
      <c r="GB18" s="215">
        <f t="shared" si="39"/>
        <v>10428344.308867402</v>
      </c>
      <c r="GC18" s="215">
        <f t="shared" si="39"/>
        <v>10428344.308867402</v>
      </c>
      <c r="GD18" s="215">
        <f t="shared" si="39"/>
        <v>10428344.308867402</v>
      </c>
      <c r="GE18" s="215">
        <f t="shared" si="39"/>
        <v>10428344.308867402</v>
      </c>
      <c r="GF18" s="215">
        <f t="shared" si="39"/>
        <v>10428344.308867402</v>
      </c>
      <c r="GG18" s="215">
        <f t="shared" si="39"/>
        <v>10428344.308867402</v>
      </c>
      <c r="GH18" s="215">
        <f t="shared" si="39"/>
        <v>10428344.308867402</v>
      </c>
      <c r="GI18" s="215">
        <f t="shared" si="39"/>
        <v>10428344.308867402</v>
      </c>
      <c r="GJ18" s="215">
        <f t="shared" si="39"/>
        <v>10428344.308867402</v>
      </c>
      <c r="GK18" s="215">
        <f t="shared" si="39"/>
        <v>10428344.308867402</v>
      </c>
      <c r="GL18" s="215">
        <f t="shared" si="39"/>
        <v>10428344.308867402</v>
      </c>
      <c r="GM18" s="215">
        <f t="shared" si="39"/>
        <v>10428344.308867402</v>
      </c>
      <c r="GN18" s="215">
        <f t="shared" si="39"/>
        <v>10428344.308867402</v>
      </c>
      <c r="GO18" s="215">
        <f t="shared" si="39"/>
        <v>10428344.308867402</v>
      </c>
      <c r="GP18" s="215">
        <f t="shared" si="39"/>
        <v>10428344.308867402</v>
      </c>
      <c r="GQ18" s="215">
        <f t="shared" si="39"/>
        <v>10428344.308867402</v>
      </c>
      <c r="GR18" s="215">
        <f t="shared" si="39"/>
        <v>10428344.308867402</v>
      </c>
      <c r="GS18" s="215">
        <f t="shared" ref="GS18:JD18" si="40">GR18+GS17</f>
        <v>10428344.308867402</v>
      </c>
      <c r="GT18" s="215">
        <f t="shared" si="40"/>
        <v>10428344.308867402</v>
      </c>
      <c r="GU18" s="215">
        <f t="shared" si="40"/>
        <v>10428344.308867402</v>
      </c>
      <c r="GV18" s="215">
        <f t="shared" si="40"/>
        <v>10428344.308867402</v>
      </c>
      <c r="GW18" s="215">
        <f t="shared" si="40"/>
        <v>10428344.308867402</v>
      </c>
      <c r="GX18" s="215">
        <f t="shared" si="40"/>
        <v>10428344.308867402</v>
      </c>
      <c r="GY18" s="215">
        <f t="shared" si="40"/>
        <v>10428344.308867402</v>
      </c>
      <c r="GZ18" s="215">
        <f t="shared" si="40"/>
        <v>10428344.308867402</v>
      </c>
      <c r="HA18" s="215">
        <f t="shared" si="40"/>
        <v>10428344.308867402</v>
      </c>
      <c r="HB18" s="215">
        <f t="shared" si="40"/>
        <v>10428344.308867402</v>
      </c>
      <c r="HC18" s="215">
        <f t="shared" si="40"/>
        <v>10428344.308867402</v>
      </c>
      <c r="HD18" s="215">
        <f t="shared" si="40"/>
        <v>10428344.308867402</v>
      </c>
      <c r="HE18" s="215">
        <f t="shared" si="40"/>
        <v>10428344.308867402</v>
      </c>
      <c r="HF18" s="215">
        <f t="shared" si="40"/>
        <v>10428344.308867402</v>
      </c>
      <c r="HG18" s="215">
        <f t="shared" si="40"/>
        <v>10428344.308867402</v>
      </c>
      <c r="HH18" s="215">
        <f t="shared" si="40"/>
        <v>10428344.308867402</v>
      </c>
      <c r="HI18" s="215">
        <f t="shared" si="40"/>
        <v>10428344.308867402</v>
      </c>
      <c r="HJ18" s="215">
        <f t="shared" si="40"/>
        <v>10428344.308867402</v>
      </c>
      <c r="HK18" s="215">
        <f t="shared" si="40"/>
        <v>10428344.308867402</v>
      </c>
      <c r="HL18" s="215">
        <f t="shared" si="40"/>
        <v>10428344.308867402</v>
      </c>
      <c r="HM18" s="215">
        <f t="shared" si="40"/>
        <v>10428344.308867402</v>
      </c>
      <c r="HN18" s="215">
        <f t="shared" si="40"/>
        <v>10428344.308867402</v>
      </c>
      <c r="HO18" s="215">
        <f t="shared" si="40"/>
        <v>10428344.308867402</v>
      </c>
      <c r="HP18" s="215">
        <f t="shared" si="40"/>
        <v>10428344.308867402</v>
      </c>
      <c r="HQ18" s="215">
        <f t="shared" si="40"/>
        <v>10428344.308867402</v>
      </c>
      <c r="HR18" s="215">
        <f t="shared" si="40"/>
        <v>10428344.308867402</v>
      </c>
      <c r="HS18" s="215">
        <f t="shared" si="40"/>
        <v>10428344.308867402</v>
      </c>
      <c r="HT18" s="215">
        <f t="shared" si="40"/>
        <v>10428344.308867402</v>
      </c>
      <c r="HU18" s="215">
        <f t="shared" si="40"/>
        <v>10428344.308867402</v>
      </c>
      <c r="HV18" s="215">
        <f t="shared" si="40"/>
        <v>10428344.308867402</v>
      </c>
      <c r="HW18" s="215">
        <f t="shared" si="40"/>
        <v>10428344.308867402</v>
      </c>
      <c r="HX18" s="215">
        <f t="shared" si="40"/>
        <v>10428344.308867402</v>
      </c>
      <c r="HY18" s="215">
        <f t="shared" si="40"/>
        <v>10428344.308867402</v>
      </c>
      <c r="HZ18" s="215">
        <f t="shared" si="40"/>
        <v>10428344.308867402</v>
      </c>
      <c r="IA18" s="215">
        <f t="shared" si="40"/>
        <v>10428344.308867402</v>
      </c>
      <c r="IB18" s="215">
        <f t="shared" si="40"/>
        <v>10428344.308867402</v>
      </c>
      <c r="IC18" s="215">
        <f t="shared" si="40"/>
        <v>10428344.308867402</v>
      </c>
      <c r="ID18" s="215">
        <f t="shared" si="40"/>
        <v>10428344.308867402</v>
      </c>
      <c r="IE18" s="215">
        <f t="shared" si="40"/>
        <v>10428344.308867402</v>
      </c>
      <c r="IF18" s="215">
        <f t="shared" si="40"/>
        <v>10428344.308867402</v>
      </c>
      <c r="IG18" s="215">
        <f t="shared" si="40"/>
        <v>10428344.308867402</v>
      </c>
      <c r="IH18" s="215">
        <f t="shared" si="40"/>
        <v>10428344.308867402</v>
      </c>
      <c r="II18" s="215">
        <f t="shared" si="40"/>
        <v>10428344.308867402</v>
      </c>
      <c r="IJ18" s="215">
        <f t="shared" si="40"/>
        <v>10428344.308867402</v>
      </c>
      <c r="IK18" s="215">
        <f t="shared" si="40"/>
        <v>10428344.308867402</v>
      </c>
      <c r="IL18" s="215">
        <f t="shared" si="40"/>
        <v>10428344.308867402</v>
      </c>
      <c r="IM18" s="215">
        <f t="shared" si="40"/>
        <v>10428344.308867402</v>
      </c>
      <c r="IN18" s="215">
        <f t="shared" si="40"/>
        <v>10428344.308867402</v>
      </c>
      <c r="IO18" s="215">
        <f t="shared" si="40"/>
        <v>10428344.308867402</v>
      </c>
      <c r="IP18" s="215">
        <f t="shared" si="40"/>
        <v>10428344.308867402</v>
      </c>
      <c r="IQ18" s="215">
        <f t="shared" si="40"/>
        <v>10428344.308867402</v>
      </c>
      <c r="IR18" s="215">
        <f t="shared" si="40"/>
        <v>10428344.308867402</v>
      </c>
      <c r="IS18" s="215">
        <f t="shared" si="40"/>
        <v>10428344.308867402</v>
      </c>
      <c r="IT18" s="215">
        <f t="shared" si="40"/>
        <v>10428344.308867402</v>
      </c>
      <c r="IU18" s="215">
        <f t="shared" si="40"/>
        <v>10428344.308867402</v>
      </c>
      <c r="IV18" s="215">
        <f t="shared" si="40"/>
        <v>10428344.308867402</v>
      </c>
      <c r="IW18" s="215">
        <f t="shared" si="40"/>
        <v>10428344.308867402</v>
      </c>
      <c r="IX18" s="215">
        <f t="shared" si="40"/>
        <v>10428344.308867402</v>
      </c>
      <c r="IY18" s="215">
        <f t="shared" si="40"/>
        <v>10428344.308867402</v>
      </c>
      <c r="IZ18" s="215">
        <f t="shared" si="40"/>
        <v>10428344.308867402</v>
      </c>
      <c r="JA18" s="215">
        <f t="shared" si="40"/>
        <v>10428344.308867402</v>
      </c>
      <c r="JB18" s="215">
        <f t="shared" si="40"/>
        <v>10428344.308867402</v>
      </c>
      <c r="JC18" s="215">
        <f t="shared" si="40"/>
        <v>10428344.308867402</v>
      </c>
      <c r="JD18" s="215">
        <f t="shared" si="40"/>
        <v>10428344.308867402</v>
      </c>
      <c r="JE18" s="215">
        <f t="shared" ref="JE18:LD18" si="41">JD18+JE17</f>
        <v>10428344.308867402</v>
      </c>
      <c r="JF18" s="215">
        <f t="shared" si="41"/>
        <v>10428344.308867402</v>
      </c>
      <c r="JG18" s="215">
        <f t="shared" si="41"/>
        <v>10428344.308867402</v>
      </c>
      <c r="JH18" s="215">
        <f t="shared" si="41"/>
        <v>10428344.308867402</v>
      </c>
      <c r="JI18" s="215">
        <f t="shared" si="41"/>
        <v>10428344.308867402</v>
      </c>
      <c r="JJ18" s="215">
        <f t="shared" si="41"/>
        <v>10428344.308867402</v>
      </c>
      <c r="JK18" s="215">
        <f t="shared" si="41"/>
        <v>10428344.308867402</v>
      </c>
      <c r="JL18" s="215">
        <f t="shared" si="41"/>
        <v>10428344.308867402</v>
      </c>
      <c r="JM18" s="215">
        <f t="shared" si="41"/>
        <v>10428344.308867402</v>
      </c>
      <c r="JN18" s="215">
        <f t="shared" si="41"/>
        <v>10428344.308867402</v>
      </c>
      <c r="JO18" s="215">
        <f t="shared" si="41"/>
        <v>10428344.308867402</v>
      </c>
      <c r="JP18" s="215">
        <f t="shared" si="41"/>
        <v>10428344.308867402</v>
      </c>
      <c r="JQ18" s="215">
        <f t="shared" si="41"/>
        <v>10428344.308867402</v>
      </c>
      <c r="JR18" s="215">
        <f t="shared" si="41"/>
        <v>10428344.308867402</v>
      </c>
      <c r="JS18" s="215">
        <f t="shared" si="41"/>
        <v>10428344.308867402</v>
      </c>
      <c r="JT18" s="215">
        <f t="shared" si="41"/>
        <v>10428344.308867402</v>
      </c>
      <c r="JU18" s="215">
        <f t="shared" si="41"/>
        <v>10428344.308867402</v>
      </c>
      <c r="JV18" s="215">
        <f t="shared" si="41"/>
        <v>10428344.308867402</v>
      </c>
      <c r="JW18" s="215">
        <f t="shared" si="41"/>
        <v>10428344.308867402</v>
      </c>
      <c r="JX18" s="215">
        <f t="shared" si="41"/>
        <v>10428344.308867402</v>
      </c>
      <c r="JY18" s="215">
        <f t="shared" si="41"/>
        <v>10428344.308867402</v>
      </c>
      <c r="JZ18" s="215">
        <f t="shared" si="41"/>
        <v>10428344.308867402</v>
      </c>
      <c r="KA18" s="215">
        <f t="shared" si="41"/>
        <v>10428344.308867402</v>
      </c>
      <c r="KB18" s="215">
        <f t="shared" si="41"/>
        <v>10428344.308867402</v>
      </c>
      <c r="KC18" s="215">
        <f t="shared" si="41"/>
        <v>10428344.308867402</v>
      </c>
      <c r="KD18" s="215">
        <f t="shared" si="41"/>
        <v>10428344.308867402</v>
      </c>
      <c r="KE18" s="215">
        <f t="shared" si="41"/>
        <v>10428344.308867402</v>
      </c>
      <c r="KF18" s="215">
        <f t="shared" si="41"/>
        <v>10428344.308867402</v>
      </c>
      <c r="KG18" s="215">
        <f t="shared" si="41"/>
        <v>10428344.308867402</v>
      </c>
      <c r="KH18" s="215">
        <f t="shared" si="41"/>
        <v>10428344.308867402</v>
      </c>
      <c r="KI18" s="215">
        <f t="shared" si="41"/>
        <v>10428344.308867402</v>
      </c>
      <c r="KJ18" s="215">
        <f t="shared" si="41"/>
        <v>10428344.308867402</v>
      </c>
      <c r="KK18" s="215">
        <f t="shared" si="41"/>
        <v>10428344.308867402</v>
      </c>
      <c r="KL18" s="215">
        <f t="shared" si="41"/>
        <v>10428344.308867402</v>
      </c>
      <c r="KM18" s="215">
        <f t="shared" si="41"/>
        <v>10428344.308867402</v>
      </c>
      <c r="KN18" s="215">
        <f t="shared" si="41"/>
        <v>10428344.308867402</v>
      </c>
      <c r="KO18" s="215">
        <f t="shared" si="41"/>
        <v>10428344.308867402</v>
      </c>
      <c r="KP18" s="215">
        <f t="shared" si="41"/>
        <v>10428344.308867402</v>
      </c>
      <c r="KQ18" s="215">
        <f t="shared" si="41"/>
        <v>10428344.308867402</v>
      </c>
      <c r="KR18" s="215">
        <f t="shared" si="41"/>
        <v>10428344.308867402</v>
      </c>
      <c r="KS18" s="215">
        <f t="shared" si="41"/>
        <v>10428344.308867402</v>
      </c>
      <c r="KT18" s="215">
        <f t="shared" si="41"/>
        <v>10428344.308867402</v>
      </c>
      <c r="KU18" s="215">
        <f t="shared" si="41"/>
        <v>10428344.308867402</v>
      </c>
      <c r="KV18" s="215">
        <f t="shared" si="41"/>
        <v>10428344.308867402</v>
      </c>
      <c r="KW18" s="215">
        <f t="shared" si="41"/>
        <v>10428344.308867402</v>
      </c>
      <c r="KX18" s="215">
        <f t="shared" si="41"/>
        <v>10428344.308867402</v>
      </c>
      <c r="KY18" s="215">
        <f t="shared" si="41"/>
        <v>10428344.308867402</v>
      </c>
      <c r="KZ18" s="215">
        <f t="shared" si="41"/>
        <v>10428344.308867402</v>
      </c>
      <c r="LA18" s="215">
        <f t="shared" si="41"/>
        <v>10428344.308867402</v>
      </c>
      <c r="LB18" s="215">
        <f t="shared" si="41"/>
        <v>10428344.308867402</v>
      </c>
      <c r="LC18" s="215">
        <f t="shared" si="41"/>
        <v>10428344.308867402</v>
      </c>
      <c r="LD18" s="215">
        <f t="shared" si="41"/>
        <v>10428344.308867402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9" sqref="E9"/>
    </sheetView>
  </sheetViews>
  <sheetFormatPr defaultColWidth="12.88671875" defaultRowHeight="14.4"/>
  <cols>
    <col min="1" max="1" width="39.44140625" style="367" bestFit="1" customWidth="1"/>
    <col min="2" max="2" width="17.21875" style="368" bestFit="1" customWidth="1"/>
    <col min="3" max="3" width="13.21875" style="367" bestFit="1" customWidth="1"/>
    <col min="4" max="5" width="14.88671875" style="367" bestFit="1" customWidth="1"/>
    <col min="6" max="6" width="13.21875" style="367" bestFit="1" customWidth="1"/>
    <col min="7" max="7" width="4.88671875" style="367" bestFit="1" customWidth="1"/>
    <col min="8" max="11" width="13.21875" style="367" bestFit="1" customWidth="1"/>
    <col min="12" max="12" width="16" style="367" bestFit="1" customWidth="1"/>
    <col min="13" max="13" width="14.109375" style="367" bestFit="1" customWidth="1"/>
    <col min="14" max="14" width="13.77734375" style="367" bestFit="1" customWidth="1"/>
    <col min="15" max="18" width="11.21875" style="367" bestFit="1" customWidth="1"/>
    <col min="19" max="19" width="13.77734375" style="367" bestFit="1" customWidth="1"/>
    <col min="20" max="16384" width="12.88671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587</v>
      </c>
      <c r="B3" s="446" t="s">
        <v>588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589</v>
      </c>
      <c r="B4" t="s">
        <v>590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s="448">
        <v>46142</v>
      </c>
      <c r="L4" t="s">
        <v>591</v>
      </c>
      <c r="M4"/>
      <c r="N4"/>
      <c r="O4"/>
      <c r="P4"/>
      <c r="Q4"/>
      <c r="R4"/>
      <c r="S4"/>
      <c r="T4"/>
    </row>
    <row r="5" spans="1:20">
      <c r="A5" s="447" t="s">
        <v>590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/>
      <c r="N5"/>
      <c r="O5"/>
      <c r="P5"/>
      <c r="Q5"/>
      <c r="R5"/>
      <c r="S5"/>
      <c r="T5"/>
    </row>
    <row r="6" spans="1:20">
      <c r="A6" s="447" t="s">
        <v>357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/>
      <c r="L6" s="372">
        <v>3072814.1612903224</v>
      </c>
      <c r="M6"/>
      <c r="N6"/>
      <c r="O6"/>
      <c r="P6"/>
      <c r="Q6"/>
      <c r="R6"/>
      <c r="S6"/>
      <c r="T6"/>
    </row>
    <row r="7" spans="1:20">
      <c r="A7" s="447" t="s">
        <v>372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/>
      <c r="L7" s="372">
        <v>827956.98924731184</v>
      </c>
      <c r="M7"/>
      <c r="N7"/>
      <c r="O7"/>
      <c r="P7"/>
      <c r="Q7"/>
      <c r="R7"/>
      <c r="S7"/>
      <c r="T7"/>
    </row>
    <row r="8" spans="1:20">
      <c r="A8" s="447" t="s">
        <v>383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0</v>
      </c>
      <c r="L8" s="372">
        <v>1189051.8387096776</v>
      </c>
      <c r="M8"/>
      <c r="N8"/>
      <c r="O8"/>
      <c r="P8"/>
      <c r="Q8"/>
      <c r="R8"/>
      <c r="S8"/>
      <c r="T8"/>
    </row>
    <row r="9" spans="1:20">
      <c r="A9" s="447" t="s">
        <v>407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14285.316004407707</v>
      </c>
      <c r="J9" s="372">
        <v>69033.777144456719</v>
      </c>
      <c r="K9" s="372">
        <v>16678.121428891343</v>
      </c>
      <c r="L9" s="372">
        <v>1201602.2606114177</v>
      </c>
      <c r="M9"/>
      <c r="N9"/>
      <c r="O9"/>
      <c r="P9"/>
      <c r="Q9"/>
      <c r="R9"/>
      <c r="S9"/>
      <c r="T9"/>
    </row>
    <row r="10" spans="1:20">
      <c r="A10" s="447" t="s">
        <v>429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>
        <v>0</v>
      </c>
      <c r="J10" s="372"/>
      <c r="K10" s="372"/>
      <c r="L10" s="372">
        <v>52688.168003628329</v>
      </c>
      <c r="M10"/>
      <c r="N10"/>
      <c r="O10"/>
      <c r="P10"/>
      <c r="Q10"/>
      <c r="R10"/>
      <c r="S10"/>
      <c r="T10"/>
    </row>
    <row r="11" spans="1:20">
      <c r="A11" s="447" t="s">
        <v>454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32070.587201764363</v>
      </c>
      <c r="J11" s="372">
        <v>160352.93600882182</v>
      </c>
      <c r="K11" s="372">
        <v>32070.587201764363</v>
      </c>
      <c r="L11" s="372">
        <v>1624768.0644630389</v>
      </c>
      <c r="M11"/>
      <c r="N11"/>
      <c r="O11"/>
      <c r="P11"/>
      <c r="Q11"/>
      <c r="R11"/>
      <c r="S11"/>
      <c r="T11"/>
    </row>
    <row r="12" spans="1:20">
      <c r="A12" s="447" t="s">
        <v>461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/>
      <c r="J12" s="372"/>
      <c r="K12" s="372">
        <v>0</v>
      </c>
      <c r="L12" s="372">
        <v>322580.64164600748</v>
      </c>
      <c r="M12"/>
      <c r="N12"/>
      <c r="O12"/>
      <c r="P12"/>
      <c r="Q12"/>
      <c r="R12"/>
      <c r="S12"/>
      <c r="T12"/>
    </row>
    <row r="13" spans="1:20">
      <c r="A13" s="447" t="s">
        <v>481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60234.806041068514</v>
      </c>
      <c r="J13" s="372">
        <v>301173.97570859722</v>
      </c>
      <c r="K13" s="372">
        <v>60234.795141719442</v>
      </c>
      <c r="L13" s="372">
        <v>1204695.98602385</v>
      </c>
      <c r="M13"/>
      <c r="N13"/>
      <c r="O13"/>
      <c r="P13"/>
      <c r="Q13"/>
      <c r="R13"/>
      <c r="S13"/>
      <c r="T13"/>
    </row>
    <row r="14" spans="1:20">
      <c r="A14" s="447" t="s">
        <v>486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6807.9276865675401</v>
      </c>
      <c r="J14" s="372">
        <v>34039.638432837703</v>
      </c>
      <c r="K14" s="372">
        <v>6807.9276865675401</v>
      </c>
      <c r="L14" s="372">
        <v>209591.44287248314</v>
      </c>
      <c r="M14"/>
      <c r="N14"/>
      <c r="O14"/>
      <c r="P14"/>
      <c r="Q14"/>
      <c r="R14"/>
      <c r="S14"/>
      <c r="T14"/>
    </row>
    <row r="15" spans="1:20">
      <c r="A15" s="447" t="s">
        <v>499</v>
      </c>
      <c r="B15" s="372"/>
      <c r="C15" s="372">
        <v>152536.78357399214</v>
      </c>
      <c r="D15" s="372"/>
      <c r="E15" s="372"/>
      <c r="F15" s="372"/>
      <c r="G15" s="372"/>
      <c r="H15" s="372"/>
      <c r="I15" s="372"/>
      <c r="J15" s="372">
        <v>54295.887854515131</v>
      </c>
      <c r="K15" s="372"/>
      <c r="L15" s="372">
        <v>206832.67142850728</v>
      </c>
      <c r="M15"/>
      <c r="N15"/>
      <c r="O15"/>
      <c r="P15"/>
      <c r="Q15"/>
      <c r="R15"/>
      <c r="S15"/>
      <c r="T15"/>
    </row>
    <row r="16" spans="1:20">
      <c r="A16" s="447" t="s">
        <v>515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/>
      <c r="J16" s="372"/>
      <c r="K16" s="372">
        <v>487762.08457115805</v>
      </c>
      <c r="L16" s="372">
        <v>487762.08457115805</v>
      </c>
      <c r="M16"/>
      <c r="N16"/>
      <c r="O16"/>
      <c r="P16"/>
      <c r="Q16"/>
      <c r="R16"/>
      <c r="S16"/>
      <c r="T16"/>
    </row>
    <row r="17" spans="1:20">
      <c r="A17" s="447" t="s">
        <v>523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2330.7654933327599</v>
      </c>
      <c r="J17" s="372">
        <v>1165.3827466663799</v>
      </c>
      <c r="K17" s="372">
        <v>1165.3827466663799</v>
      </c>
      <c r="L17" s="372">
        <v>28000.000000000004</v>
      </c>
      <c r="M17"/>
      <c r="N17"/>
      <c r="O17"/>
      <c r="P17"/>
      <c r="Q17"/>
      <c r="R17"/>
      <c r="S17"/>
      <c r="T17"/>
    </row>
    <row r="18" spans="1:20">
      <c r="A18" s="447" t="s">
        <v>527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 s="372"/>
      <c r="M18"/>
      <c r="N18"/>
      <c r="O18"/>
      <c r="P18"/>
      <c r="Q18"/>
      <c r="R18"/>
      <c r="S18"/>
      <c r="T18"/>
    </row>
    <row r="19" spans="1:20">
      <c r="A19" s="447" t="s">
        <v>512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/>
      <c r="N19"/>
      <c r="O19"/>
      <c r="P19"/>
      <c r="Q19"/>
      <c r="R19"/>
      <c r="S19"/>
      <c r="T19"/>
    </row>
    <row r="20" spans="1:20">
      <c r="A20" s="447" t="s">
        <v>459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/>
      <c r="N20"/>
      <c r="O20"/>
      <c r="P20"/>
      <c r="Q20"/>
      <c r="R20"/>
      <c r="S20"/>
      <c r="T20"/>
    </row>
    <row r="21" spans="1:20">
      <c r="A21" s="447" t="s">
        <v>591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115729.40242714089</v>
      </c>
      <c r="J21" s="372">
        <v>620061.59789589501</v>
      </c>
      <c r="K21" s="372">
        <v>604718.89877676719</v>
      </c>
      <c r="L21" s="372">
        <v>10428344.308867402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Normal="100" workbookViewId="0">
      <selection activeCell="J8" sqref="J8"/>
    </sheetView>
  </sheetViews>
  <sheetFormatPr defaultColWidth="8.109375" defaultRowHeight="14.4"/>
  <cols>
    <col min="1" max="1" width="21.77734375" bestFit="1" customWidth="1"/>
    <col min="2" max="2" width="17.21875" style="407" bestFit="1" customWidth="1"/>
    <col min="3" max="3" width="13.21875" style="407" bestFit="1" customWidth="1"/>
    <col min="4" max="4" width="14.88671875" style="407" bestFit="1" customWidth="1"/>
    <col min="5" max="6" width="13.21875" style="407" bestFit="1" customWidth="1"/>
    <col min="7" max="7" width="13.77734375" style="407" bestFit="1" customWidth="1"/>
    <col min="8" max="9" width="13.21875" style="407" bestFit="1" customWidth="1"/>
    <col min="10" max="11" width="13.21875" bestFit="1" customWidth="1"/>
    <col min="12" max="12" width="14.88671875" bestFit="1" customWidth="1"/>
    <col min="13" max="13" width="14" bestFit="1" customWidth="1"/>
    <col min="14" max="14" width="13.77734375" bestFit="1" customWidth="1"/>
    <col min="15" max="15" width="11.77734375" bestFit="1" customWidth="1"/>
    <col min="16" max="16" width="10.109375" bestFit="1" customWidth="1"/>
    <col min="17" max="18" width="11.77734375" bestFit="1" customWidth="1"/>
    <col min="19" max="19" width="13.44140625" bestFit="1" customWidth="1"/>
  </cols>
  <sheetData>
    <row r="3" spans="1:12">
      <c r="A3" s="446" t="s">
        <v>592</v>
      </c>
      <c r="B3" s="446" t="s">
        <v>588</v>
      </c>
      <c r="C3"/>
      <c r="D3"/>
      <c r="E3"/>
      <c r="F3"/>
      <c r="G3"/>
      <c r="H3"/>
      <c r="I3"/>
    </row>
    <row r="4" spans="1:12">
      <c r="A4" s="446" t="s">
        <v>589</v>
      </c>
      <c r="B4" t="s">
        <v>590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s="448">
        <v>46142</v>
      </c>
      <c r="L4" t="s">
        <v>591</v>
      </c>
    </row>
    <row r="5" spans="1:12">
      <c r="A5" s="447" t="s">
        <v>590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</row>
    <row r="6" spans="1:12">
      <c r="A6" s="447" t="s">
        <v>357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/>
      <c r="L6" s="449">
        <v>2667866.7999999998</v>
      </c>
    </row>
    <row r="7" spans="1:12">
      <c r="A7" s="447" t="s">
        <v>372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/>
      <c r="L7" s="449">
        <v>757573.93799999997</v>
      </c>
    </row>
    <row r="8" spans="1:12">
      <c r="A8" s="447" t="s">
        <v>383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2283.6999999999998</v>
      </c>
      <c r="J8" s="449"/>
      <c r="K8" s="449">
        <v>-3737.49</v>
      </c>
      <c r="L8" s="449">
        <v>357968.1</v>
      </c>
    </row>
    <row r="9" spans="1:12">
      <c r="A9" s="447" t="s">
        <v>407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8483.26</v>
      </c>
      <c r="J9" s="449">
        <v>-59958.69999999999</v>
      </c>
      <c r="K9" s="449">
        <v>8483.26</v>
      </c>
      <c r="L9" s="449">
        <v>611190.20000000019</v>
      </c>
    </row>
    <row r="10" spans="1:12">
      <c r="A10" s="447" t="s">
        <v>429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>
        <v>226.34</v>
      </c>
      <c r="J10" s="449"/>
      <c r="K10" s="449"/>
      <c r="L10" s="449">
        <v>91491.62999999999</v>
      </c>
    </row>
    <row r="11" spans="1:12">
      <c r="A11" s="447" t="s">
        <v>454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11575.44</v>
      </c>
      <c r="J11" s="449">
        <v>57877.200000000004</v>
      </c>
      <c r="K11" s="449">
        <v>11575.44</v>
      </c>
      <c r="L11" s="449">
        <v>586437.81999999995</v>
      </c>
    </row>
    <row r="12" spans="1:12">
      <c r="A12" s="447" t="s">
        <v>461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/>
      <c r="J12" s="449">
        <v>20100</v>
      </c>
      <c r="K12" s="449">
        <v>600</v>
      </c>
      <c r="L12" s="449">
        <v>312526</v>
      </c>
    </row>
    <row r="13" spans="1:12">
      <c r="A13" s="447" t="s">
        <v>481</v>
      </c>
      <c r="B13" s="449"/>
      <c r="C13" s="449"/>
      <c r="D13" s="449">
        <v>276322.8</v>
      </c>
      <c r="E13" s="449"/>
      <c r="F13" s="449">
        <v>331587.36</v>
      </c>
      <c r="G13" s="449"/>
      <c r="H13" s="449">
        <v>110529.2</v>
      </c>
      <c r="I13" s="449">
        <v>55264.59</v>
      </c>
      <c r="J13" s="449">
        <v>276322.8</v>
      </c>
      <c r="K13" s="449">
        <v>55264.56</v>
      </c>
      <c r="L13" s="449">
        <v>1105291.3099999998</v>
      </c>
    </row>
    <row r="14" spans="1:12">
      <c r="A14" s="447" t="s">
        <v>486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9827.2000000000007</v>
      </c>
      <c r="J14" s="449">
        <v>49136</v>
      </c>
      <c r="K14" s="449">
        <v>9827.2000000000007</v>
      </c>
      <c r="L14" s="449">
        <v>302543.90000000002</v>
      </c>
    </row>
    <row r="15" spans="1:12">
      <c r="A15" s="447" t="s">
        <v>499</v>
      </c>
      <c r="B15" s="449"/>
      <c r="C15" s="449">
        <v>98339.6</v>
      </c>
      <c r="D15" s="449"/>
      <c r="E15" s="449"/>
      <c r="F15" s="449"/>
      <c r="G15" s="449"/>
      <c r="H15" s="449"/>
      <c r="I15" s="449"/>
      <c r="J15" s="449">
        <v>48674</v>
      </c>
      <c r="K15" s="449"/>
      <c r="L15" s="449">
        <v>147013.6</v>
      </c>
    </row>
    <row r="16" spans="1:12">
      <c r="A16" s="447" t="s">
        <v>515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>
        <v>130354.30432724001</v>
      </c>
      <c r="L16" s="449">
        <v>130354.30432724001</v>
      </c>
    </row>
    <row r="17" spans="1:12">
      <c r="A17" s="447" t="s">
        <v>523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3538.03</v>
      </c>
      <c r="J17" s="449">
        <v>4099.6000000000004</v>
      </c>
      <c r="K17" s="449">
        <v>8500</v>
      </c>
      <c r="L17" s="449">
        <v>46227.429999999993</v>
      </c>
    </row>
    <row r="18" spans="1:12">
      <c r="A18" s="447" t="s">
        <v>527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>
        <v>261960.43000000002</v>
      </c>
      <c r="J18" s="449">
        <v>12579.880000000001</v>
      </c>
      <c r="K18" s="449">
        <v>25164.79</v>
      </c>
      <c r="L18" s="449">
        <v>506113.15</v>
      </c>
    </row>
    <row r="19" spans="1:12">
      <c r="A19" s="447" t="s">
        <v>512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</row>
    <row r="20" spans="1:12">
      <c r="A20" s="447" t="s">
        <v>459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</row>
    <row r="21" spans="1:12">
      <c r="A21" s="447" t="s">
        <v>591</v>
      </c>
      <c r="B21" s="449"/>
      <c r="C21" s="449">
        <v>171070.85</v>
      </c>
      <c r="D21" s="449">
        <v>4991238.4979999997</v>
      </c>
      <c r="E21" s="449">
        <v>532460.93999999994</v>
      </c>
      <c r="F21" s="449">
        <v>625755.17999999993</v>
      </c>
      <c r="G21" s="449"/>
      <c r="H21" s="449">
        <v>294050.88</v>
      </c>
      <c r="I21" s="449">
        <v>353158.99</v>
      </c>
      <c r="J21" s="449">
        <v>408830.77999999997</v>
      </c>
      <c r="K21" s="449">
        <v>246032.06432724002</v>
      </c>
      <c r="L21" s="449">
        <v>7622598.1823272407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09375" defaultRowHeight="14.4"/>
  <cols>
    <col min="4" max="4" width="9" customWidth="1"/>
  </cols>
  <sheetData>
    <row r="1" spans="1:4">
      <c r="A1" s="110" t="s">
        <v>593</v>
      </c>
    </row>
    <row r="2" spans="1:4">
      <c r="A2" s="845"/>
      <c r="B2" s="845"/>
      <c r="C2" s="845"/>
      <c r="D2" s="71"/>
    </row>
    <row r="3" spans="1:4">
      <c r="A3" s="844" t="s">
        <v>594</v>
      </c>
      <c r="B3" s="844"/>
      <c r="C3" s="844"/>
      <c r="D3" s="111">
        <v>0.32</v>
      </c>
    </row>
    <row r="4" spans="1:4">
      <c r="A4" s="844" t="s">
        <v>562</v>
      </c>
      <c r="B4" s="844"/>
      <c r="C4" s="844"/>
      <c r="D4" s="111">
        <v>0.5</v>
      </c>
    </row>
    <row r="5" spans="1:4">
      <c r="A5" s="844" t="s">
        <v>573</v>
      </c>
      <c r="B5" s="844"/>
      <c r="C5" s="844"/>
      <c r="D5" s="111">
        <v>0.15</v>
      </c>
    </row>
    <row r="6" spans="1:4">
      <c r="A6" s="844" t="s">
        <v>595</v>
      </c>
      <c r="B6" s="844"/>
      <c r="C6" s="8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1875" defaultRowHeight="13.2"/>
  <cols>
    <col min="1" max="1" width="9.2187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109375" style="88" customWidth="1"/>
    <col min="6" max="6" width="15.44140625" style="88" customWidth="1"/>
    <col min="7" max="7" width="2.21875" style="88" customWidth="1"/>
    <col min="8" max="8" width="16.21875" style="88" bestFit="1" customWidth="1"/>
    <col min="9" max="9" width="6.44140625" style="88" customWidth="1"/>
    <col min="10" max="10" width="13.77734375" style="88" bestFit="1" customWidth="1"/>
    <col min="11" max="11" width="2.21875" style="88" customWidth="1"/>
    <col min="12" max="12" width="14.109375" style="88" bestFit="1" customWidth="1"/>
    <col min="13" max="13" width="2.77734375" style="88" customWidth="1"/>
    <col min="14" max="14" width="45.44140625" style="88" customWidth="1"/>
    <col min="15" max="16384" width="9.21875" style="88"/>
  </cols>
  <sheetData>
    <row r="2" spans="2:14" s="94" customFormat="1" ht="17.399999999999999">
      <c r="B2" s="846" t="s">
        <v>596</v>
      </c>
      <c r="C2" s="846"/>
      <c r="D2" s="846"/>
      <c r="E2" s="846"/>
      <c r="F2" s="846"/>
      <c r="G2" s="846"/>
      <c r="H2" s="846"/>
      <c r="I2" s="846"/>
      <c r="J2" s="846"/>
      <c r="K2" s="846"/>
      <c r="L2" s="846"/>
      <c r="M2" s="846"/>
      <c r="N2" s="846"/>
    </row>
    <row r="4" spans="2:14">
      <c r="B4" s="92" t="s">
        <v>97</v>
      </c>
      <c r="C4" s="86"/>
      <c r="D4" s="90" t="s">
        <v>597</v>
      </c>
      <c r="E4" s="95"/>
      <c r="F4" s="90" t="s">
        <v>598</v>
      </c>
      <c r="H4" s="90" t="s">
        <v>599</v>
      </c>
      <c r="I4" s="95"/>
      <c r="J4" s="90" t="s">
        <v>600</v>
      </c>
      <c r="L4" s="90" t="s">
        <v>599</v>
      </c>
      <c r="M4" s="90"/>
      <c r="N4" s="90" t="s">
        <v>601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602</v>
      </c>
      <c r="H7" s="99"/>
      <c r="I7" s="95"/>
      <c r="J7" s="107" t="s">
        <v>602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603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604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605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602</v>
      </c>
      <c r="H15" s="99"/>
      <c r="I15" s="95"/>
      <c r="J15" s="107" t="s">
        <v>602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605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602</v>
      </c>
      <c r="H21" s="99"/>
      <c r="I21" s="95"/>
      <c r="J21" s="107" t="s">
        <v>602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606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606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605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602</v>
      </c>
      <c r="H27" s="99"/>
      <c r="I27" s="95"/>
      <c r="J27" s="107" t="s">
        <v>602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607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605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602</v>
      </c>
      <c r="H34" s="99"/>
      <c r="I34" s="95"/>
      <c r="J34" s="107" t="s">
        <v>602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608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609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610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611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612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613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614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615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1875" defaultRowHeight="13.2"/>
  <cols>
    <col min="1" max="1" width="9.2187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109375" style="88" customWidth="1"/>
    <col min="7" max="7" width="18.5546875" style="88" customWidth="1"/>
    <col min="8" max="8" width="9.21875" style="88" bestFit="1" customWidth="1"/>
    <col min="9" max="9" width="2" style="88" customWidth="1"/>
    <col min="10" max="10" width="14.109375" style="88" bestFit="1" customWidth="1"/>
    <col min="11" max="11" width="2.21875" style="88" customWidth="1"/>
    <col min="12" max="12" width="20.44140625" style="88" customWidth="1"/>
    <col min="13" max="13" width="9.21875" style="88" bestFit="1" customWidth="1"/>
    <col min="14" max="14" width="0.5546875" style="88" customWidth="1"/>
    <col min="15" max="15" width="14.109375" style="88" bestFit="1" customWidth="1"/>
    <col min="16" max="16384" width="9.21875" style="88"/>
  </cols>
  <sheetData>
    <row r="2" spans="2:15" s="94" customFormat="1" ht="17.399999999999999">
      <c r="B2" s="846" t="s">
        <v>616</v>
      </c>
      <c r="C2" s="846"/>
      <c r="D2" s="846"/>
      <c r="E2" s="846"/>
      <c r="F2" s="846"/>
      <c r="G2" s="846"/>
      <c r="H2" s="846"/>
      <c r="I2" s="846"/>
      <c r="J2" s="846"/>
      <c r="K2" s="846"/>
      <c r="L2" s="846"/>
      <c r="M2" s="846"/>
      <c r="N2" s="846"/>
      <c r="O2" s="846"/>
    </row>
    <row r="4" spans="2:15">
      <c r="B4" s="92" t="s">
        <v>97</v>
      </c>
      <c r="C4" s="86"/>
      <c r="D4" s="90" t="s">
        <v>597</v>
      </c>
      <c r="E4" s="95"/>
      <c r="F4" s="95"/>
      <c r="G4" s="90" t="s">
        <v>617</v>
      </c>
      <c r="H4" s="96"/>
      <c r="J4" s="90" t="s">
        <v>599</v>
      </c>
      <c r="L4" s="90" t="s">
        <v>618</v>
      </c>
      <c r="M4" s="96"/>
      <c r="O4" s="90" t="s">
        <v>599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370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374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375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376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619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380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614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597</v>
      </c>
      <c r="E18" s="95"/>
      <c r="F18" s="95"/>
      <c r="G18" s="90" t="s">
        <v>620</v>
      </c>
      <c r="H18" s="96"/>
      <c r="J18" s="90" t="s">
        <v>599</v>
      </c>
      <c r="L18" s="90" t="s">
        <v>621</v>
      </c>
      <c r="M18" s="96"/>
      <c r="O18" s="90" t="s">
        <v>599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622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623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624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625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626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614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627</v>
      </c>
      <c r="C32" s="103"/>
      <c r="D32" s="103"/>
    </row>
    <row r="33" spans="2:4" ht="13.8" thickTop="1"/>
    <row r="34" spans="2:4">
      <c r="B34" s="88" t="s">
        <v>597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628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1875" defaultRowHeight="14.4"/>
  <cols>
    <col min="1" max="1" width="0.5546875" customWidth="1"/>
    <col min="2" max="2" width="8.109375" bestFit="1" customWidth="1"/>
    <col min="3" max="3" width="45.44140625" customWidth="1"/>
    <col min="4" max="4" width="34.21875" customWidth="1"/>
    <col min="5" max="5" width="15.44140625" customWidth="1"/>
    <col min="6" max="6" width="12" bestFit="1" customWidth="1"/>
    <col min="7" max="7" width="9.21875" bestFit="1" customWidth="1"/>
    <col min="8" max="8" width="12.88671875" bestFit="1" customWidth="1"/>
    <col min="9" max="9" width="10.109375" customWidth="1"/>
    <col min="10" max="10" width="19.88671875" bestFit="1" customWidth="1"/>
  </cols>
  <sheetData>
    <row r="1" spans="2:14">
      <c r="B1" s="848" t="str">
        <f>D15</f>
        <v>Seshego Circle</v>
      </c>
      <c r="C1" s="848"/>
      <c r="D1" s="848"/>
      <c r="E1" s="847" t="s">
        <v>629</v>
      </c>
      <c r="F1" s="847"/>
      <c r="G1" s="847"/>
      <c r="H1" s="847"/>
      <c r="I1" s="847"/>
      <c r="J1" s="847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630</v>
      </c>
      <c r="D3" s="72" t="s">
        <v>631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2026-04-17T08:29:01Z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