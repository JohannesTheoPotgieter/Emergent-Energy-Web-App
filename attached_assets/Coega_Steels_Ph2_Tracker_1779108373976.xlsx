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853" documentId="13_ncr:1_{5088FDBF-8B60-4138-AFBB-5A720563F8CF}" xr6:coauthVersionLast="47" xr6:coauthVersionMax="47" xr10:uidLastSave="{21B2AC85-3D0A-4512-A983-0ADCC91A9A64}"/>
  <bookViews>
    <workbookView xWindow="-98" yWindow="-98" windowWidth="21795" windowHeight="12975" tabRatio="677" activeTab="2" xr2:uid="{E6903F24-528D-4F70-BAAE-8243B2418312}"/>
  </bookViews>
  <sheets>
    <sheet name="Revenue Tracking" sheetId="5" r:id="rId1"/>
    <sheet name="Data" sheetId="8" state="hidden" r:id="rId2"/>
    <sheet name="Project Plan" sheetId="2" r:id="rId3"/>
    <sheet name="Expenditure Tracking" sheetId="3" r:id="rId4"/>
    <sheet name="Expenditure Breakdown" sheetId="18" r:id="rId5"/>
    <sheet name="Sheet1" sheetId="20" state="hidden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2">'Project Plan'!$B$127:$G$134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9" i="18" l="1"/>
  <c r="W380" i="18"/>
  <c r="W379" i="18"/>
  <c r="Q414" i="18"/>
  <c r="Q123" i="18"/>
  <c r="K130" i="2"/>
  <c r="W412" i="18"/>
  <c r="W420" i="18"/>
  <c r="W426" i="18"/>
  <c r="Q426" i="18"/>
  <c r="Q424" i="18"/>
  <c r="W425" i="18"/>
  <c r="W82" i="18"/>
  <c r="K131" i="2"/>
  <c r="K134" i="2"/>
  <c r="N134" i="2" s="1"/>
  <c r="N135" i="2"/>
  <c r="K128" i="2"/>
  <c r="N128" i="2" s="1"/>
  <c r="W439" i="18"/>
  <c r="Q375" i="18"/>
  <c r="O9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5" i="18"/>
  <c r="Q122" i="18"/>
  <c r="J115" i="18"/>
  <c r="Q132" i="18"/>
  <c r="Q131" i="18"/>
  <c r="Q130" i="18"/>
  <c r="Q129" i="18"/>
  <c r="Q128" i="18"/>
  <c r="Q127" i="18"/>
  <c r="Q59" i="18"/>
  <c r="Q58" i="18"/>
  <c r="Q20" i="18"/>
  <c r="H6" i="5"/>
  <c r="Q342" i="18"/>
  <c r="Q361" i="18"/>
  <c r="K121" i="2"/>
  <c r="O196" i="18"/>
  <c r="F26" i="5"/>
  <c r="P116" i="18"/>
  <c r="F18" i="5"/>
  <c r="F17" i="5"/>
  <c r="F19" i="5"/>
  <c r="W220" i="18"/>
  <c r="W414" i="18"/>
  <c r="Q263" i="18"/>
  <c r="W17" i="18"/>
  <c r="W19" i="18"/>
  <c r="Q16" i="18"/>
  <c r="O249" i="18"/>
  <c r="AE22" i="18"/>
  <c r="K114" i="2"/>
  <c r="K107" i="2"/>
  <c r="K106" i="2"/>
  <c r="N106" i="2"/>
  <c r="K105" i="2"/>
  <c r="N105" i="2" s="1"/>
  <c r="N114" i="2"/>
  <c r="Q251" i="18"/>
  <c r="Q252" i="18"/>
  <c r="K100" i="2"/>
  <c r="X92" i="18"/>
  <c r="H13" i="3"/>
  <c r="J92" i="18"/>
  <c r="W18" i="18"/>
  <c r="Q18" i="18"/>
  <c r="P164" i="18"/>
  <c r="Q165" i="18" s="1"/>
  <c r="P167" i="18"/>
  <c r="Q168" i="18" s="1"/>
  <c r="Q167" i="18"/>
  <c r="M42" i="2"/>
  <c r="X20" i="2" s="1"/>
  <c r="M67" i="2"/>
  <c r="X22" i="2"/>
  <c r="M74" i="2"/>
  <c r="X23" i="2"/>
  <c r="M88" i="2"/>
  <c r="X25" i="2"/>
  <c r="K56" i="2"/>
  <c r="N56" i="2"/>
  <c r="N55" i="2"/>
  <c r="N54" i="2"/>
  <c r="N53" i="2"/>
  <c r="K90" i="2"/>
  <c r="N90" i="2" s="1"/>
  <c r="Q412" i="18"/>
  <c r="K52" i="2"/>
  <c r="N52" i="2"/>
  <c r="Q313" i="18"/>
  <c r="Q9" i="18"/>
  <c r="Q8" i="18"/>
  <c r="Q10" i="18" s="1"/>
  <c r="C4" i="19"/>
  <c r="W168" i="18"/>
  <c r="W165" i="18"/>
  <c r="W160" i="18"/>
  <c r="I151" i="18"/>
  <c r="F15" i="3" s="1"/>
  <c r="H340" i="18"/>
  <c r="H263" i="18"/>
  <c r="H258" i="18"/>
  <c r="H214" i="18"/>
  <c r="H207" i="18"/>
  <c r="H206" i="18"/>
  <c r="H205" i="18"/>
  <c r="H174" i="18"/>
  <c r="H175" i="18"/>
  <c r="H173" i="18"/>
  <c r="H115" i="18"/>
  <c r="H92" i="18"/>
  <c r="H53" i="18"/>
  <c r="AF21" i="2"/>
  <c r="AE21" i="2"/>
  <c r="Q260" i="18"/>
  <c r="Q259" i="18"/>
  <c r="W57" i="18"/>
  <c r="R6" i="5"/>
  <c r="Q194" i="18"/>
  <c r="Q55" i="18"/>
  <c r="K63" i="2"/>
  <c r="N63" i="2" s="1"/>
  <c r="K61" i="2"/>
  <c r="N61" i="2" s="1"/>
  <c r="I50" i="2"/>
  <c r="K50" i="2"/>
  <c r="K43" i="2"/>
  <c r="W276" i="18"/>
  <c r="K24" i="2"/>
  <c r="N24" i="2" s="1"/>
  <c r="K65" i="2"/>
  <c r="N65" i="2"/>
  <c r="H16" i="5"/>
  <c r="Q19" i="18"/>
  <c r="K29" i="2"/>
  <c r="N29" i="2" s="1"/>
  <c r="K28" i="2"/>
  <c r="N28" i="2"/>
  <c r="K27" i="2"/>
  <c r="N27" i="2"/>
  <c r="K26" i="2"/>
  <c r="N26" i="2"/>
  <c r="K25" i="2"/>
  <c r="N25" i="2"/>
  <c r="K22" i="2"/>
  <c r="I46" i="2" s="1"/>
  <c r="N22" i="2"/>
  <c r="P121" i="18"/>
  <c r="Q191" i="18"/>
  <c r="T19" i="2"/>
  <c r="M110" i="2"/>
  <c r="X27" i="2"/>
  <c r="K40" i="2"/>
  <c r="N40" i="2" s="1"/>
  <c r="K39" i="2"/>
  <c r="N39" i="2" s="1"/>
  <c r="K38" i="2"/>
  <c r="N38" i="2" s="1"/>
  <c r="K37" i="2"/>
  <c r="N37" i="2" s="1"/>
  <c r="K36" i="2"/>
  <c r="N36" i="2"/>
  <c r="K35" i="2"/>
  <c r="N35" i="2"/>
  <c r="K34" i="2"/>
  <c r="N34" i="2" s="1"/>
  <c r="K33" i="2"/>
  <c r="E32" i="2"/>
  <c r="G40" i="2"/>
  <c r="G39" i="2"/>
  <c r="G38" i="2"/>
  <c r="G37" i="2"/>
  <c r="G36" i="2"/>
  <c r="G35" i="2"/>
  <c r="G34" i="2"/>
  <c r="G33" i="2"/>
  <c r="G32" i="2" s="1"/>
  <c r="F32" i="2" s="1"/>
  <c r="V19" i="2" s="1"/>
  <c r="K49" i="2"/>
  <c r="M117" i="2"/>
  <c r="X28" i="2" s="1"/>
  <c r="M98" i="2"/>
  <c r="X26" i="2"/>
  <c r="M81" i="2"/>
  <c r="X24" i="2"/>
  <c r="M58" i="2"/>
  <c r="X21" i="2"/>
  <c r="M32" i="2"/>
  <c r="X19" i="2"/>
  <c r="M18" i="2"/>
  <c r="M11" i="2"/>
  <c r="M9" i="2" s="1"/>
  <c r="Y19" i="2" s="1"/>
  <c r="K83" i="2"/>
  <c r="I84" i="2"/>
  <c r="K82" i="2"/>
  <c r="N82" i="2"/>
  <c r="K75" i="2"/>
  <c r="N75" i="2"/>
  <c r="K68" i="2"/>
  <c r="K67" i="2" s="1"/>
  <c r="N68" i="2"/>
  <c r="K59" i="2"/>
  <c r="N59" i="2"/>
  <c r="K51" i="2"/>
  <c r="N51" i="2"/>
  <c r="K47" i="2"/>
  <c r="I48" i="2" s="1"/>
  <c r="N47" i="2"/>
  <c r="K45" i="2"/>
  <c r="N45" i="2" s="1"/>
  <c r="K44" i="2"/>
  <c r="N44" i="2" s="1"/>
  <c r="K19" i="2"/>
  <c r="K16" i="2"/>
  <c r="N16" i="2" s="1"/>
  <c r="K15" i="2"/>
  <c r="N15" i="2"/>
  <c r="I14" i="2"/>
  <c r="K14" i="2"/>
  <c r="I13" i="2"/>
  <c r="I11" i="2" s="1"/>
  <c r="K13" i="2"/>
  <c r="N13" i="2"/>
  <c r="K12" i="2"/>
  <c r="G19" i="2"/>
  <c r="G18" i="2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89" i="2"/>
  <c r="G83" i="2"/>
  <c r="E84" i="2" s="1"/>
  <c r="G82" i="2"/>
  <c r="G76" i="2"/>
  <c r="E77" i="2"/>
  <c r="G75" i="2"/>
  <c r="G70" i="2"/>
  <c r="E71" i="2" s="1"/>
  <c r="G71" i="2" s="1"/>
  <c r="E72" i="2" s="1"/>
  <c r="G72" i="2" s="1"/>
  <c r="G68" i="2"/>
  <c r="G59" i="2"/>
  <c r="G51" i="2"/>
  <c r="G49" i="2"/>
  <c r="G47" i="2"/>
  <c r="E48" i="2"/>
  <c r="G48" i="2" s="1"/>
  <c r="G44" i="2"/>
  <c r="G45" i="2"/>
  <c r="E46" i="2" s="1"/>
  <c r="K62" i="2"/>
  <c r="N62" i="2" s="1"/>
  <c r="K64" i="2"/>
  <c r="N64" i="2" s="1"/>
  <c r="I58" i="2"/>
  <c r="T21" i="2"/>
  <c r="W98" i="18"/>
  <c r="Q196" i="18"/>
  <c r="Q195" i="18"/>
  <c r="Q204" i="18"/>
  <c r="Q203" i="18"/>
  <c r="Q367" i="18"/>
  <c r="H14" i="5"/>
  <c r="B118" i="2"/>
  <c r="B119" i="2"/>
  <c r="B120" i="2"/>
  <c r="B121" i="2"/>
  <c r="B122" i="2"/>
  <c r="B123" i="2"/>
  <c r="B124" i="2"/>
  <c r="B111" i="2"/>
  <c r="B112" i="2"/>
  <c r="B113" i="2"/>
  <c r="B114" i="2"/>
  <c r="B115" i="2"/>
  <c r="B99" i="2"/>
  <c r="B91" i="2"/>
  <c r="B92" i="2"/>
  <c r="B93" i="2"/>
  <c r="B94" i="2"/>
  <c r="B95" i="2"/>
  <c r="B96" i="2"/>
  <c r="B43" i="2"/>
  <c r="B44" i="2"/>
  <c r="B45" i="2"/>
  <c r="B46" i="2"/>
  <c r="B47" i="2"/>
  <c r="B48" i="2"/>
  <c r="B49" i="2"/>
  <c r="B50" i="2"/>
  <c r="B51" i="2"/>
  <c r="B33" i="2"/>
  <c r="B34" i="2"/>
  <c r="B35" i="2"/>
  <c r="B36" i="2"/>
  <c r="B37" i="2"/>
  <c r="B38" i="2"/>
  <c r="B39" i="2"/>
  <c r="B40" i="2"/>
  <c r="B19" i="2"/>
  <c r="B20" i="2"/>
  <c r="B21" i="2"/>
  <c r="B22" i="2"/>
  <c r="B23" i="2"/>
  <c r="B24" i="2"/>
  <c r="B25" i="2"/>
  <c r="B26" i="2"/>
  <c r="B27" i="2"/>
  <c r="B12" i="2"/>
  <c r="B13" i="2"/>
  <c r="B14" i="2"/>
  <c r="B15" i="2"/>
  <c r="B16" i="2" s="1"/>
  <c r="Q249" i="18"/>
  <c r="Q250" i="18"/>
  <c r="Q253" i="18"/>
  <c r="Q248" i="18"/>
  <c r="T141" i="18"/>
  <c r="T146" i="18"/>
  <c r="T81" i="18"/>
  <c r="T82" i="18"/>
  <c r="W85" i="18"/>
  <c r="W139" i="18" s="1"/>
  <c r="W144" i="18" s="1"/>
  <c r="O275" i="18"/>
  <c r="Q276" i="18" s="1"/>
  <c r="O269" i="18"/>
  <c r="Q271" i="18" s="1"/>
  <c r="Q270" i="18"/>
  <c r="O225" i="18"/>
  <c r="Q232" i="18" s="1"/>
  <c r="O215" i="18"/>
  <c r="Q215" i="18" s="1"/>
  <c r="O237" i="18"/>
  <c r="Q238" i="18" s="1"/>
  <c r="O144" i="18"/>
  <c r="Q145" i="18" s="1"/>
  <c r="O139" i="18"/>
  <c r="Q139" i="18" s="1"/>
  <c r="O85" i="18"/>
  <c r="O80" i="18"/>
  <c r="Q81" i="18"/>
  <c r="AE29" i="18"/>
  <c r="W161" i="18"/>
  <c r="W157" i="18"/>
  <c r="T153" i="18"/>
  <c r="T158" i="18"/>
  <c r="T163" i="18"/>
  <c r="T166" i="18"/>
  <c r="T169" i="18"/>
  <c r="T172" i="18"/>
  <c r="P170" i="18"/>
  <c r="P159" i="18"/>
  <c r="Q160" i="18" s="1"/>
  <c r="P154" i="18"/>
  <c r="Q154" i="18" s="1"/>
  <c r="P161" i="18"/>
  <c r="Q162" i="18" s="1"/>
  <c r="P156" i="18"/>
  <c r="Q156" i="18" s="1"/>
  <c r="P151" i="18"/>
  <c r="Q151" i="18" s="1"/>
  <c r="P23" i="18"/>
  <c r="Q23" i="18" s="1"/>
  <c r="X23" i="18" s="1"/>
  <c r="Q17" i="18"/>
  <c r="Q6" i="18"/>
  <c r="W51" i="18"/>
  <c r="Q51" i="18"/>
  <c r="Q50" i="18"/>
  <c r="O11" i="18"/>
  <c r="O12" i="18" s="1"/>
  <c r="T176" i="18"/>
  <c r="T180" i="18"/>
  <c r="T181" i="18"/>
  <c r="T182" i="18"/>
  <c r="P226" i="18"/>
  <c r="P227" i="18"/>
  <c r="P228" i="18"/>
  <c r="P233" i="18"/>
  <c r="P234" i="18"/>
  <c r="P225" i="18"/>
  <c r="W225" i="18"/>
  <c r="W237" i="18" s="1"/>
  <c r="Z42" i="18"/>
  <c r="Z41" i="18"/>
  <c r="T111" i="18"/>
  <c r="T110" i="18"/>
  <c r="T109" i="18"/>
  <c r="T108" i="18"/>
  <c r="T44" i="18"/>
  <c r="O37" i="18"/>
  <c r="Q37" i="18" s="1"/>
  <c r="O39" i="18"/>
  <c r="Q39" i="18" s="1"/>
  <c r="Q31" i="18"/>
  <c r="Q32" i="18"/>
  <c r="T142" i="18"/>
  <c r="T383" i="18"/>
  <c r="T382" i="18"/>
  <c r="T381" i="18"/>
  <c r="T365" i="18"/>
  <c r="T364" i="18"/>
  <c r="T341" i="18"/>
  <c r="T340" i="18"/>
  <c r="T339" i="18"/>
  <c r="T338" i="18"/>
  <c r="T323" i="18"/>
  <c r="T322" i="18"/>
  <c r="T258" i="18"/>
  <c r="T257" i="18"/>
  <c r="T256" i="18"/>
  <c r="T255" i="18"/>
  <c r="T213" i="18"/>
  <c r="T205" i="18"/>
  <c r="T190" i="18"/>
  <c r="T189" i="18"/>
  <c r="T188" i="18"/>
  <c r="T187" i="18"/>
  <c r="T186" i="18"/>
  <c r="T185" i="18"/>
  <c r="T173" i="18"/>
  <c r="T150" i="18"/>
  <c r="T149" i="18"/>
  <c r="T148" i="18"/>
  <c r="T147" i="18"/>
  <c r="T138" i="18"/>
  <c r="T137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6" i="18" s="1"/>
  <c r="T84" i="18"/>
  <c r="T143" i="18"/>
  <c r="T273" i="18"/>
  <c r="J151" i="18"/>
  <c r="J190" i="18"/>
  <c r="I190" i="18"/>
  <c r="F16" i="3" s="1"/>
  <c r="I339" i="18"/>
  <c r="F20" i="3" s="1"/>
  <c r="G15" i="2"/>
  <c r="E14" i="2"/>
  <c r="G14" i="2"/>
  <c r="E13" i="2"/>
  <c r="G263" i="18"/>
  <c r="Z28" i="18" s="1"/>
  <c r="G260" i="18"/>
  <c r="G259" i="18"/>
  <c r="Z27" i="18"/>
  <c r="G258" i="18"/>
  <c r="Z26" i="18" s="1"/>
  <c r="G215" i="18"/>
  <c r="G214" i="18"/>
  <c r="Z24" i="18" s="1"/>
  <c r="AA24" i="18" s="1"/>
  <c r="F214" i="18"/>
  <c r="G115" i="18"/>
  <c r="Z22" i="18" s="1"/>
  <c r="G54" i="18"/>
  <c r="Z23" i="18" s="1"/>
  <c r="G31" i="18"/>
  <c r="G23" i="18"/>
  <c r="I23" i="18" s="1"/>
  <c r="F10" i="3" s="1"/>
  <c r="G6" i="18"/>
  <c r="G16" i="2"/>
  <c r="J258" i="18"/>
  <c r="Y46" i="18"/>
  <c r="Y45" i="18"/>
  <c r="Y44" i="18"/>
  <c r="Y43" i="18"/>
  <c r="Y42" i="18"/>
  <c r="Y41" i="18"/>
  <c r="Y40" i="18"/>
  <c r="Y39" i="18"/>
  <c r="J366" i="18"/>
  <c r="J342" i="18"/>
  <c r="J324" i="18"/>
  <c r="J214" i="18"/>
  <c r="J53" i="18"/>
  <c r="J31" i="18"/>
  <c r="J23" i="18"/>
  <c r="J6" i="18"/>
  <c r="V6" i="18" s="1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66" i="18"/>
  <c r="F22" i="3"/>
  <c r="X339" i="18"/>
  <c r="H20" i="3" s="1"/>
  <c r="I324" i="18"/>
  <c r="F19" i="3" s="1"/>
  <c r="I342" i="18"/>
  <c r="F21" i="3" s="1"/>
  <c r="I92" i="18"/>
  <c r="F13" i="3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/>
  <c r="H9" i="9"/>
  <c r="L9" i="9"/>
  <c r="L43" i="9"/>
  <c r="E23" i="5"/>
  <c r="D6" i="7"/>
  <c r="J20" i="7"/>
  <c r="J29" i="7"/>
  <c r="D15" i="7"/>
  <c r="D34" i="7"/>
  <c r="D40" i="7"/>
  <c r="B40" i="7"/>
  <c r="J6" i="7"/>
  <c r="O20" i="7"/>
  <c r="O29" i="7"/>
  <c r="O6" i="7"/>
  <c r="E6" i="7"/>
  <c r="E20" i="7"/>
  <c r="D29" i="7"/>
  <c r="O15" i="7"/>
  <c r="J15" i="7"/>
  <c r="F29" i="9"/>
  <c r="H36" i="9"/>
  <c r="H29" i="9"/>
  <c r="H23" i="9"/>
  <c r="H43" i="9"/>
  <c r="W226" i="18"/>
  <c r="W238" i="18" s="1"/>
  <c r="T88" i="18"/>
  <c r="T83" i="18"/>
  <c r="T89" i="18"/>
  <c r="L1" i="6"/>
  <c r="W140" i="18"/>
  <c r="W145" i="18" s="1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/>
  <c r="I67" i="2"/>
  <c r="I77" i="2"/>
  <c r="K76" i="2"/>
  <c r="N76" i="2"/>
  <c r="K92" i="2"/>
  <c r="I93" i="2"/>
  <c r="I118" i="2"/>
  <c r="K118" i="2"/>
  <c r="P447" i="18"/>
  <c r="P448" i="18"/>
  <c r="K99" i="2"/>
  <c r="D24" i="13"/>
  <c r="D25" i="14"/>
  <c r="E24" i="13"/>
  <c r="F24" i="13"/>
  <c r="I72" i="2"/>
  <c r="N70" i="2"/>
  <c r="X324" i="18"/>
  <c r="H19" i="3" s="1"/>
  <c r="K93" i="2"/>
  <c r="I94" i="2" s="1"/>
  <c r="N92" i="2"/>
  <c r="N99" i="2"/>
  <c r="N118" i="2"/>
  <c r="K72" i="2"/>
  <c r="N69" i="2"/>
  <c r="K77" i="2"/>
  <c r="I79" i="2"/>
  <c r="I119" i="2"/>
  <c r="K119" i="2" s="1"/>
  <c r="N119" i="2" s="1"/>
  <c r="K111" i="2"/>
  <c r="N111" i="2" s="1"/>
  <c r="K103" i="2"/>
  <c r="K112" i="2"/>
  <c r="I104" i="2"/>
  <c r="N103" i="2"/>
  <c r="N112" i="2"/>
  <c r="K104" i="2"/>
  <c r="N104" i="2" s="1"/>
  <c r="K108" i="2"/>
  <c r="J9" i="2"/>
  <c r="I120" i="2"/>
  <c r="K120" i="2"/>
  <c r="N120" i="2" s="1"/>
  <c r="K113" i="2"/>
  <c r="N113" i="2"/>
  <c r="I115" i="2"/>
  <c r="K115" i="2"/>
  <c r="N115" i="2" s="1"/>
  <c r="I110" i="2"/>
  <c r="T27" i="2"/>
  <c r="I122" i="2"/>
  <c r="K122" i="2"/>
  <c r="N122" i="2" s="1"/>
  <c r="BI9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Q221" i="18"/>
  <c r="Q242" i="18"/>
  <c r="Q240" i="18"/>
  <c r="Q144" i="18"/>
  <c r="Q146" i="18"/>
  <c r="W87" i="18"/>
  <c r="W141" i="18"/>
  <c r="W146" i="18"/>
  <c r="W271" i="18"/>
  <c r="W277" i="18"/>
  <c r="Q164" i="18" l="1"/>
  <c r="O216" i="18"/>
  <c r="Q219" i="18"/>
  <c r="Q218" i="18"/>
  <c r="Q222" i="18"/>
  <c r="X342" i="18"/>
  <c r="H21" i="3" s="1"/>
  <c r="J21" i="3" s="1"/>
  <c r="Q217" i="18"/>
  <c r="W80" i="18"/>
  <c r="Q241" i="18"/>
  <c r="IF5" i="6"/>
  <c r="Q155" i="18"/>
  <c r="K110" i="2"/>
  <c r="N50" i="2"/>
  <c r="N14" i="2"/>
  <c r="N93" i="2"/>
  <c r="N72" i="2"/>
  <c r="N67" i="2" s="1"/>
  <c r="N131" i="2"/>
  <c r="I133" i="2"/>
  <c r="K133" i="2" s="1"/>
  <c r="N133" i="2" s="1"/>
  <c r="N130" i="2"/>
  <c r="K132" i="2"/>
  <c r="K124" i="2" s="1"/>
  <c r="J110" i="2"/>
  <c r="U27" i="2" s="1"/>
  <c r="W27" i="2"/>
  <c r="I101" i="2"/>
  <c r="N100" i="2"/>
  <c r="N43" i="2"/>
  <c r="I42" i="2"/>
  <c r="T20" i="2" s="1"/>
  <c r="K46" i="2"/>
  <c r="N46" i="2" s="1"/>
  <c r="N33" i="2"/>
  <c r="N32" i="2" s="1"/>
  <c r="I89" i="2"/>
  <c r="K32" i="2"/>
  <c r="I86" i="2"/>
  <c r="N49" i="2"/>
  <c r="K84" i="2"/>
  <c r="N84" i="2" s="1"/>
  <c r="W22" i="2"/>
  <c r="J67" i="2"/>
  <c r="U22" i="2" s="1"/>
  <c r="K48" i="2"/>
  <c r="N19" i="2"/>
  <c r="I20" i="2"/>
  <c r="K11" i="2"/>
  <c r="J11" i="2" s="1"/>
  <c r="N12" i="2"/>
  <c r="E20" i="2"/>
  <c r="N60" i="2"/>
  <c r="N58" i="2" s="1"/>
  <c r="K58" i="2"/>
  <c r="G92" i="2"/>
  <c r="G84" i="2"/>
  <c r="G77" i="2"/>
  <c r="E69" i="2"/>
  <c r="E60" i="2"/>
  <c r="E50" i="2"/>
  <c r="G50" i="2" s="1"/>
  <c r="E42" i="2"/>
  <c r="G46" i="2"/>
  <c r="G42" i="2" s="1"/>
  <c r="F42" i="2" s="1"/>
  <c r="V20" i="2" s="1"/>
  <c r="G13" i="2"/>
  <c r="G11" i="2" s="1"/>
  <c r="F11" i="2" s="1"/>
  <c r="E11" i="2"/>
  <c r="F20" i="5"/>
  <c r="BO9" i="6" s="1"/>
  <c r="F16" i="5"/>
  <c r="F21" i="5"/>
  <c r="F15" i="5"/>
  <c r="C3" i="6"/>
  <c r="AK9" i="6"/>
  <c r="F23" i="5"/>
  <c r="F4" i="5" s="1"/>
  <c r="K94" i="2"/>
  <c r="I78" i="2"/>
  <c r="N77" i="2"/>
  <c r="K79" i="2"/>
  <c r="N79" i="2" s="1"/>
  <c r="N123" i="2"/>
  <c r="X383" i="18"/>
  <c r="H23" i="3" s="1"/>
  <c r="J23" i="3" s="1"/>
  <c r="Z53" i="18"/>
  <c r="Z54" i="18" s="1"/>
  <c r="Q141" i="18"/>
  <c r="Q228" i="18"/>
  <c r="Q140" i="18"/>
  <c r="X115" i="18" s="1"/>
  <c r="Q161" i="18"/>
  <c r="Q157" i="18"/>
  <c r="J20" i="3"/>
  <c r="FO5" i="6"/>
  <c r="CG5" i="6"/>
  <c r="I53" i="18"/>
  <c r="F12" i="3" s="1"/>
  <c r="I115" i="18"/>
  <c r="F14" i="3" s="1"/>
  <c r="Q234" i="18"/>
  <c r="O226" i="18"/>
  <c r="Q227" i="18"/>
  <c r="X190" i="18"/>
  <c r="H16" i="3" s="1"/>
  <c r="J16" i="3" s="1"/>
  <c r="Q231" i="18"/>
  <c r="Q229" i="18"/>
  <c r="Q277" i="18"/>
  <c r="Q275" i="18"/>
  <c r="I214" i="18"/>
  <c r="F17" i="3" s="1"/>
  <c r="DS5" i="6"/>
  <c r="JQ5" i="6"/>
  <c r="BX5" i="6"/>
  <c r="Q230" i="18"/>
  <c r="J13" i="3"/>
  <c r="J2" i="18"/>
  <c r="J4" i="18" s="1"/>
  <c r="U29" i="18"/>
  <c r="Q45" i="18"/>
  <c r="X31" i="18" s="1"/>
  <c r="Q233" i="18"/>
  <c r="J19" i="3"/>
  <c r="DE5" i="6"/>
  <c r="DR5" i="6"/>
  <c r="HV5" i="6"/>
  <c r="U335" i="18"/>
  <c r="KB5" i="6"/>
  <c r="AQ5" i="6"/>
  <c r="P5" i="6"/>
  <c r="KO5" i="6"/>
  <c r="CT5" i="6"/>
  <c r="EO5" i="6"/>
  <c r="I258" i="18"/>
  <c r="F18" i="3" s="1"/>
  <c r="Q226" i="18"/>
  <c r="DB5" i="6"/>
  <c r="Q159" i="18"/>
  <c r="AL5" i="6"/>
  <c r="Q269" i="18"/>
  <c r="GT5" i="6"/>
  <c r="K5" i="6"/>
  <c r="FI5" i="6"/>
  <c r="JN5" i="6"/>
  <c r="AT5" i="6"/>
  <c r="G5" i="6"/>
  <c r="CK5" i="6"/>
  <c r="EC5" i="6"/>
  <c r="T160" i="18"/>
  <c r="W162" i="18"/>
  <c r="AA5" i="6"/>
  <c r="I6" i="18"/>
  <c r="AJ11" i="6"/>
  <c r="AI11" i="6"/>
  <c r="I31" i="18"/>
  <c r="F11" i="3" s="1"/>
  <c r="AG5" i="6"/>
  <c r="LD5" i="6"/>
  <c r="X6" i="18"/>
  <c r="H10" i="3"/>
  <c r="J10" i="3" s="1"/>
  <c r="U25" i="18"/>
  <c r="IQ5" i="6"/>
  <c r="FA5" i="6"/>
  <c r="HN5" i="6"/>
  <c r="LA5" i="6"/>
  <c r="HG5" i="6"/>
  <c r="IR5" i="6"/>
  <c r="EI5" i="6"/>
  <c r="FT5" i="6"/>
  <c r="DX5" i="6"/>
  <c r="FQ5" i="6"/>
  <c r="BC5" i="6"/>
  <c r="BZ5" i="6"/>
  <c r="AO5" i="6"/>
  <c r="IX5" i="6"/>
  <c r="IE5" i="6"/>
  <c r="AR5" i="6"/>
  <c r="JV5" i="6"/>
  <c r="AK5" i="6"/>
  <c r="HF5" i="6"/>
  <c r="GA5" i="6"/>
  <c r="BS5" i="6"/>
  <c r="FR5" i="6"/>
  <c r="AC5" i="6"/>
  <c r="CC5" i="6"/>
  <c r="HX5" i="6"/>
  <c r="AB5" i="6"/>
  <c r="HR5" i="6"/>
  <c r="KM5" i="6"/>
  <c r="GS5" i="6"/>
  <c r="CH5" i="6"/>
  <c r="HY5" i="6"/>
  <c r="FD5" i="6"/>
  <c r="EW5" i="6"/>
  <c r="JW5" i="6"/>
  <c r="AS5" i="6"/>
  <c r="HU5" i="6"/>
  <c r="BP5" i="6"/>
  <c r="ER5" i="6"/>
  <c r="EQ5" i="6"/>
  <c r="DT5" i="6"/>
  <c r="CP5" i="6"/>
  <c r="LC5" i="6"/>
  <c r="S5" i="6"/>
  <c r="KN5" i="6"/>
  <c r="DN5" i="6"/>
  <c r="GK5" i="6"/>
  <c r="FK5" i="6"/>
  <c r="Z5" i="6"/>
  <c r="GB5" i="6"/>
  <c r="DV5" i="6"/>
  <c r="JB5" i="6"/>
  <c r="JG5" i="6"/>
  <c r="HT5" i="6"/>
  <c r="FS5" i="6"/>
  <c r="JY5" i="6"/>
  <c r="KI5" i="6"/>
  <c r="KA5" i="6"/>
  <c r="EL5" i="6"/>
  <c r="KX5" i="6"/>
  <c r="BA5" i="6"/>
  <c r="BD5" i="6"/>
  <c r="AW5" i="6"/>
  <c r="KR5" i="6"/>
  <c r="FZ5" i="6"/>
  <c r="JC5" i="6"/>
  <c r="BJ5" i="6"/>
  <c r="BV5" i="6"/>
  <c r="CD5" i="6"/>
  <c r="T5" i="6"/>
  <c r="HO5" i="6"/>
  <c r="AF5" i="6"/>
  <c r="J5" i="6"/>
  <c r="GU5" i="6"/>
  <c r="II5" i="6"/>
  <c r="ID5" i="6"/>
  <c r="GI5" i="6"/>
  <c r="GG5" i="6"/>
  <c r="CM5" i="6"/>
  <c r="IZ5" i="6"/>
  <c r="CW5" i="6"/>
  <c r="KP5" i="6"/>
  <c r="DF5" i="6"/>
  <c r="CZ5" i="6"/>
  <c r="EY5" i="6"/>
  <c r="FB5" i="6"/>
  <c r="CB5" i="6"/>
  <c r="FM5" i="6"/>
  <c r="HC5" i="6"/>
  <c r="JL5" i="6"/>
  <c r="Q5" i="6"/>
  <c r="IH5" i="6"/>
  <c r="BR5" i="6"/>
  <c r="BK5" i="6"/>
  <c r="CO5" i="6"/>
  <c r="HI5" i="6"/>
  <c r="KG5" i="6"/>
  <c r="CN5" i="6"/>
  <c r="JA5" i="6"/>
  <c r="FN5" i="6"/>
  <c r="AI5" i="6"/>
  <c r="V5" i="6"/>
  <c r="HB5" i="6"/>
  <c r="BI5" i="6"/>
  <c r="DJ5" i="6"/>
  <c r="AU5" i="6"/>
  <c r="CJ5" i="6"/>
  <c r="KD5" i="6"/>
  <c r="KT5" i="6"/>
  <c r="HQ5" i="6"/>
  <c r="HM5" i="6"/>
  <c r="KQ5" i="6"/>
  <c r="EU5" i="6"/>
  <c r="KZ5" i="6"/>
  <c r="EK5" i="6"/>
  <c r="EZ5" i="6"/>
  <c r="W5" i="6"/>
  <c r="O5" i="6"/>
  <c r="CE5" i="6"/>
  <c r="IS5" i="6"/>
  <c r="IY5" i="6"/>
  <c r="IW5" i="6"/>
  <c r="KS5" i="6"/>
  <c r="HA5" i="6"/>
  <c r="GX5" i="6"/>
  <c r="DG5" i="6"/>
  <c r="AY5" i="6"/>
  <c r="JP5" i="6"/>
  <c r="IT5" i="6"/>
  <c r="DL5" i="6"/>
  <c r="GJ5" i="6"/>
  <c r="EB5" i="6"/>
  <c r="IK5" i="6"/>
  <c r="CF5" i="6"/>
  <c r="EF5" i="6"/>
  <c r="DD5" i="6"/>
  <c r="AH5" i="6"/>
  <c r="DO5" i="6"/>
  <c r="U5" i="6"/>
  <c r="GC5" i="6"/>
  <c r="ET5" i="6"/>
  <c r="JS5" i="6"/>
  <c r="Y5" i="6"/>
  <c r="BF5" i="6"/>
  <c r="JD5" i="6"/>
  <c r="IP5" i="6"/>
  <c r="DY5" i="6"/>
  <c r="F5" i="6"/>
  <c r="FH5" i="6"/>
  <c r="FJ5" i="6"/>
  <c r="IM5" i="6"/>
  <c r="EN5" i="6"/>
  <c r="L5" i="6"/>
  <c r="JE5" i="6"/>
  <c r="GH5" i="6"/>
  <c r="LB5" i="6"/>
  <c r="DH5" i="6"/>
  <c r="GL5" i="6"/>
  <c r="AP5" i="6"/>
  <c r="EP5" i="6"/>
  <c r="JR5" i="6"/>
  <c r="ES5" i="6"/>
  <c r="IC5" i="6"/>
  <c r="BH5" i="6"/>
  <c r="BB5" i="6"/>
  <c r="JT5" i="6"/>
  <c r="CR5" i="6"/>
  <c r="IG5" i="6"/>
  <c r="KW5" i="6"/>
  <c r="KU5" i="6"/>
  <c r="HS5" i="6"/>
  <c r="BW5" i="6"/>
  <c r="KH5" i="6"/>
  <c r="GY5" i="6"/>
  <c r="CS5" i="6"/>
  <c r="BY5" i="6"/>
  <c r="BL5" i="6"/>
  <c r="GM5" i="6"/>
  <c r="GE5" i="6"/>
  <c r="DM5" i="6"/>
  <c r="GR5" i="6"/>
  <c r="KJ5" i="6"/>
  <c r="GD5" i="6"/>
  <c r="JH5" i="6"/>
  <c r="JU5" i="6"/>
  <c r="I5" i="6"/>
  <c r="FG5" i="6"/>
  <c r="DQ5" i="6"/>
  <c r="IA5" i="6"/>
  <c r="BQ5" i="6"/>
  <c r="HP5" i="6"/>
  <c r="BM5" i="6"/>
  <c r="JM5" i="6"/>
  <c r="JZ5" i="6"/>
  <c r="JX5" i="6"/>
  <c r="BU5" i="6"/>
  <c r="IV5" i="6"/>
  <c r="EG5" i="6"/>
  <c r="JI5" i="6"/>
  <c r="GQ5" i="6"/>
  <c r="CV5" i="6"/>
  <c r="JJ5" i="6"/>
  <c r="AZ5" i="6"/>
  <c r="FF5" i="6"/>
  <c r="DC5" i="6"/>
  <c r="KF5" i="6"/>
  <c r="BT5" i="6"/>
  <c r="FW5" i="6"/>
  <c r="DA5" i="6"/>
  <c r="HJ5" i="6"/>
  <c r="M5" i="6"/>
  <c r="FX5" i="6"/>
  <c r="AV5" i="6"/>
  <c r="EM5" i="6"/>
  <c r="CA5" i="6"/>
  <c r="GW5" i="6"/>
  <c r="DZ5" i="6"/>
  <c r="DU5" i="6"/>
  <c r="AE5" i="6"/>
  <c r="AJ5" i="6"/>
  <c r="HD5" i="6"/>
  <c r="CQ5" i="6"/>
  <c r="FC5" i="6"/>
  <c r="AD5" i="6"/>
  <c r="HK5" i="6"/>
  <c r="IL5" i="6"/>
  <c r="JK5" i="6"/>
  <c r="GN5" i="6"/>
  <c r="CU5" i="6"/>
  <c r="GO5" i="6"/>
  <c r="EH5" i="6"/>
  <c r="EX5" i="6"/>
  <c r="KV5" i="6"/>
  <c r="IJ5" i="6"/>
  <c r="FU5" i="6"/>
  <c r="GP5" i="6"/>
  <c r="IO5" i="6"/>
  <c r="DW5" i="6"/>
  <c r="BN5" i="6"/>
  <c r="N5" i="6"/>
  <c r="KE5" i="6"/>
  <c r="EV5" i="6"/>
  <c r="HW5" i="6"/>
  <c r="HZ5" i="6"/>
  <c r="EA5" i="6"/>
  <c r="X5" i="6"/>
  <c r="FY5" i="6"/>
  <c r="FE5" i="6"/>
  <c r="GF5" i="6"/>
  <c r="FV5" i="6"/>
  <c r="JO5" i="6"/>
  <c r="JF5" i="6"/>
  <c r="HE5" i="6"/>
  <c r="KY5" i="6"/>
  <c r="BG5" i="6"/>
  <c r="BE5" i="6"/>
  <c r="KC5" i="6"/>
  <c r="CI5" i="6"/>
  <c r="KL5" i="6"/>
  <c r="DK5" i="6"/>
  <c r="AX5" i="6"/>
  <c r="CL5" i="6"/>
  <c r="KK5" i="6"/>
  <c r="CY5" i="6"/>
  <c r="HH5" i="6"/>
  <c r="CX5" i="6"/>
  <c r="IU5" i="6"/>
  <c r="EE5" i="6"/>
  <c r="EJ5" i="6"/>
  <c r="AN5" i="6"/>
  <c r="FL5" i="6"/>
  <c r="DP5" i="6"/>
  <c r="H5" i="6"/>
  <c r="R5" i="6"/>
  <c r="IB5" i="6"/>
  <c r="DI5" i="6"/>
  <c r="HL5" i="6"/>
  <c r="GZ5" i="6"/>
  <c r="ED5" i="6"/>
  <c r="FP5" i="6"/>
  <c r="AM5" i="6"/>
  <c r="GV5" i="6"/>
  <c r="BO5" i="6"/>
  <c r="IN5" i="6"/>
  <c r="U364" i="18"/>
  <c r="V342" i="18" s="1"/>
  <c r="Q80" i="18"/>
  <c r="Q82" i="18"/>
  <c r="Q87" i="18"/>
  <c r="Q85" i="18"/>
  <c r="U111" i="18"/>
  <c r="U110" i="18"/>
  <c r="U113" i="18"/>
  <c r="U92" i="18"/>
  <c r="U109" i="18"/>
  <c r="U108" i="18"/>
  <c r="U103" i="18"/>
  <c r="U112" i="18"/>
  <c r="N110" i="2"/>
  <c r="F215" i="18"/>
  <c r="Z25" i="18"/>
  <c r="U334" i="18"/>
  <c r="U324" i="18"/>
  <c r="Q86" i="18"/>
  <c r="Q245" i="18"/>
  <c r="Q244" i="18"/>
  <c r="Q243" i="18"/>
  <c r="Q239" i="18"/>
  <c r="O238" i="18"/>
  <c r="Q237" i="18"/>
  <c r="Q216" i="18"/>
  <c r="Q220" i="18"/>
  <c r="X366" i="18"/>
  <c r="Q225" i="18"/>
  <c r="IZ11" i="6" l="1"/>
  <c r="U143" i="18"/>
  <c r="U138" i="18"/>
  <c r="N11" i="2"/>
  <c r="N132" i="2"/>
  <c r="K101" i="2"/>
  <c r="N101" i="2" s="1"/>
  <c r="K89" i="2"/>
  <c r="N89" i="2" s="1"/>
  <c r="J32" i="2"/>
  <c r="U19" i="2" s="1"/>
  <c r="W19" i="2"/>
  <c r="K86" i="2"/>
  <c r="N86" i="2" s="1"/>
  <c r="I85" i="2"/>
  <c r="K20" i="2"/>
  <c r="N20" i="2" s="1"/>
  <c r="G20" i="2"/>
  <c r="W21" i="2"/>
  <c r="J58" i="2"/>
  <c r="U21" i="2" s="1"/>
  <c r="E93" i="2"/>
  <c r="E85" i="2"/>
  <c r="E78" i="2"/>
  <c r="G69" i="2"/>
  <c r="G67" i="2" s="1"/>
  <c r="E67" i="2"/>
  <c r="G60" i="2"/>
  <c r="AF9" i="6"/>
  <c r="AN9" i="6"/>
  <c r="C9" i="6"/>
  <c r="T4" i="5"/>
  <c r="S4" i="5"/>
  <c r="I74" i="2"/>
  <c r="T23" i="2" s="1"/>
  <c r="K78" i="2"/>
  <c r="N78" i="2" s="1"/>
  <c r="N74" i="2" s="1"/>
  <c r="N48" i="2"/>
  <c r="N42" i="2" s="1"/>
  <c r="K42" i="2"/>
  <c r="I95" i="2"/>
  <c r="N94" i="2"/>
  <c r="AA25" i="18"/>
  <c r="Z32" i="18"/>
  <c r="Z33" i="18" s="1"/>
  <c r="Z35" i="18" s="1"/>
  <c r="FD11" i="6"/>
  <c r="BW11" i="6"/>
  <c r="KQ11" i="6"/>
  <c r="KU11" i="6"/>
  <c r="IR11" i="6"/>
  <c r="DH11" i="6"/>
  <c r="IL11" i="6"/>
  <c r="H14" i="3"/>
  <c r="J14" i="3" s="1"/>
  <c r="JX11" i="6"/>
  <c r="LC11" i="6"/>
  <c r="U148" i="18"/>
  <c r="EI11" i="6"/>
  <c r="EE11" i="6"/>
  <c r="U147" i="18"/>
  <c r="II11" i="6"/>
  <c r="U142" i="18"/>
  <c r="BM11" i="6"/>
  <c r="U115" i="18"/>
  <c r="U149" i="18"/>
  <c r="U137" i="18"/>
  <c r="HF11" i="6"/>
  <c r="X151" i="18"/>
  <c r="U181" i="18" s="1"/>
  <c r="CU11" i="6"/>
  <c r="GR11" i="6"/>
  <c r="X258" i="18"/>
  <c r="U321" i="18" s="1"/>
  <c r="KH11" i="6"/>
  <c r="AB11" i="6"/>
  <c r="AT11" i="6"/>
  <c r="BX11" i="6"/>
  <c r="DQ11" i="6"/>
  <c r="FL11" i="6"/>
  <c r="IA11" i="6"/>
  <c r="JS11" i="6"/>
  <c r="FS11" i="6"/>
  <c r="DL11" i="6"/>
  <c r="BH11" i="6"/>
  <c r="U190" i="18"/>
  <c r="IX11" i="6"/>
  <c r="GC11" i="6"/>
  <c r="I11" i="6"/>
  <c r="AE11" i="6"/>
  <c r="V23" i="18"/>
  <c r="JB11" i="6"/>
  <c r="X53" i="18"/>
  <c r="U53" i="18" s="1"/>
  <c r="KN11" i="6"/>
  <c r="DN11" i="6"/>
  <c r="FA11" i="6"/>
  <c r="AS11" i="6"/>
  <c r="HI11" i="6"/>
  <c r="U205" i="18"/>
  <c r="CQ11" i="6"/>
  <c r="DV11" i="6"/>
  <c r="FN11" i="6"/>
  <c r="BI11" i="6"/>
  <c r="DC11" i="6"/>
  <c r="DR11" i="6"/>
  <c r="S11" i="6"/>
  <c r="GI11" i="6"/>
  <c r="JO11" i="6"/>
  <c r="CT11" i="6"/>
  <c r="DE11" i="6"/>
  <c r="CS11" i="6"/>
  <c r="BT11" i="6"/>
  <c r="IO11" i="6"/>
  <c r="FF11" i="6"/>
  <c r="AO11" i="6"/>
  <c r="LD11" i="6"/>
  <c r="V11" i="6"/>
  <c r="KA11" i="6"/>
  <c r="FQ11" i="6"/>
  <c r="M11" i="6"/>
  <c r="IF11" i="6"/>
  <c r="DT11" i="6"/>
  <c r="HZ11" i="6"/>
  <c r="HL11" i="6"/>
  <c r="KK11" i="6"/>
  <c r="EV11" i="6"/>
  <c r="KT11" i="6"/>
  <c r="JA11" i="6"/>
  <c r="DZ11" i="6"/>
  <c r="BV11" i="6"/>
  <c r="FW11" i="6"/>
  <c r="HW11" i="6"/>
  <c r="DY11" i="6"/>
  <c r="AG11" i="6"/>
  <c r="AZ11" i="6"/>
  <c r="KD11" i="6"/>
  <c r="KL11" i="6"/>
  <c r="GG11" i="6"/>
  <c r="HK11" i="6"/>
  <c r="JL11" i="6"/>
  <c r="CL11" i="6"/>
  <c r="GH11" i="6"/>
  <c r="N11" i="6"/>
  <c r="IY11" i="6"/>
  <c r="GA11" i="6"/>
  <c r="BE11" i="6"/>
  <c r="EX11" i="6"/>
  <c r="FB11" i="6"/>
  <c r="AY11" i="6"/>
  <c r="JF11" i="6"/>
  <c r="CY11" i="6"/>
  <c r="GT11" i="6"/>
  <c r="R11" i="6"/>
  <c r="IS11" i="6"/>
  <c r="HN11" i="6"/>
  <c r="IG11" i="6"/>
  <c r="HY11" i="6"/>
  <c r="JU11" i="6"/>
  <c r="HT11" i="6"/>
  <c r="JH11" i="6"/>
  <c r="EQ11" i="6"/>
  <c r="BD11" i="6"/>
  <c r="EZ11" i="6"/>
  <c r="EY11" i="6"/>
  <c r="CO11" i="6"/>
  <c r="EP11" i="6"/>
  <c r="BP11" i="6"/>
  <c r="HG11" i="6"/>
  <c r="CC11" i="6"/>
  <c r="GU11" i="6"/>
  <c r="CX11" i="6"/>
  <c r="CF11" i="6"/>
  <c r="IP11" i="6"/>
  <c r="F11" i="6"/>
  <c r="F12" i="6" s="1"/>
  <c r="CJ11" i="6"/>
  <c r="ER11" i="6"/>
  <c r="GS11" i="6"/>
  <c r="FO11" i="6"/>
  <c r="EN11" i="6"/>
  <c r="DA11" i="6"/>
  <c r="CE11" i="6"/>
  <c r="EF11" i="6"/>
  <c r="V324" i="18"/>
  <c r="FP11" i="6"/>
  <c r="EO11" i="6"/>
  <c r="EK11" i="6"/>
  <c r="Q11" i="6"/>
  <c r="EM11" i="6"/>
  <c r="CB11" i="6"/>
  <c r="ED11" i="6"/>
  <c r="HS11" i="6"/>
  <c r="JJ11" i="6"/>
  <c r="DW11" i="6"/>
  <c r="AK11" i="6"/>
  <c r="KR11" i="6"/>
  <c r="LA11" i="6"/>
  <c r="EG11" i="6"/>
  <c r="FU11" i="6"/>
  <c r="HP11" i="6"/>
  <c r="HX11" i="6"/>
  <c r="IV11" i="6"/>
  <c r="HV11" i="6"/>
  <c r="KM11" i="6"/>
  <c r="CV11" i="6"/>
  <c r="KB11" i="6"/>
  <c r="DM11" i="6"/>
  <c r="DU11" i="6"/>
  <c r="JZ11" i="6"/>
  <c r="JK11" i="6"/>
  <c r="HO11" i="6"/>
  <c r="AX11" i="6"/>
  <c r="GE11" i="6"/>
  <c r="EB11" i="6"/>
  <c r="JW11" i="6"/>
  <c r="GL11" i="6"/>
  <c r="JV11" i="6"/>
  <c r="IW11" i="6"/>
  <c r="BU11" i="6"/>
  <c r="CP11" i="6"/>
  <c r="KJ11" i="6"/>
  <c r="KG11" i="6"/>
  <c r="EA11" i="6"/>
  <c r="ET11" i="6"/>
  <c r="D5" i="6"/>
  <c r="F6" i="6"/>
  <c r="H22" i="3"/>
  <c r="J22" i="3" s="1"/>
  <c r="F9" i="3"/>
  <c r="I2" i="18"/>
  <c r="V92" i="18"/>
  <c r="X214" i="18"/>
  <c r="AL11" i="6"/>
  <c r="H9" i="3"/>
  <c r="AC11" i="6"/>
  <c r="FK11" i="6"/>
  <c r="JQ11" i="6"/>
  <c r="G11" i="6"/>
  <c r="AF11" i="6"/>
  <c r="KO11" i="6"/>
  <c r="GY11" i="6"/>
  <c r="BS11" i="6"/>
  <c r="EC11" i="6"/>
  <c r="HC11" i="6"/>
  <c r="DK11" i="6"/>
  <c r="GB11" i="6"/>
  <c r="U43" i="18"/>
  <c r="U44" i="18"/>
  <c r="H11" i="3"/>
  <c r="J11" i="3" s="1"/>
  <c r="U42" i="18"/>
  <c r="P11" i="6"/>
  <c r="AU11" i="6"/>
  <c r="KE11" i="6"/>
  <c r="JP11" i="6"/>
  <c r="EH11" i="6"/>
  <c r="Y11" i="6"/>
  <c r="JN11" i="6"/>
  <c r="FH11" i="6"/>
  <c r="HM11" i="6"/>
  <c r="FM11" i="6"/>
  <c r="GP11" i="6"/>
  <c r="EU11" i="6"/>
  <c r="CH11" i="6"/>
  <c r="JE11" i="6"/>
  <c r="IJ11" i="6"/>
  <c r="CG11" i="6"/>
  <c r="HE11" i="6"/>
  <c r="GQ11" i="6"/>
  <c r="CA11" i="6"/>
  <c r="KV11" i="6"/>
  <c r="GM11" i="6"/>
  <c r="KC11" i="6"/>
  <c r="O11" i="6"/>
  <c r="IK11" i="6"/>
  <c r="FG11" i="6"/>
  <c r="JM11" i="6"/>
  <c r="IT11" i="6"/>
  <c r="HA11" i="6"/>
  <c r="FX11" i="6"/>
  <c r="IC11" i="6"/>
  <c r="KP11" i="6"/>
  <c r="DS11" i="6"/>
  <c r="AH11" i="6"/>
  <c r="GN11" i="6"/>
  <c r="AQ11" i="6"/>
  <c r="CZ11" i="6"/>
  <c r="KW11" i="6"/>
  <c r="GF11" i="6"/>
  <c r="GD11" i="6"/>
  <c r="JC11" i="6"/>
  <c r="U11" i="6"/>
  <c r="AR11" i="6"/>
  <c r="CM11" i="6"/>
  <c r="JY11" i="6"/>
  <c r="H11" i="6"/>
  <c r="FR11" i="6"/>
  <c r="HB11" i="6"/>
  <c r="KI11" i="6"/>
  <c r="DI11" i="6"/>
  <c r="CN11" i="6"/>
  <c r="FI11" i="6"/>
  <c r="AA11" i="6"/>
  <c r="FV11" i="6"/>
  <c r="DJ11" i="6"/>
  <c r="HQ11" i="6"/>
  <c r="IU11" i="6"/>
  <c r="IH11" i="6"/>
  <c r="BL11" i="6"/>
  <c r="IM11" i="6"/>
  <c r="FZ11" i="6"/>
  <c r="AD11" i="6"/>
  <c r="GK11" i="6"/>
  <c r="BB11" i="6"/>
  <c r="AV11" i="6"/>
  <c r="HD11" i="6"/>
  <c r="LB11" i="6"/>
  <c r="AM11" i="6"/>
  <c r="J11" i="6"/>
  <c r="Z11" i="6"/>
  <c r="BO11" i="6"/>
  <c r="BJ11" i="6"/>
  <c r="BZ11" i="6"/>
  <c r="FY11" i="6"/>
  <c r="DF11" i="6"/>
  <c r="CK11" i="6"/>
  <c r="BN11" i="6"/>
  <c r="KS11" i="6"/>
  <c r="KY11" i="6"/>
  <c r="CW11" i="6"/>
  <c r="AP11" i="6"/>
  <c r="JR11" i="6"/>
  <c r="BC11" i="6"/>
  <c r="IE11" i="6"/>
  <c r="GX11" i="6"/>
  <c r="FT11" i="6"/>
  <c r="HH11" i="6"/>
  <c r="ID11" i="6"/>
  <c r="FJ11" i="6"/>
  <c r="IB11" i="6"/>
  <c r="EW11" i="6"/>
  <c r="HU11" i="6"/>
  <c r="T162" i="18"/>
  <c r="AW11" i="6"/>
  <c r="IQ11" i="6"/>
  <c r="T11" i="6"/>
  <c r="JG11" i="6"/>
  <c r="FE11" i="6"/>
  <c r="L11" i="6"/>
  <c r="BK11" i="6"/>
  <c r="GZ11" i="6"/>
  <c r="EL11" i="6"/>
  <c r="JT11" i="6"/>
  <c r="FC11" i="6"/>
  <c r="CD11" i="6"/>
  <c r="BY11" i="6"/>
  <c r="CI11" i="6"/>
  <c r="HR11" i="6"/>
  <c r="IN11" i="6"/>
  <c r="EJ11" i="6"/>
  <c r="BG11" i="6"/>
  <c r="HJ11" i="6"/>
  <c r="DO11" i="6"/>
  <c r="GO11" i="6"/>
  <c r="GJ11" i="6"/>
  <c r="X11" i="6"/>
  <c r="KX11" i="6"/>
  <c r="KZ11" i="6"/>
  <c r="DG11" i="6"/>
  <c r="K11" i="6"/>
  <c r="BF11" i="6"/>
  <c r="DX11" i="6"/>
  <c r="DB11" i="6"/>
  <c r="DD11" i="6"/>
  <c r="JI11" i="6"/>
  <c r="BR11" i="6"/>
  <c r="AN11" i="6"/>
  <c r="DP11" i="6"/>
  <c r="KF11" i="6"/>
  <c r="BQ11" i="6"/>
  <c r="GW11" i="6"/>
  <c r="GV11" i="6"/>
  <c r="W11" i="6"/>
  <c r="ES11" i="6"/>
  <c r="JD11" i="6"/>
  <c r="CR11" i="6"/>
  <c r="BA11" i="6"/>
  <c r="U188" i="18" l="1"/>
  <c r="H15" i="3"/>
  <c r="J15" i="3" s="1"/>
  <c r="U182" i="18"/>
  <c r="U184" i="18"/>
  <c r="U173" i="18"/>
  <c r="E6" i="20"/>
  <c r="P6" i="20"/>
  <c r="O6" i="20"/>
  <c r="N6" i="20"/>
  <c r="H6" i="20"/>
  <c r="W6" i="20"/>
  <c r="C6" i="20"/>
  <c r="K6" i="20"/>
  <c r="I6" i="20"/>
  <c r="V6" i="20"/>
  <c r="U6" i="20"/>
  <c r="R6" i="20"/>
  <c r="J6" i="20"/>
  <c r="G6" i="20"/>
  <c r="F6" i="20"/>
  <c r="M6" i="20"/>
  <c r="L6" i="20"/>
  <c r="U187" i="18"/>
  <c r="U83" i="18"/>
  <c r="U158" i="18"/>
  <c r="U88" i="18"/>
  <c r="U180" i="18"/>
  <c r="U60" i="18"/>
  <c r="B6" i="20"/>
  <c r="U274" i="18"/>
  <c r="X6" i="20"/>
  <c r="D6" i="20"/>
  <c r="H12" i="3"/>
  <c r="J12" i="3" s="1"/>
  <c r="T6" i="20"/>
  <c r="Q6" i="20"/>
  <c r="U172" i="18"/>
  <c r="U278" i="18"/>
  <c r="S6" i="20"/>
  <c r="U169" i="18"/>
  <c r="U166" i="18"/>
  <c r="U78" i="18"/>
  <c r="U176" i="18"/>
  <c r="I117" i="2"/>
  <c r="T28" i="2" s="1"/>
  <c r="JY17" i="6"/>
  <c r="A6" i="20"/>
  <c r="X3" i="20"/>
  <c r="W3" i="20"/>
  <c r="V3" i="20"/>
  <c r="U3" i="20"/>
  <c r="T3" i="20"/>
  <c r="S3" i="20"/>
  <c r="P3" i="20"/>
  <c r="O3" i="20"/>
  <c r="N3" i="20"/>
  <c r="L3" i="20"/>
  <c r="K3" i="20"/>
  <c r="J3" i="20"/>
  <c r="I3" i="20"/>
  <c r="H3" i="20"/>
  <c r="G3" i="20"/>
  <c r="F3" i="20"/>
  <c r="D3" i="20"/>
  <c r="C3" i="20"/>
  <c r="B3" i="20"/>
  <c r="A3" i="20"/>
  <c r="M3" i="20"/>
  <c r="R3" i="20"/>
  <c r="Q3" i="20"/>
  <c r="E3" i="20"/>
  <c r="I102" i="2"/>
  <c r="I81" i="2"/>
  <c r="T24" i="2" s="1"/>
  <c r="K85" i="2"/>
  <c r="I21" i="2"/>
  <c r="I23" i="2"/>
  <c r="E23" i="2"/>
  <c r="G23" i="2" s="1"/>
  <c r="E21" i="2"/>
  <c r="G93" i="2"/>
  <c r="G85" i="2"/>
  <c r="G78" i="2"/>
  <c r="F67" i="2"/>
  <c r="V22" i="2" s="1"/>
  <c r="E112" i="2"/>
  <c r="G112" i="2" s="1"/>
  <c r="E62" i="2"/>
  <c r="AF10" i="6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D9" i="6"/>
  <c r="K74" i="2"/>
  <c r="I91" i="2"/>
  <c r="J42" i="2"/>
  <c r="U20" i="2" s="1"/>
  <c r="W20" i="2"/>
  <c r="K95" i="2"/>
  <c r="V115" i="18"/>
  <c r="KG17" i="6"/>
  <c r="FG17" i="6"/>
  <c r="BM17" i="6"/>
  <c r="CD17" i="6"/>
  <c r="FI17" i="6"/>
  <c r="CU17" i="6"/>
  <c r="HK17" i="6"/>
  <c r="EQ17" i="6"/>
  <c r="GG17" i="6"/>
  <c r="JD17" i="6"/>
  <c r="EX17" i="6"/>
  <c r="U90" i="18"/>
  <c r="H18" i="3"/>
  <c r="J18" i="3" s="1"/>
  <c r="U186" i="18"/>
  <c r="U272" i="18"/>
  <c r="U178" i="18"/>
  <c r="U322" i="18"/>
  <c r="U177" i="18"/>
  <c r="AT17" i="6"/>
  <c r="U183" i="18"/>
  <c r="U163" i="18"/>
  <c r="AN17" i="6"/>
  <c r="X2" i="18"/>
  <c r="BC17" i="6"/>
  <c r="U175" i="18"/>
  <c r="BD17" i="6"/>
  <c r="U179" i="18"/>
  <c r="U79" i="18"/>
  <c r="U185" i="18"/>
  <c r="CN17" i="6"/>
  <c r="U153" i="18"/>
  <c r="AA17" i="6"/>
  <c r="U174" i="18"/>
  <c r="U258" i="18"/>
  <c r="U89" i="18"/>
  <c r="U273" i="18"/>
  <c r="FR17" i="6"/>
  <c r="AB4" i="5"/>
  <c r="AK17" i="6"/>
  <c r="V190" i="18"/>
  <c r="AQ17" i="6"/>
  <c r="FE17" i="6"/>
  <c r="IA17" i="6"/>
  <c r="IO17" i="6"/>
  <c r="GF17" i="6"/>
  <c r="AY17" i="6"/>
  <c r="JZ17" i="6"/>
  <c r="HU17" i="6"/>
  <c r="IK17" i="6"/>
  <c r="HS17" i="6"/>
  <c r="GV17" i="6"/>
  <c r="EJ17" i="6"/>
  <c r="EY17" i="6"/>
  <c r="HH17" i="6"/>
  <c r="BW17" i="6"/>
  <c r="DM17" i="6"/>
  <c r="AH17" i="6"/>
  <c r="JO17" i="6"/>
  <c r="CE17" i="6"/>
  <c r="KS17" i="6"/>
  <c r="U84" i="18"/>
  <c r="CT17" i="6"/>
  <c r="EI17" i="6"/>
  <c r="HL17" i="6"/>
  <c r="BU17" i="6"/>
  <c r="HO17" i="6"/>
  <c r="DE17" i="6"/>
  <c r="W17" i="6"/>
  <c r="EV17" i="6"/>
  <c r="GI17" i="6"/>
  <c r="CO17" i="6"/>
  <c r="BY17" i="6"/>
  <c r="IY17" i="6"/>
  <c r="V31" i="18"/>
  <c r="AA4" i="5"/>
  <c r="JW17" i="6"/>
  <c r="KE17" i="6"/>
  <c r="DB17" i="6"/>
  <c r="GU17" i="6"/>
  <c r="BL17" i="6"/>
  <c r="IG17" i="6"/>
  <c r="CI17" i="6"/>
  <c r="AS17" i="6"/>
  <c r="JI17" i="6"/>
  <c r="HM17" i="6"/>
  <c r="G17" i="6"/>
  <c r="DI17" i="6"/>
  <c r="KJ17" i="6"/>
  <c r="JM17" i="6"/>
  <c r="CK17" i="6"/>
  <c r="BJ17" i="6"/>
  <c r="BN17" i="6"/>
  <c r="HC17" i="6"/>
  <c r="DC17" i="6"/>
  <c r="EB17" i="6"/>
  <c r="Q17" i="6"/>
  <c r="DO17" i="6"/>
  <c r="FJ17" i="6"/>
  <c r="ER17" i="6"/>
  <c r="AD17" i="6"/>
  <c r="GY17" i="6"/>
  <c r="DN17" i="6"/>
  <c r="K17" i="6"/>
  <c r="DZ17" i="6"/>
  <c r="AU17" i="6"/>
  <c r="BA17" i="6"/>
  <c r="HN17" i="6"/>
  <c r="FU17" i="6"/>
  <c r="AE17" i="6"/>
  <c r="CY17" i="6"/>
  <c r="X17" i="6"/>
  <c r="GE17" i="6"/>
  <c r="GQ17" i="6"/>
  <c r="JB17" i="6"/>
  <c r="KQ17" i="6"/>
  <c r="D11" i="6"/>
  <c r="DJ17" i="6"/>
  <c r="L17" i="6"/>
  <c r="CJ17" i="6"/>
  <c r="DT17" i="6"/>
  <c r="JP17" i="6"/>
  <c r="IP17" i="6"/>
  <c r="IX17" i="6"/>
  <c r="FP17" i="6"/>
  <c r="AX17" i="6"/>
  <c r="AP17" i="6"/>
  <c r="EC17" i="6"/>
  <c r="EG17" i="6"/>
  <c r="DD17" i="6"/>
  <c r="HR17" i="6"/>
  <c r="KH17" i="6"/>
  <c r="FL17" i="6"/>
  <c r="EU17" i="6"/>
  <c r="KP17" i="6"/>
  <c r="BQ17" i="6"/>
  <c r="IC17" i="6"/>
  <c r="HD17" i="6"/>
  <c r="CZ17" i="6"/>
  <c r="IT17" i="6"/>
  <c r="F14" i="6"/>
  <c r="G12" i="6"/>
  <c r="DV17" i="6"/>
  <c r="EW17" i="6"/>
  <c r="JX17" i="6"/>
  <c r="V366" i="18"/>
  <c r="EO17" i="6"/>
  <c r="O17" i="6"/>
  <c r="IF17" i="6"/>
  <c r="GH17" i="6"/>
  <c r="BT17" i="6"/>
  <c r="Y17" i="6"/>
  <c r="J17" i="6"/>
  <c r="IS17" i="6"/>
  <c r="HV17" i="6"/>
  <c r="FY17" i="6"/>
  <c r="AM17" i="6"/>
  <c r="ES17" i="6"/>
  <c r="HJ17" i="6"/>
  <c r="AF17" i="6"/>
  <c r="R17" i="6"/>
  <c r="IJ17" i="6"/>
  <c r="IL17" i="6"/>
  <c r="LD17" i="6"/>
  <c r="IU17" i="6"/>
  <c r="BS17" i="6"/>
  <c r="JN17" i="6"/>
  <c r="KU17" i="6"/>
  <c r="BH17" i="6"/>
  <c r="IR17" i="6"/>
  <c r="V17" i="6"/>
  <c r="FT17" i="6"/>
  <c r="N17" i="6"/>
  <c r="HA17" i="6"/>
  <c r="BB17" i="6"/>
  <c r="BK17" i="6"/>
  <c r="DL17" i="6"/>
  <c r="HY17" i="6"/>
  <c r="FW17" i="6"/>
  <c r="IV17" i="6"/>
  <c r="AJ17" i="6"/>
  <c r="JH17" i="6"/>
  <c r="CS17" i="6"/>
  <c r="EM17" i="6"/>
  <c r="FC17" i="6"/>
  <c r="CM17" i="6"/>
  <c r="Z17" i="6"/>
  <c r="DR17" i="6"/>
  <c r="AR17" i="6"/>
  <c r="KZ17" i="6"/>
  <c r="AB17" i="6"/>
  <c r="JT17" i="6"/>
  <c r="GX17" i="6"/>
  <c r="FA17" i="6"/>
  <c r="JF17" i="6"/>
  <c r="FB17" i="6"/>
  <c r="HX17" i="6"/>
  <c r="ID17" i="6"/>
  <c r="HZ17" i="6"/>
  <c r="FQ17" i="6"/>
  <c r="GB17" i="6"/>
  <c r="BR17" i="6"/>
  <c r="CV17" i="6"/>
  <c r="FZ17" i="6"/>
  <c r="AZ17" i="6"/>
  <c r="Y4" i="5"/>
  <c r="DG17" i="6"/>
  <c r="CF17" i="6"/>
  <c r="AW17" i="6"/>
  <c r="KV17" i="6"/>
  <c r="JJ17" i="6"/>
  <c r="IB17" i="6"/>
  <c r="CR17" i="6"/>
  <c r="CL17" i="6"/>
  <c r="FS17" i="6"/>
  <c r="KY17" i="6"/>
  <c r="BI17" i="6"/>
  <c r="EN17" i="6"/>
  <c r="EP17" i="6"/>
  <c r="CG17" i="6"/>
  <c r="JS17" i="6"/>
  <c r="KI17" i="6"/>
  <c r="DY17" i="6"/>
  <c r="JG17" i="6"/>
  <c r="BG17" i="6"/>
  <c r="GC17" i="6"/>
  <c r="ET17" i="6"/>
  <c r="BV17" i="6"/>
  <c r="BX17" i="6"/>
  <c r="BZ17" i="6"/>
  <c r="JL17" i="6"/>
  <c r="KC17" i="6"/>
  <c r="P17" i="6"/>
  <c r="AC17" i="6"/>
  <c r="GL17" i="6"/>
  <c r="CQ17" i="6"/>
  <c r="GP17" i="6"/>
  <c r="GO17" i="6"/>
  <c r="DS17" i="6"/>
  <c r="HW17" i="6"/>
  <c r="IQ17" i="6"/>
  <c r="GS17" i="6"/>
  <c r="T17" i="6"/>
  <c r="ED17" i="6"/>
  <c r="AI17" i="6"/>
  <c r="M17" i="6"/>
  <c r="HF17" i="6"/>
  <c r="GJ17" i="6"/>
  <c r="HE17" i="6"/>
  <c r="LA17" i="6"/>
  <c r="IW17" i="6"/>
  <c r="CW17" i="6"/>
  <c r="FH17" i="6"/>
  <c r="KB17" i="6"/>
  <c r="HI17" i="6"/>
  <c r="S17" i="6"/>
  <c r="IN17" i="6"/>
  <c r="EL17" i="6"/>
  <c r="F17" i="6"/>
  <c r="FD17" i="6"/>
  <c r="JK17" i="6"/>
  <c r="FO17" i="6"/>
  <c r="GA17" i="6"/>
  <c r="GK17" i="6"/>
  <c r="JV17" i="6"/>
  <c r="EE17" i="6"/>
  <c r="W4" i="5"/>
  <c r="BF17" i="6"/>
  <c r="HG17" i="6"/>
  <c r="CB17" i="6"/>
  <c r="EH17" i="6"/>
  <c r="JA17" i="6"/>
  <c r="CX17" i="6"/>
  <c r="DH17" i="6"/>
  <c r="AG17" i="6"/>
  <c r="DK17" i="6"/>
  <c r="AL17" i="6"/>
  <c r="KK17" i="6"/>
  <c r="KT17" i="6"/>
  <c r="DX17" i="6"/>
  <c r="EF17" i="6"/>
  <c r="CH17" i="6"/>
  <c r="JC17" i="6"/>
  <c r="GM17" i="6"/>
  <c r="FF17" i="6"/>
  <c r="EZ17" i="6"/>
  <c r="FV17" i="6"/>
  <c r="GR17" i="6"/>
  <c r="DP17" i="6"/>
  <c r="IM17" i="6"/>
  <c r="BO17" i="6"/>
  <c r="GW17" i="6"/>
  <c r="KN17" i="6"/>
  <c r="KX17" i="6"/>
  <c r="GN17" i="6"/>
  <c r="HP17" i="6"/>
  <c r="LB17" i="6"/>
  <c r="CP17" i="6"/>
  <c r="FX17" i="6"/>
  <c r="X4" i="5"/>
  <c r="H17" i="6"/>
  <c r="KD17" i="6"/>
  <c r="KO17" i="6"/>
  <c r="EK17" i="6"/>
  <c r="IZ17" i="6"/>
  <c r="HT17" i="6"/>
  <c r="IH17" i="6"/>
  <c r="DW17" i="6"/>
  <c r="KR17" i="6"/>
  <c r="U17" i="6"/>
  <c r="KM17" i="6"/>
  <c r="FN17" i="6"/>
  <c r="AV17" i="6"/>
  <c r="FK17" i="6"/>
  <c r="JQ17" i="6"/>
  <c r="GT17" i="6"/>
  <c r="GZ17" i="6"/>
  <c r="CA17" i="6"/>
  <c r="EA17" i="6"/>
  <c r="KL17" i="6"/>
  <c r="JU17" i="6"/>
  <c r="II17" i="6"/>
  <c r="I17" i="6"/>
  <c r="KF17" i="6"/>
  <c r="H17" i="3"/>
  <c r="J17" i="3" s="1"/>
  <c r="U256" i="18"/>
  <c r="U214" i="18"/>
  <c r="U254" i="18"/>
  <c r="U255" i="18"/>
  <c r="U224" i="18"/>
  <c r="U246" i="18"/>
  <c r="U223" i="18"/>
  <c r="U247" i="18"/>
  <c r="KW17" i="6"/>
  <c r="Z4" i="5"/>
  <c r="DU17" i="6"/>
  <c r="HB17" i="6"/>
  <c r="BE17" i="6"/>
  <c r="BP17" i="6"/>
  <c r="G6" i="6"/>
  <c r="J9" i="3"/>
  <c r="F5" i="3"/>
  <c r="D5" i="5" s="1"/>
  <c r="JR17" i="6"/>
  <c r="IE17" i="6"/>
  <c r="HQ17" i="6"/>
  <c r="KA17" i="6"/>
  <c r="DA17" i="6"/>
  <c r="GD17" i="6"/>
  <c r="DQ17" i="6"/>
  <c r="JE17" i="6"/>
  <c r="DF17" i="6"/>
  <c r="FM17" i="6"/>
  <c r="AO17" i="6"/>
  <c r="CC17" i="6"/>
  <c r="LC17" i="6"/>
  <c r="I96" i="2" l="1"/>
  <c r="N95" i="2"/>
  <c r="K117" i="2"/>
  <c r="N124" i="2"/>
  <c r="N117" i="2" s="1"/>
  <c r="I98" i="2"/>
  <c r="T26" i="2" s="1"/>
  <c r="K102" i="2"/>
  <c r="I18" i="2"/>
  <c r="K21" i="2"/>
  <c r="K23" i="2"/>
  <c r="E18" i="2"/>
  <c r="F18" i="2" s="1"/>
  <c r="G21" i="2"/>
  <c r="E94" i="2"/>
  <c r="E86" i="2"/>
  <c r="E79" i="2"/>
  <c r="G62" i="2"/>
  <c r="J74" i="2"/>
  <c r="U23" i="2" s="1"/>
  <c r="W23" i="2"/>
  <c r="I88" i="2"/>
  <c r="T25" i="2" s="1"/>
  <c r="K91" i="2"/>
  <c r="N91" i="2" s="1"/>
  <c r="K96" i="2"/>
  <c r="N96" i="2" s="1"/>
  <c r="K81" i="2"/>
  <c r="N85" i="2"/>
  <c r="N81" i="2" s="1"/>
  <c r="V258" i="18"/>
  <c r="V151" i="18"/>
  <c r="V53" i="18"/>
  <c r="J5" i="3"/>
  <c r="F18" i="6"/>
  <c r="D17" i="6"/>
  <c r="C5" i="6"/>
  <c r="D6" i="5"/>
  <c r="F25" i="3"/>
  <c r="H5" i="3"/>
  <c r="V214" i="18"/>
  <c r="H6" i="6"/>
  <c r="H12" i="6"/>
  <c r="G14" i="6"/>
  <c r="J117" i="2" l="1"/>
  <c r="U28" i="2" s="1"/>
  <c r="W28" i="2"/>
  <c r="G94" i="2"/>
  <c r="E81" i="2"/>
  <c r="G86" i="2"/>
  <c r="G81" i="2" s="1"/>
  <c r="F81" i="2" s="1"/>
  <c r="V24" i="2" s="1"/>
  <c r="E74" i="2"/>
  <c r="G79" i="2"/>
  <c r="G74" i="2" s="1"/>
  <c r="F74" i="2" s="1"/>
  <c r="V23" i="2" s="1"/>
  <c r="E64" i="2"/>
  <c r="J81" i="2"/>
  <c r="U24" i="2" s="1"/>
  <c r="W24" i="2"/>
  <c r="K88" i="2"/>
  <c r="K98" i="2"/>
  <c r="N102" i="2"/>
  <c r="N98" i="2" s="1"/>
  <c r="N21" i="2"/>
  <c r="K30" i="2"/>
  <c r="K18" i="2" s="1"/>
  <c r="J18" i="2" s="1"/>
  <c r="N23" i="2"/>
  <c r="N88" i="2"/>
  <c r="I12" i="6"/>
  <c r="H14" i="6"/>
  <c r="I6" i="6"/>
  <c r="F5" i="5"/>
  <c r="H25" i="3"/>
  <c r="D7" i="5"/>
  <c r="G6" i="5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E95" i="2" l="1"/>
  <c r="E58" i="2"/>
  <c r="G64" i="2"/>
  <c r="G58" i="2" s="1"/>
  <c r="W25" i="2"/>
  <c r="J88" i="2"/>
  <c r="U25" i="2" s="1"/>
  <c r="J98" i="2"/>
  <c r="U26" i="2" s="1"/>
  <c r="W26" i="2"/>
  <c r="J30" i="2"/>
  <c r="N30" i="2"/>
  <c r="N18" i="2" s="1"/>
  <c r="N9" i="2" s="1"/>
  <c r="D18" i="6"/>
  <c r="C18" i="6" s="1"/>
  <c r="T5" i="5"/>
  <c r="T6" i="5" s="1"/>
  <c r="C11" i="6"/>
  <c r="S5" i="5"/>
  <c r="S6" i="5" s="1"/>
  <c r="F6" i="5"/>
  <c r="F7" i="5" s="1"/>
  <c r="J6" i="6"/>
  <c r="J12" i="6"/>
  <c r="I14" i="6"/>
  <c r="G95" i="2" l="1"/>
  <c r="E96" i="2" s="1"/>
  <c r="F58" i="2"/>
  <c r="V21" i="2" s="1"/>
  <c r="E111" i="2"/>
  <c r="K6" i="6"/>
  <c r="K12" i="6"/>
  <c r="J14" i="6"/>
  <c r="G111" i="2" l="1"/>
  <c r="E119" i="2"/>
  <c r="G119" i="2" s="1"/>
  <c r="G96" i="2"/>
  <c r="G88" i="2" s="1"/>
  <c r="E88" i="2"/>
  <c r="L6" i="6"/>
  <c r="L12" i="6"/>
  <c r="K14" i="6"/>
  <c r="F88" i="2" l="1"/>
  <c r="V25" i="2" s="1"/>
  <c r="E113" i="2"/>
  <c r="E99" i="2"/>
  <c r="M12" i="6"/>
  <c r="L14" i="6"/>
  <c r="M6" i="6"/>
  <c r="G113" i="2" l="1"/>
  <c r="E118" i="2"/>
  <c r="G99" i="2"/>
  <c r="N6" i="6"/>
  <c r="N12" i="6"/>
  <c r="M14" i="6"/>
  <c r="E115" i="2" l="1"/>
  <c r="E122" i="2"/>
  <c r="G122" i="2" s="1"/>
  <c r="G118" i="2"/>
  <c r="H17" i="5"/>
  <c r="E108" i="2"/>
  <c r="O12" i="6"/>
  <c r="N14" i="6"/>
  <c r="O6" i="6"/>
  <c r="E110" i="2" l="1"/>
  <c r="G115" i="2"/>
  <c r="G110" i="2" s="1"/>
  <c r="F110" i="2" s="1"/>
  <c r="V27" i="2" s="1"/>
  <c r="E123" i="2"/>
  <c r="E124" i="2"/>
  <c r="G124" i="2" s="1"/>
  <c r="E98" i="2"/>
  <c r="G108" i="2"/>
  <c r="P6" i="6"/>
  <c r="O14" i="6"/>
  <c r="P12" i="6"/>
  <c r="H20" i="5" l="1"/>
  <c r="G123" i="2"/>
  <c r="G98" i="2"/>
  <c r="F98" i="2" s="1"/>
  <c r="V26" i="2" s="1"/>
  <c r="E120" i="2"/>
  <c r="F9" i="2"/>
  <c r="Q12" i="6"/>
  <c r="P14" i="6"/>
  <c r="Q6" i="6"/>
  <c r="CL3" i="6" l="1"/>
  <c r="KI3" i="6"/>
  <c r="KW3" i="6"/>
  <c r="JM3" i="6"/>
  <c r="EP3" i="6"/>
  <c r="GF3" i="6"/>
  <c r="DR3" i="6"/>
  <c r="HU3" i="6"/>
  <c r="EQ3" i="6"/>
  <c r="BV3" i="6"/>
  <c r="BA3" i="6"/>
  <c r="GT3" i="6"/>
  <c r="HK3" i="6"/>
  <c r="JC3" i="6"/>
  <c r="KL3" i="6"/>
  <c r="HJ3" i="6"/>
  <c r="AU3" i="6"/>
  <c r="HL3" i="6"/>
  <c r="JH3" i="6"/>
  <c r="EZ3" i="6"/>
  <c r="BC3" i="6"/>
  <c r="DJ3" i="6"/>
  <c r="CZ3" i="6"/>
  <c r="AW3" i="6"/>
  <c r="AP3" i="6"/>
  <c r="EF3" i="6"/>
  <c r="JG3" i="6"/>
  <c r="DD3" i="6"/>
  <c r="GL3" i="6"/>
  <c r="CN3" i="6"/>
  <c r="BY3" i="6"/>
  <c r="GY3" i="6"/>
  <c r="IX3" i="6"/>
  <c r="N3" i="6"/>
  <c r="GD3" i="6"/>
  <c r="J3" i="6"/>
  <c r="FW3" i="6"/>
  <c r="AQ3" i="6"/>
  <c r="FK3" i="6"/>
  <c r="HF3" i="6"/>
  <c r="BO3" i="6"/>
  <c r="EI3" i="6"/>
  <c r="HQ3" i="6"/>
  <c r="FG3" i="6"/>
  <c r="KP3" i="6"/>
  <c r="ET3" i="6"/>
  <c r="EU3" i="6"/>
  <c r="CH3" i="6"/>
  <c r="HE3" i="6"/>
  <c r="IU3" i="6"/>
  <c r="CS3" i="6"/>
  <c r="GS3" i="6"/>
  <c r="BK3" i="6"/>
  <c r="KA3" i="6"/>
  <c r="IP3" i="6"/>
  <c r="EB3" i="6"/>
  <c r="IL3" i="6"/>
  <c r="CW3" i="6"/>
  <c r="DZ3" i="6"/>
  <c r="EX3" i="6"/>
  <c r="FA3" i="6"/>
  <c r="FD3" i="6"/>
  <c r="AA3" i="6"/>
  <c r="CP3" i="6"/>
  <c r="DL3" i="6"/>
  <c r="CY3" i="6"/>
  <c r="FN3" i="6"/>
  <c r="GN3" i="6"/>
  <c r="BR3" i="6"/>
  <c r="FM3" i="6"/>
  <c r="BQ3" i="6"/>
  <c r="JK3" i="6"/>
  <c r="AD3" i="6"/>
  <c r="DX3" i="6"/>
  <c r="KK3" i="6"/>
  <c r="AS3" i="6"/>
  <c r="EV3" i="6"/>
  <c r="EJ3" i="6"/>
  <c r="HA3" i="6"/>
  <c r="O3" i="6"/>
  <c r="ED3" i="6"/>
  <c r="AM3" i="6"/>
  <c r="IG3" i="6"/>
  <c r="FB3" i="6"/>
  <c r="FT3" i="6"/>
  <c r="JQ3" i="6"/>
  <c r="CF3" i="6"/>
  <c r="FV3" i="6"/>
  <c r="EY3" i="6"/>
  <c r="GM3" i="6"/>
  <c r="DY3" i="6"/>
  <c r="DF3" i="6"/>
  <c r="CR3" i="6"/>
  <c r="FC3" i="6"/>
  <c r="AB3" i="6"/>
  <c r="IR3" i="6"/>
  <c r="BX3" i="6"/>
  <c r="HR3" i="6"/>
  <c r="LB3" i="6"/>
  <c r="BE3" i="6"/>
  <c r="CB3" i="6"/>
  <c r="BD3" i="6"/>
  <c r="FJ3" i="6"/>
  <c r="EM3" i="6"/>
  <c r="EA3" i="6"/>
  <c r="BJ3" i="6"/>
  <c r="AH3" i="6"/>
  <c r="IC3" i="6"/>
  <c r="JF3" i="6"/>
  <c r="M3" i="6"/>
  <c r="JS3" i="6"/>
  <c r="FF3" i="6"/>
  <c r="DV3" i="6"/>
  <c r="AL3" i="6"/>
  <c r="AV3" i="6"/>
  <c r="EL3" i="6"/>
  <c r="AF3" i="6"/>
  <c r="AC3" i="6"/>
  <c r="LA3" i="6"/>
  <c r="HS3" i="6"/>
  <c r="CE3" i="6"/>
  <c r="X3" i="6"/>
  <c r="CX3" i="6"/>
  <c r="CV3" i="6"/>
  <c r="JO3" i="6"/>
  <c r="GR3" i="6"/>
  <c r="KG3" i="6"/>
  <c r="IQ3" i="6"/>
  <c r="BL3" i="6"/>
  <c r="DW3" i="6"/>
  <c r="KT3" i="6"/>
  <c r="FR3" i="6"/>
  <c r="Q3" i="6"/>
  <c r="DT3" i="6"/>
  <c r="GW3" i="6"/>
  <c r="JI3" i="6"/>
  <c r="BG3" i="6"/>
  <c r="JL3" i="6"/>
  <c r="JV3" i="6"/>
  <c r="CI3" i="6"/>
  <c r="EE3" i="6"/>
  <c r="GC3" i="6"/>
  <c r="KF3" i="6"/>
  <c r="DH3" i="6"/>
  <c r="GI3" i="6"/>
  <c r="AG3" i="6"/>
  <c r="DO3" i="6"/>
  <c r="GX3" i="6"/>
  <c r="KX3" i="6"/>
  <c r="DB3" i="6"/>
  <c r="KV3" i="6"/>
  <c r="GJ3" i="6"/>
  <c r="IF3" i="6"/>
  <c r="GE3" i="6"/>
  <c r="EG3" i="6"/>
  <c r="ES3" i="6"/>
  <c r="KN3" i="6"/>
  <c r="HV3" i="6"/>
  <c r="FZ3" i="6"/>
  <c r="IO3" i="6"/>
  <c r="W3" i="6"/>
  <c r="DQ3" i="6"/>
  <c r="DM3" i="6"/>
  <c r="BT3" i="6"/>
  <c r="CU3" i="6"/>
  <c r="CO3" i="6"/>
  <c r="AT3" i="6"/>
  <c r="IZ3" i="6"/>
  <c r="JD3" i="6"/>
  <c r="FE3" i="6"/>
  <c r="IS3" i="6"/>
  <c r="BU3" i="6"/>
  <c r="FP3" i="6"/>
  <c r="GZ3" i="6"/>
  <c r="IE3" i="6"/>
  <c r="K3" i="6"/>
  <c r="AK3" i="6"/>
  <c r="AO3" i="6"/>
  <c r="HI3" i="6"/>
  <c r="AZ3" i="6"/>
  <c r="KO3" i="6"/>
  <c r="IY3" i="6"/>
  <c r="GQ3" i="6"/>
  <c r="BF3" i="6"/>
  <c r="KH3" i="6"/>
  <c r="JU3" i="6"/>
  <c r="II3" i="6"/>
  <c r="EW3" i="6"/>
  <c r="KE3" i="6"/>
  <c r="HP3" i="6"/>
  <c r="AR3" i="6"/>
  <c r="HD3" i="6"/>
  <c r="HY3" i="6"/>
  <c r="JE3" i="6"/>
  <c r="DK3" i="6"/>
  <c r="HW3" i="6"/>
  <c r="KD3" i="6"/>
  <c r="BH3" i="6"/>
  <c r="R3" i="6"/>
  <c r="F3" i="6"/>
  <c r="IH3" i="6"/>
  <c r="IN3" i="6"/>
  <c r="IM3" i="6"/>
  <c r="G3" i="6"/>
  <c r="Y3" i="6"/>
  <c r="GB3" i="6"/>
  <c r="V3" i="6"/>
  <c r="HZ3" i="6"/>
  <c r="EK3" i="6"/>
  <c r="IV3" i="6"/>
  <c r="JZ3" i="6"/>
  <c r="JT3" i="6"/>
  <c r="KZ3" i="6"/>
  <c r="FH3" i="6"/>
  <c r="GK3" i="6"/>
  <c r="EC3" i="6"/>
  <c r="HX3" i="6"/>
  <c r="KB3" i="6"/>
  <c r="JA3" i="6"/>
  <c r="HM3" i="6"/>
  <c r="Z3" i="6"/>
  <c r="KY3" i="6"/>
  <c r="DI3" i="6"/>
  <c r="JJ3" i="6"/>
  <c r="GP3" i="6"/>
  <c r="HB3" i="6"/>
  <c r="AY3" i="6"/>
  <c r="FI3" i="6"/>
  <c r="AE3" i="6"/>
  <c r="JB3" i="6"/>
  <c r="CQ3" i="6"/>
  <c r="EH3" i="6"/>
  <c r="BP3" i="6"/>
  <c r="I3" i="6"/>
  <c r="FY3" i="6"/>
  <c r="GU3" i="6"/>
  <c r="T3" i="6"/>
  <c r="KR3" i="6"/>
  <c r="FS3" i="6"/>
  <c r="DE3" i="6"/>
  <c r="CD3" i="6"/>
  <c r="AN3" i="6"/>
  <c r="BS3" i="6"/>
  <c r="CC3" i="6"/>
  <c r="HC3" i="6"/>
  <c r="BI3" i="6"/>
  <c r="BZ3" i="6"/>
  <c r="CK3" i="6"/>
  <c r="GA3" i="6"/>
  <c r="DG3" i="6"/>
  <c r="KM3" i="6"/>
  <c r="KU3" i="6"/>
  <c r="BN3" i="6"/>
  <c r="IW3" i="6"/>
  <c r="IB3" i="6"/>
  <c r="JY3" i="6"/>
  <c r="FX3" i="6"/>
  <c r="CT3" i="6"/>
  <c r="FQ3" i="6"/>
  <c r="HO3" i="6"/>
  <c r="FL3" i="6"/>
  <c r="FU3" i="6"/>
  <c r="DS3" i="6"/>
  <c r="IJ3" i="6"/>
  <c r="KC3" i="6"/>
  <c r="DP3" i="6"/>
  <c r="FO3" i="6"/>
  <c r="AX3" i="6"/>
  <c r="HN3" i="6"/>
  <c r="IT3" i="6"/>
  <c r="LC3" i="6"/>
  <c r="JN3" i="6"/>
  <c r="GV3" i="6"/>
  <c r="KQ3" i="6"/>
  <c r="AI3" i="6"/>
  <c r="IK3" i="6"/>
  <c r="CA3" i="6"/>
  <c r="BW3" i="6"/>
  <c r="CG3" i="6"/>
  <c r="HT3" i="6"/>
  <c r="CM3" i="6"/>
  <c r="L3" i="6"/>
  <c r="GG3" i="6"/>
  <c r="U3" i="6"/>
  <c r="BB3" i="6"/>
  <c r="ID3" i="6"/>
  <c r="IA3" i="6"/>
  <c r="H3" i="6"/>
  <c r="EO3" i="6"/>
  <c r="BM3" i="6"/>
  <c r="GO3" i="6"/>
  <c r="JX3" i="6"/>
  <c r="P3" i="6"/>
  <c r="LD3" i="6"/>
  <c r="JR3" i="6"/>
  <c r="KJ3" i="6"/>
  <c r="JW3" i="6"/>
  <c r="ER3" i="6"/>
  <c r="HG3" i="6"/>
  <c r="GH3" i="6"/>
  <c r="AJ3" i="6"/>
  <c r="CJ3" i="6"/>
  <c r="JP3" i="6"/>
  <c r="DU3" i="6"/>
  <c r="S3" i="6"/>
  <c r="DC3" i="6"/>
  <c r="DA3" i="6"/>
  <c r="KS3" i="6"/>
  <c r="EN3" i="6"/>
  <c r="HH3" i="6"/>
  <c r="DN3" i="6"/>
  <c r="E117" i="2"/>
  <c r="G120" i="2"/>
  <c r="G117" i="2" s="1"/>
  <c r="F117" i="2" s="1"/>
  <c r="V28" i="2" s="1"/>
  <c r="R6" i="6"/>
  <c r="Q14" i="6"/>
  <c r="R12" i="6"/>
  <c r="D3" i="6" l="1"/>
  <c r="F4" i="6"/>
  <c r="R14" i="6"/>
  <c r="S12" i="6"/>
  <c r="S6" i="6"/>
  <c r="F7" i="6" l="1"/>
  <c r="G4" i="6"/>
  <c r="T6" i="6"/>
  <c r="T12" i="6"/>
  <c r="S14" i="6"/>
  <c r="G7" i="6" l="1"/>
  <c r="H4" i="6"/>
  <c r="U6" i="6"/>
  <c r="T14" i="6"/>
  <c r="U12" i="6"/>
  <c r="H7" i="6" l="1"/>
  <c r="I4" i="6"/>
  <c r="V6" i="6"/>
  <c r="U14" i="6"/>
  <c r="V12" i="6"/>
  <c r="I7" i="6" l="1"/>
  <c r="J4" i="6"/>
  <c r="W12" i="6"/>
  <c r="V14" i="6"/>
  <c r="W6" i="6"/>
  <c r="J7" i="6" l="1"/>
  <c r="K4" i="6"/>
  <c r="X6" i="6"/>
  <c r="X12" i="6"/>
  <c r="W14" i="6"/>
  <c r="K7" i="6" l="1"/>
  <c r="L4" i="6"/>
  <c r="Y12" i="6"/>
  <c r="X14" i="6"/>
  <c r="Y6" i="6"/>
  <c r="L7" i="6" l="1"/>
  <c r="M4" i="6"/>
  <c r="Z6" i="6"/>
  <c r="Z12" i="6"/>
  <c r="Y14" i="6"/>
  <c r="M7" i="6" l="1"/>
  <c r="N4" i="6"/>
  <c r="AA12" i="6"/>
  <c r="Z14" i="6"/>
  <c r="AA6" i="6"/>
  <c r="N7" i="6" l="1"/>
  <c r="O4" i="6"/>
  <c r="AB6" i="6"/>
  <c r="AB12" i="6"/>
  <c r="AA14" i="6"/>
  <c r="O7" i="6" l="1"/>
  <c r="P4" i="6"/>
  <c r="AC12" i="6"/>
  <c r="AB14" i="6"/>
  <c r="AC6" i="6"/>
  <c r="P7" i="6" l="1"/>
  <c r="Q4" i="6"/>
  <c r="AD6" i="6"/>
  <c r="AD12" i="6"/>
  <c r="AC14" i="6"/>
  <c r="Q7" i="6" l="1"/>
  <c r="R4" i="6"/>
  <c r="AE12" i="6"/>
  <c r="AD14" i="6"/>
  <c r="AE6" i="6"/>
  <c r="R7" i="6" l="1"/>
  <c r="S4" i="6"/>
  <c r="AF6" i="6"/>
  <c r="AE14" i="6"/>
  <c r="AF12" i="6"/>
  <c r="S7" i="6" l="1"/>
  <c r="T4" i="6"/>
  <c r="AF14" i="6"/>
  <c r="AG12" i="6"/>
  <c r="AG6" i="6"/>
  <c r="T7" i="6" l="1"/>
  <c r="U4" i="6"/>
  <c r="AH12" i="6"/>
  <c r="AG14" i="6"/>
  <c r="AH6" i="6"/>
  <c r="U7" i="6" l="1"/>
  <c r="V4" i="6"/>
  <c r="AI6" i="6"/>
  <c r="AI12" i="6"/>
  <c r="AH14" i="6"/>
  <c r="V7" i="6" l="1"/>
  <c r="W4" i="6"/>
  <c r="AJ12" i="6"/>
  <c r="AI14" i="6"/>
  <c r="AJ6" i="6"/>
  <c r="W7" i="6" l="1"/>
  <c r="X4" i="6"/>
  <c r="AK6" i="6"/>
  <c r="AK12" i="6"/>
  <c r="AJ14" i="6"/>
  <c r="X7" i="6" l="1"/>
  <c r="Y4" i="6"/>
  <c r="AK14" i="6"/>
  <c r="AL12" i="6"/>
  <c r="AL6" i="6"/>
  <c r="Y7" i="6" l="1"/>
  <c r="Z4" i="6"/>
  <c r="AM6" i="6"/>
  <c r="AM12" i="6"/>
  <c r="AL14" i="6"/>
  <c r="Z7" i="6" l="1"/>
  <c r="AA4" i="6"/>
  <c r="AN6" i="6"/>
  <c r="AN12" i="6"/>
  <c r="AM14" i="6"/>
  <c r="AA7" i="6" l="1"/>
  <c r="AB4" i="6"/>
  <c r="AO6" i="6"/>
  <c r="AO12" i="6"/>
  <c r="AN14" i="6"/>
  <c r="AB7" i="6" l="1"/>
  <c r="AC4" i="6"/>
  <c r="AP6" i="6"/>
  <c r="AP12" i="6"/>
  <c r="AO14" i="6"/>
  <c r="AC7" i="6" l="1"/>
  <c r="AD4" i="6"/>
  <c r="AQ6" i="6"/>
  <c r="AP14" i="6"/>
  <c r="AQ12" i="6"/>
  <c r="AD7" i="6" l="1"/>
  <c r="AE4" i="6"/>
  <c r="AQ14" i="6"/>
  <c r="AR12" i="6"/>
  <c r="AR6" i="6"/>
  <c r="AE7" i="6" l="1"/>
  <c r="AF4" i="6"/>
  <c r="AS6" i="6"/>
  <c r="AS12" i="6"/>
  <c r="AR14" i="6"/>
  <c r="AF7" i="6" l="1"/>
  <c r="AG4" i="6"/>
  <c r="AT12" i="6"/>
  <c r="AS14" i="6"/>
  <c r="AT6" i="6"/>
  <c r="AG7" i="6" l="1"/>
  <c r="AH4" i="6"/>
  <c r="AU6" i="6"/>
  <c r="AU12" i="6"/>
  <c r="AT14" i="6"/>
  <c r="AH7" i="6" l="1"/>
  <c r="AI4" i="6"/>
  <c r="AV12" i="6"/>
  <c r="AU14" i="6"/>
  <c r="AV6" i="6"/>
  <c r="AI7" i="6" l="1"/>
  <c r="AJ4" i="6"/>
  <c r="AW6" i="6"/>
  <c r="AW12" i="6"/>
  <c r="AV14" i="6"/>
  <c r="AJ7" i="6" l="1"/>
  <c r="AK4" i="6"/>
  <c r="AW14" i="6"/>
  <c r="AX12" i="6"/>
  <c r="AX6" i="6"/>
  <c r="AK7" i="6" l="1"/>
  <c r="AL4" i="6"/>
  <c r="AY6" i="6"/>
  <c r="AX14" i="6"/>
  <c r="AY12" i="6"/>
  <c r="AL7" i="6" l="1"/>
  <c r="AM4" i="6"/>
  <c r="AY14" i="6"/>
  <c r="AZ12" i="6"/>
  <c r="AZ6" i="6"/>
  <c r="AM7" i="6" l="1"/>
  <c r="AN4" i="6"/>
  <c r="BA6" i="6"/>
  <c r="AZ14" i="6"/>
  <c r="BA12" i="6"/>
  <c r="AN7" i="6" l="1"/>
  <c r="AO4" i="6"/>
  <c r="BB12" i="6"/>
  <c r="BA14" i="6"/>
  <c r="BB6" i="6"/>
  <c r="AO7" i="6" l="1"/>
  <c r="AP4" i="6"/>
  <c r="BC6" i="6"/>
  <c r="BB14" i="6"/>
  <c r="BC12" i="6"/>
  <c r="AP7" i="6" l="1"/>
  <c r="AQ4" i="6"/>
  <c r="BD12" i="6"/>
  <c r="BC14" i="6"/>
  <c r="BD6" i="6"/>
  <c r="AQ7" i="6" l="1"/>
  <c r="AR4" i="6"/>
  <c r="BE6" i="6"/>
  <c r="BD14" i="6"/>
  <c r="BE12" i="6"/>
  <c r="AR7" i="6" l="1"/>
  <c r="AS4" i="6"/>
  <c r="BF6" i="6"/>
  <c r="BE14" i="6"/>
  <c r="BF12" i="6"/>
  <c r="AS7" i="6" l="1"/>
  <c r="AT4" i="6"/>
  <c r="BG12" i="6"/>
  <c r="BF14" i="6"/>
  <c r="BG6" i="6"/>
  <c r="AT7" i="6" l="1"/>
  <c r="AU4" i="6"/>
  <c r="BH6" i="6"/>
  <c r="BH12" i="6"/>
  <c r="BG14" i="6"/>
  <c r="AU7" i="6" l="1"/>
  <c r="AV4" i="6"/>
  <c r="BI12" i="6"/>
  <c r="BH14" i="6"/>
  <c r="BI6" i="6"/>
  <c r="AV7" i="6" l="1"/>
  <c r="AW4" i="6"/>
  <c r="BJ6" i="6"/>
  <c r="BI14" i="6"/>
  <c r="BJ12" i="6"/>
  <c r="AW7" i="6" l="1"/>
  <c r="AX4" i="6"/>
  <c r="BJ14" i="6"/>
  <c r="BK12" i="6"/>
  <c r="BK6" i="6"/>
  <c r="AX7" i="6" l="1"/>
  <c r="AY4" i="6"/>
  <c r="BL6" i="6"/>
  <c r="BL12" i="6"/>
  <c r="BK14" i="6"/>
  <c r="AY7" i="6" l="1"/>
  <c r="AZ4" i="6"/>
  <c r="BL14" i="6"/>
  <c r="BM12" i="6"/>
  <c r="BM6" i="6"/>
  <c r="AZ7" i="6" l="1"/>
  <c r="BA4" i="6"/>
  <c r="BN6" i="6"/>
  <c r="BN12" i="6"/>
  <c r="BM14" i="6"/>
  <c r="BA7" i="6" l="1"/>
  <c r="BB4" i="6"/>
  <c r="BO12" i="6"/>
  <c r="BN14" i="6"/>
  <c r="BO6" i="6"/>
  <c r="BB7" i="6" l="1"/>
  <c r="BC4" i="6"/>
  <c r="BP6" i="6"/>
  <c r="BP12" i="6"/>
  <c r="BO14" i="6"/>
  <c r="BC7" i="6" l="1"/>
  <c r="BD4" i="6"/>
  <c r="BP14" i="6"/>
  <c r="BQ12" i="6"/>
  <c r="BQ6" i="6"/>
  <c r="BD7" i="6" l="1"/>
  <c r="BE4" i="6"/>
  <c r="BR6" i="6"/>
  <c r="BQ14" i="6"/>
  <c r="BR12" i="6"/>
  <c r="BE7" i="6" l="1"/>
  <c r="BF4" i="6"/>
  <c r="BR14" i="6"/>
  <c r="BS12" i="6"/>
  <c r="BS6" i="6"/>
  <c r="BF7" i="6" l="1"/>
  <c r="BG4" i="6"/>
  <c r="BT6" i="6"/>
  <c r="BS14" i="6"/>
  <c r="BT12" i="6"/>
  <c r="BG7" i="6" l="1"/>
  <c r="BH4" i="6"/>
  <c r="BT14" i="6"/>
  <c r="BU12" i="6"/>
  <c r="BU6" i="6"/>
  <c r="BH7" i="6" l="1"/>
  <c r="BI4" i="6"/>
  <c r="BV6" i="6"/>
  <c r="BV12" i="6"/>
  <c r="BU14" i="6"/>
  <c r="BI7" i="6" l="1"/>
  <c r="BJ4" i="6"/>
  <c r="BW12" i="6"/>
  <c r="BV14" i="6"/>
  <c r="BW6" i="6"/>
  <c r="BJ7" i="6" l="1"/>
  <c r="BK4" i="6"/>
  <c r="BX6" i="6"/>
  <c r="BW14" i="6"/>
  <c r="BX12" i="6"/>
  <c r="BK7" i="6" l="1"/>
  <c r="BL4" i="6"/>
  <c r="BY12" i="6"/>
  <c r="BX14" i="6"/>
  <c r="BY6" i="6"/>
  <c r="BL7" i="6" l="1"/>
  <c r="BM4" i="6"/>
  <c r="BZ6" i="6"/>
  <c r="BZ12" i="6"/>
  <c r="BY14" i="6"/>
  <c r="BM7" i="6" l="1"/>
  <c r="BN4" i="6"/>
  <c r="BZ14" i="6"/>
  <c r="CA12" i="6"/>
  <c r="CA6" i="6"/>
  <c r="BN7" i="6" l="1"/>
  <c r="BO4" i="6"/>
  <c r="CB6" i="6"/>
  <c r="CB12" i="6"/>
  <c r="CA14" i="6"/>
  <c r="BO7" i="6" l="1"/>
  <c r="BP4" i="6"/>
  <c r="CC12" i="6"/>
  <c r="CB14" i="6"/>
  <c r="CC6" i="6"/>
  <c r="BP7" i="6" l="1"/>
  <c r="BQ4" i="6"/>
  <c r="CD6" i="6"/>
  <c r="CD12" i="6"/>
  <c r="CC14" i="6"/>
  <c r="BQ7" i="6" l="1"/>
  <c r="BR4" i="6"/>
  <c r="CD14" i="6"/>
  <c r="CE12" i="6"/>
  <c r="CE6" i="6"/>
  <c r="BR7" i="6" l="1"/>
  <c r="BS4" i="6"/>
  <c r="CF6" i="6"/>
  <c r="CE14" i="6"/>
  <c r="CF12" i="6"/>
  <c r="BS7" i="6" l="1"/>
  <c r="BT4" i="6"/>
  <c r="CF14" i="6"/>
  <c r="CG12" i="6"/>
  <c r="CG6" i="6"/>
  <c r="BT7" i="6" l="1"/>
  <c r="BU4" i="6"/>
  <c r="CH6" i="6"/>
  <c r="CH12" i="6"/>
  <c r="CG14" i="6"/>
  <c r="BU7" i="6" l="1"/>
  <c r="BV4" i="6"/>
  <c r="CH14" i="6"/>
  <c r="CI12" i="6"/>
  <c r="CI6" i="6"/>
  <c r="BV7" i="6" l="1"/>
  <c r="BW4" i="6"/>
  <c r="CJ6" i="6"/>
  <c r="CJ12" i="6"/>
  <c r="CI14" i="6"/>
  <c r="BW7" i="6" l="1"/>
  <c r="BX4" i="6"/>
  <c r="CK12" i="6"/>
  <c r="CJ14" i="6"/>
  <c r="CK6" i="6"/>
  <c r="BX7" i="6" l="1"/>
  <c r="BY4" i="6"/>
  <c r="CL6" i="6"/>
  <c r="CK14" i="6"/>
  <c r="CL12" i="6"/>
  <c r="BY7" i="6" l="1"/>
  <c r="BZ4" i="6"/>
  <c r="CM12" i="6"/>
  <c r="CL14" i="6"/>
  <c r="CM6" i="6"/>
  <c r="BZ7" i="6" l="1"/>
  <c r="CA4" i="6"/>
  <c r="CN6" i="6"/>
  <c r="CN12" i="6"/>
  <c r="CM14" i="6"/>
  <c r="CA7" i="6" l="1"/>
  <c r="CB4" i="6"/>
  <c r="CO12" i="6"/>
  <c r="CN14" i="6"/>
  <c r="CO6" i="6"/>
  <c r="CB7" i="6" l="1"/>
  <c r="CC4" i="6"/>
  <c r="CP12" i="6"/>
  <c r="CO14" i="6"/>
  <c r="CP6" i="6"/>
  <c r="CC7" i="6" l="1"/>
  <c r="CD4" i="6"/>
  <c r="CQ6" i="6"/>
  <c r="CQ12" i="6"/>
  <c r="CP14" i="6"/>
  <c r="CD7" i="6" l="1"/>
  <c r="CE4" i="6"/>
  <c r="CQ14" i="6"/>
  <c r="CR12" i="6"/>
  <c r="CR6" i="6"/>
  <c r="CE7" i="6" l="1"/>
  <c r="CF4" i="6"/>
  <c r="CS6" i="6"/>
  <c r="CS12" i="6"/>
  <c r="CR14" i="6"/>
  <c r="CF7" i="6" l="1"/>
  <c r="CG4" i="6"/>
  <c r="CT12" i="6"/>
  <c r="CS14" i="6"/>
  <c r="CT6" i="6"/>
  <c r="CG7" i="6" l="1"/>
  <c r="CH4" i="6"/>
  <c r="CU6" i="6"/>
  <c r="CT14" i="6"/>
  <c r="CU12" i="6"/>
  <c r="CH7" i="6" l="1"/>
  <c r="CI4" i="6"/>
  <c r="CV12" i="6"/>
  <c r="CU14" i="6"/>
  <c r="CV6" i="6"/>
  <c r="CI7" i="6" l="1"/>
  <c r="CJ4" i="6"/>
  <c r="CW6" i="6"/>
  <c r="CV14" i="6"/>
  <c r="CW12" i="6"/>
  <c r="CJ7" i="6" l="1"/>
  <c r="CK4" i="6"/>
  <c r="CX6" i="6"/>
  <c r="CX12" i="6"/>
  <c r="CW14" i="6"/>
  <c r="CK7" i="6" l="1"/>
  <c r="CL4" i="6"/>
  <c r="CY6" i="6"/>
  <c r="CY12" i="6"/>
  <c r="CX14" i="6"/>
  <c r="CL7" i="6" l="1"/>
  <c r="CM4" i="6"/>
  <c r="CZ12" i="6"/>
  <c r="CY14" i="6"/>
  <c r="CZ6" i="6"/>
  <c r="CM7" i="6" l="1"/>
  <c r="CN4" i="6"/>
  <c r="DA6" i="6"/>
  <c r="DA12" i="6"/>
  <c r="CZ14" i="6"/>
  <c r="CN7" i="6" l="1"/>
  <c r="CO4" i="6"/>
  <c r="DA14" i="6"/>
  <c r="DB12" i="6"/>
  <c r="DB6" i="6"/>
  <c r="CO7" i="6" l="1"/>
  <c r="CP4" i="6"/>
  <c r="DC12" i="6"/>
  <c r="DB14" i="6"/>
  <c r="DC6" i="6"/>
  <c r="CP7" i="6" l="1"/>
  <c r="CQ4" i="6"/>
  <c r="DD6" i="6"/>
  <c r="DC14" i="6"/>
  <c r="DD12" i="6"/>
  <c r="CQ7" i="6" l="1"/>
  <c r="CR4" i="6"/>
  <c r="DE12" i="6"/>
  <c r="DD14" i="6"/>
  <c r="DE6" i="6"/>
  <c r="CR7" i="6" l="1"/>
  <c r="CS4" i="6"/>
  <c r="DF6" i="6"/>
  <c r="DF12" i="6"/>
  <c r="DE14" i="6"/>
  <c r="CS7" i="6" l="1"/>
  <c r="CT4" i="6"/>
  <c r="DG12" i="6"/>
  <c r="DF14" i="6"/>
  <c r="DG6" i="6"/>
  <c r="CT7" i="6" l="1"/>
  <c r="CU4" i="6"/>
  <c r="DH6" i="6"/>
  <c r="DG14" i="6"/>
  <c r="DH12" i="6"/>
  <c r="CU7" i="6" l="1"/>
  <c r="CV4" i="6"/>
  <c r="DI12" i="6"/>
  <c r="DH14" i="6"/>
  <c r="DI6" i="6"/>
  <c r="CV7" i="6" l="1"/>
  <c r="CW4" i="6"/>
  <c r="DJ6" i="6"/>
  <c r="DJ12" i="6"/>
  <c r="DI14" i="6"/>
  <c r="CW7" i="6" l="1"/>
  <c r="CX4" i="6"/>
  <c r="DK6" i="6"/>
  <c r="DK12" i="6"/>
  <c r="DJ14" i="6"/>
  <c r="CX7" i="6" l="1"/>
  <c r="CY4" i="6"/>
  <c r="DL12" i="6"/>
  <c r="DK14" i="6"/>
  <c r="DL6" i="6"/>
  <c r="CY7" i="6" l="1"/>
  <c r="CZ4" i="6"/>
  <c r="DM6" i="6"/>
  <c r="DM12" i="6"/>
  <c r="DL14" i="6"/>
  <c r="CZ7" i="6" l="1"/>
  <c r="DA4" i="6"/>
  <c r="DN12" i="6"/>
  <c r="DM14" i="6"/>
  <c r="DN6" i="6"/>
  <c r="DA7" i="6" l="1"/>
  <c r="DB4" i="6"/>
  <c r="DO6" i="6"/>
  <c r="DO12" i="6"/>
  <c r="DN14" i="6"/>
  <c r="DB7" i="6" l="1"/>
  <c r="DC4" i="6"/>
  <c r="DP12" i="6"/>
  <c r="DO14" i="6"/>
  <c r="DP6" i="6"/>
  <c r="DC7" i="6" l="1"/>
  <c r="DD4" i="6"/>
  <c r="DQ6" i="6"/>
  <c r="DQ12" i="6"/>
  <c r="DP14" i="6"/>
  <c r="DD7" i="6" l="1"/>
  <c r="DE4" i="6"/>
  <c r="DR6" i="6"/>
  <c r="DR12" i="6"/>
  <c r="DQ14" i="6"/>
  <c r="DE7" i="6" l="1"/>
  <c r="DF4" i="6"/>
  <c r="DS6" i="6"/>
  <c r="DR14" i="6"/>
  <c r="DS12" i="6"/>
  <c r="DF7" i="6" l="1"/>
  <c r="DG4" i="6"/>
  <c r="DT6" i="6"/>
  <c r="DS14" i="6"/>
  <c r="DT12" i="6"/>
  <c r="DG7" i="6" l="1"/>
  <c r="DH4" i="6"/>
  <c r="DU12" i="6"/>
  <c r="DT14" i="6"/>
  <c r="DU6" i="6"/>
  <c r="DH7" i="6" l="1"/>
  <c r="DI4" i="6"/>
  <c r="DV6" i="6"/>
  <c r="DU14" i="6"/>
  <c r="DV12" i="6"/>
  <c r="DI7" i="6" l="1"/>
  <c r="DJ4" i="6"/>
  <c r="DV14" i="6"/>
  <c r="DW12" i="6"/>
  <c r="DW6" i="6"/>
  <c r="DJ7" i="6" l="1"/>
  <c r="DK4" i="6"/>
  <c r="DX6" i="6"/>
  <c r="DX12" i="6"/>
  <c r="DW14" i="6"/>
  <c r="DK7" i="6" l="1"/>
  <c r="DL4" i="6"/>
  <c r="DY12" i="6"/>
  <c r="DX14" i="6"/>
  <c r="DY6" i="6"/>
  <c r="DL7" i="6" l="1"/>
  <c r="DM4" i="6"/>
  <c r="DZ6" i="6"/>
  <c r="DY14" i="6"/>
  <c r="DZ12" i="6"/>
  <c r="DM7" i="6" l="1"/>
  <c r="DN4" i="6"/>
  <c r="EA6" i="6"/>
  <c r="DZ14" i="6"/>
  <c r="EA12" i="6"/>
  <c r="DN7" i="6" l="1"/>
  <c r="DO4" i="6"/>
  <c r="EB12" i="6"/>
  <c r="EA14" i="6"/>
  <c r="EB6" i="6"/>
  <c r="DO7" i="6" l="1"/>
  <c r="DP4" i="6"/>
  <c r="EC6" i="6"/>
  <c r="EC12" i="6"/>
  <c r="EB14" i="6"/>
  <c r="DP7" i="6" l="1"/>
  <c r="DQ4" i="6"/>
  <c r="ED6" i="6"/>
  <c r="ED12" i="6"/>
  <c r="EC14" i="6"/>
  <c r="DQ7" i="6" l="1"/>
  <c r="DR4" i="6"/>
  <c r="EE12" i="6"/>
  <c r="ED14" i="6"/>
  <c r="EE6" i="6"/>
  <c r="DR7" i="6" l="1"/>
  <c r="DS4" i="6"/>
  <c r="EF6" i="6"/>
  <c r="EF12" i="6"/>
  <c r="EE14" i="6"/>
  <c r="DS7" i="6" l="1"/>
  <c r="DT4" i="6"/>
  <c r="EG6" i="6"/>
  <c r="EF14" i="6"/>
  <c r="EG12" i="6"/>
  <c r="DT7" i="6" l="1"/>
  <c r="DU4" i="6"/>
  <c r="EH12" i="6"/>
  <c r="EG14" i="6"/>
  <c r="EH6" i="6"/>
  <c r="DU7" i="6" l="1"/>
  <c r="DV4" i="6"/>
  <c r="EI6" i="6"/>
  <c r="EI12" i="6"/>
  <c r="EH14" i="6"/>
  <c r="DV7" i="6" l="1"/>
  <c r="DW4" i="6"/>
  <c r="EJ12" i="6"/>
  <c r="EI14" i="6"/>
  <c r="EJ6" i="6"/>
  <c r="DW7" i="6" l="1"/>
  <c r="DX4" i="6"/>
  <c r="EK6" i="6"/>
  <c r="EK12" i="6"/>
  <c r="EJ14" i="6"/>
  <c r="DX7" i="6" l="1"/>
  <c r="DY4" i="6"/>
  <c r="EK14" i="6"/>
  <c r="EL12" i="6"/>
  <c r="EL6" i="6"/>
  <c r="DY7" i="6" l="1"/>
  <c r="DZ4" i="6"/>
  <c r="EL14" i="6"/>
  <c r="EM12" i="6"/>
  <c r="EM6" i="6"/>
  <c r="DZ7" i="6" l="1"/>
  <c r="EA4" i="6"/>
  <c r="EN6" i="6"/>
  <c r="EN12" i="6"/>
  <c r="EM14" i="6"/>
  <c r="EA7" i="6" l="1"/>
  <c r="EB4" i="6"/>
  <c r="EO6" i="6"/>
  <c r="EO12" i="6"/>
  <c r="EN14" i="6"/>
  <c r="EB7" i="6" l="1"/>
  <c r="EC4" i="6"/>
  <c r="EP12" i="6"/>
  <c r="EO14" i="6"/>
  <c r="EP6" i="6"/>
  <c r="EC7" i="6" l="1"/>
  <c r="ED4" i="6"/>
  <c r="EQ6" i="6"/>
  <c r="EQ12" i="6"/>
  <c r="EP14" i="6"/>
  <c r="ED7" i="6" l="1"/>
  <c r="EE4" i="6"/>
  <c r="EQ14" i="6"/>
  <c r="ER12" i="6"/>
  <c r="ER6" i="6"/>
  <c r="EE7" i="6" l="1"/>
  <c r="EF4" i="6"/>
  <c r="ER14" i="6"/>
  <c r="ES12" i="6"/>
  <c r="ES6" i="6"/>
  <c r="EF7" i="6" l="1"/>
  <c r="EG4" i="6"/>
  <c r="ET6" i="6"/>
  <c r="ET12" i="6"/>
  <c r="ES14" i="6"/>
  <c r="EG7" i="6" l="1"/>
  <c r="EH4" i="6"/>
  <c r="ET14" i="6"/>
  <c r="EU12" i="6"/>
  <c r="EU6" i="6"/>
  <c r="EH7" i="6" l="1"/>
  <c r="EI4" i="6"/>
  <c r="EV12" i="6"/>
  <c r="EU14" i="6"/>
  <c r="EV6" i="6"/>
  <c r="EI7" i="6" l="1"/>
  <c r="EJ4" i="6"/>
  <c r="EW6" i="6"/>
  <c r="EW12" i="6"/>
  <c r="EV14" i="6"/>
  <c r="EJ7" i="6" l="1"/>
  <c r="EK4" i="6"/>
  <c r="EX12" i="6"/>
  <c r="EW14" i="6"/>
  <c r="EX6" i="6"/>
  <c r="EK7" i="6" l="1"/>
  <c r="EL4" i="6"/>
  <c r="EY6" i="6"/>
  <c r="EY12" i="6"/>
  <c r="EX14" i="6"/>
  <c r="EL7" i="6" l="1"/>
  <c r="EM4" i="6"/>
  <c r="EZ6" i="6"/>
  <c r="EZ12" i="6"/>
  <c r="EY14" i="6"/>
  <c r="EM7" i="6" l="1"/>
  <c r="EN4" i="6"/>
  <c r="EZ14" i="6"/>
  <c r="FA12" i="6"/>
  <c r="FA6" i="6"/>
  <c r="EN7" i="6" l="1"/>
  <c r="EO4" i="6"/>
  <c r="FB12" i="6"/>
  <c r="FA14" i="6"/>
  <c r="FB6" i="6"/>
  <c r="EO7" i="6" l="1"/>
  <c r="EP4" i="6"/>
  <c r="FC6" i="6"/>
  <c r="FC12" i="6"/>
  <c r="FB14" i="6"/>
  <c r="EP7" i="6" l="1"/>
  <c r="EQ4" i="6"/>
  <c r="FD12" i="6"/>
  <c r="FC14" i="6"/>
  <c r="FD6" i="6"/>
  <c r="EQ7" i="6" l="1"/>
  <c r="ER4" i="6"/>
  <c r="FE6" i="6"/>
  <c r="FE12" i="6"/>
  <c r="FD14" i="6"/>
  <c r="ER7" i="6" l="1"/>
  <c r="ES4" i="6"/>
  <c r="FF12" i="6"/>
  <c r="FE14" i="6"/>
  <c r="FF6" i="6"/>
  <c r="ES7" i="6" l="1"/>
  <c r="ET4" i="6"/>
  <c r="FG6" i="6"/>
  <c r="FF14" i="6"/>
  <c r="FG12" i="6"/>
  <c r="ET7" i="6" l="1"/>
  <c r="EU4" i="6"/>
  <c r="FH12" i="6"/>
  <c r="FG14" i="6"/>
  <c r="FH6" i="6"/>
  <c r="EU7" i="6" l="1"/>
  <c r="EV4" i="6"/>
  <c r="FI6" i="6"/>
  <c r="FH14" i="6"/>
  <c r="FI12" i="6"/>
  <c r="EV7" i="6" l="1"/>
  <c r="EW4" i="6"/>
  <c r="FJ12" i="6"/>
  <c r="FI14" i="6"/>
  <c r="FJ6" i="6"/>
  <c r="EW7" i="6" l="1"/>
  <c r="EX4" i="6"/>
  <c r="FK6" i="6"/>
  <c r="FJ14" i="6"/>
  <c r="FK12" i="6"/>
  <c r="EX7" i="6" l="1"/>
  <c r="EY4" i="6"/>
  <c r="FL12" i="6"/>
  <c r="FK14" i="6"/>
  <c r="FL6" i="6"/>
  <c r="EY7" i="6" l="1"/>
  <c r="EZ4" i="6"/>
  <c r="FM6" i="6"/>
  <c r="FM12" i="6"/>
  <c r="FL14" i="6"/>
  <c r="EZ7" i="6" l="1"/>
  <c r="FA4" i="6"/>
  <c r="FM14" i="6"/>
  <c r="FN12" i="6"/>
  <c r="FN6" i="6"/>
  <c r="FA7" i="6" l="1"/>
  <c r="FB4" i="6"/>
  <c r="FO12" i="6"/>
  <c r="FN14" i="6"/>
  <c r="FO6" i="6"/>
  <c r="FB7" i="6" l="1"/>
  <c r="FC4" i="6"/>
  <c r="FP6" i="6"/>
  <c r="FP12" i="6"/>
  <c r="FO14" i="6"/>
  <c r="FC7" i="6" l="1"/>
  <c r="FD4" i="6"/>
  <c r="FQ12" i="6"/>
  <c r="FP14" i="6"/>
  <c r="FQ6" i="6"/>
  <c r="FD7" i="6" l="1"/>
  <c r="FE4" i="6"/>
  <c r="FR6" i="6"/>
  <c r="FR12" i="6"/>
  <c r="FQ14" i="6"/>
  <c r="FE7" i="6" l="1"/>
  <c r="FF4" i="6"/>
  <c r="FS12" i="6"/>
  <c r="FR14" i="6"/>
  <c r="FS6" i="6"/>
  <c r="FF7" i="6" l="1"/>
  <c r="FG4" i="6"/>
  <c r="FT6" i="6"/>
  <c r="FS14" i="6"/>
  <c r="FT12" i="6"/>
  <c r="FG7" i="6" l="1"/>
  <c r="FH4" i="6"/>
  <c r="FU6" i="6"/>
  <c r="FT14" i="6"/>
  <c r="FU12" i="6"/>
  <c r="FH7" i="6" l="1"/>
  <c r="FI4" i="6"/>
  <c r="FV6" i="6"/>
  <c r="FV12" i="6"/>
  <c r="FU14" i="6"/>
  <c r="FI7" i="6" l="1"/>
  <c r="FJ4" i="6"/>
  <c r="FW12" i="6"/>
  <c r="FV14" i="6"/>
  <c r="FW6" i="6"/>
  <c r="FJ7" i="6" l="1"/>
  <c r="FK4" i="6"/>
  <c r="FX6" i="6"/>
  <c r="FW14" i="6"/>
  <c r="FX12" i="6"/>
  <c r="FK7" i="6" l="1"/>
  <c r="FL4" i="6"/>
  <c r="FY12" i="6"/>
  <c r="FX14" i="6"/>
  <c r="FY6" i="6"/>
  <c r="FL7" i="6" l="1"/>
  <c r="FM4" i="6"/>
  <c r="FZ6" i="6"/>
  <c r="FZ12" i="6"/>
  <c r="FY14" i="6"/>
  <c r="FM7" i="6" l="1"/>
  <c r="FN4" i="6"/>
  <c r="GA12" i="6"/>
  <c r="FZ14" i="6"/>
  <c r="GA6" i="6"/>
  <c r="FN7" i="6" l="1"/>
  <c r="FO4" i="6"/>
  <c r="GB6" i="6"/>
  <c r="GB12" i="6"/>
  <c r="GA14" i="6"/>
  <c r="FO7" i="6" l="1"/>
  <c r="FP4" i="6"/>
  <c r="GC12" i="6"/>
  <c r="GB14" i="6"/>
  <c r="GC6" i="6"/>
  <c r="FP7" i="6" l="1"/>
  <c r="FQ4" i="6"/>
  <c r="GD6" i="6"/>
  <c r="GC14" i="6"/>
  <c r="GD12" i="6"/>
  <c r="FQ7" i="6" l="1"/>
  <c r="FR4" i="6"/>
  <c r="GD14" i="6"/>
  <c r="GE12" i="6"/>
  <c r="GE6" i="6"/>
  <c r="FR7" i="6" l="1"/>
  <c r="FS4" i="6"/>
  <c r="GF6" i="6"/>
  <c r="GF12" i="6"/>
  <c r="GE14" i="6"/>
  <c r="FS7" i="6" l="1"/>
  <c r="FT4" i="6"/>
  <c r="GF14" i="6"/>
  <c r="GG12" i="6"/>
  <c r="GG6" i="6"/>
  <c r="FT7" i="6" l="1"/>
  <c r="FU4" i="6"/>
  <c r="GH6" i="6"/>
  <c r="GH12" i="6"/>
  <c r="GG14" i="6"/>
  <c r="FU7" i="6" l="1"/>
  <c r="FV4" i="6"/>
  <c r="GI12" i="6"/>
  <c r="GH14" i="6"/>
  <c r="GI6" i="6"/>
  <c r="FV7" i="6" l="1"/>
  <c r="FW4" i="6"/>
  <c r="GJ6" i="6"/>
  <c r="GI14" i="6"/>
  <c r="GJ12" i="6"/>
  <c r="FW7" i="6" l="1"/>
  <c r="FX4" i="6"/>
  <c r="GK12" i="6"/>
  <c r="GJ14" i="6"/>
  <c r="GK6" i="6"/>
  <c r="FX7" i="6" l="1"/>
  <c r="FY4" i="6"/>
  <c r="GL6" i="6"/>
  <c r="GK14" i="6"/>
  <c r="GL12" i="6"/>
  <c r="FY7" i="6" l="1"/>
  <c r="FZ4" i="6"/>
  <c r="GM12" i="6"/>
  <c r="GL14" i="6"/>
  <c r="GM6" i="6"/>
  <c r="FZ7" i="6" l="1"/>
  <c r="GA4" i="6"/>
  <c r="GN6" i="6"/>
  <c r="GN12" i="6"/>
  <c r="GM14" i="6"/>
  <c r="GA7" i="6" l="1"/>
  <c r="GB4" i="6"/>
  <c r="GO12" i="6"/>
  <c r="GN14" i="6"/>
  <c r="GO6" i="6"/>
  <c r="GB7" i="6" l="1"/>
  <c r="GC4" i="6"/>
  <c r="GP6" i="6"/>
  <c r="GP12" i="6"/>
  <c r="GO14" i="6"/>
  <c r="GC7" i="6" l="1"/>
  <c r="GD4" i="6"/>
  <c r="GP14" i="6"/>
  <c r="GQ12" i="6"/>
  <c r="GQ6" i="6"/>
  <c r="GD7" i="6" l="1"/>
  <c r="GE4" i="6"/>
  <c r="GR6" i="6"/>
  <c r="GR12" i="6"/>
  <c r="GQ14" i="6"/>
  <c r="GE7" i="6" l="1"/>
  <c r="GF4" i="6"/>
  <c r="GR14" i="6"/>
  <c r="GS12" i="6"/>
  <c r="GS6" i="6"/>
  <c r="GF7" i="6" l="1"/>
  <c r="GG4" i="6"/>
  <c r="GT12" i="6"/>
  <c r="GS14" i="6"/>
  <c r="GT6" i="6"/>
  <c r="GG7" i="6" l="1"/>
  <c r="GH4" i="6"/>
  <c r="GU6" i="6"/>
  <c r="GU12" i="6"/>
  <c r="GT14" i="6"/>
  <c r="GH7" i="6" l="1"/>
  <c r="GI4" i="6"/>
  <c r="GV6" i="6"/>
  <c r="GU14" i="6"/>
  <c r="GV12" i="6"/>
  <c r="GI7" i="6" l="1"/>
  <c r="GJ4" i="6"/>
  <c r="GW12" i="6"/>
  <c r="GV14" i="6"/>
  <c r="GW6" i="6"/>
  <c r="GJ7" i="6" l="1"/>
  <c r="GK4" i="6"/>
  <c r="GX6" i="6"/>
  <c r="GX12" i="6"/>
  <c r="GW14" i="6"/>
  <c r="GK7" i="6" l="1"/>
  <c r="GL4" i="6"/>
  <c r="GY12" i="6"/>
  <c r="GX14" i="6"/>
  <c r="GY6" i="6"/>
  <c r="GL7" i="6" l="1"/>
  <c r="GM4" i="6"/>
  <c r="GZ6" i="6"/>
  <c r="GY14" i="6"/>
  <c r="GZ12" i="6"/>
  <c r="GM7" i="6" l="1"/>
  <c r="GN4" i="6"/>
  <c r="HA6" i="6"/>
  <c r="GZ14" i="6"/>
  <c r="HA12" i="6"/>
  <c r="GN7" i="6" l="1"/>
  <c r="GO4" i="6"/>
  <c r="HB12" i="6"/>
  <c r="HA14" i="6"/>
  <c r="HB6" i="6"/>
  <c r="GO7" i="6" l="1"/>
  <c r="GP4" i="6"/>
  <c r="HC6" i="6"/>
  <c r="HC12" i="6"/>
  <c r="HB14" i="6"/>
  <c r="GP7" i="6" l="1"/>
  <c r="GQ4" i="6"/>
  <c r="HD12" i="6"/>
  <c r="HC14" i="6"/>
  <c r="HD6" i="6"/>
  <c r="GQ7" i="6" l="1"/>
  <c r="GR4" i="6"/>
  <c r="HE6" i="6"/>
  <c r="HE12" i="6"/>
  <c r="HD14" i="6"/>
  <c r="GR7" i="6" l="1"/>
  <c r="GS4" i="6"/>
  <c r="HE14" i="6"/>
  <c r="HF12" i="6"/>
  <c r="HF6" i="6"/>
  <c r="GS7" i="6" l="1"/>
  <c r="GT4" i="6"/>
  <c r="HG12" i="6"/>
  <c r="HF14" i="6"/>
  <c r="HG6" i="6"/>
  <c r="GT7" i="6" l="1"/>
  <c r="GU4" i="6"/>
  <c r="HH6" i="6"/>
  <c r="HH12" i="6"/>
  <c r="HG14" i="6"/>
  <c r="GU7" i="6" l="1"/>
  <c r="GV4" i="6"/>
  <c r="HI12" i="6"/>
  <c r="HH14" i="6"/>
  <c r="HI6" i="6"/>
  <c r="GV7" i="6" l="1"/>
  <c r="GW4" i="6"/>
  <c r="HJ6" i="6"/>
  <c r="HI14" i="6"/>
  <c r="HJ12" i="6"/>
  <c r="GW7" i="6" l="1"/>
  <c r="GX4" i="6"/>
  <c r="HJ14" i="6"/>
  <c r="HK12" i="6"/>
  <c r="HK6" i="6"/>
  <c r="GX7" i="6" l="1"/>
  <c r="GY4" i="6"/>
  <c r="HL6" i="6"/>
  <c r="HL12" i="6"/>
  <c r="HK14" i="6"/>
  <c r="GY7" i="6" l="1"/>
  <c r="GZ4" i="6"/>
  <c r="HM12" i="6"/>
  <c r="HL14" i="6"/>
  <c r="HM6" i="6"/>
  <c r="GZ7" i="6" l="1"/>
  <c r="HA4" i="6"/>
  <c r="HN6" i="6"/>
  <c r="HN12" i="6"/>
  <c r="HM14" i="6"/>
  <c r="HA7" i="6" l="1"/>
  <c r="HB4" i="6"/>
  <c r="HO12" i="6"/>
  <c r="HN14" i="6"/>
  <c r="HO6" i="6"/>
  <c r="HB7" i="6" l="1"/>
  <c r="HC4" i="6"/>
  <c r="HP6" i="6"/>
  <c r="HO14" i="6"/>
  <c r="HP12" i="6"/>
  <c r="HC7" i="6" l="1"/>
  <c r="HD4" i="6"/>
  <c r="HP14" i="6"/>
  <c r="HQ12" i="6"/>
  <c r="HQ6" i="6"/>
  <c r="HD7" i="6" l="1"/>
  <c r="HE4" i="6"/>
  <c r="HR12" i="6"/>
  <c r="HQ14" i="6"/>
  <c r="HR6" i="6"/>
  <c r="HE7" i="6" l="1"/>
  <c r="HF4" i="6"/>
  <c r="HS6" i="6"/>
  <c r="HS12" i="6"/>
  <c r="HR14" i="6"/>
  <c r="HF7" i="6" l="1"/>
  <c r="HG4" i="6"/>
  <c r="HT12" i="6"/>
  <c r="HS14" i="6"/>
  <c r="HT6" i="6"/>
  <c r="HG7" i="6" l="1"/>
  <c r="HH4" i="6"/>
  <c r="HU6" i="6"/>
  <c r="HT14" i="6"/>
  <c r="HU12" i="6"/>
  <c r="HH7" i="6" l="1"/>
  <c r="HI4" i="6"/>
  <c r="HV12" i="6"/>
  <c r="HU14" i="6"/>
  <c r="HV6" i="6"/>
  <c r="HI7" i="6" l="1"/>
  <c r="HJ4" i="6"/>
  <c r="HW6" i="6"/>
  <c r="HV14" i="6"/>
  <c r="HW12" i="6"/>
  <c r="HJ7" i="6" l="1"/>
  <c r="HK4" i="6"/>
  <c r="HX12" i="6"/>
  <c r="HW14" i="6"/>
  <c r="HX6" i="6"/>
  <c r="HK7" i="6" l="1"/>
  <c r="HL4" i="6"/>
  <c r="HY6" i="6"/>
  <c r="HY12" i="6"/>
  <c r="HX14" i="6"/>
  <c r="HL7" i="6" l="1"/>
  <c r="HM4" i="6"/>
  <c r="HZ12" i="6"/>
  <c r="HY14" i="6"/>
  <c r="HZ6" i="6"/>
  <c r="HM7" i="6" l="1"/>
  <c r="HN4" i="6"/>
  <c r="IA6" i="6"/>
  <c r="IA12" i="6"/>
  <c r="HZ14" i="6"/>
  <c r="HN7" i="6" l="1"/>
  <c r="HO4" i="6"/>
  <c r="IA14" i="6"/>
  <c r="IB12" i="6"/>
  <c r="IB6" i="6"/>
  <c r="HO7" i="6" l="1"/>
  <c r="HP4" i="6"/>
  <c r="IC6" i="6"/>
  <c r="IC12" i="6"/>
  <c r="IB14" i="6"/>
  <c r="HP7" i="6" l="1"/>
  <c r="HQ4" i="6"/>
  <c r="ID12" i="6"/>
  <c r="IC14" i="6"/>
  <c r="ID6" i="6"/>
  <c r="HQ7" i="6" l="1"/>
  <c r="HR4" i="6"/>
  <c r="IE6" i="6"/>
  <c r="IE12" i="6"/>
  <c r="ID14" i="6"/>
  <c r="HR7" i="6" l="1"/>
  <c r="HS4" i="6"/>
  <c r="IF12" i="6"/>
  <c r="IE14" i="6"/>
  <c r="IF6" i="6"/>
  <c r="HS7" i="6" l="1"/>
  <c r="HT4" i="6"/>
  <c r="IG6" i="6"/>
  <c r="IG12" i="6"/>
  <c r="IF14" i="6"/>
  <c r="HT7" i="6" l="1"/>
  <c r="HU4" i="6"/>
  <c r="IH6" i="6"/>
  <c r="IG14" i="6"/>
  <c r="IH12" i="6"/>
  <c r="HU7" i="6" l="1"/>
  <c r="HV4" i="6"/>
  <c r="IH14" i="6"/>
  <c r="II12" i="6"/>
  <c r="II6" i="6"/>
  <c r="HV7" i="6" l="1"/>
  <c r="HW4" i="6"/>
  <c r="IJ12" i="6"/>
  <c r="II14" i="6"/>
  <c r="IJ6" i="6"/>
  <c r="HW7" i="6" l="1"/>
  <c r="HX4" i="6"/>
  <c r="IK6" i="6"/>
  <c r="IK12" i="6"/>
  <c r="IJ14" i="6"/>
  <c r="HX7" i="6" l="1"/>
  <c r="HY4" i="6"/>
  <c r="IK14" i="6"/>
  <c r="IL12" i="6"/>
  <c r="IL6" i="6"/>
  <c r="HY7" i="6" l="1"/>
  <c r="HZ4" i="6"/>
  <c r="IM6" i="6"/>
  <c r="IL14" i="6"/>
  <c r="IM12" i="6"/>
  <c r="HZ7" i="6" l="1"/>
  <c r="IA4" i="6"/>
  <c r="IN6" i="6"/>
  <c r="IN12" i="6"/>
  <c r="IM14" i="6"/>
  <c r="IA7" i="6" l="1"/>
  <c r="IB4" i="6"/>
  <c r="IO6" i="6"/>
  <c r="IO12" i="6"/>
  <c r="IN14" i="6"/>
  <c r="IB7" i="6" l="1"/>
  <c r="IC4" i="6"/>
  <c r="IO14" i="6"/>
  <c r="IP12" i="6"/>
  <c r="IP6" i="6"/>
  <c r="IC7" i="6" l="1"/>
  <c r="ID4" i="6"/>
  <c r="IQ6" i="6"/>
  <c r="IQ12" i="6"/>
  <c r="IP14" i="6"/>
  <c r="ID7" i="6" l="1"/>
  <c r="IE4" i="6"/>
  <c r="IR12" i="6"/>
  <c r="IQ14" i="6"/>
  <c r="IR6" i="6"/>
  <c r="IE7" i="6" l="1"/>
  <c r="IF4" i="6"/>
  <c r="IS6" i="6"/>
  <c r="IR14" i="6"/>
  <c r="IS12" i="6"/>
  <c r="IF7" i="6" l="1"/>
  <c r="IG4" i="6"/>
  <c r="IT6" i="6"/>
  <c r="IT12" i="6"/>
  <c r="IS14" i="6"/>
  <c r="IG7" i="6" l="1"/>
  <c r="IH4" i="6"/>
  <c r="IU6" i="6"/>
  <c r="IU12" i="6"/>
  <c r="IT14" i="6"/>
  <c r="IH7" i="6" l="1"/>
  <c r="II4" i="6"/>
  <c r="IU14" i="6"/>
  <c r="IV12" i="6"/>
  <c r="IV6" i="6"/>
  <c r="II7" i="6" l="1"/>
  <c r="IJ4" i="6"/>
  <c r="IV14" i="6"/>
  <c r="IW12" i="6"/>
  <c r="IW6" i="6"/>
  <c r="IJ7" i="6" l="1"/>
  <c r="IK4" i="6"/>
  <c r="IX6" i="6"/>
  <c r="IW14" i="6"/>
  <c r="IX12" i="6"/>
  <c r="IK7" i="6" l="1"/>
  <c r="IL4" i="6"/>
  <c r="IY12" i="6"/>
  <c r="IX14" i="6"/>
  <c r="IY6" i="6"/>
  <c r="IL7" i="6" l="1"/>
  <c r="IM4" i="6"/>
  <c r="IZ6" i="6"/>
  <c r="IZ12" i="6"/>
  <c r="IY14" i="6"/>
  <c r="IM7" i="6" l="1"/>
  <c r="IN4" i="6"/>
  <c r="JA12" i="6"/>
  <c r="IZ14" i="6"/>
  <c r="JA6" i="6"/>
  <c r="IN7" i="6" l="1"/>
  <c r="IO4" i="6"/>
  <c r="JB6" i="6"/>
  <c r="JB12" i="6"/>
  <c r="JA14" i="6"/>
  <c r="IO7" i="6" l="1"/>
  <c r="IP4" i="6"/>
  <c r="JC12" i="6"/>
  <c r="JB14" i="6"/>
  <c r="JC6" i="6"/>
  <c r="IP7" i="6" l="1"/>
  <c r="IQ4" i="6"/>
  <c r="JD6" i="6"/>
  <c r="JC14" i="6"/>
  <c r="JD12" i="6"/>
  <c r="IQ7" i="6" l="1"/>
  <c r="IR4" i="6"/>
  <c r="JE6" i="6"/>
  <c r="JE12" i="6"/>
  <c r="JD14" i="6"/>
  <c r="IR7" i="6" l="1"/>
  <c r="IS4" i="6"/>
  <c r="JF12" i="6"/>
  <c r="JE14" i="6"/>
  <c r="JF6" i="6"/>
  <c r="IS7" i="6" l="1"/>
  <c r="IT4" i="6"/>
  <c r="JG6" i="6"/>
  <c r="JG12" i="6"/>
  <c r="JF14" i="6"/>
  <c r="IT7" i="6" l="1"/>
  <c r="IU4" i="6"/>
  <c r="JH12" i="6"/>
  <c r="JG14" i="6"/>
  <c r="JH6" i="6"/>
  <c r="IU7" i="6" l="1"/>
  <c r="IV4" i="6"/>
  <c r="JI6" i="6"/>
  <c r="JI12" i="6"/>
  <c r="JH14" i="6"/>
  <c r="IV7" i="6" l="1"/>
  <c r="IW4" i="6"/>
  <c r="JJ12" i="6"/>
  <c r="JI14" i="6"/>
  <c r="JJ6" i="6"/>
  <c r="IW7" i="6" l="1"/>
  <c r="IX4" i="6"/>
  <c r="JK6" i="6"/>
  <c r="JK12" i="6"/>
  <c r="JJ14" i="6"/>
  <c r="IX7" i="6" l="1"/>
  <c r="IY4" i="6"/>
  <c r="JL12" i="6"/>
  <c r="JK14" i="6"/>
  <c r="JL6" i="6"/>
  <c r="IY7" i="6" l="1"/>
  <c r="IZ4" i="6"/>
  <c r="JM6" i="6"/>
  <c r="JM12" i="6"/>
  <c r="JL14" i="6"/>
  <c r="IZ7" i="6" l="1"/>
  <c r="JA4" i="6"/>
  <c r="JM14" i="6"/>
  <c r="JN12" i="6"/>
  <c r="JN6" i="6"/>
  <c r="JA7" i="6" l="1"/>
  <c r="JB4" i="6"/>
  <c r="JO6" i="6"/>
  <c r="JN14" i="6"/>
  <c r="JO12" i="6"/>
  <c r="JB7" i="6" l="1"/>
  <c r="JC4" i="6"/>
  <c r="JP12" i="6"/>
  <c r="JO14" i="6"/>
  <c r="JP6" i="6"/>
  <c r="JC7" i="6" l="1"/>
  <c r="JD4" i="6"/>
  <c r="JQ6" i="6"/>
  <c r="JP14" i="6"/>
  <c r="JQ12" i="6"/>
  <c r="JD7" i="6" l="1"/>
  <c r="JE4" i="6"/>
  <c r="JR12" i="6"/>
  <c r="JQ14" i="6"/>
  <c r="JR6" i="6"/>
  <c r="JE7" i="6" l="1"/>
  <c r="JF4" i="6"/>
  <c r="JS6" i="6"/>
  <c r="JS12" i="6"/>
  <c r="JR14" i="6"/>
  <c r="JF7" i="6" l="1"/>
  <c r="JG4" i="6"/>
  <c r="JT12" i="6"/>
  <c r="JS14" i="6"/>
  <c r="JT6" i="6"/>
  <c r="JG7" i="6" l="1"/>
  <c r="JH4" i="6"/>
  <c r="JU6" i="6"/>
  <c r="JU12" i="6"/>
  <c r="JT14" i="6"/>
  <c r="JH7" i="6" l="1"/>
  <c r="JI4" i="6"/>
  <c r="JV12" i="6"/>
  <c r="JU14" i="6"/>
  <c r="JV6" i="6"/>
  <c r="JI7" i="6" l="1"/>
  <c r="JJ4" i="6"/>
  <c r="JW6" i="6"/>
  <c r="JV14" i="6"/>
  <c r="JW12" i="6"/>
  <c r="JJ7" i="6" l="1"/>
  <c r="JK4" i="6"/>
  <c r="JX12" i="6"/>
  <c r="JW14" i="6"/>
  <c r="JX6" i="6"/>
  <c r="JK7" i="6" l="1"/>
  <c r="JL4" i="6"/>
  <c r="JY6" i="6"/>
  <c r="JY12" i="6"/>
  <c r="JX14" i="6"/>
  <c r="JL7" i="6" l="1"/>
  <c r="JM4" i="6"/>
  <c r="JZ12" i="6"/>
  <c r="JY14" i="6"/>
  <c r="JZ6" i="6"/>
  <c r="JM7" i="6" l="1"/>
  <c r="JN4" i="6"/>
  <c r="KA6" i="6"/>
  <c r="JZ14" i="6"/>
  <c r="KA12" i="6"/>
  <c r="JN7" i="6" l="1"/>
  <c r="JO4" i="6"/>
  <c r="KB6" i="6"/>
  <c r="KB12" i="6"/>
  <c r="KA14" i="6"/>
  <c r="JO7" i="6" l="1"/>
  <c r="JP4" i="6"/>
  <c r="KC12" i="6"/>
  <c r="KB14" i="6"/>
  <c r="KC6" i="6"/>
  <c r="JP7" i="6" l="1"/>
  <c r="JQ4" i="6"/>
  <c r="KD6" i="6"/>
  <c r="KD12" i="6"/>
  <c r="KC14" i="6"/>
  <c r="JQ7" i="6" l="1"/>
  <c r="JR4" i="6"/>
  <c r="KE12" i="6"/>
  <c r="KD14" i="6"/>
  <c r="KE6" i="6"/>
  <c r="JR7" i="6" l="1"/>
  <c r="JS4" i="6"/>
  <c r="KF6" i="6"/>
  <c r="KF12" i="6"/>
  <c r="KE14" i="6"/>
  <c r="JS7" i="6" l="1"/>
  <c r="JT4" i="6"/>
  <c r="KG12" i="6"/>
  <c r="KF14" i="6"/>
  <c r="KG6" i="6"/>
  <c r="JT7" i="6" l="1"/>
  <c r="JU4" i="6"/>
  <c r="KH6" i="6"/>
  <c r="KH12" i="6"/>
  <c r="KG14" i="6"/>
  <c r="JU7" i="6" l="1"/>
  <c r="JV4" i="6"/>
  <c r="KI12" i="6"/>
  <c r="KH14" i="6"/>
  <c r="KI6" i="6"/>
  <c r="JV7" i="6" l="1"/>
  <c r="JW4" i="6"/>
  <c r="KJ6" i="6"/>
  <c r="KJ12" i="6"/>
  <c r="KI14" i="6"/>
  <c r="JW7" i="6" l="1"/>
  <c r="JX4" i="6"/>
  <c r="KK6" i="6"/>
  <c r="KJ14" i="6"/>
  <c r="KK12" i="6"/>
  <c r="JX7" i="6" l="1"/>
  <c r="JY4" i="6"/>
  <c r="KL6" i="6"/>
  <c r="KL12" i="6"/>
  <c r="KK14" i="6"/>
  <c r="JY7" i="6" l="1"/>
  <c r="JZ4" i="6"/>
  <c r="KM12" i="6"/>
  <c r="KL14" i="6"/>
  <c r="KM6" i="6"/>
  <c r="JZ7" i="6" l="1"/>
  <c r="KA4" i="6"/>
  <c r="KN6" i="6"/>
  <c r="KM14" i="6"/>
  <c r="KN12" i="6"/>
  <c r="KA7" i="6" l="1"/>
  <c r="KB4" i="6"/>
  <c r="KO12" i="6"/>
  <c r="KN14" i="6"/>
  <c r="KO6" i="6"/>
  <c r="KB7" i="6" l="1"/>
  <c r="KC4" i="6"/>
  <c r="KP6" i="6"/>
  <c r="KP12" i="6"/>
  <c r="KO14" i="6"/>
  <c r="KC7" i="6" l="1"/>
  <c r="KD4" i="6"/>
  <c r="KP14" i="6"/>
  <c r="KQ12" i="6"/>
  <c r="KQ6" i="6"/>
  <c r="KD7" i="6" l="1"/>
  <c r="KE4" i="6"/>
  <c r="KR6" i="6"/>
  <c r="KR12" i="6"/>
  <c r="KQ14" i="6"/>
  <c r="KE7" i="6" l="1"/>
  <c r="KF4" i="6"/>
  <c r="KR14" i="6"/>
  <c r="KS12" i="6"/>
  <c r="KS6" i="6"/>
  <c r="KF7" i="6" l="1"/>
  <c r="KG4" i="6"/>
  <c r="KT6" i="6"/>
  <c r="KT12" i="6"/>
  <c r="KS14" i="6"/>
  <c r="KG7" i="6" l="1"/>
  <c r="KH4" i="6"/>
  <c r="KU12" i="6"/>
  <c r="KT14" i="6"/>
  <c r="KU6" i="6"/>
  <c r="KH7" i="6" l="1"/>
  <c r="KI4" i="6"/>
  <c r="KV6" i="6"/>
  <c r="KV12" i="6"/>
  <c r="KU14" i="6"/>
  <c r="KI7" i="6" l="1"/>
  <c r="KJ4" i="6"/>
  <c r="KW12" i="6"/>
  <c r="KV14" i="6"/>
  <c r="KW6" i="6"/>
  <c r="KJ7" i="6" l="1"/>
  <c r="KK4" i="6"/>
  <c r="KX6" i="6"/>
  <c r="KX12" i="6"/>
  <c r="KW14" i="6"/>
  <c r="KK7" i="6" l="1"/>
  <c r="KL4" i="6"/>
  <c r="KY12" i="6"/>
  <c r="KX14" i="6"/>
  <c r="KY6" i="6"/>
  <c r="KL7" i="6" l="1"/>
  <c r="KM4" i="6"/>
  <c r="KZ6" i="6"/>
  <c r="KZ12" i="6"/>
  <c r="KY14" i="6"/>
  <c r="KM7" i="6" l="1"/>
  <c r="KN4" i="6"/>
  <c r="LA12" i="6"/>
  <c r="KZ14" i="6"/>
  <c r="LA6" i="6"/>
  <c r="KN7" i="6" l="1"/>
  <c r="KO4" i="6"/>
  <c r="LB6" i="6"/>
  <c r="LB12" i="6"/>
  <c r="LA14" i="6"/>
  <c r="KO7" i="6" l="1"/>
  <c r="KP4" i="6"/>
  <c r="LC12" i="6"/>
  <c r="LB14" i="6"/>
  <c r="LC6" i="6"/>
  <c r="KP7" i="6" l="1"/>
  <c r="KQ4" i="6"/>
  <c r="LD6" i="6"/>
  <c r="LD12" i="6"/>
  <c r="LD14" i="6" s="1"/>
  <c r="LC14" i="6"/>
  <c r="KQ7" i="6" l="1"/>
  <c r="KR4" i="6"/>
  <c r="KR7" i="6" l="1"/>
  <c r="KS4" i="6"/>
  <c r="KS7" i="6" l="1"/>
  <c r="KT4" i="6"/>
  <c r="KT7" i="6" l="1"/>
  <c r="KU4" i="6"/>
  <c r="KU7" i="6" l="1"/>
  <c r="KV4" i="6"/>
  <c r="KV7" i="6" l="1"/>
  <c r="KW4" i="6"/>
  <c r="KW7" i="6" l="1"/>
  <c r="KX4" i="6"/>
  <c r="KX7" i="6" l="1"/>
  <c r="KY4" i="6"/>
  <c r="KY7" i="6" l="1"/>
  <c r="KZ4" i="6"/>
  <c r="KZ7" i="6" l="1"/>
  <c r="LA4" i="6"/>
  <c r="LA7" i="6" l="1"/>
  <c r="LB4" i="6"/>
  <c r="LB7" i="6" l="1"/>
  <c r="LC4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tc={331B2931-76F1-4D4F-8433-A52A685E0493}</author>
    <author>tc={F529163D-E31D-439B-B9AF-C66F28EC9CAF}</author>
    <author>tc={E5677A00-2AED-4798-B433-C2EB0B3FDC1D}</author>
    <author>tc={83FC6750-5EE4-4B63-A817-5ABEB0596029}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Q106" authorId="1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H206" authorId="2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S263" authorId="3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70" authorId="4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18" authorId="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24" authorId="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<sst xmlns="http://schemas.openxmlformats.org/spreadsheetml/2006/main" count="1686" uniqueCount="880">
  <si>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</si>
  <si>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</si>
  <si>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</si>
  <si>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</si>
  <si>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</si>
  <si>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</si>
  <si>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</si>
  <si>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</si>
  <si>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</si>
  <si>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</si>
  <si>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</si>
  <si>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</si>
  <si>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</si>
  <si>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</si>
  <si>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</si>
  <si>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</si>
  <si>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</si>
  <si>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</si>
  <si>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</si>
  <si>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</si>
  <si>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</si>
  <si>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</si>
  <si>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</si>
  <si>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</si>
  <si>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</si>
  <si>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</si>
  <si>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</si>
  <si>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</si>
  <si>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</si>
  <si>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</si>
  <si>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</si>
  <si>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</si>
  <si>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</si>
  <si>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</si>
  <si>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</si>
  <si>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</si>
  <si>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</si>
  <si>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</si>
  <si>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</si>
  <si>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</si>
  <si>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</si>
  <si>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</si>
  <si>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</si>
  <si>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</si>
  <si>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</si>
  <si>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Handover</t>
  </si>
  <si>
    <t>004963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</si>
  <si>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</si>
  <si>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</si>
  <si>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</si>
  <si>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</si>
  <si>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</si>
  <si>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</si>
  <si>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</si>
  <si>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</si>
  <si>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</si>
  <si>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</si>
  <si>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</si>
  <si>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</si>
  <si>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</si>
  <si>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</si>
  <si>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</si>
  <si>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</si>
  <si>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</si>
  <si>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</si>
  <si>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</si>
  <si>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</si>
  <si>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</si>
  <si>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</si>
  <si>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</si>
  <si>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</si>
  <si>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</si>
  <si>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</si>
  <si>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</si>
  <si>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</si>
  <si>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</si>
  <si>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</si>
  <si>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PROJECT PLAN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</si>
  <si>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</si>
  <si>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</si>
  <si>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</si>
  <si>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</si>
  <si>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</si>
  <si>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</si>
  <si>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</si>
  <si>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</si>
  <si>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</si>
  <si>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</si>
  <si>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</si>
  <si>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</si>
  <si>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</si>
  <si>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</si>
  <si>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</si>
  <si>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</si>
  <si>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</si>
  <si>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</si>
  <si>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</si>
  <si>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</si>
  <si>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</si>
  <si>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</si>
  <si>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</si>
  <si>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</si>
  <si>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</si>
  <si>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</si>
  <si>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</si>
  <si>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</si>
  <si>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</si>
  <si>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</si>
  <si>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</si>
  <si>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</si>
  <si>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</si>
  <si>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</si>
  <si>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</si>
  <si>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</si>
  <si>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</si>
  <si>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</si>
  <si>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</si>
  <si>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</si>
  <si>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</si>
  <si>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</si>
  <si>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</si>
  <si>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</si>
  <si>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</si>
  <si>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</si>
  <si>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</si>
  <si>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</si>
  <si>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</si>
  <si>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</si>
  <si>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</si>
  <si>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</si>
  <si>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</si>
  <si>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</si>
  <si>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</si>
  <si>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</si>
  <si>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</si>
  <si>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</si>
  <si>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</si>
  <si>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</si>
  <si>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</si>
  <si>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</si>
  <si>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</si>
  <si>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</si>
  <si>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</si>
  <si>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</si>
  <si>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</si>
  <si>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</si>
  <si>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</si>
  <si>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</si>
  <si>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</si>
  <si>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</si>
  <si>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</si>
  <si>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</si>
  <si>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</si>
  <si>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</si>
  <si>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</si>
  <si>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</si>
  <si>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</si>
  <si>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</si>
  <si>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</si>
  <si>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</si>
  <si>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</si>
  <si>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</si>
  <si>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</si>
  <si>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</si>
  <si>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</si>
  <si>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</si>
  <si>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</si>
  <si>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</si>
  <si>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</si>
  <si>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</si>
  <si>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</si>
  <si>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</si>
  <si>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</si>
  <si>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</si>
  <si>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</si>
  <si>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</si>
  <si>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</si>
  <si>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</si>
  <si>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</si>
  <si>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</si>
  <si>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</si>
  <si>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</si>
  <si>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</si>
  <si>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</si>
  <si>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</si>
  <si>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</si>
  <si>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</si>
  <si>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</si>
  <si>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</si>
  <si>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</si>
  <si>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</si>
  <si>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</si>
  <si>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</si>
  <si>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</si>
  <si>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</si>
  <si>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</si>
  <si>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</si>
  <si>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</si>
  <si>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</si>
  <si>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</si>
  <si>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</si>
  <si>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</si>
  <si>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</si>
  <si>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</si>
  <si>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</si>
  <si>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</si>
  <si>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</si>
  <si>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</si>
  <si>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</si>
  <si>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</si>
  <si>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</si>
  <si>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</si>
  <si>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</si>
  <si>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</si>
  <si>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</si>
  <si>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</si>
  <si>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Handover to Client</t>
  </si>
  <si>
    <t>Handover to Matriarch</t>
  </si>
  <si>
    <t>Additional Works (MV work)</t>
  </si>
  <si>
    <t>13.1</t>
  </si>
  <si>
    <t>Remove 630mm 1 Core Cable</t>
  </si>
  <si>
    <t>13.2</t>
  </si>
  <si>
    <t>Council Shutdown</t>
  </si>
  <si>
    <t>13.3</t>
  </si>
  <si>
    <t>Install 1x 185mm Cu Cable</t>
  </si>
  <si>
    <t>Installed but not terminated | also require AC shutdown</t>
  </si>
  <si>
    <t>13.4</t>
  </si>
  <si>
    <t>Install 2 x 240mm Alu XLPE cable</t>
  </si>
  <si>
    <t>4-5 weeks ETA on delivery</t>
  </si>
  <si>
    <t>13.5</t>
  </si>
  <si>
    <t>Install Techsitters x 2</t>
  </si>
  <si>
    <t>13.6</t>
  </si>
  <si>
    <t>Okusha Sign-off</t>
  </si>
  <si>
    <t>New Protection setting + Sigh-Off</t>
  </si>
  <si>
    <t>13.7</t>
  </si>
  <si>
    <t>Waterpoints</t>
  </si>
  <si>
    <t>13.8</t>
  </si>
  <si>
    <t>Snags</t>
  </si>
  <si>
    <t xml:space="preserve">outstanding </t>
  </si>
  <si>
    <t>Waterpoints 24/03</t>
  </si>
  <si>
    <t>some snags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</si>
  <si>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</si>
  <si>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</si>
  <si>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</si>
  <si>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</si>
  <si>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</si>
  <si>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</si>
  <si>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</si>
  <si>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</si>
  <si>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</si>
  <si>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</si>
  <si>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</si>
  <si>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</si>
  <si>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</si>
  <si>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</si>
  <si>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</si>
  <si>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</si>
  <si>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</si>
  <si>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</si>
  <si>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</si>
  <si>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</si>
  <si>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</si>
  <si>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</si>
  <si>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</si>
  <si>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</si>
  <si>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</si>
  <si>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</si>
  <si>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</si>
  <si>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</si>
  <si>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</si>
  <si>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</si>
  <si>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</si>
  <si>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</si>
  <si>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</si>
  <si>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</si>
  <si>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</si>
  <si>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</si>
  <si>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</si>
  <si>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</si>
  <si>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</si>
  <si>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</si>
  <si>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</si>
  <si>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</si>
  <si>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</si>
  <si>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Replace damaged modules</t>
  </si>
  <si>
    <t>MSA Energy INV000681</t>
  </si>
  <si>
    <t>Transport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</si>
  <si>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</si>
  <si>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</si>
  <si>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</si>
  <si>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</si>
  <si>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</si>
  <si>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</si>
  <si>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</si>
  <si>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</si>
  <si>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</si>
  <si>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</si>
  <si>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</si>
  <si>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</si>
  <si>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</si>
  <si>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</si>
  <si>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</si>
  <si>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</si>
  <si>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</si>
  <si>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</si>
  <si>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</si>
  <si>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</si>
  <si>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</si>
  <si>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</si>
  <si>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</si>
  <si>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</si>
  <si>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</si>
  <si>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</si>
  <si>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</si>
  <si>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</si>
  <si>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</si>
  <si>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</si>
  <si>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</si>
  <si>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</si>
  <si>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</si>
  <si>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</si>
  <si>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</si>
  <si>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</si>
  <si>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</si>
  <si>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Mid Clamps -</t>
  </si>
  <si>
    <t>Allocated to Ziegler Warehouse</t>
  </si>
  <si>
    <t>End Clamp - 30mm - Rooftop</t>
  </si>
  <si>
    <t>R/Wp</t>
  </si>
  <si>
    <t>IBR Mounting clamps - Cable Trays</t>
  </si>
  <si>
    <t>Installer Price</t>
  </si>
  <si>
    <t>IBR Mounting clamps - 130004-200 returned to stock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</si>
  <si>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</si>
  <si>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</si>
  <si>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</si>
  <si>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</si>
  <si>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</si>
  <si>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</si>
  <si>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</si>
  <si>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</si>
  <si>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</si>
  <si>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</si>
  <si>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</si>
  <si>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</si>
  <si>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</si>
  <si>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</si>
  <si>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</si>
  <si>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</si>
  <si>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</si>
  <si>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</si>
  <si>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</si>
  <si>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</si>
  <si>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</si>
  <si>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</si>
  <si>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Red (Returned to stock)</t>
  </si>
  <si>
    <t>DC Cable Black (Returned to stock)</t>
  </si>
  <si>
    <t>DC Cable Trays - As Per BOQ</t>
  </si>
  <si>
    <t>PO4126-CSPH2-20250716 - RV Approved</t>
  </si>
  <si>
    <t>Advanced Strut INV IN152953</t>
  </si>
  <si>
    <t xml:space="preserve">50mm x 3m R/Flange cable tray - </t>
  </si>
  <si>
    <t xml:space="preserve">50mm x 3m R/Flange cable tray covers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</si>
  <si>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</si>
  <si>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</si>
  <si>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</si>
  <si>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</si>
  <si>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</si>
  <si>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</si>
  <si>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</si>
  <si>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</si>
  <si>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</si>
  <si>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</si>
  <si>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</si>
  <si>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</si>
  <si>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</si>
  <si>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</si>
  <si>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</si>
  <si>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</si>
  <si>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</si>
  <si>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</si>
  <si>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</si>
  <si>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</si>
  <si>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</si>
  <si>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</si>
  <si>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</si>
  <si>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</si>
  <si>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</si>
  <si>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</si>
  <si>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</si>
  <si>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</si>
  <si>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</si>
  <si>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</si>
  <si>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</si>
  <si>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</si>
  <si>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</si>
  <si>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</si>
  <si>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</si>
  <si>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</si>
  <si>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</si>
  <si>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</si>
  <si>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</si>
  <si>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</si>
  <si>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</si>
  <si>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</si>
  <si>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</si>
  <si>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</si>
  <si>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</si>
  <si>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</si>
  <si>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</si>
  <si>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</si>
  <si>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</si>
  <si>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</si>
  <si>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</si>
  <si>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</si>
  <si>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</si>
  <si>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</si>
  <si>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</si>
  <si>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</si>
  <si>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</si>
  <si>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</si>
  <si>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</si>
  <si>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</si>
  <si>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</si>
  <si>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</si>
  <si>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</si>
  <si>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</si>
  <si>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</si>
  <si>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</si>
  <si>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185mm x 3core Cu XLPE PVC SWA</t>
  </si>
  <si>
    <t>Allocated from Ziegler Warehouse</t>
  </si>
  <si>
    <t>Earthing Cable 6sqmm (returned to stock)</t>
  </si>
  <si>
    <t>AC - LV/MV/Earthing Cable - Delivery 1</t>
  </si>
  <si>
    <t>ARB : PLZ-3079420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</si>
  <si>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</si>
  <si>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</si>
  <si>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</si>
  <si>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</si>
  <si>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</si>
  <si>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</si>
  <si>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</si>
  <si>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</si>
  <si>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</si>
  <si>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</si>
  <si>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</si>
  <si>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</si>
  <si>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</si>
  <si>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</si>
  <si>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</si>
  <si>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</si>
  <si>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</si>
  <si>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</si>
  <si>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</si>
  <si>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</si>
  <si>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</si>
  <si>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</si>
  <si>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</si>
  <si>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</si>
  <si>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</si>
  <si>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</si>
  <si>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</si>
  <si>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</si>
  <si>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</si>
  <si>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</si>
  <si>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</si>
  <si>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</si>
  <si>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</si>
  <si>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</si>
  <si>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</si>
  <si>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</si>
  <si>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</si>
  <si>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</si>
  <si>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</si>
  <si>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</si>
  <si>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</si>
  <si>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</si>
  <si>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</si>
  <si>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</si>
  <si>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</si>
  <si>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</si>
  <si>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</si>
  <si>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</si>
  <si>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</si>
  <si>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</si>
  <si>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</si>
  <si>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</si>
  <si>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</si>
  <si>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</si>
  <si>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</si>
  <si>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</si>
  <si>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</si>
  <si>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</si>
  <si>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</si>
  <si>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</si>
  <si>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</si>
  <si>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</si>
  <si>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</si>
  <si>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</si>
  <si>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</si>
  <si>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 (1 x waterpoint)</t>
  </si>
  <si>
    <t>PO4631-CSPH2-20260219 - RV Approved</t>
  </si>
  <si>
    <t>Luken Solar INV-0714</t>
  </si>
  <si>
    <t>Upfront Fedgroup Fee</t>
  </si>
  <si>
    <t>Poder forFire Extinguisher</t>
  </si>
  <si>
    <t>Transfire Inv: UN-18217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</si>
  <si>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</si>
  <si>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</si>
  <si>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</si>
  <si>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</si>
  <si>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</si>
  <si>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</si>
  <si>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</si>
  <si>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</si>
  <si>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</si>
  <si>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</si>
  <si>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</si>
  <si>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</si>
  <si>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</si>
  <si>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</si>
  <si>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</si>
  <si>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</si>
  <si>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</si>
  <si>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</si>
  <si>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</si>
  <si>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</si>
  <si>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</si>
  <si>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</si>
  <si>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</si>
  <si>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</si>
  <si>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</si>
  <si>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</si>
  <si>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</si>
  <si>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</si>
  <si>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</si>
  <si>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</si>
  <si>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</si>
  <si>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</si>
  <si>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</si>
  <si>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</si>
  <si>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</si>
  <si>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</si>
  <si>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</si>
  <si>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</si>
  <si>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</si>
  <si>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</si>
  <si>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</si>
  <si>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</si>
  <si>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</si>
  <si>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Oemga - OM042216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</si>
  <si>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</si>
  <si>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</si>
  <si>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</si>
  <si>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</si>
  <si>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</si>
  <si>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</si>
  <si>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</si>
  <si>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</si>
  <si>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</si>
  <si>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</si>
  <si>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</si>
  <si>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</si>
  <si>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</si>
  <si>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</si>
  <si>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</si>
  <si>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</si>
  <si>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</si>
  <si>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</si>
  <si>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</si>
  <si>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</si>
  <si>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</si>
  <si>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</si>
  <si>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</si>
  <si>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</si>
  <si>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</si>
  <si>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</si>
  <si>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</si>
  <si>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</si>
  <si>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</si>
  <si>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</si>
  <si>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</si>
  <si>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</si>
  <si>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</si>
  <si>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</si>
  <si>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</si>
  <si>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</si>
  <si>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</si>
  <si>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</si>
  <si>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</si>
  <si>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</si>
  <si>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</si>
  <si>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</si>
  <si>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</si>
  <si>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</si>
  <si>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P611940</t>
  </si>
  <si>
    <t>Container World P611942</t>
  </si>
  <si>
    <t>Container World P611950</t>
  </si>
  <si>
    <t>Container World - PC44252</t>
  </si>
  <si>
    <t>Container World - PC44221</t>
  </si>
  <si>
    <t>Container World - PC44222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</si>
  <si>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</si>
  <si>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</si>
  <si>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</si>
  <si>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</si>
  <si>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</si>
  <si>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</si>
  <si>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</si>
  <si>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</si>
  <si>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</si>
  <si>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</si>
  <si>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</si>
  <si>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</si>
  <si>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</si>
  <si>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</si>
  <si>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</si>
  <si>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</si>
  <si>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</si>
  <si>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</si>
  <si>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</si>
  <si>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</si>
  <si>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</si>
  <si>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</si>
  <si>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</si>
  <si>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</si>
  <si>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</si>
  <si>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</si>
  <si>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</si>
  <si>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</si>
  <si>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</si>
  <si>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</si>
  <si>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</si>
  <si>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</si>
  <si>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</si>
  <si>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</si>
  <si>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</si>
  <si>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</si>
  <si>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</si>
  <si>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</si>
  <si>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</si>
  <si>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</si>
  <si>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</si>
  <si>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</si>
  <si>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</si>
  <si>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</si>
  <si>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</si>
  <si>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</si>
  <si>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</si>
  <si>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</si>
  <si>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</si>
  <si>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</si>
  <si>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</si>
  <si>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</si>
  <si>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</si>
  <si>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</si>
  <si>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</si>
  <si>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</si>
  <si>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</si>
  <si>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</si>
  <si>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</si>
  <si>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</si>
  <si>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</si>
  <si>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</si>
  <si>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</si>
  <si>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</si>
  <si>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</si>
  <si>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</si>
  <si>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</si>
  <si>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</si>
  <si>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</si>
  <si>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</si>
  <si>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</si>
  <si>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</si>
  <si>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</si>
  <si>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</si>
  <si>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</si>
  <si>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</si>
  <si>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</si>
  <si>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</si>
  <si>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</si>
  <si>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</si>
  <si>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</si>
  <si>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</si>
  <si>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</si>
  <si>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</si>
  <si>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</si>
  <si>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</si>
  <si>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</si>
  <si>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</si>
  <si>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</si>
  <si>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</si>
  <si>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</si>
  <si>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</si>
  <si>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</si>
  <si>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</si>
  <si>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</si>
  <si>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</si>
  <si>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</si>
  <si>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</si>
  <si>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</si>
  <si>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</si>
  <si>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</si>
  <si>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Coega Development Corporation - INV79872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</si>
  <si>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</si>
  <si>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</si>
  <si>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</si>
  <si>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</si>
  <si>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</si>
  <si>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</si>
  <si>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</si>
  <si>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</si>
  <si>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</si>
  <si>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</si>
  <si>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</si>
  <si>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ARB - 240mm Alu XLPE 22kV</t>
  </si>
  <si>
    <t>PO4794-CSPH2-20260429 - RV Approved</t>
  </si>
  <si>
    <t>Labour - Budget</t>
  </si>
  <si>
    <t>Luken Solar - MV Cable Installation</t>
  </si>
  <si>
    <t>PO4779-CSPH2-20260423 - RV Approved</t>
  </si>
  <si>
    <t>Luken Solar - INV-0733</t>
  </si>
  <si>
    <t>Transport cable</t>
  </si>
  <si>
    <t>Ziegler - W00216980</t>
  </si>
  <si>
    <t>MV 185x3 CU XLPE SWA PVC 22KV</t>
  </si>
  <si>
    <t>Helukabel - InvPSI0054674</t>
  </si>
  <si>
    <t>Transport Cable</t>
  </si>
  <si>
    <t>Helukabel - InvPSI0054675</t>
  </si>
  <si>
    <t>Waterpoints - Ground Mount (additional 11 points)</t>
  </si>
  <si>
    <t>PO4759-CSPH2-20260420 - PV Approved</t>
  </si>
  <si>
    <t>Luken Solar - INV0731</t>
  </si>
  <si>
    <t>Waterpoints - Roofs</t>
  </si>
  <si>
    <t>PO4760-CSPH2-20260420 - PV Approved</t>
  </si>
  <si>
    <t>Luken Solar - INV0732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</si>
  <si>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</si>
  <si>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</si>
  <si>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</si>
  <si>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</si>
  <si>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</si>
  <si>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Module Cleaning</t>
  </si>
  <si>
    <t>PO4692-CSPH2-20260320 - RV Approved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</si>
  <si>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</si>
  <si>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</si>
  <si>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</si>
  <si>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</si>
  <si>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</si>
  <si>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</si>
  <si>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</si>
  <si>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</si>
  <si>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</si>
  <si>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</si>
  <si>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</si>
  <si>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</si>
  <si>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</si>
  <si>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</si>
  <si>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</si>
  <si>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</si>
  <si>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</si>
  <si>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</si>
  <si>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</si>
  <si>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</si>
  <si>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</si>
  <si>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</si>
  <si>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</si>
  <si>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</si>
  <si>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</si>
  <si>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2025/09/30(Outstanding Invoice)</t>
  </si>
  <si>
    <t>2025/10/31(Outstanding Invoice)</t>
  </si>
  <si>
    <t>2025/11/30(Outstanding Invoice)</t>
  </si>
  <si>
    <t>2025/12/31(Outstanding Invoice)</t>
  </si>
  <si>
    <t>2026/01/31(Outstanding Invoice)</t>
  </si>
  <si>
    <t>2026/02/28(Outstanding Invoice)</t>
  </si>
  <si>
    <t>2026/03/31(Outstanding Invoice)</t>
  </si>
  <si>
    <t>2026/04/30(Outstanding Invoice)</t>
  </si>
  <si>
    <t>2026/05/31(Outstanding Invoice)</t>
  </si>
  <si>
    <t>2026/06/30(Outstanding Invoice)</t>
  </si>
  <si>
    <t>2026/07/31(Outstanding Invoice)</t>
  </si>
  <si>
    <t>2026/08/31(Outstanding Invoice)</t>
  </si>
  <si>
    <t>REV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</si>
  <si>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</si>
  <si>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</si>
  <si>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</si>
  <si>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</si>
  <si>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</si>
  <si>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</si>
  <si>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</si>
  <si>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</si>
  <si>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</si>
  <si>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</si>
  <si>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</si>
  <si>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</si>
  <si>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</si>
  <si>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</si>
  <si>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</si>
  <si>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</si>
  <si>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</si>
  <si>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</si>
  <si>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</si>
  <si>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</si>
  <si>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</si>
  <si>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</si>
  <si>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</si>
  <si>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</si>
  <si>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</si>
  <si>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</si>
  <si>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</si>
  <si>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</si>
  <si>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</si>
  <si>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</si>
  <si>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</si>
  <si>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</si>
  <si>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</si>
  <si>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</si>
  <si>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</si>
  <si>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</si>
  <si>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</si>
  <si>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</si>
  <si>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</si>
  <si>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</si>
  <si>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</si>
  <si>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</si>
  <si>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</si>
  <si>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</si>
  <si>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</si>
  <si>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</si>
  <si>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</si>
  <si>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</si>
  <si>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</si>
  <si>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</si>
  <si>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</si>
  <si>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</si>
  <si>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</si>
  <si>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</si>
  <si>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</si>
  <si>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</si>
  <si>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</si>
  <si>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</si>
  <si>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</si>
  <si>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</si>
  <si>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</si>
  <si>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</si>
  <si>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</si>
  <si>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</si>
  <si>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</si>
  <si>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</si>
  <si>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</si>
  <si>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</si>
  <si>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</si>
  <si>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</si>
  <si>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</si>
  <si>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</si>
  <si>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</si>
  <si>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</si>
  <si>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</si>
  <si>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</si>
  <si>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</si>
  <si>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</si>
  <si>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</si>
  <si>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</si>
  <si>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</si>
  <si>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</si>
  <si>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</si>
  <si>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</si>
  <si>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</si>
  <si>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</si>
  <si>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</si>
  <si>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</si>
  <si>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</si>
  <si>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</si>
  <si>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</si>
  <si>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</si>
  <si>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</si>
  <si>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</si>
  <si>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</si>
  <si>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</si>
  <si>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</si>
  <si>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</si>
  <si>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</si>
  <si>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</si>
  <si>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</si>
  <si>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</si>
  <si>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 hickup</t>
  </si>
  <si>
    <t>Japie is removing this_No dates yet</t>
  </si>
  <si>
    <t>unknow</t>
  </si>
  <si>
    <t>Grid study outstanding</t>
  </si>
  <si>
    <t>new plan in place for Techsitter install</t>
  </si>
  <si>
    <t>Temporary installation plan to enable O&amp;M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</si>
</sst>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  <numFmt numFmtId="172" formatCode="0.0000"/>
  </numFmts>
  <fonts count="57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rgb="FFC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30">
    <xf numFmtId="0" fontId="0" fillId="0" borderId="0" xfId="0"/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6" borderId="2" xfId="0" applyFont="1" applyFill="1" applyBorder="1" applyAlignment="1">
      <alignment horizontal="center" vertical="center"/>
    </xf>
    <xf numFmtId="0" fontId="14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horizontal="center" vertical="center" wrapText="1"/>
    </xf>
    <xf numFmtId="15" fontId="14" fillId="0" borderId="18" xfId="0" applyNumberFormat="1" applyFont="1" applyBorder="1"/>
    <xf numFmtId="15" fontId="14" fillId="0" borderId="14" xfId="0" applyNumberFormat="1" applyFont="1" applyBorder="1"/>
    <xf numFmtId="0" fontId="14" fillId="0" borderId="18" xfId="0" applyFont="1" applyBorder="1"/>
    <xf numFmtId="0" fontId="14" fillId="0" borderId="14" xfId="0" applyFont="1" applyBorder="1"/>
    <xf numFmtId="0" fontId="14" fillId="0" borderId="12" xfId="0" applyFont="1" applyBorder="1"/>
    <xf numFmtId="0" fontId="10" fillId="0" borderId="0" xfId="0" applyFont="1"/>
    <xf numFmtId="0" fontId="14" fillId="10" borderId="0" xfId="0" applyFont="1" applyFill="1"/>
    <xf numFmtId="0" fontId="19" fillId="5" borderId="0" xfId="0" applyFont="1" applyFill="1"/>
    <xf numFmtId="0" fontId="19" fillId="5" borderId="0" xfId="0" applyFont="1" applyFill="1" applyAlignment="1">
      <alignment horizontal="center"/>
    </xf>
    <xf numFmtId="0" fontId="19" fillId="0" borderId="0" xfId="0" applyFont="1"/>
    <xf numFmtId="167" fontId="19" fillId="5" borderId="0" xfId="0" applyNumberFormat="1" applyFont="1" applyFill="1"/>
    <xf numFmtId="167" fontId="20" fillId="5" borderId="0" xfId="0" applyNumberFormat="1" applyFont="1" applyFill="1"/>
    <xf numFmtId="167" fontId="19" fillId="5" borderId="0" xfId="0" applyNumberFormat="1" applyFont="1" applyFill="1" applyAlignment="1">
      <alignment horizontal="center"/>
    </xf>
    <xf numFmtId="0" fontId="20" fillId="5" borderId="0" xfId="0" applyFont="1" applyFill="1"/>
    <xf numFmtId="0" fontId="19" fillId="5" borderId="0" xfId="0" applyFont="1" applyFill="1" applyProtection="1">
      <protection locked="0"/>
    </xf>
    <xf numFmtId="0" fontId="33" fillId="0" borderId="0" xfId="0" applyFont="1"/>
    <xf numFmtId="169" fontId="20" fillId="5" borderId="0" xfId="0" applyNumberFormat="1" applyFont="1" applyFill="1" applyAlignment="1">
      <alignment horizontal="center"/>
    </xf>
    <xf numFmtId="167" fontId="20" fillId="5" borderId="0" xfId="0" applyNumberFormat="1" applyFont="1" applyFill="1" applyAlignment="1">
      <alignment horizontal="center"/>
    </xf>
    <xf numFmtId="0" fontId="19" fillId="5" borderId="25" xfId="0" applyFont="1" applyFill="1" applyBorder="1"/>
    <xf numFmtId="169" fontId="19" fillId="5" borderId="0" xfId="0" applyNumberFormat="1" applyFont="1" applyFill="1" applyAlignment="1">
      <alignment horizontal="center"/>
    </xf>
    <xf numFmtId="167" fontId="19" fillId="0" borderId="0" xfId="0" applyNumberFormat="1" applyFont="1"/>
    <xf numFmtId="0" fontId="20" fillId="5" borderId="25" xfId="0" applyFont="1" applyFill="1" applyBorder="1"/>
    <xf numFmtId="167" fontId="20" fillId="5" borderId="20" xfId="0" applyNumberFormat="1" applyFont="1" applyFill="1" applyBorder="1"/>
    <xf numFmtId="0" fontId="20" fillId="0" borderId="40" xfId="0" applyFont="1" applyBorder="1"/>
    <xf numFmtId="0" fontId="19" fillId="0" borderId="40" xfId="0" applyFont="1" applyBorder="1"/>
    <xf numFmtId="167" fontId="19" fillId="0" borderId="40" xfId="0" applyNumberFormat="1" applyFont="1" applyBorder="1"/>
    <xf numFmtId="0" fontId="20" fillId="0" borderId="0" xfId="0" applyFont="1"/>
    <xf numFmtId="167" fontId="20" fillId="0" borderId="0" xfId="0" applyNumberFormat="1" applyFont="1"/>
    <xf numFmtId="167" fontId="19" fillId="5" borderId="25" xfId="0" applyNumberFormat="1" applyFont="1" applyFill="1" applyBorder="1" applyAlignment="1">
      <alignment horizontal="center"/>
    </xf>
    <xf numFmtId="0" fontId="19" fillId="5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39" fillId="0" borderId="0" xfId="0" applyFont="1"/>
    <xf numFmtId="9" fontId="40" fillId="0" borderId="2" xfId="0" applyNumberFormat="1" applyFont="1" applyBorder="1"/>
    <xf numFmtId="0" fontId="6" fillId="5" borderId="0" xfId="0" applyFont="1" applyFill="1" applyProtection="1"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7" fillId="5" borderId="0" xfId="0" applyFont="1" applyFill="1" applyProtection="1">
      <protection locked="0"/>
    </xf>
    <xf numFmtId="0" fontId="20" fillId="7" borderId="12" xfId="0" applyFont="1" applyFill="1" applyBorder="1" applyAlignment="1" applyProtection="1">
      <alignment horizontal="center" vertical="center"/>
      <protection locked="0"/>
    </xf>
    <xf numFmtId="167" fontId="19" fillId="5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18" fillId="5" borderId="0" xfId="0" applyFont="1" applyFill="1" applyProtection="1">
      <protection locked="0"/>
    </xf>
    <xf numFmtId="0" fontId="26" fillId="5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15" fillId="5" borderId="0" xfId="0" applyFont="1" applyFill="1" applyProtection="1">
      <protection locked="0"/>
    </xf>
    <xf numFmtId="0" fontId="26" fillId="5" borderId="2" xfId="0" applyFont="1" applyFill="1" applyBorder="1" applyProtection="1">
      <protection locked="0"/>
    </xf>
    <xf numFmtId="0" fontId="18" fillId="2" borderId="0" xfId="0" applyFont="1" applyFill="1" applyProtection="1">
      <protection locked="0"/>
    </xf>
    <xf numFmtId="0" fontId="15" fillId="2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7" fillId="7" borderId="2" xfId="1" applyNumberFormat="1" applyFont="1" applyFill="1" applyBorder="1" applyAlignment="1" applyProtection="1">
      <alignment horizontal="center" vertical="center" wrapText="1"/>
    </xf>
    <xf numFmtId="0" fontId="20" fillId="5" borderId="0" xfId="0" applyFont="1" applyFill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20" fillId="7" borderId="2" xfId="0" applyFont="1" applyFill="1" applyBorder="1" applyAlignment="1" applyProtection="1">
      <alignment horizontal="center"/>
      <protection locked="0"/>
    </xf>
    <xf numFmtId="0" fontId="20" fillId="7" borderId="10" xfId="0" applyFont="1" applyFill="1" applyBorder="1" applyProtection="1">
      <protection locked="0"/>
    </xf>
    <xf numFmtId="0" fontId="20" fillId="7" borderId="15" xfId="0" applyFont="1" applyFill="1" applyBorder="1" applyProtection="1">
      <protection locked="0"/>
    </xf>
    <xf numFmtId="0" fontId="19" fillId="5" borderId="0" xfId="0" applyFont="1" applyFill="1" applyAlignment="1" applyProtection="1">
      <alignment wrapText="1"/>
      <protection locked="0"/>
    </xf>
    <xf numFmtId="9" fontId="24" fillId="0" borderId="2" xfId="0" applyNumberFormat="1" applyFont="1" applyBorder="1" applyAlignment="1" applyProtection="1">
      <alignment horizontal="center"/>
      <protection locked="0"/>
    </xf>
    <xf numFmtId="167" fontId="24" fillId="0" borderId="2" xfId="0" applyNumberFormat="1" applyFont="1" applyBorder="1" applyProtection="1">
      <protection locked="0"/>
    </xf>
    <xf numFmtId="0" fontId="24" fillId="0" borderId="0" xfId="0" applyFont="1" applyProtection="1">
      <protection locked="0"/>
    </xf>
    <xf numFmtId="15" fontId="24" fillId="0" borderId="2" xfId="0" applyNumberFormat="1" applyFont="1" applyBorder="1" applyAlignment="1" applyProtection="1">
      <alignment horizontal="center"/>
      <protection locked="0"/>
    </xf>
    <xf numFmtId="15" fontId="22" fillId="0" borderId="2" xfId="0" applyNumberFormat="1" applyFont="1" applyBorder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0" fontId="19" fillId="2" borderId="0" xfId="0" applyFont="1" applyFill="1" applyProtection="1">
      <protection locked="0"/>
    </xf>
    <xf numFmtId="0" fontId="19" fillId="2" borderId="0" xfId="0" applyFont="1" applyFill="1" applyAlignment="1" applyProtection="1">
      <alignment horizontal="center"/>
      <protection locked="0"/>
    </xf>
    <xf numFmtId="167" fontId="23" fillId="2" borderId="0" xfId="0" applyNumberFormat="1" applyFont="1" applyFill="1" applyProtection="1">
      <protection locked="0"/>
    </xf>
    <xf numFmtId="0" fontId="20" fillId="5" borderId="0" xfId="0" applyFont="1" applyFill="1" applyAlignment="1" applyProtection="1">
      <alignment vertical="top"/>
      <protection locked="0"/>
    </xf>
    <xf numFmtId="0" fontId="22" fillId="10" borderId="0" xfId="0" applyFont="1" applyFill="1" applyAlignment="1" applyProtection="1">
      <alignment horizontal="left" wrapText="1"/>
      <protection locked="0"/>
    </xf>
    <xf numFmtId="167" fontId="23" fillId="5" borderId="0" xfId="0" applyNumberFormat="1" applyFont="1" applyFill="1" applyProtection="1">
      <protection locked="0"/>
    </xf>
    <xf numFmtId="0" fontId="22" fillId="5" borderId="0" xfId="0" applyFont="1" applyFill="1" applyAlignment="1" applyProtection="1">
      <alignment horizontal="left"/>
      <protection locked="0"/>
    </xf>
    <xf numFmtId="0" fontId="19" fillId="5" borderId="0" xfId="0" applyFont="1" applyFill="1" applyAlignment="1" applyProtection="1">
      <alignment horizontal="left"/>
      <protection locked="0"/>
    </xf>
    <xf numFmtId="167" fontId="24" fillId="5" borderId="0" xfId="0" applyNumberFormat="1" applyFont="1" applyFill="1" applyProtection="1">
      <protection locked="0"/>
    </xf>
    <xf numFmtId="0" fontId="22" fillId="4" borderId="0" xfId="0" applyFont="1" applyFill="1" applyAlignment="1" applyProtection="1">
      <alignment horizontal="left"/>
      <protection locked="0"/>
    </xf>
    <xf numFmtId="0" fontId="19" fillId="4" borderId="0" xfId="0" applyFont="1" applyFill="1" applyAlignment="1" applyProtection="1">
      <alignment horizontal="left"/>
      <protection locked="0"/>
    </xf>
    <xf numFmtId="167" fontId="24" fillId="5" borderId="0" xfId="0" applyNumberFormat="1" applyFont="1" applyFill="1" applyAlignment="1" applyProtection="1">
      <alignment horizontal="left"/>
      <protection locked="0"/>
    </xf>
    <xf numFmtId="0" fontId="23" fillId="2" borderId="0" xfId="0" applyFont="1" applyFill="1" applyAlignment="1" applyProtection="1">
      <alignment horizontal="left" wrapText="1"/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38" fillId="0" borderId="16" xfId="0" applyFont="1" applyBorder="1" applyAlignment="1" applyProtection="1">
      <alignment horizontal="left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20" fillId="7" borderId="27" xfId="0" applyFont="1" applyFill="1" applyBorder="1" applyAlignment="1" applyProtection="1">
      <alignment horizontal="center" wrapText="1"/>
      <protection locked="0"/>
    </xf>
    <xf numFmtId="0" fontId="15" fillId="5" borderId="0" xfId="0" applyFont="1" applyFill="1" applyAlignment="1" applyProtection="1">
      <alignment horizontal="center"/>
      <protection locked="0"/>
    </xf>
    <xf numFmtId="167" fontId="6" fillId="5" borderId="0" xfId="0" applyNumberFormat="1" applyFont="1" applyFill="1" applyAlignment="1" applyProtection="1">
      <alignment horizont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20" fillId="5" borderId="0" xfId="0" applyFont="1" applyFill="1" applyAlignment="1" applyProtection="1">
      <alignment horizontal="center" vertical="center"/>
      <protection locked="0"/>
    </xf>
    <xf numFmtId="167" fontId="16" fillId="5" borderId="0" xfId="0" applyNumberFormat="1" applyFont="1" applyFill="1" applyProtection="1">
      <protection locked="0"/>
    </xf>
    <xf numFmtId="15" fontId="41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5" fillId="7" borderId="19" xfId="0" applyFont="1" applyFill="1" applyBorder="1" applyAlignment="1" applyProtection="1">
      <alignment horizontal="center"/>
      <protection locked="0"/>
    </xf>
    <xf numFmtId="0" fontId="4" fillId="7" borderId="21" xfId="0" applyFont="1" applyFill="1" applyBorder="1" applyAlignment="1" applyProtection="1">
      <alignment horizontal="right"/>
      <protection locked="0"/>
    </xf>
    <xf numFmtId="0" fontId="36" fillId="5" borderId="0" xfId="0" applyFont="1" applyFill="1" applyProtection="1">
      <protection locked="0"/>
    </xf>
    <xf numFmtId="0" fontId="15" fillId="7" borderId="22" xfId="0" applyFont="1" applyFill="1" applyBorder="1" applyAlignment="1" applyProtection="1">
      <alignment horizontal="center"/>
      <protection locked="0"/>
    </xf>
    <xf numFmtId="0" fontId="4" fillId="7" borderId="23" xfId="0" applyFont="1" applyFill="1" applyBorder="1" applyAlignment="1" applyProtection="1">
      <alignment horizontal="right"/>
      <protection locked="0"/>
    </xf>
    <xf numFmtId="0" fontId="36" fillId="7" borderId="0" xfId="0" applyFont="1" applyFill="1" applyAlignment="1" applyProtection="1">
      <alignment horizontal="center"/>
      <protection locked="0"/>
    </xf>
    <xf numFmtId="0" fontId="36" fillId="7" borderId="0" xfId="0" applyFont="1" applyFill="1" applyProtection="1">
      <protection locked="0"/>
    </xf>
    <xf numFmtId="0" fontId="36" fillId="7" borderId="23" xfId="0" applyFont="1" applyFill="1" applyBorder="1" applyProtection="1">
      <protection locked="0"/>
    </xf>
    <xf numFmtId="0" fontId="15" fillId="7" borderId="24" xfId="0" applyFont="1" applyFill="1" applyBorder="1" applyAlignment="1" applyProtection="1">
      <alignment horizontal="center"/>
      <protection locked="0"/>
    </xf>
    <xf numFmtId="0" fontId="4" fillId="7" borderId="26" xfId="0" applyFont="1" applyFill="1" applyBorder="1" applyAlignment="1" applyProtection="1">
      <alignment horizontal="right"/>
      <protection locked="0"/>
    </xf>
    <xf numFmtId="0" fontId="7" fillId="5" borderId="0" xfId="0" applyFont="1" applyFill="1" applyAlignment="1" applyProtection="1">
      <alignment horizontal="center"/>
      <protection locked="0"/>
    </xf>
    <xf numFmtId="16" fontId="35" fillId="0" borderId="0" xfId="0" applyNumberFormat="1" applyFont="1" applyAlignment="1">
      <alignment horizontal="right"/>
    </xf>
    <xf numFmtId="16" fontId="35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11" fillId="2" borderId="15" xfId="0" applyFont="1" applyFill="1" applyBorder="1"/>
    <xf numFmtId="0" fontId="11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5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5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2" fillId="3" borderId="0" xfId="0" applyFont="1" applyFill="1"/>
    <xf numFmtId="0" fontId="0" fillId="3" borderId="0" xfId="0" applyFill="1"/>
    <xf numFmtId="0" fontId="0" fillId="3" borderId="15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5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5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5" fillId="5" borderId="0" xfId="0" applyFont="1" applyFill="1"/>
    <xf numFmtId="0" fontId="6" fillId="0" borderId="0" xfId="0" applyFont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8" fillId="5" borderId="12" xfId="0" applyNumberFormat="1" applyFont="1" applyFill="1" applyBorder="1"/>
    <xf numFmtId="167" fontId="30" fillId="5" borderId="2" xfId="0" applyNumberFormat="1" applyFont="1" applyFill="1" applyBorder="1" applyAlignment="1">
      <alignment vertical="center"/>
    </xf>
    <xf numFmtId="0" fontId="7" fillId="5" borderId="0" xfId="0" applyFont="1" applyFill="1" applyAlignment="1">
      <alignment horizontal="left"/>
    </xf>
    <xf numFmtId="0" fontId="20" fillId="7" borderId="12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7" fillId="5" borderId="2" xfId="0" applyFont="1" applyFill="1" applyBorder="1" applyAlignment="1">
      <alignment horizontal="center"/>
    </xf>
    <xf numFmtId="0" fontId="27" fillId="5" borderId="2" xfId="0" applyFont="1" applyFill="1" applyBorder="1"/>
    <xf numFmtId="167" fontId="19" fillId="5" borderId="2" xfId="0" applyNumberFormat="1" applyFont="1" applyFill="1" applyBorder="1"/>
    <xf numFmtId="167" fontId="24" fillId="5" borderId="2" xfId="0" applyNumberFormat="1" applyFont="1" applyFill="1" applyBorder="1"/>
    <xf numFmtId="0" fontId="19" fillId="5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right"/>
    </xf>
    <xf numFmtId="167" fontId="34" fillId="5" borderId="0" xfId="0" applyNumberFormat="1" applyFont="1" applyFill="1"/>
    <xf numFmtId="167" fontId="21" fillId="5" borderId="0" xfId="0" applyNumberFormat="1" applyFont="1" applyFill="1"/>
    <xf numFmtId="0" fontId="7" fillId="7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wrapText="1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25" fillId="6" borderId="2" xfId="0" applyFont="1" applyFill="1" applyBorder="1" applyAlignment="1">
      <alignment horizontal="center"/>
    </xf>
    <xf numFmtId="0" fontId="8" fillId="6" borderId="2" xfId="0" applyFont="1" applyFill="1" applyBorder="1"/>
    <xf numFmtId="15" fontId="7" fillId="5" borderId="2" xfId="0" applyNumberFormat="1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25" fillId="5" borderId="2" xfId="0" applyFont="1" applyFill="1" applyBorder="1" applyAlignment="1">
      <alignment horizontal="center"/>
    </xf>
    <xf numFmtId="0" fontId="5" fillId="5" borderId="2" xfId="0" applyFont="1" applyFill="1" applyBorder="1"/>
    <xf numFmtId="15" fontId="15" fillId="5" borderId="2" xfId="0" applyNumberFormat="1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167" fontId="7" fillId="5" borderId="0" xfId="0" applyNumberFormat="1" applyFont="1" applyFill="1" applyAlignment="1">
      <alignment horizontal="center"/>
    </xf>
    <xf numFmtId="9" fontId="20" fillId="5" borderId="2" xfId="2" applyFont="1" applyFill="1" applyBorder="1" applyAlignment="1" applyProtection="1">
      <alignment horizontal="center"/>
      <protection locked="0"/>
    </xf>
    <xf numFmtId="0" fontId="17" fillId="5" borderId="2" xfId="0" applyFont="1" applyFill="1" applyBorder="1" applyProtection="1"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9" fillId="5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15" fillId="8" borderId="34" xfId="0" applyFont="1" applyFill="1" applyBorder="1" applyAlignment="1" applyProtection="1">
      <alignment horizontal="center"/>
      <protection locked="0"/>
    </xf>
    <xf numFmtId="0" fontId="6" fillId="8" borderId="35" xfId="0" applyFont="1" applyFill="1" applyBorder="1" applyProtection="1">
      <protection locked="0"/>
    </xf>
    <xf numFmtId="0" fontId="6" fillId="8" borderId="35" xfId="0" applyFont="1" applyFill="1" applyBorder="1" applyAlignment="1" applyProtection="1">
      <alignment horizontal="center" vertical="center"/>
      <protection locked="0"/>
    </xf>
    <xf numFmtId="0" fontId="6" fillId="8" borderId="0" xfId="0" applyFont="1" applyFill="1" applyProtection="1">
      <protection locked="0"/>
    </xf>
    <xf numFmtId="0" fontId="15" fillId="8" borderId="32" xfId="0" applyFont="1" applyFill="1" applyBorder="1" applyAlignment="1" applyProtection="1">
      <alignment horizontal="center"/>
      <protection locked="0"/>
    </xf>
    <xf numFmtId="168" fontId="5" fillId="8" borderId="33" xfId="0" applyNumberFormat="1" applyFont="1" applyFill="1" applyBorder="1" applyAlignment="1" applyProtection="1">
      <alignment horizontal="center"/>
      <protection locked="0"/>
    </xf>
    <xf numFmtId="0" fontId="6" fillId="8" borderId="8" xfId="0" applyFont="1" applyFill="1" applyBorder="1" applyProtection="1">
      <protection locked="0"/>
    </xf>
    <xf numFmtId="0" fontId="15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15" fillId="9" borderId="34" xfId="0" applyFont="1" applyFill="1" applyBorder="1" applyAlignment="1" applyProtection="1">
      <alignment horizontal="center"/>
      <protection locked="0"/>
    </xf>
    <xf numFmtId="0" fontId="6" fillId="9" borderId="35" xfId="0" applyFont="1" applyFill="1" applyBorder="1" applyProtection="1"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168" fontId="5" fillId="9" borderId="35" xfId="0" applyNumberFormat="1" applyFont="1" applyFill="1" applyBorder="1" applyAlignment="1" applyProtection="1">
      <alignment horizontal="center"/>
      <protection locked="0"/>
    </xf>
    <xf numFmtId="0" fontId="6" fillId="9" borderId="5" xfId="0" applyFont="1" applyFill="1" applyBorder="1" applyProtection="1">
      <protection locked="0"/>
    </xf>
    <xf numFmtId="0" fontId="15" fillId="9" borderId="31" xfId="0" applyFont="1" applyFill="1" applyBorder="1" applyAlignment="1" applyProtection="1">
      <alignment horizontal="center"/>
      <protection locked="0"/>
    </xf>
    <xf numFmtId="0" fontId="6" fillId="9" borderId="27" xfId="0" applyFont="1" applyFill="1" applyBorder="1" applyProtection="1">
      <protection locked="0"/>
    </xf>
    <xf numFmtId="0" fontId="6" fillId="9" borderId="0" xfId="0" applyFont="1" applyFill="1" applyProtection="1">
      <protection locked="0"/>
    </xf>
    <xf numFmtId="0" fontId="6" fillId="9" borderId="8" xfId="0" applyFont="1" applyFill="1" applyBorder="1" applyProtection="1">
      <protection locked="0"/>
    </xf>
    <xf numFmtId="0" fontId="15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15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15" fillId="11" borderId="30" xfId="0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15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9" borderId="35" xfId="0" applyFont="1" applyFill="1" applyBorder="1" applyAlignment="1" applyProtection="1">
      <alignment horizontal="left" vertical="center"/>
      <protection locked="0"/>
    </xf>
    <xf numFmtId="0" fontId="6" fillId="9" borderId="27" xfId="0" applyFont="1" applyFill="1" applyBorder="1" applyAlignment="1" applyProtection="1">
      <alignment horizontal="left" vertical="center"/>
      <protection locked="0"/>
    </xf>
    <xf numFmtId="0" fontId="15" fillId="9" borderId="30" xfId="0" applyFont="1" applyFill="1" applyBorder="1" applyAlignment="1" applyProtection="1">
      <alignment horizontal="center"/>
      <protection locked="0"/>
    </xf>
    <xf numFmtId="0" fontId="6" fillId="9" borderId="2" xfId="0" applyFont="1" applyFill="1" applyBorder="1" applyAlignment="1" applyProtection="1">
      <alignment horizontal="left" vertical="center"/>
      <protection locked="0"/>
    </xf>
    <xf numFmtId="0" fontId="6" fillId="9" borderId="2" xfId="0" applyFont="1" applyFill="1" applyBorder="1" applyProtection="1">
      <protection locked="0"/>
    </xf>
    <xf numFmtId="0" fontId="6" fillId="9" borderId="2" xfId="0" applyFont="1" applyFill="1" applyBorder="1" applyAlignment="1" applyProtection="1">
      <alignment horizontal="center" vertical="center"/>
      <protection locked="0"/>
    </xf>
    <xf numFmtId="168" fontId="5" fillId="9" borderId="2" xfId="0" applyNumberFormat="1" applyFont="1" applyFill="1" applyBorder="1" applyAlignment="1" applyProtection="1">
      <alignment horizontal="center"/>
      <protection locked="0"/>
    </xf>
    <xf numFmtId="0" fontId="15" fillId="9" borderId="32" xfId="0" applyFont="1" applyFill="1" applyBorder="1" applyAlignment="1" applyProtection="1">
      <alignment horizontal="center"/>
      <protection locked="0"/>
    </xf>
    <xf numFmtId="0" fontId="6" fillId="9" borderId="33" xfId="0" applyFont="1" applyFill="1" applyBorder="1" applyProtection="1">
      <protection locked="0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Protection="1">
      <protection locked="0"/>
    </xf>
    <xf numFmtId="0" fontId="15" fillId="11" borderId="31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15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9" borderId="35" xfId="0" applyNumberFormat="1" applyFont="1" applyFill="1" applyBorder="1" applyProtection="1">
      <protection locked="0"/>
    </xf>
    <xf numFmtId="9" fontId="6" fillId="9" borderId="2" xfId="0" applyNumberFormat="1" applyFont="1" applyFill="1" applyBorder="1" applyProtection="1">
      <protection locked="0"/>
    </xf>
    <xf numFmtId="9" fontId="6" fillId="9" borderId="33" xfId="0" applyNumberFormat="1" applyFont="1" applyFill="1" applyBorder="1" applyProtection="1">
      <protection locked="0"/>
    </xf>
    <xf numFmtId="168" fontId="5" fillId="9" borderId="33" xfId="0" applyNumberFormat="1" applyFont="1" applyFill="1" applyBorder="1" applyAlignment="1" applyProtection="1">
      <alignment horizont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15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Protection="1">
      <protection locked="0"/>
    </xf>
    <xf numFmtId="0" fontId="38" fillId="0" borderId="11" xfId="0" applyFont="1" applyBorder="1" applyAlignment="1" applyProtection="1">
      <alignment horizontal="left"/>
      <protection locked="0"/>
    </xf>
    <xf numFmtId="0" fontId="6" fillId="9" borderId="33" xfId="0" applyFont="1" applyFill="1" applyBorder="1" applyAlignment="1" applyProtection="1">
      <alignment horizontal="left" vertical="center"/>
      <protection locked="0"/>
    </xf>
    <xf numFmtId="168" fontId="5" fillId="8" borderId="35" xfId="0" applyNumberFormat="1" applyFont="1" applyFill="1" applyBorder="1" applyAlignment="1" applyProtection="1">
      <alignment horizontal="center"/>
      <protection locked="0"/>
    </xf>
    <xf numFmtId="0" fontId="6" fillId="8" borderId="5" xfId="0" applyFont="1" applyFill="1" applyBorder="1" applyProtection="1">
      <protection locked="0"/>
    </xf>
    <xf numFmtId="0" fontId="15" fillId="8" borderId="31" xfId="0" applyFont="1" applyFill="1" applyBorder="1" applyAlignment="1" applyProtection="1">
      <alignment horizontal="center"/>
      <protection locked="0"/>
    </xf>
    <xf numFmtId="0" fontId="6" fillId="8" borderId="27" xfId="0" applyFont="1" applyFill="1" applyBorder="1" applyProtection="1">
      <protection locked="0"/>
    </xf>
    <xf numFmtId="0" fontId="6" fillId="8" borderId="27" xfId="0" applyFont="1" applyFill="1" applyBorder="1" applyAlignment="1" applyProtection="1">
      <alignment horizontal="center" vertical="center"/>
      <protection locked="0"/>
    </xf>
    <xf numFmtId="168" fontId="5" fillId="8" borderId="27" xfId="0" applyNumberFormat="1" applyFont="1" applyFill="1" applyBorder="1" applyAlignment="1" applyProtection="1">
      <alignment horizontal="center"/>
      <protection locked="0"/>
    </xf>
    <xf numFmtId="0" fontId="6" fillId="8" borderId="33" xfId="0" applyFont="1" applyFill="1" applyBorder="1" applyProtection="1">
      <protection locked="0"/>
    </xf>
    <xf numFmtId="0" fontId="6" fillId="8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9" fillId="2" borderId="0" xfId="0" applyNumberFormat="1" applyFont="1" applyFill="1" applyAlignment="1" applyProtection="1">
      <alignment horizontal="center" vertical="center"/>
      <protection locked="0"/>
    </xf>
    <xf numFmtId="168" fontId="6" fillId="5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9" borderId="35" xfId="0" applyFont="1" applyFill="1" applyBorder="1" applyProtection="1"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28" fillId="0" borderId="2" xfId="0" applyFont="1" applyBorder="1" applyProtection="1">
      <protection locked="0"/>
    </xf>
    <xf numFmtId="167" fontId="28" fillId="0" borderId="2" xfId="0" applyNumberFormat="1" applyFont="1" applyBorder="1" applyProtection="1">
      <protection locked="0"/>
    </xf>
    <xf numFmtId="0" fontId="24" fillId="5" borderId="0" xfId="0" applyFont="1" applyFill="1" applyProtection="1">
      <protection locked="0"/>
    </xf>
    <xf numFmtId="10" fontId="28" fillId="0" borderId="2" xfId="0" applyNumberFormat="1" applyFont="1" applyBorder="1" applyProtection="1">
      <protection locked="0"/>
    </xf>
    <xf numFmtId="0" fontId="20" fillId="7" borderId="2" xfId="0" applyFont="1" applyFill="1" applyBorder="1" applyAlignment="1" applyProtection="1">
      <alignment horizontal="center" wrapText="1"/>
      <protection locked="0"/>
    </xf>
    <xf numFmtId="15" fontId="19" fillId="5" borderId="0" xfId="0" applyNumberFormat="1" applyFont="1" applyFill="1" applyAlignment="1" applyProtection="1">
      <alignment horizontal="center"/>
      <protection locked="0"/>
    </xf>
    <xf numFmtId="9" fontId="20" fillId="5" borderId="0" xfId="0" applyNumberFormat="1" applyFont="1" applyFill="1" applyAlignment="1" applyProtection="1">
      <alignment horizontal="center"/>
      <protection locked="0"/>
    </xf>
    <xf numFmtId="167" fontId="20" fillId="5" borderId="0" xfId="0" applyNumberFormat="1" applyFont="1" applyFill="1" applyProtection="1">
      <protection locked="0"/>
    </xf>
    <xf numFmtId="9" fontId="20" fillId="5" borderId="25" xfId="2" applyFont="1" applyFill="1" applyBorder="1" applyAlignment="1">
      <alignment horizontal="center"/>
    </xf>
    <xf numFmtId="9" fontId="7" fillId="7" borderId="27" xfId="0" applyNumberFormat="1" applyFont="1" applyFill="1" applyBorder="1" applyAlignment="1" applyProtection="1">
      <alignment horizontal="center" vertical="center"/>
      <protection locked="0"/>
    </xf>
    <xf numFmtId="0" fontId="36" fillId="5" borderId="0" xfId="0" applyFont="1" applyFill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42" fillId="0" borderId="0" xfId="0" applyFont="1"/>
    <xf numFmtId="164" fontId="42" fillId="0" borderId="0" xfId="1" applyFont="1"/>
    <xf numFmtId="14" fontId="19" fillId="0" borderId="0" xfId="0" applyNumberFormat="1" applyFont="1" applyProtection="1">
      <protection locked="0"/>
    </xf>
    <xf numFmtId="15" fontId="24" fillId="0" borderId="2" xfId="0" quotePrefix="1" applyNumberFormat="1" applyFont="1" applyBorder="1" applyAlignment="1" applyProtection="1">
      <alignment horizontal="center"/>
      <protection locked="0"/>
    </xf>
    <xf numFmtId="170" fontId="6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8" fillId="0" borderId="39" xfId="0" applyNumberFormat="1" applyFont="1" applyBorder="1" applyAlignment="1" applyProtection="1">
      <alignment horizontal="center" vertical="center" wrapText="1"/>
      <protection locked="0"/>
    </xf>
    <xf numFmtId="168" fontId="8" fillId="0" borderId="17" xfId="0" applyNumberFormat="1" applyFont="1" applyBorder="1" applyAlignment="1" applyProtection="1">
      <alignment horizontal="center" vertical="center" wrapText="1"/>
      <protection locked="0"/>
    </xf>
    <xf numFmtId="168" fontId="8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2" fillId="4" borderId="18" xfId="0" applyNumberFormat="1" applyFont="1" applyFill="1" applyBorder="1" applyProtection="1">
      <protection locked="0"/>
    </xf>
    <xf numFmtId="10" fontId="22" fillId="4" borderId="14" xfId="0" applyNumberFormat="1" applyFont="1" applyFill="1" applyBorder="1" applyProtection="1">
      <protection locked="0"/>
    </xf>
    <xf numFmtId="0" fontId="23" fillId="5" borderId="0" xfId="0" applyFont="1" applyFill="1" applyProtection="1">
      <protection locked="0"/>
    </xf>
    <xf numFmtId="0" fontId="20" fillId="7" borderId="2" xfId="0" applyFont="1" applyFill="1" applyBorder="1" applyAlignment="1" applyProtection="1">
      <alignment horizontal="left"/>
      <protection locked="0"/>
    </xf>
    <xf numFmtId="15" fontId="22" fillId="0" borderId="2" xfId="0" applyNumberFormat="1" applyFont="1" applyBorder="1" applyAlignment="1" applyProtection="1">
      <alignment horizontal="left"/>
      <protection locked="0"/>
    </xf>
    <xf numFmtId="0" fontId="15" fillId="9" borderId="28" xfId="0" applyFont="1" applyFill="1" applyBorder="1" applyAlignment="1" applyProtection="1">
      <alignment horizontal="center"/>
      <protection locked="0"/>
    </xf>
    <xf numFmtId="9" fontId="6" fillId="9" borderId="29" xfId="0" applyNumberFormat="1" applyFont="1" applyFill="1" applyBorder="1" applyProtection="1">
      <protection locked="0"/>
    </xf>
    <xf numFmtId="168" fontId="5" fillId="9" borderId="29" xfId="0" applyNumberFormat="1" applyFont="1" applyFill="1" applyBorder="1" applyAlignment="1" applyProtection="1">
      <alignment horizontal="center"/>
      <protection locked="0"/>
    </xf>
    <xf numFmtId="0" fontId="15" fillId="9" borderId="36" xfId="0" applyFont="1" applyFill="1" applyBorder="1" applyAlignment="1" applyProtection="1">
      <alignment horizontal="center"/>
      <protection locked="0"/>
    </xf>
    <xf numFmtId="0" fontId="6" fillId="9" borderId="1" xfId="0" applyFont="1" applyFill="1" applyBorder="1" applyAlignment="1" applyProtection="1">
      <alignment horizontal="left" vertical="center"/>
      <protection locked="0"/>
    </xf>
    <xf numFmtId="9" fontId="6" fillId="9" borderId="1" xfId="0" applyNumberFormat="1" applyFont="1" applyFill="1" applyBorder="1" applyProtection="1">
      <protection locked="0"/>
    </xf>
    <xf numFmtId="168" fontId="5" fillId="9" borderId="1" xfId="0" applyNumberFormat="1" applyFont="1" applyFill="1" applyBorder="1" applyAlignment="1" applyProtection="1">
      <alignment horizontal="center"/>
      <protection locked="0"/>
    </xf>
    <xf numFmtId="0" fontId="6" fillId="9" borderId="1" xfId="0" applyFont="1" applyFill="1" applyBorder="1" applyProtection="1">
      <protection locked="0"/>
    </xf>
    <xf numFmtId="168" fontId="6" fillId="9" borderId="5" xfId="0" applyNumberFormat="1" applyFont="1" applyFill="1" applyBorder="1" applyProtection="1">
      <protection locked="0"/>
    </xf>
    <xf numFmtId="0" fontId="5" fillId="9" borderId="2" xfId="0" applyFont="1" applyFill="1" applyBorder="1" applyProtection="1">
      <protection locked="0"/>
    </xf>
    <xf numFmtId="0" fontId="29" fillId="9" borderId="2" xfId="0" applyFont="1" applyFill="1" applyBorder="1" applyAlignment="1" applyProtection="1">
      <alignment horizontal="center" vertical="center"/>
      <protection locked="0"/>
    </xf>
    <xf numFmtId="168" fontId="5" fillId="9" borderId="2" xfId="0" applyNumberFormat="1" applyFont="1" applyFill="1" applyBorder="1" applyAlignment="1" applyProtection="1">
      <alignment horizontal="center" vertical="center"/>
      <protection locked="0"/>
    </xf>
    <xf numFmtId="0" fontId="29" fillId="9" borderId="33" xfId="0" applyFont="1" applyFill="1" applyBorder="1" applyProtection="1">
      <protection locked="0"/>
    </xf>
    <xf numFmtId="0" fontId="29" fillId="9" borderId="33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15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9" fillId="11" borderId="2" xfId="0" applyNumberFormat="1" applyFont="1" applyFill="1" applyBorder="1" applyAlignment="1" applyProtection="1">
      <alignment horizontal="left" vertical="center"/>
      <protection locked="0"/>
    </xf>
    <xf numFmtId="0" fontId="29" fillId="11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36" fillId="5" borderId="0" xfId="0" applyNumberFormat="1" applyFont="1" applyFill="1" applyAlignment="1">
      <alignment horizontal="center"/>
    </xf>
    <xf numFmtId="0" fontId="36" fillId="5" borderId="0" xfId="0" applyFont="1" applyFill="1" applyAlignment="1">
      <alignment horizontal="center"/>
    </xf>
    <xf numFmtId="0" fontId="6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1" borderId="27" xfId="0" applyFont="1" applyFill="1" applyBorder="1" applyAlignment="1" applyProtection="1">
      <alignment horizontal="left" vertical="center"/>
      <protection locked="0"/>
    </xf>
    <xf numFmtId="0" fontId="41" fillId="4" borderId="13" xfId="0" applyFont="1" applyFill="1" applyBorder="1" applyProtection="1">
      <protection locked="0"/>
    </xf>
    <xf numFmtId="16" fontId="22" fillId="4" borderId="18" xfId="0" applyNumberFormat="1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36" fillId="7" borderId="22" xfId="0" applyFont="1" applyFill="1" applyBorder="1" applyAlignment="1" applyProtection="1">
      <alignment horizontal="left"/>
      <protection locked="0"/>
    </xf>
    <xf numFmtId="0" fontId="8" fillId="5" borderId="0" xfId="0" applyFont="1" applyFill="1" applyAlignment="1">
      <alignment horizontal="left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0" fontId="6" fillId="9" borderId="29" xfId="0" applyFont="1" applyFill="1" applyBorder="1" applyProtection="1">
      <protection locked="0"/>
    </xf>
    <xf numFmtId="167" fontId="5" fillId="9" borderId="2" xfId="3" applyFont="1" applyFill="1" applyBorder="1" applyProtection="1">
      <protection locked="0"/>
    </xf>
    <xf numFmtId="0" fontId="5" fillId="9" borderId="33" xfId="0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9" borderId="35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33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166" fontId="5" fillId="11" borderId="24" xfId="3" applyNumberFormat="1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2" xfId="3" applyNumberFormat="1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29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8" borderId="35" xfId="0" applyFont="1" applyFill="1" applyBorder="1" applyProtection="1">
      <protection locked="0"/>
    </xf>
    <xf numFmtId="0" fontId="5" fillId="8" borderId="2" xfId="0" applyFont="1" applyFill="1" applyBorder="1" applyProtection="1">
      <protection locked="0"/>
    </xf>
    <xf numFmtId="0" fontId="5" fillId="8" borderId="33" xfId="0" applyFont="1" applyFill="1" applyBorder="1" applyProtection="1">
      <protection locked="0"/>
    </xf>
    <xf numFmtId="167" fontId="6" fillId="9" borderId="35" xfId="3" applyFont="1" applyFill="1" applyBorder="1" applyAlignment="1" applyProtection="1">
      <alignment horizontal="center"/>
      <protection locked="0"/>
    </xf>
    <xf numFmtId="168" fontId="31" fillId="9" borderId="33" xfId="0" applyNumberFormat="1" applyFont="1" applyFill="1" applyBorder="1" applyAlignment="1" applyProtection="1">
      <alignment horizontal="left" vertical="center"/>
      <protection locked="0"/>
    </xf>
    <xf numFmtId="0" fontId="38" fillId="0" borderId="5" xfId="0" applyFont="1" applyBorder="1" applyAlignment="1" applyProtection="1">
      <alignment horizontal="left"/>
      <protection locked="0"/>
    </xf>
    <xf numFmtId="165" fontId="38" fillId="0" borderId="5" xfId="0" applyNumberFormat="1" applyFont="1" applyBorder="1" applyAlignment="1" applyProtection="1">
      <alignment horizontal="left"/>
      <protection locked="0"/>
    </xf>
    <xf numFmtId="0" fontId="5" fillId="9" borderId="54" xfId="0" applyFont="1" applyFill="1" applyBorder="1" applyAlignment="1" applyProtection="1">
      <alignment horizontal="left" vertical="center"/>
      <protection locked="0"/>
    </xf>
    <xf numFmtId="168" fontId="5" fillId="9" borderId="2" xfId="0" applyNumberFormat="1" applyFont="1" applyFill="1" applyBorder="1" applyAlignment="1" applyProtection="1">
      <alignment horizontal="left" vertical="center"/>
      <protection locked="0"/>
    </xf>
    <xf numFmtId="9" fontId="6" fillId="11" borderId="27" xfId="0" applyNumberFormat="1" applyFont="1" applyFill="1" applyBorder="1" applyProtection="1">
      <protection locked="0"/>
    </xf>
    <xf numFmtId="167" fontId="6" fillId="9" borderId="1" xfId="3" applyFont="1" applyFill="1" applyBorder="1" applyAlignment="1" applyProtection="1">
      <alignment horizontal="center"/>
      <protection locked="0"/>
    </xf>
    <xf numFmtId="16" fontId="22" fillId="4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1" borderId="2" xfId="3" applyFont="1" applyFill="1" applyBorder="1" applyAlignment="1" applyProtection="1">
      <alignment horizontal="left" vertical="center"/>
      <protection locked="0"/>
    </xf>
    <xf numFmtId="0" fontId="6" fillId="9" borderId="27" xfId="0" applyFont="1" applyFill="1" applyBorder="1" applyAlignment="1" applyProtection="1">
      <alignment horizontal="center" vertical="center"/>
      <protection locked="0"/>
    </xf>
    <xf numFmtId="167" fontId="6" fillId="9" borderId="27" xfId="3" applyFont="1" applyFill="1" applyBorder="1" applyAlignment="1" applyProtection="1">
      <alignment horizont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167" fontId="6" fillId="9" borderId="2" xfId="3" applyFont="1" applyFill="1" applyBorder="1" applyAlignment="1" applyProtection="1">
      <alignment horizontal="center"/>
      <protection locked="0"/>
    </xf>
    <xf numFmtId="167" fontId="6" fillId="9" borderId="33" xfId="3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0" fontId="6" fillId="9" borderId="29" xfId="0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167" fontId="6" fillId="5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7" fontId="6" fillId="9" borderId="29" xfId="3" applyFont="1" applyFill="1" applyBorder="1" applyAlignment="1" applyProtection="1">
      <alignment horizontal="center"/>
      <protection locked="0"/>
    </xf>
    <xf numFmtId="167" fontId="38" fillId="0" borderId="16" xfId="3" applyFont="1" applyBorder="1" applyAlignment="1" applyProtection="1">
      <alignment horizontal="left"/>
      <protection locked="0"/>
    </xf>
    <xf numFmtId="167" fontId="6" fillId="8" borderId="35" xfId="3" applyFont="1" applyFill="1" applyBorder="1" applyAlignment="1" applyProtection="1">
      <alignment horizontal="center"/>
      <protection locked="0"/>
    </xf>
    <xf numFmtId="167" fontId="6" fillId="8" borderId="27" xfId="3" applyFont="1" applyFill="1" applyBorder="1" applyAlignment="1" applyProtection="1">
      <alignment horizontal="center"/>
      <protection locked="0"/>
    </xf>
    <xf numFmtId="167" fontId="6" fillId="8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/>
      <protection locked="0"/>
    </xf>
    <xf numFmtId="0" fontId="6" fillId="8" borderId="7" xfId="0" applyFont="1" applyFill="1" applyBorder="1" applyAlignment="1" applyProtection="1">
      <alignment horizontal="center"/>
      <protection locked="0"/>
    </xf>
    <xf numFmtId="0" fontId="6" fillId="9" borderId="7" xfId="0" applyFont="1" applyFill="1" applyBorder="1" applyProtection="1">
      <protection locked="0"/>
    </xf>
    <xf numFmtId="0" fontId="6" fillId="11" borderId="35" xfId="3" applyNumberFormat="1" applyFont="1" applyFill="1" applyBorder="1" applyAlignment="1" applyProtection="1">
      <alignment horizontal="center" vertical="center"/>
      <protection locked="0"/>
    </xf>
    <xf numFmtId="168" fontId="9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1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5" borderId="11" xfId="0" applyFont="1" applyFill="1" applyBorder="1" applyProtection="1"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5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5" borderId="2" xfId="0" applyFont="1" applyFill="1" applyBorder="1" applyProtection="1">
      <protection locked="0"/>
    </xf>
    <xf numFmtId="167" fontId="5" fillId="9" borderId="1" xfId="3" applyFont="1" applyFill="1" applyBorder="1" applyProtection="1">
      <protection locked="0"/>
    </xf>
    <xf numFmtId="0" fontId="5" fillId="9" borderId="1" xfId="0" applyFont="1" applyFill="1" applyBorder="1" applyProtection="1">
      <protection locked="0"/>
    </xf>
    <xf numFmtId="0" fontId="29" fillId="9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8" borderId="52" xfId="0" applyNumberFormat="1" applyFont="1" applyFill="1" applyBorder="1" applyAlignment="1" applyProtection="1">
      <alignment horizontal="center"/>
      <protection locked="0"/>
    </xf>
    <xf numFmtId="168" fontId="5" fillId="8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38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9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9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9" fillId="11" borderId="1" xfId="0" applyNumberFormat="1" applyFont="1" applyFill="1" applyBorder="1" applyAlignment="1" applyProtection="1">
      <alignment horizontal="left" vertical="center"/>
      <protection locked="0"/>
    </xf>
    <xf numFmtId="168" fontId="5" fillId="9" borderId="1" xfId="0" applyNumberFormat="1" applyFont="1" applyFill="1" applyBorder="1" applyAlignment="1" applyProtection="1">
      <alignment horizontal="left" vertical="center"/>
      <protection locked="0"/>
    </xf>
    <xf numFmtId="0" fontId="5" fillId="9" borderId="19" xfId="0" applyFont="1" applyFill="1" applyBorder="1" applyAlignment="1" applyProtection="1">
      <alignment horizontal="left" vertical="center"/>
      <protection locked="0"/>
    </xf>
    <xf numFmtId="168" fontId="9" fillId="9" borderId="51" xfId="0" applyNumberFormat="1" applyFont="1" applyFill="1" applyBorder="1" applyAlignment="1" applyProtection="1">
      <alignment horizontal="center"/>
      <protection locked="0"/>
    </xf>
    <xf numFmtId="168" fontId="9" fillId="9" borderId="55" xfId="0" applyNumberFormat="1" applyFont="1" applyFill="1" applyBorder="1" applyAlignment="1" applyProtection="1">
      <alignment horizontal="center"/>
      <protection locked="0"/>
    </xf>
    <xf numFmtId="168" fontId="9" fillId="9" borderId="52" xfId="0" applyNumberFormat="1" applyFont="1" applyFill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168" fontId="9" fillId="11" borderId="53" xfId="0" applyNumberFormat="1" applyFont="1" applyFill="1" applyBorder="1" applyAlignment="1" applyProtection="1">
      <alignment horizontal="center"/>
      <protection locked="0"/>
    </xf>
    <xf numFmtId="168" fontId="9" fillId="11" borderId="51" xfId="0" applyNumberFormat="1" applyFont="1" applyFill="1" applyBorder="1" applyAlignment="1" applyProtection="1">
      <alignment horizontal="center"/>
      <protection locked="0"/>
    </xf>
    <xf numFmtId="168" fontId="9" fillId="11" borderId="52" xfId="0" applyNumberFormat="1" applyFont="1" applyFill="1" applyBorder="1" applyAlignment="1" applyProtection="1">
      <alignment horizontal="center"/>
      <protection locked="0"/>
    </xf>
    <xf numFmtId="168" fontId="9" fillId="0" borderId="12" xfId="0" applyNumberFormat="1" applyFont="1" applyBorder="1" applyAlignment="1" applyProtection="1">
      <alignment horizontal="center"/>
      <protection locked="0"/>
    </xf>
    <xf numFmtId="168" fontId="9" fillId="9" borderId="53" xfId="0" applyNumberFormat="1" applyFont="1" applyFill="1" applyBorder="1" applyAlignment="1" applyProtection="1">
      <alignment horizontal="center"/>
      <protection locked="0"/>
    </xf>
    <xf numFmtId="167" fontId="9" fillId="0" borderId="12" xfId="0" applyNumberFormat="1" applyFont="1" applyBorder="1" applyAlignment="1" applyProtection="1">
      <alignment horizontal="center"/>
      <protection locked="0"/>
    </xf>
    <xf numFmtId="168" fontId="9" fillId="11" borderId="55" xfId="0" applyNumberFormat="1" applyFont="1" applyFill="1" applyBorder="1" applyAlignment="1" applyProtection="1">
      <alignment horizontal="center"/>
      <protection locked="0"/>
    </xf>
    <xf numFmtId="168" fontId="9" fillId="0" borderId="18" xfId="0" applyNumberFormat="1" applyFont="1" applyBorder="1" applyAlignment="1" applyProtection="1">
      <alignment horizontal="center"/>
      <protection locked="0"/>
    </xf>
    <xf numFmtId="168" fontId="9" fillId="8" borderId="53" xfId="0" applyNumberFormat="1" applyFont="1" applyFill="1" applyBorder="1" applyAlignment="1" applyProtection="1">
      <alignment horizontal="center"/>
      <protection locked="0"/>
    </xf>
    <xf numFmtId="168" fontId="9" fillId="8" borderId="55" xfId="0" applyNumberFormat="1" applyFont="1" applyFill="1" applyBorder="1" applyAlignment="1" applyProtection="1">
      <alignment horizontal="center"/>
      <protection locked="0"/>
    </xf>
    <xf numFmtId="168" fontId="9" fillId="8" borderId="52" xfId="0" applyNumberFormat="1" applyFont="1" applyFill="1" applyBorder="1" applyAlignment="1" applyProtection="1">
      <alignment horizontal="center"/>
      <protection locked="0"/>
    </xf>
    <xf numFmtId="14" fontId="9" fillId="9" borderId="51" xfId="0" applyNumberFormat="1" applyFont="1" applyFill="1" applyBorder="1" applyAlignment="1" applyProtection="1">
      <alignment horizontal="center"/>
      <protection locked="0"/>
    </xf>
    <xf numFmtId="14" fontId="9" fillId="9" borderId="55" xfId="0" applyNumberFormat="1" applyFont="1" applyFill="1" applyBorder="1" applyAlignment="1" applyProtection="1">
      <alignment horizontal="center"/>
      <protection locked="0"/>
    </xf>
    <xf numFmtId="14" fontId="9" fillId="9" borderId="52" xfId="0" applyNumberFormat="1" applyFont="1" applyFill="1" applyBorder="1" applyAlignment="1" applyProtection="1">
      <alignment horizontal="center"/>
      <protection locked="0"/>
    </xf>
    <xf numFmtId="14" fontId="9" fillId="0" borderId="12" xfId="0" applyNumberFormat="1" applyFont="1" applyBorder="1" applyAlignment="1" applyProtection="1">
      <alignment horizontal="center"/>
      <protection locked="0"/>
    </xf>
    <xf numFmtId="14" fontId="9" fillId="11" borderId="53" xfId="0" applyNumberFormat="1" applyFont="1" applyFill="1" applyBorder="1" applyAlignment="1" applyProtection="1">
      <alignment horizontal="center"/>
      <protection locked="0"/>
    </xf>
    <xf numFmtId="14" fontId="9" fillId="11" borderId="51" xfId="0" applyNumberFormat="1" applyFont="1" applyFill="1" applyBorder="1" applyAlignment="1" applyProtection="1">
      <alignment horizontal="center"/>
      <protection locked="0"/>
    </xf>
    <xf numFmtId="14" fontId="9" fillId="11" borderId="52" xfId="0" applyNumberFormat="1" applyFont="1" applyFill="1" applyBorder="1" applyAlignment="1" applyProtection="1">
      <alignment horizontal="center"/>
      <protection locked="0"/>
    </xf>
    <xf numFmtId="14" fontId="9" fillId="9" borderId="53" xfId="0" applyNumberFormat="1" applyFont="1" applyFill="1" applyBorder="1" applyAlignment="1" applyProtection="1">
      <alignment horizontal="center"/>
      <protection locked="0"/>
    </xf>
    <xf numFmtId="14" fontId="9" fillId="11" borderId="55" xfId="0" applyNumberFormat="1" applyFont="1" applyFill="1" applyBorder="1" applyAlignment="1" applyProtection="1">
      <alignment horizontal="center"/>
      <protection locked="0"/>
    </xf>
    <xf numFmtId="14" fontId="9" fillId="0" borderId="18" xfId="0" applyNumberFormat="1" applyFont="1" applyBorder="1" applyAlignment="1" applyProtection="1">
      <alignment horizontal="center"/>
      <protection locked="0"/>
    </xf>
    <xf numFmtId="14" fontId="38" fillId="0" borderId="12" xfId="0" applyNumberFormat="1" applyFont="1" applyBorder="1" applyAlignment="1" applyProtection="1">
      <alignment horizontal="left"/>
      <protection locked="0"/>
    </xf>
    <xf numFmtId="14" fontId="9" fillId="8" borderId="53" xfId="0" applyNumberFormat="1" applyFont="1" applyFill="1" applyBorder="1" applyAlignment="1" applyProtection="1">
      <alignment horizontal="center"/>
      <protection locked="0"/>
    </xf>
    <xf numFmtId="14" fontId="9" fillId="8" borderId="55" xfId="0" applyNumberFormat="1" applyFont="1" applyFill="1" applyBorder="1" applyAlignment="1" applyProtection="1">
      <alignment horizontal="center"/>
      <protection locked="0"/>
    </xf>
    <xf numFmtId="14" fontId="9" fillId="8" borderId="52" xfId="0" applyNumberFormat="1" applyFont="1" applyFill="1" applyBorder="1" applyAlignment="1" applyProtection="1">
      <alignment horizontal="center"/>
      <protection locked="0"/>
    </xf>
    <xf numFmtId="14" fontId="5" fillId="9" borderId="65" xfId="0" applyNumberFormat="1" applyFont="1" applyFill="1" applyBorder="1" applyAlignment="1" applyProtection="1">
      <alignment horizontal="center" vertical="center"/>
      <protection locked="0"/>
    </xf>
    <xf numFmtId="14" fontId="5" fillId="9" borderId="58" xfId="0" applyNumberFormat="1" applyFont="1" applyFill="1" applyBorder="1" applyAlignment="1" applyProtection="1">
      <alignment horizontal="center"/>
      <protection locked="0"/>
    </xf>
    <xf numFmtId="14" fontId="5" fillId="9" borderId="68" xfId="0" applyNumberFormat="1" applyFont="1" applyFill="1" applyBorder="1" applyAlignment="1" applyProtection="1">
      <alignment horizontal="center"/>
      <protection locked="0"/>
    </xf>
    <xf numFmtId="14" fontId="5" fillId="9" borderId="6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9" borderId="60" xfId="0" applyNumberFormat="1" applyFont="1" applyFill="1" applyBorder="1" applyAlignment="1" applyProtection="1">
      <alignment horizontal="center"/>
      <protection locked="0"/>
    </xf>
    <xf numFmtId="14" fontId="38" fillId="0" borderId="66" xfId="0" applyNumberFormat="1" applyFont="1" applyBorder="1" applyAlignment="1" applyProtection="1">
      <alignment horizontal="left"/>
      <protection locked="0"/>
    </xf>
    <xf numFmtId="14" fontId="5" fillId="8" borderId="65" xfId="0" applyNumberFormat="1" applyFont="1" applyFill="1" applyBorder="1" applyAlignment="1" applyProtection="1">
      <alignment horizontal="center"/>
      <protection locked="0"/>
    </xf>
    <xf numFmtId="14" fontId="5" fillId="8" borderId="58" xfId="0" applyNumberFormat="1" applyFont="1" applyFill="1" applyBorder="1" applyAlignment="1" applyProtection="1">
      <alignment horizontal="center"/>
      <protection locked="0"/>
    </xf>
    <xf numFmtId="14" fontId="5" fillId="8" borderId="68" xfId="0" applyNumberFormat="1" applyFont="1" applyFill="1" applyBorder="1" applyAlignment="1" applyProtection="1">
      <alignment horizont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11" borderId="35" xfId="3" applyNumberFormat="1" applyFont="1" applyFill="1" applyBorder="1" applyAlignment="1" applyProtection="1">
      <alignment vertical="center"/>
      <protection locked="0"/>
    </xf>
    <xf numFmtId="0" fontId="5" fillId="11" borderId="35" xfId="2" applyNumberFormat="1" applyFont="1" applyFill="1" applyBorder="1" applyAlignment="1" applyProtection="1">
      <alignment horizontal="center" vertical="center"/>
      <protection locked="0"/>
    </xf>
    <xf numFmtId="0" fontId="5" fillId="11" borderId="27" xfId="2" applyNumberFormat="1" applyFont="1" applyFill="1" applyBorder="1" applyAlignment="1" applyProtection="1">
      <alignment horizontal="center" vertical="center"/>
      <protection locked="0"/>
    </xf>
    <xf numFmtId="0" fontId="9" fillId="5" borderId="0" xfId="0" applyFont="1" applyFill="1" applyProtection="1">
      <protection locked="0"/>
    </xf>
    <xf numFmtId="0" fontId="5" fillId="9" borderId="35" xfId="0" applyFont="1" applyFill="1" applyBorder="1" applyAlignment="1" applyProtection="1">
      <alignment horizontal="center" vertical="center"/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5" fillId="9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9" borderId="27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43" fillId="0" borderId="16" xfId="0" applyFont="1" applyBorder="1" applyAlignment="1" applyProtection="1">
      <alignment horizontal="left"/>
      <protection locked="0"/>
    </xf>
    <xf numFmtId="0" fontId="5" fillId="8" borderId="35" xfId="0" applyFont="1" applyFill="1" applyBorder="1" applyAlignment="1" applyProtection="1">
      <alignment horizontal="center" vertical="center"/>
      <protection locked="0"/>
    </xf>
    <xf numFmtId="0" fontId="5" fillId="8" borderId="27" xfId="0" applyFont="1" applyFill="1" applyBorder="1" applyAlignment="1" applyProtection="1">
      <alignment horizontal="center" vertical="center"/>
      <protection locked="0"/>
    </xf>
    <xf numFmtId="0" fontId="5" fillId="8" borderId="33" xfId="0" applyFont="1" applyFill="1" applyBorder="1" applyAlignment="1" applyProtection="1">
      <alignment horizontal="center" vertical="center"/>
      <protection locked="0"/>
    </xf>
    <xf numFmtId="167" fontId="5" fillId="11" borderId="27" xfId="3" applyFont="1" applyFill="1" applyBorder="1" applyAlignment="1" applyProtection="1">
      <alignment horizontal="center" vertical="center"/>
      <protection locked="0"/>
    </xf>
    <xf numFmtId="9" fontId="6" fillId="11" borderId="27" xfId="2" applyFont="1" applyFill="1" applyBorder="1" applyAlignment="1" applyProtection="1">
      <alignment horizontal="center"/>
      <protection locked="0"/>
    </xf>
    <xf numFmtId="9" fontId="6" fillId="9" borderId="1" xfId="2" applyFont="1" applyFill="1" applyBorder="1" applyAlignment="1" applyProtection="1">
      <alignment horizontal="center"/>
      <protection locked="0"/>
    </xf>
    <xf numFmtId="167" fontId="5" fillId="9" borderId="2" xfId="3" applyFont="1" applyFill="1" applyBorder="1" applyAlignment="1" applyProtection="1">
      <alignment horizontal="center" vertical="center"/>
      <protection locked="0"/>
    </xf>
    <xf numFmtId="9" fontId="6" fillId="8" borderId="27" xfId="2" applyFont="1" applyFill="1" applyBorder="1" applyAlignment="1" applyProtection="1">
      <alignment horizontal="center"/>
      <protection locked="0"/>
    </xf>
    <xf numFmtId="14" fontId="9" fillId="9" borderId="58" xfId="0" applyNumberFormat="1" applyFont="1" applyFill="1" applyBorder="1" applyAlignment="1" applyProtection="1">
      <alignment horizontal="center"/>
      <protection locked="0"/>
    </xf>
    <xf numFmtId="14" fontId="9" fillId="9" borderId="68" xfId="0" applyNumberFormat="1" applyFont="1" applyFill="1" applyBorder="1" applyAlignment="1" applyProtection="1">
      <alignment horizontal="center"/>
      <protection locked="0"/>
    </xf>
    <xf numFmtId="14" fontId="9" fillId="9" borderId="62" xfId="0" applyNumberFormat="1" applyFont="1" applyFill="1" applyBorder="1" applyAlignment="1" applyProtection="1">
      <alignment horizontal="center"/>
      <protection locked="0"/>
    </xf>
    <xf numFmtId="14" fontId="9" fillId="0" borderId="66" xfId="0" applyNumberFormat="1" applyFont="1" applyBorder="1" applyAlignment="1" applyProtection="1">
      <alignment horizontal="center"/>
      <protection locked="0"/>
    </xf>
    <xf numFmtId="14" fontId="9" fillId="11" borderId="65" xfId="0" applyNumberFormat="1" applyFont="1" applyFill="1" applyBorder="1" applyAlignment="1" applyProtection="1">
      <alignment horizontal="center"/>
      <protection locked="0"/>
    </xf>
    <xf numFmtId="14" fontId="9" fillId="11" borderId="58" xfId="0" applyNumberFormat="1" applyFont="1" applyFill="1" applyBorder="1" applyAlignment="1" applyProtection="1">
      <alignment horizontal="center"/>
      <protection locked="0"/>
    </xf>
    <xf numFmtId="14" fontId="9" fillId="11" borderId="62" xfId="0" applyNumberFormat="1" applyFont="1" applyFill="1" applyBorder="1" applyAlignment="1" applyProtection="1">
      <alignment horizontal="center"/>
      <protection locked="0"/>
    </xf>
    <xf numFmtId="14" fontId="9" fillId="9" borderId="65" xfId="0" applyNumberFormat="1" applyFont="1" applyFill="1" applyBorder="1" applyAlignment="1" applyProtection="1">
      <alignment horizontal="center"/>
      <protection locked="0"/>
    </xf>
    <xf numFmtId="14" fontId="9" fillId="11" borderId="68" xfId="0" applyNumberFormat="1" applyFont="1" applyFill="1" applyBorder="1" applyAlignment="1" applyProtection="1">
      <alignment horizontal="center"/>
      <protection locked="0"/>
    </xf>
    <xf numFmtId="14" fontId="9" fillId="0" borderId="59" xfId="0" applyNumberFormat="1" applyFont="1" applyBorder="1" applyAlignment="1" applyProtection="1">
      <alignment horizontal="center"/>
      <protection locked="0"/>
    </xf>
    <xf numFmtId="14" fontId="9" fillId="8" borderId="65" xfId="0" applyNumberFormat="1" applyFont="1" applyFill="1" applyBorder="1" applyAlignment="1" applyProtection="1">
      <alignment horizontal="center"/>
      <protection locked="0"/>
    </xf>
    <xf numFmtId="14" fontId="9" fillId="8" borderId="58" xfId="0" applyNumberFormat="1" applyFont="1" applyFill="1" applyBorder="1" applyAlignment="1" applyProtection="1">
      <alignment horizontal="center"/>
      <protection locked="0"/>
    </xf>
    <xf numFmtId="14" fontId="9" fillId="8" borderId="68" xfId="0" applyNumberFormat="1" applyFont="1" applyFill="1" applyBorder="1" applyAlignment="1" applyProtection="1">
      <alignment horizontal="center"/>
      <protection locked="0"/>
    </xf>
    <xf numFmtId="14" fontId="9" fillId="8" borderId="62" xfId="0" applyNumberFormat="1" applyFont="1" applyFill="1" applyBorder="1" applyAlignment="1" applyProtection="1">
      <alignment horizontal="center"/>
      <protection locked="0"/>
    </xf>
    <xf numFmtId="0" fontId="5" fillId="9" borderId="56" xfId="0" applyFont="1" applyFill="1" applyBorder="1" applyAlignment="1" applyProtection="1">
      <alignment horizontal="center"/>
      <protection locked="0"/>
    </xf>
    <xf numFmtId="0" fontId="5" fillId="9" borderId="67" xfId="0" applyFont="1" applyFill="1" applyBorder="1" applyAlignment="1" applyProtection="1">
      <alignment horizontal="center"/>
      <protection locked="0"/>
    </xf>
    <xf numFmtId="0" fontId="5" fillId="9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9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38" fillId="0" borderId="63" xfId="0" applyFont="1" applyBorder="1" applyAlignment="1" applyProtection="1">
      <alignment horizontal="left"/>
      <protection locked="0"/>
    </xf>
    <xf numFmtId="0" fontId="5" fillId="8" borderId="64" xfId="0" applyFont="1" applyFill="1" applyBorder="1" applyAlignment="1" applyProtection="1">
      <alignment horizontal="center"/>
      <protection locked="0"/>
    </xf>
    <xf numFmtId="0" fontId="5" fillId="8" borderId="56" xfId="0" applyFont="1" applyFill="1" applyBorder="1" applyAlignment="1" applyProtection="1">
      <alignment horizontal="center"/>
      <protection locked="0"/>
    </xf>
    <xf numFmtId="0" fontId="5" fillId="8" borderId="67" xfId="0" applyFont="1" applyFill="1" applyBorder="1" applyAlignment="1" applyProtection="1">
      <alignment horizontal="center"/>
      <protection locked="0"/>
    </xf>
    <xf numFmtId="0" fontId="5" fillId="8" borderId="61" xfId="0" applyFont="1" applyFill="1" applyBorder="1" applyAlignment="1" applyProtection="1">
      <alignment horizontal="center"/>
      <protection locked="0"/>
    </xf>
    <xf numFmtId="0" fontId="17" fillId="14" borderId="19" xfId="0" applyFont="1" applyFill="1" applyBorder="1" applyProtection="1">
      <protection locked="0"/>
    </xf>
    <xf numFmtId="0" fontId="7" fillId="14" borderId="21" xfId="0" applyFont="1" applyFill="1" applyBorder="1" applyProtection="1">
      <protection locked="0"/>
    </xf>
    <xf numFmtId="0" fontId="7" fillId="14" borderId="22" xfId="0" applyFont="1" applyFill="1" applyBorder="1" applyProtection="1">
      <protection locked="0"/>
    </xf>
    <xf numFmtId="167" fontId="7" fillId="14" borderId="23" xfId="0" applyNumberFormat="1" applyFont="1" applyFill="1" applyBorder="1" applyProtection="1">
      <protection locked="0"/>
    </xf>
    <xf numFmtId="167" fontId="7" fillId="14" borderId="23" xfId="3" applyFont="1" applyFill="1" applyBorder="1" applyProtection="1">
      <protection locked="0"/>
    </xf>
    <xf numFmtId="167" fontId="7" fillId="14" borderId="26" xfId="0" applyNumberFormat="1" applyFont="1" applyFill="1" applyBorder="1" applyProtection="1">
      <protection locked="0"/>
    </xf>
    <xf numFmtId="167" fontId="44" fillId="14" borderId="23" xfId="0" applyNumberFormat="1" applyFont="1" applyFill="1" applyBorder="1" applyProtection="1">
      <protection locked="0"/>
    </xf>
    <xf numFmtId="0" fontId="7" fillId="14" borderId="24" xfId="0" applyFont="1" applyFill="1" applyBorder="1" applyProtection="1">
      <protection locked="0"/>
    </xf>
    <xf numFmtId="0" fontId="17" fillId="15" borderId="19" xfId="0" applyFont="1" applyFill="1" applyBorder="1" applyProtection="1">
      <protection locked="0"/>
    </xf>
    <xf numFmtId="0" fontId="7" fillId="15" borderId="21" xfId="0" applyFont="1" applyFill="1" applyBorder="1" applyProtection="1">
      <protection locked="0"/>
    </xf>
    <xf numFmtId="0" fontId="7" fillId="15" borderId="22" xfId="0" applyFont="1" applyFill="1" applyBorder="1" applyProtection="1">
      <protection locked="0"/>
    </xf>
    <xf numFmtId="167" fontId="7" fillId="15" borderId="23" xfId="0" applyNumberFormat="1" applyFont="1" applyFill="1" applyBorder="1" applyProtection="1">
      <protection locked="0"/>
    </xf>
    <xf numFmtId="167" fontId="7" fillId="15" borderId="26" xfId="0" applyNumberFormat="1" applyFont="1" applyFill="1" applyBorder="1" applyProtection="1">
      <protection locked="0"/>
    </xf>
    <xf numFmtId="0" fontId="7" fillId="15" borderId="69" xfId="0" applyFont="1" applyFill="1" applyBorder="1" applyProtection="1"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8" fontId="8" fillId="0" borderId="63" xfId="0" applyNumberFormat="1" applyFont="1" applyBorder="1" applyAlignment="1" applyProtection="1">
      <alignment horizontal="center" vertical="center" wrapText="1"/>
      <protection locked="0"/>
    </xf>
    <xf numFmtId="168" fontId="8" fillId="0" borderId="12" xfId="0" applyNumberFormat="1" applyFont="1" applyBorder="1" applyAlignment="1" applyProtection="1">
      <alignment horizontal="center" vertical="center" wrapText="1"/>
      <protection locked="0"/>
    </xf>
    <xf numFmtId="168" fontId="9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9" borderId="69" xfId="0" applyFont="1" applyFill="1" applyBorder="1" applyAlignment="1" applyProtection="1">
      <alignment horizontal="center" vertical="center"/>
      <protection locked="0"/>
    </xf>
    <xf numFmtId="0" fontId="5" fillId="9" borderId="70" xfId="0" applyFont="1" applyFill="1" applyBorder="1" applyAlignment="1" applyProtection="1">
      <alignment horizontal="center"/>
      <protection locked="0"/>
    </xf>
    <xf numFmtId="0" fontId="5" fillId="9" borderId="71" xfId="0" applyFont="1" applyFill="1" applyBorder="1" applyAlignment="1" applyProtection="1">
      <alignment horizontal="center"/>
      <protection locked="0"/>
    </xf>
    <xf numFmtId="0" fontId="5" fillId="9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9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9" borderId="4" xfId="0" applyFont="1" applyFill="1" applyBorder="1" applyAlignment="1" applyProtection="1">
      <alignment horizontal="center"/>
      <protection locked="0"/>
    </xf>
    <xf numFmtId="0" fontId="5" fillId="8" borderId="69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0" fontId="5" fillId="8" borderId="71" xfId="0" applyFont="1" applyFill="1" applyBorder="1" applyAlignment="1" applyProtection="1">
      <alignment horizontal="center"/>
      <protection locked="0"/>
    </xf>
    <xf numFmtId="0" fontId="5" fillId="8" borderId="72" xfId="0" applyFont="1" applyFill="1" applyBorder="1" applyAlignment="1" applyProtection="1">
      <alignment horizontal="center"/>
      <protection locked="0"/>
    </xf>
    <xf numFmtId="168" fontId="5" fillId="11" borderId="2" xfId="3" applyNumberFormat="1" applyFont="1" applyFill="1" applyBorder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9" borderId="56" xfId="0" applyFont="1" applyFill="1" applyBorder="1" applyAlignment="1" applyProtection="1">
      <alignment horizontal="left"/>
      <protection locked="0"/>
    </xf>
    <xf numFmtId="0" fontId="5" fillId="9" borderId="67" xfId="0" applyFont="1" applyFill="1" applyBorder="1" applyAlignment="1" applyProtection="1">
      <alignment horizontal="center" wrapText="1"/>
      <protection locked="0"/>
    </xf>
    <xf numFmtId="167" fontId="6" fillId="5" borderId="0" xfId="0" applyNumberFormat="1" applyFont="1" applyFill="1" applyProtection="1">
      <protection locked="0"/>
    </xf>
    <xf numFmtId="9" fontId="6" fillId="9" borderId="35" xfId="3" applyNumberFormat="1" applyFont="1" applyFill="1" applyBorder="1" applyAlignment="1" applyProtection="1">
      <alignment horizontal="center"/>
      <protection locked="0"/>
    </xf>
    <xf numFmtId="1" fontId="5" fillId="9" borderId="2" xfId="0" applyNumberFormat="1" applyFont="1" applyFill="1" applyBorder="1" applyAlignment="1" applyProtection="1">
      <alignment horizontal="center" vertical="center"/>
      <protection locked="0"/>
    </xf>
    <xf numFmtId="9" fontId="6" fillId="9" borderId="1" xfId="0" applyNumberFormat="1" applyFont="1" applyFill="1" applyBorder="1" applyAlignment="1" applyProtection="1">
      <alignment horizontal="center" vertical="center"/>
      <protection locked="0"/>
    </xf>
    <xf numFmtId="15" fontId="15" fillId="0" borderId="2" xfId="0" applyNumberFormat="1" applyFont="1" applyBorder="1" applyAlignment="1">
      <alignment horizontal="center" wrapText="1"/>
    </xf>
    <xf numFmtId="167" fontId="6" fillId="5" borderId="0" xfId="3" applyFont="1" applyFill="1" applyProtection="1">
      <protection locked="0"/>
    </xf>
    <xf numFmtId="9" fontId="7" fillId="9" borderId="35" xfId="0" applyNumberFormat="1" applyFont="1" applyFill="1" applyBorder="1" applyProtection="1">
      <protection locked="0"/>
    </xf>
    <xf numFmtId="9" fontId="7" fillId="9" borderId="1" xfId="0" applyNumberFormat="1" applyFont="1" applyFill="1" applyBorder="1" applyProtection="1">
      <protection locked="0"/>
    </xf>
    <xf numFmtId="167" fontId="5" fillId="9" borderId="1" xfId="0" applyNumberFormat="1" applyFont="1" applyFill="1" applyBorder="1" applyAlignment="1" applyProtection="1">
      <alignment horizontal="center" vertical="center"/>
      <protection locked="0"/>
    </xf>
    <xf numFmtId="171" fontId="6" fillId="9" borderId="2" xfId="2" applyNumberFormat="1" applyFont="1" applyFill="1" applyBorder="1" applyAlignment="1" applyProtection="1">
      <alignment horizontal="center"/>
      <protection locked="0"/>
    </xf>
    <xf numFmtId="171" fontId="6" fillId="9" borderId="1" xfId="2" applyNumberFormat="1" applyFont="1" applyFill="1" applyBorder="1" applyAlignment="1" applyProtection="1">
      <alignment horizontal="center"/>
      <protection locked="0"/>
    </xf>
    <xf numFmtId="171" fontId="6" fillId="9" borderId="1" xfId="3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0" fontId="15" fillId="9" borderId="41" xfId="0" applyFont="1" applyFill="1" applyBorder="1" applyAlignment="1" applyProtection="1">
      <alignment horizontal="center"/>
      <protection locked="0"/>
    </xf>
    <xf numFmtId="0" fontId="6" fillId="9" borderId="3" xfId="0" applyFont="1" applyFill="1" applyBorder="1" applyAlignment="1" applyProtection="1">
      <alignment horizontal="left" vertical="center"/>
      <protection locked="0"/>
    </xf>
    <xf numFmtId="9" fontId="6" fillId="9" borderId="3" xfId="0" applyNumberFormat="1" applyFont="1" applyFill="1" applyBorder="1" applyProtection="1">
      <protection locked="0"/>
    </xf>
    <xf numFmtId="0" fontId="6" fillId="9" borderId="3" xfId="0" applyFont="1" applyFill="1" applyBorder="1" applyAlignment="1" applyProtection="1">
      <alignment horizontal="center" vertical="center"/>
      <protection locked="0"/>
    </xf>
    <xf numFmtId="167" fontId="6" fillId="9" borderId="3" xfId="3" applyFont="1" applyFill="1" applyBorder="1" applyAlignment="1" applyProtection="1">
      <alignment horizontal="center"/>
      <protection locked="0"/>
    </xf>
    <xf numFmtId="168" fontId="5" fillId="9" borderId="3" xfId="0" applyNumberFormat="1" applyFont="1" applyFill="1" applyBorder="1" applyAlignment="1" applyProtection="1">
      <alignment horizontal="center"/>
      <protection locked="0"/>
    </xf>
    <xf numFmtId="9" fontId="5" fillId="9" borderId="29" xfId="0" applyNumberFormat="1" applyFont="1" applyFill="1" applyBorder="1" applyAlignment="1" applyProtection="1">
      <alignment horizontal="center" vertical="center"/>
      <protection locked="0"/>
    </xf>
    <xf numFmtId="0" fontId="6" fillId="9" borderId="29" xfId="0" applyFont="1" applyFill="1" applyBorder="1" applyAlignment="1" applyProtection="1">
      <alignment horizontal="left" vertical="center"/>
      <protection locked="0"/>
    </xf>
    <xf numFmtId="9" fontId="5" fillId="9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7" xfId="2" applyFont="1" applyFill="1" applyBorder="1" applyAlignment="1" applyProtection="1">
      <alignment horizontal="center" vertical="center"/>
      <protection locked="0"/>
    </xf>
    <xf numFmtId="9" fontId="5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9" borderId="1" xfId="3" applyFont="1" applyFill="1" applyBorder="1" applyProtection="1">
      <protection locked="0"/>
    </xf>
    <xf numFmtId="167" fontId="6" fillId="9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5" borderId="19" xfId="0" applyFont="1" applyFill="1" applyBorder="1" applyProtection="1">
      <protection locked="0"/>
    </xf>
    <xf numFmtId="166" fontId="6" fillId="5" borderId="20" xfId="0" applyNumberFormat="1" applyFont="1" applyFill="1" applyBorder="1" applyProtection="1">
      <protection locked="0"/>
    </xf>
    <xf numFmtId="0" fontId="6" fillId="5" borderId="20" xfId="0" applyFont="1" applyFill="1" applyBorder="1" applyProtection="1">
      <protection locked="0"/>
    </xf>
    <xf numFmtId="166" fontId="6" fillId="5" borderId="21" xfId="0" applyNumberFormat="1" applyFont="1" applyFill="1" applyBorder="1" applyProtection="1">
      <protection locked="0"/>
    </xf>
    <xf numFmtId="0" fontId="6" fillId="5" borderId="22" xfId="0" applyFont="1" applyFill="1" applyBorder="1" applyProtection="1">
      <protection locked="0"/>
    </xf>
    <xf numFmtId="0" fontId="6" fillId="5" borderId="23" xfId="0" applyFont="1" applyFill="1" applyBorder="1" applyProtection="1">
      <protection locked="0"/>
    </xf>
    <xf numFmtId="0" fontId="6" fillId="5" borderId="24" xfId="0" applyFont="1" applyFill="1" applyBorder="1" applyProtection="1">
      <protection locked="0"/>
    </xf>
    <xf numFmtId="166" fontId="6" fillId="5" borderId="25" xfId="0" applyNumberFormat="1" applyFont="1" applyFill="1" applyBorder="1" applyProtection="1">
      <protection locked="0"/>
    </xf>
    <xf numFmtId="0" fontId="6" fillId="5" borderId="25" xfId="0" applyFont="1" applyFill="1" applyBorder="1" applyProtection="1">
      <protection locked="0"/>
    </xf>
    <xf numFmtId="0" fontId="6" fillId="5" borderId="26" xfId="0" applyFont="1" applyFill="1" applyBorder="1" applyProtection="1">
      <protection locked="0"/>
    </xf>
    <xf numFmtId="0" fontId="6" fillId="5" borderId="21" xfId="0" applyFont="1" applyFill="1" applyBorder="1" applyProtection="1">
      <protection locked="0"/>
    </xf>
    <xf numFmtId="166" fontId="6" fillId="5" borderId="0" xfId="0" applyNumberFormat="1" applyFont="1" applyFill="1" applyProtection="1">
      <protection locked="0"/>
    </xf>
    <xf numFmtId="166" fontId="6" fillId="5" borderId="23" xfId="0" applyNumberFormat="1" applyFont="1" applyFill="1" applyBorder="1" applyProtection="1">
      <protection locked="0"/>
    </xf>
    <xf numFmtId="166" fontId="5" fillId="8" borderId="27" xfId="3" applyNumberFormat="1" applyFont="1" applyFill="1" applyBorder="1" applyAlignment="1" applyProtection="1">
      <alignment horizontal="center" vertical="center"/>
      <protection locked="0"/>
    </xf>
    <xf numFmtId="14" fontId="5" fillId="9" borderId="55" xfId="0" applyNumberFormat="1" applyFont="1" applyFill="1" applyBorder="1" applyAlignment="1" applyProtection="1">
      <alignment horizontal="center"/>
      <protection locked="0"/>
    </xf>
    <xf numFmtId="167" fontId="5" fillId="9" borderId="1" xfId="3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8" borderId="55" xfId="0" applyNumberFormat="1" applyFont="1" applyFill="1" applyBorder="1" applyAlignment="1" applyProtection="1">
      <alignment horizontal="center"/>
      <protection locked="0"/>
    </xf>
    <xf numFmtId="14" fontId="6" fillId="9" borderId="51" xfId="0" applyNumberFormat="1" applyFont="1" applyFill="1" applyBorder="1" applyAlignment="1" applyProtection="1">
      <alignment horizontal="center"/>
      <protection locked="0"/>
    </xf>
    <xf numFmtId="168" fontId="5" fillId="9" borderId="53" xfId="0" applyNumberFormat="1" applyFont="1" applyFill="1" applyBorder="1" applyAlignment="1" applyProtection="1">
      <alignment horizontal="center"/>
      <protection locked="0"/>
    </xf>
    <xf numFmtId="168" fontId="5" fillId="9" borderId="51" xfId="0" applyNumberFormat="1" applyFont="1" applyFill="1" applyBorder="1" applyAlignment="1" applyProtection="1">
      <alignment horizontal="center"/>
      <protection locked="0"/>
    </xf>
    <xf numFmtId="168" fontId="5" fillId="9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8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9" fontId="6" fillId="11" borderId="1" xfId="3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0" fontId="5" fillId="9" borderId="27" xfId="0" applyFont="1" applyFill="1" applyBorder="1" applyAlignment="1" applyProtection="1">
      <alignment horizontal="left" vertical="center"/>
      <protection locked="0"/>
    </xf>
    <xf numFmtId="15" fontId="18" fillId="5" borderId="2" xfId="0" applyNumberFormat="1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center" wrapText="1"/>
    </xf>
    <xf numFmtId="0" fontId="6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2" fontId="25" fillId="5" borderId="2" xfId="0" applyNumberFormat="1" applyFont="1" applyFill="1" applyBorder="1" applyAlignment="1">
      <alignment horizontal="center"/>
    </xf>
    <xf numFmtId="9" fontId="7" fillId="5" borderId="0" xfId="2" applyFont="1" applyFill="1" applyProtection="1">
      <protection locked="0"/>
    </xf>
    <xf numFmtId="0" fontId="5" fillId="4" borderId="2" xfId="0" applyFont="1" applyFill="1" applyBorder="1"/>
    <xf numFmtId="168" fontId="5" fillId="11" borderId="61" xfId="0" applyNumberFormat="1" applyFon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9" fontId="6" fillId="5" borderId="2" xfId="0" applyNumberFormat="1" applyFont="1" applyFill="1" applyBorder="1" applyAlignment="1">
      <alignment horizontal="center" vertical="center" wrapText="1"/>
    </xf>
    <xf numFmtId="0" fontId="46" fillId="5" borderId="0" xfId="0" applyFont="1" applyFill="1" applyAlignment="1" applyProtection="1">
      <alignment vertical="center"/>
      <protection locked="0"/>
    </xf>
    <xf numFmtId="14" fontId="6" fillId="9" borderId="65" xfId="0" applyNumberFormat="1" applyFont="1" applyFill="1" applyBorder="1" applyAlignment="1" applyProtection="1">
      <alignment horizontal="center"/>
      <protection locked="0"/>
    </xf>
    <xf numFmtId="14" fontId="6" fillId="9" borderId="58" xfId="0" applyNumberFormat="1" applyFont="1" applyFill="1" applyBorder="1" applyAlignment="1" applyProtection="1">
      <alignment horizontal="center"/>
      <protection locked="0"/>
    </xf>
    <xf numFmtId="0" fontId="6" fillId="11" borderId="1" xfId="3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9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4" fontId="5" fillId="9" borderId="52" xfId="0" applyNumberFormat="1" applyFont="1" applyFill="1" applyBorder="1" applyAlignment="1" applyProtection="1">
      <alignment horizontal="center"/>
      <protection locked="0"/>
    </xf>
    <xf numFmtId="0" fontId="24" fillId="0" borderId="10" xfId="0" applyFont="1" applyBorder="1" applyAlignment="1" applyProtection="1">
      <alignment horizontal="left"/>
      <protection locked="0"/>
    </xf>
    <xf numFmtId="0" fontId="24" fillId="0" borderId="15" xfId="0" applyFont="1" applyBorder="1" applyAlignment="1" applyProtection="1">
      <alignment horizontal="left"/>
      <protection locked="0"/>
    </xf>
    <xf numFmtId="166" fontId="19" fillId="5" borderId="0" xfId="0" applyNumberFormat="1" applyFont="1" applyFill="1" applyProtection="1">
      <protection locked="0"/>
    </xf>
    <xf numFmtId="14" fontId="5" fillId="8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9" borderId="13" xfId="0" applyNumberFormat="1" applyFont="1" applyFill="1" applyBorder="1" applyAlignment="1" applyProtection="1">
      <alignment horizontal="center"/>
      <protection locked="0"/>
    </xf>
    <xf numFmtId="168" fontId="5" fillId="9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9" borderId="13" xfId="0" applyNumberFormat="1" applyFont="1" applyFill="1" applyBorder="1" applyAlignment="1" applyProtection="1">
      <alignment horizontal="center"/>
      <protection locked="0"/>
    </xf>
    <xf numFmtId="168" fontId="6" fillId="9" borderId="55" xfId="0" applyNumberFormat="1" applyFont="1" applyFill="1" applyBorder="1" applyAlignment="1" applyProtection="1">
      <alignment horizontal="center"/>
      <protection locked="0"/>
    </xf>
    <xf numFmtId="168" fontId="6" fillId="11" borderId="52" xfId="0" applyNumberFormat="1" applyFont="1" applyFill="1" applyBorder="1" applyAlignment="1" applyProtection="1">
      <alignment horizontal="center"/>
      <protection locked="0"/>
    </xf>
    <xf numFmtId="168" fontId="6" fillId="9" borderId="2" xfId="0" applyNumberFormat="1" applyFont="1" applyFill="1" applyBorder="1" applyAlignment="1" applyProtection="1">
      <alignment horizontal="center"/>
      <protection locked="0"/>
    </xf>
    <xf numFmtId="168" fontId="6" fillId="8" borderId="55" xfId="0" applyNumberFormat="1" applyFont="1" applyFill="1" applyBorder="1" applyAlignment="1" applyProtection="1">
      <alignment horizontal="center"/>
      <protection locked="0"/>
    </xf>
    <xf numFmtId="0" fontId="19" fillId="5" borderId="79" xfId="0" applyFont="1" applyFill="1" applyBorder="1" applyProtection="1">
      <protection locked="0"/>
    </xf>
    <xf numFmtId="0" fontId="19" fillId="5" borderId="80" xfId="0" applyFont="1" applyFill="1" applyBorder="1" applyProtection="1">
      <protection locked="0"/>
    </xf>
    <xf numFmtId="0" fontId="20" fillId="5" borderId="80" xfId="0" applyFont="1" applyFill="1" applyBorder="1" applyAlignment="1" applyProtection="1">
      <alignment horizontal="right"/>
      <protection locked="0"/>
    </xf>
    <xf numFmtId="0" fontId="20" fillId="5" borderId="80" xfId="0" applyFont="1" applyFill="1" applyBorder="1" applyAlignment="1" applyProtection="1">
      <alignment horizontal="right" vertical="center"/>
      <protection locked="0"/>
    </xf>
    <xf numFmtId="0" fontId="20" fillId="5" borderId="81" xfId="0" applyFont="1" applyFill="1" applyBorder="1" applyAlignment="1" applyProtection="1">
      <alignment horizontal="right" vertical="center"/>
      <protection locked="0"/>
    </xf>
    <xf numFmtId="0" fontId="19" fillId="5" borderId="82" xfId="0" applyFont="1" applyFill="1" applyBorder="1" applyProtection="1">
      <protection locked="0"/>
    </xf>
    <xf numFmtId="164" fontId="19" fillId="5" borderId="0" xfId="1" applyFont="1" applyFill="1" applyBorder="1" applyProtection="1">
      <protection locked="0"/>
    </xf>
    <xf numFmtId="164" fontId="19" fillId="5" borderId="0" xfId="0" applyNumberFormat="1" applyFont="1" applyFill="1" applyProtection="1">
      <protection locked="0"/>
    </xf>
    <xf numFmtId="164" fontId="19" fillId="5" borderId="83" xfId="0" applyNumberFormat="1" applyFont="1" applyFill="1" applyBorder="1" applyProtection="1">
      <protection locked="0"/>
    </xf>
    <xf numFmtId="0" fontId="20" fillId="5" borderId="82" xfId="0" applyFont="1" applyFill="1" applyBorder="1" applyProtection="1">
      <protection locked="0"/>
    </xf>
    <xf numFmtId="0" fontId="20" fillId="5" borderId="0" xfId="0" applyFont="1" applyFill="1" applyProtection="1">
      <protection locked="0"/>
    </xf>
    <xf numFmtId="164" fontId="20" fillId="5" borderId="84" xfId="0" applyNumberFormat="1" applyFont="1" applyFill="1" applyBorder="1" applyProtection="1">
      <protection locked="0"/>
    </xf>
    <xf numFmtId="164" fontId="20" fillId="5" borderId="85" xfId="0" applyNumberFormat="1" applyFont="1" applyFill="1" applyBorder="1" applyProtection="1">
      <protection locked="0"/>
    </xf>
    <xf numFmtId="0" fontId="19" fillId="5" borderId="86" xfId="0" applyFont="1" applyFill="1" applyBorder="1" applyProtection="1">
      <protection locked="0"/>
    </xf>
    <xf numFmtId="0" fontId="19" fillId="5" borderId="87" xfId="0" applyFont="1" applyFill="1" applyBorder="1" applyProtection="1">
      <protection locked="0"/>
    </xf>
    <xf numFmtId="0" fontId="19" fillId="5" borderId="88" xfId="0" applyFont="1" applyFill="1" applyBorder="1" applyProtection="1">
      <protection locked="0"/>
    </xf>
    <xf numFmtId="0" fontId="20" fillId="7" borderId="0" xfId="0" applyFont="1" applyFill="1" applyAlignment="1" applyProtection="1">
      <alignment horizontal="left"/>
      <protection locked="0"/>
    </xf>
    <xf numFmtId="15" fontId="41" fillId="0" borderId="0" xfId="0" applyNumberFormat="1" applyFont="1" applyAlignment="1" applyProtection="1">
      <alignment horizontal="left"/>
      <protection locked="0"/>
    </xf>
    <xf numFmtId="15" fontId="22" fillId="0" borderId="0" xfId="0" applyNumberFormat="1" applyFont="1" applyAlignment="1" applyProtection="1">
      <alignment horizontal="left"/>
      <protection locked="0"/>
    </xf>
    <xf numFmtId="164" fontId="19" fillId="5" borderId="0" xfId="1" applyFont="1" applyFill="1" applyProtection="1">
      <protection locked="0"/>
    </xf>
    <xf numFmtId="9" fontId="6" fillId="8" borderId="27" xfId="3" applyNumberFormat="1" applyFont="1" applyFill="1" applyBorder="1" applyAlignment="1" applyProtection="1">
      <alignment horizontal="center"/>
      <protection locked="0"/>
    </xf>
    <xf numFmtId="167" fontId="5" fillId="8" borderId="27" xfId="0" applyNumberFormat="1" applyFont="1" applyFill="1" applyBorder="1" applyAlignment="1" applyProtection="1">
      <alignment horizontal="center" vertical="center"/>
      <protection locked="0"/>
    </xf>
    <xf numFmtId="14" fontId="15" fillId="5" borderId="0" xfId="0" applyNumberFormat="1" applyFont="1" applyFill="1" applyProtection="1">
      <protection locked="0"/>
    </xf>
    <xf numFmtId="15" fontId="15" fillId="4" borderId="2" xfId="0" applyNumberFormat="1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wrapText="1"/>
    </xf>
    <xf numFmtId="167" fontId="6" fillId="4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5" borderId="0" xfId="0" applyNumberFormat="1" applyFont="1" applyFill="1" applyProtection="1"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7" fillId="6" borderId="16" xfId="0" applyFont="1" applyFill="1" applyBorder="1" applyAlignment="1" applyProtection="1">
      <alignment horizontal="center"/>
      <protection locked="0"/>
    </xf>
    <xf numFmtId="168" fontId="6" fillId="9" borderId="1" xfId="0" applyNumberFormat="1" applyFont="1" applyFill="1" applyBorder="1" applyAlignment="1" applyProtection="1">
      <alignment horizontal="center" vertical="center"/>
      <protection locked="0"/>
    </xf>
    <xf numFmtId="14" fontId="47" fillId="8" borderId="55" xfId="0" applyNumberFormat="1" applyFont="1" applyFill="1" applyBorder="1" applyAlignment="1" applyProtection="1">
      <alignment horizontal="center"/>
      <protection locked="0"/>
    </xf>
    <xf numFmtId="14" fontId="47" fillId="8" borderId="68" xfId="0" applyNumberFormat="1" applyFont="1" applyFill="1" applyBorder="1" applyAlignment="1" applyProtection="1">
      <alignment horizontal="center"/>
      <protection locked="0"/>
    </xf>
    <xf numFmtId="14" fontId="47" fillId="9" borderId="58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68" fontId="47" fillId="8" borderId="55" xfId="0" applyNumberFormat="1" applyFont="1" applyFill="1" applyBorder="1" applyAlignment="1" applyProtection="1">
      <alignment horizontal="center"/>
      <protection locked="0"/>
    </xf>
    <xf numFmtId="0" fontId="15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5" borderId="2" xfId="0" applyNumberFormat="1" applyFont="1" applyFill="1" applyBorder="1" applyProtection="1">
      <protection locked="0"/>
    </xf>
    <xf numFmtId="14" fontId="6" fillId="9" borderId="68" xfId="0" applyNumberFormat="1" applyFont="1" applyFill="1" applyBorder="1" applyAlignment="1" applyProtection="1">
      <alignment horizontal="center"/>
      <protection locked="0"/>
    </xf>
    <xf numFmtId="0" fontId="5" fillId="9" borderId="27" xfId="0" applyFont="1" applyFill="1" applyBorder="1" applyProtection="1">
      <protection locked="0"/>
    </xf>
    <xf numFmtId="168" fontId="5" fillId="9" borderId="27" xfId="0" applyNumberFormat="1" applyFont="1" applyFill="1" applyBorder="1" applyAlignment="1" applyProtection="1">
      <alignment horizontal="center"/>
      <protection locked="0"/>
    </xf>
    <xf numFmtId="0" fontId="20" fillId="5" borderId="2" xfId="0" applyFont="1" applyFill="1" applyBorder="1" applyProtection="1">
      <protection locked="0"/>
    </xf>
    <xf numFmtId="167" fontId="20" fillId="5" borderId="2" xfId="3" applyFont="1" applyFill="1" applyBorder="1" applyProtection="1">
      <protection locked="0"/>
    </xf>
    <xf numFmtId="14" fontId="47" fillId="11" borderId="58" xfId="0" applyNumberFormat="1" applyFont="1" applyFill="1" applyBorder="1" applyAlignment="1" applyProtection="1">
      <alignment horizontal="center"/>
      <protection locked="0"/>
    </xf>
    <xf numFmtId="0" fontId="49" fillId="0" borderId="0" xfId="0" applyFont="1" applyAlignment="1">
      <alignment vertical="center"/>
    </xf>
    <xf numFmtId="0" fontId="50" fillId="0" borderId="2" xfId="0" applyFont="1" applyBorder="1" applyAlignment="1">
      <alignment vertical="center"/>
    </xf>
    <xf numFmtId="0" fontId="51" fillId="0" borderId="2" xfId="0" applyFont="1" applyBorder="1"/>
    <xf numFmtId="0" fontId="50" fillId="0" borderId="2" xfId="0" applyFont="1" applyBorder="1" applyAlignment="1">
      <alignment vertical="center" wrapText="1"/>
    </xf>
    <xf numFmtId="0" fontId="53" fillId="0" borderId="2" xfId="0" applyFont="1" applyBorder="1" applyAlignment="1">
      <alignment vertical="center" wrapText="1"/>
    </xf>
    <xf numFmtId="15" fontId="50" fillId="0" borderId="2" xfId="0" applyNumberFormat="1" applyFont="1" applyBorder="1" applyAlignment="1">
      <alignment vertical="center" wrapText="1"/>
    </xf>
    <xf numFmtId="14" fontId="47" fillId="9" borderId="68" xfId="0" applyNumberFormat="1" applyFont="1" applyFill="1" applyBorder="1" applyAlignment="1" applyProtection="1">
      <alignment horizontal="center"/>
      <protection locked="0"/>
    </xf>
    <xf numFmtId="164" fontId="5" fillId="9" borderId="1" xfId="0" applyNumberFormat="1" applyFont="1" applyFill="1" applyBorder="1" applyAlignment="1" applyProtection="1">
      <alignment horizontal="center" vertical="center"/>
      <protection locked="0"/>
    </xf>
    <xf numFmtId="168" fontId="47" fillId="9" borderId="2" xfId="0" applyNumberFormat="1" applyFont="1" applyFill="1" applyBorder="1" applyAlignment="1" applyProtection="1">
      <alignment horizontal="center"/>
      <protection locked="0"/>
    </xf>
    <xf numFmtId="168" fontId="47" fillId="8" borderId="27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55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Protection="1">
      <protection locked="0"/>
    </xf>
    <xf numFmtId="168" fontId="5" fillId="8" borderId="67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>
      <alignment horizontal="center"/>
    </xf>
    <xf numFmtId="168" fontId="5" fillId="9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89" xfId="0" applyFont="1" applyFill="1" applyBorder="1" applyProtection="1">
      <protection locked="0"/>
    </xf>
    <xf numFmtId="0" fontId="15" fillId="9" borderId="90" xfId="0" applyFont="1" applyFill="1" applyBorder="1" applyAlignment="1" applyProtection="1">
      <alignment horizontal="center"/>
      <protection locked="0"/>
    </xf>
    <xf numFmtId="0" fontId="5" fillId="9" borderId="91" xfId="0" applyFont="1" applyFill="1" applyBorder="1" applyProtection="1">
      <protection locked="0"/>
    </xf>
    <xf numFmtId="0" fontId="5" fillId="9" borderId="91" xfId="0" applyFont="1" applyFill="1" applyBorder="1" applyAlignment="1" applyProtection="1">
      <alignment horizontal="center" vertical="center"/>
      <protection locked="0"/>
    </xf>
    <xf numFmtId="167" fontId="6" fillId="9" borderId="91" xfId="3" applyFont="1" applyFill="1" applyBorder="1" applyAlignment="1" applyProtection="1">
      <alignment horizontal="center"/>
      <protection locked="0"/>
    </xf>
    <xf numFmtId="168" fontId="5" fillId="9" borderId="91" xfId="0" applyNumberFormat="1" applyFont="1" applyFill="1" applyBorder="1" applyAlignment="1" applyProtection="1">
      <alignment horizontal="center"/>
      <protection locked="0"/>
    </xf>
    <xf numFmtId="0" fontId="5" fillId="9" borderId="92" xfId="0" applyFont="1" applyFill="1" applyBorder="1" applyAlignment="1" applyProtection="1">
      <alignment horizontal="center"/>
      <protection locked="0"/>
    </xf>
    <xf numFmtId="0" fontId="5" fillId="9" borderId="93" xfId="0" applyFont="1" applyFill="1" applyBorder="1" applyAlignment="1" applyProtection="1">
      <alignment horizontal="center"/>
      <protection locked="0"/>
    </xf>
    <xf numFmtId="14" fontId="5" fillId="9" borderId="94" xfId="0" applyNumberFormat="1" applyFont="1" applyFill="1" applyBorder="1" applyAlignment="1" applyProtection="1">
      <alignment horizontal="center"/>
      <protection locked="0"/>
    </xf>
    <xf numFmtId="0" fontId="5" fillId="9" borderId="95" xfId="0" applyFont="1" applyFill="1" applyBorder="1" applyAlignment="1" applyProtection="1">
      <alignment horizontal="center"/>
      <protection locked="0"/>
    </xf>
    <xf numFmtId="0" fontId="5" fillId="9" borderId="7" xfId="0" applyFont="1" applyFill="1" applyBorder="1" applyAlignment="1" applyProtection="1">
      <alignment horizontal="center"/>
      <protection locked="0"/>
    </xf>
    <xf numFmtId="168" fontId="47" fillId="9" borderId="94" xfId="0" applyNumberFormat="1" applyFont="1" applyFill="1" applyBorder="1" applyAlignment="1" applyProtection="1">
      <alignment horizontal="center"/>
      <protection locked="0"/>
    </xf>
    <xf numFmtId="168" fontId="47" fillId="9" borderId="14" xfId="0" applyNumberFormat="1" applyFont="1" applyFill="1" applyBorder="1" applyAlignment="1" applyProtection="1">
      <alignment horizontal="center"/>
      <protection locked="0"/>
    </xf>
    <xf numFmtId="168" fontId="47" fillId="9" borderId="55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0" fontId="26" fillId="5" borderId="2" xfId="0" applyFont="1" applyFill="1" applyBorder="1" applyAlignment="1" applyProtection="1">
      <alignment wrapText="1"/>
      <protection locked="0"/>
    </xf>
    <xf numFmtId="0" fontId="2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15" fontId="15" fillId="5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9" fontId="20" fillId="5" borderId="2" xfId="2" applyFont="1" applyFill="1" applyBorder="1" applyAlignment="1" applyProtection="1">
      <alignment horizontal="center" vertical="center"/>
      <protection locked="0"/>
    </xf>
    <xf numFmtId="0" fontId="26" fillId="5" borderId="2" xfId="0" applyFont="1" applyFill="1" applyBorder="1" applyAlignment="1" applyProtection="1">
      <alignment vertical="center" wrapText="1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5" borderId="0" xfId="0" applyFont="1" applyFill="1" applyAlignment="1" applyProtection="1">
      <alignment vertical="center"/>
      <protection locked="0"/>
    </xf>
    <xf numFmtId="10" fontId="6" fillId="9" borderId="2" xfId="2" applyNumberFormat="1" applyFont="1" applyFill="1" applyBorder="1" applyAlignment="1" applyProtection="1">
      <alignment horizontal="center"/>
      <protection locked="0"/>
    </xf>
    <xf numFmtId="14" fontId="5" fillId="9" borderId="65" xfId="0" applyNumberFormat="1" applyFont="1" applyFill="1" applyBorder="1" applyAlignment="1" applyProtection="1">
      <alignment horizontal="center"/>
      <protection locked="0"/>
    </xf>
    <xf numFmtId="14" fontId="47" fillId="8" borderId="58" xfId="0" applyNumberFormat="1" applyFont="1" applyFill="1" applyBorder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0" fontId="7" fillId="4" borderId="0" xfId="0" applyFont="1" applyFill="1" applyProtection="1">
      <protection locked="0"/>
    </xf>
    <xf numFmtId="44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71" xfId="0" applyFont="1" applyFill="1" applyBorder="1" applyAlignment="1" applyProtection="1">
      <alignment horizontal="center" wrapText="1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5" fillId="9" borderId="27" xfId="0" applyFont="1" applyFill="1" applyBorder="1" applyAlignment="1" applyProtection="1">
      <alignment horizontal="left"/>
      <protection locked="0"/>
    </xf>
    <xf numFmtId="0" fontId="54" fillId="5" borderId="0" xfId="0" applyFont="1" applyFill="1" applyProtection="1">
      <protection locked="0"/>
    </xf>
    <xf numFmtId="44" fontId="19" fillId="5" borderId="0" xfId="0" applyNumberFormat="1" applyFont="1" applyFill="1" applyProtection="1"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0" fontId="6" fillId="4" borderId="2" xfId="0" applyFont="1" applyFill="1" applyBorder="1"/>
    <xf numFmtId="0" fontId="6" fillId="8" borderId="96" xfId="0" applyFont="1" applyFill="1" applyBorder="1" applyProtection="1">
      <protection locked="0"/>
    </xf>
    <xf numFmtId="44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47" fillId="9" borderId="65" xfId="0" applyNumberFormat="1" applyFont="1" applyFill="1" applyBorder="1" applyAlignment="1" applyProtection="1">
      <alignment horizontal="center"/>
      <protection locked="0"/>
    </xf>
    <xf numFmtId="168" fontId="17" fillId="9" borderId="64" xfId="0" applyNumberFormat="1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 wrapText="1"/>
      <protection locked="0"/>
    </xf>
    <xf numFmtId="168" fontId="7" fillId="9" borderId="18" xfId="0" applyNumberFormat="1" applyFont="1" applyFill="1" applyBorder="1" applyAlignment="1" applyProtection="1">
      <alignment horizontal="center" vertical="center"/>
      <protection locked="0"/>
    </xf>
    <xf numFmtId="0" fontId="5" fillId="9" borderId="3" xfId="0" applyFont="1" applyFill="1" applyBorder="1" applyProtection="1">
      <protection locked="0"/>
    </xf>
    <xf numFmtId="0" fontId="29" fillId="9" borderId="3" xfId="0" applyFont="1" applyFill="1" applyBorder="1" applyProtection="1">
      <protection locked="0"/>
    </xf>
    <xf numFmtId="0" fontId="29" fillId="9" borderId="3" xfId="0" applyFont="1" applyFill="1" applyBorder="1" applyAlignment="1" applyProtection="1">
      <alignment horizontal="center" vertical="center"/>
      <protection locked="0"/>
    </xf>
    <xf numFmtId="14" fontId="9" fillId="9" borderId="97" xfId="0" applyNumberFormat="1" applyFont="1" applyFill="1" applyBorder="1" applyAlignment="1" applyProtection="1">
      <alignment horizontal="center"/>
      <protection locked="0"/>
    </xf>
    <xf numFmtId="0" fontId="17" fillId="14" borderId="22" xfId="0" applyFont="1" applyFill="1" applyBorder="1" applyProtection="1">
      <protection locked="0"/>
    </xf>
    <xf numFmtId="0" fontId="7" fillId="14" borderId="23" xfId="0" applyFont="1" applyFill="1" applyBorder="1" applyProtection="1">
      <protection locked="0"/>
    </xf>
    <xf numFmtId="0" fontId="5" fillId="9" borderId="98" xfId="0" applyFont="1" applyFill="1" applyBorder="1" applyProtection="1"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17" fillId="15" borderId="22" xfId="0" applyFont="1" applyFill="1" applyBorder="1" applyProtection="1">
      <protection locked="0"/>
    </xf>
    <xf numFmtId="0" fontId="7" fillId="15" borderId="23" xfId="0" applyFont="1" applyFill="1" applyBorder="1" applyProtection="1">
      <protection locked="0"/>
    </xf>
    <xf numFmtId="0" fontId="15" fillId="9" borderId="99" xfId="0" applyFont="1" applyFill="1" applyBorder="1" applyAlignment="1" applyProtection="1">
      <alignment horizontal="center"/>
      <protection locked="0"/>
    </xf>
    <xf numFmtId="0" fontId="5" fillId="9" borderId="96" xfId="0" applyFont="1" applyFill="1" applyBorder="1" applyProtection="1">
      <protection locked="0"/>
    </xf>
    <xf numFmtId="0" fontId="5" fillId="9" borderId="96" xfId="0" applyFont="1" applyFill="1" applyBorder="1" applyAlignment="1" applyProtection="1">
      <alignment horizontal="center" vertical="center"/>
      <protection locked="0"/>
    </xf>
    <xf numFmtId="167" fontId="6" fillId="9" borderId="96" xfId="3" applyFont="1" applyFill="1" applyBorder="1" applyAlignment="1" applyProtection="1">
      <alignment horizontal="center"/>
      <protection locked="0"/>
    </xf>
    <xf numFmtId="168" fontId="5" fillId="9" borderId="96" xfId="0" applyNumberFormat="1" applyFont="1" applyFill="1" applyBorder="1" applyAlignment="1" applyProtection="1">
      <alignment horizontal="center"/>
      <protection locked="0"/>
    </xf>
    <xf numFmtId="0" fontId="5" fillId="9" borderId="100" xfId="0" applyFont="1" applyFill="1" applyBorder="1" applyAlignment="1" applyProtection="1">
      <alignment horizontal="center"/>
      <protection locked="0"/>
    </xf>
    <xf numFmtId="0" fontId="5" fillId="9" borderId="101" xfId="0" applyFont="1" applyFill="1" applyBorder="1" applyAlignment="1" applyProtection="1">
      <alignment horizontal="center"/>
      <protection locked="0"/>
    </xf>
    <xf numFmtId="14" fontId="5" fillId="9" borderId="102" xfId="0" applyNumberFormat="1" applyFont="1" applyFill="1" applyBorder="1" applyAlignment="1" applyProtection="1">
      <alignment horizontal="center"/>
      <protection locked="0"/>
    </xf>
    <xf numFmtId="168" fontId="47" fillId="9" borderId="102" xfId="0" applyNumberFormat="1" applyFont="1" applyFill="1" applyBorder="1" applyAlignment="1" applyProtection="1">
      <alignment horizontal="center"/>
      <protection locked="0"/>
    </xf>
    <xf numFmtId="168" fontId="5" fillId="9" borderId="103" xfId="0" applyNumberFormat="1" applyFont="1" applyFill="1" applyBorder="1" applyAlignment="1" applyProtection="1">
      <alignment horizontal="center"/>
      <protection locked="0"/>
    </xf>
    <xf numFmtId="168" fontId="5" fillId="9" borderId="104" xfId="0" applyNumberFormat="1" applyFont="1" applyFill="1" applyBorder="1" applyAlignment="1" applyProtection="1">
      <alignment horizontal="center"/>
      <protection locked="0"/>
    </xf>
    <xf numFmtId="0" fontId="5" fillId="9" borderId="103" xfId="0" applyFont="1" applyFill="1" applyBorder="1" applyProtection="1">
      <protection locked="0"/>
    </xf>
    <xf numFmtId="1" fontId="5" fillId="9" borderId="1" xfId="0" applyNumberFormat="1" applyFont="1" applyFill="1" applyBorder="1" applyAlignment="1" applyProtection="1">
      <alignment horizontal="center" vertical="center"/>
      <protection locked="0"/>
    </xf>
    <xf numFmtId="14" fontId="5" fillId="9" borderId="14" xfId="0" applyNumberFormat="1" applyFont="1" applyFill="1" applyBorder="1" applyAlignment="1" applyProtection="1">
      <alignment horizontal="center"/>
      <protection locked="0"/>
    </xf>
    <xf numFmtId="0" fontId="47" fillId="11" borderId="27" xfId="0" applyFont="1" applyFill="1" applyBorder="1" applyAlignment="1" applyProtection="1">
      <alignment horizontal="left" vertical="center"/>
      <protection locked="0"/>
    </xf>
    <xf numFmtId="168" fontId="47" fillId="11" borderId="2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right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9" borderId="52" xfId="0" applyNumberFormat="1" applyFont="1" applyFill="1" applyBorder="1" applyAlignment="1" applyProtection="1">
      <alignment horizontal="center"/>
      <protection locked="0"/>
    </xf>
    <xf numFmtId="168" fontId="5" fillId="9" borderId="1" xfId="0" applyNumberFormat="1" applyFont="1" applyFill="1" applyBorder="1" applyProtection="1">
      <protection locked="0"/>
    </xf>
    <xf numFmtId="172" fontId="6" fillId="9" borderId="1" xfId="0" applyNumberFormat="1" applyFont="1" applyFill="1" applyBorder="1" applyProtection="1">
      <protection locked="0"/>
    </xf>
    <xf numFmtId="14" fontId="5" fillId="9" borderId="107" xfId="0" applyNumberFormat="1" applyFont="1" applyFill="1" applyBorder="1" applyAlignment="1" applyProtection="1">
      <alignment horizontal="center"/>
      <protection locked="0"/>
    </xf>
    <xf numFmtId="0" fontId="9" fillId="5" borderId="0" xfId="0" applyFont="1" applyFill="1" applyAlignment="1" applyProtection="1">
      <alignment horizontal="center"/>
      <protection locked="0"/>
    </xf>
    <xf numFmtId="14" fontId="47" fillId="11" borderId="55" xfId="0" applyNumberFormat="1" applyFont="1" applyFill="1" applyBorder="1" applyAlignment="1" applyProtection="1">
      <alignment horizontal="center"/>
      <protection locked="0"/>
    </xf>
    <xf numFmtId="168" fontId="47" fillId="11" borderId="5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Protection="1"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167" fontId="6" fillId="4" borderId="2" xfId="3" applyFont="1" applyFill="1" applyBorder="1" applyAlignment="1" applyProtection="1">
      <alignment horizontal="center"/>
      <protection locked="0"/>
    </xf>
    <xf numFmtId="168" fontId="5" fillId="4" borderId="2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4" fontId="56" fillId="0" borderId="0" xfId="0" applyNumberFormat="1" applyFont="1"/>
    <xf numFmtId="167" fontId="0" fillId="0" borderId="0" xfId="3" applyFont="1"/>
    <xf numFmtId="167" fontId="6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4" fontId="47" fillId="9" borderId="106" xfId="0" applyNumberFormat="1" applyFont="1" applyFill="1" applyBorder="1" applyAlignment="1" applyProtection="1">
      <alignment horizontal="center"/>
      <protection locked="0"/>
    </xf>
    <xf numFmtId="14" fontId="47" fillId="9" borderId="5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167" fontId="6" fillId="0" borderId="0" xfId="0" applyNumberFormat="1" applyFont="1" applyAlignment="1" applyProtection="1">
      <alignment horizontal="center"/>
      <protection locked="0"/>
    </xf>
    <xf numFmtId="0" fontId="15" fillId="8" borderId="41" xfId="0" applyFont="1" applyFill="1" applyBorder="1" applyAlignment="1" applyProtection="1">
      <alignment horizontal="center"/>
      <protection locked="0"/>
    </xf>
    <xf numFmtId="0" fontId="6" fillId="8" borderId="3" xfId="0" applyFont="1" applyFill="1" applyBorder="1" applyProtection="1">
      <protection locked="0"/>
    </xf>
    <xf numFmtId="0" fontId="6" fillId="8" borderId="3" xfId="0" applyFont="1" applyFill="1" applyBorder="1" applyAlignment="1" applyProtection="1">
      <alignment horizontal="center" vertical="center"/>
      <protection locked="0"/>
    </xf>
    <xf numFmtId="167" fontId="6" fillId="8" borderId="3" xfId="3" applyFont="1" applyFill="1" applyBorder="1" applyAlignment="1" applyProtection="1">
      <alignment horizontal="center"/>
      <protection locked="0"/>
    </xf>
    <xf numFmtId="168" fontId="5" fillId="8" borderId="3" xfId="0" applyNumberFormat="1" applyFont="1" applyFill="1" applyBorder="1" applyAlignment="1" applyProtection="1">
      <alignment horizontal="center"/>
      <protection locked="0"/>
    </xf>
    <xf numFmtId="168" fontId="47" fillId="8" borderId="52" xfId="0" applyNumberFormat="1" applyFont="1" applyFill="1" applyBorder="1" applyAlignment="1" applyProtection="1">
      <alignment horizontal="center"/>
      <protection locked="0"/>
    </xf>
    <xf numFmtId="0" fontId="5" fillId="8" borderId="96" xfId="0" applyFont="1" applyFill="1" applyBorder="1" applyAlignment="1" applyProtection="1">
      <alignment horizontal="center" vertical="center"/>
      <protection locked="0"/>
    </xf>
    <xf numFmtId="167" fontId="6" fillId="8" borderId="96" xfId="3" applyFont="1" applyFill="1" applyBorder="1" applyAlignment="1" applyProtection="1">
      <alignment horizontal="center"/>
      <protection locked="0"/>
    </xf>
    <xf numFmtId="168" fontId="5" fillId="8" borderId="96" xfId="0" applyNumberFormat="1" applyFont="1" applyFill="1" applyBorder="1" applyAlignment="1" applyProtection="1">
      <alignment horizontal="center"/>
      <protection locked="0"/>
    </xf>
    <xf numFmtId="168" fontId="7" fillId="9" borderId="5" xfId="0" applyNumberFormat="1" applyFont="1" applyFill="1" applyBorder="1" applyAlignment="1" applyProtection="1">
      <alignment horizontal="center" vertical="center"/>
      <protection locked="0"/>
    </xf>
    <xf numFmtId="168" fontId="7" fillId="9" borderId="0" xfId="0" applyNumberFormat="1" applyFont="1" applyFill="1" applyAlignment="1" applyProtection="1">
      <alignment horizontal="center" vertical="center"/>
      <protection locked="0"/>
    </xf>
    <xf numFmtId="168" fontId="7" fillId="9" borderId="8" xfId="0" applyNumberFormat="1" applyFont="1" applyFill="1" applyBorder="1" applyAlignment="1" applyProtection="1">
      <alignment horizontal="center" vertical="center"/>
      <protection locked="0"/>
    </xf>
    <xf numFmtId="168" fontId="5" fillId="9" borderId="13" xfId="0" applyNumberFormat="1" applyFont="1" applyFill="1" applyBorder="1" applyAlignment="1" applyProtection="1">
      <alignment horizontal="center" vertical="center"/>
      <protection locked="0"/>
    </xf>
    <xf numFmtId="168" fontId="5" fillId="9" borderId="18" xfId="0" applyNumberFormat="1" applyFont="1" applyFill="1" applyBorder="1" applyAlignment="1" applyProtection="1">
      <alignment horizontal="center" vertical="center"/>
      <protection locked="0"/>
    </xf>
    <xf numFmtId="168" fontId="5" fillId="9" borderId="14" xfId="0" applyNumberFormat="1" applyFont="1" applyFill="1" applyBorder="1" applyAlignment="1" applyProtection="1">
      <alignment horizontal="center" vertical="center"/>
      <protection locked="0"/>
    </xf>
    <xf numFmtId="0" fontId="5" fillId="8" borderId="76" xfId="0" applyFont="1" applyFill="1" applyBorder="1" applyAlignment="1" applyProtection="1">
      <alignment horizontal="center" vertical="center"/>
      <protection locked="0"/>
    </xf>
    <xf numFmtId="0" fontId="5" fillId="8" borderId="74" xfId="0" applyFont="1" applyFill="1" applyBorder="1" applyAlignment="1" applyProtection="1">
      <alignment horizontal="center" vertical="center"/>
      <protection locked="0"/>
    </xf>
    <xf numFmtId="0" fontId="5" fillId="8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9" borderId="76" xfId="0" applyFont="1" applyFill="1" applyBorder="1" applyAlignment="1" applyProtection="1">
      <alignment horizontal="center" vertical="center"/>
      <protection locked="0"/>
    </xf>
    <xf numFmtId="0" fontId="5" fillId="9" borderId="74" xfId="0" applyFont="1" applyFill="1" applyBorder="1" applyAlignment="1" applyProtection="1">
      <alignment horizontal="center" vertical="center"/>
      <protection locked="0"/>
    </xf>
    <xf numFmtId="0" fontId="5" fillId="9" borderId="75" xfId="0" applyFont="1" applyFill="1" applyBorder="1" applyAlignment="1" applyProtection="1">
      <alignment horizontal="center" vertical="center"/>
      <protection locked="0"/>
    </xf>
    <xf numFmtId="168" fontId="7" fillId="9" borderId="13" xfId="0" applyNumberFormat="1" applyFont="1" applyFill="1" applyBorder="1" applyAlignment="1" applyProtection="1">
      <alignment horizontal="center" vertical="center"/>
      <protection locked="0"/>
    </xf>
    <xf numFmtId="168" fontId="7" fillId="9" borderId="18" xfId="0" applyNumberFormat="1" applyFont="1" applyFill="1" applyBorder="1" applyAlignment="1" applyProtection="1">
      <alignment horizontal="center" vertical="center"/>
      <protection locked="0"/>
    </xf>
    <xf numFmtId="168" fontId="7" fillId="9" borderId="14" xfId="0" applyNumberFormat="1" applyFont="1" applyFill="1" applyBorder="1" applyAlignment="1" applyProtection="1">
      <alignment horizontal="center" vertical="center"/>
      <protection locked="0"/>
    </xf>
    <xf numFmtId="168" fontId="7" fillId="8" borderId="13" xfId="0" applyNumberFormat="1" applyFont="1" applyFill="1" applyBorder="1" applyAlignment="1" applyProtection="1">
      <alignment horizontal="center" vertical="center"/>
      <protection locked="0"/>
    </xf>
    <xf numFmtId="168" fontId="7" fillId="8" borderId="18" xfId="0" applyNumberFormat="1" applyFont="1" applyFill="1" applyBorder="1" applyAlignment="1" applyProtection="1">
      <alignment horizontal="center" vertical="center"/>
      <protection locked="0"/>
    </xf>
    <xf numFmtId="168" fontId="7" fillId="8" borderId="14" xfId="0" applyNumberFormat="1" applyFont="1" applyFill="1" applyBorder="1" applyAlignment="1" applyProtection="1">
      <alignment horizontal="center" vertical="center"/>
      <protection locked="0"/>
    </xf>
    <xf numFmtId="168" fontId="7" fillId="8" borderId="5" xfId="0" applyNumberFormat="1" applyFont="1" applyFill="1" applyBorder="1" applyAlignment="1" applyProtection="1">
      <alignment horizontal="center" vertical="center"/>
      <protection locked="0"/>
    </xf>
    <xf numFmtId="168" fontId="7" fillId="8" borderId="0" xfId="0" applyNumberFormat="1" applyFont="1" applyFill="1" applyAlignment="1" applyProtection="1">
      <alignment horizontal="center" vertical="center"/>
      <protection locked="0"/>
    </xf>
    <xf numFmtId="168" fontId="7" fillId="8" borderId="8" xfId="0" applyNumberFormat="1" applyFont="1" applyFill="1" applyBorder="1" applyAlignment="1" applyProtection="1">
      <alignment horizontal="center" vertical="center"/>
      <protection locked="0"/>
    </xf>
    <xf numFmtId="168" fontId="5" fillId="8" borderId="13" xfId="0" applyNumberFormat="1" applyFont="1" applyFill="1" applyBorder="1" applyAlignment="1" applyProtection="1">
      <alignment horizontal="center" vertical="center"/>
      <protection locked="0"/>
    </xf>
    <xf numFmtId="168" fontId="5" fillId="8" borderId="18" xfId="0" applyNumberFormat="1" applyFont="1" applyFill="1" applyBorder="1" applyAlignment="1" applyProtection="1">
      <alignment horizontal="center" vertical="center"/>
      <protection locked="0"/>
    </xf>
    <xf numFmtId="168" fontId="5" fillId="8" borderId="14" xfId="0" applyNumberFormat="1" applyFont="1" applyFill="1" applyBorder="1" applyAlignment="1" applyProtection="1">
      <alignment horizontal="center" vertical="center"/>
      <protection locked="0"/>
    </xf>
    <xf numFmtId="168" fontId="7" fillId="9" borderId="4" xfId="0" applyNumberFormat="1" applyFont="1" applyFill="1" applyBorder="1" applyAlignment="1" applyProtection="1">
      <alignment horizontal="center" vertical="center"/>
      <protection locked="0"/>
    </xf>
    <xf numFmtId="168" fontId="7" fillId="9" borderId="44" xfId="0" applyNumberFormat="1" applyFont="1" applyFill="1" applyBorder="1" applyAlignment="1" applyProtection="1">
      <alignment horizontal="center" vertical="center"/>
      <protection locked="0"/>
    </xf>
    <xf numFmtId="168" fontId="7" fillId="9" borderId="7" xfId="0" applyNumberFormat="1" applyFont="1" applyFill="1" applyBorder="1" applyAlignment="1" applyProtection="1">
      <alignment horizontal="center" vertical="center"/>
      <protection locked="0"/>
    </xf>
    <xf numFmtId="168" fontId="7" fillId="9" borderId="6" xfId="0" applyNumberFormat="1" applyFont="1" applyFill="1" applyBorder="1" applyAlignment="1" applyProtection="1">
      <alignment horizontal="center" vertical="center"/>
      <protection locked="0"/>
    </xf>
    <xf numFmtId="168" fontId="7" fillId="9" borderId="50" xfId="0" applyNumberFormat="1" applyFont="1" applyFill="1" applyBorder="1" applyAlignment="1" applyProtection="1">
      <alignment horizontal="center" vertical="center"/>
      <protection locked="0"/>
    </xf>
    <xf numFmtId="168" fontId="7" fillId="9" borderId="9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3" applyFont="1" applyFill="1" applyBorder="1" applyAlignment="1" applyProtection="1">
      <alignment horizontal="center" vertical="center"/>
      <protection locked="0"/>
    </xf>
    <xf numFmtId="167" fontId="5" fillId="11" borderId="18" xfId="3" applyFont="1" applyFill="1" applyBorder="1" applyAlignment="1" applyProtection="1">
      <alignment horizontal="center" vertical="center"/>
      <protection locked="0"/>
    </xf>
    <xf numFmtId="167" fontId="5" fillId="11" borderId="14" xfId="3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9" borderId="13" xfId="0" applyNumberFormat="1" applyFont="1" applyFill="1" applyBorder="1" applyAlignment="1" applyProtection="1">
      <alignment horizontal="left" vertical="center"/>
      <protection locked="0"/>
    </xf>
    <xf numFmtId="168" fontId="5" fillId="9" borderId="18" xfId="0" applyNumberFormat="1" applyFont="1" applyFill="1" applyBorder="1" applyAlignment="1" applyProtection="1">
      <alignment horizontal="left" vertical="center"/>
      <protection locked="0"/>
    </xf>
    <xf numFmtId="168" fontId="5" fillId="9" borderId="14" xfId="0" applyNumberFormat="1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9" borderId="73" xfId="0" applyFont="1" applyFill="1" applyBorder="1" applyAlignment="1" applyProtection="1">
      <alignment horizontal="center" vertical="center"/>
      <protection locked="0"/>
    </xf>
    <xf numFmtId="0" fontId="5" fillId="9" borderId="77" xfId="0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center"/>
      <protection locked="0"/>
    </xf>
    <xf numFmtId="0" fontId="7" fillId="6" borderId="16" xfId="0" applyFont="1" applyFill="1" applyBorder="1" applyAlignment="1" applyProtection="1">
      <alignment horizontal="center"/>
      <protection locked="0"/>
    </xf>
    <xf numFmtId="0" fontId="8" fillId="6" borderId="11" xfId="0" applyFont="1" applyFill="1" applyBorder="1" applyAlignment="1" applyProtection="1">
      <alignment horizontal="center"/>
      <protection locked="0"/>
    </xf>
    <xf numFmtId="0" fontId="8" fillId="6" borderId="16" xfId="0" applyFont="1" applyFill="1" applyBorder="1" applyAlignment="1" applyProtection="1">
      <alignment horizontal="center"/>
      <protection locked="0"/>
    </xf>
    <xf numFmtId="0" fontId="17" fillId="5" borderId="11" xfId="0" applyFont="1" applyFill="1" applyBorder="1" applyAlignment="1" applyProtection="1">
      <alignment horizontal="center" vertical="center"/>
      <protection locked="0"/>
    </xf>
    <xf numFmtId="0" fontId="17" fillId="5" borderId="16" xfId="0" applyFont="1" applyFill="1" applyBorder="1" applyAlignment="1" applyProtection="1">
      <alignment horizontal="center" vertical="center"/>
      <protection locked="0"/>
    </xf>
    <xf numFmtId="0" fontId="17" fillId="5" borderId="17" xfId="0" applyFont="1" applyFill="1" applyBorder="1" applyAlignment="1" applyProtection="1">
      <alignment horizontal="center" vertical="center"/>
      <protection locked="0"/>
    </xf>
    <xf numFmtId="168" fontId="7" fillId="9" borderId="105" xfId="0" applyNumberFormat="1" applyFont="1" applyFill="1" applyBorder="1" applyAlignment="1" applyProtection="1">
      <alignment horizontal="center" vertical="center"/>
      <protection locked="0"/>
    </xf>
    <xf numFmtId="168" fontId="7" fillId="9" borderId="57" xfId="0" applyNumberFormat="1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left"/>
      <protection locked="0"/>
    </xf>
    <xf numFmtId="0" fontId="19" fillId="0" borderId="15" xfId="0" applyFont="1" applyBorder="1" applyAlignment="1" applyProtection="1">
      <alignment horizontal="left"/>
      <protection locked="0"/>
    </xf>
    <xf numFmtId="9" fontId="45" fillId="5" borderId="2" xfId="0" applyNumberFormat="1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 applyProtection="1">
      <alignment horizontal="center" vertical="center"/>
      <protection locked="0"/>
    </xf>
    <xf numFmtId="0" fontId="7" fillId="5" borderId="78" xfId="0" applyFont="1" applyFill="1" applyBorder="1" applyAlignment="1" applyProtection="1">
      <alignment horizontal="center" vertical="center"/>
      <protection locked="0"/>
    </xf>
    <xf numFmtId="0" fontId="7" fillId="5" borderId="15" xfId="0" applyFont="1" applyFill="1" applyBorder="1" applyAlignment="1" applyProtection="1">
      <alignment horizontal="center" vertical="center"/>
      <protection locked="0"/>
    </xf>
    <xf numFmtId="0" fontId="36" fillId="7" borderId="19" xfId="0" applyFont="1" applyFill="1" applyBorder="1" applyAlignment="1" applyProtection="1">
      <alignment horizontal="left"/>
      <protection locked="0"/>
    </xf>
    <xf numFmtId="0" fontId="36" fillId="7" borderId="20" xfId="0" applyFont="1" applyFill="1" applyBorder="1" applyAlignment="1" applyProtection="1">
      <alignment horizontal="left"/>
      <protection locked="0"/>
    </xf>
    <xf numFmtId="0" fontId="36" fillId="7" borderId="21" xfId="0" applyFont="1" applyFill="1" applyBorder="1" applyAlignment="1" applyProtection="1">
      <alignment horizontal="left"/>
      <protection locked="0"/>
    </xf>
    <xf numFmtId="0" fontId="36" fillId="7" borderId="22" xfId="0" applyFont="1" applyFill="1" applyBorder="1" applyAlignment="1" applyProtection="1">
      <alignment horizontal="left"/>
      <protection locked="0"/>
    </xf>
    <xf numFmtId="0" fontId="36" fillId="7" borderId="0" xfId="0" applyFont="1" applyFill="1" applyAlignment="1" applyProtection="1">
      <alignment horizontal="left"/>
      <protection locked="0"/>
    </xf>
    <xf numFmtId="0" fontId="36" fillId="7" borderId="23" xfId="0" applyFont="1" applyFill="1" applyBorder="1" applyAlignment="1" applyProtection="1">
      <alignment horizontal="left"/>
      <protection locked="0"/>
    </xf>
    <xf numFmtId="169" fontId="36" fillId="7" borderId="24" xfId="0" applyNumberFormat="1" applyFont="1" applyFill="1" applyBorder="1" applyAlignment="1" applyProtection="1">
      <alignment horizontal="left" vertical="center"/>
      <protection locked="0"/>
    </xf>
    <xf numFmtId="169" fontId="36" fillId="7" borderId="25" xfId="0" applyNumberFormat="1" applyFont="1" applyFill="1" applyBorder="1" applyAlignment="1" applyProtection="1">
      <alignment horizontal="left" vertical="center"/>
      <protection locked="0"/>
    </xf>
    <xf numFmtId="169" fontId="36" fillId="7" borderId="26" xfId="0" applyNumberFormat="1" applyFont="1" applyFill="1" applyBorder="1" applyAlignment="1" applyProtection="1">
      <alignment horizontal="left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7" borderId="27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8" fillId="5" borderId="0" xfId="0" applyFont="1" applyFill="1" applyAlignment="1">
      <alignment horizontal="right"/>
    </xf>
    <xf numFmtId="0" fontId="37" fillId="2" borderId="46" xfId="0" applyFont="1" applyFill="1" applyBorder="1" applyAlignment="1">
      <alignment horizontal="center" vertical="center" textRotation="90"/>
    </xf>
    <xf numFmtId="0" fontId="37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0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2" fillId="0" borderId="0" xfId="0" applyFont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46160</c:v>
                </c:pt>
                <c:pt idx="1">
                  <c:v>46160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43671848.026446089</c:v>
                </c:pt>
                <c:pt idx="56">
                  <c:v>43671848.026446089</c:v>
                </c:pt>
                <c:pt idx="57">
                  <c:v>43818981.506446086</c:v>
                </c:pt>
                <c:pt idx="58">
                  <c:v>43890516.846446089</c:v>
                </c:pt>
                <c:pt idx="59">
                  <c:v>44015732.456446089</c:v>
                </c:pt>
                <c:pt idx="60">
                  <c:v>44015732.456446089</c:v>
                </c:pt>
                <c:pt idx="61">
                  <c:v>44120716.123112753</c:v>
                </c:pt>
                <c:pt idx="62">
                  <c:v>44552038.073112756</c:v>
                </c:pt>
                <c:pt idx="63">
                  <c:v>44552038.073112756</c:v>
                </c:pt>
                <c:pt idx="64">
                  <c:v>44752038.073112756</c:v>
                </c:pt>
                <c:pt idx="65">
                  <c:v>44907195.160069279</c:v>
                </c:pt>
                <c:pt idx="66">
                  <c:v>45481835.160069279</c:v>
                </c:pt>
                <c:pt idx="67">
                  <c:v>45580121.676735945</c:v>
                </c:pt>
                <c:pt idx="68">
                  <c:v>45580121.676735945</c:v>
                </c:pt>
                <c:pt idx="69">
                  <c:v>45795848.269779421</c:v>
                </c:pt>
                <c:pt idx="70">
                  <c:v>46400675.126446091</c:v>
                </c:pt>
                <c:pt idx="71">
                  <c:v>46401375.126446091</c:v>
                </c:pt>
                <c:pt idx="72">
                  <c:v>46401375.126446091</c:v>
                </c:pt>
                <c:pt idx="73">
                  <c:v>46401375.126446091</c:v>
                </c:pt>
                <c:pt idx="74">
                  <c:v>46401375.126446091</c:v>
                </c:pt>
                <c:pt idx="75">
                  <c:v>46739637.273112759</c:v>
                </c:pt>
                <c:pt idx="76">
                  <c:v>46740337.273112759</c:v>
                </c:pt>
                <c:pt idx="77">
                  <c:v>46740337.273112759</c:v>
                </c:pt>
                <c:pt idx="78">
                  <c:v>46740337.273112759</c:v>
                </c:pt>
                <c:pt idx="79">
                  <c:v>47344582.939779423</c:v>
                </c:pt>
                <c:pt idx="80">
                  <c:v>47345282.939779423</c:v>
                </c:pt>
                <c:pt idx="81">
                  <c:v>47345282.939779423</c:v>
                </c:pt>
                <c:pt idx="82">
                  <c:v>47345282.939779423</c:v>
                </c:pt>
                <c:pt idx="83">
                  <c:v>47345282.939779423</c:v>
                </c:pt>
                <c:pt idx="84">
                  <c:v>47427423.606446087</c:v>
                </c:pt>
                <c:pt idx="85">
                  <c:v>47499319.206446089</c:v>
                </c:pt>
                <c:pt idx="86">
                  <c:v>47499319.206446089</c:v>
                </c:pt>
                <c:pt idx="87">
                  <c:v>47499319.206446089</c:v>
                </c:pt>
                <c:pt idx="88">
                  <c:v>47581459.873112753</c:v>
                </c:pt>
                <c:pt idx="89">
                  <c:v>47581459.873112753</c:v>
                </c:pt>
                <c:pt idx="90">
                  <c:v>47581459.873112753</c:v>
                </c:pt>
                <c:pt idx="91">
                  <c:v>47581459.873112753</c:v>
                </c:pt>
                <c:pt idx="92">
                  <c:v>47663600.539779417</c:v>
                </c:pt>
                <c:pt idx="93">
                  <c:v>47663600.539779417</c:v>
                </c:pt>
                <c:pt idx="94">
                  <c:v>47663600.539779417</c:v>
                </c:pt>
                <c:pt idx="95">
                  <c:v>47663600.539779417</c:v>
                </c:pt>
                <c:pt idx="96">
                  <c:v>47663600.539779417</c:v>
                </c:pt>
                <c:pt idx="97">
                  <c:v>48045741.206446081</c:v>
                </c:pt>
                <c:pt idx="98">
                  <c:v>48045741.206446081</c:v>
                </c:pt>
                <c:pt idx="99">
                  <c:v>48045741.206446081</c:v>
                </c:pt>
                <c:pt idx="100">
                  <c:v>48045741.206446081</c:v>
                </c:pt>
                <c:pt idx="101">
                  <c:v>48127881.873112746</c:v>
                </c:pt>
                <c:pt idx="102">
                  <c:v>48127881.873112746</c:v>
                </c:pt>
                <c:pt idx="103">
                  <c:v>48127881.873112746</c:v>
                </c:pt>
                <c:pt idx="104">
                  <c:v>48127881.873112746</c:v>
                </c:pt>
                <c:pt idx="105">
                  <c:v>48210022.53977941</c:v>
                </c:pt>
                <c:pt idx="106">
                  <c:v>48210022.53977941</c:v>
                </c:pt>
                <c:pt idx="107">
                  <c:v>48210022.53977941</c:v>
                </c:pt>
                <c:pt idx="108">
                  <c:v>48210022.53977941</c:v>
                </c:pt>
                <c:pt idx="109">
                  <c:v>48292163.206446074</c:v>
                </c:pt>
                <c:pt idx="110">
                  <c:v>48292163.206446074</c:v>
                </c:pt>
                <c:pt idx="111">
                  <c:v>48292163.206446074</c:v>
                </c:pt>
                <c:pt idx="112">
                  <c:v>48292163.206446074</c:v>
                </c:pt>
                <c:pt idx="113">
                  <c:v>48292163.206446074</c:v>
                </c:pt>
                <c:pt idx="114">
                  <c:v>48292163.206446074</c:v>
                </c:pt>
                <c:pt idx="115">
                  <c:v>48292163.206446074</c:v>
                </c:pt>
                <c:pt idx="116">
                  <c:v>48292163.206446074</c:v>
                </c:pt>
                <c:pt idx="117">
                  <c:v>48292163.206446074</c:v>
                </c:pt>
                <c:pt idx="118">
                  <c:v>48292163.206446074</c:v>
                </c:pt>
                <c:pt idx="119">
                  <c:v>48292163.206446074</c:v>
                </c:pt>
                <c:pt idx="120">
                  <c:v>48292163.206446074</c:v>
                </c:pt>
                <c:pt idx="121">
                  <c:v>48292163.206446074</c:v>
                </c:pt>
                <c:pt idx="122">
                  <c:v>48292163.206446074</c:v>
                </c:pt>
                <c:pt idx="123">
                  <c:v>48292163.206446074</c:v>
                </c:pt>
                <c:pt idx="124">
                  <c:v>48292163.206446074</c:v>
                </c:pt>
                <c:pt idx="125">
                  <c:v>48292163.206446074</c:v>
                </c:pt>
                <c:pt idx="126">
                  <c:v>48292163.206446074</c:v>
                </c:pt>
                <c:pt idx="127">
                  <c:v>48292163.206446074</c:v>
                </c:pt>
                <c:pt idx="128">
                  <c:v>48292163.206446074</c:v>
                </c:pt>
                <c:pt idx="129">
                  <c:v>48292163.206446074</c:v>
                </c:pt>
                <c:pt idx="130">
                  <c:v>48292163.206446074</c:v>
                </c:pt>
                <c:pt idx="131">
                  <c:v>48292163.206446074</c:v>
                </c:pt>
                <c:pt idx="132">
                  <c:v>48292163.206446074</c:v>
                </c:pt>
                <c:pt idx="133">
                  <c:v>48292163.206446074</c:v>
                </c:pt>
                <c:pt idx="134">
                  <c:v>48292163.206446074</c:v>
                </c:pt>
                <c:pt idx="135">
                  <c:v>48292163.206446074</c:v>
                </c:pt>
                <c:pt idx="136">
                  <c:v>48292163.206446074</c:v>
                </c:pt>
                <c:pt idx="137">
                  <c:v>48292163.206446074</c:v>
                </c:pt>
                <c:pt idx="138">
                  <c:v>48292163.206446074</c:v>
                </c:pt>
                <c:pt idx="139">
                  <c:v>48292163.206446074</c:v>
                </c:pt>
                <c:pt idx="140">
                  <c:v>48292163.206446074</c:v>
                </c:pt>
                <c:pt idx="141">
                  <c:v>48292163.206446074</c:v>
                </c:pt>
                <c:pt idx="142">
                  <c:v>48292163.206446074</c:v>
                </c:pt>
                <c:pt idx="143">
                  <c:v>48292163.206446074</c:v>
                </c:pt>
                <c:pt idx="144">
                  <c:v>48292163.206446074</c:v>
                </c:pt>
                <c:pt idx="145">
                  <c:v>48292163.206446074</c:v>
                </c:pt>
                <c:pt idx="146">
                  <c:v>48292163.206446074</c:v>
                </c:pt>
                <c:pt idx="147">
                  <c:v>48292163.206446074</c:v>
                </c:pt>
                <c:pt idx="148">
                  <c:v>48292163.206446074</c:v>
                </c:pt>
                <c:pt idx="149">
                  <c:v>48292163.206446074</c:v>
                </c:pt>
                <c:pt idx="150">
                  <c:v>48292163.206446074</c:v>
                </c:pt>
                <c:pt idx="151">
                  <c:v>48292163.206446074</c:v>
                </c:pt>
                <c:pt idx="152">
                  <c:v>48292163.206446074</c:v>
                </c:pt>
                <c:pt idx="153">
                  <c:v>48292163.206446074</c:v>
                </c:pt>
                <c:pt idx="154">
                  <c:v>48292163.206446074</c:v>
                </c:pt>
                <c:pt idx="155">
                  <c:v>48292163.206446074</c:v>
                </c:pt>
                <c:pt idx="156">
                  <c:v>48292163.206446074</c:v>
                </c:pt>
                <c:pt idx="157">
                  <c:v>48292163.206446074</c:v>
                </c:pt>
                <c:pt idx="158">
                  <c:v>48292163.206446074</c:v>
                </c:pt>
                <c:pt idx="159">
                  <c:v>48292163.206446074</c:v>
                </c:pt>
                <c:pt idx="160">
                  <c:v>48292163.206446074</c:v>
                </c:pt>
                <c:pt idx="161">
                  <c:v>48292163.206446074</c:v>
                </c:pt>
                <c:pt idx="162">
                  <c:v>48292163.206446074</c:v>
                </c:pt>
                <c:pt idx="163">
                  <c:v>48292163.206446074</c:v>
                </c:pt>
                <c:pt idx="164">
                  <c:v>48292163.206446074</c:v>
                </c:pt>
                <c:pt idx="165">
                  <c:v>48292163.206446074</c:v>
                </c:pt>
                <c:pt idx="166">
                  <c:v>48292163.206446074</c:v>
                </c:pt>
                <c:pt idx="167">
                  <c:v>48292163.206446074</c:v>
                </c:pt>
                <c:pt idx="168">
                  <c:v>48292163.206446074</c:v>
                </c:pt>
                <c:pt idx="169">
                  <c:v>48292163.206446074</c:v>
                </c:pt>
                <c:pt idx="170">
                  <c:v>48292163.206446074</c:v>
                </c:pt>
                <c:pt idx="171">
                  <c:v>48292163.206446074</c:v>
                </c:pt>
                <c:pt idx="172">
                  <c:v>48292163.206446074</c:v>
                </c:pt>
                <c:pt idx="173">
                  <c:v>48292163.206446074</c:v>
                </c:pt>
                <c:pt idx="174">
                  <c:v>48292163.206446074</c:v>
                </c:pt>
                <c:pt idx="175">
                  <c:v>48292163.206446074</c:v>
                </c:pt>
                <c:pt idx="176">
                  <c:v>48292163.206446074</c:v>
                </c:pt>
                <c:pt idx="177">
                  <c:v>48292163.206446074</c:v>
                </c:pt>
                <c:pt idx="178">
                  <c:v>48292163.206446074</c:v>
                </c:pt>
                <c:pt idx="179">
                  <c:v>48292163.206446074</c:v>
                </c:pt>
                <c:pt idx="180">
                  <c:v>48292163.206446074</c:v>
                </c:pt>
                <c:pt idx="181">
                  <c:v>48292163.206446074</c:v>
                </c:pt>
                <c:pt idx="182">
                  <c:v>48292163.206446074</c:v>
                </c:pt>
                <c:pt idx="183">
                  <c:v>48292163.206446074</c:v>
                </c:pt>
                <c:pt idx="184">
                  <c:v>48292163.206446074</c:v>
                </c:pt>
                <c:pt idx="185">
                  <c:v>48292163.206446074</c:v>
                </c:pt>
                <c:pt idx="186">
                  <c:v>48292163.206446074</c:v>
                </c:pt>
                <c:pt idx="187">
                  <c:v>48292163.206446074</c:v>
                </c:pt>
                <c:pt idx="188">
                  <c:v>48292163.206446074</c:v>
                </c:pt>
                <c:pt idx="189">
                  <c:v>48292163.206446074</c:v>
                </c:pt>
                <c:pt idx="190">
                  <c:v>48292163.206446074</c:v>
                </c:pt>
                <c:pt idx="191">
                  <c:v>48292163.206446074</c:v>
                </c:pt>
                <c:pt idx="192">
                  <c:v>48292163.206446074</c:v>
                </c:pt>
                <c:pt idx="193">
                  <c:v>48292163.206446074</c:v>
                </c:pt>
                <c:pt idx="194">
                  <c:v>48292163.206446074</c:v>
                </c:pt>
                <c:pt idx="195">
                  <c:v>48292163.206446074</c:v>
                </c:pt>
                <c:pt idx="196">
                  <c:v>48292163.206446074</c:v>
                </c:pt>
                <c:pt idx="197">
                  <c:v>48292163.206446074</c:v>
                </c:pt>
                <c:pt idx="198">
                  <c:v>48292163.206446074</c:v>
                </c:pt>
                <c:pt idx="199">
                  <c:v>48292163.206446074</c:v>
                </c:pt>
                <c:pt idx="200">
                  <c:v>48292163.206446074</c:v>
                </c:pt>
                <c:pt idx="201">
                  <c:v>48292163.206446074</c:v>
                </c:pt>
                <c:pt idx="202">
                  <c:v>48292163.206446074</c:v>
                </c:pt>
                <c:pt idx="203">
                  <c:v>48292163.206446074</c:v>
                </c:pt>
                <c:pt idx="204">
                  <c:v>48292163.206446074</c:v>
                </c:pt>
                <c:pt idx="205">
                  <c:v>48292163.206446074</c:v>
                </c:pt>
                <c:pt idx="206">
                  <c:v>48292163.206446074</c:v>
                </c:pt>
                <c:pt idx="207">
                  <c:v>48292163.206446074</c:v>
                </c:pt>
                <c:pt idx="208">
                  <c:v>48292163.206446074</c:v>
                </c:pt>
                <c:pt idx="209">
                  <c:v>48292163.206446074</c:v>
                </c:pt>
                <c:pt idx="210">
                  <c:v>48292163.206446074</c:v>
                </c:pt>
                <c:pt idx="211">
                  <c:v>48292163.206446074</c:v>
                </c:pt>
                <c:pt idx="212">
                  <c:v>48292163.206446074</c:v>
                </c:pt>
                <c:pt idx="213">
                  <c:v>48292163.206446074</c:v>
                </c:pt>
                <c:pt idx="214">
                  <c:v>48292163.206446074</c:v>
                </c:pt>
                <c:pt idx="215">
                  <c:v>48292163.206446074</c:v>
                </c:pt>
                <c:pt idx="216">
                  <c:v>48292163.206446074</c:v>
                </c:pt>
                <c:pt idx="217">
                  <c:v>48292163.206446074</c:v>
                </c:pt>
                <c:pt idx="218">
                  <c:v>48292163.206446074</c:v>
                </c:pt>
                <c:pt idx="219">
                  <c:v>48292163.206446074</c:v>
                </c:pt>
                <c:pt idx="220">
                  <c:v>48292163.206446074</c:v>
                </c:pt>
                <c:pt idx="221">
                  <c:v>48292163.206446074</c:v>
                </c:pt>
                <c:pt idx="222">
                  <c:v>48292163.206446074</c:v>
                </c:pt>
                <c:pt idx="223">
                  <c:v>48292163.206446074</c:v>
                </c:pt>
                <c:pt idx="224">
                  <c:v>48292163.206446074</c:v>
                </c:pt>
                <c:pt idx="225">
                  <c:v>48292163.206446074</c:v>
                </c:pt>
                <c:pt idx="226">
                  <c:v>48292163.206446074</c:v>
                </c:pt>
                <c:pt idx="227">
                  <c:v>48292163.206446074</c:v>
                </c:pt>
                <c:pt idx="228">
                  <c:v>48292163.206446074</c:v>
                </c:pt>
                <c:pt idx="229">
                  <c:v>48292163.206446074</c:v>
                </c:pt>
                <c:pt idx="230">
                  <c:v>48292163.206446074</c:v>
                </c:pt>
                <c:pt idx="231">
                  <c:v>48292163.206446074</c:v>
                </c:pt>
                <c:pt idx="232">
                  <c:v>48292163.206446074</c:v>
                </c:pt>
                <c:pt idx="233">
                  <c:v>48292163.206446074</c:v>
                </c:pt>
                <c:pt idx="234">
                  <c:v>48292163.206446074</c:v>
                </c:pt>
                <c:pt idx="235">
                  <c:v>48292163.206446074</c:v>
                </c:pt>
                <c:pt idx="236">
                  <c:v>48292163.206446074</c:v>
                </c:pt>
                <c:pt idx="237">
                  <c:v>48292163.206446074</c:v>
                </c:pt>
                <c:pt idx="238">
                  <c:v>48292163.206446074</c:v>
                </c:pt>
                <c:pt idx="239">
                  <c:v>48292163.206446074</c:v>
                </c:pt>
                <c:pt idx="240">
                  <c:v>48292163.206446074</c:v>
                </c:pt>
                <c:pt idx="241">
                  <c:v>48292163.206446074</c:v>
                </c:pt>
                <c:pt idx="242">
                  <c:v>48292163.206446074</c:v>
                </c:pt>
                <c:pt idx="243">
                  <c:v>48292163.206446074</c:v>
                </c:pt>
                <c:pt idx="244">
                  <c:v>48292163.206446074</c:v>
                </c:pt>
                <c:pt idx="245">
                  <c:v>48292163.206446074</c:v>
                </c:pt>
                <c:pt idx="246">
                  <c:v>48292163.206446074</c:v>
                </c:pt>
                <c:pt idx="247">
                  <c:v>48292163.206446074</c:v>
                </c:pt>
                <c:pt idx="248">
                  <c:v>48292163.206446074</c:v>
                </c:pt>
                <c:pt idx="249">
                  <c:v>48292163.206446074</c:v>
                </c:pt>
                <c:pt idx="250">
                  <c:v>48292163.206446074</c:v>
                </c:pt>
                <c:pt idx="251">
                  <c:v>48292163.206446074</c:v>
                </c:pt>
                <c:pt idx="252">
                  <c:v>48292163.206446074</c:v>
                </c:pt>
                <c:pt idx="253">
                  <c:v>48292163.206446074</c:v>
                </c:pt>
                <c:pt idx="254">
                  <c:v>48292163.206446074</c:v>
                </c:pt>
                <c:pt idx="255">
                  <c:v>48292163.206446074</c:v>
                </c:pt>
                <c:pt idx="256">
                  <c:v>48292163.206446074</c:v>
                </c:pt>
                <c:pt idx="257">
                  <c:v>48292163.206446074</c:v>
                </c:pt>
                <c:pt idx="258">
                  <c:v>48292163.206446074</c:v>
                </c:pt>
                <c:pt idx="259">
                  <c:v>48292163.206446074</c:v>
                </c:pt>
                <c:pt idx="260">
                  <c:v>48292163.206446074</c:v>
                </c:pt>
                <c:pt idx="261">
                  <c:v>48292163.206446074</c:v>
                </c:pt>
                <c:pt idx="262">
                  <c:v>48292163.206446074</c:v>
                </c:pt>
                <c:pt idx="263">
                  <c:v>48292163.206446074</c:v>
                </c:pt>
                <c:pt idx="264">
                  <c:v>48292163.206446074</c:v>
                </c:pt>
                <c:pt idx="265">
                  <c:v>48292163.206446074</c:v>
                </c:pt>
                <c:pt idx="266">
                  <c:v>48292163.206446074</c:v>
                </c:pt>
                <c:pt idx="267">
                  <c:v>48292163.206446074</c:v>
                </c:pt>
                <c:pt idx="268">
                  <c:v>48292163.206446074</c:v>
                </c:pt>
                <c:pt idx="269">
                  <c:v>48292163.206446074</c:v>
                </c:pt>
                <c:pt idx="270">
                  <c:v>48292163.206446074</c:v>
                </c:pt>
                <c:pt idx="271">
                  <c:v>48292163.206446074</c:v>
                </c:pt>
                <c:pt idx="272">
                  <c:v>48292163.206446074</c:v>
                </c:pt>
                <c:pt idx="273">
                  <c:v>48292163.206446074</c:v>
                </c:pt>
                <c:pt idx="274">
                  <c:v>48292163.206446074</c:v>
                </c:pt>
                <c:pt idx="275">
                  <c:v>48292163.206446074</c:v>
                </c:pt>
                <c:pt idx="276">
                  <c:v>48292163.206446074</c:v>
                </c:pt>
                <c:pt idx="277">
                  <c:v>48292163.206446074</c:v>
                </c:pt>
                <c:pt idx="278">
                  <c:v>48292163.206446074</c:v>
                </c:pt>
                <c:pt idx="279">
                  <c:v>48292163.206446074</c:v>
                </c:pt>
                <c:pt idx="280">
                  <c:v>48292163.206446074</c:v>
                </c:pt>
                <c:pt idx="281">
                  <c:v>48292163.206446074</c:v>
                </c:pt>
                <c:pt idx="282">
                  <c:v>48292163.206446074</c:v>
                </c:pt>
                <c:pt idx="283">
                  <c:v>48292163.206446074</c:v>
                </c:pt>
                <c:pt idx="284">
                  <c:v>48292163.206446074</c:v>
                </c:pt>
                <c:pt idx="285">
                  <c:v>48292163.206446074</c:v>
                </c:pt>
                <c:pt idx="286">
                  <c:v>48292163.206446074</c:v>
                </c:pt>
                <c:pt idx="287">
                  <c:v>48292163.206446074</c:v>
                </c:pt>
                <c:pt idx="288">
                  <c:v>48292163.206446074</c:v>
                </c:pt>
                <c:pt idx="289">
                  <c:v>48292163.206446074</c:v>
                </c:pt>
                <c:pt idx="290">
                  <c:v>48292163.206446074</c:v>
                </c:pt>
                <c:pt idx="291">
                  <c:v>48292163.206446074</c:v>
                </c:pt>
                <c:pt idx="292">
                  <c:v>48292163.206446074</c:v>
                </c:pt>
                <c:pt idx="293">
                  <c:v>48292163.206446074</c:v>
                </c:pt>
                <c:pt idx="294">
                  <c:v>48292163.206446074</c:v>
                </c:pt>
                <c:pt idx="295">
                  <c:v>48292163.206446074</c:v>
                </c:pt>
                <c:pt idx="296">
                  <c:v>48292163.206446074</c:v>
                </c:pt>
                <c:pt idx="297">
                  <c:v>48292163.206446074</c:v>
                </c:pt>
                <c:pt idx="298">
                  <c:v>48292163.206446074</c:v>
                </c:pt>
                <c:pt idx="299">
                  <c:v>48292163.206446074</c:v>
                </c:pt>
                <c:pt idx="300">
                  <c:v>48292163.206446074</c:v>
                </c:pt>
                <c:pt idx="301">
                  <c:v>48292163.206446074</c:v>
                </c:pt>
                <c:pt idx="302">
                  <c:v>48292163.206446074</c:v>
                </c:pt>
                <c:pt idx="303">
                  <c:v>48292163.206446074</c:v>
                </c:pt>
                <c:pt idx="304">
                  <c:v>48292163.206446074</c:v>
                </c:pt>
                <c:pt idx="305">
                  <c:v>48292163.206446074</c:v>
                </c:pt>
                <c:pt idx="306">
                  <c:v>48292163.206446074</c:v>
                </c:pt>
                <c:pt idx="307">
                  <c:v>48292163.206446074</c:v>
                </c:pt>
                <c:pt idx="308">
                  <c:v>48292163.206446074</c:v>
                </c:pt>
                <c:pt idx="309">
                  <c:v>48292163.206446074</c:v>
                </c:pt>
                <c:pt idx="310">
                  <c:v>48292163.206446074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13323401.973553911</c:v>
                </c:pt>
                <c:pt idx="56">
                  <c:v>13323401.973553911</c:v>
                </c:pt>
                <c:pt idx="57">
                  <c:v>13176268.493553914</c:v>
                </c:pt>
                <c:pt idx="58">
                  <c:v>13104733.153553911</c:v>
                </c:pt>
                <c:pt idx="59">
                  <c:v>12979517.543553911</c:v>
                </c:pt>
                <c:pt idx="60">
                  <c:v>12979517.543553911</c:v>
                </c:pt>
                <c:pt idx="61">
                  <c:v>15874283.876887247</c:v>
                </c:pt>
                <c:pt idx="62">
                  <c:v>15442961.926887244</c:v>
                </c:pt>
                <c:pt idx="63">
                  <c:v>15442961.926887244</c:v>
                </c:pt>
                <c:pt idx="64">
                  <c:v>15242961.926887244</c:v>
                </c:pt>
                <c:pt idx="65">
                  <c:v>15087804.839930721</c:v>
                </c:pt>
                <c:pt idx="66">
                  <c:v>14513164.839930721</c:v>
                </c:pt>
                <c:pt idx="67">
                  <c:v>14414878.323264055</c:v>
                </c:pt>
                <c:pt idx="68">
                  <c:v>14414878.323264055</c:v>
                </c:pt>
                <c:pt idx="69">
                  <c:v>14199151.730220579</c:v>
                </c:pt>
                <c:pt idx="70">
                  <c:v>13594324.873553909</c:v>
                </c:pt>
                <c:pt idx="71">
                  <c:v>13593624.873553909</c:v>
                </c:pt>
                <c:pt idx="72">
                  <c:v>13593624.873553909</c:v>
                </c:pt>
                <c:pt idx="73">
                  <c:v>13593624.873553909</c:v>
                </c:pt>
                <c:pt idx="74">
                  <c:v>13593624.873553909</c:v>
                </c:pt>
                <c:pt idx="75">
                  <c:v>13255362.726887241</c:v>
                </c:pt>
                <c:pt idx="76">
                  <c:v>13254662.726887241</c:v>
                </c:pt>
                <c:pt idx="77">
                  <c:v>13254662.726887241</c:v>
                </c:pt>
                <c:pt idx="78">
                  <c:v>13254662.726887241</c:v>
                </c:pt>
                <c:pt idx="79">
                  <c:v>12650417.060220577</c:v>
                </c:pt>
                <c:pt idx="80">
                  <c:v>12649717.060220577</c:v>
                </c:pt>
                <c:pt idx="81">
                  <c:v>12649717.060220577</c:v>
                </c:pt>
                <c:pt idx="82">
                  <c:v>12649717.060220577</c:v>
                </c:pt>
                <c:pt idx="83">
                  <c:v>12649717.060220577</c:v>
                </c:pt>
                <c:pt idx="84">
                  <c:v>12567576.393553913</c:v>
                </c:pt>
                <c:pt idx="85">
                  <c:v>12495680.793553911</c:v>
                </c:pt>
                <c:pt idx="86">
                  <c:v>12495680.793553911</c:v>
                </c:pt>
                <c:pt idx="87">
                  <c:v>12495680.793553911</c:v>
                </c:pt>
                <c:pt idx="88">
                  <c:v>12413540.126887247</c:v>
                </c:pt>
                <c:pt idx="89">
                  <c:v>12413540.126887247</c:v>
                </c:pt>
                <c:pt idx="90">
                  <c:v>12413540.126887247</c:v>
                </c:pt>
                <c:pt idx="91">
                  <c:v>12413540.126887247</c:v>
                </c:pt>
                <c:pt idx="92">
                  <c:v>12331399.460220583</c:v>
                </c:pt>
                <c:pt idx="93">
                  <c:v>12331399.460220583</c:v>
                </c:pt>
                <c:pt idx="94">
                  <c:v>12331399.460220583</c:v>
                </c:pt>
                <c:pt idx="95">
                  <c:v>12331399.460220583</c:v>
                </c:pt>
                <c:pt idx="96">
                  <c:v>12331399.460220583</c:v>
                </c:pt>
                <c:pt idx="97">
                  <c:v>11949258.793553919</c:v>
                </c:pt>
                <c:pt idx="98">
                  <c:v>11949258.793553919</c:v>
                </c:pt>
                <c:pt idx="99">
                  <c:v>11949258.793553919</c:v>
                </c:pt>
                <c:pt idx="100">
                  <c:v>11949258.793553919</c:v>
                </c:pt>
                <c:pt idx="101">
                  <c:v>11867118.126887254</c:v>
                </c:pt>
                <c:pt idx="102">
                  <c:v>11867118.126887254</c:v>
                </c:pt>
                <c:pt idx="103">
                  <c:v>11867118.126887254</c:v>
                </c:pt>
                <c:pt idx="104">
                  <c:v>11867118.126887254</c:v>
                </c:pt>
                <c:pt idx="105">
                  <c:v>11784977.46022059</c:v>
                </c:pt>
                <c:pt idx="106">
                  <c:v>11784977.46022059</c:v>
                </c:pt>
                <c:pt idx="107">
                  <c:v>11784977.46022059</c:v>
                </c:pt>
                <c:pt idx="108">
                  <c:v>11784977.46022059</c:v>
                </c:pt>
                <c:pt idx="109">
                  <c:v>11702836.793553926</c:v>
                </c:pt>
                <c:pt idx="110">
                  <c:v>11702836.793553926</c:v>
                </c:pt>
                <c:pt idx="111">
                  <c:v>11702836.793553926</c:v>
                </c:pt>
                <c:pt idx="112">
                  <c:v>11702836.793553926</c:v>
                </c:pt>
                <c:pt idx="113">
                  <c:v>11702836.793553926</c:v>
                </c:pt>
                <c:pt idx="114">
                  <c:v>11702836.793553926</c:v>
                </c:pt>
                <c:pt idx="115">
                  <c:v>11702836.793553926</c:v>
                </c:pt>
                <c:pt idx="116">
                  <c:v>11702836.793553926</c:v>
                </c:pt>
                <c:pt idx="117">
                  <c:v>11702836.793553926</c:v>
                </c:pt>
                <c:pt idx="118">
                  <c:v>11702836.793553926</c:v>
                </c:pt>
                <c:pt idx="119">
                  <c:v>11702836.793553926</c:v>
                </c:pt>
                <c:pt idx="120">
                  <c:v>11702836.793553926</c:v>
                </c:pt>
                <c:pt idx="121">
                  <c:v>11702836.793553926</c:v>
                </c:pt>
                <c:pt idx="122">
                  <c:v>11702836.793553926</c:v>
                </c:pt>
                <c:pt idx="123">
                  <c:v>11702836.793553926</c:v>
                </c:pt>
                <c:pt idx="124">
                  <c:v>11702836.793553926</c:v>
                </c:pt>
                <c:pt idx="125">
                  <c:v>11702836.793553926</c:v>
                </c:pt>
                <c:pt idx="126">
                  <c:v>11702836.793553926</c:v>
                </c:pt>
                <c:pt idx="127">
                  <c:v>11702836.793553926</c:v>
                </c:pt>
                <c:pt idx="128">
                  <c:v>11702836.793553926</c:v>
                </c:pt>
                <c:pt idx="129">
                  <c:v>11702836.793553926</c:v>
                </c:pt>
                <c:pt idx="130">
                  <c:v>11702836.793553926</c:v>
                </c:pt>
                <c:pt idx="131">
                  <c:v>11702836.793553926</c:v>
                </c:pt>
                <c:pt idx="132">
                  <c:v>11702836.793553926</c:v>
                </c:pt>
                <c:pt idx="133">
                  <c:v>11702836.793553926</c:v>
                </c:pt>
                <c:pt idx="134">
                  <c:v>11702836.793553926</c:v>
                </c:pt>
                <c:pt idx="135">
                  <c:v>11702836.793553926</c:v>
                </c:pt>
                <c:pt idx="136">
                  <c:v>11702836.793553926</c:v>
                </c:pt>
                <c:pt idx="137">
                  <c:v>11702836.793553926</c:v>
                </c:pt>
                <c:pt idx="138">
                  <c:v>11702836.793553926</c:v>
                </c:pt>
                <c:pt idx="139">
                  <c:v>11702836.793553926</c:v>
                </c:pt>
                <c:pt idx="140">
                  <c:v>11702836.793553926</c:v>
                </c:pt>
                <c:pt idx="141">
                  <c:v>11702836.793553926</c:v>
                </c:pt>
                <c:pt idx="142">
                  <c:v>11702836.793553926</c:v>
                </c:pt>
                <c:pt idx="143">
                  <c:v>11702836.793553926</c:v>
                </c:pt>
                <c:pt idx="144">
                  <c:v>11702836.793553926</c:v>
                </c:pt>
                <c:pt idx="145">
                  <c:v>11702836.793553926</c:v>
                </c:pt>
                <c:pt idx="146">
                  <c:v>11702836.793553926</c:v>
                </c:pt>
                <c:pt idx="147">
                  <c:v>11702836.793553926</c:v>
                </c:pt>
                <c:pt idx="148">
                  <c:v>11702836.793553926</c:v>
                </c:pt>
                <c:pt idx="149">
                  <c:v>11702836.793553926</c:v>
                </c:pt>
                <c:pt idx="150">
                  <c:v>11702836.793553926</c:v>
                </c:pt>
                <c:pt idx="151">
                  <c:v>11702836.793553926</c:v>
                </c:pt>
                <c:pt idx="152">
                  <c:v>11702836.793553926</c:v>
                </c:pt>
                <c:pt idx="153">
                  <c:v>11702836.793553926</c:v>
                </c:pt>
                <c:pt idx="154">
                  <c:v>11702836.793553926</c:v>
                </c:pt>
                <c:pt idx="155">
                  <c:v>11702836.793553926</c:v>
                </c:pt>
                <c:pt idx="156">
                  <c:v>11702836.793553926</c:v>
                </c:pt>
                <c:pt idx="157">
                  <c:v>11702836.793553926</c:v>
                </c:pt>
                <c:pt idx="158">
                  <c:v>11702836.793553926</c:v>
                </c:pt>
                <c:pt idx="159">
                  <c:v>11702836.793553926</c:v>
                </c:pt>
                <c:pt idx="160">
                  <c:v>11702836.793553926</c:v>
                </c:pt>
                <c:pt idx="161">
                  <c:v>11702836.793553926</c:v>
                </c:pt>
                <c:pt idx="162">
                  <c:v>11702836.793553926</c:v>
                </c:pt>
                <c:pt idx="163">
                  <c:v>11702836.793553926</c:v>
                </c:pt>
                <c:pt idx="164">
                  <c:v>11702836.793553926</c:v>
                </c:pt>
                <c:pt idx="165">
                  <c:v>11702836.793553926</c:v>
                </c:pt>
                <c:pt idx="166">
                  <c:v>11702836.793553926</c:v>
                </c:pt>
                <c:pt idx="167">
                  <c:v>11702836.793553926</c:v>
                </c:pt>
                <c:pt idx="168">
                  <c:v>11702836.793553926</c:v>
                </c:pt>
                <c:pt idx="169">
                  <c:v>11702836.793553926</c:v>
                </c:pt>
                <c:pt idx="170">
                  <c:v>11702836.793553926</c:v>
                </c:pt>
                <c:pt idx="171">
                  <c:v>11702836.793553926</c:v>
                </c:pt>
                <c:pt idx="172">
                  <c:v>11702836.793553926</c:v>
                </c:pt>
                <c:pt idx="173">
                  <c:v>11702836.793553926</c:v>
                </c:pt>
                <c:pt idx="174">
                  <c:v>11702836.793553926</c:v>
                </c:pt>
                <c:pt idx="175">
                  <c:v>11702836.793553926</c:v>
                </c:pt>
                <c:pt idx="176">
                  <c:v>11702836.793553926</c:v>
                </c:pt>
                <c:pt idx="177">
                  <c:v>11702836.793553926</c:v>
                </c:pt>
                <c:pt idx="178">
                  <c:v>11702836.793553926</c:v>
                </c:pt>
                <c:pt idx="179">
                  <c:v>11702836.793553926</c:v>
                </c:pt>
                <c:pt idx="180">
                  <c:v>11702836.793553926</c:v>
                </c:pt>
                <c:pt idx="181">
                  <c:v>11702836.793553926</c:v>
                </c:pt>
                <c:pt idx="182">
                  <c:v>11702836.793553926</c:v>
                </c:pt>
                <c:pt idx="183">
                  <c:v>11702836.793553926</c:v>
                </c:pt>
                <c:pt idx="184">
                  <c:v>11702836.793553926</c:v>
                </c:pt>
                <c:pt idx="185">
                  <c:v>11702836.793553926</c:v>
                </c:pt>
                <c:pt idx="186">
                  <c:v>11702836.793553926</c:v>
                </c:pt>
                <c:pt idx="187">
                  <c:v>11702836.793553926</c:v>
                </c:pt>
                <c:pt idx="188">
                  <c:v>11702836.793553926</c:v>
                </c:pt>
                <c:pt idx="189">
                  <c:v>11702836.793553926</c:v>
                </c:pt>
                <c:pt idx="190">
                  <c:v>11702836.793553926</c:v>
                </c:pt>
                <c:pt idx="191">
                  <c:v>11702836.793553926</c:v>
                </c:pt>
                <c:pt idx="192">
                  <c:v>11702836.793553926</c:v>
                </c:pt>
                <c:pt idx="193">
                  <c:v>11702836.793553926</c:v>
                </c:pt>
                <c:pt idx="194">
                  <c:v>11702836.793553926</c:v>
                </c:pt>
                <c:pt idx="195">
                  <c:v>11702836.793553926</c:v>
                </c:pt>
                <c:pt idx="196">
                  <c:v>11702836.793553926</c:v>
                </c:pt>
                <c:pt idx="197">
                  <c:v>11702836.793553926</c:v>
                </c:pt>
                <c:pt idx="198">
                  <c:v>11702836.793553926</c:v>
                </c:pt>
                <c:pt idx="199">
                  <c:v>11702836.793553926</c:v>
                </c:pt>
                <c:pt idx="200">
                  <c:v>11702836.793553926</c:v>
                </c:pt>
                <c:pt idx="201">
                  <c:v>11702836.793553926</c:v>
                </c:pt>
                <c:pt idx="202">
                  <c:v>11702836.793553926</c:v>
                </c:pt>
                <c:pt idx="203">
                  <c:v>11702836.793553926</c:v>
                </c:pt>
                <c:pt idx="204">
                  <c:v>11702836.793553926</c:v>
                </c:pt>
                <c:pt idx="205">
                  <c:v>11702836.793553926</c:v>
                </c:pt>
                <c:pt idx="206">
                  <c:v>11702836.793553926</c:v>
                </c:pt>
                <c:pt idx="207">
                  <c:v>11702836.793553926</c:v>
                </c:pt>
                <c:pt idx="208">
                  <c:v>11702836.793553926</c:v>
                </c:pt>
                <c:pt idx="209">
                  <c:v>11702836.793553926</c:v>
                </c:pt>
                <c:pt idx="210">
                  <c:v>11702836.793553926</c:v>
                </c:pt>
                <c:pt idx="211">
                  <c:v>11702836.793553926</c:v>
                </c:pt>
                <c:pt idx="212">
                  <c:v>11702836.793553926</c:v>
                </c:pt>
                <c:pt idx="213">
                  <c:v>11702836.793553926</c:v>
                </c:pt>
                <c:pt idx="214">
                  <c:v>11702836.793553926</c:v>
                </c:pt>
                <c:pt idx="215">
                  <c:v>11702836.793553926</c:v>
                </c:pt>
                <c:pt idx="216">
                  <c:v>11702836.793553926</c:v>
                </c:pt>
                <c:pt idx="217">
                  <c:v>11702836.793553926</c:v>
                </c:pt>
                <c:pt idx="218">
                  <c:v>11702836.793553926</c:v>
                </c:pt>
                <c:pt idx="219">
                  <c:v>11702836.793553926</c:v>
                </c:pt>
                <c:pt idx="220">
                  <c:v>11702836.793553926</c:v>
                </c:pt>
                <c:pt idx="221">
                  <c:v>11702836.793553926</c:v>
                </c:pt>
                <c:pt idx="222">
                  <c:v>11702836.793553926</c:v>
                </c:pt>
                <c:pt idx="223">
                  <c:v>11702836.793553926</c:v>
                </c:pt>
                <c:pt idx="224">
                  <c:v>11702836.793553926</c:v>
                </c:pt>
                <c:pt idx="225">
                  <c:v>11702836.793553926</c:v>
                </c:pt>
                <c:pt idx="226">
                  <c:v>11702836.793553926</c:v>
                </c:pt>
                <c:pt idx="227">
                  <c:v>11702836.793553926</c:v>
                </c:pt>
                <c:pt idx="228">
                  <c:v>11702836.793553926</c:v>
                </c:pt>
                <c:pt idx="229">
                  <c:v>11702836.793553926</c:v>
                </c:pt>
                <c:pt idx="230">
                  <c:v>11702836.793553926</c:v>
                </c:pt>
                <c:pt idx="231">
                  <c:v>11702836.793553926</c:v>
                </c:pt>
                <c:pt idx="232">
                  <c:v>11702836.793553926</c:v>
                </c:pt>
                <c:pt idx="233">
                  <c:v>11702836.793553926</c:v>
                </c:pt>
                <c:pt idx="234">
                  <c:v>11702836.793553926</c:v>
                </c:pt>
                <c:pt idx="235">
                  <c:v>11702836.793553926</c:v>
                </c:pt>
                <c:pt idx="236">
                  <c:v>11702836.793553926</c:v>
                </c:pt>
                <c:pt idx="237">
                  <c:v>11702836.793553926</c:v>
                </c:pt>
                <c:pt idx="238">
                  <c:v>11702836.793553926</c:v>
                </c:pt>
                <c:pt idx="239">
                  <c:v>11702836.793553926</c:v>
                </c:pt>
                <c:pt idx="240">
                  <c:v>11702836.793553926</c:v>
                </c:pt>
                <c:pt idx="241">
                  <c:v>11702836.793553926</c:v>
                </c:pt>
                <c:pt idx="242">
                  <c:v>11702836.793553926</c:v>
                </c:pt>
                <c:pt idx="243">
                  <c:v>11702836.793553926</c:v>
                </c:pt>
                <c:pt idx="244">
                  <c:v>11702836.793553926</c:v>
                </c:pt>
                <c:pt idx="245">
                  <c:v>11702836.793553926</c:v>
                </c:pt>
                <c:pt idx="246">
                  <c:v>11702836.793553926</c:v>
                </c:pt>
                <c:pt idx="247">
                  <c:v>11702836.793553926</c:v>
                </c:pt>
                <c:pt idx="248">
                  <c:v>11702836.793553926</c:v>
                </c:pt>
                <c:pt idx="249">
                  <c:v>11702836.793553926</c:v>
                </c:pt>
                <c:pt idx="250">
                  <c:v>11702836.793553926</c:v>
                </c:pt>
                <c:pt idx="251">
                  <c:v>11702836.793553926</c:v>
                </c:pt>
                <c:pt idx="252">
                  <c:v>11702836.793553926</c:v>
                </c:pt>
                <c:pt idx="253">
                  <c:v>11702836.793553926</c:v>
                </c:pt>
                <c:pt idx="254">
                  <c:v>11702836.793553926</c:v>
                </c:pt>
                <c:pt idx="255">
                  <c:v>11702836.793553926</c:v>
                </c:pt>
                <c:pt idx="256">
                  <c:v>11702836.793553926</c:v>
                </c:pt>
                <c:pt idx="257">
                  <c:v>11702836.793553926</c:v>
                </c:pt>
                <c:pt idx="258">
                  <c:v>11702836.793553926</c:v>
                </c:pt>
                <c:pt idx="259">
                  <c:v>11702836.793553926</c:v>
                </c:pt>
                <c:pt idx="260">
                  <c:v>11702836.793553926</c:v>
                </c:pt>
                <c:pt idx="261">
                  <c:v>11702836.793553926</c:v>
                </c:pt>
                <c:pt idx="262">
                  <c:v>11702836.793553926</c:v>
                </c:pt>
                <c:pt idx="263">
                  <c:v>11702836.793553926</c:v>
                </c:pt>
                <c:pt idx="264">
                  <c:v>11702836.793553926</c:v>
                </c:pt>
                <c:pt idx="265">
                  <c:v>11702836.793553926</c:v>
                </c:pt>
                <c:pt idx="266">
                  <c:v>11702836.793553926</c:v>
                </c:pt>
                <c:pt idx="267">
                  <c:v>11702836.793553926</c:v>
                </c:pt>
                <c:pt idx="268">
                  <c:v>11702836.793553926</c:v>
                </c:pt>
                <c:pt idx="269">
                  <c:v>11702836.793553926</c:v>
                </c:pt>
                <c:pt idx="270">
                  <c:v>11702836.793553926</c:v>
                </c:pt>
                <c:pt idx="271">
                  <c:v>11702836.793553926</c:v>
                </c:pt>
                <c:pt idx="272">
                  <c:v>11702836.793553926</c:v>
                </c:pt>
                <c:pt idx="273">
                  <c:v>11702836.793553926</c:v>
                </c:pt>
                <c:pt idx="274">
                  <c:v>11702836.793553926</c:v>
                </c:pt>
                <c:pt idx="275">
                  <c:v>11702836.793553926</c:v>
                </c:pt>
                <c:pt idx="276">
                  <c:v>11702836.793553926</c:v>
                </c:pt>
                <c:pt idx="277">
                  <c:v>11702836.793553926</c:v>
                </c:pt>
                <c:pt idx="278">
                  <c:v>11702836.793553926</c:v>
                </c:pt>
                <c:pt idx="279">
                  <c:v>11702836.793553926</c:v>
                </c:pt>
                <c:pt idx="280">
                  <c:v>11702836.793553926</c:v>
                </c:pt>
                <c:pt idx="281">
                  <c:v>11702836.793553926</c:v>
                </c:pt>
                <c:pt idx="282">
                  <c:v>11702836.793553926</c:v>
                </c:pt>
                <c:pt idx="283">
                  <c:v>11702836.793553926</c:v>
                </c:pt>
                <c:pt idx="284">
                  <c:v>11702836.793553926</c:v>
                </c:pt>
                <c:pt idx="285">
                  <c:v>11702836.793553926</c:v>
                </c:pt>
                <c:pt idx="286">
                  <c:v>11702836.793553926</c:v>
                </c:pt>
                <c:pt idx="287">
                  <c:v>11702836.793553926</c:v>
                </c:pt>
                <c:pt idx="288">
                  <c:v>11702836.793553926</c:v>
                </c:pt>
                <c:pt idx="289">
                  <c:v>11702836.793553926</c:v>
                </c:pt>
                <c:pt idx="290">
                  <c:v>11702836.793553926</c:v>
                </c:pt>
                <c:pt idx="291">
                  <c:v>11702836.793553926</c:v>
                </c:pt>
                <c:pt idx="292">
                  <c:v>11702836.793553926</c:v>
                </c:pt>
                <c:pt idx="293">
                  <c:v>11702836.793553926</c:v>
                </c:pt>
                <c:pt idx="294">
                  <c:v>11702836.793553926</c:v>
                </c:pt>
                <c:pt idx="295">
                  <c:v>11702836.793553926</c:v>
                </c:pt>
                <c:pt idx="296">
                  <c:v>11702836.793553926</c:v>
                </c:pt>
                <c:pt idx="297">
                  <c:v>11702836.793553926</c:v>
                </c:pt>
                <c:pt idx="298">
                  <c:v>11702836.793553926</c:v>
                </c:pt>
                <c:pt idx="299">
                  <c:v>11702836.793553926</c:v>
                </c:pt>
                <c:pt idx="300">
                  <c:v>11702836.793553926</c:v>
                </c:pt>
                <c:pt idx="301">
                  <c:v>11702836.793553926</c:v>
                </c:pt>
                <c:pt idx="302">
                  <c:v>11702836.793553926</c:v>
                </c:pt>
                <c:pt idx="303">
                  <c:v>11702836.793553926</c:v>
                </c:pt>
                <c:pt idx="304">
                  <c:v>11702836.793553926</c:v>
                </c:pt>
                <c:pt idx="305">
                  <c:v>11702836.793553926</c:v>
                </c:pt>
                <c:pt idx="306">
                  <c:v>11702836.793553926</c:v>
                </c:pt>
                <c:pt idx="307">
                  <c:v>11702836.793553926</c:v>
                </c:pt>
                <c:pt idx="308">
                  <c:v>11702836.793553926</c:v>
                </c:pt>
                <c:pt idx="309">
                  <c:v>11702836.793553926</c:v>
                </c:pt>
                <c:pt idx="310">
                  <c:v>11702836.793553926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60000000.002943784</c:v>
                </c:pt>
                <c:pt idx="58">
                  <c:v>60000000.002943784</c:v>
                </c:pt>
                <c:pt idx="59">
                  <c:v>60000000.002943784</c:v>
                </c:pt>
                <c:pt idx="60">
                  <c:v>60000000.002943784</c:v>
                </c:pt>
                <c:pt idx="61">
                  <c:v>60000000.002943784</c:v>
                </c:pt>
                <c:pt idx="62">
                  <c:v>60000000.002943784</c:v>
                </c:pt>
                <c:pt idx="63">
                  <c:v>60000000.002943784</c:v>
                </c:pt>
                <c:pt idx="64">
                  <c:v>60000000.002943784</c:v>
                </c:pt>
                <c:pt idx="65">
                  <c:v>60000000.002943784</c:v>
                </c:pt>
                <c:pt idx="66">
                  <c:v>60000000.002943784</c:v>
                </c:pt>
                <c:pt idx="67">
                  <c:v>60000000.002943784</c:v>
                </c:pt>
                <c:pt idx="68">
                  <c:v>60000000.002943784</c:v>
                </c:pt>
                <c:pt idx="69">
                  <c:v>60000000.002943784</c:v>
                </c:pt>
                <c:pt idx="70">
                  <c:v>60000000.002943784</c:v>
                </c:pt>
                <c:pt idx="71">
                  <c:v>60000000.002943784</c:v>
                </c:pt>
                <c:pt idx="72">
                  <c:v>60000000.002943784</c:v>
                </c:pt>
                <c:pt idx="73">
                  <c:v>60000000.002943784</c:v>
                </c:pt>
                <c:pt idx="74">
                  <c:v>60000000.002943784</c:v>
                </c:pt>
                <c:pt idx="75">
                  <c:v>60000000.002943784</c:v>
                </c:pt>
                <c:pt idx="76">
                  <c:v>60000000.002943784</c:v>
                </c:pt>
                <c:pt idx="77">
                  <c:v>60000000.002943784</c:v>
                </c:pt>
                <c:pt idx="78">
                  <c:v>60000000.002943784</c:v>
                </c:pt>
                <c:pt idx="79">
                  <c:v>60000000.002943784</c:v>
                </c:pt>
                <c:pt idx="80">
                  <c:v>60000000.002943784</c:v>
                </c:pt>
                <c:pt idx="81">
                  <c:v>60000000.002943784</c:v>
                </c:pt>
                <c:pt idx="82">
                  <c:v>60000000.002943784</c:v>
                </c:pt>
                <c:pt idx="83">
                  <c:v>60000000.002943784</c:v>
                </c:pt>
                <c:pt idx="84">
                  <c:v>60000000.002943784</c:v>
                </c:pt>
                <c:pt idx="85">
                  <c:v>60000000.002943784</c:v>
                </c:pt>
                <c:pt idx="86">
                  <c:v>60000000.002943784</c:v>
                </c:pt>
                <c:pt idx="87">
                  <c:v>60000000.002943784</c:v>
                </c:pt>
                <c:pt idx="88">
                  <c:v>60000000.002943784</c:v>
                </c:pt>
                <c:pt idx="89">
                  <c:v>60000000.002943784</c:v>
                </c:pt>
                <c:pt idx="90">
                  <c:v>60000000.002943784</c:v>
                </c:pt>
                <c:pt idx="91">
                  <c:v>60000000.002943784</c:v>
                </c:pt>
                <c:pt idx="92">
                  <c:v>60000000.002943784</c:v>
                </c:pt>
                <c:pt idx="93">
                  <c:v>60000000.002943784</c:v>
                </c:pt>
                <c:pt idx="94">
                  <c:v>60000000.002943784</c:v>
                </c:pt>
                <c:pt idx="95">
                  <c:v>60000000.002943784</c:v>
                </c:pt>
                <c:pt idx="96">
                  <c:v>60000000.002943784</c:v>
                </c:pt>
                <c:pt idx="97">
                  <c:v>60000000.002943784</c:v>
                </c:pt>
                <c:pt idx="98">
                  <c:v>60000000.002943784</c:v>
                </c:pt>
                <c:pt idx="99">
                  <c:v>60000000.002943784</c:v>
                </c:pt>
                <c:pt idx="100">
                  <c:v>60000000.002943784</c:v>
                </c:pt>
                <c:pt idx="101">
                  <c:v>60000000.002943784</c:v>
                </c:pt>
                <c:pt idx="102">
                  <c:v>60000000.002943784</c:v>
                </c:pt>
                <c:pt idx="103">
                  <c:v>60000000.002943784</c:v>
                </c:pt>
                <c:pt idx="104">
                  <c:v>60000000.002943784</c:v>
                </c:pt>
                <c:pt idx="105">
                  <c:v>60000000.002943784</c:v>
                </c:pt>
                <c:pt idx="106">
                  <c:v>60000000.002943784</c:v>
                </c:pt>
                <c:pt idx="107">
                  <c:v>60000000.002943784</c:v>
                </c:pt>
                <c:pt idx="108">
                  <c:v>60000000.002943784</c:v>
                </c:pt>
                <c:pt idx="109">
                  <c:v>60000000.002943784</c:v>
                </c:pt>
                <c:pt idx="110">
                  <c:v>60000000.002943784</c:v>
                </c:pt>
                <c:pt idx="111">
                  <c:v>60000000.002943784</c:v>
                </c:pt>
                <c:pt idx="112">
                  <c:v>60000000.002943784</c:v>
                </c:pt>
                <c:pt idx="113">
                  <c:v>60000000.002943784</c:v>
                </c:pt>
                <c:pt idx="114">
                  <c:v>60000000.002943784</c:v>
                </c:pt>
                <c:pt idx="115">
                  <c:v>60000000.002943784</c:v>
                </c:pt>
                <c:pt idx="116">
                  <c:v>60000000.002943784</c:v>
                </c:pt>
                <c:pt idx="117">
                  <c:v>60000000.002943784</c:v>
                </c:pt>
                <c:pt idx="118">
                  <c:v>60000000.002943784</c:v>
                </c:pt>
                <c:pt idx="119">
                  <c:v>60000000.002943784</c:v>
                </c:pt>
                <c:pt idx="120">
                  <c:v>60000000.002943784</c:v>
                </c:pt>
                <c:pt idx="121">
                  <c:v>60000000.002943784</c:v>
                </c:pt>
                <c:pt idx="122">
                  <c:v>60000000.002943784</c:v>
                </c:pt>
                <c:pt idx="123">
                  <c:v>60000000.002943784</c:v>
                </c:pt>
                <c:pt idx="124">
                  <c:v>60000000.002943784</c:v>
                </c:pt>
                <c:pt idx="125">
                  <c:v>60000000.002943784</c:v>
                </c:pt>
                <c:pt idx="126">
                  <c:v>60000000.002943784</c:v>
                </c:pt>
                <c:pt idx="127">
                  <c:v>60000000.002943784</c:v>
                </c:pt>
                <c:pt idx="128">
                  <c:v>60000000.002943784</c:v>
                </c:pt>
                <c:pt idx="129">
                  <c:v>60000000.002943784</c:v>
                </c:pt>
                <c:pt idx="130">
                  <c:v>60000000.002943784</c:v>
                </c:pt>
                <c:pt idx="131">
                  <c:v>60000000.002943784</c:v>
                </c:pt>
                <c:pt idx="132">
                  <c:v>60000000.002943784</c:v>
                </c:pt>
                <c:pt idx="133">
                  <c:v>60000000.002943784</c:v>
                </c:pt>
                <c:pt idx="134">
                  <c:v>60000000.002943784</c:v>
                </c:pt>
                <c:pt idx="135">
                  <c:v>60000000.002943784</c:v>
                </c:pt>
                <c:pt idx="136">
                  <c:v>60000000.002943784</c:v>
                </c:pt>
                <c:pt idx="137">
                  <c:v>60000000.002943784</c:v>
                </c:pt>
                <c:pt idx="138">
                  <c:v>60000000.002943784</c:v>
                </c:pt>
                <c:pt idx="139">
                  <c:v>60000000.002943784</c:v>
                </c:pt>
                <c:pt idx="140">
                  <c:v>60000000.002943784</c:v>
                </c:pt>
                <c:pt idx="141">
                  <c:v>60000000.002943784</c:v>
                </c:pt>
                <c:pt idx="142">
                  <c:v>60000000.002943784</c:v>
                </c:pt>
                <c:pt idx="143">
                  <c:v>60000000.002943784</c:v>
                </c:pt>
                <c:pt idx="144">
                  <c:v>60000000.002943784</c:v>
                </c:pt>
                <c:pt idx="145">
                  <c:v>60000000.002943784</c:v>
                </c:pt>
                <c:pt idx="146">
                  <c:v>60000000.002943784</c:v>
                </c:pt>
                <c:pt idx="147">
                  <c:v>60000000.002943784</c:v>
                </c:pt>
                <c:pt idx="148">
                  <c:v>60000000.002943784</c:v>
                </c:pt>
                <c:pt idx="149">
                  <c:v>60000000.002943784</c:v>
                </c:pt>
                <c:pt idx="150">
                  <c:v>60000000.002943784</c:v>
                </c:pt>
                <c:pt idx="151">
                  <c:v>60000000.002943784</c:v>
                </c:pt>
                <c:pt idx="152">
                  <c:v>60000000.002943784</c:v>
                </c:pt>
                <c:pt idx="153">
                  <c:v>60000000.002943784</c:v>
                </c:pt>
                <c:pt idx="154">
                  <c:v>60000000.002943784</c:v>
                </c:pt>
                <c:pt idx="155">
                  <c:v>60000000.002943784</c:v>
                </c:pt>
                <c:pt idx="156">
                  <c:v>60000000.002943784</c:v>
                </c:pt>
                <c:pt idx="157">
                  <c:v>60000000.002943784</c:v>
                </c:pt>
                <c:pt idx="158">
                  <c:v>60000000.002943784</c:v>
                </c:pt>
                <c:pt idx="159">
                  <c:v>60000000.002943784</c:v>
                </c:pt>
                <c:pt idx="160">
                  <c:v>60000000.002943784</c:v>
                </c:pt>
                <c:pt idx="161">
                  <c:v>60000000.002943784</c:v>
                </c:pt>
                <c:pt idx="162">
                  <c:v>60000000.002943784</c:v>
                </c:pt>
                <c:pt idx="163">
                  <c:v>60000000.002943784</c:v>
                </c:pt>
                <c:pt idx="164">
                  <c:v>60000000.002943784</c:v>
                </c:pt>
                <c:pt idx="165">
                  <c:v>60000000.002943784</c:v>
                </c:pt>
                <c:pt idx="166">
                  <c:v>60000000.002943784</c:v>
                </c:pt>
                <c:pt idx="167">
                  <c:v>60000000.002943784</c:v>
                </c:pt>
                <c:pt idx="168">
                  <c:v>60000000.002943784</c:v>
                </c:pt>
                <c:pt idx="169">
                  <c:v>60000000.002943784</c:v>
                </c:pt>
                <c:pt idx="170">
                  <c:v>60000000.002943784</c:v>
                </c:pt>
                <c:pt idx="171">
                  <c:v>60000000.002943784</c:v>
                </c:pt>
                <c:pt idx="172">
                  <c:v>60000000.002943784</c:v>
                </c:pt>
                <c:pt idx="173">
                  <c:v>60000000.002943784</c:v>
                </c:pt>
                <c:pt idx="174">
                  <c:v>60000000.002943784</c:v>
                </c:pt>
                <c:pt idx="175">
                  <c:v>60000000.002943784</c:v>
                </c:pt>
                <c:pt idx="176">
                  <c:v>60000000.002943784</c:v>
                </c:pt>
                <c:pt idx="177">
                  <c:v>60000000.002943784</c:v>
                </c:pt>
                <c:pt idx="178">
                  <c:v>60000000.002943784</c:v>
                </c:pt>
                <c:pt idx="179">
                  <c:v>60000000.002943784</c:v>
                </c:pt>
                <c:pt idx="180">
                  <c:v>60000000.002943784</c:v>
                </c:pt>
                <c:pt idx="181">
                  <c:v>60000000.002943784</c:v>
                </c:pt>
                <c:pt idx="182">
                  <c:v>60000000.002943784</c:v>
                </c:pt>
                <c:pt idx="183">
                  <c:v>60000000.002943784</c:v>
                </c:pt>
                <c:pt idx="184">
                  <c:v>60000000.002943784</c:v>
                </c:pt>
                <c:pt idx="185">
                  <c:v>60000000.002943784</c:v>
                </c:pt>
                <c:pt idx="186">
                  <c:v>60000000.002943784</c:v>
                </c:pt>
                <c:pt idx="187">
                  <c:v>60000000.002943784</c:v>
                </c:pt>
                <c:pt idx="188">
                  <c:v>60000000.002943784</c:v>
                </c:pt>
                <c:pt idx="189">
                  <c:v>60000000.002943784</c:v>
                </c:pt>
                <c:pt idx="190">
                  <c:v>60000000.002943784</c:v>
                </c:pt>
                <c:pt idx="191">
                  <c:v>60000000.002943784</c:v>
                </c:pt>
                <c:pt idx="192">
                  <c:v>60000000.002943784</c:v>
                </c:pt>
                <c:pt idx="193">
                  <c:v>60000000.002943784</c:v>
                </c:pt>
                <c:pt idx="194">
                  <c:v>60000000.002943784</c:v>
                </c:pt>
                <c:pt idx="195">
                  <c:v>60000000.002943784</c:v>
                </c:pt>
                <c:pt idx="196">
                  <c:v>60000000.002943784</c:v>
                </c:pt>
                <c:pt idx="197">
                  <c:v>60000000.002943784</c:v>
                </c:pt>
                <c:pt idx="198">
                  <c:v>60000000.002943784</c:v>
                </c:pt>
                <c:pt idx="199">
                  <c:v>60000000.002943784</c:v>
                </c:pt>
                <c:pt idx="200">
                  <c:v>60000000.002943784</c:v>
                </c:pt>
                <c:pt idx="201">
                  <c:v>60000000.002943784</c:v>
                </c:pt>
                <c:pt idx="202">
                  <c:v>60000000.002943784</c:v>
                </c:pt>
                <c:pt idx="203">
                  <c:v>60000000.002943784</c:v>
                </c:pt>
                <c:pt idx="204">
                  <c:v>60000000.002943784</c:v>
                </c:pt>
                <c:pt idx="205">
                  <c:v>60000000.002943784</c:v>
                </c:pt>
                <c:pt idx="206">
                  <c:v>60000000.002943784</c:v>
                </c:pt>
                <c:pt idx="207">
                  <c:v>60000000.002943784</c:v>
                </c:pt>
                <c:pt idx="208">
                  <c:v>60000000.002943784</c:v>
                </c:pt>
                <c:pt idx="209">
                  <c:v>60000000.002943784</c:v>
                </c:pt>
                <c:pt idx="210">
                  <c:v>60000000.002943784</c:v>
                </c:pt>
                <c:pt idx="211">
                  <c:v>60000000.002943784</c:v>
                </c:pt>
                <c:pt idx="212">
                  <c:v>60000000.002943784</c:v>
                </c:pt>
                <c:pt idx="213">
                  <c:v>60000000.002943784</c:v>
                </c:pt>
                <c:pt idx="214">
                  <c:v>60000000.002943784</c:v>
                </c:pt>
                <c:pt idx="215">
                  <c:v>60000000.002943784</c:v>
                </c:pt>
                <c:pt idx="216">
                  <c:v>60000000.002943784</c:v>
                </c:pt>
                <c:pt idx="217">
                  <c:v>60000000.002943784</c:v>
                </c:pt>
                <c:pt idx="218">
                  <c:v>60000000.002943784</c:v>
                </c:pt>
                <c:pt idx="219">
                  <c:v>60000000.002943784</c:v>
                </c:pt>
                <c:pt idx="220">
                  <c:v>60000000.002943784</c:v>
                </c:pt>
                <c:pt idx="221">
                  <c:v>60000000.002943784</c:v>
                </c:pt>
                <c:pt idx="222">
                  <c:v>60000000.002943784</c:v>
                </c:pt>
                <c:pt idx="223">
                  <c:v>60000000.002943784</c:v>
                </c:pt>
                <c:pt idx="224">
                  <c:v>60000000.002943784</c:v>
                </c:pt>
                <c:pt idx="225">
                  <c:v>60000000.002943784</c:v>
                </c:pt>
                <c:pt idx="226">
                  <c:v>60000000.002943784</c:v>
                </c:pt>
                <c:pt idx="227">
                  <c:v>60000000.002943784</c:v>
                </c:pt>
                <c:pt idx="228">
                  <c:v>60000000.002943784</c:v>
                </c:pt>
                <c:pt idx="229">
                  <c:v>60000000.002943784</c:v>
                </c:pt>
                <c:pt idx="230">
                  <c:v>60000000.002943784</c:v>
                </c:pt>
                <c:pt idx="231">
                  <c:v>60000000.002943784</c:v>
                </c:pt>
                <c:pt idx="232">
                  <c:v>60000000.002943784</c:v>
                </c:pt>
                <c:pt idx="233">
                  <c:v>60000000.002943784</c:v>
                </c:pt>
                <c:pt idx="234">
                  <c:v>60000000.002943784</c:v>
                </c:pt>
                <c:pt idx="235">
                  <c:v>60000000.002943784</c:v>
                </c:pt>
                <c:pt idx="236">
                  <c:v>60000000.002943784</c:v>
                </c:pt>
                <c:pt idx="237">
                  <c:v>60000000.002943784</c:v>
                </c:pt>
                <c:pt idx="238">
                  <c:v>60000000.002943784</c:v>
                </c:pt>
                <c:pt idx="239">
                  <c:v>60000000.002943784</c:v>
                </c:pt>
                <c:pt idx="240">
                  <c:v>60000000.002943784</c:v>
                </c:pt>
                <c:pt idx="241">
                  <c:v>60000000.002943784</c:v>
                </c:pt>
                <c:pt idx="242">
                  <c:v>60000000.002943784</c:v>
                </c:pt>
                <c:pt idx="243">
                  <c:v>60000000.002943784</c:v>
                </c:pt>
                <c:pt idx="244">
                  <c:v>60000000.002943784</c:v>
                </c:pt>
                <c:pt idx="245">
                  <c:v>60000000.002943784</c:v>
                </c:pt>
                <c:pt idx="246">
                  <c:v>60000000.002943784</c:v>
                </c:pt>
                <c:pt idx="247">
                  <c:v>60000000.002943784</c:v>
                </c:pt>
                <c:pt idx="248">
                  <c:v>60000000.002943784</c:v>
                </c:pt>
                <c:pt idx="249">
                  <c:v>60000000.002943784</c:v>
                </c:pt>
                <c:pt idx="250">
                  <c:v>60000000.002943784</c:v>
                </c:pt>
                <c:pt idx="251">
                  <c:v>60000000.002943784</c:v>
                </c:pt>
                <c:pt idx="252">
                  <c:v>60000000.002943784</c:v>
                </c:pt>
                <c:pt idx="253">
                  <c:v>60000000.002943784</c:v>
                </c:pt>
                <c:pt idx="254">
                  <c:v>60000000.002943784</c:v>
                </c:pt>
                <c:pt idx="255">
                  <c:v>60000000.002943784</c:v>
                </c:pt>
                <c:pt idx="256">
                  <c:v>60000000.002943784</c:v>
                </c:pt>
                <c:pt idx="257">
                  <c:v>60000000.002943784</c:v>
                </c:pt>
                <c:pt idx="258">
                  <c:v>60000000.002943784</c:v>
                </c:pt>
                <c:pt idx="259">
                  <c:v>60000000.002943784</c:v>
                </c:pt>
                <c:pt idx="260">
                  <c:v>60000000.002943784</c:v>
                </c:pt>
                <c:pt idx="261">
                  <c:v>60000000.002943784</c:v>
                </c:pt>
                <c:pt idx="262">
                  <c:v>60000000.002943784</c:v>
                </c:pt>
                <c:pt idx="263">
                  <c:v>60000000.002943784</c:v>
                </c:pt>
                <c:pt idx="264">
                  <c:v>60000000.002943784</c:v>
                </c:pt>
                <c:pt idx="265">
                  <c:v>60000000.002943784</c:v>
                </c:pt>
                <c:pt idx="266">
                  <c:v>60000000.002943784</c:v>
                </c:pt>
                <c:pt idx="267">
                  <c:v>60000000.002943784</c:v>
                </c:pt>
                <c:pt idx="268">
                  <c:v>60000000.002943784</c:v>
                </c:pt>
                <c:pt idx="269">
                  <c:v>60000000.002943784</c:v>
                </c:pt>
                <c:pt idx="270">
                  <c:v>60000000.002943784</c:v>
                </c:pt>
                <c:pt idx="271">
                  <c:v>60000000.002943784</c:v>
                </c:pt>
                <c:pt idx="272">
                  <c:v>60000000.002943784</c:v>
                </c:pt>
                <c:pt idx="273">
                  <c:v>60000000.002943784</c:v>
                </c:pt>
                <c:pt idx="274">
                  <c:v>60000000.002943784</c:v>
                </c:pt>
                <c:pt idx="275">
                  <c:v>60000000.002943784</c:v>
                </c:pt>
                <c:pt idx="276">
                  <c:v>60000000.002943784</c:v>
                </c:pt>
                <c:pt idx="277">
                  <c:v>60000000.002943784</c:v>
                </c:pt>
                <c:pt idx="278">
                  <c:v>60000000.002943784</c:v>
                </c:pt>
                <c:pt idx="279">
                  <c:v>60000000.002943784</c:v>
                </c:pt>
                <c:pt idx="280">
                  <c:v>60000000.002943784</c:v>
                </c:pt>
                <c:pt idx="281">
                  <c:v>60000000.002943784</c:v>
                </c:pt>
                <c:pt idx="282">
                  <c:v>60000000.002943784</c:v>
                </c:pt>
                <c:pt idx="283">
                  <c:v>60000000.002943784</c:v>
                </c:pt>
                <c:pt idx="284">
                  <c:v>60000000.002943784</c:v>
                </c:pt>
                <c:pt idx="285">
                  <c:v>60000000.002943784</c:v>
                </c:pt>
                <c:pt idx="286">
                  <c:v>60000000.002943784</c:v>
                </c:pt>
                <c:pt idx="287">
                  <c:v>60000000.002943784</c:v>
                </c:pt>
                <c:pt idx="288">
                  <c:v>60000000.002943784</c:v>
                </c:pt>
                <c:pt idx="289">
                  <c:v>60000000.002943784</c:v>
                </c:pt>
                <c:pt idx="290">
                  <c:v>60000000.002943784</c:v>
                </c:pt>
                <c:pt idx="291">
                  <c:v>60000000.002943784</c:v>
                </c:pt>
                <c:pt idx="292">
                  <c:v>60000000.002943784</c:v>
                </c:pt>
                <c:pt idx="293">
                  <c:v>60000000.002943784</c:v>
                </c:pt>
                <c:pt idx="294">
                  <c:v>60000000.002943784</c:v>
                </c:pt>
                <c:pt idx="295">
                  <c:v>60000000.002943784</c:v>
                </c:pt>
                <c:pt idx="296">
                  <c:v>60000000.002943784</c:v>
                </c:pt>
                <c:pt idx="297">
                  <c:v>60000000.002943784</c:v>
                </c:pt>
                <c:pt idx="298">
                  <c:v>60000000.002943784</c:v>
                </c:pt>
                <c:pt idx="299">
                  <c:v>60000000.002943784</c:v>
                </c:pt>
                <c:pt idx="300">
                  <c:v>60000000.002943784</c:v>
                </c:pt>
                <c:pt idx="301">
                  <c:v>60000000.002943784</c:v>
                </c:pt>
                <c:pt idx="302">
                  <c:v>60000000.002943784</c:v>
                </c:pt>
                <c:pt idx="303">
                  <c:v>60000000.002943784</c:v>
                </c:pt>
                <c:pt idx="304">
                  <c:v>60000000.002943784</c:v>
                </c:pt>
                <c:pt idx="305">
                  <c:v>60000000.002943784</c:v>
                </c:pt>
                <c:pt idx="306">
                  <c:v>60000000.002943784</c:v>
                </c:pt>
                <c:pt idx="307">
                  <c:v>60000000.002943784</c:v>
                </c:pt>
                <c:pt idx="308">
                  <c:v>60000000.002943784</c:v>
                </c:pt>
                <c:pt idx="309">
                  <c:v>60000000.002943784</c:v>
                </c:pt>
                <c:pt idx="310">
                  <c:v>60000000.002943784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10761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20365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3.590326736114" createdVersion="8" refreshedVersion="8" minRefreshableVersion="3" recordCount="433" xr:uid="{D37A5069-1A2D-4864-A726-735BFBE61275}">
  <cacheSource type="worksheet">
    <worksheetSource ref="L4:X43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5000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2-28T00:00:00" maxDate="2026-09-01T00:00:00" count="20">
        <m/>
        <d v="2025-07-31T00:00:00"/>
        <s v=""/>
        <d v="2025-08-31T00:00:00"/>
        <d v="2025-11-30T00:00:00"/>
        <d v="2026-03-31T00:00:00"/>
        <d v="2025-12-31T00:00:00"/>
        <d v="2026-01-31T00:00:00"/>
        <d v="2025-06-30T00:00:00"/>
        <d v="2026-02-28T00:00:00"/>
        <d v="2025-09-30T00:00:00"/>
        <d v="2025-10-31T00:00:00"/>
        <d v="2026-04-30T00:00:00"/>
        <d v="2025-05-31T00:00:00"/>
        <d v="2026-05-31T00:00:00"/>
        <d v="2026-08-31T00:00:00"/>
        <d v="2025-02-28T00:00:00" u="1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4.7537833452224731E-3" maxValue="2.9870779253542423E-3"/>
    </cacheField>
    <cacheField name="FINANCE PAYMENT DATE" numFmtId="0">
      <sharedItems containsNonDate="0" containsDate="1" containsString="0" containsBlank="1" minDate="2025-06-09T00:00:00" maxDate="2027-02-26T00:00:00"/>
    </cacheField>
    <cacheField name="Total COS" numFmtId="0">
      <sharedItems containsString="0" containsBlank="1" containsNumber="1" minValue="0" maxValue="13751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5121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n v="3169.44"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n v="3906"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n v="1"/>
    <x v="1"/>
    <s v="Replace damaged modules"/>
    <n v="11"/>
    <n v="1240"/>
    <n v="13640"/>
    <m/>
    <s v="MSA Energy INV000681"/>
    <x v="5"/>
    <m/>
    <m/>
    <d v="2026-05-07T00:00:00"/>
    <m/>
  </r>
  <r>
    <n v="1"/>
    <x v="1"/>
    <s v="Transport"/>
    <m/>
    <m/>
    <n v="1600"/>
    <m/>
    <s v="MSA Energy INV000681"/>
    <x v="5"/>
    <m/>
    <m/>
    <d v="2026-05-07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6"/>
    <n v="0"/>
    <m/>
    <d v="2026-01-31T00:00:00"/>
    <m/>
  </r>
  <r>
    <n v="2"/>
    <x v="2"/>
    <m/>
    <m/>
    <m/>
    <n v="-899.72"/>
    <m/>
    <s v="Kathea - 500335"/>
    <x v="7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8"/>
    <n v="870407.92269117013"/>
    <n v="0"/>
    <d v="2025-07-29T00:00:00"/>
    <n v="4061009.86"/>
  </r>
  <r>
    <n v="3"/>
    <x v="3"/>
    <s v="Screws - Rooftop"/>
    <n v="39660"/>
    <n v="5.87"/>
    <n v="232804.2"/>
    <m/>
    <s v="Schletter - INV1895"/>
    <x v="8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8"/>
    <n v="378280.16598255851"/>
    <m/>
    <d v="2025-07-29T00:00:00"/>
    <m/>
  </r>
  <r>
    <n v="3"/>
    <x v="3"/>
    <s v="Mid Clamps -"/>
    <n v="-470"/>
    <n v="10.64"/>
    <n v="-5000.8"/>
    <m/>
    <s v="Allocated to Ziegler Warehouse"/>
    <x v="9"/>
    <m/>
    <m/>
    <d v="2026-02-28T00:00:00"/>
    <m/>
  </r>
  <r>
    <n v="3"/>
    <x v="3"/>
    <s v="End Clamp - 30mm - Rooftop"/>
    <n v="1820"/>
    <n v="10.96"/>
    <n v="20391.2"/>
    <m/>
    <s v="Schletter - INV1895"/>
    <x v="8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8"/>
    <n v="87040.79226911701"/>
    <m/>
    <d v="2025-07-29T00:00:00"/>
    <m/>
  </r>
  <r>
    <n v="3"/>
    <x v="3"/>
    <s v="IBR Mounting clamps - 130004-200 returned to stock"/>
    <n v="-220"/>
    <n v="22.88"/>
    <n v="-5033.5999999999995"/>
    <m/>
    <s v="Allocated to Ziegler Warehouse"/>
    <x v="9"/>
    <m/>
    <m/>
    <d v="2026-02-28T00:00:00"/>
    <m/>
  </r>
  <r>
    <n v="3"/>
    <x v="3"/>
    <s v="Screws - Cable Trays"/>
    <n v="3966"/>
    <n v="5.87"/>
    <n v="23280.420000000002"/>
    <m/>
    <s v="Schletter - INV1895"/>
    <x v="8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8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10"/>
    <n v="0"/>
    <m/>
    <d v="2025-09-30T00:00:00"/>
    <m/>
  </r>
  <r>
    <n v="3"/>
    <x v="3"/>
    <m/>
    <m/>
    <m/>
    <n v="-1540370"/>
    <m/>
    <s v="Schletter - CRN0272"/>
    <x v="10"/>
    <n v="0"/>
    <m/>
    <d v="2025-09-30T00:00:00"/>
    <m/>
  </r>
  <r>
    <n v="3"/>
    <x v="3"/>
    <m/>
    <m/>
    <m/>
    <n v="3006740"/>
    <m/>
    <s v="Schletter - INV2231"/>
    <x v="10"/>
    <n v="0"/>
    <m/>
    <d v="2025-09-30T00:00:00"/>
    <m/>
  </r>
  <r>
    <n v="3"/>
    <x v="3"/>
    <s v="Engineering Signoff - deposit"/>
    <m/>
    <m/>
    <n v="37000"/>
    <m/>
    <s v="Schletter : INV1887"/>
    <x v="8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193174"/>
  </r>
  <r>
    <n v="4"/>
    <x v="4"/>
    <s v="DC Cable - Balance to be delivered"/>
    <n v="0.1"/>
    <n v="2376000"/>
    <n v="237600"/>
    <s v="PO3993-CSPH2-20260610 - RV Approved"/>
    <s v="Menlo INV0003003"/>
    <x v="8"/>
    <n v="465334.01673059782"/>
    <m/>
    <d v="2025-09-01T00:00:00"/>
    <m/>
  </r>
  <r>
    <n v="4"/>
    <x v="4"/>
    <s v="DC Cable"/>
    <n v="0.9"/>
    <m/>
    <n v="2138400"/>
    <m/>
    <s v="Menlo INV0003047"/>
    <x v="8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s v="DC Cable Red (Returned to stock)"/>
    <n v="-4000"/>
    <n v="13"/>
    <n v="-52000"/>
    <m/>
    <s v="Allocated to Ziegler Warehouse"/>
    <x v="9"/>
    <n v="0"/>
    <m/>
    <d v="2026-02-28T00:00:00"/>
    <m/>
  </r>
  <r>
    <n v="4"/>
    <x v="4"/>
    <s v="DC Cable Black (Returned to stock)"/>
    <n v="-4790"/>
    <n v="13"/>
    <n v="-62270"/>
    <m/>
    <s v="Allocated to Ziegler Warehouse"/>
    <x v="9"/>
    <n v="0"/>
    <m/>
    <d v="2026-02-28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3"/>
    <n v="1117518.18"/>
    <m/>
    <d v="2025-08-31T00:00:00"/>
    <m/>
  </r>
  <r>
    <n v="4"/>
    <x v="4"/>
    <s v="50mm x 3m R/Flange cable tray - "/>
    <n v="-4"/>
    <n v="225"/>
    <n v="-900"/>
    <m/>
    <s v="Allocated to Ziegler Warehouse"/>
    <x v="9"/>
    <n v="0"/>
    <m/>
    <d v="2026-02-28T00:00:00"/>
    <m/>
  </r>
  <r>
    <n v="4"/>
    <x v="4"/>
    <s v="50mm x 3m R/Flange cable tray covers "/>
    <n v="-3"/>
    <n v="87"/>
    <n v="-261"/>
    <m/>
    <s v="Allocated to Ziegler Warehouse"/>
    <x v="9"/>
    <n v="0"/>
    <m/>
    <d v="2026-02-28T00:00:00"/>
    <m/>
  </r>
  <r>
    <n v="4"/>
    <x v="4"/>
    <s v="300mm x 3m R/Flange cable tray "/>
    <n v="-16"/>
    <n v="501"/>
    <n v="-8016"/>
    <m/>
    <s v="Allocated to Ziegler Warehouse"/>
    <x v="9"/>
    <n v="0"/>
    <m/>
    <d v="2026-02-28T00:00:00"/>
    <m/>
  </r>
  <r>
    <n v="4"/>
    <x v="4"/>
    <s v="300mm x 3m R/Flange cable tray covers"/>
    <n v="-20"/>
    <n v="360"/>
    <n v="-7200"/>
    <m/>
    <s v="Allocated to Ziegler Warehouse"/>
    <x v="9"/>
    <n v="0"/>
    <m/>
    <d v="2026-02-28T00:00:00"/>
    <m/>
  </r>
  <r>
    <n v="4"/>
    <x v="4"/>
    <s v="75mm x 3m R/Flange cable tray"/>
    <n v="-3"/>
    <n v="237"/>
    <n v="-711"/>
    <m/>
    <s v="Allocated to Ziegler Warehouse"/>
    <x v="9"/>
    <n v="0"/>
    <m/>
    <d v="2026-02-28T00:00:00"/>
    <m/>
  </r>
  <r>
    <n v="4"/>
    <x v="4"/>
    <s v="75mm x 3m R/Flange cable tray cover"/>
    <n v="-2"/>
    <n v="117"/>
    <n v="-234"/>
    <m/>
    <s v="Allocated to Ziegler Warehouse"/>
    <x v="9"/>
    <n v="0"/>
    <m/>
    <d v="2026-02-28T00:00:00"/>
    <m/>
  </r>
  <r>
    <n v="4"/>
    <x v="4"/>
    <s v="110mm x 3m R/Flange cable tray"/>
    <n v="-2"/>
    <n v="246"/>
    <n v="-492"/>
    <m/>
    <s v="Allocated to Ziegler Warehouse"/>
    <x v="9"/>
    <n v="0"/>
    <m/>
    <d v="2026-02-28T00:00:00"/>
    <m/>
  </r>
  <r>
    <n v="4"/>
    <x v="4"/>
    <s v="225mm x 3m R/Flange cable tray"/>
    <n v="-2"/>
    <n v="375"/>
    <n v="-750"/>
    <m/>
    <s v="Allocated to Ziegler Warehouse"/>
    <x v="9"/>
    <n v="0"/>
    <m/>
    <d v="2026-02-28T00:00:00"/>
    <m/>
  </r>
  <r>
    <n v="4"/>
    <x v="4"/>
    <s v="300mm R/F Elbow"/>
    <n v="-2"/>
    <n v="189"/>
    <n v="-378"/>
    <m/>
    <s v="Allocated to Ziegler Warehouse"/>
    <x v="9"/>
    <n v="0"/>
    <m/>
    <d v="2026-02-28T00:00:00"/>
    <m/>
  </r>
  <r>
    <n v="4"/>
    <x v="4"/>
    <s v="300mm R/F Elbow cover"/>
    <n v="-2"/>
    <n v="180"/>
    <n v="-360"/>
    <m/>
    <s v="Allocated to Ziegler Warehouse"/>
    <x v="9"/>
    <n v="0"/>
    <m/>
    <d v="2026-02-28T00:00:00"/>
    <m/>
  </r>
  <r>
    <n v="4"/>
    <x v="4"/>
    <s v="450mm R/F Elbow"/>
    <n v="-3"/>
    <n v="470"/>
    <n v="-1410"/>
    <m/>
    <s v="Allocated to Ziegler Warehouse"/>
    <x v="9"/>
    <n v="0"/>
    <m/>
    <d v="2026-02-28T00:00:00"/>
    <m/>
  </r>
  <r>
    <n v="4"/>
    <x v="4"/>
    <s v="450mm R/F Elbow cover"/>
    <n v="-2"/>
    <n v="270"/>
    <n v="-540"/>
    <m/>
    <s v="Allocated to Ziegler Warehouse"/>
    <x v="9"/>
    <n v="0"/>
    <m/>
    <d v="2026-02-28T00:00:00"/>
    <m/>
  </r>
  <r>
    <n v="4"/>
    <x v="4"/>
    <s v="600mm Ladderack elbow"/>
    <n v="-1"/>
    <n v="491"/>
    <n v="-491"/>
    <m/>
    <s v="Allocated to Ziegler Warehouse"/>
    <x v="9"/>
    <n v="0"/>
    <m/>
    <d v="2026-02-28T00:00:00"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8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04T00:00:00"/>
    <m/>
  </r>
  <r>
    <n v="4"/>
    <x v="4"/>
    <s v="End of Defects Period - Rooftop"/>
    <m/>
    <n v="0.1"/>
    <n v="27500"/>
    <m/>
    <s v="Luken Solar Inv 0665"/>
    <x v="3"/>
    <n v="71925.973060766104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8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04T00:00:00"/>
    <m/>
  </r>
  <r>
    <n v="4"/>
    <x v="4"/>
    <s v="End of Defects Period - Ground Mount"/>
    <m/>
    <n v="0.1"/>
    <n v="29500"/>
    <m/>
    <s v="Luken Solar Inv 0665"/>
    <x v="3"/>
    <n v="77156.952919730917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5.4426000860985368E-4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6"/>
    <n v="17237.103282812757"/>
    <m/>
    <d v="2026-01-15T00:00:00"/>
    <m/>
  </r>
  <r>
    <n v="5"/>
    <x v="5"/>
    <s v="Supply &amp; Delivery - Mode Duplex Fibre Modules "/>
    <m/>
    <m/>
    <n v="1980"/>
    <m/>
    <s v="Paul Van Vuuren - IOG122"/>
    <x v="7"/>
    <n v="562.22433163430321"/>
    <m/>
    <d v="2026-01-31T00:00:00"/>
    <m/>
  </r>
  <r>
    <n v="5"/>
    <x v="5"/>
    <m/>
    <m/>
    <m/>
    <n v="-1980"/>
    <m/>
    <s v="Paul van Vuuren - CN000217"/>
    <x v="7"/>
    <m/>
    <m/>
    <d v="2026-01-31T00:00:00"/>
    <m/>
  </r>
  <r>
    <n v="5"/>
    <x v="5"/>
    <s v="Meanwell MDR-100-24"/>
    <n v="1"/>
    <m/>
    <n v="1060"/>
    <s v="PO4259-CSHP2-20250821 - RV Approved"/>
    <s v="Mantech INV1078143"/>
    <x v="10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11"/>
    <n v="3469.3217718440114"/>
    <m/>
    <d v="2025-11-13T00:00:00"/>
    <m/>
  </r>
  <r>
    <n v="5"/>
    <x v="5"/>
    <s v="Delivery of Techsitter"/>
    <m/>
    <m/>
    <n v="308.98"/>
    <m/>
    <s v="DSV Inv: 180150385"/>
    <x v="11"/>
    <n v="97.749104563019316"/>
    <m/>
    <d v="2025-11-30T00:00:00"/>
    <m/>
  </r>
  <r>
    <n v="5"/>
    <x v="5"/>
    <m/>
    <m/>
    <m/>
    <m/>
    <m/>
    <m/>
    <x v="0"/>
    <m/>
    <m/>
    <m/>
    <m/>
  </r>
  <r>
    <n v="5"/>
    <x v="5"/>
    <s v="AcuRev Energy Meter"/>
    <m/>
    <m/>
    <n v="3170"/>
    <m/>
    <s v="AccuEnergy - ASAI-007302"/>
    <x v="7"/>
    <n v="7.42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258542.35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6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185mm x 3core Cu XLPE PVC SWA"/>
    <n v="-90"/>
    <n v="2771"/>
    <n v="-249390"/>
    <m/>
    <s v="Allocated to Ziegler Warehouse"/>
    <x v="9"/>
    <n v="0"/>
    <m/>
    <d v="2026-02-28T00:00:00"/>
    <m/>
  </r>
  <r>
    <n v="6"/>
    <x v="6"/>
    <s v="185mm x 3core Cu XLPE PVC SWA"/>
    <n v="90"/>
    <n v="2771"/>
    <n v="249390"/>
    <m/>
    <s v="Allocated from Ziegler Warehouse"/>
    <x v="12"/>
    <n v="0"/>
    <m/>
    <d v="2026-04-30T00:00:00"/>
    <m/>
  </r>
  <r>
    <n v="6"/>
    <x v="6"/>
    <m/>
    <m/>
    <m/>
    <m/>
    <m/>
    <m/>
    <x v="0"/>
    <m/>
    <m/>
    <m/>
    <m/>
  </r>
  <r>
    <n v="6"/>
    <x v="6"/>
    <s v="Earthing Cable 6sqmm (returned to stock)"/>
    <n v="-5000"/>
    <n v="14.6"/>
    <n v="-73000"/>
    <m/>
    <s v="Allocated to Ziegler Warehouse"/>
    <x v="9"/>
    <n v="0"/>
    <m/>
    <d v="2026-02-28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70sqmm BCEW (Bare copper earth cable) (returned to stock)"/>
    <n v="-70"/>
    <n v="140"/>
    <n v="-9800"/>
    <m/>
    <s v="Allocated to Ziegler Warehouse"/>
    <x v="9"/>
    <n v="0"/>
    <m/>
    <d v="2026-02-28T00:00:00"/>
    <m/>
  </r>
  <r>
    <n v="6"/>
    <x v="6"/>
    <s v="95sqmm G/Y House wire cable (returned to stock)"/>
    <n v="-70"/>
    <n v="198"/>
    <n v="-13860"/>
    <m/>
    <s v="Allocated to Ziegler Warehouse"/>
    <x v="9"/>
    <n v="0"/>
    <m/>
    <d v="2026-02-28T00:00:00"/>
    <m/>
  </r>
  <r>
    <n v="6"/>
    <x v="6"/>
    <s v="50sqmm G/Y House wire (returned to stock)"/>
    <n v="-125"/>
    <n v="151"/>
    <n v="-18875"/>
    <m/>
    <s v="Allocated to Ziegler Warehouse"/>
    <x v="9"/>
    <n v="0"/>
    <m/>
    <d v="2026-02-28T00:00:00"/>
    <m/>
  </r>
  <r>
    <n v="6"/>
    <x v="6"/>
    <s v="No.6 Compression Glands (returned to stock)"/>
    <n v="-27"/>
    <n v="595"/>
    <n v="-16065"/>
    <m/>
    <s v="Allocated to Ziegler Warehouse"/>
    <x v="9"/>
    <n v="0"/>
    <m/>
    <d v="2026-02-28T00:00:00"/>
    <m/>
  </r>
  <r>
    <n v="6"/>
    <x v="6"/>
    <s v="Alu Lugs 150x12"/>
    <n v="-15"/>
    <n v="40.31"/>
    <n v="-604.65000000000009"/>
    <m/>
    <s v="Allocated to Ziegler Warehouse"/>
    <x v="9"/>
    <n v="0"/>
    <m/>
    <d v="2026-02-28T00:00:00"/>
    <m/>
  </r>
  <r>
    <n v="6"/>
    <x v="6"/>
    <s v="150mmx4core Str AL XLPE SWA cable"/>
    <n v="-30"/>
    <n v="358"/>
    <n v="-10740"/>
    <m/>
    <s v="Allocated to Ziegler Warehouse"/>
    <x v="9"/>
    <n v="0"/>
    <m/>
    <d v="2026-02-28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0"/>
    <m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8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04T00:00:00"/>
    <m/>
  </r>
  <r>
    <n v="6"/>
    <x v="6"/>
    <s v="End of Defects Period - Rooftop"/>
    <m/>
    <n v="0.1"/>
    <n v="27500"/>
    <m/>
    <s v="Luken Solar Inv 0665"/>
    <x v="3"/>
    <n v="39048.034594758567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8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04T00:00:00"/>
    <m/>
  </r>
  <r>
    <n v="6"/>
    <x v="6"/>
    <s v="End of Defects Period - Ground Mount"/>
    <m/>
    <n v="0.1"/>
    <n v="29500"/>
    <m/>
    <s v="Luken Solar Inv 0665"/>
    <x v="3"/>
    <n v="41887.8916561955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1.8892991356551647E-3"/>
    <m/>
    <n v="2175649.8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8"/>
    <n v="311742.46060635644"/>
    <m/>
    <d v="2025-06-26T00:00:00"/>
    <m/>
  </r>
  <r>
    <n v="8"/>
    <x v="8"/>
    <s v="Walkway Mounting Kit"/>
    <m/>
    <m/>
    <n v="8911.2000000000007"/>
    <m/>
    <s v="Onvlee - Inv 1050589"/>
    <x v="8"/>
    <n v="10493.124112514432"/>
    <m/>
    <d v="2025-06-26T00:00:00"/>
    <m/>
  </r>
  <r>
    <n v="8"/>
    <x v="8"/>
    <s v="Transport"/>
    <m/>
    <m/>
    <n v="500"/>
    <m/>
    <s v="Onvlee - Inv 1050589"/>
    <x v="8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 (1 x waterpoint)"/>
    <m/>
    <m/>
    <n v="9531.6"/>
    <s v="PO4631-CSPH2-20260219 - RV Approved"/>
    <s v="Luken Solar INV-0714"/>
    <x v="9"/>
    <n v="47805.18"/>
    <m/>
    <d v="2026-03-05T00:00:00"/>
    <m/>
  </r>
  <r>
    <n v="8"/>
    <x v="8"/>
    <m/>
    <m/>
    <m/>
    <m/>
    <m/>
    <m/>
    <x v="0"/>
    <n v="0"/>
    <m/>
    <m/>
    <m/>
  </r>
  <r>
    <n v="9"/>
    <x v="8"/>
    <m/>
    <m/>
    <m/>
    <m/>
    <m/>
    <m/>
    <x v="0"/>
    <m/>
    <m/>
    <m/>
    <m/>
  </r>
  <r>
    <n v="8"/>
    <x v="8"/>
    <s v="Poder forFire Extinguisher"/>
    <m/>
    <m/>
    <n v="1376.27"/>
    <m/>
    <s v="Transfire Inv: UN-18217"/>
    <x v="11"/>
    <n v="1352.2371916952748"/>
    <m/>
    <d v="2025-10-10T00:00:00"/>
    <m/>
  </r>
  <r>
    <n v="8"/>
    <x v="8"/>
    <s v="Upfront Fedgroup Fee"/>
    <m/>
    <m/>
    <n v="200000"/>
    <m/>
    <s v="Fedgroup Green - SPVL000487_250731"/>
    <x v="3"/>
    <n v="522600.12083190132"/>
    <m/>
    <d v="2026-04-02T00:00:00"/>
    <m/>
  </r>
  <r>
    <n v="8"/>
    <x v="8"/>
    <s v="Upfront Fedgroup Fee"/>
    <m/>
    <m/>
    <n v="200000"/>
    <m/>
    <s v="Fedgroup Green - SPVL000487_250731"/>
    <x v="3"/>
    <n v="0"/>
    <m/>
    <d v="2026-04-16T00:00:00"/>
    <m/>
  </r>
  <r>
    <n v="8"/>
    <x v="8"/>
    <s v="Upfront Fedgroup Fee"/>
    <m/>
    <m/>
    <n v="200000"/>
    <m/>
    <s v="Fedgroup Green - SPVL000487_250731"/>
    <x v="3"/>
    <n v="0"/>
    <m/>
    <d v="2026-05-28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8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0-02T00:00:00"/>
    <m/>
  </r>
  <r>
    <n v="9"/>
    <x v="9"/>
    <s v="Cable Trays Installed"/>
    <m/>
    <n v="0.1"/>
    <n v="240000"/>
    <m/>
    <s v="Luken Solar Inv 0665"/>
    <x v="3"/>
    <n v="152833.14847485034"/>
    <m/>
    <d v="2025-10-02T00:00:00"/>
    <m/>
  </r>
  <r>
    <n v="9"/>
    <x v="9"/>
    <s v="Panel Installation Complete"/>
    <m/>
    <n v="0.2"/>
    <n v="480000"/>
    <m/>
    <s v="Luken Solar - INV-0701"/>
    <x v="7"/>
    <n v="305666.29694970069"/>
    <m/>
    <d v="2026-01-23T00:00:00"/>
    <m/>
  </r>
  <r>
    <n v="9"/>
    <x v="9"/>
    <s v="Stringing Complete"/>
    <m/>
    <n v="0.05"/>
    <n v="120000"/>
    <m/>
    <s v="Luken Solar - INV-0701"/>
    <x v="7"/>
    <n v="76416.574237425171"/>
    <m/>
    <d v="2026-01-23T00:00:00"/>
    <m/>
  </r>
  <r>
    <n v="9"/>
    <x v="9"/>
    <s v="Snag Completion"/>
    <m/>
    <n v="0.05"/>
    <n v="120000"/>
    <m/>
    <s v="Luken Solar - INV-0701"/>
    <x v="7"/>
    <n v="76416.574237425171"/>
    <m/>
    <d v="2026-03-12T00:00:00"/>
    <m/>
  </r>
  <r>
    <n v="9"/>
    <x v="9"/>
    <s v="End of Defects Period"/>
    <m/>
    <n v="2.5000000000000001E-2"/>
    <n v="60000"/>
    <m/>
    <s v="Luken Solar - INV-0701"/>
    <x v="7"/>
    <n v="38208.287118712586"/>
    <m/>
    <d v="2026-04-30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8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12-04T00:00:00"/>
    <m/>
  </r>
  <r>
    <n v="9"/>
    <x v="9"/>
    <s v="Cable Trays Installed"/>
    <m/>
    <n v="0.1"/>
    <n v="150000"/>
    <m/>
    <s v="Luken Solar Inv 0665"/>
    <x v="3"/>
    <n v="95520.717796781464"/>
    <m/>
    <d v="2026-02-26T00:00:00"/>
    <m/>
  </r>
  <r>
    <n v="9"/>
    <x v="9"/>
    <s v="Panel Installation Complete 75%"/>
    <m/>
    <n v="0.15"/>
    <n v="225000"/>
    <m/>
    <s v="Luken Solar Inv 0665"/>
    <x v="3"/>
    <n v="191041.43559356293"/>
    <m/>
    <d v="2025-12-18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n v="0"/>
    <m/>
    <d v="2025-12-24T00:00:00"/>
    <m/>
  </r>
  <r>
    <n v="9"/>
    <x v="9"/>
    <s v="Snag Completion"/>
    <m/>
    <n v="0.05"/>
    <n v="75000"/>
    <m/>
    <s v="Luken Solar - INV-0701"/>
    <x v="7"/>
    <n v="47760.358898390732"/>
    <m/>
    <d v="2026-03-30T00:00:00"/>
    <m/>
  </r>
  <r>
    <n v="9"/>
    <x v="9"/>
    <s v="End of Defects Period"/>
    <m/>
    <n v="2.5000000000000001E-2"/>
    <n v="37500"/>
    <m/>
    <s v="Luken Solar - INV-0701"/>
    <x v="7"/>
    <n v="23880.179449195366"/>
    <m/>
    <d v="2026-04-30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8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2-04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7"/>
    <n v="62088.466567907948"/>
    <m/>
    <d v="2026-03-30T00:00:00"/>
    <m/>
  </r>
  <r>
    <n v="9"/>
    <x v="9"/>
    <s v="End of Defects Period"/>
    <m/>
    <n v="2.5000000000000001E-2"/>
    <n v="48750"/>
    <m/>
    <s v="Luken Solar - INV-0701"/>
    <x v="7"/>
    <n v="31044.233283953974"/>
    <m/>
    <d v="2026-04-30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89880.47000000009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6"/>
    <n v="0"/>
    <m/>
    <d v="2026-01-09T00:00:00"/>
    <m/>
  </r>
  <r>
    <n v="10"/>
    <x v="10"/>
    <s v="Omega Security - January "/>
    <m/>
    <m/>
    <n v="41470"/>
    <m/>
    <s v="Omega - OM040944"/>
    <x v="6"/>
    <n v="790.55"/>
    <m/>
    <d v="2026-01-31T00:00:00"/>
    <m/>
  </r>
  <r>
    <n v="10"/>
    <x v="10"/>
    <s v="Installation of Fuard Secure"/>
    <m/>
    <m/>
    <n v="460"/>
    <m/>
    <s v="Omega - OMO40594"/>
    <x v="6"/>
    <n v="0"/>
    <m/>
    <d v="2026-01-09T00:00:00"/>
    <m/>
  </r>
  <r>
    <n v="10"/>
    <x v="10"/>
    <s v="Omega Security - February"/>
    <m/>
    <m/>
    <n v="41470"/>
    <m/>
    <s v="Omega - OM041678"/>
    <x v="9"/>
    <n v="0"/>
    <m/>
    <d v="2026-03-30T00:00:00"/>
    <m/>
  </r>
  <r>
    <n v="10"/>
    <x v="10"/>
    <m/>
    <m/>
    <m/>
    <n v="7855.19"/>
    <m/>
    <s v="Oemga - OM042216"/>
    <x v="5"/>
    <m/>
    <m/>
    <d v="2026-05-14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8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4-30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8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4-30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8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8"/>
    <n v="163.19120992518586"/>
    <m/>
    <d v="2025-08-07T00:00:00"/>
    <m/>
  </r>
  <r>
    <n v="10"/>
    <x v="10"/>
    <s v="Container Hire"/>
    <m/>
    <m/>
    <n v="2635"/>
    <m/>
    <s v="Container World - P594608"/>
    <x v="10"/>
    <n v="0"/>
    <m/>
    <d v="2025-09-30T00:00:00"/>
    <m/>
  </r>
  <r>
    <n v="10"/>
    <x v="10"/>
    <s v="Container Hire"/>
    <m/>
    <m/>
    <n v="1550"/>
    <m/>
    <s v="Container World - P594597"/>
    <x v="10"/>
    <n v="0"/>
    <m/>
    <d v="2025-09-30T00:00:00"/>
    <m/>
  </r>
  <r>
    <n v="10"/>
    <x v="10"/>
    <s v="Container Hire"/>
    <m/>
    <m/>
    <n v="1550"/>
    <m/>
    <s v="Container World - P594595"/>
    <x v="10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11"/>
    <n v="865.42161616940507"/>
    <m/>
    <d v="2025-11-13T00:00:00"/>
    <m/>
  </r>
  <r>
    <n v="10"/>
    <x v="10"/>
    <s v="Container Hire - November- Container"/>
    <m/>
    <m/>
    <n v="1500"/>
    <m/>
    <s v="Container World - P598169"/>
    <x v="11"/>
    <n v="865.42161616940507"/>
    <m/>
    <d v="2025-11-13T00:00:00"/>
    <m/>
  </r>
  <r>
    <n v="10"/>
    <x v="10"/>
    <s v="Container Hire - November- Container"/>
    <m/>
    <m/>
    <n v="2550"/>
    <m/>
    <s v="Container World - P598179"/>
    <x v="11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6"/>
    <n v="0"/>
    <m/>
    <d v="2026-01-09T00:00:00"/>
    <m/>
  </r>
  <r>
    <n v="10"/>
    <x v="10"/>
    <s v="Container Hire - January - Container 2"/>
    <m/>
    <m/>
    <n v="1550"/>
    <m/>
    <s v="Container World P605066"/>
    <x v="6"/>
    <n v="0"/>
    <m/>
    <d v="2026-01-09T00:00:00"/>
    <m/>
  </r>
  <r>
    <n v="10"/>
    <x v="10"/>
    <s v="Container Hire - January - Office Container "/>
    <m/>
    <m/>
    <n v="2635"/>
    <m/>
    <s v="Container World P605075"/>
    <x v="6"/>
    <n v="0"/>
    <m/>
    <d v="2026-01-09T00:00:00"/>
    <m/>
  </r>
  <r>
    <n v="10"/>
    <x v="10"/>
    <s v="Container Hire - February - Office Container "/>
    <m/>
    <m/>
    <n v="1400"/>
    <m/>
    <s v="Container World P608429"/>
    <x v="7"/>
    <n v="0"/>
    <m/>
    <d v="2026-02-05T00:00:00"/>
    <m/>
  </r>
  <r>
    <n v="10"/>
    <x v="10"/>
    <s v="Container Hire - February - Office Container "/>
    <m/>
    <m/>
    <n v="1400"/>
    <m/>
    <s v="Container World P608431"/>
    <x v="7"/>
    <n v="0"/>
    <m/>
    <d v="2026-02-05T00:00:00"/>
    <m/>
  </r>
  <r>
    <n v="10"/>
    <x v="10"/>
    <s v="Container Hire - February - Office Container "/>
    <m/>
    <m/>
    <n v="2380"/>
    <m/>
    <s v="Container World P608440"/>
    <x v="7"/>
    <n v="0"/>
    <m/>
    <d v="2026-02-05T00:00:00"/>
    <m/>
  </r>
  <r>
    <n v="10"/>
    <x v="10"/>
    <s v="Container Hire - March - Office Container "/>
    <m/>
    <m/>
    <n v="0"/>
    <m/>
    <m/>
    <x v="0"/>
    <n v="0"/>
    <m/>
    <d v="2026-03-05T00:00:00"/>
    <m/>
  </r>
  <r>
    <n v="10"/>
    <x v="10"/>
    <s v="Container Hire - March - Office Container "/>
    <m/>
    <m/>
    <n v="1550"/>
    <m/>
    <s v="Container World P611940"/>
    <x v="9"/>
    <n v="0"/>
    <m/>
    <d v="2026-03-05T00:00:00"/>
    <m/>
  </r>
  <r>
    <n v="10"/>
    <x v="10"/>
    <s v="Container Hire - March - Office Container "/>
    <m/>
    <m/>
    <n v="1550"/>
    <m/>
    <s v="Container World P611942"/>
    <x v="9"/>
    <n v="0"/>
    <m/>
    <d v="2026-03-05T00:00:00"/>
    <m/>
  </r>
  <r>
    <n v="10"/>
    <x v="10"/>
    <s v="Container Hire - March - Office Container "/>
    <m/>
    <m/>
    <n v="2635"/>
    <m/>
    <s v="Container World P611950"/>
    <x v="9"/>
    <n v="0"/>
    <m/>
    <d v="2026-03-05T00:00:00"/>
    <m/>
  </r>
  <r>
    <n v="10"/>
    <x v="10"/>
    <s v="Container Hire - March - Office Container "/>
    <m/>
    <m/>
    <n v="-1300"/>
    <m/>
    <s v="Container World - PC44252"/>
    <x v="5"/>
    <n v="0"/>
    <m/>
    <d v="2026-03-31T00:00:00"/>
    <m/>
  </r>
  <r>
    <n v="10"/>
    <x v="10"/>
    <s v="Container Hire - March - Office Container "/>
    <m/>
    <m/>
    <n v="-1350"/>
    <m/>
    <s v="Container World - PC44221"/>
    <x v="5"/>
    <n v="0"/>
    <m/>
    <d v="2026-03-31T00:00:00"/>
    <m/>
  </r>
  <r>
    <n v="10"/>
    <x v="10"/>
    <s v="Container Hire - March - Office Container "/>
    <m/>
    <m/>
    <n v="-2295"/>
    <m/>
    <s v="Container World - PC44222"/>
    <x v="5"/>
    <n v="0"/>
    <m/>
    <d v="2026-03-31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10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11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6"/>
    <n v="608.42503176814455"/>
    <m/>
    <d v="2026-01-07T00:00:00"/>
    <m/>
  </r>
  <r>
    <n v="10"/>
    <x v="10"/>
    <s v="Site Ablutions - December"/>
    <m/>
    <m/>
    <n v="608.70000000000005"/>
    <m/>
    <s v="Talisman Hire - 00217616"/>
    <x v="6"/>
    <n v="304.21251588407227"/>
    <m/>
    <d v="2026-01-07T00:00:00"/>
    <m/>
  </r>
  <r>
    <n v="10"/>
    <x v="10"/>
    <s v="Site Ablutions - January"/>
    <m/>
    <m/>
    <n v="1826.1"/>
    <m/>
    <s v="Talisman Hire - 00218837"/>
    <x v="7"/>
    <n v="0"/>
    <m/>
    <d v="2026-02-05T00:00:00"/>
    <m/>
  </r>
  <r>
    <n v="10"/>
    <x v="10"/>
    <s v="Site Ablutions - January"/>
    <m/>
    <m/>
    <n v="913.05"/>
    <m/>
    <s v="Talisman Hire - 00218853"/>
    <x v="7"/>
    <n v="0"/>
    <m/>
    <d v="2026-02-05T00:00:00"/>
    <m/>
  </r>
  <r>
    <n v="10"/>
    <x v="10"/>
    <s v="Site Ablutions - February"/>
    <m/>
    <m/>
    <n v="2434.7800000000002"/>
    <m/>
    <s v="Talisman Hire - 00220052"/>
    <x v="9"/>
    <n v="0"/>
    <m/>
    <d v="2026-03-05T00:00:00"/>
    <m/>
  </r>
  <r>
    <n v="10"/>
    <x v="10"/>
    <s v="Site Ablutions - February"/>
    <m/>
    <m/>
    <n v="1217.3900000000001"/>
    <m/>
    <s v="Talisman Hire - 00220066"/>
    <x v="9"/>
    <n v="0"/>
    <m/>
    <d v="2026-03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0"/>
    <m/>
    <m/>
    <x v="9"/>
    <n v="0"/>
    <n v="-3.9847782463766634E-3"/>
    <d v="2026-03-31T00:00:00"/>
    <n v="426656"/>
  </r>
  <r>
    <n v="11"/>
    <x v="11"/>
    <s v="Technical Review - Onsite inspection and reporting - Final Inspection"/>
    <m/>
    <m/>
    <n v="35600"/>
    <s v="PO4372-CSPH2-20251020 - RV Approved"/>
    <s v="2XTwo - EME-262"/>
    <x v="9"/>
    <n v="193606.6819007681"/>
    <m/>
    <d v="2026-02-26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7"/>
    <n v="0"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8"/>
    <n v="12174.422007609013"/>
    <m/>
    <d v="2025-07-03T00:00:00"/>
    <m/>
  </r>
  <r>
    <n v="11"/>
    <x v="11"/>
    <s v="Grid Study"/>
    <m/>
    <m/>
    <n v="79700"/>
    <s v="PO4078-COEG-20250701 - RV Approved"/>
    <s v="Okusha - EE18"/>
    <x v="11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5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10000"/>
    <m/>
    <s v="Matriarch - INV-6571"/>
    <x v="9"/>
    <n v="11581.171882238234"/>
    <m/>
    <d v="2026-03-27T00:00:00"/>
    <m/>
  </r>
  <r>
    <n v="11"/>
    <x v="11"/>
    <s v="Red Team Inspection - Dec - 2"/>
    <m/>
    <m/>
    <n v="10000"/>
    <m/>
    <s v="Matriarch - INV-6571"/>
    <x v="9"/>
    <n v="11581.171882238234"/>
    <m/>
    <d v="2026-03-27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Performance Guarantee"/>
    <m/>
    <m/>
    <n v="82140.666666666672"/>
    <m/>
    <s v="Matriarch - INV-6572"/>
    <x v="9"/>
    <n v="86896.76"/>
    <n v="-3.1437885481864214E-3"/>
    <d v="2026-03-27T00:00:00"/>
    <n v="1011274.9999999999"/>
  </r>
  <r>
    <n v="13"/>
    <x v="13"/>
    <s v="Performance Guarantee"/>
    <m/>
    <m/>
    <n v="82140.666666666672"/>
    <m/>
    <s v="Matriarch - INV-6572"/>
    <x v="9"/>
    <n v="86896.76"/>
    <m/>
    <d v="2026-05-07T00:00:00"/>
    <m/>
  </r>
  <r>
    <n v="13"/>
    <x v="13"/>
    <s v="Performance Guarantee"/>
    <m/>
    <m/>
    <n v="82140.666666666672"/>
    <m/>
    <s v="Matriarch - INV-6572"/>
    <x v="9"/>
    <n v="86896.76"/>
    <m/>
    <d v="2026-05-31T00:00:00"/>
    <m/>
  </r>
  <r>
    <n v="13"/>
    <x v="13"/>
    <s v="Performance Guarantee"/>
    <m/>
    <m/>
    <n v="82140.666666666672"/>
    <m/>
    <s v="Matriarch - INV-6572"/>
    <x v="9"/>
    <n v="86896.76"/>
    <m/>
    <d v="2026-06-30T00:00:00"/>
    <m/>
  </r>
  <r>
    <n v="13"/>
    <x v="13"/>
    <s v="Performance Guarantee"/>
    <m/>
    <m/>
    <n v="82140.666666666672"/>
    <m/>
    <s v="Matriarch - INV-6572"/>
    <x v="9"/>
    <n v="86896.76"/>
    <m/>
    <d v="2026-07-31T00:00:00"/>
    <m/>
  </r>
  <r>
    <n v="13"/>
    <x v="13"/>
    <s v="Performance Guarantee"/>
    <m/>
    <m/>
    <n v="82140.666666666672"/>
    <m/>
    <s v="Matriarch - INV-6572"/>
    <x v="9"/>
    <n v="86896.76"/>
    <m/>
    <d v="2026-08-31T00:00:00"/>
    <m/>
  </r>
  <r>
    <n v="13"/>
    <x v="13"/>
    <s v="Performance Guarantee"/>
    <m/>
    <m/>
    <n v="82140.666666666672"/>
    <m/>
    <s v="Matriarch - INV-6572"/>
    <x v="9"/>
    <n v="86896.76"/>
    <m/>
    <d v="2026-09-30T00:00:00"/>
    <m/>
  </r>
  <r>
    <n v="13"/>
    <x v="13"/>
    <s v="Performance Guarantee"/>
    <m/>
    <m/>
    <n v="82140.666666666672"/>
    <m/>
    <s v="Matriarch - INV-6572"/>
    <x v="9"/>
    <n v="86896.76"/>
    <m/>
    <d v="2026-10-31T00:00:00"/>
    <m/>
  </r>
  <r>
    <n v="13"/>
    <x v="13"/>
    <s v="Performance Guarantee"/>
    <m/>
    <m/>
    <n v="82140.666666666672"/>
    <m/>
    <s v="Matriarch - INV-6572"/>
    <x v="9"/>
    <n v="86896.76"/>
    <m/>
    <d v="2026-11-30T00:00:00"/>
    <m/>
  </r>
  <r>
    <n v="13"/>
    <x v="13"/>
    <s v="Performance Guarantee"/>
    <m/>
    <m/>
    <n v="82140.666666666672"/>
    <m/>
    <s v="Matriarch - INV-6572"/>
    <x v="9"/>
    <n v="86896.76"/>
    <m/>
    <d v="2026-12-31T00:00:00"/>
    <m/>
  </r>
  <r>
    <n v="13"/>
    <x v="13"/>
    <s v="Performance Guarantee"/>
    <m/>
    <m/>
    <n v="82140.666666666672"/>
    <m/>
    <s v="Matriarch - INV-6572"/>
    <x v="9"/>
    <n v="86896.76"/>
    <m/>
    <d v="2027-01-31T00:00:00"/>
    <m/>
  </r>
  <r>
    <n v="13"/>
    <x v="13"/>
    <s v="Performance Guarantee"/>
    <m/>
    <m/>
    <n v="82140.666666666672"/>
    <m/>
    <s v="Matriarch - INV-6572"/>
    <x v="9"/>
    <n v="86896.8"/>
    <m/>
    <d v="2027-02-25T00:00:00"/>
    <m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10"/>
    <n v="3164.3927857304275"/>
    <m/>
    <d v="2025-08-31T00:00:00"/>
    <m/>
  </r>
  <r>
    <n v="13"/>
    <x v="13"/>
    <s v="Matriarch O &amp; M Fee - Phase 1 - Oct"/>
    <m/>
    <m/>
    <n v="2843"/>
    <m/>
    <s v="Matriarch Inv: 5241"/>
    <x v="11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6"/>
    <n v="3118.0250777042997"/>
    <m/>
    <d v="2026-01-29T00:00:00"/>
    <m/>
  </r>
  <r>
    <n v="13"/>
    <x v="13"/>
    <s v="Matriarch O &amp; M Fee - Phase 1 - Jan"/>
    <m/>
    <m/>
    <n v="2843"/>
    <m/>
    <s v="Matriarch - INV-6102"/>
    <x v="7"/>
    <n v="2843"/>
    <m/>
    <d v="2026-03-26T00:00:00"/>
    <m/>
  </r>
  <r>
    <n v="13"/>
    <x v="13"/>
    <s v="Panel Clean"/>
    <m/>
    <m/>
    <n v="8737.26"/>
    <m/>
    <s v="Matriarch - INV-6216"/>
    <x v="7"/>
    <n v="8737.26"/>
    <m/>
    <d v="2026-02-28T00:00:00"/>
    <m/>
  </r>
  <r>
    <n v="13"/>
    <x v="13"/>
    <s v="Panel Clean"/>
    <m/>
    <m/>
    <n v="-8737.26"/>
    <m/>
    <s v="Matriarch - INV-6568"/>
    <x v="9"/>
    <n v="0"/>
    <m/>
    <d v="2026-02-28T00:00:00"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3"/>
    <n v="0"/>
    <n v="0"/>
    <d v="2025-06-09T00:00:00"/>
    <n v="308787.17"/>
  </r>
  <r>
    <n v="14"/>
    <x v="14"/>
    <s v="Travel"/>
    <m/>
    <m/>
    <n v="5770.84"/>
    <m/>
    <s v="Expense Claim"/>
    <x v="8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10"/>
    <n v="0"/>
    <m/>
    <d v="2025-10-10T00:00:00"/>
    <m/>
  </r>
  <r>
    <n v="14"/>
    <x v="14"/>
    <s v="Travel"/>
    <m/>
    <m/>
    <n v="20629.91"/>
    <m/>
    <s v="Expense Claim"/>
    <x v="11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6"/>
    <n v="0"/>
    <m/>
    <d v="2026-01-08T00:00:00"/>
    <m/>
  </r>
  <r>
    <n v="14"/>
    <x v="14"/>
    <s v="Travel"/>
    <m/>
    <m/>
    <n v="28655.7"/>
    <m/>
    <s v="Expense Claim"/>
    <x v="7"/>
    <n v="0"/>
    <m/>
    <d v="2026-02-05T00:00:00"/>
    <m/>
  </r>
  <r>
    <n v="14"/>
    <x v="14"/>
    <s v="Travel"/>
    <m/>
    <m/>
    <n v="52616.57"/>
    <m/>
    <s v="Expense Claim"/>
    <x v="9"/>
    <n v="0"/>
    <m/>
    <d v="2026-03-05T00:00:00"/>
    <m/>
  </r>
  <r>
    <n v="14"/>
    <x v="14"/>
    <s v="Travel"/>
    <m/>
    <m/>
    <n v="14045.67"/>
    <m/>
    <s v="Expense Claim"/>
    <x v="5"/>
    <n v="0"/>
    <m/>
    <d v="2026-04-03T00:00:00"/>
    <m/>
  </r>
  <r>
    <n v="14"/>
    <x v="14"/>
    <s v="Travel"/>
    <m/>
    <m/>
    <n v="905.85"/>
    <m/>
    <s v="Expense Claim"/>
    <x v="12"/>
    <n v="0"/>
    <m/>
    <d v="2026-05-07T00:00:00"/>
    <m/>
  </r>
  <r>
    <n v="14"/>
    <x v="14"/>
    <s v="Travel"/>
    <m/>
    <m/>
    <n v="700"/>
    <m/>
    <m/>
    <x v="14"/>
    <n v="0"/>
    <m/>
    <d v="2026-06-04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m/>
    <m/>
    <n v="2225511.4099999997"/>
  </r>
  <r>
    <n v="15"/>
    <x v="15"/>
    <s v="CDC Fee"/>
    <m/>
    <m/>
    <m/>
    <m/>
    <m/>
    <x v="0"/>
    <m/>
    <m/>
    <m/>
    <m/>
  </r>
  <r>
    <n v="15"/>
    <x v="15"/>
    <s v="Evaluation of fitness certificates"/>
    <m/>
    <m/>
    <n v="140.75"/>
    <s v="PO4554-CSPH2-20260116 - RV Approved"/>
    <s v="Coega Development Corporation INV78403"/>
    <x v="7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10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10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10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10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11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11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7"/>
    <m/>
    <m/>
    <d v="2026-01-29T00:00:00"/>
    <m/>
  </r>
  <r>
    <n v="15"/>
    <x v="15"/>
    <s v="Labour Management Fee"/>
    <m/>
    <m/>
    <n v="5215.6099999999997"/>
    <s v="PO4613-CSPH2-20260206 - RV Approved"/>
    <s v="Coega Development Corporation - 06-02-26"/>
    <x v="9"/>
    <m/>
    <m/>
    <d v="2026-03-12T00:00:00"/>
    <m/>
  </r>
  <r>
    <n v="15"/>
    <x v="15"/>
    <s v="Labour Management Fee"/>
    <m/>
    <m/>
    <n v="7051.28"/>
    <s v="PO4649-CSPH2-20260227 - RV Approved"/>
    <s v="Coega Development Corporation - INV79872"/>
    <x v="9"/>
    <m/>
    <m/>
    <d v="2026-04-02T00:00:00"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6"/>
    <m/>
    <m/>
    <d v="2026-01-29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11"/>
    <m/>
    <m/>
    <d v="2025-10-16T00:00:00"/>
    <m/>
  </r>
  <r>
    <n v="15"/>
    <x v="15"/>
    <s v="5000L Water"/>
    <m/>
    <m/>
    <n v="1200"/>
    <s v="PO4419-CSPH2-20251029 - RV Approved"/>
    <s v="Ultimate Soltions INV 2647"/>
    <x v="6"/>
    <m/>
    <m/>
    <d v="2025-12-12T00:00:00"/>
    <m/>
  </r>
  <r>
    <n v="15"/>
    <x v="15"/>
    <s v="5000L Water"/>
    <m/>
    <m/>
    <n v="1200"/>
    <s v="PO4473-CSPH2-20251114 - RV Approved"/>
    <s v="Ultimate Soltions INV 2667"/>
    <x v="7"/>
    <m/>
    <m/>
    <d v="2026-04-02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ARB - 240mm Alu XLPE 22kV"/>
    <n v="500"/>
    <n v="1044.21"/>
    <n v="522105"/>
    <s v="PO4794-CSPH2-20260429 - RV Approved"/>
    <m/>
    <x v="14"/>
    <m/>
    <m/>
    <d v="2026-06-30T00:00:00"/>
    <m/>
  </r>
  <r>
    <n v="15"/>
    <x v="15"/>
    <m/>
    <m/>
    <m/>
    <m/>
    <m/>
    <m/>
    <x v="0"/>
    <m/>
    <m/>
    <m/>
    <m/>
  </r>
  <r>
    <n v="15"/>
    <x v="15"/>
    <s v="Labour - Budget"/>
    <m/>
    <m/>
    <n v="197285.68"/>
    <m/>
    <m/>
    <x v="14"/>
    <m/>
    <m/>
    <d v="2026-05-31T00:00:00"/>
    <m/>
  </r>
  <r>
    <n v="15"/>
    <x v="15"/>
    <s v="Luken Solar - MV Cable Installation"/>
    <m/>
    <m/>
    <n v="52714.32"/>
    <s v="PO4779-CSPH2-20260423 - RV Approved"/>
    <s v="Luken Solar - INV-0733"/>
    <x v="12"/>
    <m/>
    <m/>
    <d v="2026-05-2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n v="0"/>
    <m/>
    <m/>
    <x v="0"/>
    <m/>
    <m/>
    <m/>
    <m/>
  </r>
  <r>
    <n v="15"/>
    <x v="15"/>
    <s v="Transport cable"/>
    <m/>
    <m/>
    <n v="8835.7999999999993"/>
    <m/>
    <s v="Ziegler - W00216980"/>
    <x v="14"/>
    <m/>
    <m/>
    <d v="2026-06-30T00:00:00"/>
    <m/>
  </r>
  <r>
    <n v="15"/>
    <x v="15"/>
    <s v="MV 185x3 CU XLPE SWA PVC 22KV"/>
    <n v="20"/>
    <n v="2771"/>
    <n v="55420"/>
    <m/>
    <s v="Helukabel - InvPSI0054674"/>
    <x v="12"/>
    <m/>
    <m/>
    <d v="2026-05-31T00:00:00"/>
    <m/>
  </r>
  <r>
    <n v="15"/>
    <x v="15"/>
    <s v="Transport Cable"/>
    <m/>
    <m/>
    <n v="14710.19"/>
    <m/>
    <s v="Helukabel - InvPSI0054675"/>
    <x v="12"/>
    <m/>
    <m/>
    <d v="2026-05-31T00:00:00"/>
    <m/>
  </r>
  <r>
    <n v="15"/>
    <x v="15"/>
    <s v="Waterpoints - Ground Mount (additional 11 points)"/>
    <m/>
    <m/>
    <n v="87500"/>
    <s v="PO4759-CSPH2-20260420 - PV Approved"/>
    <s v="Luken Solar - INV0731"/>
    <x v="12"/>
    <m/>
    <m/>
    <d v="2026-04-23T00:00:00"/>
    <m/>
  </r>
  <r>
    <n v="15"/>
    <x v="15"/>
    <m/>
    <m/>
    <m/>
    <n v="47814.170000000013"/>
    <m/>
    <s v="Luken Solar - INV0731"/>
    <x v="12"/>
    <m/>
    <m/>
    <d v="2026-05-14T00:00:00"/>
    <m/>
  </r>
  <r>
    <n v="15"/>
    <x v="15"/>
    <s v="Waterpoints - Roofs"/>
    <m/>
    <m/>
    <n v="67657.086956521744"/>
    <s v="PO4760-CSPH2-20260420 - PV Approved"/>
    <s v="Luken Solar - INV0732"/>
    <x v="12"/>
    <m/>
    <m/>
    <d v="2026-04-23T00:00:00"/>
    <m/>
  </r>
  <r>
    <n v="15"/>
    <x v="15"/>
    <m/>
    <m/>
    <m/>
    <n v="107342.91304347826"/>
    <m/>
    <s v="Luken Solar - INV0732"/>
    <x v="12"/>
    <m/>
    <m/>
    <d v="2026-05-14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elay Damages"/>
    <m/>
    <m/>
    <n v="0"/>
    <m/>
    <m/>
    <x v="0"/>
    <m/>
    <m/>
    <m/>
    <m/>
  </r>
  <r>
    <n v="15"/>
    <x v="15"/>
    <s v="Coega Steel PH2 - December 2025 Interest"/>
    <m/>
    <m/>
    <n v="271125.69"/>
    <m/>
    <s v="Fedgroup - LT000589_251231"/>
    <x v="7"/>
    <m/>
    <m/>
    <d v="2026-01-29T00:00:00"/>
    <m/>
  </r>
  <r>
    <n v="15"/>
    <x v="15"/>
    <s v="Coega Steel PH2 - Jan 2026 Interest"/>
    <m/>
    <m/>
    <n v="496745.53"/>
    <m/>
    <s v="Fedgroup - 1110788_260217"/>
    <x v="9"/>
    <m/>
    <m/>
    <d v="2026-02-26T00:00:00"/>
    <m/>
  </r>
  <r>
    <n v="15"/>
    <x v="15"/>
    <m/>
    <m/>
    <m/>
    <m/>
    <m/>
    <m/>
    <x v="0"/>
    <m/>
    <m/>
    <m/>
    <m/>
  </r>
  <r>
    <n v="15"/>
    <x v="15"/>
    <s v="Module Cleaning"/>
    <m/>
    <m/>
    <n v="71895.600000000006"/>
    <s v="PO4692-CSPH2-20260320 - RV Approved"/>
    <m/>
    <x v="15"/>
    <m/>
    <m/>
    <d v="2026-09-0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x="13"/>
        <item x="8"/>
        <item x="1"/>
        <item x="3"/>
        <item x="10"/>
        <item x="11"/>
        <item x="4"/>
        <item x="6"/>
        <item x="2"/>
        <item m="1" x="19"/>
        <item x="7"/>
        <item x="9"/>
        <item m="1" x="17"/>
        <item x="5"/>
        <item m="1" x="16"/>
        <item x="12"/>
        <item x="14"/>
        <item x="1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7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x="13"/>
        <item x="8"/>
        <item x="1"/>
        <item x="3"/>
        <item x="10"/>
        <item x="11"/>
        <item x="4"/>
        <item x="6"/>
        <item x="2"/>
        <item m="1" x="19"/>
        <item x="7"/>
        <item x="9"/>
        <item m="1" x="17"/>
        <item x="5"/>
        <item m="1" x="16"/>
        <item x="12"/>
        <item x="14"/>
        <item x="1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7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H206" dT="2025-10-03T10:15:21.90" personId="{F38BC8CB-2CC2-4233-A1D2-12C466B53C9F}" id="{F529163D-E31D-439B-B9AF-C66F28EC9CAF}">
    <text>@mizelda, please update the payment date</text>
  </threadedComment>
  <threadedComment ref="S26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70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H31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24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80" zoomScaleNormal="80" workbookViewId="0">
      <selection activeCell="G2" sqref="G2"/>
    </sheetView>
  </sheetViews>
  <sheetFormatPr defaultColWidth="8.265625" defaultRowHeight="14.25"/>
  <cols>
    <col min="1" max="1" width="5.265625" style="30" customWidth="1"/>
    <col min="2" max="2" width="7" style="66" customWidth="1"/>
    <col min="3" max="3" width="22.265625" style="65" customWidth="1"/>
    <col min="4" max="4" width="19.265625" style="65" bestFit="1" customWidth="1"/>
    <col min="5" max="5" width="6.265625" style="65" customWidth="1"/>
    <col min="6" max="6" width="19.265625" style="65" bestFit="1" customWidth="1"/>
    <col min="7" max="7" width="13" style="65" bestFit="1" customWidth="1"/>
    <col min="8" max="8" width="16.265625" style="65" bestFit="1" customWidth="1"/>
    <col min="9" max="9" width="1.265625" style="65" customWidth="1"/>
    <col min="10" max="10" width="3" style="30" customWidth="1"/>
    <col min="11" max="11" width="1.265625" style="102" customWidth="1"/>
    <col min="12" max="12" width="23.73046875" style="30" bestFit="1" customWidth="1"/>
    <col min="13" max="13" width="1.265625" style="65" customWidth="1"/>
    <col min="14" max="14" width="27" style="65" bestFit="1" customWidth="1"/>
    <col min="15" max="15" width="1.265625" style="30" customWidth="1"/>
    <col min="16" max="16" width="16" style="65" bestFit="1" customWidth="1"/>
    <col min="17" max="17" width="1.265625" style="65" customWidth="1"/>
    <col min="18" max="18" width="33" style="65" bestFit="1" customWidth="1"/>
    <col min="19" max="20" width="16.59765625" style="65" bestFit="1" customWidth="1"/>
    <col min="21" max="21" width="39.265625" style="65" customWidth="1"/>
    <col min="22" max="22" width="4.265625" style="65" customWidth="1"/>
    <col min="23" max="23" width="19.265625" style="65" bestFit="1" customWidth="1"/>
    <col min="24" max="24" width="15.3984375" style="30" bestFit="1" customWidth="1"/>
    <col min="25" max="25" width="19.265625" style="30" bestFit="1" customWidth="1"/>
    <col min="26" max="26" width="16" style="30" bestFit="1" customWidth="1"/>
    <col min="27" max="27" width="19.265625" style="30" bestFit="1" customWidth="1"/>
    <col min="28" max="28" width="15.3984375" style="30" bestFit="1" customWidth="1"/>
    <col min="29" max="29" width="8.265625" style="30"/>
    <col min="30" max="30" width="14" style="30" bestFit="1" customWidth="1"/>
    <col min="31" max="31" width="8.265625" style="65"/>
    <col min="32" max="32" width="12.265625" style="65" bestFit="1" customWidth="1"/>
    <col min="33" max="16384" width="8.265625" style="65"/>
  </cols>
  <sheetData>
    <row r="1" spans="1:28" s="30" customFormat="1" ht="14.25" customHeight="1">
      <c r="A1" s="303"/>
      <c r="B1" s="54"/>
      <c r="F1" s="646"/>
      <c r="J1" s="77"/>
      <c r="V1" s="77"/>
    </row>
    <row r="2" spans="1:28" s="30" customFormat="1" ht="14.25" customHeight="1" thickBot="1">
      <c r="A2" s="303"/>
      <c r="B2" s="64" t="s">
        <v>0</v>
      </c>
      <c r="C2" s="64"/>
      <c r="D2" s="64"/>
      <c r="E2" s="64"/>
      <c r="F2" s="64"/>
      <c r="G2" s="64"/>
      <c r="H2" s="64"/>
      <c r="J2" s="77"/>
      <c r="R2" s="64"/>
      <c r="S2" s="64"/>
      <c r="T2" s="64"/>
      <c r="U2" s="64"/>
      <c r="V2" s="77"/>
    </row>
    <row r="3" spans="1:28" s="30" customFormat="1" ht="13.15">
      <c r="B3" s="54"/>
      <c r="D3" s="62" t="s">
        <v>1</v>
      </c>
      <c r="F3" s="62" t="s">
        <v>2</v>
      </c>
      <c r="J3" s="77"/>
      <c r="L3" s="335" t="s">
        <v>3</v>
      </c>
      <c r="N3" s="335" t="s">
        <v>4</v>
      </c>
      <c r="P3" s="658"/>
      <c r="Q3" s="659"/>
      <c r="R3" s="660" t="s">
        <v>5</v>
      </c>
      <c r="S3" s="661" t="s">
        <v>6</v>
      </c>
      <c r="T3" s="662" t="s">
        <v>7</v>
      </c>
      <c r="V3" s="77"/>
      <c r="W3" s="701" t="s">
        <v>8</v>
      </c>
      <c r="X3" s="701" t="s">
        <v>9</v>
      </c>
      <c r="Y3" s="701" t="s">
        <v>10</v>
      </c>
      <c r="Z3" s="701" t="s">
        <v>11</v>
      </c>
      <c r="AA3" s="701" t="s">
        <v>12</v>
      </c>
      <c r="AB3" s="701" t="s">
        <v>13</v>
      </c>
    </row>
    <row r="4" spans="1:28" s="30" customFormat="1" ht="13.15">
      <c r="B4" s="278">
        <v>1</v>
      </c>
      <c r="C4" s="279" t="s">
        <v>14</v>
      </c>
      <c r="D4" s="280">
        <f>'Project Plan'!E6</f>
        <v>59995000</v>
      </c>
      <c r="E4" s="281"/>
      <c r="F4" s="280">
        <f>F23</f>
        <v>59995000</v>
      </c>
      <c r="H4" s="53"/>
      <c r="J4" s="77"/>
      <c r="L4" s="301">
        <v>59995000</v>
      </c>
      <c r="N4" s="301" t="s">
        <v>15</v>
      </c>
      <c r="P4" s="663" t="s">
        <v>16</v>
      </c>
      <c r="Q4" s="664"/>
      <c r="R4" s="664"/>
      <c r="S4" s="665">
        <f>F4-R4</f>
        <v>59995000</v>
      </c>
      <c r="T4" s="666">
        <f>F4-R4</f>
        <v>59995000</v>
      </c>
      <c r="V4" s="77"/>
      <c r="W4" s="702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02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02">
        <f>SUMIFS('Expenditure Breakdown'!$U:$U,
        'Expenditure Breakdown'!$T:$T, "&gt;"&amp;DATE(2025,8,31),
        'Expenditure Breakdown'!$T:$T, "&lt;="&amp;DATE(2026,8,31))</f>
        <v>13730976.65258972</v>
      </c>
      <c r="Z4" s="702">
        <f>SUMIFS('Expenditure Breakdown'!$Q:$Q,
        'Expenditure Breakdown'!$T:$T, "&gt;"&amp;DATE(2025,8,31),
        'Expenditure Breakdown'!$T:$T, "&lt;="&amp;DATE(2026,8,31))</f>
        <v>11262127.774387697</v>
      </c>
      <c r="AA4" s="702">
        <f>SUMIFS('Expenditure Breakdown'!$U:$U,
        'Expenditure Breakdown'!$T:$T, "&gt;"&amp;DATE(2025,8,31),
        'Expenditure Breakdown'!$T:$T, "&lt;="&amp;DATE(2026,8,31),
        'Expenditure Breakdown'!$S:$S, "&lt;&gt;")</f>
        <v>13730976.65258972</v>
      </c>
      <c r="AB4" s="702">
        <f>SUMIFS('Expenditure Breakdown'!$Q:$Q,
        'Expenditure Breakdown'!$T:$T, "&gt;"&amp;DATE(2025,8,31),
        'Expenditure Breakdown'!$T:$T, "&lt;="&amp;DATE(2026,8,31),
        'Expenditure Breakdown'!$S:$S, "&lt;&gt;")</f>
        <v>10418741.494387697</v>
      </c>
    </row>
    <row r="5" spans="1:28" s="30" customFormat="1" ht="15" customHeight="1">
      <c r="B5" s="278">
        <v>2</v>
      </c>
      <c r="C5" s="279" t="s">
        <v>17</v>
      </c>
      <c r="D5" s="280">
        <f>+'Expenditure Tracking'!F5</f>
        <v>56096452.079139791</v>
      </c>
      <c r="E5" s="281"/>
      <c r="F5" s="280">
        <f>+'Expenditure Tracking'!H5</f>
        <v>48292163.206446104</v>
      </c>
      <c r="G5" s="758" t="s">
        <v>18</v>
      </c>
      <c r="H5" s="758" t="s">
        <v>19</v>
      </c>
      <c r="J5" s="77"/>
      <c r="L5" s="301">
        <v>46345971.321236402</v>
      </c>
      <c r="N5" s="336">
        <v>45894</v>
      </c>
      <c r="P5" s="663" t="s">
        <v>20</v>
      </c>
      <c r="R5" s="665"/>
      <c r="S5" s="665">
        <f>F5-R5</f>
        <v>48292163.206446104</v>
      </c>
      <c r="T5" s="666">
        <f>F5-R5</f>
        <v>48292163.206446104</v>
      </c>
      <c r="V5" s="77"/>
    </row>
    <row r="6" spans="1:28" s="30" customFormat="1" ht="15" customHeight="1" thickBot="1">
      <c r="B6" s="278">
        <v>3</v>
      </c>
      <c r="C6" s="279" t="s">
        <v>21</v>
      </c>
      <c r="D6" s="280">
        <f>+D4-D5</f>
        <v>3898547.9208602086</v>
      </c>
      <c r="E6" s="281"/>
      <c r="F6" s="280">
        <f>+F4-F5</f>
        <v>11702836.793553896</v>
      </c>
      <c r="G6" s="759">
        <f>D6*0.05</f>
        <v>194927.39604301043</v>
      </c>
      <c r="H6" s="53">
        <f>SUMIF('Expenditure Breakdown'!N:N,"*VO*",'Expenditure Breakdown'!Q:Q)</f>
        <v>0</v>
      </c>
      <c r="J6" s="77"/>
      <c r="L6" s="301">
        <v>13649028.678763598</v>
      </c>
      <c r="N6" s="301" t="s">
        <v>22</v>
      </c>
      <c r="P6" s="667" t="s">
        <v>23</v>
      </c>
      <c r="Q6" s="668"/>
      <c r="R6" s="669">
        <f>R4-R5</f>
        <v>0</v>
      </c>
      <c r="S6" s="669">
        <f>S4-S5</f>
        <v>11702836.793553896</v>
      </c>
      <c r="T6" s="670">
        <f>T4-T5</f>
        <v>11702836.793553896</v>
      </c>
      <c r="V6" s="77"/>
    </row>
    <row r="7" spans="1:28" s="30" customFormat="1" ht="15" customHeight="1" thickBot="1">
      <c r="B7" s="278">
        <v>4</v>
      </c>
      <c r="C7" s="279" t="s">
        <v>24</v>
      </c>
      <c r="D7" s="282">
        <f>+D6/D4</f>
        <v>6.4981213782151992E-2</v>
      </c>
      <c r="E7" s="281"/>
      <c r="F7" s="282">
        <f>+F6/F4</f>
        <v>0.19506353518716388</v>
      </c>
      <c r="J7" s="77"/>
      <c r="L7" s="302">
        <v>0.22750276987688303</v>
      </c>
      <c r="N7" s="369">
        <v>45982</v>
      </c>
      <c r="P7" s="671"/>
      <c r="Q7" s="672"/>
      <c r="R7" s="672"/>
      <c r="S7" s="672"/>
      <c r="T7" s="673"/>
      <c r="V7" s="77"/>
    </row>
    <row r="8" spans="1:28" s="30" customFormat="1" ht="9" customHeight="1">
      <c r="B8" s="54"/>
      <c r="J8" s="77"/>
      <c r="V8" s="77"/>
    </row>
    <row r="9" spans="1:28" s="30" customFormat="1" ht="9.75" customHeight="1">
      <c r="B9" s="54"/>
      <c r="J9" s="77"/>
      <c r="V9" s="77"/>
    </row>
    <row r="10" spans="1:28" s="30" customFormat="1" ht="13.15">
      <c r="B10" s="64" t="s">
        <v>25</v>
      </c>
      <c r="F10" s="759"/>
      <c r="J10" s="77"/>
      <c r="V10" s="77"/>
      <c r="X10" s="64"/>
    </row>
    <row r="11" spans="1:28" s="30" customFormat="1" ht="14.25" customHeight="1">
      <c r="B11" s="54"/>
      <c r="J11" s="77"/>
      <c r="V11" s="77"/>
    </row>
    <row r="12" spans="1:28" s="30" customFormat="1" ht="26.25">
      <c r="B12" s="67" t="s">
        <v>26</v>
      </c>
      <c r="C12" s="68" t="s">
        <v>27</v>
      </c>
      <c r="D12" s="69"/>
      <c r="E12" s="67" t="s">
        <v>28</v>
      </c>
      <c r="F12" s="67" t="s">
        <v>29</v>
      </c>
      <c r="H12" s="283" t="s">
        <v>30</v>
      </c>
      <c r="J12" s="77"/>
      <c r="L12" s="93" t="s">
        <v>31</v>
      </c>
      <c r="M12" s="70"/>
      <c r="N12" s="93" t="s">
        <v>32</v>
      </c>
      <c r="O12" s="65"/>
      <c r="P12" s="93" t="s">
        <v>33</v>
      </c>
      <c r="R12" s="304" t="s">
        <v>34</v>
      </c>
      <c r="S12" s="674"/>
      <c r="T12" s="674"/>
      <c r="U12" s="674"/>
      <c r="V12" s="77"/>
    </row>
    <row r="13" spans="1:28" s="30" customFormat="1" ht="13.15">
      <c r="B13" s="278">
        <v>1</v>
      </c>
      <c r="C13" s="887" t="s">
        <v>35</v>
      </c>
      <c r="D13" s="888"/>
      <c r="E13" s="71">
        <v>0.25</v>
      </c>
      <c r="F13" s="72">
        <v>15000000</v>
      </c>
      <c r="G13" s="73"/>
      <c r="H13" s="74">
        <v>45808</v>
      </c>
      <c r="J13" s="77"/>
      <c r="L13" s="294" t="s">
        <v>36</v>
      </c>
      <c r="M13" s="293"/>
      <c r="N13" s="74">
        <v>45805</v>
      </c>
      <c r="O13" s="65"/>
      <c r="P13" s="74">
        <v>45828</v>
      </c>
      <c r="R13" s="101"/>
      <c r="S13" s="675"/>
      <c r="T13" s="675"/>
      <c r="U13" s="675"/>
      <c r="V13" s="77"/>
    </row>
    <row r="14" spans="1:28" s="30" customFormat="1" ht="12.75">
      <c r="B14" s="90">
        <v>2</v>
      </c>
      <c r="C14" s="887" t="s">
        <v>37</v>
      </c>
      <c r="D14" s="888"/>
      <c r="E14" s="71">
        <v>0.15</v>
      </c>
      <c r="F14" s="72">
        <f>($D$4*E14)-1250</f>
        <v>8998000</v>
      </c>
      <c r="G14" s="281"/>
      <c r="H14" s="74">
        <f>P14</f>
        <v>45898</v>
      </c>
      <c r="J14" s="77"/>
      <c r="L14" s="294" t="s">
        <v>38</v>
      </c>
      <c r="N14" s="74">
        <v>45895</v>
      </c>
      <c r="O14" s="65"/>
      <c r="P14" s="74">
        <v>45898</v>
      </c>
      <c r="R14" s="305"/>
      <c r="S14" s="676"/>
      <c r="T14" s="676"/>
      <c r="U14" s="676"/>
      <c r="V14" s="77"/>
    </row>
    <row r="15" spans="1:28" s="30" customFormat="1" ht="12.75">
      <c r="B15" s="278">
        <v>3</v>
      </c>
      <c r="C15" s="887" t="s">
        <v>39</v>
      </c>
      <c r="D15" s="888"/>
      <c r="E15" s="71">
        <v>0.15</v>
      </c>
      <c r="F15" s="72">
        <f t="shared" ref="F15" si="0">$D$4*E15</f>
        <v>8999250</v>
      </c>
      <c r="G15" s="281"/>
      <c r="H15" s="74">
        <v>45922</v>
      </c>
      <c r="J15" s="77"/>
      <c r="L15" s="294" t="s">
        <v>40</v>
      </c>
      <c r="N15" s="74">
        <v>45912</v>
      </c>
      <c r="O15" s="65"/>
      <c r="P15" s="74">
        <v>45918</v>
      </c>
      <c r="R15" s="305"/>
      <c r="S15" s="676"/>
      <c r="T15" s="676"/>
      <c r="U15" s="676"/>
      <c r="V15" s="77"/>
    </row>
    <row r="16" spans="1:28" s="30" customFormat="1" ht="12.75">
      <c r="B16" s="278">
        <v>4</v>
      </c>
      <c r="C16" s="887" t="s">
        <v>41</v>
      </c>
      <c r="D16" s="888"/>
      <c r="E16" s="71">
        <v>0.3</v>
      </c>
      <c r="F16" s="72">
        <f t="shared" ref="F16:F21" si="1">$D$4*E16</f>
        <v>17998500</v>
      </c>
      <c r="G16" s="281"/>
      <c r="H16" s="74">
        <f>P16</f>
        <v>45862</v>
      </c>
      <c r="J16" s="77"/>
      <c r="L16" s="294" t="s">
        <v>42</v>
      </c>
      <c r="N16" s="74">
        <v>45852</v>
      </c>
      <c r="O16" s="65"/>
      <c r="P16" s="74">
        <v>45862</v>
      </c>
      <c r="R16" s="305"/>
      <c r="S16" s="676"/>
      <c r="T16" s="676"/>
      <c r="U16" s="676"/>
      <c r="V16" s="77"/>
    </row>
    <row r="17" spans="2:22" s="30" customFormat="1" ht="12.75">
      <c r="B17" s="278">
        <v>5</v>
      </c>
      <c r="C17" s="644" t="s">
        <v>43</v>
      </c>
      <c r="D17" s="645"/>
      <c r="E17" s="71">
        <v>0.1</v>
      </c>
      <c r="F17" s="72">
        <f>33990.72/1.15</f>
        <v>29557.147826086959</v>
      </c>
      <c r="G17" s="281"/>
      <c r="H17" s="74">
        <f>'Project Plan'!G99+7</f>
        <v>45980</v>
      </c>
      <c r="J17" s="77"/>
      <c r="L17" s="294" t="s">
        <v>44</v>
      </c>
      <c r="M17" s="65"/>
      <c r="N17" s="74">
        <v>46055</v>
      </c>
      <c r="O17" s="65"/>
      <c r="P17" s="760">
        <v>46002</v>
      </c>
      <c r="R17" s="305"/>
      <c r="S17" s="676"/>
      <c r="T17" s="676"/>
      <c r="U17" s="676"/>
      <c r="V17" s="77"/>
    </row>
    <row r="18" spans="2:22" s="30" customFormat="1" ht="12.75">
      <c r="B18" s="278">
        <v>5</v>
      </c>
      <c r="C18" s="644" t="s">
        <v>43</v>
      </c>
      <c r="D18" s="645"/>
      <c r="E18" s="71"/>
      <c r="F18" s="72">
        <f>23326.12/1.15</f>
        <v>20283.582608695651</v>
      </c>
      <c r="G18" s="281"/>
      <c r="H18" s="74">
        <v>45980</v>
      </c>
      <c r="J18" s="77"/>
      <c r="L18" s="294" t="s">
        <v>44</v>
      </c>
      <c r="M18" s="65"/>
      <c r="N18" s="74">
        <v>46055</v>
      </c>
      <c r="O18" s="65"/>
      <c r="P18" s="760">
        <v>46002</v>
      </c>
      <c r="R18" s="305"/>
      <c r="S18" s="676"/>
      <c r="T18" s="676"/>
      <c r="U18" s="676"/>
      <c r="V18" s="77"/>
    </row>
    <row r="19" spans="2:22" s="30" customFormat="1" ht="12.75">
      <c r="B19" s="278">
        <v>5</v>
      </c>
      <c r="C19" s="644" t="s">
        <v>43</v>
      </c>
      <c r="D19" s="645"/>
      <c r="E19" s="71"/>
      <c r="F19" s="72">
        <f>5999500-F17-F18</f>
        <v>5949659.2695652172</v>
      </c>
      <c r="G19" s="281"/>
      <c r="H19" s="74">
        <v>45980</v>
      </c>
      <c r="J19" s="77"/>
      <c r="L19" s="294" t="s">
        <v>44</v>
      </c>
      <c r="M19" s="65"/>
      <c r="N19" s="74">
        <v>46055</v>
      </c>
      <c r="O19" s="65"/>
      <c r="P19" s="760">
        <v>46066</v>
      </c>
      <c r="R19" s="305"/>
      <c r="S19" s="676"/>
      <c r="T19" s="676"/>
      <c r="U19" s="676"/>
      <c r="V19" s="77"/>
    </row>
    <row r="20" spans="2:22" s="30" customFormat="1" ht="13.15">
      <c r="B20" s="278">
        <v>6</v>
      </c>
      <c r="C20" s="644" t="s">
        <v>45</v>
      </c>
      <c r="D20" s="645"/>
      <c r="E20" s="71">
        <v>0.05</v>
      </c>
      <c r="F20" s="72">
        <f t="shared" si="1"/>
        <v>2999750</v>
      </c>
      <c r="G20" s="281"/>
      <c r="H20" s="74">
        <f>'Project Plan'!E123+7</f>
        <v>45999</v>
      </c>
      <c r="J20" s="77"/>
      <c r="L20" s="294" t="s">
        <v>46</v>
      </c>
      <c r="N20" s="74">
        <v>46098</v>
      </c>
      <c r="O20" s="65"/>
      <c r="P20" s="74">
        <v>46108</v>
      </c>
      <c r="R20" s="101"/>
      <c r="S20" s="676"/>
      <c r="T20" s="676"/>
      <c r="U20" s="676"/>
      <c r="V20" s="77"/>
    </row>
    <row r="21" spans="2:22" s="30" customFormat="1" ht="12.75">
      <c r="B21" s="278">
        <v>7</v>
      </c>
      <c r="C21" s="887" t="s">
        <v>47</v>
      </c>
      <c r="D21" s="888"/>
      <c r="E21" s="71">
        <v>0</v>
      </c>
      <c r="F21" s="72">
        <f t="shared" si="1"/>
        <v>0</v>
      </c>
      <c r="G21" s="281"/>
      <c r="H21" s="74"/>
      <c r="J21" s="77"/>
      <c r="L21" s="75"/>
      <c r="N21" s="75"/>
      <c r="O21" s="65"/>
      <c r="P21" s="75"/>
      <c r="R21" s="305"/>
      <c r="S21" s="676"/>
      <c r="T21" s="676"/>
      <c r="U21" s="676"/>
      <c r="V21" s="77"/>
    </row>
    <row r="22" spans="2:22" s="30" customFormat="1" ht="9" customHeight="1">
      <c r="B22" s="54"/>
      <c r="E22" s="76"/>
      <c r="F22" s="53"/>
      <c r="H22" s="284"/>
      <c r="J22" s="77"/>
      <c r="V22" s="77"/>
    </row>
    <row r="23" spans="2:22" s="30" customFormat="1" ht="13.15">
      <c r="B23" s="54"/>
      <c r="E23" s="285">
        <f>SUM(E13:E21)</f>
        <v>1</v>
      </c>
      <c r="F23" s="286">
        <f>SUM(F13:F21)</f>
        <v>59995000</v>
      </c>
      <c r="H23" s="53"/>
      <c r="J23" s="77"/>
      <c r="V23" s="77"/>
    </row>
    <row r="24" spans="2:22" s="77" customFormat="1" ht="25.5" customHeight="1">
      <c r="B24" s="78"/>
      <c r="F24" s="79"/>
    </row>
    <row r="25" spans="2:22" s="30" customFormat="1" ht="24.75" customHeight="1">
      <c r="B25" s="80" t="s">
        <v>48</v>
      </c>
      <c r="C25" s="81" t="s">
        <v>49</v>
      </c>
      <c r="D25" s="81"/>
      <c r="F25" s="82"/>
    </row>
    <row r="26" spans="2:22" s="30" customFormat="1" ht="12.75">
      <c r="C26" s="83" t="s">
        <v>50</v>
      </c>
      <c r="D26" s="84"/>
      <c r="F26" s="85">
        <f>F17+F18+F19</f>
        <v>5999500</v>
      </c>
      <c r="H26" s="53"/>
    </row>
    <row r="27" spans="2:22" s="30" customFormat="1" ht="12.75">
      <c r="C27" s="83" t="s">
        <v>51</v>
      </c>
      <c r="D27" s="84"/>
      <c r="H27" s="677"/>
      <c r="L27" s="759"/>
    </row>
    <row r="28" spans="2:22" s="30" customFormat="1" ht="12.75">
      <c r="C28" s="86" t="s">
        <v>52</v>
      </c>
      <c r="D28" s="87"/>
      <c r="H28" s="53"/>
    </row>
    <row r="29" spans="2:22" s="30" customFormat="1" ht="12.75">
      <c r="C29" s="88" t="s">
        <v>53</v>
      </c>
      <c r="D29" s="84"/>
      <c r="L29" s="759"/>
    </row>
    <row r="30" spans="2:22" s="30" customFormat="1" ht="12.75">
      <c r="B30" s="54"/>
      <c r="C30" s="88" t="s">
        <v>54</v>
      </c>
      <c r="D30" s="84"/>
    </row>
    <row r="31" spans="2:22" s="30" customFormat="1" ht="12.75">
      <c r="B31" s="54"/>
      <c r="C31" s="30" t="s">
        <v>55</v>
      </c>
    </row>
    <row r="32" spans="2:22" s="30" customFormat="1" ht="27.75" customHeight="1">
      <c r="B32" s="54"/>
      <c r="C32" s="89" t="s">
        <v>56</v>
      </c>
      <c r="D32" s="89"/>
      <c r="F32" s="85"/>
    </row>
    <row r="33" spans="2:6" s="30" customFormat="1" ht="12.75">
      <c r="B33" s="54"/>
      <c r="F33" s="82"/>
    </row>
    <row r="34" spans="2:6" s="30" customFormat="1" ht="12.75">
      <c r="B34" s="54"/>
      <c r="F34" s="82"/>
    </row>
    <row r="35" spans="2:6" s="30" customFormat="1" ht="12.75">
      <c r="B35" s="54"/>
      <c r="F35" s="82"/>
    </row>
    <row r="36" spans="2:6" s="30" customFormat="1" ht="12.75">
      <c r="B36" s="54"/>
      <c r="F36" s="82"/>
    </row>
    <row r="37" spans="2:6" s="30" customFormat="1" ht="12.75">
      <c r="B37" s="54"/>
    </row>
    <row r="38" spans="2:6" s="30" customFormat="1" ht="12.75">
      <c r="B38" s="54"/>
    </row>
    <row r="39" spans="2:6" s="30" customFormat="1" ht="12.75">
      <c r="B39" s="54"/>
    </row>
    <row r="40" spans="2:6" s="30" customFormat="1" ht="12.75" customHeight="1">
      <c r="B40" s="54"/>
    </row>
    <row r="41" spans="2:6" s="30" customFormat="1" ht="12.75" customHeight="1">
      <c r="B41" s="54"/>
    </row>
    <row r="42" spans="2:6" s="30" customFormat="1" ht="13.5" customHeight="1">
      <c r="B42" s="54"/>
    </row>
    <row r="43" spans="2:6" s="30" customFormat="1" ht="12.75" customHeight="1">
      <c r="B43" s="54"/>
    </row>
    <row r="44" spans="2:6" s="30" customFormat="1" ht="12.75" customHeight="1">
      <c r="B44" s="54"/>
    </row>
    <row r="45" spans="2:6" s="30" customFormat="1" ht="12.75" customHeight="1">
      <c r="B45" s="54"/>
    </row>
    <row r="46" spans="2:6" s="30" customFormat="1" ht="12.75" customHeight="1">
      <c r="B46" s="54"/>
    </row>
    <row r="47" spans="2:6" s="30" customFormat="1" ht="13.5" customHeight="1">
      <c r="B47" s="54"/>
    </row>
    <row r="48" spans="2:6" s="30" customFormat="1" ht="13.5" customHeight="1">
      <c r="B48" s="54"/>
    </row>
    <row r="49" spans="2:2" s="30" customFormat="1" ht="12.75" customHeight="1">
      <c r="B49" s="54"/>
    </row>
    <row r="50" spans="2:2" s="30" customFormat="1" ht="12.75" customHeight="1">
      <c r="B50" s="54"/>
    </row>
    <row r="51" spans="2:2" s="30" customFormat="1" ht="12.75">
      <c r="B51" s="54"/>
    </row>
    <row r="52" spans="2:2" s="30" customFormat="1" ht="12.75">
      <c r="B52" s="54"/>
    </row>
    <row r="53" spans="2:2" s="30" customFormat="1" ht="12.75">
      <c r="B53" s="54"/>
    </row>
    <row r="54" spans="2:2" s="30" customFormat="1" ht="12.75">
      <c r="B54" s="54"/>
    </row>
    <row r="55" spans="2:2" s="30" customFormat="1" ht="12.75">
      <c r="B55" s="54"/>
    </row>
    <row r="56" spans="2:2" s="30" customFormat="1" ht="12.75">
      <c r="B56" s="54"/>
    </row>
    <row r="57" spans="2:2" s="30" customFormat="1" ht="12.75">
      <c r="B57" s="54"/>
    </row>
    <row r="58" spans="2:2" s="30" customFormat="1" ht="12.75">
      <c r="B58" s="54"/>
    </row>
    <row r="59" spans="2:2" s="30" customFormat="1" ht="12.75">
      <c r="B59" s="54"/>
    </row>
    <row r="60" spans="2:2" s="30" customFormat="1" ht="12.75">
      <c r="B60" s="54"/>
    </row>
    <row r="61" spans="2:2" s="30" customFormat="1" ht="12.75">
      <c r="B61" s="54"/>
    </row>
    <row r="62" spans="2:2" s="30" customFormat="1" ht="12.75">
      <c r="B62" s="54"/>
    </row>
    <row r="63" spans="2:2" s="30" customFormat="1" ht="12.75">
      <c r="B63" s="54"/>
    </row>
    <row r="64" spans="2:2" s="30" customFormat="1" ht="12.75">
      <c r="B64" s="54"/>
    </row>
    <row r="65" spans="2:2" s="30" customFormat="1" ht="12.75">
      <c r="B65" s="54"/>
    </row>
    <row r="66" spans="2:2" s="30" customFormat="1" ht="12.75">
      <c r="B66" s="54"/>
    </row>
    <row r="67" spans="2:2" s="30" customFormat="1" ht="12.75">
      <c r="B67" s="54"/>
    </row>
    <row r="68" spans="2:2" s="30" customFormat="1" ht="12.75">
      <c r="B68" s="54"/>
    </row>
    <row r="69" spans="2:2" s="30" customFormat="1" ht="12.75">
      <c r="B69" s="54"/>
    </row>
    <row r="70" spans="2:2" s="30" customFormat="1" ht="12.75">
      <c r="B70" s="54"/>
    </row>
    <row r="71" spans="2:2" s="30" customFormat="1" ht="12.75">
      <c r="B71" s="54"/>
    </row>
    <row r="72" spans="2:2" s="30" customFormat="1" ht="12.75">
      <c r="B72" s="54"/>
    </row>
    <row r="73" spans="2:2" s="30" customFormat="1" ht="12.75">
      <c r="B73" s="54"/>
    </row>
    <row r="74" spans="2:2" s="30" customFormat="1" ht="12.75">
      <c r="B74" s="54"/>
    </row>
    <row r="75" spans="2:2" s="30" customFormat="1" ht="12.75">
      <c r="B75" s="54"/>
    </row>
    <row r="76" spans="2:2" s="30" customFormat="1" ht="12.75">
      <c r="B76" s="54"/>
    </row>
    <row r="77" spans="2:2" s="30" customFormat="1" ht="12.75">
      <c r="B77" s="54"/>
    </row>
    <row r="78" spans="2:2" s="30" customFormat="1" ht="12.75">
      <c r="B78" s="54"/>
    </row>
    <row r="79" spans="2:2" s="30" customFormat="1" ht="12.75">
      <c r="B79" s="54"/>
    </row>
    <row r="80" spans="2:2" s="30" customFormat="1" ht="12.75">
      <c r="B80" s="54"/>
    </row>
    <row r="81" spans="2:2" s="30" customFormat="1" ht="12.75">
      <c r="B81" s="54"/>
    </row>
    <row r="82" spans="2:2" s="30" customFormat="1" ht="12.75">
      <c r="B82" s="54"/>
    </row>
    <row r="83" spans="2:2" s="30" customFormat="1" ht="12.75">
      <c r="B83" s="54"/>
    </row>
    <row r="84" spans="2:2" s="30" customFormat="1" ht="12.75">
      <c r="B84" s="54"/>
    </row>
    <row r="85" spans="2:2" s="30" customFormat="1" ht="12.75">
      <c r="B85" s="54"/>
    </row>
    <row r="86" spans="2:2" s="30" customFormat="1" ht="12.75">
      <c r="B86" s="54"/>
    </row>
    <row r="87" spans="2:2" s="30" customFormat="1" ht="12.75">
      <c r="B87" s="54"/>
    </row>
    <row r="88" spans="2:2" s="30" customFormat="1" ht="12.75">
      <c r="B88" s="54"/>
    </row>
    <row r="89" spans="2:2" s="30" customFormat="1" ht="12.75">
      <c r="B89" s="54"/>
    </row>
    <row r="90" spans="2:2" s="30" customFormat="1" ht="12.75">
      <c r="B90" s="54"/>
    </row>
    <row r="91" spans="2:2" s="30" customFormat="1" ht="12.75">
      <c r="B91" s="54"/>
    </row>
    <row r="92" spans="2:2" s="30" customFormat="1" ht="12.75">
      <c r="B92" s="54"/>
    </row>
    <row r="93" spans="2:2" s="30" customFormat="1" ht="12.75">
      <c r="B93" s="54"/>
    </row>
    <row r="94" spans="2:2" s="30" customFormat="1" ht="12.75">
      <c r="B94" s="54"/>
    </row>
    <row r="95" spans="2:2" s="30" customFormat="1" ht="12.75">
      <c r="B95" s="54"/>
    </row>
    <row r="96" spans="2:2" s="30" customFormat="1" ht="12.75">
      <c r="B96" s="54"/>
    </row>
    <row r="97" spans="2:2" s="30" customFormat="1" ht="12.75">
      <c r="B97" s="54"/>
    </row>
    <row r="98" spans="2:2" s="30" customFormat="1" ht="12.75">
      <c r="B98" s="54"/>
    </row>
    <row r="99" spans="2:2" s="30" customFormat="1" ht="12.75">
      <c r="B99" s="54"/>
    </row>
    <row r="100" spans="2:2" s="30" customFormat="1" ht="12.75">
      <c r="B100" s="54"/>
    </row>
    <row r="101" spans="2:2" s="30" customFormat="1" ht="12.75">
      <c r="B101" s="54"/>
    </row>
    <row r="102" spans="2:2" s="30" customFormat="1" ht="12.75">
      <c r="B102" s="54"/>
    </row>
    <row r="103" spans="2:2" s="30" customFormat="1" ht="12.75">
      <c r="B103" s="54"/>
    </row>
    <row r="104" spans="2:2" s="30" customFormat="1" ht="12.75">
      <c r="B104" s="54"/>
    </row>
    <row r="105" spans="2:2" s="30" customFormat="1" ht="12.75">
      <c r="B105" s="54"/>
    </row>
    <row r="106" spans="2:2" s="30" customFormat="1" ht="12.75">
      <c r="B106" s="54"/>
    </row>
    <row r="107" spans="2:2" s="30" customFormat="1" ht="12.75">
      <c r="B107" s="54"/>
    </row>
    <row r="108" spans="2:2" s="30" customFormat="1" ht="12.75">
      <c r="B108" s="54"/>
    </row>
    <row r="109" spans="2:2" s="30" customFormat="1" ht="12.75">
      <c r="B109" s="54"/>
    </row>
    <row r="110" spans="2:2" s="30" customFormat="1" ht="12.75">
      <c r="B110" s="54"/>
    </row>
    <row r="111" spans="2:2" s="30" customFormat="1" ht="12.75">
      <c r="B111" s="54"/>
    </row>
    <row r="112" spans="2:2" s="30" customFormat="1" ht="12.75">
      <c r="B112" s="54"/>
    </row>
    <row r="113" spans="2:2" s="30" customFormat="1" ht="12.75">
      <c r="B113" s="54"/>
    </row>
    <row r="114" spans="2:2" s="30" customFormat="1" ht="12.75">
      <c r="B114" s="54"/>
    </row>
    <row r="115" spans="2:2" s="30" customFormat="1" ht="12.75">
      <c r="B115" s="54"/>
    </row>
    <row r="116" spans="2:2" s="30" customFormat="1" ht="12.75">
      <c r="B116" s="54"/>
    </row>
    <row r="117" spans="2:2" s="30" customFormat="1" ht="12.75">
      <c r="B117" s="54"/>
    </row>
    <row r="118" spans="2:2" s="30" customFormat="1" ht="12.75">
      <c r="B118" s="54"/>
    </row>
    <row r="119" spans="2:2" s="30" customFormat="1" ht="12.75">
      <c r="B119" s="54"/>
    </row>
    <row r="120" spans="2:2" s="30" customFormat="1" ht="12.75">
      <c r="B120" s="54"/>
    </row>
    <row r="121" spans="2:2" s="30" customFormat="1" ht="12.75">
      <c r="B121" s="54"/>
    </row>
    <row r="122" spans="2:2" s="30" customFormat="1" ht="12.75">
      <c r="B122" s="54"/>
    </row>
    <row r="123" spans="2:2" s="30" customFormat="1" ht="12.75">
      <c r="B123" s="54"/>
    </row>
    <row r="124" spans="2:2" s="30" customFormat="1" ht="12.75">
      <c r="B124" s="54"/>
    </row>
    <row r="125" spans="2:2" s="30" customFormat="1" ht="12.75">
      <c r="B125" s="54"/>
    </row>
    <row r="126" spans="2:2" s="30" customFormat="1" ht="12.75">
      <c r="B126" s="54"/>
    </row>
    <row r="127" spans="2:2" s="30" customFormat="1" ht="12.75">
      <c r="B127" s="54"/>
    </row>
    <row r="128" spans="2:2" s="30" customFormat="1" ht="12.75">
      <c r="B128" s="54"/>
    </row>
    <row r="129" spans="2:2" s="30" customFormat="1" ht="12.75">
      <c r="B129" s="54"/>
    </row>
    <row r="130" spans="2:2" s="30" customFormat="1" ht="12.75">
      <c r="B130" s="54"/>
    </row>
    <row r="131" spans="2:2" s="30" customFormat="1" ht="12.75">
      <c r="B131" s="54"/>
    </row>
    <row r="132" spans="2:2" s="30" customFormat="1" ht="12.75">
      <c r="B132" s="54"/>
    </row>
    <row r="133" spans="2:2" s="30" customFormat="1" ht="12.75">
      <c r="B133" s="54"/>
    </row>
    <row r="134" spans="2:2" s="30" customFormat="1" ht="12.75">
      <c r="B134" s="54"/>
    </row>
    <row r="135" spans="2:2" s="30" customFormat="1" ht="12.75">
      <c r="B135" s="54"/>
    </row>
    <row r="136" spans="2:2" s="30" customFormat="1" ht="12.75">
      <c r="B136" s="54"/>
    </row>
    <row r="137" spans="2:2" s="30" customFormat="1" ht="12.75">
      <c r="B137" s="54"/>
    </row>
    <row r="138" spans="2:2" s="30" customFormat="1" ht="12.75">
      <c r="B138" s="54"/>
    </row>
    <row r="139" spans="2:2" s="30" customFormat="1" ht="12.75">
      <c r="B139" s="54"/>
    </row>
    <row r="140" spans="2:2" s="30" customFormat="1" ht="12.75">
      <c r="B140" s="54"/>
    </row>
    <row r="141" spans="2:2" s="30" customFormat="1" ht="12.75">
      <c r="B141" s="54"/>
    </row>
    <row r="142" spans="2:2" s="30" customFormat="1" ht="12.75">
      <c r="B142" s="54"/>
    </row>
    <row r="143" spans="2:2" s="30" customFormat="1" ht="12.75">
      <c r="B143" s="54"/>
    </row>
    <row r="144" spans="2:2" s="30" customFormat="1" ht="12.75">
      <c r="B144" s="54"/>
    </row>
    <row r="145" spans="2:2" s="30" customFormat="1" ht="12.75">
      <c r="B145" s="54"/>
    </row>
    <row r="146" spans="2:2" s="30" customFormat="1" ht="12.75">
      <c r="B146" s="54"/>
    </row>
    <row r="147" spans="2:2" s="30" customFormat="1" ht="12.75">
      <c r="B147" s="54"/>
    </row>
    <row r="148" spans="2:2" s="30" customFormat="1" ht="12.75">
      <c r="B148" s="54"/>
    </row>
    <row r="149" spans="2:2" s="30" customFormat="1" ht="12.75">
      <c r="B149" s="54"/>
    </row>
    <row r="150" spans="2:2" s="30" customFormat="1" ht="12.75">
      <c r="B150" s="54"/>
    </row>
    <row r="151" spans="2:2" s="30" customFormat="1" ht="12.75">
      <c r="B151" s="54"/>
    </row>
    <row r="152" spans="2:2" s="30" customFormat="1" ht="12.75">
      <c r="B152" s="54"/>
    </row>
    <row r="153" spans="2:2" s="30" customFormat="1" ht="12.75">
      <c r="B153" s="54"/>
    </row>
    <row r="154" spans="2:2" s="30" customFormat="1" ht="12.75">
      <c r="B154" s="54"/>
    </row>
    <row r="155" spans="2:2" s="30" customFormat="1" ht="12.75">
      <c r="B155" s="54"/>
    </row>
    <row r="156" spans="2:2" s="30" customFormat="1" ht="12.75">
      <c r="B156" s="54"/>
    </row>
    <row r="157" spans="2:2" s="30" customFormat="1" ht="12.75">
      <c r="B157" s="54"/>
    </row>
    <row r="158" spans="2:2" s="30" customFormat="1" ht="12.75">
      <c r="B158" s="54"/>
    </row>
    <row r="159" spans="2:2" s="30" customFormat="1" ht="12.75">
      <c r="B159" s="54"/>
    </row>
    <row r="160" spans="2:2" s="30" customFormat="1" ht="12.75">
      <c r="B160" s="54"/>
    </row>
    <row r="161" spans="2:2" s="30" customFormat="1" ht="12.75">
      <c r="B161" s="54"/>
    </row>
    <row r="162" spans="2:2" s="30" customFormat="1" ht="12.75">
      <c r="B162" s="54"/>
    </row>
    <row r="163" spans="2:2" s="30" customFormat="1" ht="12.75">
      <c r="B163" s="54"/>
    </row>
    <row r="164" spans="2:2" s="30" customFormat="1" ht="12.75">
      <c r="B164" s="54"/>
    </row>
    <row r="165" spans="2:2" s="30" customFormat="1" ht="12.75">
      <c r="B165" s="54"/>
    </row>
    <row r="166" spans="2:2" s="30" customFormat="1" ht="12.75">
      <c r="B166" s="54"/>
    </row>
    <row r="167" spans="2:2" s="30" customFormat="1" ht="12.75">
      <c r="B167" s="54"/>
    </row>
    <row r="168" spans="2:2" s="30" customFormat="1" ht="12.75">
      <c r="B168" s="54"/>
    </row>
    <row r="169" spans="2:2" s="30" customFormat="1" ht="12.75">
      <c r="B169" s="54"/>
    </row>
    <row r="170" spans="2:2" s="30" customFormat="1" ht="12.75">
      <c r="B170" s="54"/>
    </row>
    <row r="171" spans="2:2" s="30" customFormat="1" ht="12.75">
      <c r="B171" s="54"/>
    </row>
    <row r="172" spans="2:2" s="30" customFormat="1" ht="12.75">
      <c r="B172" s="54"/>
    </row>
    <row r="173" spans="2:2" s="30" customFormat="1" ht="12.75">
      <c r="B173" s="54"/>
    </row>
    <row r="174" spans="2:2" s="30" customFormat="1" ht="12.75">
      <c r="B174" s="54"/>
    </row>
    <row r="175" spans="2:2" s="30" customFormat="1" ht="12.75">
      <c r="B175" s="54"/>
    </row>
    <row r="176" spans="2:2" s="30" customFormat="1" ht="12.75">
      <c r="B176" s="54"/>
    </row>
    <row r="177" spans="2:2" s="30" customFormat="1" ht="12.75">
      <c r="B177" s="54"/>
    </row>
    <row r="178" spans="2:2" s="30" customFormat="1" ht="12.75">
      <c r="B178" s="54"/>
    </row>
    <row r="179" spans="2:2" s="30" customFormat="1" ht="12.75">
      <c r="B179" s="54"/>
    </row>
    <row r="180" spans="2:2" s="30" customFormat="1" ht="12.75">
      <c r="B180" s="54"/>
    </row>
    <row r="181" spans="2:2" s="30" customFormat="1" ht="12.75">
      <c r="B181" s="54"/>
    </row>
    <row r="182" spans="2:2" s="30" customFormat="1" ht="12.75">
      <c r="B182" s="54"/>
    </row>
    <row r="183" spans="2:2" s="30" customFormat="1" ht="12.75">
      <c r="B183" s="54"/>
    </row>
    <row r="184" spans="2:2" s="30" customFormat="1" ht="12.75">
      <c r="B184" s="54"/>
    </row>
    <row r="185" spans="2:2" s="30" customFormat="1" ht="12.75">
      <c r="B185" s="54"/>
    </row>
    <row r="186" spans="2:2" s="30" customFormat="1" ht="12.75">
      <c r="B186" s="54"/>
    </row>
    <row r="187" spans="2:2" s="30" customFormat="1" ht="12.75">
      <c r="B187" s="54"/>
    </row>
    <row r="188" spans="2:2" s="30" customFormat="1" ht="12.75">
      <c r="B188" s="54"/>
    </row>
    <row r="189" spans="2:2" s="30" customFormat="1" ht="12.75">
      <c r="B189" s="54"/>
    </row>
    <row r="190" spans="2:2" s="30" customFormat="1" ht="12.75">
      <c r="B190" s="54"/>
    </row>
    <row r="191" spans="2:2" s="30" customFormat="1" ht="12.75">
      <c r="B191" s="54"/>
    </row>
    <row r="192" spans="2:2" s="30" customFormat="1" ht="12.75">
      <c r="B192" s="54"/>
    </row>
    <row r="193" spans="2:2" s="30" customFormat="1" ht="12.75">
      <c r="B193" s="54"/>
    </row>
    <row r="194" spans="2:2" s="30" customFormat="1" ht="12.75">
      <c r="B194" s="54"/>
    </row>
    <row r="195" spans="2:2" s="30" customFormat="1" ht="12.75">
      <c r="B195" s="54"/>
    </row>
    <row r="196" spans="2:2" s="30" customFormat="1" ht="12.75">
      <c r="B196" s="54"/>
    </row>
    <row r="197" spans="2:2" s="30" customFormat="1" ht="12.75">
      <c r="B197" s="54"/>
    </row>
    <row r="198" spans="2:2" s="30" customFormat="1" ht="12.75">
      <c r="B198" s="54"/>
    </row>
    <row r="199" spans="2:2" s="30" customFormat="1" ht="12.75">
      <c r="B199" s="54"/>
    </row>
    <row r="200" spans="2:2" s="30" customFormat="1" ht="12.75">
      <c r="B200" s="54"/>
    </row>
    <row r="201" spans="2:2" s="30" customFormat="1" ht="12.75">
      <c r="B201" s="54"/>
    </row>
    <row r="202" spans="2:2" s="30" customFormat="1" ht="12.75">
      <c r="B202" s="54"/>
    </row>
    <row r="203" spans="2:2" s="30" customFormat="1" ht="12.75">
      <c r="B203" s="54"/>
    </row>
    <row r="204" spans="2:2" s="30" customFormat="1" ht="12.75">
      <c r="B204" s="54"/>
    </row>
    <row r="205" spans="2:2" s="30" customFormat="1" ht="12.75">
      <c r="B205" s="54"/>
    </row>
    <row r="206" spans="2:2" s="30" customFormat="1" ht="12.75">
      <c r="B206" s="54"/>
    </row>
    <row r="207" spans="2:2" s="30" customFormat="1" ht="12.75">
      <c r="B207" s="54"/>
    </row>
    <row r="208" spans="2:2" s="30" customFormat="1" ht="12.75">
      <c r="B208" s="54"/>
    </row>
    <row r="209" spans="2:2" s="30" customFormat="1" ht="12.75">
      <c r="B209" s="54"/>
    </row>
    <row r="210" spans="2:2" s="30" customFormat="1" ht="12.75">
      <c r="B210" s="54"/>
    </row>
    <row r="211" spans="2:2" s="30" customFormat="1" ht="12.75">
      <c r="B211" s="54"/>
    </row>
    <row r="212" spans="2:2" s="30" customFormat="1" ht="12.75">
      <c r="B212" s="54"/>
    </row>
    <row r="213" spans="2:2" s="30" customFormat="1" ht="12.75">
      <c r="B213" s="54"/>
    </row>
    <row r="214" spans="2:2" s="30" customFormat="1" ht="12.75">
      <c r="B214" s="54"/>
    </row>
    <row r="215" spans="2:2" s="30" customFormat="1" ht="12.75">
      <c r="B215" s="54"/>
    </row>
    <row r="216" spans="2:2" s="30" customFormat="1" ht="12.75">
      <c r="B216" s="54"/>
    </row>
    <row r="217" spans="2:2" s="30" customFormat="1" ht="12.75">
      <c r="B217" s="54"/>
    </row>
    <row r="218" spans="2:2" s="30" customFormat="1" ht="12.75">
      <c r="B218" s="54"/>
    </row>
    <row r="219" spans="2:2" s="30" customFormat="1" ht="12.75">
      <c r="B219" s="54"/>
    </row>
    <row r="220" spans="2:2" s="30" customFormat="1" ht="12.75">
      <c r="B220" s="5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265625" defaultRowHeight="12.75"/>
  <cols>
    <col min="1" max="2" width="9.265625" style="10"/>
    <col min="3" max="3" width="13.265625" style="10" bestFit="1" customWidth="1"/>
    <col min="4" max="5" width="9.265625" style="10"/>
    <col min="6" max="6" width="12.265625" style="10" bestFit="1" customWidth="1"/>
    <col min="7" max="7" width="1.265625" style="10" customWidth="1"/>
    <col min="8" max="8" width="11.265625" style="10" bestFit="1" customWidth="1"/>
    <col min="9" max="16384" width="9.265625" style="10"/>
  </cols>
  <sheetData>
    <row r="1" spans="3:8" ht="13.15" thickBot="1"/>
    <row r="2" spans="3:8" ht="13.15" thickBot="1">
      <c r="C2" s="20" t="s">
        <v>57</v>
      </c>
      <c r="F2" s="20" t="s">
        <v>58</v>
      </c>
    </row>
    <row r="3" spans="3:8">
      <c r="C3" s="16">
        <v>45658</v>
      </c>
      <c r="D3" s="10" t="s">
        <v>59</v>
      </c>
      <c r="F3" s="18" t="s">
        <v>60</v>
      </c>
    </row>
    <row r="4" spans="3:8">
      <c r="C4" s="16">
        <v>45737</v>
      </c>
      <c r="D4" s="10" t="s">
        <v>61</v>
      </c>
      <c r="F4" s="18" t="s">
        <v>62</v>
      </c>
    </row>
    <row r="5" spans="3:8">
      <c r="C5" s="16">
        <v>45765</v>
      </c>
      <c r="D5" s="10" t="s">
        <v>63</v>
      </c>
      <c r="F5" s="18" t="s">
        <v>64</v>
      </c>
    </row>
    <row r="6" spans="3:8" ht="13.15" thickBot="1">
      <c r="C6" s="16">
        <v>45768</v>
      </c>
      <c r="D6" s="10" t="s">
        <v>65</v>
      </c>
      <c r="F6" s="19" t="s">
        <v>66</v>
      </c>
    </row>
    <row r="7" spans="3:8">
      <c r="C7" s="16">
        <v>45774</v>
      </c>
      <c r="D7" s="10" t="s">
        <v>67</v>
      </c>
    </row>
    <row r="8" spans="3:8">
      <c r="C8" s="16">
        <v>45765</v>
      </c>
      <c r="D8" s="10" t="s">
        <v>68</v>
      </c>
    </row>
    <row r="9" spans="3:8">
      <c r="C9" s="16">
        <v>45778</v>
      </c>
      <c r="D9" s="10" t="s">
        <v>69</v>
      </c>
    </row>
    <row r="10" spans="3:8">
      <c r="C10" s="16">
        <v>45824</v>
      </c>
      <c r="D10" s="10" t="s">
        <v>70</v>
      </c>
    </row>
    <row r="11" spans="3:8">
      <c r="C11" s="16">
        <v>45878</v>
      </c>
      <c r="D11" s="10" t="s">
        <v>71</v>
      </c>
    </row>
    <row r="12" spans="3:8">
      <c r="C12" s="16">
        <v>45924</v>
      </c>
      <c r="D12" s="10" t="s">
        <v>72</v>
      </c>
    </row>
    <row r="13" spans="3:8">
      <c r="C13" s="16"/>
      <c r="F13" s="22"/>
      <c r="H13" s="10" t="s">
        <v>73</v>
      </c>
    </row>
    <row r="14" spans="3:8">
      <c r="C14" s="16"/>
    </row>
    <row r="15" spans="3:8">
      <c r="C15" s="16"/>
    </row>
    <row r="16" spans="3:8">
      <c r="C16" s="16"/>
    </row>
    <row r="17" spans="3:4">
      <c r="C17" s="16">
        <v>46011</v>
      </c>
      <c r="D17" s="10" t="s">
        <v>74</v>
      </c>
    </row>
    <row r="18" spans="3:4">
      <c r="C18" s="16">
        <v>46012</v>
      </c>
      <c r="D18" s="10" t="s">
        <v>74</v>
      </c>
    </row>
    <row r="19" spans="3:4">
      <c r="C19" s="16">
        <v>46013</v>
      </c>
      <c r="D19" s="10" t="s">
        <v>74</v>
      </c>
    </row>
    <row r="20" spans="3:4">
      <c r="C20" s="16">
        <v>46014</v>
      </c>
      <c r="D20" s="10" t="s">
        <v>74</v>
      </c>
    </row>
    <row r="21" spans="3:4">
      <c r="C21" s="16">
        <v>46015</v>
      </c>
      <c r="D21" s="10" t="s">
        <v>74</v>
      </c>
    </row>
    <row r="22" spans="3:4">
      <c r="C22" s="16">
        <v>46016</v>
      </c>
      <c r="D22" s="10" t="s">
        <v>74</v>
      </c>
    </row>
    <row r="23" spans="3:4">
      <c r="C23" s="16">
        <v>46017</v>
      </c>
      <c r="D23" s="10" t="s">
        <v>74</v>
      </c>
    </row>
    <row r="24" spans="3:4">
      <c r="C24" s="16">
        <v>46018</v>
      </c>
      <c r="D24" s="10" t="s">
        <v>74</v>
      </c>
    </row>
    <row r="25" spans="3:4">
      <c r="C25" s="16">
        <v>46019</v>
      </c>
      <c r="D25" s="10" t="s">
        <v>74</v>
      </c>
    </row>
    <row r="26" spans="3:4">
      <c r="C26" s="16">
        <v>46020</v>
      </c>
      <c r="D26" s="10" t="s">
        <v>74</v>
      </c>
    </row>
    <row r="27" spans="3:4">
      <c r="C27" s="16">
        <v>46021</v>
      </c>
      <c r="D27" s="10" t="s">
        <v>74</v>
      </c>
    </row>
    <row r="28" spans="3:4">
      <c r="C28" s="16">
        <v>46022</v>
      </c>
      <c r="D28" s="10" t="s">
        <v>74</v>
      </c>
    </row>
    <row r="29" spans="3:4">
      <c r="C29" s="16">
        <v>46023</v>
      </c>
      <c r="D29" s="10" t="s">
        <v>74</v>
      </c>
    </row>
    <row r="30" spans="3:4">
      <c r="C30" s="16">
        <v>46024</v>
      </c>
      <c r="D30" s="10" t="s">
        <v>74</v>
      </c>
    </row>
    <row r="31" spans="3:4">
      <c r="C31" s="16">
        <v>46025</v>
      </c>
      <c r="D31" s="10" t="s">
        <v>74</v>
      </c>
    </row>
    <row r="32" spans="3:4">
      <c r="C32" s="16">
        <v>46026</v>
      </c>
      <c r="D32" s="10" t="s">
        <v>74</v>
      </c>
    </row>
    <row r="33" spans="3:4">
      <c r="C33" s="16">
        <v>46027</v>
      </c>
      <c r="D33" s="10" t="s">
        <v>74</v>
      </c>
    </row>
    <row r="34" spans="3:4">
      <c r="C34" s="16">
        <v>46028</v>
      </c>
      <c r="D34" s="10" t="s">
        <v>74</v>
      </c>
    </row>
    <row r="35" spans="3:4">
      <c r="C35" s="16">
        <v>46029</v>
      </c>
      <c r="D35" s="10" t="s">
        <v>74</v>
      </c>
    </row>
    <row r="36" spans="3:4">
      <c r="C36" s="16">
        <v>46030</v>
      </c>
      <c r="D36" s="10" t="s">
        <v>74</v>
      </c>
    </row>
    <row r="37" spans="3:4">
      <c r="C37" s="16">
        <v>46031</v>
      </c>
      <c r="D37" s="10" t="s">
        <v>74</v>
      </c>
    </row>
    <row r="38" spans="3:4">
      <c r="C38" s="16">
        <v>46032</v>
      </c>
      <c r="D38" s="10" t="s">
        <v>74</v>
      </c>
    </row>
    <row r="39" spans="3:4">
      <c r="C39" s="16">
        <v>46033</v>
      </c>
      <c r="D39" s="10" t="s">
        <v>74</v>
      </c>
    </row>
    <row r="40" spans="3:4">
      <c r="C40" s="16">
        <v>46034</v>
      </c>
      <c r="D40" s="10" t="s">
        <v>74</v>
      </c>
    </row>
    <row r="41" spans="3:4">
      <c r="C41" s="16">
        <v>46016</v>
      </c>
      <c r="D41" s="10" t="s">
        <v>75</v>
      </c>
    </row>
    <row r="42" spans="3:4" ht="13.15" thickBot="1">
      <c r="C42" s="17">
        <v>46017</v>
      </c>
      <c r="D42" s="10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5"/>
  <sheetViews>
    <sheetView tabSelected="1" topLeftCell="B103" zoomScale="80" zoomScaleNormal="80" workbookViewId="0">
      <selection activeCell="N131" sqref="N131"/>
    </sheetView>
  </sheetViews>
  <sheetFormatPr defaultColWidth="8.265625" defaultRowHeight="13.5"/>
  <cols>
    <col min="1" max="1" width="1.265625" style="49" customWidth="1"/>
    <col min="2" max="2" width="8.265625" style="98" bestFit="1" customWidth="1"/>
    <col min="3" max="3" width="51.265625" style="4" customWidth="1"/>
    <col min="4" max="4" width="3" style="49" customWidth="1"/>
    <col min="5" max="5" width="14" style="4" customWidth="1"/>
    <col min="6" max="6" width="12" style="95" customWidth="1"/>
    <col min="7" max="7" width="13.265625" style="5" customWidth="1"/>
    <col min="8" max="8" width="5" style="49" customWidth="1"/>
    <col min="9" max="9" width="13.265625" style="49" customWidth="1"/>
    <col min="10" max="10" width="14" style="50" bestFit="1" customWidth="1"/>
    <col min="11" max="11" width="14" style="49" customWidth="1"/>
    <col min="12" max="12" width="2.265625" style="49" customWidth="1"/>
    <col min="13" max="13" width="12.265625" style="49" customWidth="1"/>
    <col min="14" max="14" width="19.265625" style="49" customWidth="1"/>
    <col min="15" max="15" width="49.265625" style="49" customWidth="1"/>
    <col min="16" max="16" width="1.265625" style="49" customWidth="1"/>
    <col min="17" max="17" width="5.265625" style="1" customWidth="1"/>
    <col min="18" max="18" width="8.265625" style="49"/>
    <col min="19" max="19" width="33" style="49" bestFit="1" customWidth="1"/>
    <col min="20" max="20" width="13" style="49" customWidth="1"/>
    <col min="21" max="21" width="15.3984375" style="49" bestFit="1" customWidth="1"/>
    <col min="22" max="22" width="16" style="49" hidden="1" customWidth="1"/>
    <col min="23" max="23" width="13" style="49" customWidth="1"/>
    <col min="24" max="24" width="21" style="49" bestFit="1" customWidth="1"/>
    <col min="25" max="28" width="9" style="4" customWidth="1"/>
    <col min="29" max="30" width="8.265625" style="4"/>
    <col min="31" max="32" width="9.73046875" style="4" bestFit="1" customWidth="1"/>
    <col min="33" max="16384" width="8.265625" style="4"/>
  </cols>
  <sheetData>
    <row r="1" spans="2:198" s="49" customFormat="1" ht="4.5" customHeight="1">
      <c r="B1" s="94"/>
      <c r="F1" s="95"/>
      <c r="G1" s="50"/>
      <c r="J1" s="50"/>
      <c r="N1" s="330">
        <f ca="1">TODAY()</f>
        <v>46160</v>
      </c>
      <c r="O1" s="330">
        <f ca="1">TODAY()</f>
        <v>46160</v>
      </c>
      <c r="Q1" s="1"/>
    </row>
    <row r="2" spans="2:198" ht="13.9">
      <c r="B2" s="103"/>
      <c r="C2" s="104" t="s">
        <v>77</v>
      </c>
      <c r="D2" s="105"/>
      <c r="E2" s="893" t="s">
        <v>78</v>
      </c>
      <c r="F2" s="894"/>
      <c r="G2" s="894"/>
      <c r="H2" s="895"/>
      <c r="N2" s="331">
        <v>0</v>
      </c>
      <c r="O2" s="331">
        <v>1</v>
      </c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</row>
    <row r="3" spans="2:198" s="49" customFormat="1" ht="13.9">
      <c r="B3" s="106"/>
      <c r="C3" s="107" t="s">
        <v>79</v>
      </c>
      <c r="D3" s="105"/>
      <c r="E3" s="338">
        <v>7080</v>
      </c>
      <c r="F3" s="108"/>
      <c r="G3" s="109"/>
      <c r="H3" s="110"/>
      <c r="J3" s="50"/>
      <c r="Q3" s="1"/>
    </row>
    <row r="4" spans="2:198" s="49" customFormat="1" ht="14.25" customHeight="1">
      <c r="B4" s="106"/>
      <c r="C4" s="107" t="s">
        <v>80</v>
      </c>
      <c r="D4" s="105"/>
      <c r="E4" s="896" t="s">
        <v>81</v>
      </c>
      <c r="F4" s="897"/>
      <c r="G4" s="897"/>
      <c r="H4" s="898"/>
      <c r="J4" s="50"/>
      <c r="Q4" s="1"/>
      <c r="S4" s="635"/>
      <c r="T4" s="635"/>
      <c r="U4" s="635"/>
      <c r="V4" s="635"/>
      <c r="W4" s="635"/>
      <c r="X4" s="635"/>
      <c r="Y4" s="635"/>
      <c r="Z4" s="635"/>
      <c r="AA4" s="635"/>
      <c r="AB4" s="635"/>
    </row>
    <row r="5" spans="2:198" s="49" customFormat="1" ht="14.25" customHeight="1">
      <c r="B5" s="106"/>
      <c r="C5" s="107" t="s">
        <v>82</v>
      </c>
      <c r="D5" s="105"/>
      <c r="E5" s="896" t="s">
        <v>83</v>
      </c>
      <c r="F5" s="897"/>
      <c r="G5" s="897"/>
      <c r="H5" s="898"/>
      <c r="J5" s="50"/>
      <c r="Q5" s="1"/>
      <c r="S5" s="635"/>
      <c r="T5" s="635"/>
      <c r="U5" s="635"/>
      <c r="V5" s="635"/>
      <c r="W5" s="635"/>
      <c r="X5" s="635"/>
      <c r="Y5" s="635"/>
      <c r="Z5" s="635"/>
      <c r="AA5" s="635"/>
      <c r="AB5" s="635"/>
    </row>
    <row r="6" spans="2:198" ht="14.25" customHeight="1">
      <c r="B6" s="111"/>
      <c r="C6" s="112" t="s">
        <v>84</v>
      </c>
      <c r="D6" s="105"/>
      <c r="E6" s="899">
        <v>59995000</v>
      </c>
      <c r="F6" s="900"/>
      <c r="G6" s="900"/>
      <c r="H6" s="901"/>
      <c r="S6" s="635"/>
      <c r="T6" s="635"/>
      <c r="U6" s="635"/>
      <c r="V6" s="635"/>
      <c r="W6" s="635"/>
      <c r="X6" s="635"/>
      <c r="Y6" s="635"/>
      <c r="Z6" s="635"/>
      <c r="AA6" s="635"/>
      <c r="AB6" s="635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</row>
    <row r="7" spans="2:198" s="49" customFormat="1" ht="16.5" customHeight="1">
      <c r="B7" s="94"/>
      <c r="C7" s="751" t="s">
        <v>85</v>
      </c>
      <c r="D7" s="752"/>
      <c r="E7" s="753" t="s">
        <v>86</v>
      </c>
      <c r="F7" s="95"/>
      <c r="G7" s="113"/>
      <c r="J7" s="50"/>
      <c r="Q7" s="1"/>
      <c r="S7" s="635"/>
      <c r="T7" s="635"/>
      <c r="U7" s="635"/>
      <c r="V7" s="635"/>
      <c r="W7" s="635"/>
      <c r="X7" s="635"/>
      <c r="Y7" s="635"/>
      <c r="Z7" s="635"/>
      <c r="AA7" s="635"/>
      <c r="AB7" s="635"/>
    </row>
    <row r="8" spans="2:198" ht="30" customHeight="1">
      <c r="B8" s="905" t="s">
        <v>26</v>
      </c>
      <c r="C8" s="906" t="s">
        <v>87</v>
      </c>
      <c r="D8" s="142"/>
      <c r="E8" s="904" t="s">
        <v>88</v>
      </c>
      <c r="F8" s="164" t="s">
        <v>89</v>
      </c>
      <c r="G8" s="904" t="s">
        <v>90</v>
      </c>
      <c r="H8" s="165"/>
      <c r="I8" s="904" t="s">
        <v>91</v>
      </c>
      <c r="J8" s="164" t="s">
        <v>89</v>
      </c>
      <c r="K8" s="904" t="s">
        <v>92</v>
      </c>
      <c r="M8" s="337" t="s">
        <v>93</v>
      </c>
      <c r="N8" s="337" t="s">
        <v>94</v>
      </c>
      <c r="O8" s="902" t="s">
        <v>95</v>
      </c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</row>
    <row r="9" spans="2:198" ht="13.9">
      <c r="B9" s="905"/>
      <c r="C9" s="906"/>
      <c r="D9" s="142"/>
      <c r="E9" s="904"/>
      <c r="F9" s="63">
        <f>G108-E19</f>
        <v>160</v>
      </c>
      <c r="G9" s="904"/>
      <c r="H9" s="165"/>
      <c r="I9" s="904"/>
      <c r="J9" s="63">
        <f>K108-I19</f>
        <v>240</v>
      </c>
      <c r="K9" s="904"/>
      <c r="M9" s="288">
        <f>AVERAGE(M11,M18,M32,M42,M58,M67,M74,M81,M88,M98,M110,M117)</f>
        <v>0.98797619047619045</v>
      </c>
      <c r="N9" s="288">
        <f ca="1">AVERAGE(N11,N18,N32,N42,N58,N67,N74,N81,N88,N98,N110,N117)</f>
        <v>0.98809523809523814</v>
      </c>
      <c r="O9" s="903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</row>
    <row r="10" spans="2:198" s="49" customFormat="1" ht="4.5" customHeight="1">
      <c r="B10" s="166"/>
      <c r="C10" s="142"/>
      <c r="D10" s="142"/>
      <c r="E10" s="167"/>
      <c r="F10" s="167"/>
      <c r="G10" s="168"/>
      <c r="H10" s="165"/>
      <c r="I10" s="169"/>
      <c r="J10" s="169"/>
      <c r="K10" s="170"/>
      <c r="N10" s="105"/>
      <c r="Q10" s="1"/>
    </row>
    <row r="11" spans="2:198" s="51" customFormat="1" ht="13.9">
      <c r="B11" s="171">
        <v>1</v>
      </c>
      <c r="C11" s="172" t="s">
        <v>96</v>
      </c>
      <c r="D11" s="146"/>
      <c r="E11" s="173">
        <f>MIN(E12:E16)</f>
        <v>45796</v>
      </c>
      <c r="F11" s="174">
        <f>G11-E11</f>
        <v>74</v>
      </c>
      <c r="G11" s="173">
        <f>MAX(G12:G16)</f>
        <v>45870</v>
      </c>
      <c r="H11" s="147"/>
      <c r="I11" s="173">
        <f>MIN(I12:I16)</f>
        <v>45796</v>
      </c>
      <c r="J11" s="174">
        <f>K11-I11</f>
        <v>74</v>
      </c>
      <c r="K11" s="173">
        <f>MAX(K12:K16)</f>
        <v>45870</v>
      </c>
      <c r="M11" s="287">
        <f>AVERAGE(M12:M16)</f>
        <v>1</v>
      </c>
      <c r="N11" s="287">
        <f ca="1">AVERAGE(N12:N16)</f>
        <v>1</v>
      </c>
      <c r="O11" s="56"/>
      <c r="P11" s="49"/>
      <c r="Q11" s="57"/>
    </row>
    <row r="12" spans="2:198" s="49" customFormat="1" ht="14.25" customHeight="1">
      <c r="B12" s="175">
        <f>B11+0.1</f>
        <v>1.1000000000000001</v>
      </c>
      <c r="C12" s="176" t="s">
        <v>97</v>
      </c>
      <c r="D12" s="142"/>
      <c r="E12" s="177">
        <v>45796</v>
      </c>
      <c r="F12" s="178">
        <v>1</v>
      </c>
      <c r="G12" s="177">
        <f>WORKDAY.INTL(E12,F12,1,Data!$C$3:$C$41)</f>
        <v>45797</v>
      </c>
      <c r="H12" s="165"/>
      <c r="I12" s="177">
        <v>45796</v>
      </c>
      <c r="J12" s="178">
        <v>1</v>
      </c>
      <c r="K12" s="177">
        <f>WORKDAY.INTL(I12,J12,1,Data!$C$3:$C$41)</f>
        <v>45797</v>
      </c>
      <c r="M12" s="180">
        <v>1</v>
      </c>
      <c r="N12" s="180">
        <f ca="1">_xlfn.LET(
  _xlpm.s,VALUE(I12),
  _xlpm.e,VALUE(K12),
  IF(OR(_xlpm.s="",_xlpm.e=""),"", IF(_xlpm.e&lt;=_xlpm.s, IF(TODAY()&gt;=_xlpm.e,1,0), MAX(0,MIN(1,(TODAY()-_xlpm.s)/(_xlpm.e-_xlpm.s)))))
)</f>
        <v>1</v>
      </c>
      <c r="O12" s="59"/>
      <c r="Q12" s="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spans="2:198" s="49" customFormat="1" ht="14.25" customHeight="1">
      <c r="B13" s="175">
        <f t="shared" ref="B13:B16" si="0">B12+0.1</f>
        <v>1.2000000000000002</v>
      </c>
      <c r="C13" s="176" t="s">
        <v>98</v>
      </c>
      <c r="D13" s="142"/>
      <c r="E13" s="177">
        <f>WORKDAY.INTL(E19,0,1,Data!$C$3:$C$41)-7</f>
        <v>45808</v>
      </c>
      <c r="F13" s="178">
        <v>1</v>
      </c>
      <c r="G13" s="177">
        <f>WORKDAY.INTL(E13,F13,1,Data!$C$3:$C$41)</f>
        <v>45810</v>
      </c>
      <c r="H13" s="165"/>
      <c r="I13" s="177">
        <f>WORKDAY.INTL(I19,0,1,Data!$C$3:$C$41)-7</f>
        <v>45808</v>
      </c>
      <c r="J13" s="178">
        <v>1</v>
      </c>
      <c r="K13" s="177">
        <f>WORKDAY.INTL(I13,J13,1,Data!$C$3:$C$41)</f>
        <v>45810</v>
      </c>
      <c r="M13" s="180">
        <v>1</v>
      </c>
      <c r="N13" s="180">
        <f ca="1">_xlfn.LET(
  _xlpm.s,VALUE(I13),
  _xlpm.e,VALUE(K13),
  IF(OR(_xlpm.s="",_xlpm.e=""),"", IF(_xlpm.e&lt;=_xlpm.s, IF(TODAY()&gt;=_xlpm.e,1,0), MAX(0,MIN(1,(TODAY()-_xlpm.s)/(_xlpm.e-_xlpm.s)))))
)</f>
        <v>1</v>
      </c>
      <c r="O13" s="59"/>
      <c r="Q13" s="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 spans="2:198" s="49" customFormat="1" ht="14.25" customHeight="1">
      <c r="B14" s="175">
        <f t="shared" si="0"/>
        <v>1.3000000000000003</v>
      </c>
      <c r="C14" s="176" t="s">
        <v>99</v>
      </c>
      <c r="D14" s="142"/>
      <c r="E14" s="177">
        <f>E12</f>
        <v>45796</v>
      </c>
      <c r="F14" s="178">
        <v>1</v>
      </c>
      <c r="G14" s="177">
        <f>WORKDAY.INTL(E14,F14,1,Data!$C$3:$C$41)</f>
        <v>45797</v>
      </c>
      <c r="H14" s="165"/>
      <c r="I14" s="177">
        <f>I12</f>
        <v>45796</v>
      </c>
      <c r="J14" s="178">
        <v>1</v>
      </c>
      <c r="K14" s="177">
        <f>WORKDAY.INTL(I14,J14,1,Data!$C$3:$C$41)</f>
        <v>45797</v>
      </c>
      <c r="M14" s="180">
        <v>1</v>
      </c>
      <c r="N14" s="180">
        <f ca="1">_xlfn.LET(
  _xlpm.s,VALUE(I14),
  _xlpm.e,VALUE(K14),
  IF(OR(_xlpm.s="",_xlpm.e=""),"", IF(_xlpm.e&lt;=_xlpm.s, IF(TODAY()&gt;=_xlpm.e,1,0), MAX(0,MIN(1,(TODAY()-_xlpm.s)/(_xlpm.e-_xlpm.s)))))
)</f>
        <v>1</v>
      </c>
      <c r="O14" s="59"/>
      <c r="Q14" s="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 spans="2:198" s="49" customFormat="1" ht="14.25" customHeight="1">
      <c r="B15" s="175">
        <f t="shared" si="0"/>
        <v>1.4000000000000004</v>
      </c>
      <c r="C15" s="176" t="s">
        <v>100</v>
      </c>
      <c r="D15" s="142"/>
      <c r="E15" s="177">
        <v>45867</v>
      </c>
      <c r="F15" s="178">
        <v>1</v>
      </c>
      <c r="G15" s="177">
        <f>WORKDAY.INTL(E15,F15,1,Data!$C$3:$C$41)</f>
        <v>45868</v>
      </c>
      <c r="H15" s="165"/>
      <c r="I15" s="177">
        <v>45867</v>
      </c>
      <c r="J15" s="178">
        <v>1</v>
      </c>
      <c r="K15" s="177">
        <f>WORKDAY.INTL(I15,J15,1,Data!$C$3:$C$41)</f>
        <v>45868</v>
      </c>
      <c r="M15" s="180">
        <v>1</v>
      </c>
      <c r="N15" s="180">
        <f ca="1">_xlfn.LET(
  _xlpm.s,VALUE(I15),
  _xlpm.e,VALUE(K15),
  IF(OR(_xlpm.s="",_xlpm.e=""),"", IF(_xlpm.e&lt;=_xlpm.s, IF(TODAY()&gt;=_xlpm.e,1,0), MAX(0,MIN(1,(TODAY()-_xlpm.s)/(_xlpm.e-_xlpm.s)))))
)</f>
        <v>1</v>
      </c>
      <c r="O15" s="59"/>
      <c r="Q15" s="1"/>
      <c r="S15" s="51"/>
      <c r="T15" s="51"/>
      <c r="U15" s="51"/>
      <c r="V15" s="51"/>
      <c r="W15" s="51"/>
      <c r="X15" s="51"/>
      <c r="Y15" s="630">
        <v>0</v>
      </c>
      <c r="Z15" s="51"/>
      <c r="AA15" s="51"/>
      <c r="AB15" s="51"/>
    </row>
    <row r="16" spans="2:198" s="49" customFormat="1" ht="14.25" customHeight="1">
      <c r="B16" s="175">
        <f t="shared" si="0"/>
        <v>1.5000000000000004</v>
      </c>
      <c r="C16" s="176" t="s">
        <v>101</v>
      </c>
      <c r="D16" s="142"/>
      <c r="E16" s="177">
        <v>45870</v>
      </c>
      <c r="F16" s="178">
        <v>0</v>
      </c>
      <c r="G16" s="177">
        <f>WORKDAY.INTL(E16,F16,1,Data!$C$3:$C$41)</f>
        <v>45870</v>
      </c>
      <c r="H16" s="165"/>
      <c r="I16" s="177">
        <v>45870</v>
      </c>
      <c r="J16" s="178">
        <v>0</v>
      </c>
      <c r="K16" s="177">
        <f>WORKDAY.INTL(I16,J16,1,Data!$C$3:$C$41)</f>
        <v>45870</v>
      </c>
      <c r="M16" s="180">
        <v>1</v>
      </c>
      <c r="N16" s="180">
        <f ca="1">_xlfn.LET(
  _xlpm.s,VALUE(I16),
  _xlpm.e,VALUE(K16),
  IF(OR(_xlpm.s="",_xlpm.e=""),"", IF(_xlpm.e&lt;=_xlpm.s, IF(TODAY()&gt;=_xlpm.e,1,0), MAX(0,MIN(1,(TODAY()-_xlpm.s)/(_xlpm.e-_xlpm.s)))))
)</f>
        <v>1</v>
      </c>
      <c r="O16" s="59"/>
      <c r="Q16" s="1"/>
      <c r="S16" s="51"/>
      <c r="T16" s="51"/>
      <c r="U16" s="51"/>
      <c r="V16" s="51"/>
      <c r="W16" s="51"/>
      <c r="X16" s="51"/>
      <c r="Y16" s="630">
        <v>1</v>
      </c>
      <c r="Z16" s="51"/>
      <c r="AA16" s="51"/>
      <c r="AB16" s="51"/>
    </row>
    <row r="17" spans="2:198" s="49" customFormat="1" ht="4.5" customHeight="1">
      <c r="B17" s="166"/>
      <c r="C17" s="142"/>
      <c r="D17" s="142"/>
      <c r="E17" s="167"/>
      <c r="F17" s="167"/>
      <c r="G17" s="168"/>
      <c r="H17" s="165"/>
      <c r="I17" s="167"/>
      <c r="J17" s="167"/>
      <c r="K17" s="168"/>
      <c r="N17" s="105"/>
      <c r="Q17" s="1"/>
    </row>
    <row r="18" spans="2:198" s="51" customFormat="1" ht="13.9">
      <c r="B18" s="171">
        <v>2</v>
      </c>
      <c r="C18" s="172" t="s">
        <v>102</v>
      </c>
      <c r="D18" s="146"/>
      <c r="E18" s="173">
        <f>MIN(E19:E31)</f>
        <v>45815</v>
      </c>
      <c r="F18" s="174">
        <f>G18-E18</f>
        <v>6</v>
      </c>
      <c r="G18" s="173">
        <f>MAX(G19)</f>
        <v>45821</v>
      </c>
      <c r="H18" s="147"/>
      <c r="I18" s="173">
        <f>MIN(I19:I31)</f>
        <v>45815</v>
      </c>
      <c r="J18" s="174">
        <f>K18-I18</f>
        <v>95</v>
      </c>
      <c r="K18" s="173">
        <f>MAX(K19:K30)</f>
        <v>45910</v>
      </c>
      <c r="M18" s="287">
        <f>AVERAGE(M19:M30)</f>
        <v>1</v>
      </c>
      <c r="N18" s="287">
        <f ca="1">AVERAGE(N19:N30)</f>
        <v>1</v>
      </c>
      <c r="O18" s="56"/>
      <c r="P18" s="49"/>
      <c r="Q18" s="60"/>
      <c r="R18" s="55"/>
      <c r="S18" s="411" t="s">
        <v>103</v>
      </c>
      <c r="T18" s="633" t="s">
        <v>15</v>
      </c>
      <c r="U18" s="633" t="s">
        <v>104</v>
      </c>
      <c r="V18" s="633" t="s">
        <v>105</v>
      </c>
      <c r="W18" s="633" t="s">
        <v>106</v>
      </c>
      <c r="X18" s="633" t="s">
        <v>107</v>
      </c>
      <c r="Y18" s="890" t="s">
        <v>108</v>
      </c>
      <c r="Z18" s="891"/>
      <c r="AA18" s="891"/>
      <c r="AB18" s="892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</row>
    <row r="19" spans="2:198" s="49" customFormat="1" ht="14.25" customHeight="1">
      <c r="B19" s="175">
        <f>B18+0.1</f>
        <v>2.1</v>
      </c>
      <c r="C19" s="176" t="s">
        <v>109</v>
      </c>
      <c r="D19" s="142"/>
      <c r="E19" s="569">
        <v>45815</v>
      </c>
      <c r="F19" s="178">
        <v>5</v>
      </c>
      <c r="G19" s="177">
        <f>WORKDAY.INTL(E19,F19,1,Data!$C$3:$C$41)</f>
        <v>45821</v>
      </c>
      <c r="H19" s="165"/>
      <c r="I19" s="569">
        <v>45815</v>
      </c>
      <c r="J19" s="178">
        <v>5</v>
      </c>
      <c r="K19" s="177">
        <f>WORKDAY.INTL(I19,J19,1,Data!$C$3:$C$41)</f>
        <v>45821</v>
      </c>
      <c r="M19" s="180">
        <v>1</v>
      </c>
      <c r="N19" s="180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59"/>
      <c r="Q19" s="61"/>
      <c r="R19" s="58"/>
      <c r="S19" s="626" t="str">
        <f>C32</f>
        <v>Procurement &amp; Contracting</v>
      </c>
      <c r="T19" s="628">
        <f>I32</f>
        <v>45796</v>
      </c>
      <c r="U19" s="627">
        <f>J32</f>
        <v>193</v>
      </c>
      <c r="V19" s="627">
        <f>F32</f>
        <v>124</v>
      </c>
      <c r="W19" s="628">
        <f>K32</f>
        <v>45989</v>
      </c>
      <c r="X19" s="634">
        <f>M32</f>
        <v>1</v>
      </c>
      <c r="Y19" s="889">
        <f>M9</f>
        <v>0.98797619047619045</v>
      </c>
      <c r="Z19" s="889"/>
      <c r="AA19" s="889"/>
      <c r="AB19" s="889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</row>
    <row r="20" spans="2:198" s="49" customFormat="1" ht="14.25" customHeight="1">
      <c r="B20" s="175">
        <f t="shared" ref="B20:B27" si="2">B19+0.1</f>
        <v>2.2000000000000002</v>
      </c>
      <c r="C20" s="176" t="s">
        <v>110</v>
      </c>
      <c r="D20" s="142"/>
      <c r="E20" s="177">
        <f>WORKDAY.INTL(G18,0,1,Data!$C$3:$C$41)</f>
        <v>45821</v>
      </c>
      <c r="F20" s="178">
        <v>17</v>
      </c>
      <c r="G20" s="177">
        <f>WORKDAY.INTL(E20,F20,1,Data!$C$3:$C$41)</f>
        <v>45847</v>
      </c>
      <c r="H20" s="165"/>
      <c r="I20" s="177">
        <f>WORKDAY.INTL(K19,0,1,Data!$C$3:$C$41)</f>
        <v>45821</v>
      </c>
      <c r="J20" s="178">
        <v>17</v>
      </c>
      <c r="K20" s="177">
        <f>WORKDAY.INTL(I20,J20,1,Data!$C$3:$C$41)</f>
        <v>45847</v>
      </c>
      <c r="M20" s="180">
        <v>1</v>
      </c>
      <c r="N20" s="180">
        <f t="shared" ca="1" si="1"/>
        <v>1</v>
      </c>
      <c r="O20" s="59"/>
      <c r="Q20" s="61"/>
      <c r="R20" s="58"/>
      <c r="S20" s="626" t="str">
        <f>C42</f>
        <v>Extras &amp; Civil Works</v>
      </c>
      <c r="T20" s="628">
        <f>I42</f>
        <v>45830</v>
      </c>
      <c r="U20" s="627">
        <f>J42</f>
        <v>212</v>
      </c>
      <c r="V20" s="627">
        <f>F42</f>
        <v>71</v>
      </c>
      <c r="W20" s="628">
        <f>K42</f>
        <v>46042</v>
      </c>
      <c r="X20" s="634">
        <f>M42</f>
        <v>1</v>
      </c>
      <c r="Y20" s="889"/>
      <c r="Z20" s="889"/>
      <c r="AA20" s="889"/>
      <c r="AB20" s="889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</row>
    <row r="21" spans="2:198" s="49" customFormat="1" ht="14.25" customHeight="1">
      <c r="B21" s="175">
        <f t="shared" si="2"/>
        <v>2.3000000000000003</v>
      </c>
      <c r="C21" s="631" t="s">
        <v>111</v>
      </c>
      <c r="D21" s="142"/>
      <c r="E21" s="177">
        <f>WORKDAY.INTL(G20,0,1,Data!$C$3:$C$41)</f>
        <v>45847</v>
      </c>
      <c r="F21" s="178">
        <v>8</v>
      </c>
      <c r="G21" s="177">
        <f>WORKDAY.INTL(E21,F21,1,Data!$C$3:$C$41)</f>
        <v>45859</v>
      </c>
      <c r="H21" s="165"/>
      <c r="I21" s="177">
        <f>WORKDAY.INTL(K20,0,1,Data!$C$3:$C$41)</f>
        <v>45847</v>
      </c>
      <c r="J21" s="178">
        <v>31</v>
      </c>
      <c r="K21" s="177">
        <f>WORKDAY.INTL(I21,J21,1,Data!$C$3:$C$41)</f>
        <v>45890</v>
      </c>
      <c r="M21" s="180">
        <v>1</v>
      </c>
      <c r="N21" s="180">
        <f t="shared" ca="1" si="1"/>
        <v>1</v>
      </c>
      <c r="O21" s="59"/>
      <c r="Q21" s="61"/>
      <c r="R21" s="58"/>
      <c r="S21" s="626" t="str">
        <f>C58</f>
        <v>DC Works - Rooftop</v>
      </c>
      <c r="T21" s="628">
        <f>I58</f>
        <v>45894</v>
      </c>
      <c r="U21" s="627">
        <f>J58</f>
        <v>147</v>
      </c>
      <c r="V21" s="627">
        <f>F58</f>
        <v>51</v>
      </c>
      <c r="W21" s="628">
        <f>K58</f>
        <v>46041</v>
      </c>
      <c r="X21" s="634">
        <f>M58</f>
        <v>1</v>
      </c>
      <c r="Y21" s="889"/>
      <c r="Z21" s="889"/>
      <c r="AA21" s="889"/>
      <c r="AB21" s="889"/>
      <c r="AC21" s="58"/>
      <c r="AD21" s="58"/>
      <c r="AE21" s="680">
        <f ca="1">TODAY()</f>
        <v>46160</v>
      </c>
      <c r="AF21" s="680">
        <f ca="1">TODAY()</f>
        <v>46160</v>
      </c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</row>
    <row r="22" spans="2:198" s="49" customFormat="1" ht="14.25" customHeight="1">
      <c r="B22" s="175">
        <f t="shared" si="2"/>
        <v>2.4000000000000004</v>
      </c>
      <c r="C22" s="631" t="s">
        <v>112</v>
      </c>
      <c r="D22" s="142"/>
      <c r="E22" s="177"/>
      <c r="F22" s="178"/>
      <c r="G22" s="177"/>
      <c r="H22" s="165"/>
      <c r="I22" s="177">
        <v>45875</v>
      </c>
      <c r="J22" s="178">
        <v>25</v>
      </c>
      <c r="K22" s="177">
        <f>WORKDAY.INTL(I22,J22,1,Data!$C$3:$C$41)</f>
        <v>45910</v>
      </c>
      <c r="M22" s="180">
        <v>1</v>
      </c>
      <c r="N22" s="180">
        <f t="shared" ca="1" si="1"/>
        <v>1</v>
      </c>
      <c r="O22" s="59" t="s">
        <v>113</v>
      </c>
      <c r="Q22" s="61"/>
      <c r="R22" s="58"/>
      <c r="S22" s="626" t="str">
        <f>C67</f>
        <v>DC Works - Ground Mount</v>
      </c>
      <c r="T22" s="628"/>
      <c r="U22" s="627">
        <f>J67</f>
        <v>120</v>
      </c>
      <c r="V22" s="627">
        <f>F67</f>
        <v>58</v>
      </c>
      <c r="W22" s="628">
        <f>K67</f>
        <v>46058</v>
      </c>
      <c r="X22" s="634">
        <f>M67</f>
        <v>1</v>
      </c>
      <c r="Y22" s="889"/>
      <c r="Z22" s="889"/>
      <c r="AA22" s="889"/>
      <c r="AB22" s="889"/>
      <c r="AC22" s="58"/>
      <c r="AD22" s="58"/>
      <c r="AE22" s="58">
        <v>1</v>
      </c>
      <c r="AF22" s="58">
        <v>0</v>
      </c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</row>
    <row r="23" spans="2:198" s="49" customFormat="1" ht="14.25" customHeight="1">
      <c r="B23" s="175">
        <f t="shared" si="2"/>
        <v>2.5000000000000004</v>
      </c>
      <c r="C23" s="631" t="s">
        <v>114</v>
      </c>
      <c r="D23" s="142"/>
      <c r="E23" s="177">
        <f>WORKDAY.INTL(G20,0,1,Data!$C$3:$C$41)</f>
        <v>45847</v>
      </c>
      <c r="F23" s="178">
        <v>8</v>
      </c>
      <c r="G23" s="177">
        <f>WORKDAY.INTL(E23,F23,1,Data!$C$3:$C$41)</f>
        <v>45859</v>
      </c>
      <c r="H23" s="165"/>
      <c r="I23" s="177">
        <f>WORKDAY.INTL(K20,0,1,Data!$C$3:$C$41)</f>
        <v>45847</v>
      </c>
      <c r="J23" s="178">
        <v>31</v>
      </c>
      <c r="K23" s="177">
        <f>WORKDAY.INTL(I23,J23,1,Data!$C$3:$C$41)</f>
        <v>45890</v>
      </c>
      <c r="M23" s="180">
        <v>1</v>
      </c>
      <c r="N23" s="180">
        <f t="shared" ca="1" si="1"/>
        <v>1</v>
      </c>
      <c r="O23" s="59"/>
      <c r="Q23" s="61"/>
      <c r="R23" s="58"/>
      <c r="S23" s="626" t="str">
        <f>C74</f>
        <v>AC Installation - Ground Mount</v>
      </c>
      <c r="T23" s="628">
        <f>I74</f>
        <v>45990</v>
      </c>
      <c r="U23" s="627">
        <f>J74</f>
        <v>17</v>
      </c>
      <c r="V23" s="627">
        <f>F74</f>
        <v>26</v>
      </c>
      <c r="W23" s="628">
        <f>K74</f>
        <v>46007</v>
      </c>
      <c r="X23" s="634">
        <f>M74</f>
        <v>1</v>
      </c>
      <c r="Y23" s="889"/>
      <c r="Z23" s="889"/>
      <c r="AA23" s="889"/>
      <c r="AB23" s="889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</row>
    <row r="24" spans="2:198" s="49" customFormat="1" ht="14.25" customHeight="1">
      <c r="B24" s="175">
        <f t="shared" si="2"/>
        <v>2.6000000000000005</v>
      </c>
      <c r="C24" s="631" t="s">
        <v>115</v>
      </c>
      <c r="D24" s="142"/>
      <c r="E24" s="569"/>
      <c r="F24" s="178"/>
      <c r="G24" s="177"/>
      <c r="H24" s="165"/>
      <c r="I24" s="177">
        <v>45847</v>
      </c>
      <c r="J24" s="178">
        <v>33</v>
      </c>
      <c r="K24" s="177">
        <f>WORKDAY.INTL(I24,J24,1,Data!$C$3:$C$41)</f>
        <v>45894</v>
      </c>
      <c r="M24" s="180">
        <v>1</v>
      </c>
      <c r="N24" s="180">
        <f t="shared" ca="1" si="1"/>
        <v>1</v>
      </c>
      <c r="O24" s="59" t="s">
        <v>116</v>
      </c>
      <c r="Q24" s="61"/>
      <c r="R24" s="58"/>
      <c r="S24" s="626" t="str">
        <f>C81</f>
        <v>AC Installation - Rooftop</v>
      </c>
      <c r="T24" s="628">
        <f>I81</f>
        <v>45915</v>
      </c>
      <c r="U24" s="627">
        <f>J81</f>
        <v>92</v>
      </c>
      <c r="V24" s="627">
        <f>F81</f>
        <v>21</v>
      </c>
      <c r="W24" s="628">
        <f>K81</f>
        <v>46007</v>
      </c>
      <c r="X24" s="634">
        <f>M81</f>
        <v>1</v>
      </c>
      <c r="Y24" s="889"/>
      <c r="Z24" s="889"/>
      <c r="AA24" s="889"/>
      <c r="AB24" s="889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</row>
    <row r="25" spans="2:198" s="49" customFormat="1" ht="14.25" customHeight="1">
      <c r="B25" s="175">
        <f t="shared" si="2"/>
        <v>2.7000000000000006</v>
      </c>
      <c r="C25" s="176" t="s">
        <v>117</v>
      </c>
      <c r="D25" s="142"/>
      <c r="E25" s="569"/>
      <c r="F25" s="178"/>
      <c r="G25" s="177"/>
      <c r="H25" s="165"/>
      <c r="I25" s="569">
        <v>45867</v>
      </c>
      <c r="J25" s="178">
        <v>0</v>
      </c>
      <c r="K25" s="177">
        <f>WORKDAY.INTL(I25,J25,1,Data!$C$3:$C$41)</f>
        <v>45867</v>
      </c>
      <c r="M25" s="180">
        <v>1</v>
      </c>
      <c r="N25" s="180">
        <f t="shared" ca="1" si="1"/>
        <v>1</v>
      </c>
      <c r="O25" s="59"/>
      <c r="Q25" s="61"/>
      <c r="R25" s="58"/>
      <c r="S25" s="626" t="str">
        <f>C88</f>
        <v>Transformer Installation</v>
      </c>
      <c r="T25" s="628">
        <f>I88</f>
        <v>45986</v>
      </c>
      <c r="U25" s="627">
        <f>J88</f>
        <v>22</v>
      </c>
      <c r="V25" s="627">
        <f>F88</f>
        <v>43</v>
      </c>
      <c r="W25" s="628">
        <f>K88</f>
        <v>46008</v>
      </c>
      <c r="X25" s="634">
        <f>M88</f>
        <v>1</v>
      </c>
      <c r="Y25" s="889"/>
      <c r="Z25" s="889"/>
      <c r="AA25" s="889"/>
      <c r="AB25" s="889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</row>
    <row r="26" spans="2:198" s="49" customFormat="1" ht="13.9">
      <c r="B26" s="175">
        <f t="shared" si="2"/>
        <v>2.8000000000000007</v>
      </c>
      <c r="C26" s="176" t="s">
        <v>118</v>
      </c>
      <c r="D26" s="142"/>
      <c r="E26" s="569"/>
      <c r="F26" s="178"/>
      <c r="G26" s="177"/>
      <c r="H26" s="165"/>
      <c r="I26" s="569">
        <v>45867</v>
      </c>
      <c r="J26" s="178">
        <v>0</v>
      </c>
      <c r="K26" s="177">
        <f>WORKDAY.INTL(I26,J26,1,Data!$C$3:$C$41)</f>
        <v>45867</v>
      </c>
      <c r="M26" s="180">
        <v>1</v>
      </c>
      <c r="N26" s="180">
        <f t="shared" ca="1" si="1"/>
        <v>1</v>
      </c>
      <c r="O26" s="59"/>
      <c r="Q26" s="61"/>
      <c r="R26" s="58"/>
      <c r="S26" s="626" t="str">
        <f>C98</f>
        <v>Commissioning</v>
      </c>
      <c r="T26" s="628">
        <f>I98</f>
        <v>46006</v>
      </c>
      <c r="U26" s="627">
        <f>J98</f>
        <v>59</v>
      </c>
      <c r="V26" s="627">
        <f>F98</f>
        <v>4</v>
      </c>
      <c r="W26" s="628">
        <f>K98</f>
        <v>46065</v>
      </c>
      <c r="X26" s="634">
        <f>M98</f>
        <v>1</v>
      </c>
      <c r="Y26" s="889"/>
      <c r="Z26" s="889"/>
      <c r="AA26" s="889"/>
      <c r="AB26" s="889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</row>
    <row r="27" spans="2:198" s="49" customFormat="1" ht="13.9">
      <c r="B27" s="175">
        <f t="shared" si="2"/>
        <v>2.9000000000000008</v>
      </c>
      <c r="C27" s="176" t="s">
        <v>119</v>
      </c>
      <c r="D27" s="142"/>
      <c r="E27" s="569"/>
      <c r="F27" s="178"/>
      <c r="G27" s="177"/>
      <c r="H27" s="165"/>
      <c r="I27" s="569">
        <v>45867</v>
      </c>
      <c r="J27" s="178">
        <v>0</v>
      </c>
      <c r="K27" s="177">
        <f>WORKDAY.INTL(I27,J27,1,Data!$C$3:$C$41)</f>
        <v>45867</v>
      </c>
      <c r="M27" s="180">
        <v>1</v>
      </c>
      <c r="N27" s="180">
        <f t="shared" ca="1" si="1"/>
        <v>1</v>
      </c>
      <c r="O27" s="59"/>
      <c r="Q27" s="61"/>
      <c r="R27" s="58"/>
      <c r="S27" s="626" t="str">
        <f>C110</f>
        <v>QA Inspection &amp; Snag Completion</v>
      </c>
      <c r="T27" s="628">
        <f>I110</f>
        <v>46048</v>
      </c>
      <c r="U27" s="627">
        <f>J110</f>
        <v>29</v>
      </c>
      <c r="V27" s="627">
        <f>F110</f>
        <v>58</v>
      </c>
      <c r="W27" s="628">
        <f>K110</f>
        <v>46077</v>
      </c>
      <c r="X27" s="634">
        <f>M110</f>
        <v>1</v>
      </c>
      <c r="Y27" s="889"/>
      <c r="Z27" s="889"/>
      <c r="AA27" s="889"/>
      <c r="AB27" s="889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</row>
    <row r="28" spans="2:198" s="49" customFormat="1" ht="13.9">
      <c r="B28" s="629">
        <v>2.1</v>
      </c>
      <c r="C28" s="176" t="s">
        <v>120</v>
      </c>
      <c r="D28" s="142"/>
      <c r="E28" s="569"/>
      <c r="F28" s="178"/>
      <c r="G28" s="177"/>
      <c r="H28" s="165"/>
      <c r="I28" s="569">
        <v>45867</v>
      </c>
      <c r="J28" s="178">
        <v>0</v>
      </c>
      <c r="K28" s="177">
        <f>WORKDAY.INTL(I28,J28,1,Data!$C$3:$C$41)</f>
        <v>45867</v>
      </c>
      <c r="M28" s="180">
        <v>1</v>
      </c>
      <c r="N28" s="180">
        <f t="shared" ca="1" si="1"/>
        <v>1</v>
      </c>
      <c r="O28" s="59"/>
      <c r="Q28" s="61"/>
      <c r="R28" s="58"/>
      <c r="S28" s="626" t="str">
        <f>C117</f>
        <v>Project Closure</v>
      </c>
      <c r="T28" s="628">
        <f>I117</f>
        <v>46006</v>
      </c>
      <c r="U28" s="627">
        <f>J117</f>
        <v>168</v>
      </c>
      <c r="V28" s="627">
        <f>F117</f>
        <v>70</v>
      </c>
      <c r="W28" s="628">
        <f>K117</f>
        <v>46174</v>
      </c>
      <c r="X28" s="634">
        <f>M117</f>
        <v>0.85571428571428576</v>
      </c>
      <c r="Y28" s="889"/>
      <c r="Z28" s="889"/>
      <c r="AA28" s="889"/>
      <c r="AB28" s="889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</row>
    <row r="29" spans="2:198" s="49" customFormat="1" ht="13.9">
      <c r="B29" s="629">
        <v>2.11</v>
      </c>
      <c r="C29" s="176" t="s">
        <v>121</v>
      </c>
      <c r="D29" s="142"/>
      <c r="E29" s="569"/>
      <c r="F29" s="178"/>
      <c r="G29" s="177"/>
      <c r="H29" s="165"/>
      <c r="I29" s="569">
        <v>45867</v>
      </c>
      <c r="J29" s="178">
        <v>21</v>
      </c>
      <c r="K29" s="177">
        <f>WORKDAY.INTL(I29,J29,1,Data!$C$3:$C$41)</f>
        <v>45896</v>
      </c>
      <c r="M29" s="180">
        <v>1</v>
      </c>
      <c r="N29" s="180">
        <f t="shared" ca="1" si="1"/>
        <v>1</v>
      </c>
      <c r="O29" s="59" t="s">
        <v>122</v>
      </c>
      <c r="Q29" s="61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</row>
    <row r="30" spans="2:198" s="49" customFormat="1" ht="13.9">
      <c r="B30" s="629">
        <v>2.12</v>
      </c>
      <c r="C30" s="631" t="s">
        <v>123</v>
      </c>
      <c r="D30" s="142"/>
      <c r="E30" s="569"/>
      <c r="F30" s="178"/>
      <c r="G30" s="177"/>
      <c r="H30" s="165"/>
      <c r="I30" s="569">
        <v>45867</v>
      </c>
      <c r="J30" s="178">
        <f>K30-I30</f>
        <v>23</v>
      </c>
      <c r="K30" s="177">
        <f>K23</f>
        <v>45890</v>
      </c>
      <c r="M30" s="180">
        <v>1</v>
      </c>
      <c r="N30" s="180">
        <f t="shared" ca="1" si="1"/>
        <v>1</v>
      </c>
      <c r="O30" s="59"/>
      <c r="Q30" s="61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</row>
    <row r="31" spans="2:198" s="49" customFormat="1" ht="4.5" customHeight="1">
      <c r="B31" s="166"/>
      <c r="C31" s="142"/>
      <c r="D31" s="142"/>
      <c r="E31" s="167"/>
      <c r="F31" s="167"/>
      <c r="G31" s="168"/>
      <c r="H31" s="165"/>
      <c r="I31" s="167"/>
      <c r="J31" s="167"/>
      <c r="K31" s="168"/>
      <c r="N31" s="105"/>
      <c r="Q31" s="1"/>
    </row>
    <row r="32" spans="2:198" s="51" customFormat="1" ht="13.9">
      <c r="B32" s="171">
        <v>3</v>
      </c>
      <c r="C32" s="172" t="s">
        <v>124</v>
      </c>
      <c r="D32" s="146"/>
      <c r="E32" s="173">
        <f>MIN(E33:E40)</f>
        <v>45795</v>
      </c>
      <c r="F32" s="174">
        <f>G32-E32</f>
        <v>124</v>
      </c>
      <c r="G32" s="173">
        <f>MAX(G33:G40)</f>
        <v>45919</v>
      </c>
      <c r="H32" s="179"/>
      <c r="I32" s="173">
        <v>45796</v>
      </c>
      <c r="J32" s="174">
        <f>K32-I32</f>
        <v>193</v>
      </c>
      <c r="K32" s="173">
        <f>MAX(K33:K40)</f>
        <v>45989</v>
      </c>
      <c r="M32" s="287">
        <f>AVERAGE(M33:M40)</f>
        <v>1</v>
      </c>
      <c r="N32" s="287">
        <f ca="1">AVERAGE(N33:N40)</f>
        <v>1</v>
      </c>
      <c r="O32" s="56"/>
      <c r="P32" s="49"/>
      <c r="Q32" s="60"/>
      <c r="R32" s="55"/>
      <c r="S32" s="58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</row>
    <row r="33" spans="2:198" s="49" customFormat="1" ht="13.9">
      <c r="B33" s="175">
        <f>B32+0.1</f>
        <v>3.1</v>
      </c>
      <c r="C33" s="176" t="s">
        <v>125</v>
      </c>
      <c r="D33" s="142"/>
      <c r="E33" s="177">
        <v>45795</v>
      </c>
      <c r="F33" s="178">
        <v>89</v>
      </c>
      <c r="G33" s="177">
        <f>WORKDAY.INTL(E33,F33,1,Data!$C$3:$C$41)</f>
        <v>45919</v>
      </c>
      <c r="H33" s="165"/>
      <c r="I33" s="177">
        <v>45795</v>
      </c>
      <c r="J33" s="178">
        <v>138</v>
      </c>
      <c r="K33" s="177">
        <f>WORKDAY.INTL(I33,J33,1,Data!$C$3:$C$41)</f>
        <v>45989</v>
      </c>
      <c r="M33" s="180">
        <v>1</v>
      </c>
      <c r="N33" s="180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59" t="s">
        <v>126</v>
      </c>
      <c r="Q33" s="61"/>
      <c r="R33" s="58"/>
      <c r="S33" s="55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</row>
    <row r="34" spans="2:198" s="49" customFormat="1" ht="13.9">
      <c r="B34" s="175">
        <f t="shared" ref="B34:B40" si="4">B33+0.1</f>
        <v>3.2</v>
      </c>
      <c r="C34" s="684" t="s">
        <v>127</v>
      </c>
      <c r="D34" s="685"/>
      <c r="E34" s="569">
        <v>45820</v>
      </c>
      <c r="F34" s="695">
        <v>36</v>
      </c>
      <c r="G34" s="569">
        <f>WORKDAY.INTL(E34,F34,1,Data!$C$3:$C$41)</f>
        <v>45873</v>
      </c>
      <c r="H34" s="696"/>
      <c r="I34" s="569">
        <v>45820</v>
      </c>
      <c r="J34" s="695">
        <v>93</v>
      </c>
      <c r="K34" s="569">
        <f>WORKDAY.INTL(I34,J34,1,Data!$C$3:$C$41)</f>
        <v>45953</v>
      </c>
      <c r="M34" s="180">
        <v>1</v>
      </c>
      <c r="N34" s="180">
        <f t="shared" ca="1" si="3"/>
        <v>1</v>
      </c>
      <c r="O34" s="59" t="s">
        <v>128</v>
      </c>
      <c r="Q34" s="61"/>
      <c r="R34" s="58"/>
      <c r="S34" s="55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</row>
    <row r="35" spans="2:198" s="49" customFormat="1" ht="13.9">
      <c r="B35" s="175">
        <f t="shared" si="4"/>
        <v>3.3000000000000003</v>
      </c>
      <c r="C35" s="176" t="s">
        <v>129</v>
      </c>
      <c r="D35" s="142"/>
      <c r="E35" s="177">
        <v>45820</v>
      </c>
      <c r="F35" s="178">
        <v>58</v>
      </c>
      <c r="G35" s="177">
        <f>WORKDAY.INTL(E35,F35,1,Data!$C$3:$C$41)</f>
        <v>45903</v>
      </c>
      <c r="H35" s="165"/>
      <c r="I35" s="177">
        <v>45820</v>
      </c>
      <c r="J35" s="178">
        <v>66</v>
      </c>
      <c r="K35" s="177">
        <f>WORKDAY.INTL(I35,J35,1,Data!$C$3:$C$41)</f>
        <v>45915</v>
      </c>
      <c r="M35" s="180">
        <v>1</v>
      </c>
      <c r="N35" s="180">
        <f t="shared" ca="1" si="3"/>
        <v>1</v>
      </c>
      <c r="O35" s="59"/>
      <c r="Q35" s="61"/>
      <c r="R35" s="58"/>
      <c r="S35" s="55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</row>
    <row r="36" spans="2:198" s="49" customFormat="1" ht="13.9">
      <c r="B36" s="175">
        <f t="shared" si="4"/>
        <v>3.4000000000000004</v>
      </c>
      <c r="C36" s="176" t="s">
        <v>130</v>
      </c>
      <c r="D36" s="142"/>
      <c r="E36" s="177">
        <v>45820</v>
      </c>
      <c r="F36" s="178">
        <v>18</v>
      </c>
      <c r="G36" s="177">
        <f>WORKDAY.INTL(E36,F36,1,Data!$C$3:$C$41)</f>
        <v>45847</v>
      </c>
      <c r="H36" s="165"/>
      <c r="I36" s="177">
        <v>45820</v>
      </c>
      <c r="J36" s="178">
        <v>18</v>
      </c>
      <c r="K36" s="177">
        <f>WORKDAY.INTL(I36,J36,1,Data!$C$3:$C$41)</f>
        <v>45847</v>
      </c>
      <c r="M36" s="180">
        <v>1</v>
      </c>
      <c r="N36" s="180">
        <f t="shared" ca="1" si="3"/>
        <v>1</v>
      </c>
      <c r="O36" s="59"/>
      <c r="Q36" s="61"/>
      <c r="R36" s="58"/>
      <c r="S36" s="55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</row>
    <row r="37" spans="2:198" s="49" customFormat="1" ht="13.9">
      <c r="B37" s="175">
        <f t="shared" si="4"/>
        <v>3.5000000000000004</v>
      </c>
      <c r="C37" s="176" t="s">
        <v>131</v>
      </c>
      <c r="D37" s="142"/>
      <c r="E37" s="177">
        <v>45820</v>
      </c>
      <c r="F37" s="178">
        <v>18</v>
      </c>
      <c r="G37" s="177">
        <f>WORKDAY.INTL(E37,F37,1,Data!$C$3:$C$41)</f>
        <v>45847</v>
      </c>
      <c r="H37" s="165"/>
      <c r="I37" s="177">
        <v>45820</v>
      </c>
      <c r="J37" s="178">
        <v>66</v>
      </c>
      <c r="K37" s="177">
        <f>WORKDAY.INTL(I37,J37,1,Data!$C$3:$C$41)</f>
        <v>45915</v>
      </c>
      <c r="M37" s="180">
        <v>1</v>
      </c>
      <c r="N37" s="180">
        <f t="shared" ca="1" si="3"/>
        <v>1</v>
      </c>
      <c r="O37" s="59"/>
      <c r="Q37" s="61"/>
      <c r="R37" s="58"/>
      <c r="S37" s="55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</row>
    <row r="38" spans="2:198" s="49" customFormat="1" ht="13.9">
      <c r="B38" s="175">
        <f t="shared" si="4"/>
        <v>3.6000000000000005</v>
      </c>
      <c r="C38" s="176" t="s">
        <v>132</v>
      </c>
      <c r="D38" s="142"/>
      <c r="E38" s="177">
        <v>45855</v>
      </c>
      <c r="F38" s="178">
        <v>10</v>
      </c>
      <c r="G38" s="177">
        <f>WORKDAY.INTL(E38,F38,1,Data!$C$3:$C$41)</f>
        <v>45869</v>
      </c>
      <c r="H38" s="165"/>
      <c r="I38" s="177">
        <v>45855</v>
      </c>
      <c r="J38" s="178">
        <v>10</v>
      </c>
      <c r="K38" s="177">
        <f>WORKDAY.INTL(I38,J38,1,Data!$C$3:$C$41)</f>
        <v>45869</v>
      </c>
      <c r="M38" s="180">
        <v>1</v>
      </c>
      <c r="N38" s="180">
        <f t="shared" ca="1" si="3"/>
        <v>1</v>
      </c>
      <c r="O38" s="59"/>
      <c r="Q38" s="61"/>
      <c r="R38" s="58"/>
      <c r="S38" s="55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</row>
    <row r="39" spans="2:198" s="49" customFormat="1" ht="13.9">
      <c r="B39" s="175">
        <f t="shared" si="4"/>
        <v>3.7000000000000006</v>
      </c>
      <c r="C39" s="176" t="s">
        <v>133</v>
      </c>
      <c r="D39" s="142"/>
      <c r="E39" s="177">
        <v>45855</v>
      </c>
      <c r="F39" s="178">
        <v>10</v>
      </c>
      <c r="G39" s="177">
        <f>WORKDAY.INTL(E39,F39,1,Data!$C$3:$C$41)</f>
        <v>45869</v>
      </c>
      <c r="H39" s="165"/>
      <c r="I39" s="177">
        <v>45855</v>
      </c>
      <c r="J39" s="178">
        <v>10</v>
      </c>
      <c r="K39" s="177">
        <f>WORKDAY.INTL(I39,J39,1,Data!$C$3:$C$41)</f>
        <v>45869</v>
      </c>
      <c r="M39" s="180">
        <v>1</v>
      </c>
      <c r="N39" s="180">
        <f t="shared" ca="1" si="3"/>
        <v>1</v>
      </c>
      <c r="O39" s="59"/>
      <c r="Q39" s="61"/>
      <c r="R39" s="58"/>
      <c r="S39" s="55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</row>
    <row r="40" spans="2:198" s="49" customFormat="1" ht="13.9">
      <c r="B40" s="175">
        <f t="shared" si="4"/>
        <v>3.8000000000000007</v>
      </c>
      <c r="C40" s="176" t="s">
        <v>134</v>
      </c>
      <c r="D40" s="142"/>
      <c r="E40" s="177">
        <v>45848</v>
      </c>
      <c r="F40" s="178">
        <v>20</v>
      </c>
      <c r="G40" s="177">
        <f>WORKDAY.INTL(E40,F40,1,Data!$C$3:$C$41)</f>
        <v>45876</v>
      </c>
      <c r="H40" s="165"/>
      <c r="I40" s="177">
        <v>45848</v>
      </c>
      <c r="J40" s="178">
        <v>34</v>
      </c>
      <c r="K40" s="177">
        <f>WORKDAY.INTL(I40,J40,1,Data!$C$3:$C$41)</f>
        <v>45896</v>
      </c>
      <c r="M40" s="180">
        <v>1</v>
      </c>
      <c r="N40" s="180">
        <f t="shared" ca="1" si="3"/>
        <v>1</v>
      </c>
      <c r="O40" s="59" t="s">
        <v>135</v>
      </c>
      <c r="Q40" s="61"/>
      <c r="R40" s="58"/>
      <c r="S40" s="55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58"/>
      <c r="GM40" s="58"/>
      <c r="GN40" s="58"/>
      <c r="GO40" s="58"/>
      <c r="GP40" s="58"/>
    </row>
    <row r="41" spans="2:198" s="49" customFormat="1" ht="4.5" customHeight="1">
      <c r="B41" s="166"/>
      <c r="C41" s="142"/>
      <c r="D41" s="142"/>
      <c r="E41" s="167"/>
      <c r="F41" s="167"/>
      <c r="G41" s="168"/>
      <c r="H41" s="165"/>
      <c r="I41" s="167"/>
      <c r="J41" s="167"/>
      <c r="K41" s="168"/>
      <c r="N41" s="105"/>
      <c r="Q41" s="1"/>
    </row>
    <row r="42" spans="2:198" s="49" customFormat="1" ht="13.9">
      <c r="B42" s="171">
        <v>4</v>
      </c>
      <c r="C42" s="172" t="s">
        <v>136</v>
      </c>
      <c r="D42" s="142"/>
      <c r="E42" s="624">
        <f>MIN(E43:E56)</f>
        <v>45830</v>
      </c>
      <c r="F42" s="625">
        <f>G42-E42</f>
        <v>71</v>
      </c>
      <c r="G42" s="624">
        <f>MAX(G43:G56)</f>
        <v>45901</v>
      </c>
      <c r="H42" s="165"/>
      <c r="I42" s="624">
        <f>MIN(I43:I56)</f>
        <v>45830</v>
      </c>
      <c r="J42" s="625">
        <f>K42-I42</f>
        <v>212</v>
      </c>
      <c r="K42" s="624">
        <f>MAX(K43:K56)</f>
        <v>46042</v>
      </c>
      <c r="M42" s="287">
        <f>AVERAGE(M43:M56)</f>
        <v>1</v>
      </c>
      <c r="N42" s="287">
        <f ca="1">AVERAGE(N43:N56)</f>
        <v>1</v>
      </c>
      <c r="O42" s="56"/>
      <c r="Q42" s="61"/>
      <c r="R42" s="58"/>
      <c r="S42" s="55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</row>
    <row r="43" spans="2:198" s="49" customFormat="1" ht="13.9">
      <c r="B43" s="175">
        <f>B42+0.1</f>
        <v>4.0999999999999996</v>
      </c>
      <c r="C43" s="176" t="s">
        <v>137</v>
      </c>
      <c r="D43" s="142"/>
      <c r="E43" s="177"/>
      <c r="F43" s="178"/>
      <c r="G43" s="177"/>
      <c r="H43" s="165"/>
      <c r="I43" s="177">
        <v>45830</v>
      </c>
      <c r="J43" s="178">
        <v>61</v>
      </c>
      <c r="K43" s="177">
        <f>WORKDAY.INTL(I43,J43,1,Data!$C$3:$C$41)</f>
        <v>45915</v>
      </c>
      <c r="M43" s="180">
        <v>1</v>
      </c>
      <c r="N43" s="180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59" t="s">
        <v>138</v>
      </c>
      <c r="Q43" s="61"/>
      <c r="R43" s="58"/>
      <c r="S43" s="55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</row>
    <row r="44" spans="2:198" s="49" customFormat="1" ht="13.9">
      <c r="B44" s="720">
        <f t="shared" ref="B44:B51" si="6">B43+0.1</f>
        <v>4.1999999999999993</v>
      </c>
      <c r="C44" s="631" t="s">
        <v>139</v>
      </c>
      <c r="D44" s="142"/>
      <c r="E44" s="681">
        <v>45830</v>
      </c>
      <c r="F44" s="682">
        <v>42</v>
      </c>
      <c r="G44" s="681">
        <f>WORKDAY.INTL(E44,F44,1,Data!$C$3:$C$41)</f>
        <v>45888</v>
      </c>
      <c r="H44" s="683"/>
      <c r="I44" s="681">
        <v>45830</v>
      </c>
      <c r="J44" s="682">
        <v>135</v>
      </c>
      <c r="K44" s="681">
        <f>WORKDAY.INTL(I44,J44,1,Data!$C$3:$C$41)</f>
        <v>46042</v>
      </c>
      <c r="M44" s="180">
        <v>1</v>
      </c>
      <c r="N44" s="180">
        <f t="shared" ca="1" si="5"/>
        <v>1</v>
      </c>
      <c r="O44" s="59" t="s">
        <v>140</v>
      </c>
      <c r="Q44" s="61"/>
      <c r="R44" s="58"/>
      <c r="S44" s="55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58"/>
      <c r="GM44" s="58"/>
      <c r="GN44" s="58"/>
      <c r="GO44" s="58"/>
      <c r="GP44" s="58"/>
    </row>
    <row r="45" spans="2:198" s="49" customFormat="1" ht="13.9">
      <c r="B45" s="175">
        <f t="shared" si="6"/>
        <v>4.2999999999999989</v>
      </c>
      <c r="C45" s="176" t="s">
        <v>141</v>
      </c>
      <c r="D45" s="142"/>
      <c r="E45" s="177">
        <v>45854</v>
      </c>
      <c r="F45" s="178">
        <v>15</v>
      </c>
      <c r="G45" s="177">
        <f>WORKDAY.INTL(E45,F45,1,Data!$C$3:$C$41)</f>
        <v>45875</v>
      </c>
      <c r="H45" s="165"/>
      <c r="I45" s="177">
        <v>45854</v>
      </c>
      <c r="J45" s="178">
        <v>31</v>
      </c>
      <c r="K45" s="177">
        <f>WORKDAY.INTL(I45,J45,1,Data!$C$3:$C$41)</f>
        <v>45897</v>
      </c>
      <c r="M45" s="180">
        <v>1</v>
      </c>
      <c r="N45" s="180">
        <f t="shared" ca="1" si="5"/>
        <v>1</v>
      </c>
      <c r="O45" s="59"/>
      <c r="Q45" s="61"/>
      <c r="R45" s="58"/>
      <c r="S45" s="55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</row>
    <row r="46" spans="2:198" s="49" customFormat="1" ht="13.9">
      <c r="B46" s="175">
        <f t="shared" si="6"/>
        <v>4.3999999999999986</v>
      </c>
      <c r="C46" s="176" t="s">
        <v>142</v>
      </c>
      <c r="D46" s="142"/>
      <c r="E46" s="177">
        <f>WORKDAY.INTL(G45,0,1,Data!$C$3:$C$41)</f>
        <v>45875</v>
      </c>
      <c r="F46" s="178">
        <v>5</v>
      </c>
      <c r="G46" s="177">
        <f>WORKDAY.INTL(E46,F46,1,Data!$C$3:$C$41)</f>
        <v>45882</v>
      </c>
      <c r="H46" s="165"/>
      <c r="I46" s="177">
        <f>K22+3</f>
        <v>45913</v>
      </c>
      <c r="J46" s="178">
        <v>15</v>
      </c>
      <c r="K46" s="177">
        <f>WORKDAY.INTL(I46,J46,1,Data!$C$3:$C$41)</f>
        <v>45936</v>
      </c>
      <c r="M46" s="180">
        <v>1</v>
      </c>
      <c r="N46" s="180">
        <f t="shared" ca="1" si="5"/>
        <v>1</v>
      </c>
      <c r="O46" s="718" t="s">
        <v>143</v>
      </c>
      <c r="Q46" s="61"/>
      <c r="R46" s="58"/>
      <c r="S46" s="55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</row>
    <row r="47" spans="2:198" s="49" customFormat="1" ht="13.9">
      <c r="B47" s="175">
        <f t="shared" si="6"/>
        <v>4.4999999999999982</v>
      </c>
      <c r="C47" s="176" t="s">
        <v>144</v>
      </c>
      <c r="D47" s="142"/>
      <c r="E47" s="177">
        <v>45873</v>
      </c>
      <c r="F47" s="178">
        <v>15</v>
      </c>
      <c r="G47" s="177">
        <f>WORKDAY.INTL(E47,F47,1,Data!$C$3:$C$41)</f>
        <v>45894</v>
      </c>
      <c r="H47" s="165"/>
      <c r="I47" s="177">
        <v>45947</v>
      </c>
      <c r="J47" s="178">
        <v>19</v>
      </c>
      <c r="K47" s="177">
        <f>WORKDAY.INTL(I47,J47,1,Data!$C$3:$C$41)</f>
        <v>45974</v>
      </c>
      <c r="M47" s="180">
        <v>1</v>
      </c>
      <c r="N47" s="180">
        <f t="shared" ca="1" si="5"/>
        <v>1</v>
      </c>
      <c r="O47" s="59"/>
      <c r="Q47" s="61"/>
      <c r="R47" s="58"/>
      <c r="S47" s="55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</row>
    <row r="48" spans="2:198" s="49" customFormat="1" ht="13.9">
      <c r="B48" s="175">
        <f t="shared" si="6"/>
        <v>4.5999999999999979</v>
      </c>
      <c r="C48" s="176" t="s">
        <v>145</v>
      </c>
      <c r="D48" s="142"/>
      <c r="E48" s="177">
        <f>WORKDAY.INTL(G47,0,1,Data!$C$3:$C$41)</f>
        <v>45894</v>
      </c>
      <c r="F48" s="178">
        <v>5</v>
      </c>
      <c r="G48" s="177">
        <f>WORKDAY.INTL(E48,F48,1,Data!$C$3:$C$41)</f>
        <v>45901</v>
      </c>
      <c r="H48" s="165"/>
      <c r="I48" s="177">
        <f>WORKDAY.INTL(K47,0,1,Data!$C$3:$C$41)</f>
        <v>45974</v>
      </c>
      <c r="J48" s="178">
        <v>5</v>
      </c>
      <c r="K48" s="177">
        <f>WORKDAY.INTL(I48,J48,1,Data!$C$3:$C$41)</f>
        <v>45981</v>
      </c>
      <c r="M48" s="180">
        <v>1</v>
      </c>
      <c r="N48" s="180">
        <f t="shared" ca="1" si="5"/>
        <v>1</v>
      </c>
      <c r="O48" s="59"/>
      <c r="Q48" s="61"/>
      <c r="R48" s="58"/>
      <c r="S48" s="55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</row>
    <row r="49" spans="2:198" s="49" customFormat="1" ht="13.9">
      <c r="B49" s="175">
        <f>B48+0.1</f>
        <v>4.6999999999999975</v>
      </c>
      <c r="C49" s="684" t="s">
        <v>146</v>
      </c>
      <c r="D49" s="142"/>
      <c r="E49" s="177">
        <v>45880</v>
      </c>
      <c r="F49" s="178">
        <v>15</v>
      </c>
      <c r="G49" s="177">
        <f>WORKDAY.INTL(E49,F49,1,Data!$C$3:$C$41)</f>
        <v>45901</v>
      </c>
      <c r="H49" s="165"/>
      <c r="I49" s="177">
        <v>45953</v>
      </c>
      <c r="J49" s="178">
        <v>32</v>
      </c>
      <c r="K49" s="177">
        <f>WORKDAY.INTL(I49,J49,1,Data!$C$3:$C$41)</f>
        <v>45999</v>
      </c>
      <c r="M49" s="180">
        <v>1</v>
      </c>
      <c r="N49" s="180">
        <f t="shared" ca="1" si="5"/>
        <v>1</v>
      </c>
      <c r="O49" s="59"/>
      <c r="Q49" s="61"/>
      <c r="R49" s="58"/>
      <c r="S49" s="55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  <c r="GL49" s="58"/>
      <c r="GM49" s="58"/>
      <c r="GN49" s="58"/>
      <c r="GO49" s="58"/>
      <c r="GP49" s="58"/>
    </row>
    <row r="50" spans="2:198" s="49" customFormat="1" ht="13.9">
      <c r="B50" s="175">
        <f t="shared" si="6"/>
        <v>4.7999999999999972</v>
      </c>
      <c r="C50" s="176" t="s">
        <v>147</v>
      </c>
      <c r="D50" s="142"/>
      <c r="E50" s="177">
        <f>WORKDAY.INTL(G51,0,1,Data!$C$3:$C$41)-2</f>
        <v>45878</v>
      </c>
      <c r="F50" s="178">
        <v>5</v>
      </c>
      <c r="G50" s="177">
        <f>WORKDAY.INTL(E50,F50,1,Data!$C$3:$C$41)</f>
        <v>45884</v>
      </c>
      <c r="H50" s="165"/>
      <c r="I50" s="177">
        <f>WORKDAY.INTL(I51,0,1,Data!$C$3:$C$41)+5</f>
        <v>45899</v>
      </c>
      <c r="J50" s="178">
        <v>10</v>
      </c>
      <c r="K50" s="177">
        <f>WORKDAY.INTL(I50,J50,1,Data!$C$3:$C$41)</f>
        <v>45912</v>
      </c>
      <c r="M50" s="180">
        <v>1</v>
      </c>
      <c r="N50" s="180">
        <f t="shared" ca="1" si="5"/>
        <v>1</v>
      </c>
      <c r="O50" s="59" t="s">
        <v>148</v>
      </c>
      <c r="Q50" s="61"/>
      <c r="R50" s="58"/>
      <c r="S50" s="55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</row>
    <row r="51" spans="2:198" s="49" customFormat="1" ht="13.9">
      <c r="B51" s="175">
        <f t="shared" si="6"/>
        <v>4.8999999999999968</v>
      </c>
      <c r="C51" s="176" t="s">
        <v>149</v>
      </c>
      <c r="D51" s="142"/>
      <c r="E51" s="177">
        <v>45873</v>
      </c>
      <c r="F51" s="178">
        <v>5</v>
      </c>
      <c r="G51" s="177">
        <f>WORKDAY.INTL(E51,F51,1,Data!$C$3:$C$41)</f>
        <v>45880</v>
      </c>
      <c r="H51" s="165"/>
      <c r="I51" s="177">
        <v>45894</v>
      </c>
      <c r="J51" s="178">
        <v>7</v>
      </c>
      <c r="K51" s="177">
        <f>WORKDAY.INTL(I51,J51,1,Data!$C$3:$C$41)</f>
        <v>45903</v>
      </c>
      <c r="M51" s="180">
        <v>1</v>
      </c>
      <c r="N51" s="180">
        <f t="shared" ca="1" si="5"/>
        <v>1</v>
      </c>
      <c r="O51" s="59"/>
      <c r="Q51" s="61"/>
      <c r="R51" s="58"/>
      <c r="S51" s="55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</row>
    <row r="52" spans="2:198" s="49" customFormat="1" ht="13.9">
      <c r="B52" s="629">
        <v>4.0999999999999996</v>
      </c>
      <c r="C52" s="176" t="s">
        <v>150</v>
      </c>
      <c r="D52" s="142"/>
      <c r="E52" s="177"/>
      <c r="F52" s="178"/>
      <c r="G52" s="177"/>
      <c r="H52" s="165"/>
      <c r="I52" s="177">
        <v>45994</v>
      </c>
      <c r="J52" s="178">
        <v>2</v>
      </c>
      <c r="K52" s="177">
        <f>WORKDAY.INTL(I52,J52,1,Data!$C$3:$C$41)</f>
        <v>45996</v>
      </c>
      <c r="M52" s="180">
        <v>1</v>
      </c>
      <c r="N52" s="180">
        <f t="shared" ca="1" si="5"/>
        <v>1</v>
      </c>
      <c r="O52" s="59"/>
      <c r="Q52" s="61"/>
      <c r="R52" s="58"/>
      <c r="S52" s="55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  <c r="GL52" s="58"/>
      <c r="GM52" s="58"/>
      <c r="GN52" s="58"/>
      <c r="GO52" s="58"/>
      <c r="GP52" s="58"/>
    </row>
    <row r="53" spans="2:198" s="49" customFormat="1" ht="13.9">
      <c r="B53" s="629">
        <v>4.1100000000000003</v>
      </c>
      <c r="C53" s="684" t="s">
        <v>151</v>
      </c>
      <c r="D53" s="142"/>
      <c r="E53" s="177"/>
      <c r="F53" s="178"/>
      <c r="G53" s="177"/>
      <c r="H53" s="165"/>
      <c r="I53" s="177"/>
      <c r="J53" s="178"/>
      <c r="K53" s="177"/>
      <c r="M53" s="180">
        <v>1</v>
      </c>
      <c r="N53" s="180">
        <f t="shared" ca="1" si="5"/>
        <v>1</v>
      </c>
      <c r="O53" s="59"/>
      <c r="Q53" s="61"/>
      <c r="R53" s="58"/>
      <c r="S53" s="55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  <c r="GL53" s="58"/>
      <c r="GM53" s="58"/>
      <c r="GN53" s="58"/>
      <c r="GO53" s="58"/>
      <c r="GP53" s="58"/>
    </row>
    <row r="54" spans="2:198" s="49" customFormat="1" ht="13.9">
      <c r="B54" s="629" t="s">
        <v>152</v>
      </c>
      <c r="C54" s="684" t="s">
        <v>153</v>
      </c>
      <c r="D54" s="142"/>
      <c r="E54" s="177"/>
      <c r="F54" s="178"/>
      <c r="G54" s="177"/>
      <c r="H54" s="165"/>
      <c r="I54" s="177"/>
      <c r="J54" s="178"/>
      <c r="K54" s="177"/>
      <c r="M54" s="180">
        <v>1</v>
      </c>
      <c r="N54" s="180">
        <f t="shared" ca="1" si="5"/>
        <v>1</v>
      </c>
      <c r="O54" s="59"/>
      <c r="Q54" s="61"/>
      <c r="R54" s="58"/>
      <c r="S54" s="55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  <c r="GL54" s="58"/>
      <c r="GM54" s="58"/>
      <c r="GN54" s="58"/>
      <c r="GO54" s="58"/>
      <c r="GP54" s="58"/>
    </row>
    <row r="55" spans="2:198" s="49" customFormat="1" ht="13.9">
      <c r="B55" s="175" t="s">
        <v>154</v>
      </c>
      <c r="C55" s="684" t="s">
        <v>155</v>
      </c>
      <c r="D55" s="142"/>
      <c r="E55" s="177"/>
      <c r="F55" s="178"/>
      <c r="G55" s="177"/>
      <c r="H55" s="165"/>
      <c r="I55" s="177"/>
      <c r="J55" s="178"/>
      <c r="K55" s="177"/>
      <c r="M55" s="180">
        <v>1</v>
      </c>
      <c r="N55" s="180">
        <f t="shared" ca="1" si="5"/>
        <v>1</v>
      </c>
      <c r="O55" s="59"/>
      <c r="Q55" s="61"/>
      <c r="R55" s="58"/>
      <c r="S55" s="55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  <c r="GL55" s="58"/>
      <c r="GM55" s="58"/>
      <c r="GN55" s="58"/>
      <c r="GO55" s="58"/>
      <c r="GP55" s="58"/>
    </row>
    <row r="56" spans="2:198" s="49" customFormat="1" ht="23.65">
      <c r="B56" s="720" t="s">
        <v>156</v>
      </c>
      <c r="C56" s="684" t="s">
        <v>157</v>
      </c>
      <c r="D56" s="685"/>
      <c r="E56" s="569"/>
      <c r="F56" s="695"/>
      <c r="G56" s="569"/>
      <c r="H56" s="696"/>
      <c r="I56" s="569">
        <v>45992</v>
      </c>
      <c r="J56" s="695">
        <v>12</v>
      </c>
      <c r="K56" s="569">
        <f>WORKDAY.INTL(I56,J56,1,Data!$C$3:$C$41)</f>
        <v>46008</v>
      </c>
      <c r="M56" s="180">
        <v>1</v>
      </c>
      <c r="N56" s="180">
        <f t="shared" ca="1" si="5"/>
        <v>1</v>
      </c>
      <c r="O56" s="737" t="s">
        <v>158</v>
      </c>
      <c r="Q56" s="61"/>
      <c r="R56" s="58"/>
      <c r="S56" s="55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</row>
    <row r="57" spans="2:198" s="49" customFormat="1" ht="4.5" customHeight="1">
      <c r="B57" s="166"/>
      <c r="C57" s="142"/>
      <c r="D57" s="142"/>
      <c r="E57" s="167"/>
      <c r="F57" s="167"/>
      <c r="G57" s="168"/>
      <c r="H57" s="165"/>
      <c r="I57" s="167"/>
      <c r="J57" s="167"/>
      <c r="K57" s="168"/>
      <c r="N57" s="105"/>
      <c r="Q57" s="1"/>
    </row>
    <row r="58" spans="2:198" s="49" customFormat="1" ht="13.9">
      <c r="B58" s="171">
        <v>5</v>
      </c>
      <c r="C58" s="172" t="s">
        <v>159</v>
      </c>
      <c r="D58" s="146"/>
      <c r="E58" s="624">
        <f>MIN(E60:E64)</f>
        <v>45878</v>
      </c>
      <c r="F58" s="625">
        <f>G58-E58</f>
        <v>51</v>
      </c>
      <c r="G58" s="624">
        <f>MAX(G60:G64)</f>
        <v>45929</v>
      </c>
      <c r="H58" s="179"/>
      <c r="I58" s="624">
        <f>MIN(I60:I64)</f>
        <v>45894</v>
      </c>
      <c r="J58" s="625">
        <f>K58-I58</f>
        <v>147</v>
      </c>
      <c r="K58" s="624">
        <f>MAX(K60:K64)</f>
        <v>46041</v>
      </c>
      <c r="L58" s="51"/>
      <c r="M58" s="287">
        <f>AVERAGE(M59:M64)</f>
        <v>1</v>
      </c>
      <c r="N58" s="287">
        <f ca="1">AVERAGE(N59:N64)</f>
        <v>1</v>
      </c>
      <c r="O58" s="56"/>
      <c r="Q58" s="61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  <c r="GL58" s="58"/>
      <c r="GM58" s="58"/>
      <c r="GN58" s="58"/>
      <c r="GO58" s="58"/>
      <c r="GP58" s="58"/>
    </row>
    <row r="59" spans="2:198" s="49" customFormat="1" ht="13.9">
      <c r="B59" s="175">
        <v>5.0999999999999996</v>
      </c>
      <c r="C59" s="176" t="s">
        <v>160</v>
      </c>
      <c r="D59" s="142"/>
      <c r="E59" s="177">
        <v>45835</v>
      </c>
      <c r="F59" s="178">
        <v>1</v>
      </c>
      <c r="G59" s="177">
        <f>WORKDAY.INTL(E59,F59,1,Data!$C$3:$C$41)</f>
        <v>45838</v>
      </c>
      <c r="H59" s="165"/>
      <c r="I59" s="177">
        <v>45835</v>
      </c>
      <c r="J59" s="178">
        <v>1</v>
      </c>
      <c r="K59" s="177">
        <f>WORKDAY.INTL(I59,J59,1,Data!$C$3:$C$41)</f>
        <v>45838</v>
      </c>
      <c r="M59" s="180">
        <v>1</v>
      </c>
      <c r="N59" s="180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59"/>
      <c r="Q59" s="61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  <c r="GL59" s="58"/>
      <c r="GM59" s="58"/>
      <c r="GN59" s="58"/>
      <c r="GO59" s="58"/>
      <c r="GP59" s="58"/>
    </row>
    <row r="60" spans="2:198" s="49" customFormat="1" ht="13.9">
      <c r="B60" s="175">
        <v>5.2</v>
      </c>
      <c r="C60" s="176" t="s">
        <v>161</v>
      </c>
      <c r="D60" s="142"/>
      <c r="E60" s="177">
        <f>WORKDAY.INTL(G51,0,1,Data!$C$3:$C$41)-2</f>
        <v>45878</v>
      </c>
      <c r="F60" s="178">
        <v>12</v>
      </c>
      <c r="G60" s="177">
        <f>WORKDAY.INTL(E60,F60,1,Data!$C$3:$C$41)</f>
        <v>45895</v>
      </c>
      <c r="H60" s="165"/>
      <c r="I60" s="177">
        <v>45894</v>
      </c>
      <c r="J60" s="178">
        <v>5</v>
      </c>
      <c r="K60" s="177">
        <f>WORKDAY.INTL(I60,J60,1,Data!$C$3:$C$41)</f>
        <v>45901</v>
      </c>
      <c r="M60" s="180">
        <v>1</v>
      </c>
      <c r="N60" s="180">
        <f t="shared" ca="1" si="7"/>
        <v>1</v>
      </c>
      <c r="O60" s="59"/>
      <c r="Q60" s="61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  <c r="GN60" s="58"/>
      <c r="GO60" s="58"/>
      <c r="GP60" s="58"/>
    </row>
    <row r="61" spans="2:198" s="49" customFormat="1" ht="13.9">
      <c r="B61" s="175">
        <v>5.3</v>
      </c>
      <c r="C61" s="176" t="s">
        <v>162</v>
      </c>
      <c r="D61" s="142"/>
      <c r="E61" s="177"/>
      <c r="F61" s="178"/>
      <c r="G61" s="177"/>
      <c r="H61" s="165"/>
      <c r="I61" s="177">
        <v>45901</v>
      </c>
      <c r="J61" s="178">
        <v>5</v>
      </c>
      <c r="K61" s="177">
        <f>WORKDAY.INTL(I61,J61,1,Data!$C$3:$C$41)</f>
        <v>45908</v>
      </c>
      <c r="M61" s="180">
        <v>1</v>
      </c>
      <c r="N61" s="180">
        <f t="shared" ca="1" si="7"/>
        <v>1</v>
      </c>
      <c r="O61" s="59"/>
      <c r="Q61" s="61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  <c r="GL61" s="58"/>
      <c r="GM61" s="58"/>
      <c r="GN61" s="58"/>
      <c r="GO61" s="58"/>
      <c r="GP61" s="58"/>
    </row>
    <row r="62" spans="2:198" s="49" customFormat="1" ht="13.9">
      <c r="B62" s="175">
        <v>5.4</v>
      </c>
      <c r="C62" s="176" t="s">
        <v>163</v>
      </c>
      <c r="D62" s="142"/>
      <c r="E62" s="177">
        <f>WORKDAY.INTL(G60,0,1,Data!$C$3:$C$41)+1</f>
        <v>45896</v>
      </c>
      <c r="F62" s="178">
        <v>17</v>
      </c>
      <c r="G62" s="177">
        <f>WORKDAY.INTL(E62,F62,1,Data!$C$3:$C$41)</f>
        <v>45919</v>
      </c>
      <c r="H62" s="165"/>
      <c r="I62" s="177">
        <v>45915</v>
      </c>
      <c r="J62" s="178">
        <v>24</v>
      </c>
      <c r="K62" s="177">
        <f>WORKDAY.INTL(I62,J62,1,Data!$C$3:$C$41)</f>
        <v>45950</v>
      </c>
      <c r="M62" s="180">
        <v>1</v>
      </c>
      <c r="N62" s="180">
        <f t="shared" ca="1" si="7"/>
        <v>1</v>
      </c>
      <c r="O62" s="59" t="s">
        <v>164</v>
      </c>
      <c r="Q62" s="61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  <c r="GL62" s="58"/>
      <c r="GM62" s="58"/>
      <c r="GN62" s="58"/>
      <c r="GO62" s="58"/>
      <c r="GP62" s="58"/>
    </row>
    <row r="63" spans="2:198" s="49" customFormat="1" ht="13.9">
      <c r="B63" s="175">
        <v>5.5</v>
      </c>
      <c r="C63" s="176" t="s">
        <v>165</v>
      </c>
      <c r="D63" s="142"/>
      <c r="E63" s="177"/>
      <c r="F63" s="178"/>
      <c r="G63" s="177"/>
      <c r="H63" s="165"/>
      <c r="I63" s="177">
        <v>45951</v>
      </c>
      <c r="J63" s="178">
        <v>22</v>
      </c>
      <c r="K63" s="177">
        <f>WORKDAY.INTL(I63,J63,1,Data!$C$3:$C$41)</f>
        <v>45981</v>
      </c>
      <c r="M63" s="180">
        <v>1</v>
      </c>
      <c r="N63" s="180">
        <f t="shared" ca="1" si="7"/>
        <v>1</v>
      </c>
      <c r="O63" s="59" t="s">
        <v>166</v>
      </c>
      <c r="Q63" s="61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  <c r="GN63" s="58"/>
      <c r="GO63" s="58"/>
      <c r="GP63" s="58"/>
    </row>
    <row r="64" spans="2:198" s="49" customFormat="1" ht="13.9">
      <c r="B64" s="720">
        <v>5.6</v>
      </c>
      <c r="C64" s="684" t="s">
        <v>167</v>
      </c>
      <c r="D64" s="685"/>
      <c r="E64" s="569">
        <f>WORKDAY.INTL(G62,0,1,Data!$C$3:$C$41)+2</f>
        <v>45921</v>
      </c>
      <c r="F64" s="695">
        <v>5</v>
      </c>
      <c r="G64" s="569">
        <f>WORKDAY.INTL(E64,F64,1,Data!$C$3:$C$41)</f>
        <v>45929</v>
      </c>
      <c r="H64" s="696"/>
      <c r="I64" s="569">
        <v>45940</v>
      </c>
      <c r="J64" s="695">
        <v>55</v>
      </c>
      <c r="K64" s="569">
        <f>WORKDAY.INTL(I64,J64,1,Data!$C$3:$C$41)</f>
        <v>46041</v>
      </c>
      <c r="M64" s="180">
        <v>1</v>
      </c>
      <c r="N64" s="180">
        <f t="shared" ca="1" si="7"/>
        <v>1</v>
      </c>
      <c r="O64" s="718"/>
      <c r="Q64" s="61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  <c r="GN64" s="58"/>
      <c r="GO64" s="58"/>
      <c r="GP64" s="58"/>
    </row>
    <row r="65" spans="2:198" s="49" customFormat="1" ht="13.9">
      <c r="B65" s="175">
        <v>5.7</v>
      </c>
      <c r="C65" s="176" t="s">
        <v>168</v>
      </c>
      <c r="D65" s="142"/>
      <c r="E65" s="177"/>
      <c r="F65" s="178"/>
      <c r="G65" s="177"/>
      <c r="H65" s="165"/>
      <c r="I65" s="177">
        <v>45929</v>
      </c>
      <c r="J65" s="178">
        <v>9</v>
      </c>
      <c r="K65" s="177">
        <f>WORKDAY.INTL(I65,J65,1,Data!$C$3:$C$41)</f>
        <v>45940</v>
      </c>
      <c r="M65" s="180">
        <v>1</v>
      </c>
      <c r="N65" s="180">
        <f t="shared" ca="1" si="7"/>
        <v>1</v>
      </c>
      <c r="O65" s="56"/>
      <c r="Q65" s="61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  <c r="GN65" s="58"/>
      <c r="GO65" s="58"/>
      <c r="GP65" s="58"/>
    </row>
    <row r="66" spans="2:198" s="49" customFormat="1" ht="4.5" customHeight="1">
      <c r="B66" s="166"/>
      <c r="C66" s="142"/>
      <c r="D66" s="142"/>
      <c r="E66" s="167"/>
      <c r="F66" s="167"/>
      <c r="G66" s="168"/>
      <c r="H66" s="165"/>
      <c r="I66" s="167"/>
      <c r="J66" s="167"/>
      <c r="K66" s="168"/>
      <c r="N66" s="105"/>
      <c r="Q66" s="1"/>
    </row>
    <row r="67" spans="2:198" s="49" customFormat="1" ht="13.9">
      <c r="B67" s="171">
        <v>6</v>
      </c>
      <c r="C67" s="172" t="s">
        <v>169</v>
      </c>
      <c r="D67" s="142"/>
      <c r="E67" s="624">
        <f>MIN(E68:E71)</f>
        <v>45894</v>
      </c>
      <c r="F67" s="625">
        <f>G67-E67</f>
        <v>58</v>
      </c>
      <c r="G67" s="624">
        <f>MAX(G68:G71)</f>
        <v>45952</v>
      </c>
      <c r="H67" s="165"/>
      <c r="I67" s="624">
        <f>MIN(I68:I71)</f>
        <v>45938</v>
      </c>
      <c r="J67" s="625">
        <f>K67-I67</f>
        <v>120</v>
      </c>
      <c r="K67" s="624">
        <f>MAX(K68:K72)</f>
        <v>46058</v>
      </c>
      <c r="M67" s="287">
        <f>AVERAGE(M68:M72)</f>
        <v>1</v>
      </c>
      <c r="N67" s="287">
        <f ca="1">AVERAGE(N68:N72)</f>
        <v>1</v>
      </c>
      <c r="O67" s="56"/>
      <c r="Q67" s="61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  <c r="GN67" s="58"/>
      <c r="GO67" s="58"/>
      <c r="GP67" s="58"/>
    </row>
    <row r="68" spans="2:198" s="182" customFormat="1" ht="69.75">
      <c r="B68" s="738">
        <v>6.1</v>
      </c>
      <c r="C68" s="739" t="s">
        <v>170</v>
      </c>
      <c r="D68" s="740"/>
      <c r="E68" s="741">
        <v>45894</v>
      </c>
      <c r="F68" s="742">
        <v>7</v>
      </c>
      <c r="G68" s="741">
        <f>WORKDAY.INTL(E68,F68,1,Data!$C$3:$C$41)</f>
        <v>45903</v>
      </c>
      <c r="H68" s="743"/>
      <c r="I68" s="741">
        <v>45938</v>
      </c>
      <c r="J68" s="742">
        <v>34</v>
      </c>
      <c r="K68" s="741">
        <f>WORKDAY.INTL(I68,J68,1,Data!$C$3:$C$41)</f>
        <v>45986</v>
      </c>
      <c r="M68" s="744">
        <v>1</v>
      </c>
      <c r="N68" s="744">
        <f ca="1">_xlfn.LET(
  _xlpm.s,VALUE(I68),
  _xlpm.e,VALUE(K68),
  IF(OR(_xlpm.s="",_xlpm.e=""),"", IF(_xlpm.e&lt;=_xlpm.s, IF(TODAY()&gt;=_xlpm.e,1,0), MAX(0,MIN(1,(TODAY()-_xlpm.s)/(_xlpm.e-_xlpm.s)))))
)</f>
        <v>1</v>
      </c>
      <c r="O68" s="745" t="s">
        <v>171</v>
      </c>
      <c r="Q68" s="746"/>
      <c r="R68" s="747"/>
      <c r="S68" s="747"/>
      <c r="T68" s="747"/>
      <c r="U68" s="747"/>
      <c r="V68" s="747"/>
      <c r="W68" s="747"/>
      <c r="X68" s="747"/>
      <c r="Y68" s="747"/>
      <c r="Z68" s="747"/>
      <c r="AA68" s="747"/>
      <c r="AB68" s="747"/>
      <c r="AC68" s="747"/>
      <c r="AD68" s="747"/>
      <c r="AE68" s="747"/>
      <c r="AF68" s="747"/>
      <c r="AG68" s="747"/>
      <c r="AH68" s="747"/>
      <c r="AI68" s="747"/>
      <c r="AJ68" s="747"/>
      <c r="AK68" s="747"/>
      <c r="AL68" s="747"/>
      <c r="AM68" s="747"/>
      <c r="AN68" s="747"/>
      <c r="AO68" s="747"/>
      <c r="AP68" s="747"/>
      <c r="AQ68" s="747"/>
      <c r="AR68" s="747"/>
      <c r="AS68" s="747"/>
      <c r="AT68" s="747"/>
      <c r="AU68" s="747"/>
      <c r="AV68" s="747"/>
      <c r="AW68" s="747"/>
      <c r="AX68" s="747"/>
      <c r="AY68" s="747"/>
      <c r="AZ68" s="747"/>
      <c r="BA68" s="747"/>
      <c r="BB68" s="747"/>
      <c r="BC68" s="747"/>
      <c r="BD68" s="747"/>
      <c r="BE68" s="747"/>
      <c r="BF68" s="747"/>
      <c r="BG68" s="747"/>
      <c r="BH68" s="747"/>
      <c r="BI68" s="747"/>
      <c r="BJ68" s="747"/>
      <c r="BK68" s="747"/>
      <c r="BL68" s="747"/>
      <c r="BM68" s="747"/>
      <c r="BN68" s="747"/>
      <c r="BO68" s="747"/>
      <c r="BP68" s="747"/>
      <c r="BQ68" s="747"/>
      <c r="BR68" s="747"/>
      <c r="BS68" s="747"/>
      <c r="BT68" s="747"/>
      <c r="BU68" s="747"/>
      <c r="BV68" s="747"/>
      <c r="BW68" s="747"/>
      <c r="BX68" s="747"/>
      <c r="BY68" s="747"/>
      <c r="BZ68" s="747"/>
      <c r="CA68" s="747"/>
      <c r="CB68" s="747"/>
      <c r="CC68" s="747"/>
      <c r="CD68" s="747"/>
      <c r="CE68" s="747"/>
      <c r="CF68" s="747"/>
      <c r="CG68" s="747"/>
      <c r="CH68" s="747"/>
      <c r="CI68" s="747"/>
      <c r="CJ68" s="747"/>
      <c r="CK68" s="747"/>
      <c r="CL68" s="747"/>
      <c r="CM68" s="747"/>
      <c r="CN68" s="747"/>
      <c r="CO68" s="747"/>
      <c r="CP68" s="747"/>
      <c r="CQ68" s="747"/>
      <c r="CR68" s="747"/>
      <c r="CS68" s="747"/>
      <c r="CT68" s="747"/>
      <c r="CU68" s="747"/>
      <c r="CV68" s="747"/>
      <c r="CW68" s="747"/>
      <c r="CX68" s="747"/>
      <c r="CY68" s="747"/>
      <c r="CZ68" s="747"/>
      <c r="DA68" s="747"/>
      <c r="DB68" s="747"/>
      <c r="DC68" s="747"/>
      <c r="DD68" s="747"/>
      <c r="DE68" s="747"/>
      <c r="DF68" s="747"/>
      <c r="DG68" s="747"/>
      <c r="DH68" s="747"/>
      <c r="DI68" s="747"/>
      <c r="DJ68" s="747"/>
      <c r="DK68" s="747"/>
      <c r="DL68" s="747"/>
      <c r="DM68" s="747"/>
      <c r="DN68" s="747"/>
      <c r="DO68" s="747"/>
      <c r="DP68" s="747"/>
      <c r="DQ68" s="747"/>
      <c r="DR68" s="747"/>
      <c r="DS68" s="747"/>
      <c r="DT68" s="747"/>
      <c r="DU68" s="747"/>
      <c r="DV68" s="747"/>
      <c r="DW68" s="747"/>
      <c r="DX68" s="747"/>
      <c r="DY68" s="747"/>
      <c r="DZ68" s="747"/>
      <c r="EA68" s="747"/>
      <c r="EB68" s="747"/>
      <c r="EC68" s="747"/>
      <c r="ED68" s="747"/>
      <c r="EE68" s="747"/>
      <c r="EF68" s="747"/>
      <c r="EG68" s="747"/>
      <c r="EH68" s="747"/>
      <c r="EI68" s="747"/>
      <c r="EJ68" s="747"/>
      <c r="EK68" s="747"/>
      <c r="EL68" s="747"/>
      <c r="EM68" s="747"/>
      <c r="EN68" s="747"/>
      <c r="EO68" s="747"/>
      <c r="EP68" s="747"/>
      <c r="EQ68" s="747"/>
      <c r="ER68" s="747"/>
      <c r="ES68" s="747"/>
      <c r="ET68" s="747"/>
      <c r="EU68" s="747"/>
      <c r="EV68" s="747"/>
      <c r="EW68" s="747"/>
      <c r="EX68" s="747"/>
      <c r="EY68" s="747"/>
      <c r="EZ68" s="747"/>
      <c r="FA68" s="747"/>
      <c r="FB68" s="747"/>
      <c r="FC68" s="747"/>
      <c r="FD68" s="747"/>
      <c r="FE68" s="747"/>
      <c r="FF68" s="747"/>
      <c r="FG68" s="747"/>
      <c r="FH68" s="747"/>
      <c r="FI68" s="747"/>
      <c r="FJ68" s="747"/>
      <c r="FK68" s="747"/>
      <c r="FL68" s="747"/>
      <c r="FM68" s="747"/>
      <c r="FN68" s="747"/>
      <c r="FO68" s="747"/>
      <c r="FP68" s="747"/>
      <c r="FQ68" s="747"/>
      <c r="FR68" s="747"/>
      <c r="FS68" s="747"/>
      <c r="FT68" s="747"/>
      <c r="FU68" s="747"/>
      <c r="FV68" s="747"/>
      <c r="FW68" s="747"/>
      <c r="FX68" s="747"/>
      <c r="FY68" s="747"/>
      <c r="FZ68" s="747"/>
      <c r="GA68" s="747"/>
      <c r="GB68" s="747"/>
      <c r="GC68" s="747"/>
      <c r="GD68" s="747"/>
      <c r="GE68" s="747"/>
      <c r="GF68" s="747"/>
      <c r="GG68" s="747"/>
      <c r="GH68" s="747"/>
      <c r="GI68" s="747"/>
      <c r="GJ68" s="747"/>
      <c r="GK68" s="747"/>
      <c r="GL68" s="747"/>
      <c r="GM68" s="747"/>
      <c r="GN68" s="747"/>
      <c r="GO68" s="747"/>
      <c r="GP68" s="747"/>
    </row>
    <row r="69" spans="2:198" s="49" customFormat="1" ht="13.9">
      <c r="B69" s="175">
        <v>6.2</v>
      </c>
      <c r="C69" s="176" t="s">
        <v>172</v>
      </c>
      <c r="D69" s="142"/>
      <c r="E69" s="177">
        <f>WORKDAY.INTL(G68,0,1,Data!$C$3:$C$41)</f>
        <v>45903</v>
      </c>
      <c r="F69" s="178">
        <v>7</v>
      </c>
      <c r="G69" s="177">
        <f>WORKDAY.INTL(E69,F69,1,Data!$C$3:$C$41)</f>
        <v>45912</v>
      </c>
      <c r="H69" s="165"/>
      <c r="I69" s="177">
        <v>45956</v>
      </c>
      <c r="J69" s="178">
        <v>37</v>
      </c>
      <c r="K69" s="177">
        <f>WORKDAY.INTL(I69,J69,1,Data!$C$3:$C$41)</f>
        <v>46007</v>
      </c>
      <c r="M69" s="180">
        <v>1</v>
      </c>
      <c r="N69" s="180">
        <f ca="1">_xlfn.LET(
  _xlpm.s,VALUE(I69),
  _xlpm.e,VALUE(K69),
  IF(OR(_xlpm.s="",_xlpm.e=""),"", IF(_xlpm.e&lt;=_xlpm.s, IF(TODAY()&gt;=_xlpm.e,1,0), MAX(0,MIN(1,(TODAY()-_xlpm.s)/(_xlpm.e-_xlpm.s)))))
)</f>
        <v>1</v>
      </c>
      <c r="O69" s="59" t="s">
        <v>173</v>
      </c>
      <c r="Q69" s="61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/>
    </row>
    <row r="70" spans="2:198" s="49" customFormat="1" ht="13.9">
      <c r="B70" s="175">
        <v>6.3</v>
      </c>
      <c r="C70" s="176" t="s">
        <v>174</v>
      </c>
      <c r="D70" s="142"/>
      <c r="E70" s="177">
        <v>45915</v>
      </c>
      <c r="F70" s="178">
        <v>14</v>
      </c>
      <c r="G70" s="177">
        <f>WORKDAY.INTL(E70,F70,1,Data!$C$3:$C$41)</f>
        <v>45936</v>
      </c>
      <c r="H70" s="165"/>
      <c r="I70" s="177">
        <v>45963</v>
      </c>
      <c r="J70" s="178">
        <v>42</v>
      </c>
      <c r="K70" s="177">
        <f>WORKDAY.INTL(I70,J70,1,Data!$C$3:$C$41)</f>
        <v>46043</v>
      </c>
      <c r="M70" s="180">
        <v>1</v>
      </c>
      <c r="N70" s="180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59"/>
      <c r="Q70" s="61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</row>
    <row r="71" spans="2:198" s="49" customFormat="1" ht="13.9">
      <c r="B71" s="175">
        <v>6.4</v>
      </c>
      <c r="C71" s="176" t="s">
        <v>175</v>
      </c>
      <c r="D71" s="142"/>
      <c r="E71" s="177">
        <f>WORKDAY.INTL(G70,0,1,Data!$C$3:$C$41)+2</f>
        <v>45938</v>
      </c>
      <c r="F71" s="178">
        <v>10</v>
      </c>
      <c r="G71" s="177">
        <f>WORKDAY.INTL(E71,F71,1,Data!$C$3:$C$41)</f>
        <v>45952</v>
      </c>
      <c r="H71" s="165"/>
      <c r="I71" s="177">
        <v>45985</v>
      </c>
      <c r="J71" s="178">
        <v>33</v>
      </c>
      <c r="K71" s="177">
        <f>WORKDAY.INTL(I71,J71,1,Data!$C$3:$C$41)</f>
        <v>46052</v>
      </c>
      <c r="M71" s="180">
        <v>1</v>
      </c>
      <c r="N71" s="180">
        <f t="shared" ca="1" si="8"/>
        <v>1</v>
      </c>
      <c r="O71" s="59"/>
      <c r="Q71" s="61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</row>
    <row r="72" spans="2:198" s="49" customFormat="1" ht="13.9">
      <c r="B72" s="175">
        <v>6.5</v>
      </c>
      <c r="C72" s="170" t="s">
        <v>176</v>
      </c>
      <c r="D72" s="142"/>
      <c r="E72" s="177">
        <f>WORKDAY.INTL(G71,0,1,Data!$C$3:$C$41)+2</f>
        <v>45954</v>
      </c>
      <c r="F72" s="178">
        <v>10</v>
      </c>
      <c r="G72" s="177">
        <f>WORKDAY.INTL(E72,F72,1,Data!$C$3:$C$41)</f>
        <v>45968</v>
      </c>
      <c r="H72" s="165"/>
      <c r="I72" s="177">
        <f>K70-20</f>
        <v>46023</v>
      </c>
      <c r="J72" s="178">
        <v>18</v>
      </c>
      <c r="K72" s="177">
        <f>WORKDAY.INTL(I72,J72,1,Data!$C$3:$C$41)</f>
        <v>46058</v>
      </c>
      <c r="M72" s="180">
        <v>1</v>
      </c>
      <c r="N72" s="180">
        <f t="shared" ca="1" si="8"/>
        <v>1</v>
      </c>
      <c r="O72" s="59"/>
      <c r="Q72" s="61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</row>
    <row r="73" spans="2:198" s="49" customFormat="1" ht="4.5" customHeight="1">
      <c r="B73" s="166"/>
      <c r="C73" s="142"/>
      <c r="D73" s="142"/>
      <c r="E73" s="167"/>
      <c r="F73" s="167"/>
      <c r="G73" s="168"/>
      <c r="H73" s="165"/>
      <c r="I73" s="167"/>
      <c r="J73" s="167"/>
      <c r="K73" s="168"/>
      <c r="N73" s="105"/>
      <c r="Q73" s="1"/>
    </row>
    <row r="74" spans="2:198" s="49" customFormat="1" ht="13.9">
      <c r="B74" s="171">
        <v>7</v>
      </c>
      <c r="C74" s="172" t="s">
        <v>177</v>
      </c>
      <c r="D74" s="146"/>
      <c r="E74" s="624">
        <f>MIN(E76:E79)</f>
        <v>45945</v>
      </c>
      <c r="F74" s="625">
        <f>G74-E74</f>
        <v>26</v>
      </c>
      <c r="G74" s="624">
        <f>MAX(G75:G79)</f>
        <v>45971</v>
      </c>
      <c r="H74" s="179"/>
      <c r="I74" s="624">
        <f>MIN(I76:I79)</f>
        <v>45990</v>
      </c>
      <c r="J74" s="625">
        <f>K74-I74</f>
        <v>17</v>
      </c>
      <c r="K74" s="624">
        <f>MAX(K75:K79)</f>
        <v>46007</v>
      </c>
      <c r="L74" s="51"/>
      <c r="M74" s="287">
        <f>AVERAGE(M75:M79)</f>
        <v>1</v>
      </c>
      <c r="N74" s="287">
        <f ca="1">AVERAGE(N75:N79)</f>
        <v>1</v>
      </c>
      <c r="Q74" s="61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</row>
    <row r="75" spans="2:198" s="49" customFormat="1" ht="13.9">
      <c r="B75" s="175">
        <v>7.1</v>
      </c>
      <c r="C75" s="176" t="s">
        <v>178</v>
      </c>
      <c r="D75" s="142"/>
      <c r="E75" s="177">
        <v>45848</v>
      </c>
      <c r="F75" s="178">
        <v>1</v>
      </c>
      <c r="G75" s="177">
        <f>E75+F75</f>
        <v>45849</v>
      </c>
      <c r="H75" s="165"/>
      <c r="I75" s="177">
        <v>45848</v>
      </c>
      <c r="J75" s="178">
        <v>1</v>
      </c>
      <c r="K75" s="177">
        <f>I75+J75</f>
        <v>45849</v>
      </c>
      <c r="M75" s="180">
        <v>1</v>
      </c>
      <c r="N75" s="180">
        <f ca="1">_xlfn.LET(
  _xlpm.s,VALUE(I75),
  _xlpm.e,VALUE(K75),
  IF(OR(_xlpm.s="",_xlpm.e=""),"", IF(_xlpm.e&lt;=_xlpm.s, IF(TODAY()&gt;=_xlpm.e,1,0), MAX(0,MIN(1,(TODAY()-_xlpm.s)/(_xlpm.e-_xlpm.s)))))
)</f>
        <v>1</v>
      </c>
      <c r="O75" s="59"/>
      <c r="Q75" s="61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</row>
    <row r="76" spans="2:198" s="49" customFormat="1" ht="13.9">
      <c r="B76" s="175">
        <v>7.2</v>
      </c>
      <c r="C76" s="176" t="s">
        <v>179</v>
      </c>
      <c r="D76" s="142"/>
      <c r="E76" s="177">
        <v>45945</v>
      </c>
      <c r="F76" s="178">
        <v>6</v>
      </c>
      <c r="G76" s="177">
        <f>WORKDAY.INTL(E76,F76,1,Data!$C$3:$C$41)</f>
        <v>45953</v>
      </c>
      <c r="H76" s="165"/>
      <c r="I76" s="177">
        <v>45990</v>
      </c>
      <c r="J76" s="178">
        <v>4</v>
      </c>
      <c r="K76" s="177">
        <f>WORKDAY.INTL(I76,J76,1,Data!$C$3:$C$41)</f>
        <v>45995</v>
      </c>
      <c r="M76" s="180">
        <v>1</v>
      </c>
      <c r="N76" s="180">
        <f ca="1">_xlfn.LET(
  _xlpm.s,VALUE(I76),
  _xlpm.e,VALUE(K76),
  IF(OR(_xlpm.s="",_xlpm.e=""),"", IF(_xlpm.e&lt;=_xlpm.s, IF(TODAY()&gt;=_xlpm.e,1,0), MAX(0,MIN(1,(TODAY()-_xlpm.s)/(_xlpm.e-_xlpm.s)))))
)</f>
        <v>1</v>
      </c>
      <c r="O76" s="59"/>
      <c r="Q76" s="61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</row>
    <row r="77" spans="2:198" s="49" customFormat="1" ht="13.9">
      <c r="B77" s="175">
        <v>7.3</v>
      </c>
      <c r="C77" s="176" t="s">
        <v>180</v>
      </c>
      <c r="D77" s="142"/>
      <c r="E77" s="177">
        <f>WORKDAY.INTL(G76,0,1,Data!$C$3:$C$41)</f>
        <v>45953</v>
      </c>
      <c r="F77" s="178">
        <v>2</v>
      </c>
      <c r="G77" s="177">
        <f>WORKDAY.INTL(E77,F77,1,Data!$C$3:$C$41)</f>
        <v>45957</v>
      </c>
      <c r="H77" s="165"/>
      <c r="I77" s="177">
        <f>WORKDAY.INTL(I76,0,1,Data!$C$3:$C$41)</f>
        <v>45990</v>
      </c>
      <c r="J77" s="178">
        <v>4</v>
      </c>
      <c r="K77" s="177">
        <f>WORKDAY.INTL(I77,J77,1,Data!$C$3:$C$41)</f>
        <v>45995</v>
      </c>
      <c r="M77" s="180">
        <v>1</v>
      </c>
      <c r="N77" s="180">
        <f ca="1">_xlfn.LET(
  _xlpm.s,VALUE(I77),
  _xlpm.e,VALUE(K77),
  IF(OR(_xlpm.s="",_xlpm.e=""),"", IF(_xlpm.e&lt;=_xlpm.s, IF(TODAY()&gt;=_xlpm.e,1,0), MAX(0,MIN(1,(TODAY()-_xlpm.s)/(_xlpm.e-_xlpm.s)))))
)</f>
        <v>1</v>
      </c>
      <c r="O77" s="59"/>
      <c r="Q77" s="61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</row>
    <row r="78" spans="2:198" s="49" customFormat="1" ht="13.9">
      <c r="B78" s="175">
        <v>7.4</v>
      </c>
      <c r="C78" s="176" t="s">
        <v>181</v>
      </c>
      <c r="D78" s="142"/>
      <c r="E78" s="177">
        <f>WORKDAY.INTL(G77,0,1,Data!$C$3:$C$41)</f>
        <v>45957</v>
      </c>
      <c r="F78" s="178">
        <v>5</v>
      </c>
      <c r="G78" s="177">
        <f>WORKDAY.INTL(E78,F78,1,Data!$C$3:$C$41)</f>
        <v>45964</v>
      </c>
      <c r="H78" s="165"/>
      <c r="I78" s="177">
        <f>WORKDAY.INTL(K77,0,1,Data!$C$3:$C$41)</f>
        <v>45995</v>
      </c>
      <c r="J78" s="178">
        <v>5</v>
      </c>
      <c r="K78" s="177">
        <f>WORKDAY.INTL(I78,J78,1,Data!$C$3:$C$41)</f>
        <v>46002</v>
      </c>
      <c r="M78" s="180">
        <v>1</v>
      </c>
      <c r="N78" s="180">
        <f ca="1">_xlfn.LET(
  _xlpm.s,VALUE(I78),
  _xlpm.e,VALUE(K78),
  IF(OR(_xlpm.s="",_xlpm.e=""),"", IF(_xlpm.e&lt;=_xlpm.s, IF(TODAY()&gt;=_xlpm.e,1,0), MAX(0,MIN(1,(TODAY()-_xlpm.s)/(_xlpm.e-_xlpm.s)))))
)</f>
        <v>1</v>
      </c>
      <c r="O78" s="59"/>
      <c r="Q78" s="61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</row>
    <row r="79" spans="2:198" s="49" customFormat="1" ht="13.9">
      <c r="B79" s="175">
        <v>7.5</v>
      </c>
      <c r="C79" s="176" t="s">
        <v>182</v>
      </c>
      <c r="D79" s="142"/>
      <c r="E79" s="177">
        <f>WORKDAY.INTL(G78,0,1,Data!$C$3:$C$41)</f>
        <v>45964</v>
      </c>
      <c r="F79" s="178">
        <v>5</v>
      </c>
      <c r="G79" s="177">
        <f>WORKDAY.INTL(E79,F79,1,Data!$C$3:$C$41)</f>
        <v>45971</v>
      </c>
      <c r="H79" s="165"/>
      <c r="I79" s="177">
        <f>WORKDAY.INTL(K76,0,1,Data!$C$3:$C$41)</f>
        <v>45995</v>
      </c>
      <c r="J79" s="178">
        <v>8</v>
      </c>
      <c r="K79" s="177">
        <f>WORKDAY.INTL(I79,J79,1,Data!$C$3:$C$41)</f>
        <v>46007</v>
      </c>
      <c r="M79" s="180">
        <v>1</v>
      </c>
      <c r="N79" s="180">
        <f ca="1">_xlfn.LET(
  _xlpm.s,VALUE(I79),
  _xlpm.e,VALUE(K79),
  IF(OR(_xlpm.s="",_xlpm.e=""),"", IF(_xlpm.e&lt;=_xlpm.s, IF(TODAY()&gt;=_xlpm.e,1,0), MAX(0,MIN(1,(TODAY()-_xlpm.s)/(_xlpm.e-_xlpm.s)))))
)</f>
        <v>1</v>
      </c>
      <c r="O79" s="59"/>
      <c r="Q79" s="61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</row>
    <row r="80" spans="2:198" s="49" customFormat="1" ht="4.5" customHeight="1">
      <c r="B80" s="166"/>
      <c r="C80" s="142"/>
      <c r="D80" s="142"/>
      <c r="E80" s="167"/>
      <c r="F80" s="167"/>
      <c r="G80" s="168"/>
      <c r="H80" s="165"/>
      <c r="I80" s="167"/>
      <c r="J80" s="167"/>
      <c r="K80" s="168"/>
      <c r="N80" s="105"/>
      <c r="Q80" s="1"/>
    </row>
    <row r="81" spans="2:198" s="49" customFormat="1" ht="13.9">
      <c r="B81" s="171">
        <v>8</v>
      </c>
      <c r="C81" s="172" t="s">
        <v>183</v>
      </c>
      <c r="D81" s="142"/>
      <c r="E81" s="624">
        <f>MIN(E83:E86)</f>
        <v>45950</v>
      </c>
      <c r="F81" s="625">
        <f>G81-E81</f>
        <v>21</v>
      </c>
      <c r="G81" s="624">
        <f>MAX(G82:G86)</f>
        <v>45971</v>
      </c>
      <c r="H81" s="165"/>
      <c r="I81" s="624">
        <f>MIN(I83:I86)</f>
        <v>45915</v>
      </c>
      <c r="J81" s="625">
        <f>K81-I81</f>
        <v>92</v>
      </c>
      <c r="K81" s="624">
        <f>MAX(K82:K86)</f>
        <v>46007</v>
      </c>
      <c r="M81" s="287">
        <f>AVERAGE(M82:M86)</f>
        <v>1</v>
      </c>
      <c r="N81" s="287">
        <f ca="1">AVERAGE(N82:N86)</f>
        <v>1</v>
      </c>
      <c r="O81" s="56"/>
      <c r="Q81" s="61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  <c r="GL81" s="58"/>
      <c r="GM81" s="58"/>
      <c r="GN81" s="58"/>
      <c r="GO81" s="58"/>
      <c r="GP81" s="58"/>
    </row>
    <row r="82" spans="2:198" s="49" customFormat="1" ht="13.9">
      <c r="B82" s="175">
        <v>8.1</v>
      </c>
      <c r="C82" s="684" t="s">
        <v>178</v>
      </c>
      <c r="D82" s="142"/>
      <c r="E82" s="177">
        <v>45848</v>
      </c>
      <c r="F82" s="178">
        <v>1</v>
      </c>
      <c r="G82" s="177">
        <f>E82+F82</f>
        <v>45849</v>
      </c>
      <c r="H82" s="165"/>
      <c r="I82" s="177">
        <v>45848</v>
      </c>
      <c r="J82" s="178">
        <v>1</v>
      </c>
      <c r="K82" s="177">
        <f>I82+J82</f>
        <v>45849</v>
      </c>
      <c r="M82" s="180">
        <v>1</v>
      </c>
      <c r="N82" s="180">
        <f ca="1">_xlfn.LET(
  _xlpm.s,VALUE(I82),
  _xlpm.e,VALUE(K82),
  IF(OR(_xlpm.s="",_xlpm.e=""),"", IF(_xlpm.e&lt;=_xlpm.s, IF(TODAY()&gt;=_xlpm.e,1,0), MAX(0,MIN(1,(TODAY()-_xlpm.s)/(_xlpm.e-_xlpm.s)))))
)</f>
        <v>1</v>
      </c>
      <c r="O82" s="59"/>
      <c r="Q82" s="61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  <c r="GL82" s="58"/>
      <c r="GM82" s="58"/>
      <c r="GN82" s="58"/>
      <c r="GO82" s="58"/>
      <c r="GP82" s="58"/>
    </row>
    <row r="83" spans="2:198" s="49" customFormat="1" ht="13.9">
      <c r="B83" s="175">
        <v>8.1999999999999993</v>
      </c>
      <c r="C83" s="684" t="s">
        <v>179</v>
      </c>
      <c r="D83" s="142"/>
      <c r="E83" s="177">
        <v>45950</v>
      </c>
      <c r="F83" s="178">
        <v>4</v>
      </c>
      <c r="G83" s="177">
        <f>WORKDAY.INTL(E83,F83,1,Data!$C$3:$C$41)</f>
        <v>45954</v>
      </c>
      <c r="H83" s="165"/>
      <c r="I83" s="177">
        <v>45915</v>
      </c>
      <c r="J83" s="178">
        <v>3</v>
      </c>
      <c r="K83" s="177">
        <f>WORKDAY.INTL(I83,J83,1,Data!$C$3:$C$41)</f>
        <v>45918</v>
      </c>
      <c r="M83" s="180">
        <v>1</v>
      </c>
      <c r="N83" s="180">
        <v>1</v>
      </c>
      <c r="O83" s="59"/>
      <c r="Q83" s="61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</row>
    <row r="84" spans="2:198" s="49" customFormat="1" ht="13.9">
      <c r="B84" s="175">
        <v>8.3000000000000007</v>
      </c>
      <c r="C84" s="684" t="s">
        <v>180</v>
      </c>
      <c r="D84" s="142"/>
      <c r="E84" s="177">
        <f>WORKDAY.INTL(G83,0,1,Data!$C$3:$C$41)</f>
        <v>45954</v>
      </c>
      <c r="F84" s="178">
        <v>2</v>
      </c>
      <c r="G84" s="177">
        <f>WORKDAY.INTL(E84,F84,1,Data!$C$3:$C$41)</f>
        <v>45958</v>
      </c>
      <c r="H84" s="165"/>
      <c r="I84" s="177">
        <f>WORKDAY.INTL(K83,0,1,Data!$C$3:$C$41)</f>
        <v>45918</v>
      </c>
      <c r="J84" s="178">
        <v>2</v>
      </c>
      <c r="K84" s="177">
        <f>WORKDAY.INTL(I84,J84,1,Data!$C$3:$C$41)</f>
        <v>45922</v>
      </c>
      <c r="M84" s="180">
        <v>1</v>
      </c>
      <c r="N84" s="180">
        <f ca="1">_xlfn.LET(
  _xlpm.s,VALUE(I84),
  _xlpm.e,VALUE(K84),
  IF(OR(_xlpm.s="",_xlpm.e=""),"", IF(_xlpm.e&lt;=_xlpm.s, IF(TODAY()&gt;=_xlpm.e,1,0), MAX(0,MIN(1,(TODAY()-_xlpm.s)/(_xlpm.e-_xlpm.s)))))
)</f>
        <v>1</v>
      </c>
      <c r="O84" s="59"/>
      <c r="Q84" s="61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</row>
    <row r="85" spans="2:198" s="49" customFormat="1" ht="13.9">
      <c r="B85" s="175">
        <v>8.4</v>
      </c>
      <c r="C85" s="684" t="s">
        <v>181</v>
      </c>
      <c r="D85" s="142"/>
      <c r="E85" s="177">
        <f>WORKDAY.INTL(G84,0,1,Data!$C$3:$C$41)</f>
        <v>45958</v>
      </c>
      <c r="F85" s="178">
        <v>4</v>
      </c>
      <c r="G85" s="177">
        <f>WORKDAY.INTL(E85,F85,1,Data!$C$3:$C$41)</f>
        <v>45964</v>
      </c>
      <c r="H85" s="165"/>
      <c r="I85" s="177">
        <f>WORKDAY.INTL(K84,0,1,Data!$C$3:$C$41)</f>
        <v>45922</v>
      </c>
      <c r="J85" s="178">
        <v>7</v>
      </c>
      <c r="K85" s="177">
        <f>WORKDAY.INTL(I85,J85,1,Data!$C$3:$C$41)</f>
        <v>45932</v>
      </c>
      <c r="M85" s="180">
        <v>1</v>
      </c>
      <c r="N85" s="180">
        <f ca="1">_xlfn.LET(
  _xlpm.s,VALUE(I85),
  _xlpm.e,VALUE(K85),
  IF(OR(_xlpm.s="",_xlpm.e=""),"", IF(_xlpm.e&lt;=_xlpm.s, IF(TODAY()&gt;=_xlpm.e,1,0), MAX(0,MIN(1,(TODAY()-_xlpm.s)/(_xlpm.e-_xlpm.s)))))
)</f>
        <v>1</v>
      </c>
      <c r="O85" s="59"/>
      <c r="Q85" s="61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  <c r="GL85" s="58"/>
      <c r="GM85" s="58"/>
      <c r="GN85" s="58"/>
      <c r="GO85" s="58"/>
      <c r="GP85" s="58"/>
    </row>
    <row r="86" spans="2:198" s="49" customFormat="1" ht="13.9">
      <c r="B86" s="175">
        <v>8.5</v>
      </c>
      <c r="C86" s="684" t="s">
        <v>182</v>
      </c>
      <c r="D86" s="142"/>
      <c r="E86" s="177">
        <f>WORKDAY.INTL(G85,0,1,Data!$C$3:$C$41)</f>
        <v>45964</v>
      </c>
      <c r="F86" s="178">
        <v>5</v>
      </c>
      <c r="G86" s="177">
        <f>WORKDAY.INTL(E86,F86,1,Data!$C$3:$C$41)</f>
        <v>45971</v>
      </c>
      <c r="H86" s="165"/>
      <c r="I86" s="177">
        <f>WORKDAY.INTL(K49,0,1,Data!$C$3:$C$41)</f>
        <v>45999</v>
      </c>
      <c r="J86" s="178">
        <v>6</v>
      </c>
      <c r="K86" s="177">
        <f>WORKDAY.INTL(I86,J86,1,Data!$C$3:$C$41)</f>
        <v>46007</v>
      </c>
      <c r="M86" s="180">
        <v>1</v>
      </c>
      <c r="N86" s="180">
        <f ca="1">_xlfn.LET(
  _xlpm.s,VALUE(I86),
  _xlpm.e,VALUE(K86),
  IF(OR(_xlpm.s="",_xlpm.e=""),"", IF(_xlpm.e&lt;=_xlpm.s, IF(TODAY()&gt;=_xlpm.e,1,0), MAX(0,MIN(1,(TODAY()-_xlpm.s)/(_xlpm.e-_xlpm.s)))))
)</f>
        <v>1</v>
      </c>
      <c r="O86" s="59"/>
      <c r="Q86" s="61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</row>
    <row r="87" spans="2:198" s="49" customFormat="1" ht="4.5" customHeight="1">
      <c r="B87" s="166"/>
      <c r="C87" s="142"/>
      <c r="D87" s="142"/>
      <c r="E87" s="167"/>
      <c r="F87" s="167"/>
      <c r="G87" s="168"/>
      <c r="H87" s="165"/>
      <c r="I87" s="167"/>
      <c r="J87" s="167"/>
      <c r="K87" s="168"/>
      <c r="N87" s="105"/>
      <c r="Q87" s="1"/>
    </row>
    <row r="88" spans="2:198" s="49" customFormat="1" ht="13.9">
      <c r="B88" s="171">
        <v>9</v>
      </c>
      <c r="C88" s="172" t="s">
        <v>184</v>
      </c>
      <c r="D88" s="142"/>
      <c r="E88" s="624">
        <f>MIN(E89:E96)</f>
        <v>45922</v>
      </c>
      <c r="F88" s="625">
        <f>G88-E88</f>
        <v>43</v>
      </c>
      <c r="G88" s="624">
        <f>MAX(G89:G96)</f>
        <v>45965</v>
      </c>
      <c r="H88" s="165"/>
      <c r="I88" s="624">
        <f>MIN(I89:I96)</f>
        <v>45986</v>
      </c>
      <c r="J88" s="625">
        <f>K88-I88</f>
        <v>22</v>
      </c>
      <c r="K88" s="624">
        <f>MAX(K89:K96)</f>
        <v>46008</v>
      </c>
      <c r="M88" s="287">
        <f>AVERAGE(M89:M96)</f>
        <v>1</v>
      </c>
      <c r="N88" s="287">
        <f ca="1">AVERAGE(N89:N96)</f>
        <v>1</v>
      </c>
      <c r="O88" s="56"/>
      <c r="Q88" s="61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</row>
    <row r="89" spans="2:198" s="49" customFormat="1" ht="13.9">
      <c r="B89" s="175">
        <v>9.1</v>
      </c>
      <c r="C89" s="684" t="s">
        <v>185</v>
      </c>
      <c r="D89" s="142"/>
      <c r="E89" s="177">
        <v>45922</v>
      </c>
      <c r="F89" s="178">
        <v>2</v>
      </c>
      <c r="G89" s="177">
        <f>WORKDAY.INTL(E89,F89,1,Data!$C$3:$C$41)</f>
        <v>45925</v>
      </c>
      <c r="H89" s="165"/>
      <c r="I89" s="177">
        <f>K33-1</f>
        <v>45988</v>
      </c>
      <c r="J89" s="178">
        <v>1</v>
      </c>
      <c r="K89" s="177">
        <f>WORKDAY.INTL(I89,J89,1,Data!$C$3:$C$41)</f>
        <v>45989</v>
      </c>
      <c r="M89" s="180">
        <v>1</v>
      </c>
      <c r="N89" s="180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59"/>
      <c r="Q89" s="61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</row>
    <row r="90" spans="2:198" s="49" customFormat="1" ht="13.9">
      <c r="B90" s="175"/>
      <c r="C90" s="684" t="s">
        <v>186</v>
      </c>
      <c r="D90" s="142"/>
      <c r="E90" s="177"/>
      <c r="F90" s="178"/>
      <c r="G90" s="177"/>
      <c r="H90" s="165"/>
      <c r="I90" s="177">
        <v>45986</v>
      </c>
      <c r="J90" s="178">
        <v>4</v>
      </c>
      <c r="K90" s="177">
        <f>WORKDAY.INTL(I90,J90,1,Data!$C$3:$C$41)</f>
        <v>45992</v>
      </c>
      <c r="M90" s="180">
        <v>1</v>
      </c>
      <c r="N90" s="180">
        <f t="shared" ca="1" si="9"/>
        <v>1</v>
      </c>
      <c r="O90" s="59"/>
      <c r="Q90" s="61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</row>
    <row r="91" spans="2:198" s="49" customFormat="1" ht="13.9">
      <c r="B91" s="175">
        <f>B89+0.1</f>
        <v>9.1999999999999993</v>
      </c>
      <c r="C91" s="684" t="s">
        <v>187</v>
      </c>
      <c r="D91" s="142"/>
      <c r="E91" s="177">
        <v>45953</v>
      </c>
      <c r="F91" s="178">
        <v>2</v>
      </c>
      <c r="G91" s="177">
        <f>WORKDAY.INTL(E91,F91,1,Data!$C$3:$C$41)</f>
        <v>45957</v>
      </c>
      <c r="H91" s="165"/>
      <c r="I91" s="177">
        <f>K78-7</f>
        <v>45995</v>
      </c>
      <c r="J91" s="178">
        <v>2</v>
      </c>
      <c r="K91" s="177">
        <f>WORKDAY.INTL(I91,J91,1,Data!$C$3:$C$41)</f>
        <v>45999</v>
      </c>
      <c r="M91" s="180">
        <v>1</v>
      </c>
      <c r="N91" s="180">
        <f t="shared" ca="1" si="9"/>
        <v>1</v>
      </c>
      <c r="O91" s="59"/>
      <c r="Q91" s="61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</row>
    <row r="92" spans="2:198" s="49" customFormat="1" ht="13.9">
      <c r="B92" s="175">
        <f t="shared" ref="B92:B96" si="10">B91+0.1</f>
        <v>9.2999999999999989</v>
      </c>
      <c r="C92" s="631" t="s">
        <v>188</v>
      </c>
      <c r="D92" s="142"/>
      <c r="E92" s="177">
        <f>WORKDAY.INTL(G91,0,1,Data!$C$3:$C$41)</f>
        <v>45957</v>
      </c>
      <c r="F92" s="178">
        <v>0</v>
      </c>
      <c r="G92" s="177">
        <f>WORKDAY.INTL(E92,F92,1,Data!$C$3:$C$41)</f>
        <v>45957</v>
      </c>
      <c r="H92" s="165"/>
      <c r="I92" s="177">
        <v>46002</v>
      </c>
      <c r="J92" s="178">
        <v>0</v>
      </c>
      <c r="K92" s="177">
        <f>WORKDAY.INTL(I92,J92,1,Data!$C$3:$C$41)</f>
        <v>46002</v>
      </c>
      <c r="M92" s="180">
        <v>1</v>
      </c>
      <c r="N92" s="180">
        <f t="shared" ca="1" si="9"/>
        <v>1</v>
      </c>
      <c r="O92" s="59"/>
      <c r="Q92" s="61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</row>
    <row r="93" spans="2:198" s="49" customFormat="1" ht="13.9">
      <c r="B93" s="175">
        <f t="shared" si="10"/>
        <v>9.3999999999999986</v>
      </c>
      <c r="C93" s="684" t="s">
        <v>189</v>
      </c>
      <c r="D93" s="142"/>
      <c r="E93" s="177">
        <f>WORKDAY.INTL(G92,0,1,Data!$C$3:$C$41)</f>
        <v>45957</v>
      </c>
      <c r="F93" s="178">
        <v>2</v>
      </c>
      <c r="G93" s="177">
        <f>WORKDAY.INTL(E93,F93,1,Data!$C$3:$C$41)</f>
        <v>45959</v>
      </c>
      <c r="H93" s="165"/>
      <c r="I93" s="177">
        <f>WORKDAY.INTL(K92,0,1,Data!$C$3:$C$41)</f>
        <v>46002</v>
      </c>
      <c r="J93" s="178">
        <v>2</v>
      </c>
      <c r="K93" s="177">
        <f>WORKDAY.INTL(I93,J93,1,Data!$C$3:$C$41)</f>
        <v>46006</v>
      </c>
      <c r="M93" s="180">
        <v>1</v>
      </c>
      <c r="N93" s="180">
        <f t="shared" ca="1" si="9"/>
        <v>1</v>
      </c>
      <c r="O93" s="59"/>
      <c r="Q93" s="61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</row>
    <row r="94" spans="2:198" s="49" customFormat="1" ht="13.9">
      <c r="B94" s="175">
        <f t="shared" si="10"/>
        <v>9.4999999999999982</v>
      </c>
      <c r="C94" s="684" t="s">
        <v>190</v>
      </c>
      <c r="D94" s="142"/>
      <c r="E94" s="177">
        <f>WORKDAY.INTL(G93,0,1,Data!$C$3:$C$41)</f>
        <v>45959</v>
      </c>
      <c r="F94" s="178">
        <v>2</v>
      </c>
      <c r="G94" s="177">
        <f>WORKDAY.INTL(E94,F94,1,Data!$C$3:$C$41)</f>
        <v>45961</v>
      </c>
      <c r="H94" s="165"/>
      <c r="I94" s="177">
        <f>WORKDAY.INTL(K93,0,1,Data!$C$3:$C$41)</f>
        <v>46006</v>
      </c>
      <c r="J94" s="178">
        <v>2</v>
      </c>
      <c r="K94" s="177">
        <f>WORKDAY.INTL(I94,J94,1,Data!$C$3:$C$41)</f>
        <v>46008</v>
      </c>
      <c r="M94" s="180">
        <v>1</v>
      </c>
      <c r="N94" s="180">
        <f t="shared" ca="1" si="9"/>
        <v>1</v>
      </c>
      <c r="O94" s="59"/>
      <c r="Q94" s="61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</row>
    <row r="95" spans="2:198" s="49" customFormat="1" ht="13.9">
      <c r="B95" s="175">
        <f t="shared" si="10"/>
        <v>9.5999999999999979</v>
      </c>
      <c r="C95" s="684" t="s">
        <v>191</v>
      </c>
      <c r="D95" s="142"/>
      <c r="E95" s="177">
        <f>WORKDAY.INTL(G94,0,1,Data!$C$3:$C$41)</f>
        <v>45961</v>
      </c>
      <c r="F95" s="178">
        <v>0</v>
      </c>
      <c r="G95" s="177">
        <f>WORKDAY.INTL(E95,F95,1,Data!$C$3:$C$41)</f>
        <v>45961</v>
      </c>
      <c r="H95" s="165"/>
      <c r="I95" s="177">
        <f>WORKDAY.INTL(K94,0,1,Data!$C$3:$C$41)-2</f>
        <v>46006</v>
      </c>
      <c r="J95" s="178">
        <v>0</v>
      </c>
      <c r="K95" s="177">
        <f>WORKDAY.INTL(I95,J95,1,Data!$C$3:$C$41)</f>
        <v>46006</v>
      </c>
      <c r="M95" s="180">
        <v>1</v>
      </c>
      <c r="N95" s="180">
        <f t="shared" ca="1" si="9"/>
        <v>1</v>
      </c>
      <c r="O95" s="59"/>
      <c r="Q95" s="61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</row>
    <row r="96" spans="2:198" s="49" customFormat="1" ht="13.9">
      <c r="B96" s="175">
        <f t="shared" si="10"/>
        <v>9.6999999999999975</v>
      </c>
      <c r="C96" s="684" t="s">
        <v>192</v>
      </c>
      <c r="D96" s="142"/>
      <c r="E96" s="177">
        <f>WORKDAY.INTL(G95,0,1,Data!$C$3:$C$41)</f>
        <v>45961</v>
      </c>
      <c r="F96" s="178">
        <v>2</v>
      </c>
      <c r="G96" s="177">
        <f>WORKDAY.INTL(E96,F96,1,Data!$C$3:$C$41)</f>
        <v>45965</v>
      </c>
      <c r="H96" s="165"/>
      <c r="I96" s="177">
        <f>WORKDAY.INTL(K95,0,1,Data!$C$3:$C$41)</f>
        <v>46006</v>
      </c>
      <c r="J96" s="178">
        <v>2</v>
      </c>
      <c r="K96" s="177">
        <f>WORKDAY.INTL(I96,J96,1,Data!$C$3:$C$41)</f>
        <v>46008</v>
      </c>
      <c r="M96" s="180">
        <v>1</v>
      </c>
      <c r="N96" s="180">
        <f t="shared" ca="1" si="9"/>
        <v>1</v>
      </c>
      <c r="O96" s="59"/>
      <c r="Q96" s="61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</row>
    <row r="97" spans="2:198" s="49" customFormat="1" ht="4.5" customHeight="1">
      <c r="B97" s="166"/>
      <c r="C97" s="685"/>
      <c r="D97" s="142"/>
      <c r="E97" s="167"/>
      <c r="F97" s="167"/>
      <c r="G97" s="168"/>
      <c r="H97" s="165"/>
      <c r="I97" s="167"/>
      <c r="J97" s="167"/>
      <c r="K97" s="168"/>
      <c r="N97" s="105"/>
      <c r="Q97" s="1"/>
    </row>
    <row r="98" spans="2:198" s="49" customFormat="1" ht="13.9">
      <c r="B98" s="171">
        <v>10</v>
      </c>
      <c r="C98" s="172" t="s">
        <v>193</v>
      </c>
      <c r="D98" s="146"/>
      <c r="E98" s="624">
        <f>MIN(E99:E108)</f>
        <v>45971</v>
      </c>
      <c r="F98" s="625">
        <f>G98-E98</f>
        <v>4</v>
      </c>
      <c r="G98" s="624">
        <f>MAX(G99:G108)</f>
        <v>45975</v>
      </c>
      <c r="H98" s="147"/>
      <c r="I98" s="624">
        <f>MIN(I99:I108)</f>
        <v>46006</v>
      </c>
      <c r="J98" s="625">
        <f>K98-I98</f>
        <v>59</v>
      </c>
      <c r="K98" s="624">
        <f>MAX(K99:K108)</f>
        <v>46065</v>
      </c>
      <c r="L98" s="51"/>
      <c r="M98" s="287">
        <f>AVERAGE(M99:M108)</f>
        <v>1</v>
      </c>
      <c r="N98" s="287">
        <f ca="1">AVERAGE(N99:N108)</f>
        <v>1</v>
      </c>
      <c r="Q98" s="61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  <c r="GL98" s="58"/>
      <c r="GM98" s="58"/>
      <c r="GN98" s="58"/>
      <c r="GO98" s="58"/>
      <c r="GP98" s="58"/>
    </row>
    <row r="99" spans="2:198" ht="13.9">
      <c r="B99" s="175">
        <f>B98+0.1</f>
        <v>10.1</v>
      </c>
      <c r="C99" s="170" t="s">
        <v>194</v>
      </c>
      <c r="D99" s="142"/>
      <c r="E99" s="177">
        <f>WORKDAY.INTL(MAX(G88,G81,G74,G67,G58),0,1,Data!$C$3:$C$41)</f>
        <v>45971</v>
      </c>
      <c r="F99" s="178">
        <v>2</v>
      </c>
      <c r="G99" s="177">
        <f>WORKDAY.INTL(E99,F99,1,Data!$C$3:$C$41)</f>
        <v>45973</v>
      </c>
      <c r="H99" s="165"/>
      <c r="I99" s="177">
        <v>46006</v>
      </c>
      <c r="J99" s="178">
        <v>3</v>
      </c>
      <c r="K99" s="177">
        <f>WORKDAY.INTL(I99,J99,1,Data!$C$3:$C$41)</f>
        <v>46009</v>
      </c>
      <c r="M99" s="180">
        <v>1</v>
      </c>
      <c r="N99" s="180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5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49"/>
      <c r="GG99" s="49"/>
      <c r="GH99" s="49"/>
      <c r="GI99" s="49"/>
      <c r="GJ99" s="49"/>
      <c r="GK99" s="49"/>
      <c r="GL99" s="49"/>
      <c r="GM99" s="49"/>
      <c r="GN99" s="49"/>
      <c r="GO99" s="49"/>
      <c r="GP99" s="49"/>
    </row>
    <row r="100" spans="2:198" ht="13.9">
      <c r="B100" s="175">
        <v>10.199999999999999</v>
      </c>
      <c r="C100" s="170" t="s">
        <v>195</v>
      </c>
      <c r="D100" s="142"/>
      <c r="E100" s="177"/>
      <c r="F100" s="178"/>
      <c r="G100" s="177"/>
      <c r="H100" s="165"/>
      <c r="I100" s="177">
        <v>46006</v>
      </c>
      <c r="J100" s="178">
        <v>2</v>
      </c>
      <c r="K100" s="177">
        <f>WORKDAY.INTL(I100,J100,1,Data!$C$3:$C$41)</f>
        <v>46008</v>
      </c>
      <c r="M100" s="180">
        <v>1</v>
      </c>
      <c r="N100" s="180">
        <f t="shared" ca="1" si="11"/>
        <v>1</v>
      </c>
      <c r="O100" s="5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</row>
    <row r="101" spans="2:198" ht="13.9">
      <c r="B101" s="175">
        <v>10.3</v>
      </c>
      <c r="C101" s="170" t="s">
        <v>196</v>
      </c>
      <c r="D101" s="142"/>
      <c r="E101" s="177"/>
      <c r="F101" s="178"/>
      <c r="G101" s="177"/>
      <c r="H101" s="165"/>
      <c r="I101" s="177">
        <f>K100</f>
        <v>46008</v>
      </c>
      <c r="J101" s="178">
        <v>2</v>
      </c>
      <c r="K101" s="177">
        <f>WORKDAY.INTL(I101,J101,1,Data!$C$3:$C$41)</f>
        <v>46010</v>
      </c>
      <c r="M101" s="180">
        <v>1</v>
      </c>
      <c r="N101" s="180">
        <f t="shared" ca="1" si="11"/>
        <v>1</v>
      </c>
      <c r="O101" s="5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49"/>
      <c r="FF101" s="49"/>
      <c r="FG101" s="49"/>
      <c r="FH101" s="49"/>
      <c r="FI101" s="49"/>
      <c r="FJ101" s="49"/>
      <c r="FK101" s="49"/>
      <c r="FL101" s="49"/>
      <c r="FM101" s="49"/>
      <c r="FN101" s="49"/>
      <c r="FO101" s="49"/>
      <c r="FP101" s="49"/>
      <c r="FQ101" s="49"/>
      <c r="FR101" s="49"/>
      <c r="FS101" s="49"/>
      <c r="FT101" s="49"/>
      <c r="FU101" s="49"/>
      <c r="FV101" s="49"/>
      <c r="FW101" s="49"/>
      <c r="FX101" s="49"/>
      <c r="FY101" s="49"/>
      <c r="FZ101" s="49"/>
      <c r="GA101" s="49"/>
      <c r="GB101" s="49"/>
      <c r="GC101" s="49"/>
      <c r="GD101" s="49"/>
      <c r="GE101" s="49"/>
      <c r="GF101" s="49"/>
      <c r="GG101" s="49"/>
      <c r="GH101" s="49"/>
      <c r="GI101" s="49"/>
      <c r="GJ101" s="49"/>
      <c r="GK101" s="49"/>
      <c r="GL101" s="49"/>
      <c r="GM101" s="49"/>
      <c r="GN101" s="49"/>
      <c r="GO101" s="49"/>
      <c r="GP101" s="49"/>
    </row>
    <row r="102" spans="2:198" ht="13.9">
      <c r="B102" s="175">
        <v>10.4</v>
      </c>
      <c r="C102" s="170" t="s">
        <v>197</v>
      </c>
      <c r="D102" s="142"/>
      <c r="E102" s="177"/>
      <c r="F102" s="178"/>
      <c r="G102" s="177"/>
      <c r="H102" s="165"/>
      <c r="I102" s="177">
        <f>K101-1</f>
        <v>46009</v>
      </c>
      <c r="J102" s="178">
        <v>1</v>
      </c>
      <c r="K102" s="177">
        <f>WORKDAY.INTL(I102,J102,1,Data!$C$3:$C$41)</f>
        <v>46010</v>
      </c>
      <c r="M102" s="180">
        <v>1</v>
      </c>
      <c r="N102" s="180">
        <f t="shared" ca="1" si="11"/>
        <v>1</v>
      </c>
      <c r="O102" s="5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49"/>
      <c r="FF102" s="49"/>
      <c r="FG102" s="49"/>
      <c r="FH102" s="49"/>
      <c r="FI102" s="49"/>
      <c r="FJ102" s="49"/>
      <c r="FK102" s="49"/>
      <c r="FL102" s="49"/>
      <c r="FM102" s="49"/>
      <c r="FN102" s="49"/>
      <c r="FO102" s="49"/>
      <c r="FP102" s="49"/>
      <c r="FQ102" s="49"/>
      <c r="FR102" s="49"/>
      <c r="FS102" s="49"/>
      <c r="FT102" s="49"/>
      <c r="FU102" s="49"/>
      <c r="FV102" s="49"/>
      <c r="FW102" s="49"/>
      <c r="FX102" s="49"/>
      <c r="FY102" s="49"/>
      <c r="FZ102" s="49"/>
      <c r="GA102" s="49"/>
      <c r="GB102" s="49"/>
      <c r="GC102" s="49"/>
      <c r="GD102" s="49"/>
      <c r="GE102" s="49"/>
      <c r="GF102" s="49"/>
      <c r="GG102" s="49"/>
      <c r="GH102" s="49"/>
      <c r="GI102" s="49"/>
      <c r="GJ102" s="49"/>
      <c r="GK102" s="49"/>
      <c r="GL102" s="49"/>
      <c r="GM102" s="49"/>
      <c r="GN102" s="49"/>
      <c r="GO102" s="49"/>
      <c r="GP102" s="49"/>
    </row>
    <row r="103" spans="2:198" ht="13.9">
      <c r="B103" s="175">
        <v>10.5</v>
      </c>
      <c r="C103" s="170" t="s">
        <v>198</v>
      </c>
      <c r="D103" s="142"/>
      <c r="E103" s="177"/>
      <c r="F103" s="178"/>
      <c r="G103" s="177"/>
      <c r="H103" s="165"/>
      <c r="I103" s="177">
        <v>46055</v>
      </c>
      <c r="J103" s="178">
        <v>3</v>
      </c>
      <c r="K103" s="177">
        <f>WORKDAY.INTL(I103,J103,1,Data!$C$3:$C$41)</f>
        <v>46058</v>
      </c>
      <c r="M103" s="180">
        <v>1</v>
      </c>
      <c r="N103" s="180">
        <f t="shared" ca="1" si="11"/>
        <v>1</v>
      </c>
      <c r="O103" s="5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  <c r="GC103" s="49"/>
      <c r="GD103" s="49"/>
      <c r="GE103" s="49"/>
      <c r="GF103" s="49"/>
      <c r="GG103" s="49"/>
      <c r="GH103" s="49"/>
      <c r="GI103" s="49"/>
      <c r="GJ103" s="49"/>
      <c r="GK103" s="49"/>
      <c r="GL103" s="49"/>
      <c r="GM103" s="49"/>
      <c r="GN103" s="49"/>
      <c r="GO103" s="49"/>
      <c r="GP103" s="49"/>
    </row>
    <row r="104" spans="2:198" ht="13.9">
      <c r="B104" s="175">
        <v>10.6</v>
      </c>
      <c r="C104" s="761" t="s">
        <v>199</v>
      </c>
      <c r="D104" s="142"/>
      <c r="E104" s="177"/>
      <c r="F104" s="178"/>
      <c r="G104" s="177"/>
      <c r="H104" s="165"/>
      <c r="I104" s="177">
        <f>K103</f>
        <v>46058</v>
      </c>
      <c r="J104" s="178">
        <v>5</v>
      </c>
      <c r="K104" s="177">
        <f>WORKDAY.INTL(I104,J104,1,Data!$C$3:$C$41)</f>
        <v>46065</v>
      </c>
      <c r="M104" s="180">
        <v>1</v>
      </c>
      <c r="N104" s="180">
        <f t="shared" ca="1" si="11"/>
        <v>1</v>
      </c>
      <c r="O104" s="5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49"/>
      <c r="FF104" s="49"/>
      <c r="FG104" s="49"/>
      <c r="FH104" s="49"/>
      <c r="FI104" s="49"/>
      <c r="FJ104" s="49"/>
      <c r="FK104" s="49"/>
      <c r="FL104" s="49"/>
      <c r="FM104" s="49"/>
      <c r="FN104" s="49"/>
      <c r="FO104" s="49"/>
      <c r="FP104" s="49"/>
      <c r="FQ104" s="49"/>
      <c r="FR104" s="49"/>
      <c r="FS104" s="49"/>
      <c r="FT104" s="49"/>
      <c r="FU104" s="49"/>
      <c r="FV104" s="49"/>
      <c r="FW104" s="49"/>
      <c r="FX104" s="49"/>
      <c r="FY104" s="49"/>
      <c r="FZ104" s="49"/>
      <c r="GA104" s="49"/>
      <c r="GB104" s="49"/>
      <c r="GC104" s="49"/>
      <c r="GD104" s="49"/>
      <c r="GE104" s="49"/>
      <c r="GF104" s="49"/>
      <c r="GG104" s="49"/>
      <c r="GH104" s="49"/>
      <c r="GI104" s="49"/>
      <c r="GJ104" s="49"/>
      <c r="GK104" s="49"/>
      <c r="GL104" s="49"/>
      <c r="GM104" s="49"/>
      <c r="GN104" s="49"/>
      <c r="GO104" s="49"/>
      <c r="GP104" s="49"/>
    </row>
    <row r="105" spans="2:198" ht="13.9">
      <c r="B105" s="175">
        <v>10.7</v>
      </c>
      <c r="C105" s="170" t="s">
        <v>200</v>
      </c>
      <c r="D105" s="142"/>
      <c r="E105" s="177"/>
      <c r="F105" s="178"/>
      <c r="G105" s="177"/>
      <c r="H105" s="165"/>
      <c r="I105" s="177">
        <v>46048</v>
      </c>
      <c r="J105" s="178">
        <v>2</v>
      </c>
      <c r="K105" s="177">
        <f>WORKDAY.INTL(I105,J105,1,Data!$C$3:$C$41)</f>
        <v>46050</v>
      </c>
      <c r="M105" s="180">
        <v>1</v>
      </c>
      <c r="N105" s="180">
        <f t="shared" ca="1" si="11"/>
        <v>1</v>
      </c>
      <c r="O105" s="5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  <c r="FZ105" s="49"/>
      <c r="GA105" s="49"/>
      <c r="GB105" s="49"/>
      <c r="GC105" s="49"/>
      <c r="GD105" s="49"/>
      <c r="GE105" s="49"/>
      <c r="GF105" s="49"/>
      <c r="GG105" s="49"/>
      <c r="GH105" s="49"/>
      <c r="GI105" s="49"/>
      <c r="GJ105" s="49"/>
      <c r="GK105" s="49"/>
      <c r="GL105" s="49"/>
      <c r="GM105" s="49"/>
      <c r="GN105" s="49"/>
      <c r="GO105" s="49"/>
      <c r="GP105" s="49"/>
    </row>
    <row r="106" spans="2:198" ht="13.9">
      <c r="B106" s="175">
        <v>10.8</v>
      </c>
      <c r="C106" s="170" t="s">
        <v>201</v>
      </c>
      <c r="D106" s="142"/>
      <c r="E106" s="177"/>
      <c r="F106" s="178"/>
      <c r="G106" s="177"/>
      <c r="H106" s="165"/>
      <c r="I106" s="177">
        <v>46034</v>
      </c>
      <c r="J106" s="178">
        <v>10</v>
      </c>
      <c r="K106" s="177">
        <f>WORKDAY.INTL(I106,J106,1,Data!$C$3:$C$41)</f>
        <v>46048</v>
      </c>
      <c r="M106" s="180">
        <v>1</v>
      </c>
      <c r="N106" s="180">
        <f t="shared" ca="1" si="11"/>
        <v>1</v>
      </c>
      <c r="O106" s="5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  <c r="FZ106" s="49"/>
      <c r="GA106" s="49"/>
      <c r="GB106" s="49"/>
      <c r="GC106" s="49"/>
      <c r="GD106" s="49"/>
      <c r="GE106" s="49"/>
      <c r="GF106" s="49"/>
      <c r="GG106" s="49"/>
      <c r="GH106" s="49"/>
      <c r="GI106" s="49"/>
      <c r="GJ106" s="49"/>
      <c r="GK106" s="49"/>
      <c r="GL106" s="49"/>
      <c r="GM106" s="49"/>
      <c r="GN106" s="49"/>
      <c r="GO106" s="49"/>
      <c r="GP106" s="49"/>
    </row>
    <row r="107" spans="2:198" ht="13.9">
      <c r="B107" s="175">
        <v>10.9</v>
      </c>
      <c r="C107" s="170" t="s">
        <v>202</v>
      </c>
      <c r="D107" s="142"/>
      <c r="E107" s="177"/>
      <c r="F107" s="178"/>
      <c r="G107" s="177"/>
      <c r="H107" s="165"/>
      <c r="I107" s="177">
        <v>46048</v>
      </c>
      <c r="J107" s="178">
        <v>2</v>
      </c>
      <c r="K107" s="177">
        <f>WORKDAY.INTL(I107,J107,1,Data!$C$3:$C$41)</f>
        <v>46050</v>
      </c>
      <c r="M107" s="180">
        <v>1</v>
      </c>
      <c r="N107" s="180">
        <v>1</v>
      </c>
      <c r="O107" s="5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  <c r="FZ107" s="49"/>
      <c r="GA107" s="49"/>
      <c r="GB107" s="49"/>
      <c r="GC107" s="49"/>
      <c r="GD107" s="49"/>
      <c r="GE107" s="49"/>
      <c r="GF107" s="49"/>
      <c r="GG107" s="49"/>
      <c r="GH107" s="49"/>
      <c r="GI107" s="49"/>
      <c r="GJ107" s="49"/>
      <c r="GK107" s="49"/>
      <c r="GL107" s="49"/>
      <c r="GM107" s="49"/>
      <c r="GN107" s="49"/>
      <c r="GO107" s="49"/>
      <c r="GP107" s="49"/>
    </row>
    <row r="108" spans="2:198" ht="13.9">
      <c r="B108" s="629">
        <v>10.1</v>
      </c>
      <c r="C108" s="170" t="s">
        <v>43</v>
      </c>
      <c r="D108" s="142"/>
      <c r="E108" s="177">
        <f>WORKDAY.INTL(G99,0,1,Data!$C$3:$C$41)</f>
        <v>45973</v>
      </c>
      <c r="F108" s="178">
        <v>2</v>
      </c>
      <c r="G108" s="177">
        <f>WORKDAY.INTL(E108,F108,1,Data!$C$3:$C$41)</f>
        <v>45975</v>
      </c>
      <c r="H108" s="165"/>
      <c r="I108" s="177">
        <v>46055</v>
      </c>
      <c r="J108" s="178">
        <v>0</v>
      </c>
      <c r="K108" s="177">
        <f>WORKDAY.INTL(I108,J108,1,Data!$C$3:$C$41)</f>
        <v>46055</v>
      </c>
      <c r="M108" s="180">
        <v>1</v>
      </c>
      <c r="N108" s="180">
        <v>1</v>
      </c>
      <c r="O108" s="5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  <c r="GO108" s="49"/>
      <c r="GP108" s="49"/>
    </row>
    <row r="109" spans="2:198" s="49" customFormat="1" ht="4.5" customHeight="1">
      <c r="B109" s="166"/>
      <c r="C109" s="142"/>
      <c r="D109" s="142"/>
      <c r="E109" s="167"/>
      <c r="F109" s="167"/>
      <c r="G109" s="168"/>
      <c r="H109" s="165"/>
      <c r="I109" s="167"/>
      <c r="J109" s="167" t="s">
        <v>203</v>
      </c>
      <c r="K109" s="168"/>
      <c r="N109" s="105"/>
      <c r="Q109" s="1"/>
    </row>
    <row r="110" spans="2:198" s="49" customFormat="1" ht="13.9">
      <c r="B110" s="171">
        <v>11</v>
      </c>
      <c r="C110" s="172" t="s">
        <v>204</v>
      </c>
      <c r="D110" s="146"/>
      <c r="E110" s="624">
        <f>MIN(E111:E115)</f>
        <v>45929</v>
      </c>
      <c r="F110" s="625">
        <f>G110-E110</f>
        <v>58</v>
      </c>
      <c r="G110" s="624">
        <f>MAX(G111:G115)</f>
        <v>45987</v>
      </c>
      <c r="H110" s="147"/>
      <c r="I110" s="624">
        <f>MIN(I111:I115)</f>
        <v>46048</v>
      </c>
      <c r="J110" s="625">
        <f>K110-I110</f>
        <v>29</v>
      </c>
      <c r="K110" s="624">
        <f>MAX(K111:K115)</f>
        <v>46077</v>
      </c>
      <c r="L110" s="51"/>
      <c r="M110" s="287">
        <f>AVERAGE(M111:M115)</f>
        <v>1</v>
      </c>
      <c r="N110" s="287">
        <f ca="1">AVERAGE(N111:N115)</f>
        <v>1</v>
      </c>
      <c r="Q110" s="61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</row>
    <row r="111" spans="2:198" ht="13.9">
      <c r="B111" s="175">
        <f>B110+0.1</f>
        <v>11.1</v>
      </c>
      <c r="C111" s="170" t="s">
        <v>205</v>
      </c>
      <c r="D111" s="142"/>
      <c r="E111" s="177">
        <f>WORKDAY.INTL(G58,0,1,Data!$C$3:$C$41)</f>
        <v>45929</v>
      </c>
      <c r="F111" s="178">
        <v>1</v>
      </c>
      <c r="G111" s="177">
        <f>WORKDAY.INTL(E111,F111,1,Data!$C$3:$C$41)</f>
        <v>45930</v>
      </c>
      <c r="H111" s="165"/>
      <c r="I111" s="177">
        <v>46048</v>
      </c>
      <c r="J111" s="178">
        <v>1</v>
      </c>
      <c r="K111" s="177">
        <f>WORKDAY.INTL(I111,J111,1,Data!$C$3:$C$41)</f>
        <v>46049</v>
      </c>
      <c r="M111" s="180">
        <v>1</v>
      </c>
      <c r="N111" s="180">
        <f ca="1">_xlfn.LET(
  _xlpm.s,VALUE(I111),
  _xlpm.e,VALUE(K111),
  IF(OR(_xlpm.s="",_xlpm.e=""),"", IF(_xlpm.e&lt;=_xlpm.s, IF(TODAY()&gt;=_xlpm.e,1,0), MAX(0,MIN(1,(TODAY()-_xlpm.s)/(_xlpm.e-_xlpm.s)))))
)</f>
        <v>1</v>
      </c>
      <c r="O111" s="5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49"/>
      <c r="FO111" s="49"/>
      <c r="FP111" s="49"/>
      <c r="FQ111" s="49"/>
      <c r="FR111" s="49"/>
      <c r="FS111" s="49"/>
      <c r="FT111" s="49"/>
      <c r="FU111" s="49"/>
      <c r="FV111" s="49"/>
      <c r="FW111" s="49"/>
      <c r="FX111" s="49"/>
      <c r="FY111" s="49"/>
      <c r="FZ111" s="49"/>
      <c r="GA111" s="49"/>
      <c r="GB111" s="49"/>
      <c r="GC111" s="49"/>
      <c r="GD111" s="49"/>
      <c r="GE111" s="49"/>
      <c r="GF111" s="49"/>
      <c r="GG111" s="49"/>
      <c r="GH111" s="49"/>
      <c r="GI111" s="49"/>
      <c r="GJ111" s="49"/>
      <c r="GK111" s="49"/>
      <c r="GL111" s="49"/>
      <c r="GM111" s="49"/>
      <c r="GN111" s="49"/>
      <c r="GO111" s="49"/>
      <c r="GP111" s="49"/>
    </row>
    <row r="112" spans="2:198" ht="13.9">
      <c r="B112" s="175">
        <f t="shared" ref="B112:B115" si="12">B111+0.1</f>
        <v>11.2</v>
      </c>
      <c r="C112" s="170" t="s">
        <v>206</v>
      </c>
      <c r="D112" s="142"/>
      <c r="E112" s="177">
        <f>WORKDAY.INTL(G67,0,1,Data!$C$3:$C$41)</f>
        <v>45952</v>
      </c>
      <c r="F112" s="178">
        <v>1</v>
      </c>
      <c r="G112" s="177">
        <f>WORKDAY.INTL(E112,F112,1,Data!$C$3:$C$41)</f>
        <v>45953</v>
      </c>
      <c r="H112" s="165"/>
      <c r="I112" s="177">
        <v>46048</v>
      </c>
      <c r="J112" s="178">
        <v>7</v>
      </c>
      <c r="K112" s="177">
        <f>WORKDAY.INTL(I112,J112,1,Data!$C$3:$C$41)</f>
        <v>46057</v>
      </c>
      <c r="M112" s="180">
        <v>1</v>
      </c>
      <c r="N112" s="180">
        <f ca="1">_xlfn.LET(
  _xlpm.s,VALUE(I112),
  _xlpm.e,VALUE(K112),
  IF(OR(_xlpm.s="",_xlpm.e=""),"", IF(_xlpm.e&lt;=_xlpm.s, IF(TODAY()&gt;=_xlpm.e,1,0), MAX(0,MIN(1,(TODAY()-_xlpm.s)/(_xlpm.e-_xlpm.s)))))
)</f>
        <v>1</v>
      </c>
      <c r="O112" s="5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  <c r="DL112" s="49"/>
      <c r="DM112" s="49"/>
      <c r="DN112" s="49"/>
      <c r="DO112" s="49"/>
      <c r="DP112" s="49"/>
      <c r="DQ112" s="49"/>
      <c r="DR112" s="49"/>
      <c r="DS112" s="49"/>
      <c r="DT112" s="49"/>
      <c r="DU112" s="49"/>
      <c r="DV112" s="49"/>
      <c r="DW112" s="49"/>
      <c r="DX112" s="49"/>
      <c r="DY112" s="4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49"/>
      <c r="FO112" s="49"/>
      <c r="FP112" s="49"/>
      <c r="FQ112" s="49"/>
      <c r="FR112" s="49"/>
      <c r="FS112" s="49"/>
      <c r="FT112" s="49"/>
      <c r="FU112" s="49"/>
      <c r="FV112" s="49"/>
      <c r="FW112" s="49"/>
      <c r="FX112" s="49"/>
      <c r="FY112" s="49"/>
      <c r="FZ112" s="49"/>
      <c r="GA112" s="49"/>
      <c r="GB112" s="49"/>
      <c r="GC112" s="49"/>
      <c r="GD112" s="49"/>
      <c r="GE112" s="49"/>
      <c r="GF112" s="49"/>
      <c r="GG112" s="49"/>
      <c r="GH112" s="49"/>
      <c r="GI112" s="49"/>
      <c r="GJ112" s="49"/>
      <c r="GK112" s="49"/>
      <c r="GL112" s="49"/>
      <c r="GM112" s="49"/>
      <c r="GN112" s="49"/>
      <c r="GO112" s="49"/>
      <c r="GP112" s="49"/>
    </row>
    <row r="113" spans="2:198" ht="13.9">
      <c r="B113" s="175">
        <f t="shared" si="12"/>
        <v>11.299999999999999</v>
      </c>
      <c r="C113" s="170" t="s">
        <v>207</v>
      </c>
      <c r="D113" s="142"/>
      <c r="E113" s="177">
        <f>WORKDAY.INTL(G88,0,1,Data!$C$3:$C$41)</f>
        <v>45965</v>
      </c>
      <c r="F113" s="178">
        <v>1</v>
      </c>
      <c r="G113" s="177">
        <f>WORKDAY.INTL(E113,F113,1,Data!$C$3:$C$41)</f>
        <v>45966</v>
      </c>
      <c r="H113" s="165"/>
      <c r="I113" s="177">
        <v>46055</v>
      </c>
      <c r="J113" s="178">
        <v>1</v>
      </c>
      <c r="K113" s="177">
        <f>WORKDAY.INTL(I113,J113,1,Data!$C$3:$C$41)</f>
        <v>46056</v>
      </c>
      <c r="M113" s="180">
        <v>1</v>
      </c>
      <c r="N113" s="180">
        <f ca="1">_xlfn.LET(
  _xlpm.s,VALUE(I113),
  _xlpm.e,VALUE(K113),
  IF(OR(_xlpm.s="",_xlpm.e=""),"", IF(_xlpm.e&lt;=_xlpm.s, IF(TODAY()&gt;=_xlpm.e,1,0), MAX(0,MIN(1,(TODAY()-_xlpm.s)/(_xlpm.e-_xlpm.s)))))
)</f>
        <v>1</v>
      </c>
      <c r="O113" s="5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  <c r="DL113" s="49"/>
      <c r="DM113" s="49"/>
      <c r="DN113" s="49"/>
      <c r="DO113" s="49"/>
      <c r="DP113" s="49"/>
      <c r="DQ113" s="49"/>
      <c r="DR113" s="49"/>
      <c r="DS113" s="49"/>
      <c r="DT113" s="49"/>
      <c r="DU113" s="49"/>
      <c r="DV113" s="49"/>
      <c r="DW113" s="49"/>
      <c r="DX113" s="49"/>
      <c r="DY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  <c r="FZ113" s="49"/>
      <c r="GA113" s="49"/>
      <c r="GB113" s="49"/>
      <c r="GC113" s="49"/>
      <c r="GD113" s="49"/>
      <c r="GE113" s="49"/>
      <c r="GF113" s="49"/>
      <c r="GG113" s="49"/>
      <c r="GH113" s="49"/>
      <c r="GI113" s="49"/>
      <c r="GJ113" s="49"/>
      <c r="GK113" s="49"/>
      <c r="GL113" s="49"/>
      <c r="GM113" s="49"/>
      <c r="GN113" s="49"/>
      <c r="GO113" s="49"/>
      <c r="GP113" s="49"/>
    </row>
    <row r="114" spans="2:198" ht="13.9">
      <c r="B114" s="175">
        <f t="shared" si="12"/>
        <v>11.399999999999999</v>
      </c>
      <c r="C114" s="170" t="s">
        <v>208</v>
      </c>
      <c r="D114" s="142"/>
      <c r="E114" s="177"/>
      <c r="F114" s="178"/>
      <c r="G114" s="177"/>
      <c r="H114" s="165"/>
      <c r="I114" s="177">
        <v>46050</v>
      </c>
      <c r="J114" s="178">
        <v>1</v>
      </c>
      <c r="K114" s="177">
        <f>WORKDAY.INTL(I114,J114,1,Data!$C$3:$C$41)</f>
        <v>46051</v>
      </c>
      <c r="M114" s="180">
        <v>1</v>
      </c>
      <c r="N114" s="180">
        <f ca="1">_xlfn.LET(
  _xlpm.s,VALUE(I114),
  _xlpm.e,VALUE(K114),
  IF(OR(_xlpm.s="",_xlpm.e=""),"", IF(_xlpm.e&lt;=_xlpm.s, IF(TODAY()&gt;=_xlpm.e,1,0), MAX(0,MIN(1,(TODAY()-_xlpm.s)/(_xlpm.e-_xlpm.s)))))
)</f>
        <v>1</v>
      </c>
      <c r="O114" s="5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49"/>
      <c r="FO114" s="49"/>
      <c r="FP114" s="49"/>
      <c r="FQ114" s="49"/>
      <c r="FR114" s="49"/>
      <c r="FS114" s="49"/>
      <c r="FT114" s="49"/>
      <c r="FU114" s="49"/>
      <c r="FV114" s="49"/>
      <c r="FW114" s="49"/>
      <c r="FX114" s="49"/>
      <c r="FY114" s="49"/>
      <c r="FZ114" s="49"/>
      <c r="GA114" s="49"/>
      <c r="GB114" s="49"/>
      <c r="GC114" s="49"/>
      <c r="GD114" s="49"/>
      <c r="GE114" s="49"/>
      <c r="GF114" s="49"/>
      <c r="GG114" s="49"/>
      <c r="GH114" s="49"/>
      <c r="GI114" s="49"/>
      <c r="GJ114" s="49"/>
      <c r="GK114" s="49"/>
      <c r="GL114" s="49"/>
      <c r="GM114" s="49"/>
      <c r="GN114" s="49"/>
      <c r="GO114" s="49"/>
      <c r="GP114" s="49"/>
    </row>
    <row r="115" spans="2:198" ht="13.9">
      <c r="B115" s="175">
        <f t="shared" si="12"/>
        <v>11.499999999999998</v>
      </c>
      <c r="C115" s="170" t="s">
        <v>209</v>
      </c>
      <c r="D115" s="142"/>
      <c r="E115" s="177">
        <f>WORKDAY.INTL(G113,0,1,Data!$C$3:$C$41)</f>
        <v>45966</v>
      </c>
      <c r="F115" s="178">
        <v>15</v>
      </c>
      <c r="G115" s="177">
        <f>WORKDAY.INTL(E115,F115,1,Data!$C$3:$C$41)</f>
        <v>45987</v>
      </c>
      <c r="H115" s="165"/>
      <c r="I115" s="177">
        <f>WORKDAY.INTL(K113,0,1,Data!$C$3:$C$41)</f>
        <v>46056</v>
      </c>
      <c r="J115" s="178">
        <v>15</v>
      </c>
      <c r="K115" s="177">
        <f>WORKDAY.INTL(I115,J115,1,Data!$C$3:$C$41)</f>
        <v>46077</v>
      </c>
      <c r="M115" s="180">
        <v>1</v>
      </c>
      <c r="N115" s="180">
        <f ca="1">_xlfn.LET(
  _xlpm.s,VALUE(I115),
  _xlpm.e,VALUE(K115),
  IF(OR(_xlpm.s="",_xlpm.e=""),"", IF(_xlpm.e&lt;=_xlpm.s, IF(TODAY()&gt;=_xlpm.e,1,0), MAX(0,MIN(1,(TODAY()-_xlpm.s)/(_xlpm.e-_xlpm.s)))))
)</f>
        <v>1</v>
      </c>
      <c r="O115" s="5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  <c r="DL115" s="49"/>
      <c r="DM115" s="49"/>
      <c r="DN115" s="49"/>
      <c r="DO115" s="49"/>
      <c r="DP115" s="49"/>
      <c r="DQ115" s="49"/>
      <c r="DR115" s="49"/>
      <c r="DS115" s="49"/>
      <c r="DT115" s="49"/>
      <c r="DU115" s="49"/>
      <c r="DV115" s="49"/>
      <c r="DW115" s="49"/>
      <c r="DX115" s="49"/>
      <c r="DY115" s="4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49"/>
      <c r="FF115" s="49"/>
      <c r="FG115" s="49"/>
      <c r="FH115" s="49"/>
      <c r="FI115" s="49"/>
      <c r="FJ115" s="49"/>
      <c r="FK115" s="49"/>
      <c r="FL115" s="49"/>
      <c r="FM115" s="49"/>
      <c r="FN115" s="49"/>
      <c r="FO115" s="49"/>
      <c r="FP115" s="49"/>
      <c r="FQ115" s="49"/>
      <c r="FR115" s="49"/>
      <c r="FS115" s="49"/>
      <c r="FT115" s="49"/>
      <c r="FU115" s="49"/>
      <c r="FV115" s="49"/>
      <c r="FW115" s="49"/>
      <c r="FX115" s="49"/>
      <c r="FY115" s="49"/>
      <c r="FZ115" s="49"/>
      <c r="GA115" s="49"/>
      <c r="GB115" s="49"/>
      <c r="GC115" s="49"/>
      <c r="GD115" s="49"/>
      <c r="GE115" s="49"/>
      <c r="GF115" s="49"/>
      <c r="GG115" s="49"/>
      <c r="GH115" s="49"/>
      <c r="GI115" s="49"/>
      <c r="GJ115" s="49"/>
      <c r="GK115" s="49"/>
      <c r="GL115" s="49"/>
      <c r="GM115" s="49"/>
      <c r="GN115" s="49"/>
      <c r="GO115" s="49"/>
      <c r="GP115" s="49"/>
    </row>
    <row r="116" spans="2:198" s="49" customFormat="1" ht="4.5" customHeight="1">
      <c r="B116" s="166"/>
      <c r="C116" s="142"/>
      <c r="D116" s="142"/>
      <c r="E116" s="167"/>
      <c r="F116" s="167"/>
      <c r="G116" s="168"/>
      <c r="H116" s="165"/>
      <c r="I116" s="167"/>
      <c r="J116" s="167"/>
      <c r="K116" s="168"/>
      <c r="Q116" s="1"/>
    </row>
    <row r="117" spans="2:198" s="49" customFormat="1" ht="13.9">
      <c r="B117" s="171">
        <v>12</v>
      </c>
      <c r="C117" s="172" t="s">
        <v>210</v>
      </c>
      <c r="D117" s="146"/>
      <c r="E117" s="624">
        <f>MIN(E118:E125)</f>
        <v>45929</v>
      </c>
      <c r="F117" s="625">
        <f>G117-E117</f>
        <v>70</v>
      </c>
      <c r="G117" s="624">
        <f>MAX(G118:G125)</f>
        <v>45999</v>
      </c>
      <c r="H117" s="147"/>
      <c r="I117" s="624">
        <f>MIN(I118:I125)</f>
        <v>46006</v>
      </c>
      <c r="J117" s="625">
        <f>K117-I117</f>
        <v>168</v>
      </c>
      <c r="K117" s="624">
        <f>MAX(K118:K125)</f>
        <v>46174</v>
      </c>
      <c r="L117" s="51"/>
      <c r="M117" s="287">
        <f>AVERAGE(M118:M124)</f>
        <v>0.85571428571428576</v>
      </c>
      <c r="N117" s="287">
        <f ca="1">AVERAGE(N118:N124)</f>
        <v>0.8571428571428571</v>
      </c>
      <c r="Q117" s="61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/>
      <c r="GK117" s="58"/>
      <c r="GL117" s="58"/>
      <c r="GM117" s="58"/>
      <c r="GN117" s="58"/>
      <c r="GO117" s="58"/>
      <c r="GP117" s="58"/>
    </row>
    <row r="118" spans="2:198" ht="13.9">
      <c r="B118" s="175">
        <f>B117+0.1</f>
        <v>12.1</v>
      </c>
      <c r="C118" s="170" t="s">
        <v>211</v>
      </c>
      <c r="D118" s="142"/>
      <c r="E118" s="177">
        <f>WORKDAY.INTL(E99,0,1,Data!$C$3:$C$41)</f>
        <v>45971</v>
      </c>
      <c r="F118" s="178">
        <v>5</v>
      </c>
      <c r="G118" s="177">
        <f>WORKDAY.INTL(E118,F118,1,Data!$C$3:$C$41)</f>
        <v>45978</v>
      </c>
      <c r="H118" s="165"/>
      <c r="I118" s="177">
        <f>WORKDAY.INTL(I99,0,1,Data!$C$3:$C$41)</f>
        <v>46006</v>
      </c>
      <c r="J118" s="178">
        <v>5</v>
      </c>
      <c r="K118" s="177">
        <f>WORKDAY.INTL(I118,J118,1,Data!$C$3:$C$41)</f>
        <v>46035</v>
      </c>
      <c r="M118" s="180">
        <v>1</v>
      </c>
      <c r="N118" s="180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5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  <c r="DL118" s="49"/>
      <c r="DM118" s="49"/>
      <c r="DN118" s="49"/>
      <c r="DO118" s="49"/>
      <c r="DP118" s="49"/>
      <c r="DQ118" s="49"/>
      <c r="DR118" s="49"/>
      <c r="DS118" s="49"/>
      <c r="DT118" s="49"/>
      <c r="DU118" s="49"/>
      <c r="DV118" s="49"/>
      <c r="DW118" s="49"/>
      <c r="DX118" s="49"/>
      <c r="DY118" s="49"/>
      <c r="DZ118" s="49"/>
      <c r="EA118" s="49"/>
      <c r="EB118" s="49"/>
      <c r="EC118" s="49"/>
      <c r="ED118" s="49"/>
      <c r="EE118" s="49"/>
      <c r="EF118" s="49"/>
      <c r="EG118" s="49"/>
      <c r="EH118" s="49"/>
      <c r="EI118" s="49"/>
      <c r="EJ118" s="49"/>
      <c r="EK118" s="49"/>
      <c r="EL118" s="49"/>
      <c r="EM118" s="49"/>
      <c r="EN118" s="49"/>
      <c r="EO118" s="49"/>
      <c r="EP118" s="49"/>
      <c r="EQ118" s="49"/>
      <c r="ER118" s="49"/>
      <c r="ES118" s="49"/>
      <c r="ET118" s="49"/>
      <c r="EU118" s="49"/>
      <c r="EV118" s="49"/>
      <c r="EW118" s="49"/>
      <c r="EX118" s="49"/>
      <c r="EY118" s="49"/>
      <c r="EZ118" s="49"/>
      <c r="FA118" s="49"/>
      <c r="FB118" s="49"/>
      <c r="FC118" s="49"/>
      <c r="FD118" s="49"/>
      <c r="FE118" s="49"/>
      <c r="FF118" s="49"/>
      <c r="FG118" s="49"/>
      <c r="FH118" s="49"/>
      <c r="FI118" s="49"/>
      <c r="FJ118" s="49"/>
      <c r="FK118" s="49"/>
      <c r="FL118" s="49"/>
      <c r="FM118" s="49"/>
      <c r="FN118" s="49"/>
      <c r="FO118" s="49"/>
      <c r="FP118" s="49"/>
      <c r="FQ118" s="49"/>
      <c r="FR118" s="49"/>
      <c r="FS118" s="49"/>
      <c r="FT118" s="49"/>
      <c r="FU118" s="49"/>
      <c r="FV118" s="49"/>
      <c r="FW118" s="49"/>
      <c r="FX118" s="49"/>
      <c r="FY118" s="49"/>
      <c r="FZ118" s="49"/>
      <c r="GA118" s="49"/>
      <c r="GB118" s="49"/>
      <c r="GC118" s="49"/>
      <c r="GD118" s="49"/>
      <c r="GE118" s="49"/>
      <c r="GF118" s="49"/>
      <c r="GG118" s="49"/>
      <c r="GH118" s="49"/>
      <c r="GI118" s="49"/>
      <c r="GJ118" s="49"/>
      <c r="GK118" s="49"/>
      <c r="GL118" s="49"/>
      <c r="GM118" s="49"/>
      <c r="GN118" s="49"/>
      <c r="GO118" s="49"/>
      <c r="GP118" s="49"/>
    </row>
    <row r="119" spans="2:198" ht="13.9">
      <c r="B119" s="175">
        <f t="shared" ref="B119" si="14">B118+0.1</f>
        <v>12.2</v>
      </c>
      <c r="C119" s="170" t="s">
        <v>212</v>
      </c>
      <c r="D119" s="142"/>
      <c r="E119" s="177">
        <f>WORKDAY.INTL(E111,0,1,Data!$C$3:$C$41)</f>
        <v>45929</v>
      </c>
      <c r="F119" s="178">
        <v>45</v>
      </c>
      <c r="G119" s="177">
        <f>WORKDAY.INTL(E119,F119,1,Data!$C$3:$C$41)</f>
        <v>45992</v>
      </c>
      <c r="H119" s="165"/>
      <c r="I119" s="177">
        <f>WORKDAY.INTL(I111,0,1,Data!$C$3:$C$41)</f>
        <v>46048</v>
      </c>
      <c r="J119" s="178">
        <v>19</v>
      </c>
      <c r="K119" s="177">
        <f>WORKDAY.INTL(I119,J119,1,Data!$C$3:$C$41)</f>
        <v>46073</v>
      </c>
      <c r="M119" s="180">
        <v>1</v>
      </c>
      <c r="N119" s="180">
        <f t="shared" ca="1" si="13"/>
        <v>1</v>
      </c>
      <c r="O119" s="5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  <c r="DL119" s="49"/>
      <c r="DM119" s="49"/>
      <c r="DN119" s="49"/>
      <c r="DO119" s="49"/>
      <c r="DP119" s="49"/>
      <c r="DQ119" s="49"/>
      <c r="DR119" s="49"/>
      <c r="DS119" s="49"/>
      <c r="DT119" s="49"/>
      <c r="DU119" s="49"/>
      <c r="DV119" s="49"/>
      <c r="DW119" s="49"/>
      <c r="DX119" s="49"/>
      <c r="DY119" s="49"/>
      <c r="DZ119" s="49"/>
      <c r="EA119" s="49"/>
      <c r="EB119" s="49"/>
      <c r="EC119" s="49"/>
      <c r="ED119" s="49"/>
      <c r="EE119" s="49"/>
      <c r="EF119" s="49"/>
      <c r="EG119" s="49"/>
      <c r="EH119" s="49"/>
      <c r="EI119" s="49"/>
      <c r="EJ119" s="49"/>
      <c r="EK119" s="49"/>
      <c r="EL119" s="49"/>
      <c r="EM119" s="49"/>
      <c r="EN119" s="49"/>
      <c r="EO119" s="49"/>
      <c r="EP119" s="49"/>
      <c r="EQ119" s="49"/>
      <c r="ER119" s="49"/>
      <c r="ES119" s="49"/>
      <c r="ET119" s="49"/>
      <c r="EU119" s="49"/>
      <c r="EV119" s="49"/>
      <c r="EW119" s="49"/>
      <c r="EX119" s="49"/>
      <c r="EY119" s="49"/>
      <c r="EZ119" s="49"/>
      <c r="FA119" s="49"/>
      <c r="FB119" s="49"/>
      <c r="FC119" s="49"/>
      <c r="FD119" s="49"/>
      <c r="FE119" s="49"/>
      <c r="FF119" s="49"/>
      <c r="FG119" s="49"/>
      <c r="FH119" s="49"/>
      <c r="FI119" s="49"/>
      <c r="FJ119" s="49"/>
      <c r="FK119" s="49"/>
      <c r="FL119" s="49"/>
      <c r="FM119" s="49"/>
      <c r="FN119" s="49"/>
      <c r="FO119" s="49"/>
      <c r="FP119" s="49"/>
      <c r="FQ119" s="49"/>
      <c r="FR119" s="49"/>
      <c r="FS119" s="49"/>
      <c r="FT119" s="49"/>
      <c r="FU119" s="49"/>
      <c r="FV119" s="49"/>
      <c r="FW119" s="49"/>
      <c r="FX119" s="49"/>
      <c r="FY119" s="49"/>
      <c r="FZ119" s="49"/>
      <c r="GA119" s="49"/>
      <c r="GB119" s="49"/>
      <c r="GC119" s="49"/>
      <c r="GD119" s="49"/>
      <c r="GE119" s="49"/>
      <c r="GF119" s="49"/>
      <c r="GG119" s="49"/>
      <c r="GH119" s="49"/>
      <c r="GI119" s="49"/>
      <c r="GJ119" s="49"/>
      <c r="GK119" s="49"/>
      <c r="GL119" s="49"/>
      <c r="GM119" s="49"/>
      <c r="GN119" s="49"/>
      <c r="GO119" s="49"/>
      <c r="GP119" s="49"/>
    </row>
    <row r="120" spans="2:198" ht="13.9">
      <c r="B120" s="175">
        <f>B119+0.1</f>
        <v>12.299999999999999</v>
      </c>
      <c r="C120" s="170" t="s">
        <v>213</v>
      </c>
      <c r="D120" s="142"/>
      <c r="E120" s="177">
        <f>WORKDAY.INTL(G108,0,1,Data!$C$3:$C$41)</f>
        <v>45975</v>
      </c>
      <c r="F120" s="178">
        <v>5</v>
      </c>
      <c r="G120" s="177">
        <f>WORKDAY.INTL(E120,F120,1,Data!$C$3:$C$41)</f>
        <v>45982</v>
      </c>
      <c r="H120" s="165"/>
      <c r="I120" s="177">
        <f>WORKDAY.INTL(K108,0,1,Data!$C$3:$C$41)</f>
        <v>46055</v>
      </c>
      <c r="J120" s="178">
        <v>13</v>
      </c>
      <c r="K120" s="177">
        <f>WORKDAY.INTL(I120,J120,1,Data!$C$3:$C$41)</f>
        <v>46072</v>
      </c>
      <c r="M120" s="180">
        <v>1</v>
      </c>
      <c r="N120" s="180">
        <f t="shared" ca="1" si="13"/>
        <v>1</v>
      </c>
      <c r="O120" s="5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  <c r="CW120" s="49"/>
      <c r="CX120" s="49"/>
      <c r="CY120" s="49"/>
      <c r="CZ120" s="49"/>
      <c r="DA120" s="49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  <c r="DL120" s="49"/>
      <c r="DM120" s="49"/>
      <c r="DN120" s="49"/>
      <c r="DO120" s="49"/>
      <c r="DP120" s="49"/>
      <c r="DQ120" s="49"/>
      <c r="DR120" s="49"/>
      <c r="DS120" s="49"/>
      <c r="DT120" s="49"/>
      <c r="DU120" s="49"/>
      <c r="DV120" s="49"/>
      <c r="DW120" s="49"/>
      <c r="DX120" s="49"/>
      <c r="DY120" s="49"/>
      <c r="DZ120" s="49"/>
      <c r="EA120" s="49"/>
      <c r="EB120" s="49"/>
      <c r="EC120" s="49"/>
      <c r="ED120" s="49"/>
      <c r="EE120" s="49"/>
      <c r="EF120" s="49"/>
      <c r="EG120" s="49"/>
      <c r="EH120" s="49"/>
      <c r="EI120" s="49"/>
      <c r="EJ120" s="49"/>
      <c r="EK120" s="49"/>
      <c r="EL120" s="49"/>
      <c r="EM120" s="49"/>
      <c r="EN120" s="49"/>
      <c r="EO120" s="49"/>
      <c r="EP120" s="49"/>
      <c r="EQ120" s="49"/>
      <c r="ER120" s="49"/>
      <c r="ES120" s="49"/>
      <c r="ET120" s="49"/>
      <c r="EU120" s="49"/>
      <c r="EV120" s="49"/>
      <c r="EW120" s="49"/>
      <c r="EX120" s="49"/>
      <c r="EY120" s="49"/>
      <c r="EZ120" s="49"/>
      <c r="FA120" s="49"/>
      <c r="FB120" s="49"/>
      <c r="FC120" s="49"/>
      <c r="FD120" s="49"/>
      <c r="FE120" s="49"/>
      <c r="FF120" s="49"/>
      <c r="FG120" s="49"/>
      <c r="FH120" s="49"/>
      <c r="FI120" s="49"/>
      <c r="FJ120" s="49"/>
      <c r="FK120" s="49"/>
      <c r="FL120" s="49"/>
      <c r="FM120" s="49"/>
      <c r="FN120" s="49"/>
      <c r="FO120" s="49"/>
      <c r="FP120" s="49"/>
      <c r="FQ120" s="49"/>
      <c r="FR120" s="49"/>
      <c r="FS120" s="49"/>
      <c r="FT120" s="49"/>
      <c r="FU120" s="49"/>
      <c r="FV120" s="49"/>
      <c r="FW120" s="49"/>
      <c r="FX120" s="49"/>
      <c r="FY120" s="49"/>
      <c r="FZ120" s="49"/>
      <c r="GA120" s="49"/>
      <c r="GB120" s="49"/>
      <c r="GC120" s="49"/>
      <c r="GD120" s="49"/>
      <c r="GE120" s="49"/>
      <c r="GF120" s="49"/>
      <c r="GG120" s="49"/>
      <c r="GH120" s="49"/>
      <c r="GI120" s="49"/>
      <c r="GJ120" s="49"/>
      <c r="GK120" s="49"/>
      <c r="GL120" s="49"/>
      <c r="GM120" s="49"/>
      <c r="GN120" s="49"/>
      <c r="GO120" s="49"/>
      <c r="GP120" s="49"/>
    </row>
    <row r="121" spans="2:198" ht="13.9">
      <c r="B121" s="175">
        <f>B120+0.1</f>
        <v>12.399999999999999</v>
      </c>
      <c r="C121" s="170" t="s">
        <v>214</v>
      </c>
      <c r="D121" s="142"/>
      <c r="E121" s="177"/>
      <c r="F121" s="178"/>
      <c r="G121" s="177"/>
      <c r="H121" s="165"/>
      <c r="I121" s="177">
        <v>46080</v>
      </c>
      <c r="J121" s="178">
        <v>0</v>
      </c>
      <c r="K121" s="177">
        <f>WORKDAY.INTL(I121,J121,1,Data!$C$3:$C$41)</f>
        <v>46080</v>
      </c>
      <c r="M121" s="180">
        <v>1</v>
      </c>
      <c r="N121" s="180">
        <v>1</v>
      </c>
      <c r="O121" s="5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9"/>
      <c r="DV121" s="49"/>
      <c r="DW121" s="49"/>
      <c r="DX121" s="49"/>
      <c r="DY121" s="49"/>
      <c r="DZ121" s="49"/>
      <c r="EA121" s="49"/>
      <c r="EB121" s="49"/>
      <c r="EC121" s="49"/>
      <c r="ED121" s="49"/>
      <c r="EE121" s="49"/>
      <c r="EF121" s="49"/>
      <c r="EG121" s="49"/>
      <c r="EH121" s="49"/>
      <c r="EI121" s="49"/>
      <c r="EJ121" s="49"/>
      <c r="EK121" s="49"/>
      <c r="EL121" s="49"/>
      <c r="EM121" s="49"/>
      <c r="EN121" s="49"/>
      <c r="EO121" s="49"/>
      <c r="EP121" s="49"/>
      <c r="EQ121" s="49"/>
      <c r="ER121" s="49"/>
      <c r="ES121" s="49"/>
      <c r="ET121" s="49"/>
      <c r="EU121" s="49"/>
      <c r="EV121" s="49"/>
      <c r="EW121" s="49"/>
      <c r="EX121" s="49"/>
      <c r="EY121" s="49"/>
      <c r="EZ121" s="49"/>
      <c r="FA121" s="49"/>
      <c r="FB121" s="49"/>
      <c r="FC121" s="49"/>
      <c r="FD121" s="49"/>
      <c r="FE121" s="49"/>
      <c r="FF121" s="49"/>
      <c r="FG121" s="49"/>
      <c r="FH121" s="49"/>
      <c r="FI121" s="49"/>
      <c r="FJ121" s="49"/>
      <c r="FK121" s="49"/>
      <c r="FL121" s="49"/>
      <c r="FM121" s="49"/>
      <c r="FN121" s="49"/>
      <c r="FO121" s="49"/>
      <c r="FP121" s="49"/>
      <c r="FQ121" s="49"/>
      <c r="FR121" s="49"/>
      <c r="FS121" s="49"/>
      <c r="FT121" s="49"/>
      <c r="FU121" s="49"/>
      <c r="FV121" s="49"/>
      <c r="FW121" s="49"/>
      <c r="FX121" s="49"/>
      <c r="FY121" s="49"/>
      <c r="FZ121" s="49"/>
      <c r="GA121" s="49"/>
      <c r="GB121" s="49"/>
      <c r="GC121" s="49"/>
      <c r="GD121" s="49"/>
      <c r="GE121" s="49"/>
      <c r="GF121" s="49"/>
      <c r="GG121" s="49"/>
      <c r="GH121" s="49"/>
      <c r="GI121" s="49"/>
      <c r="GJ121" s="49"/>
      <c r="GK121" s="49"/>
      <c r="GL121" s="49"/>
      <c r="GM121" s="49"/>
      <c r="GN121" s="49"/>
      <c r="GO121" s="49"/>
      <c r="GP121" s="49"/>
    </row>
    <row r="122" spans="2:198" ht="13.9">
      <c r="B122" s="175">
        <f>B121+0.1</f>
        <v>12.499999999999998</v>
      </c>
      <c r="C122" s="170" t="s">
        <v>215</v>
      </c>
      <c r="D122" s="142"/>
      <c r="E122" s="177">
        <f>WORKDAY.INTL(E118,0,1,Data!$C$3:$C$41)</f>
        <v>45971</v>
      </c>
      <c r="F122" s="178">
        <v>15</v>
      </c>
      <c r="G122" s="177">
        <f>WORKDAY.INTL(E122,F122,1,Data!$C$3:$C$41)</f>
        <v>45992</v>
      </c>
      <c r="H122" s="165"/>
      <c r="I122" s="177">
        <f>WORKDAY.INTL(I110,0,1,Data!$C$3:$C$41)</f>
        <v>46048</v>
      </c>
      <c r="J122" s="178">
        <v>32</v>
      </c>
      <c r="K122" s="177">
        <f>WORKDAY.INTL(I122,J122,1,Data!$C$3:$C$41)</f>
        <v>46092</v>
      </c>
      <c r="M122" s="180">
        <v>0.99</v>
      </c>
      <c r="N122" s="180">
        <f t="shared" ca="1" si="13"/>
        <v>1</v>
      </c>
      <c r="O122" s="59" t="s">
        <v>877</v>
      </c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  <c r="DL122" s="49"/>
      <c r="DM122" s="49"/>
      <c r="DN122" s="49"/>
      <c r="DO122" s="49"/>
      <c r="DP122" s="49"/>
      <c r="DQ122" s="49"/>
      <c r="DR122" s="49"/>
      <c r="DS122" s="49"/>
      <c r="DT122" s="49"/>
      <c r="DU122" s="49"/>
      <c r="DV122" s="49"/>
      <c r="DW122" s="49"/>
      <c r="DX122" s="49"/>
      <c r="DY122" s="49"/>
      <c r="DZ122" s="49"/>
      <c r="EA122" s="49"/>
      <c r="EB122" s="49"/>
      <c r="EC122" s="49"/>
      <c r="ED122" s="49"/>
      <c r="EE122" s="49"/>
      <c r="EF122" s="49"/>
      <c r="EG122" s="49"/>
      <c r="EH122" s="49"/>
      <c r="EI122" s="49"/>
      <c r="EJ122" s="49"/>
      <c r="EK122" s="49"/>
      <c r="EL122" s="49"/>
      <c r="EM122" s="49"/>
      <c r="EN122" s="49"/>
      <c r="EO122" s="49"/>
      <c r="EP122" s="49"/>
      <c r="EQ122" s="49"/>
      <c r="ER122" s="49"/>
      <c r="ES122" s="49"/>
      <c r="ET122" s="49"/>
      <c r="EU122" s="49"/>
      <c r="EV122" s="49"/>
      <c r="EW122" s="49"/>
      <c r="EX122" s="49"/>
      <c r="EY122" s="49"/>
      <c r="EZ122" s="49"/>
      <c r="FA122" s="49"/>
      <c r="FB122" s="49"/>
      <c r="FC122" s="49"/>
      <c r="FD122" s="49"/>
      <c r="FE122" s="49"/>
      <c r="FF122" s="49"/>
      <c r="FG122" s="49"/>
      <c r="FH122" s="49"/>
      <c r="FI122" s="49"/>
      <c r="FJ122" s="49"/>
      <c r="FK122" s="49"/>
      <c r="FL122" s="49"/>
      <c r="FM122" s="49"/>
      <c r="FN122" s="49"/>
      <c r="FO122" s="49"/>
      <c r="FP122" s="49"/>
      <c r="FQ122" s="49"/>
      <c r="FR122" s="49"/>
      <c r="FS122" s="49"/>
      <c r="FT122" s="49"/>
      <c r="FU122" s="49"/>
      <c r="FV122" s="49"/>
      <c r="FW122" s="49"/>
      <c r="FX122" s="49"/>
      <c r="FY122" s="49"/>
      <c r="FZ122" s="49"/>
      <c r="GA122" s="49"/>
      <c r="GB122" s="49"/>
      <c r="GC122" s="49"/>
      <c r="GD122" s="49"/>
      <c r="GE122" s="49"/>
      <c r="GF122" s="49"/>
      <c r="GG122" s="49"/>
      <c r="GH122" s="49"/>
      <c r="GI122" s="49"/>
      <c r="GJ122" s="49"/>
      <c r="GK122" s="49"/>
      <c r="GL122" s="49"/>
      <c r="GM122" s="49"/>
      <c r="GN122" s="49"/>
      <c r="GO122" s="49"/>
      <c r="GP122" s="49"/>
    </row>
    <row r="123" spans="2:198" ht="13.9">
      <c r="B123" s="175">
        <f>B122+0.1</f>
        <v>12.599999999999998</v>
      </c>
      <c r="C123" s="170" t="s">
        <v>216</v>
      </c>
      <c r="D123" s="142"/>
      <c r="E123" s="177">
        <f>WORKDAY.INTL(G122,0,1,Data!$C$3:$C$41)</f>
        <v>45992</v>
      </c>
      <c r="F123" s="178">
        <v>2</v>
      </c>
      <c r="G123" s="177">
        <f>WORKDAY.INTL(E123,F123,1,Data!$C$3:$C$41)</f>
        <v>45994</v>
      </c>
      <c r="H123" s="165"/>
      <c r="I123" s="177">
        <v>46087</v>
      </c>
      <c r="J123" s="178">
        <v>1</v>
      </c>
      <c r="K123" s="177">
        <f>WORKDAY.INTL(I123,J123,1,Data!$C$3:$C$41)</f>
        <v>46090</v>
      </c>
      <c r="M123" s="180">
        <v>1</v>
      </c>
      <c r="N123" s="180">
        <f t="shared" ca="1" si="13"/>
        <v>1</v>
      </c>
      <c r="O123" s="5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  <c r="DL123" s="49"/>
      <c r="DM123" s="49"/>
      <c r="DN123" s="49"/>
      <c r="DO123" s="49"/>
      <c r="DP123" s="49"/>
      <c r="DQ123" s="49"/>
      <c r="DR123" s="49"/>
      <c r="DS123" s="49"/>
      <c r="DT123" s="49"/>
      <c r="DU123" s="49"/>
      <c r="DV123" s="49"/>
      <c r="DW123" s="49"/>
      <c r="DX123" s="49"/>
      <c r="DY123" s="49"/>
      <c r="DZ123" s="49"/>
      <c r="EA123" s="49"/>
      <c r="EB123" s="49"/>
      <c r="EC123" s="49"/>
      <c r="ED123" s="49"/>
      <c r="EE123" s="49"/>
      <c r="EF123" s="49"/>
      <c r="EG123" s="49"/>
      <c r="EH123" s="49"/>
      <c r="EI123" s="49"/>
      <c r="EJ123" s="49"/>
      <c r="EK123" s="49"/>
      <c r="EL123" s="49"/>
      <c r="EM123" s="49"/>
      <c r="EN123" s="49"/>
      <c r="EO123" s="49"/>
      <c r="EP123" s="49"/>
      <c r="EQ123" s="49"/>
      <c r="ER123" s="49"/>
      <c r="ES123" s="49"/>
      <c r="ET123" s="49"/>
      <c r="EU123" s="49"/>
      <c r="EV123" s="49"/>
      <c r="EW123" s="49"/>
      <c r="EX123" s="49"/>
      <c r="EY123" s="49"/>
      <c r="EZ123" s="49"/>
      <c r="FA123" s="49"/>
      <c r="FB123" s="49"/>
      <c r="FC123" s="49"/>
      <c r="FD123" s="49"/>
      <c r="FE123" s="49"/>
      <c r="FF123" s="49"/>
      <c r="FG123" s="49"/>
      <c r="FH123" s="49"/>
      <c r="FI123" s="49"/>
      <c r="FJ123" s="49"/>
      <c r="FK123" s="49"/>
      <c r="FL123" s="49"/>
      <c r="FM123" s="49"/>
      <c r="FN123" s="49"/>
      <c r="FO123" s="49"/>
      <c r="FP123" s="49"/>
      <c r="FQ123" s="49"/>
      <c r="FR123" s="49"/>
      <c r="FS123" s="49"/>
      <c r="FT123" s="49"/>
      <c r="FU123" s="49"/>
      <c r="FV123" s="49"/>
      <c r="FW123" s="49"/>
      <c r="FX123" s="49"/>
      <c r="FY123" s="49"/>
      <c r="FZ123" s="49"/>
      <c r="GA123" s="49"/>
      <c r="GB123" s="49"/>
      <c r="GC123" s="49"/>
      <c r="GD123" s="49"/>
      <c r="GE123" s="49"/>
      <c r="GF123" s="49"/>
      <c r="GG123" s="49"/>
      <c r="GH123" s="49"/>
      <c r="GI123" s="49"/>
      <c r="GJ123" s="49"/>
      <c r="GK123" s="49"/>
      <c r="GL123" s="49"/>
      <c r="GM123" s="49"/>
      <c r="GN123" s="49"/>
      <c r="GO123" s="49"/>
      <c r="GP123" s="49"/>
    </row>
    <row r="124" spans="2:198" ht="13.9">
      <c r="B124" s="175">
        <f>B123+0.1</f>
        <v>12.699999999999998</v>
      </c>
      <c r="C124" s="170" t="s">
        <v>217</v>
      </c>
      <c r="D124" s="142"/>
      <c r="E124" s="177">
        <f>WORKDAY.INTL(G122,0,1,Data!$C$3:$C$41)</f>
        <v>45992</v>
      </c>
      <c r="F124" s="178">
        <v>5</v>
      </c>
      <c r="G124" s="177">
        <f>WORKDAY.INTL(E124,F124,1,Data!$C$3:$C$41)</f>
        <v>45999</v>
      </c>
      <c r="H124" s="165"/>
      <c r="I124" s="177">
        <v>46170</v>
      </c>
      <c r="J124" s="178">
        <v>5</v>
      </c>
      <c r="K124" s="177">
        <f>K132+7</f>
        <v>46174</v>
      </c>
      <c r="M124" s="180">
        <v>0</v>
      </c>
      <c r="N124" s="180">
        <f t="shared" ca="1" si="13"/>
        <v>0</v>
      </c>
      <c r="O124" s="59" t="s">
        <v>878</v>
      </c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  <c r="DL124" s="49"/>
      <c r="DM124" s="49"/>
      <c r="DN124" s="49"/>
      <c r="DO124" s="49"/>
      <c r="DP124" s="49"/>
      <c r="DQ124" s="49"/>
      <c r="DR124" s="49"/>
      <c r="DS124" s="49"/>
      <c r="DT124" s="49"/>
      <c r="DU124" s="49"/>
      <c r="DV124" s="49"/>
      <c r="DW124" s="49"/>
      <c r="DX124" s="49"/>
      <c r="DY124" s="49"/>
      <c r="DZ124" s="49"/>
      <c r="EA124" s="49"/>
      <c r="EB124" s="49"/>
      <c r="EC124" s="49"/>
      <c r="ED124" s="49"/>
      <c r="EE124" s="49"/>
      <c r="EF124" s="49"/>
      <c r="EG124" s="49"/>
      <c r="EH124" s="49"/>
      <c r="EI124" s="49"/>
      <c r="EJ124" s="49"/>
      <c r="EK124" s="49"/>
      <c r="EL124" s="49"/>
      <c r="EM124" s="49"/>
      <c r="EN124" s="49"/>
      <c r="EO124" s="49"/>
      <c r="EP124" s="49"/>
      <c r="EQ124" s="49"/>
      <c r="ER124" s="49"/>
      <c r="ES124" s="49"/>
      <c r="ET124" s="49"/>
      <c r="EU124" s="49"/>
      <c r="EV124" s="49"/>
      <c r="EW124" s="49"/>
      <c r="EX124" s="49"/>
      <c r="EY124" s="49"/>
      <c r="EZ124" s="49"/>
      <c r="FA124" s="49"/>
      <c r="FB124" s="49"/>
      <c r="FC124" s="49"/>
      <c r="FD124" s="49"/>
      <c r="FE124" s="49"/>
      <c r="FF124" s="49"/>
      <c r="FG124" s="49"/>
      <c r="FH124" s="49"/>
      <c r="FI124" s="49"/>
      <c r="FJ124" s="49"/>
      <c r="FK124" s="49"/>
      <c r="FL124" s="49"/>
      <c r="FM124" s="49"/>
      <c r="FN124" s="49"/>
      <c r="FO124" s="49"/>
      <c r="FP124" s="49"/>
      <c r="FQ124" s="49"/>
      <c r="FR124" s="49"/>
      <c r="FS124" s="49"/>
      <c r="FT124" s="49"/>
      <c r="FU124" s="49"/>
      <c r="FV124" s="49"/>
      <c r="FW124" s="49"/>
      <c r="FX124" s="49"/>
      <c r="FY124" s="49"/>
      <c r="FZ124" s="49"/>
      <c r="GA124" s="49"/>
      <c r="GB124" s="49"/>
      <c r="GC124" s="49"/>
      <c r="GD124" s="49"/>
      <c r="GE124" s="49"/>
      <c r="GF124" s="49"/>
      <c r="GG124" s="49"/>
      <c r="GH124" s="49"/>
      <c r="GI124" s="49"/>
      <c r="GJ124" s="49"/>
      <c r="GK124" s="49"/>
      <c r="GL124" s="49"/>
      <c r="GM124" s="49"/>
      <c r="GN124" s="49"/>
      <c r="GO124" s="49"/>
      <c r="GP124" s="49"/>
    </row>
    <row r="125" spans="2:198" s="49" customFormat="1" ht="4.5" customHeight="1">
      <c r="B125" s="166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Q125" s="61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8"/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/>
      <c r="GK125" s="58"/>
      <c r="GL125" s="58"/>
      <c r="GM125" s="58"/>
      <c r="GN125" s="58"/>
      <c r="GO125" s="58"/>
      <c r="GP125" s="58"/>
    </row>
    <row r="126" spans="2:198" s="1" customFormat="1">
      <c r="B126" s="96"/>
      <c r="E126" s="97"/>
      <c r="F126" s="46"/>
      <c r="J126" s="46"/>
    </row>
    <row r="127" spans="2:198" ht="13.9">
      <c r="B127" s="171"/>
      <c r="C127" s="172" t="s">
        <v>218</v>
      </c>
      <c r="E127" s="49"/>
      <c r="G127" s="50"/>
    </row>
    <row r="128" spans="2:198" ht="13.9">
      <c r="B128" s="175" t="s">
        <v>219</v>
      </c>
      <c r="C128" s="170" t="s">
        <v>220</v>
      </c>
      <c r="E128" s="49"/>
      <c r="G128" s="50"/>
      <c r="I128" s="177">
        <v>46135</v>
      </c>
      <c r="J128" s="178">
        <v>36</v>
      </c>
      <c r="K128" s="177">
        <f>WORKDAY.INTL(I128,J128,1,Data!$C$3:$C$41)</f>
        <v>46185</v>
      </c>
      <c r="M128" s="180">
        <v>0.1</v>
      </c>
      <c r="N128" s="180">
        <f t="shared" ref="N128" ca="1" si="15">_xlfn.LET(
  _xlpm.s,VALUE(I128),
  _xlpm.e,VALUE(K128),
  IF(OR(_xlpm.s="",_xlpm.e=""),"", IF(_xlpm.e&lt;=_xlpm.s, IF(TODAY()&gt;=_xlpm.e,1,0), MAX(0,MIN(1,(TODAY()-_xlpm.s)/(_xlpm.e-_xlpm.s)))))
)</f>
        <v>0.5</v>
      </c>
      <c r="O128" s="59" t="s">
        <v>875</v>
      </c>
    </row>
    <row r="129" spans="2:15" ht="13.9">
      <c r="B129" s="175" t="s">
        <v>221</v>
      </c>
      <c r="C129" s="761" t="s">
        <v>222</v>
      </c>
      <c r="D129" s="752"/>
      <c r="E129" s="752"/>
      <c r="F129" s="811"/>
      <c r="G129" s="812"/>
      <c r="H129" s="752"/>
      <c r="I129" s="681"/>
      <c r="J129" s="682"/>
      <c r="K129" s="681"/>
      <c r="M129" s="180">
        <v>0</v>
      </c>
      <c r="N129" s="180"/>
      <c r="O129" s="59" t="s">
        <v>876</v>
      </c>
    </row>
    <row r="130" spans="2:15" ht="13.9">
      <c r="B130" s="175" t="s">
        <v>223</v>
      </c>
      <c r="C130" s="170" t="s">
        <v>224</v>
      </c>
      <c r="E130" s="49"/>
      <c r="G130" s="50"/>
      <c r="I130" s="177">
        <v>46140</v>
      </c>
      <c r="J130" s="178">
        <v>12</v>
      </c>
      <c r="K130" s="177">
        <f>WORKDAY.INTL(I130,J130,1,Data!$C$3:$C$41)</f>
        <v>46156</v>
      </c>
      <c r="M130" s="180">
        <v>0.99</v>
      </c>
      <c r="N130" s="180">
        <f t="shared" ref="N130" ca="1" si="16">_xlfn.LET(
  _xlpm.s,VALUE(I130),
  _xlpm.e,VALUE(K130),
  IF(OR(_xlpm.s="",_xlpm.e=""),"", IF(_xlpm.e&lt;=_xlpm.s, IF(TODAY()&gt;=_xlpm.e,1,0), MAX(0,MIN(1,(TODAY()-_xlpm.s)/(_xlpm.e-_xlpm.s)))))
)</f>
        <v>1</v>
      </c>
      <c r="O130" s="59" t="s">
        <v>225</v>
      </c>
    </row>
    <row r="131" spans="2:15" ht="13.9">
      <c r="B131" s="175" t="s">
        <v>226</v>
      </c>
      <c r="C131" s="815" t="s">
        <v>227</v>
      </c>
      <c r="D131" s="4"/>
      <c r="F131" s="816"/>
      <c r="H131" s="4"/>
      <c r="I131" s="569">
        <v>46142</v>
      </c>
      <c r="J131" s="695">
        <v>40</v>
      </c>
      <c r="K131" s="569">
        <f>WORKDAY.INTL(I131,J131,1,Data!$C$3:$C$41)</f>
        <v>46198</v>
      </c>
      <c r="M131" s="180">
        <v>0.32</v>
      </c>
      <c r="N131" s="180">
        <f t="shared" ref="N131:N135" ca="1" si="17">_xlfn.LET(
  _xlpm.s,VALUE(I131),
  _xlpm.e,VALUE(K131),
  IF(OR(_xlpm.s="",_xlpm.e=""),"", IF(_xlpm.e&lt;=_xlpm.s, IF(TODAY()&gt;=_xlpm.e,1,0), MAX(0,MIN(1,(TODAY()-_xlpm.s)/(_xlpm.e-_xlpm.s)))))
)</f>
        <v>0.32142857142857145</v>
      </c>
      <c r="O131" s="59" t="s">
        <v>228</v>
      </c>
    </row>
    <row r="132" spans="2:15" ht="13.9">
      <c r="B132" s="175" t="s">
        <v>229</v>
      </c>
      <c r="C132" s="170" t="s">
        <v>230</v>
      </c>
      <c r="E132" s="49"/>
      <c r="G132" s="50"/>
      <c r="I132" s="177">
        <v>46163</v>
      </c>
      <c r="J132" s="178">
        <v>2</v>
      </c>
      <c r="K132" s="177">
        <f>WORKDAY.INTL(I132,J132,1,Data!$C$3:$C$41)</f>
        <v>46167</v>
      </c>
      <c r="M132" s="180">
        <v>0</v>
      </c>
      <c r="N132" s="180">
        <f t="shared" ca="1" si="17"/>
        <v>0</v>
      </c>
      <c r="O132" s="59" t="s">
        <v>879</v>
      </c>
    </row>
    <row r="133" spans="2:15" ht="13.9">
      <c r="B133" s="175" t="s">
        <v>231</v>
      </c>
      <c r="C133" s="761" t="s">
        <v>232</v>
      </c>
      <c r="E133" s="49"/>
      <c r="G133" s="50"/>
      <c r="I133" s="177">
        <f>K131</f>
        <v>46198</v>
      </c>
      <c r="J133" s="178">
        <v>2</v>
      </c>
      <c r="K133" s="177">
        <f>WORKDAY.INTL(I133,J133,1,Data!$C$3:$C$41)</f>
        <v>46202</v>
      </c>
      <c r="M133" s="180">
        <v>0</v>
      </c>
      <c r="N133" s="180">
        <f t="shared" ca="1" si="17"/>
        <v>0</v>
      </c>
      <c r="O133" s="59" t="s">
        <v>233</v>
      </c>
    </row>
    <row r="134" spans="2:15" ht="13.9">
      <c r="B134" s="175" t="s">
        <v>234</v>
      </c>
      <c r="C134" s="170" t="s">
        <v>235</v>
      </c>
      <c r="E134" s="49"/>
      <c r="G134" s="50"/>
      <c r="I134" s="177">
        <v>46125</v>
      </c>
      <c r="J134" s="178">
        <v>23</v>
      </c>
      <c r="K134" s="177">
        <f>WORKDAY.INTL(I134,J134,1,Data!$C$3:$C$41)</f>
        <v>46156</v>
      </c>
      <c r="M134" s="180">
        <v>0.95</v>
      </c>
      <c r="N134" s="180">
        <f t="shared" ca="1" si="17"/>
        <v>1</v>
      </c>
      <c r="O134" s="59" t="s">
        <v>874</v>
      </c>
    </row>
    <row r="135" spans="2:15" ht="13.9">
      <c r="B135" s="175" t="s">
        <v>236</v>
      </c>
      <c r="C135" s="170" t="s">
        <v>237</v>
      </c>
      <c r="E135" s="49"/>
      <c r="G135" s="50"/>
      <c r="I135" s="177">
        <v>46113</v>
      </c>
      <c r="J135" s="178">
        <v>5</v>
      </c>
      <c r="K135" s="177">
        <v>46119</v>
      </c>
      <c r="M135" s="180">
        <v>1</v>
      </c>
      <c r="N135" s="180">
        <f t="shared" ca="1" si="17"/>
        <v>1</v>
      </c>
      <c r="O135" s="59"/>
    </row>
    <row r="136" spans="2:15">
      <c r="B136" s="94"/>
      <c r="C136" s="49"/>
      <c r="E136" s="49"/>
      <c r="G136" s="50"/>
    </row>
    <row r="137" spans="2:15">
      <c r="B137" s="94"/>
      <c r="C137" s="49"/>
      <c r="E137" s="49"/>
      <c r="G137" s="50"/>
    </row>
    <row r="138" spans="2:15">
      <c r="B138" s="94"/>
      <c r="C138" s="49"/>
      <c r="E138" s="49"/>
      <c r="G138" s="50"/>
    </row>
    <row r="139" spans="2:15">
      <c r="B139" s="94"/>
      <c r="C139" s="49"/>
      <c r="E139" s="49"/>
      <c r="G139" s="50"/>
    </row>
    <row r="140" spans="2:15">
      <c r="B140" s="94"/>
      <c r="C140" s="49"/>
      <c r="E140" s="49"/>
      <c r="G140" s="50"/>
    </row>
    <row r="141" spans="2:15">
      <c r="B141" s="94"/>
      <c r="C141" s="49"/>
      <c r="E141" s="49"/>
      <c r="G141" s="50"/>
    </row>
    <row r="142" spans="2:15">
      <c r="B142" s="94"/>
      <c r="C142" s="49"/>
      <c r="E142" s="49"/>
      <c r="G142" s="50"/>
    </row>
    <row r="143" spans="2:15">
      <c r="B143" s="94"/>
      <c r="C143" s="49"/>
      <c r="E143" s="49"/>
      <c r="G143" s="50"/>
    </row>
    <row r="144" spans="2:15">
      <c r="B144" s="94"/>
      <c r="C144" s="49"/>
      <c r="E144" s="49"/>
      <c r="G144" s="50"/>
    </row>
    <row r="145" spans="2:7">
      <c r="B145" s="94"/>
      <c r="C145" s="49"/>
      <c r="E145" s="49"/>
      <c r="G145" s="50"/>
    </row>
    <row r="146" spans="2:7">
      <c r="B146" s="94"/>
      <c r="C146" s="49"/>
      <c r="E146" s="49"/>
      <c r="G146" s="50"/>
    </row>
    <row r="147" spans="2:7">
      <c r="B147" s="94"/>
      <c r="C147" s="49"/>
      <c r="E147" s="49"/>
      <c r="G147" s="50"/>
    </row>
    <row r="148" spans="2:7">
      <c r="B148" s="94"/>
      <c r="C148" s="49"/>
      <c r="E148" s="49"/>
      <c r="G148" s="50"/>
    </row>
    <row r="149" spans="2:7">
      <c r="B149" s="94"/>
      <c r="C149" s="49"/>
      <c r="E149" s="49"/>
      <c r="G149" s="50"/>
    </row>
    <row r="150" spans="2:7">
      <c r="B150" s="94"/>
      <c r="C150" s="49"/>
      <c r="E150" s="49"/>
      <c r="G150" s="50"/>
    </row>
    <row r="151" spans="2:7">
      <c r="B151" s="94"/>
      <c r="C151" s="49"/>
      <c r="E151" s="800" t="s">
        <v>238</v>
      </c>
      <c r="G151" s="50"/>
    </row>
    <row r="152" spans="2:7">
      <c r="B152" s="94"/>
      <c r="C152" s="49"/>
      <c r="E152" s="800" t="s">
        <v>239</v>
      </c>
      <c r="G152" s="50"/>
    </row>
    <row r="153" spans="2:7">
      <c r="B153" s="94"/>
      <c r="C153" s="49"/>
      <c r="E153" s="800" t="s">
        <v>240</v>
      </c>
      <c r="G153" s="50"/>
    </row>
    <row r="154" spans="2:7">
      <c r="B154" s="94"/>
      <c r="C154" s="49"/>
      <c r="E154" s="49"/>
      <c r="G154" s="50"/>
    </row>
    <row r="155" spans="2:7">
      <c r="B155" s="94"/>
      <c r="C155" s="49"/>
      <c r="E155" s="49"/>
      <c r="G155" s="50"/>
    </row>
    <row r="156" spans="2:7">
      <c r="B156" s="94"/>
      <c r="C156" s="49"/>
      <c r="E156" s="49"/>
      <c r="G156" s="50"/>
    </row>
    <row r="157" spans="2:7">
      <c r="B157" s="94"/>
      <c r="C157" s="49"/>
      <c r="E157" s="49"/>
      <c r="G157" s="50"/>
    </row>
    <row r="158" spans="2:7">
      <c r="B158" s="94"/>
      <c r="C158" s="49"/>
      <c r="E158" s="49"/>
      <c r="G158" s="50"/>
    </row>
    <row r="159" spans="2:7">
      <c r="B159" s="94"/>
      <c r="C159" s="49"/>
      <c r="E159" s="49"/>
      <c r="G159" s="50"/>
    </row>
    <row r="160" spans="2:7">
      <c r="B160" s="94"/>
      <c r="C160" s="49"/>
      <c r="E160" s="49"/>
      <c r="G160" s="50"/>
    </row>
    <row r="161" spans="2:7">
      <c r="B161" s="94"/>
      <c r="C161" s="49"/>
      <c r="E161" s="49"/>
      <c r="G161" s="50"/>
    </row>
    <row r="162" spans="2:7">
      <c r="B162" s="94"/>
      <c r="C162" s="49"/>
      <c r="E162" s="49"/>
      <c r="G162" s="50"/>
    </row>
    <row r="163" spans="2:7">
      <c r="B163" s="94"/>
      <c r="C163" s="49"/>
      <c r="E163" s="49"/>
      <c r="G163" s="50"/>
    </row>
    <row r="164" spans="2:7">
      <c r="B164" s="94"/>
      <c r="C164" s="49"/>
      <c r="E164" s="49"/>
      <c r="G164" s="50"/>
    </row>
    <row r="165" spans="2:7">
      <c r="B165" s="94"/>
      <c r="C165" s="49"/>
      <c r="E165" s="49"/>
      <c r="G165" s="50"/>
    </row>
    <row r="166" spans="2:7">
      <c r="B166" s="94"/>
      <c r="C166" s="49"/>
      <c r="E166" s="49"/>
      <c r="G166" s="50"/>
    </row>
    <row r="167" spans="2:7">
      <c r="B167" s="94"/>
      <c r="C167" s="49"/>
      <c r="E167" s="49"/>
      <c r="G167" s="50"/>
    </row>
    <row r="168" spans="2:7">
      <c r="B168" s="94"/>
      <c r="C168" s="49"/>
      <c r="E168" s="49"/>
      <c r="G168" s="50"/>
    </row>
    <row r="169" spans="2:7">
      <c r="B169" s="94"/>
      <c r="C169" s="49"/>
      <c r="E169" s="49"/>
      <c r="G169" s="50"/>
    </row>
    <row r="170" spans="2:7">
      <c r="B170" s="94"/>
      <c r="C170" s="49"/>
      <c r="E170" s="49"/>
      <c r="G170" s="50"/>
    </row>
    <row r="171" spans="2:7">
      <c r="B171" s="94"/>
      <c r="C171" s="49"/>
      <c r="E171" s="49"/>
      <c r="G171" s="50"/>
    </row>
    <row r="172" spans="2:7">
      <c r="B172" s="94"/>
      <c r="C172" s="49"/>
      <c r="E172" s="49"/>
      <c r="G172" s="50"/>
    </row>
    <row r="173" spans="2:7">
      <c r="B173" s="94"/>
      <c r="C173" s="49"/>
      <c r="E173" s="49"/>
      <c r="G173" s="50"/>
    </row>
    <row r="174" spans="2:7">
      <c r="B174" s="94"/>
      <c r="C174" s="49"/>
      <c r="E174" s="49"/>
      <c r="G174" s="50"/>
    </row>
    <row r="175" spans="2:7">
      <c r="B175" s="94"/>
      <c r="C175" s="49"/>
      <c r="E175" s="49"/>
      <c r="G175" s="50"/>
    </row>
    <row r="176" spans="2:7">
      <c r="B176" s="94"/>
      <c r="C176" s="49"/>
      <c r="E176" s="49"/>
      <c r="G176" s="50"/>
    </row>
    <row r="177" spans="2:7">
      <c r="B177" s="94"/>
      <c r="C177" s="49"/>
      <c r="E177" s="49"/>
      <c r="G177" s="50"/>
    </row>
    <row r="178" spans="2:7">
      <c r="B178" s="94"/>
      <c r="C178" s="49"/>
      <c r="E178" s="49"/>
      <c r="G178" s="50"/>
    </row>
    <row r="179" spans="2:7">
      <c r="B179" s="94"/>
      <c r="C179" s="49"/>
      <c r="E179" s="49"/>
      <c r="G179" s="50"/>
    </row>
    <row r="180" spans="2:7">
      <c r="B180" s="94"/>
      <c r="C180" s="49"/>
      <c r="E180" s="49"/>
      <c r="G180" s="50"/>
    </row>
    <row r="181" spans="2:7">
      <c r="B181" s="94"/>
      <c r="C181" s="49"/>
      <c r="E181" s="49"/>
      <c r="G181" s="50"/>
    </row>
    <row r="182" spans="2:7">
      <c r="B182" s="94"/>
      <c r="C182" s="49"/>
      <c r="E182" s="49"/>
      <c r="G182" s="50"/>
    </row>
    <row r="183" spans="2:7">
      <c r="B183" s="94"/>
      <c r="C183" s="49"/>
      <c r="E183" s="49"/>
      <c r="G183" s="50"/>
    </row>
    <row r="184" spans="2:7">
      <c r="B184" s="94"/>
      <c r="C184" s="49"/>
      <c r="E184" s="49"/>
      <c r="G184" s="50"/>
    </row>
    <row r="185" spans="2:7">
      <c r="B185" s="94"/>
      <c r="C185" s="49"/>
      <c r="E185" s="49"/>
      <c r="G185" s="50"/>
    </row>
    <row r="186" spans="2:7">
      <c r="B186" s="94"/>
      <c r="C186" s="49"/>
      <c r="E186" s="49"/>
      <c r="G186" s="50"/>
    </row>
    <row r="187" spans="2:7">
      <c r="B187" s="94"/>
      <c r="C187" s="49"/>
      <c r="E187" s="49"/>
      <c r="G187" s="50"/>
    </row>
    <row r="188" spans="2:7">
      <c r="B188" s="94"/>
      <c r="C188" s="49"/>
      <c r="E188" s="49"/>
      <c r="G188" s="50"/>
    </row>
    <row r="189" spans="2:7">
      <c r="B189" s="94"/>
      <c r="C189" s="49"/>
      <c r="E189" s="49"/>
      <c r="G189" s="50"/>
    </row>
    <row r="190" spans="2:7">
      <c r="B190" s="94"/>
      <c r="C190" s="49"/>
      <c r="E190" s="49"/>
      <c r="G190" s="50"/>
    </row>
    <row r="191" spans="2:7">
      <c r="B191" s="94"/>
      <c r="C191" s="49"/>
      <c r="E191" s="49"/>
      <c r="G191" s="50"/>
    </row>
    <row r="192" spans="2:7">
      <c r="B192" s="94"/>
      <c r="C192" s="49"/>
      <c r="E192" s="49"/>
      <c r="G192" s="50"/>
    </row>
    <row r="193" spans="2:7">
      <c r="B193" s="94"/>
      <c r="C193" s="49"/>
      <c r="E193" s="49"/>
      <c r="G193" s="50"/>
    </row>
    <row r="194" spans="2:7">
      <c r="B194" s="94"/>
      <c r="C194" s="49"/>
      <c r="E194" s="49"/>
      <c r="G194" s="50"/>
    </row>
    <row r="195" spans="2:7">
      <c r="B195" s="94"/>
      <c r="C195" s="49"/>
      <c r="E195" s="49"/>
      <c r="G195" s="50"/>
    </row>
    <row r="196" spans="2:7">
      <c r="B196" s="94"/>
      <c r="C196" s="49"/>
      <c r="E196" s="49"/>
      <c r="G196" s="50"/>
    </row>
    <row r="197" spans="2:7">
      <c r="B197" s="94"/>
      <c r="C197" s="49"/>
      <c r="E197" s="49"/>
      <c r="G197" s="50"/>
    </row>
    <row r="198" spans="2:7">
      <c r="B198" s="94"/>
      <c r="C198" s="49"/>
      <c r="E198" s="49"/>
      <c r="G198" s="50"/>
    </row>
    <row r="199" spans="2:7">
      <c r="B199" s="94"/>
      <c r="C199" s="49"/>
      <c r="E199" s="49"/>
      <c r="G199" s="50"/>
    </row>
    <row r="200" spans="2:7">
      <c r="B200" s="94"/>
      <c r="C200" s="49"/>
      <c r="E200" s="49"/>
      <c r="G200" s="50"/>
    </row>
    <row r="201" spans="2:7">
      <c r="B201" s="94"/>
      <c r="C201" s="49"/>
      <c r="E201" s="49"/>
      <c r="G201" s="50"/>
    </row>
    <row r="202" spans="2:7">
      <c r="B202" s="94"/>
      <c r="C202" s="49"/>
      <c r="E202" s="49"/>
      <c r="G202" s="50"/>
    </row>
    <row r="203" spans="2:7">
      <c r="B203" s="94"/>
      <c r="C203" s="49"/>
      <c r="E203" s="49"/>
      <c r="G203" s="50"/>
    </row>
    <row r="204" spans="2:7">
      <c r="B204" s="94"/>
      <c r="C204" s="49"/>
      <c r="E204" s="49"/>
      <c r="G204" s="50"/>
    </row>
    <row r="205" spans="2:7">
      <c r="B205" s="94"/>
      <c r="C205" s="49"/>
      <c r="E205" s="49"/>
      <c r="G205" s="50"/>
    </row>
    <row r="206" spans="2:7">
      <c r="B206" s="94"/>
      <c r="C206" s="49"/>
      <c r="E206" s="49"/>
      <c r="G206" s="50"/>
    </row>
    <row r="207" spans="2:7">
      <c r="B207" s="94"/>
      <c r="C207" s="49"/>
      <c r="E207" s="49"/>
      <c r="G207" s="50"/>
    </row>
    <row r="208" spans="2:7">
      <c r="B208" s="94"/>
      <c r="C208" s="49"/>
      <c r="E208" s="49"/>
      <c r="G208" s="50"/>
    </row>
    <row r="209" spans="2:7">
      <c r="B209" s="94"/>
      <c r="C209" s="49"/>
      <c r="E209" s="49"/>
      <c r="G209" s="50"/>
    </row>
    <row r="210" spans="2:7">
      <c r="B210" s="94"/>
      <c r="C210" s="49"/>
      <c r="E210" s="49"/>
      <c r="G210" s="50"/>
    </row>
    <row r="211" spans="2:7">
      <c r="B211" s="94"/>
      <c r="C211" s="49"/>
      <c r="E211" s="49"/>
      <c r="G211" s="50"/>
    </row>
    <row r="212" spans="2:7">
      <c r="B212" s="94"/>
      <c r="C212" s="49"/>
      <c r="E212" s="49"/>
      <c r="G212" s="50"/>
    </row>
    <row r="213" spans="2:7">
      <c r="B213" s="94"/>
      <c r="C213" s="49"/>
      <c r="E213" s="49"/>
      <c r="G213" s="50"/>
    </row>
    <row r="214" spans="2:7">
      <c r="B214" s="94"/>
      <c r="C214" s="49"/>
      <c r="E214" s="49"/>
      <c r="G214" s="50"/>
    </row>
    <row r="215" spans="2:7">
      <c r="B215" s="94"/>
      <c r="C215" s="49"/>
      <c r="E215" s="49"/>
      <c r="G215" s="50"/>
    </row>
    <row r="216" spans="2:7">
      <c r="B216" s="94"/>
      <c r="C216" s="49"/>
      <c r="E216" s="49"/>
      <c r="G216" s="50"/>
    </row>
    <row r="217" spans="2:7">
      <c r="B217" s="94"/>
      <c r="C217" s="49"/>
      <c r="E217" s="49"/>
      <c r="G217" s="50"/>
    </row>
    <row r="218" spans="2:7">
      <c r="B218" s="94"/>
      <c r="C218" s="49"/>
      <c r="E218" s="49"/>
      <c r="G218" s="50"/>
    </row>
    <row r="219" spans="2:7">
      <c r="B219" s="94"/>
      <c r="C219" s="49"/>
      <c r="E219" s="49"/>
      <c r="G219" s="50"/>
    </row>
    <row r="220" spans="2:7">
      <c r="B220" s="94"/>
      <c r="C220" s="49"/>
      <c r="E220" s="49"/>
      <c r="G220" s="50"/>
    </row>
    <row r="221" spans="2:7">
      <c r="B221" s="94"/>
      <c r="C221" s="49"/>
      <c r="E221" s="49"/>
      <c r="G221" s="50"/>
    </row>
    <row r="222" spans="2:7">
      <c r="B222" s="94"/>
      <c r="C222" s="49"/>
      <c r="E222" s="49"/>
      <c r="G222" s="50"/>
    </row>
    <row r="223" spans="2:7">
      <c r="B223" s="94"/>
      <c r="C223" s="49"/>
      <c r="E223" s="49"/>
      <c r="G223" s="50"/>
    </row>
    <row r="224" spans="2:7">
      <c r="B224" s="94"/>
      <c r="C224" s="49"/>
      <c r="E224" s="49"/>
      <c r="G224" s="50"/>
    </row>
    <row r="225" spans="2:7">
      <c r="B225" s="94"/>
      <c r="C225" s="49"/>
      <c r="E225" s="49"/>
      <c r="G225" s="50"/>
    </row>
    <row r="226" spans="2:7">
      <c r="B226" s="94"/>
      <c r="C226" s="49"/>
      <c r="E226" s="49"/>
      <c r="G226" s="50"/>
    </row>
    <row r="227" spans="2:7">
      <c r="B227" s="94"/>
      <c r="C227" s="49"/>
      <c r="E227" s="49"/>
      <c r="G227" s="50"/>
    </row>
    <row r="228" spans="2:7">
      <c r="B228" s="94"/>
      <c r="C228" s="49"/>
      <c r="E228" s="49"/>
      <c r="G228" s="50"/>
    </row>
    <row r="229" spans="2:7">
      <c r="B229" s="94"/>
      <c r="C229" s="49"/>
      <c r="E229" s="49"/>
      <c r="G229" s="50"/>
    </row>
    <row r="230" spans="2:7">
      <c r="B230" s="94"/>
      <c r="C230" s="49"/>
      <c r="E230" s="49"/>
      <c r="G230" s="50"/>
    </row>
    <row r="231" spans="2:7">
      <c r="B231" s="94"/>
      <c r="C231" s="49"/>
      <c r="E231" s="49"/>
      <c r="G231" s="50"/>
    </row>
    <row r="232" spans="2:7">
      <c r="B232" s="94"/>
      <c r="C232" s="49"/>
      <c r="E232" s="49"/>
      <c r="G232" s="50"/>
    </row>
    <row r="233" spans="2:7">
      <c r="B233" s="94"/>
      <c r="C233" s="49"/>
      <c r="E233" s="49"/>
      <c r="G233" s="50"/>
    </row>
    <row r="234" spans="2:7">
      <c r="B234" s="94"/>
      <c r="C234" s="49"/>
      <c r="E234" s="49"/>
      <c r="G234" s="50"/>
    </row>
    <row r="235" spans="2:7">
      <c r="B235" s="94"/>
      <c r="C235" s="49"/>
      <c r="E235" s="49"/>
      <c r="G235" s="50"/>
    </row>
    <row r="236" spans="2:7">
      <c r="B236" s="94"/>
      <c r="C236" s="49"/>
      <c r="E236" s="49"/>
      <c r="G236" s="50"/>
    </row>
    <row r="237" spans="2:7">
      <c r="B237" s="94"/>
      <c r="C237" s="49"/>
      <c r="E237" s="49"/>
      <c r="G237" s="50"/>
    </row>
    <row r="238" spans="2:7">
      <c r="B238" s="94"/>
      <c r="C238" s="49"/>
      <c r="E238" s="49"/>
      <c r="G238" s="50"/>
    </row>
    <row r="239" spans="2:7">
      <c r="B239" s="94"/>
      <c r="C239" s="49"/>
      <c r="E239" s="49"/>
      <c r="G239" s="50"/>
    </row>
    <row r="240" spans="2:7">
      <c r="B240" s="94"/>
      <c r="C240" s="49"/>
      <c r="E240" s="49"/>
      <c r="G240" s="50"/>
    </row>
    <row r="241" spans="2:7">
      <c r="B241" s="94"/>
      <c r="C241" s="49"/>
      <c r="E241" s="49"/>
      <c r="G241" s="50"/>
    </row>
    <row r="242" spans="2:7">
      <c r="B242" s="94"/>
      <c r="C242" s="49"/>
      <c r="E242" s="49"/>
      <c r="G242" s="50"/>
    </row>
    <row r="243" spans="2:7">
      <c r="B243" s="94"/>
      <c r="C243" s="49"/>
      <c r="E243" s="49"/>
      <c r="G243" s="50"/>
    </row>
    <row r="244" spans="2:7">
      <c r="B244" s="94"/>
      <c r="C244" s="49"/>
      <c r="E244" s="49"/>
      <c r="G244" s="50"/>
    </row>
    <row r="245" spans="2:7">
      <c r="B245" s="94"/>
      <c r="C245" s="49"/>
      <c r="E245" s="49"/>
      <c r="G245" s="50"/>
    </row>
    <row r="246" spans="2:7">
      <c r="B246" s="94"/>
      <c r="C246" s="49"/>
      <c r="E246" s="49"/>
      <c r="G246" s="50"/>
    </row>
    <row r="247" spans="2:7">
      <c r="B247" s="94"/>
      <c r="C247" s="49"/>
      <c r="E247" s="49"/>
      <c r="G247" s="50"/>
    </row>
    <row r="248" spans="2:7">
      <c r="B248" s="94"/>
      <c r="C248" s="49"/>
      <c r="E248" s="49"/>
      <c r="G248" s="50"/>
    </row>
    <row r="249" spans="2:7">
      <c r="B249" s="94"/>
      <c r="C249" s="49"/>
      <c r="E249" s="49"/>
      <c r="G249" s="50"/>
    </row>
    <row r="250" spans="2:7">
      <c r="B250" s="94"/>
      <c r="C250" s="49"/>
      <c r="E250" s="49"/>
      <c r="G250" s="50"/>
    </row>
    <row r="251" spans="2:7">
      <c r="B251" s="94"/>
      <c r="C251" s="49"/>
      <c r="E251" s="49"/>
      <c r="G251" s="50"/>
    </row>
    <row r="252" spans="2:7">
      <c r="B252" s="94"/>
      <c r="C252" s="49"/>
      <c r="E252" s="49"/>
      <c r="G252" s="50"/>
    </row>
    <row r="253" spans="2:7">
      <c r="B253" s="94"/>
      <c r="C253" s="49"/>
      <c r="E253" s="49"/>
      <c r="G253" s="50"/>
    </row>
    <row r="254" spans="2:7">
      <c r="B254" s="94"/>
      <c r="C254" s="49"/>
      <c r="E254" s="49"/>
      <c r="G254" s="50"/>
    </row>
    <row r="255" spans="2:7">
      <c r="B255" s="94"/>
      <c r="C255" s="49"/>
      <c r="E255" s="49"/>
      <c r="G255" s="50"/>
    </row>
    <row r="256" spans="2:7">
      <c r="B256" s="94"/>
      <c r="C256" s="49"/>
      <c r="E256" s="49"/>
      <c r="G256" s="50"/>
    </row>
    <row r="257" spans="2:7">
      <c r="B257" s="94"/>
      <c r="C257" s="49"/>
      <c r="E257" s="49"/>
      <c r="G257" s="50"/>
    </row>
    <row r="258" spans="2:7">
      <c r="B258" s="94"/>
      <c r="C258" s="49"/>
      <c r="E258" s="49"/>
      <c r="G258" s="50"/>
    </row>
    <row r="259" spans="2:7">
      <c r="B259" s="94"/>
      <c r="C259" s="49"/>
      <c r="E259" s="49"/>
      <c r="G259" s="50"/>
    </row>
    <row r="260" spans="2:7">
      <c r="B260" s="94"/>
      <c r="C260" s="49"/>
      <c r="E260" s="49"/>
      <c r="G260" s="50"/>
    </row>
    <row r="261" spans="2:7">
      <c r="B261" s="94"/>
      <c r="C261" s="49"/>
      <c r="E261" s="49"/>
      <c r="G261" s="50"/>
    </row>
    <row r="262" spans="2:7">
      <c r="B262" s="94"/>
      <c r="C262" s="49"/>
      <c r="E262" s="49"/>
      <c r="G262" s="50"/>
    </row>
    <row r="263" spans="2:7">
      <c r="B263" s="94"/>
      <c r="C263" s="49"/>
      <c r="E263" s="49"/>
      <c r="G263" s="50"/>
    </row>
    <row r="264" spans="2:7">
      <c r="B264" s="94"/>
      <c r="C264" s="49"/>
      <c r="E264" s="49"/>
      <c r="G264" s="50"/>
    </row>
    <row r="265" spans="2:7">
      <c r="B265" s="94"/>
      <c r="C265" s="49"/>
      <c r="E265" s="49"/>
      <c r="G265" s="50"/>
    </row>
    <row r="266" spans="2:7">
      <c r="B266" s="94"/>
      <c r="C266" s="49"/>
      <c r="E266" s="49"/>
      <c r="G266" s="50"/>
    </row>
    <row r="267" spans="2:7">
      <c r="B267" s="94"/>
      <c r="C267" s="49"/>
      <c r="E267" s="49"/>
      <c r="G267" s="50"/>
    </row>
    <row r="268" spans="2:7">
      <c r="B268" s="94"/>
      <c r="C268" s="49"/>
      <c r="E268" s="49"/>
      <c r="G268" s="50"/>
    </row>
    <row r="269" spans="2:7">
      <c r="B269" s="94"/>
      <c r="C269" s="49"/>
      <c r="E269" s="49"/>
      <c r="G269" s="50"/>
    </row>
    <row r="270" spans="2:7">
      <c r="B270" s="94"/>
      <c r="C270" s="49"/>
      <c r="E270" s="49"/>
      <c r="G270" s="50"/>
    </row>
    <row r="271" spans="2:7">
      <c r="B271" s="94"/>
      <c r="C271" s="49"/>
      <c r="E271" s="49"/>
      <c r="G271" s="50"/>
    </row>
    <row r="272" spans="2:7">
      <c r="B272" s="94"/>
      <c r="C272" s="49"/>
      <c r="E272" s="49"/>
      <c r="G272" s="50"/>
    </row>
    <row r="273" spans="2:7">
      <c r="B273" s="94"/>
      <c r="C273" s="49"/>
      <c r="E273" s="49"/>
      <c r="G273" s="50"/>
    </row>
    <row r="274" spans="2:7">
      <c r="B274" s="94"/>
      <c r="C274" s="49"/>
      <c r="E274" s="49"/>
      <c r="G274" s="50"/>
    </row>
    <row r="275" spans="2:7">
      <c r="B275" s="94"/>
      <c r="C275" s="49"/>
      <c r="E275" s="49"/>
      <c r="G275" s="50"/>
    </row>
    <row r="276" spans="2:7">
      <c r="B276" s="94"/>
      <c r="C276" s="49"/>
      <c r="E276" s="49"/>
      <c r="G276" s="50"/>
    </row>
    <row r="277" spans="2:7">
      <c r="B277" s="94"/>
      <c r="C277" s="49"/>
      <c r="E277" s="49"/>
      <c r="G277" s="50"/>
    </row>
    <row r="278" spans="2:7">
      <c r="B278" s="94"/>
      <c r="C278" s="49"/>
      <c r="E278" s="49"/>
      <c r="G278" s="50"/>
    </row>
    <row r="279" spans="2:7">
      <c r="B279" s="94"/>
      <c r="C279" s="49"/>
      <c r="E279" s="49"/>
      <c r="G279" s="50"/>
    </row>
    <row r="280" spans="2:7">
      <c r="B280" s="94"/>
      <c r="C280" s="49"/>
      <c r="E280" s="49"/>
      <c r="G280" s="50"/>
    </row>
    <row r="281" spans="2:7">
      <c r="B281" s="94"/>
      <c r="C281" s="49"/>
      <c r="E281" s="49"/>
      <c r="G281" s="50"/>
    </row>
    <row r="282" spans="2:7">
      <c r="B282" s="94"/>
      <c r="C282" s="49"/>
      <c r="E282" s="49"/>
      <c r="G282" s="50"/>
    </row>
    <row r="283" spans="2:7">
      <c r="B283" s="94"/>
      <c r="C283" s="49"/>
      <c r="E283" s="49"/>
      <c r="G283" s="50"/>
    </row>
    <row r="284" spans="2:7">
      <c r="B284" s="94"/>
      <c r="C284" s="49"/>
      <c r="E284" s="49"/>
      <c r="G284" s="50"/>
    </row>
    <row r="285" spans="2:7">
      <c r="B285" s="94"/>
      <c r="C285" s="49"/>
      <c r="E285" s="49"/>
      <c r="G285" s="50"/>
    </row>
    <row r="286" spans="2:7">
      <c r="B286" s="94"/>
      <c r="C286" s="49"/>
      <c r="E286" s="49"/>
      <c r="G286" s="50"/>
    </row>
    <row r="287" spans="2:7">
      <c r="B287" s="94"/>
      <c r="C287" s="49"/>
      <c r="E287" s="49"/>
      <c r="G287" s="50"/>
    </row>
    <row r="288" spans="2:7">
      <c r="B288" s="94"/>
      <c r="C288" s="49"/>
      <c r="E288" s="49"/>
      <c r="G288" s="50"/>
    </row>
    <row r="289" spans="2:7">
      <c r="B289" s="94"/>
      <c r="C289" s="49"/>
      <c r="E289" s="49"/>
      <c r="G289" s="50"/>
    </row>
    <row r="290" spans="2:7">
      <c r="B290" s="94"/>
      <c r="C290" s="49"/>
      <c r="E290" s="49"/>
      <c r="G290" s="50"/>
    </row>
    <row r="291" spans="2:7">
      <c r="B291" s="94"/>
      <c r="C291" s="49"/>
      <c r="E291" s="49"/>
      <c r="G291" s="50"/>
    </row>
    <row r="292" spans="2:7">
      <c r="B292" s="94"/>
      <c r="C292" s="49"/>
      <c r="E292" s="49"/>
      <c r="G292" s="50"/>
    </row>
    <row r="293" spans="2:7">
      <c r="B293" s="94"/>
      <c r="C293" s="49"/>
      <c r="E293" s="49"/>
      <c r="G293" s="50"/>
    </row>
    <row r="294" spans="2:7">
      <c r="B294" s="94"/>
      <c r="C294" s="49"/>
      <c r="E294" s="49"/>
      <c r="G294" s="50"/>
    </row>
    <row r="295" spans="2:7">
      <c r="B295" s="94"/>
      <c r="C295" s="49"/>
      <c r="E295" s="49"/>
      <c r="G295" s="50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N97 N109 N10:P10 O8:P9 N17:P17 O11:P16 N31:P31 O18:P30 N41:P41 N57:P57 N66:P66 N73:P73 N80:P80 N87:P87 O32:P40 O58:P65 O67:P72 O74:P79 O81:P86 M1:P7 O42:P56 O88:P124 N136:N1048576 O126:P1048576 N126 M126:M127 M137:M1048576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 M128:N135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3" type="noConversion"/>
  <conditionalFormatting sqref="M118:N124 M12:N16 M75:N79 M19:N30 M33:N40 M82:N86 M89:N96 M111:N115 M59:N65 M68:N72 M43:N56 M99:N10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8:N1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1:N1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3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2" zoomScaleNormal="130" workbookViewId="0">
      <pane ySplit="7" topLeftCell="A8" activePane="bottomLeft" state="frozen"/>
      <selection activeCell="K24" sqref="K24"/>
      <selection pane="bottomLeft" activeCell="J25" sqref="J25"/>
    </sheetView>
  </sheetViews>
  <sheetFormatPr defaultColWidth="8.265625" defaultRowHeight="13.5"/>
  <cols>
    <col min="1" max="1" width="1.265625" style="4" customWidth="1"/>
    <col min="2" max="2" width="8.265625" style="5"/>
    <col min="3" max="3" width="2.265625" style="5" customWidth="1"/>
    <col min="4" max="4" width="21" style="4" customWidth="1"/>
    <col min="5" max="5" width="1.265625" style="4" customWidth="1"/>
    <col min="6" max="6" width="19.265625" style="4" customWidth="1"/>
    <col min="7" max="7" width="1.265625" style="4" customWidth="1"/>
    <col min="8" max="8" width="18.265625" style="4" customWidth="1"/>
    <col min="9" max="9" width="3" style="4" customWidth="1"/>
    <col min="10" max="10" width="21" style="4" customWidth="1"/>
    <col min="11" max="11" width="2" style="4" customWidth="1"/>
    <col min="12" max="12" width="53" style="4" customWidth="1"/>
    <col min="13" max="16384" width="8.265625" style="4"/>
  </cols>
  <sheetData>
    <row r="1" spans="1:12" ht="6.75" customHeight="1">
      <c r="A1" s="142"/>
      <c r="B1" s="143"/>
      <c r="C1" s="143"/>
      <c r="D1" s="142"/>
      <c r="E1" s="142"/>
      <c r="F1" s="142"/>
      <c r="G1" s="142"/>
      <c r="H1" s="142"/>
      <c r="I1" s="142"/>
      <c r="J1" s="142"/>
      <c r="K1" s="49"/>
      <c r="L1" s="49"/>
    </row>
    <row r="2" spans="1:12" ht="13.9">
      <c r="A2" s="142"/>
      <c r="B2" s="146" t="s">
        <v>241</v>
      </c>
      <c r="C2" s="146"/>
      <c r="D2" s="146"/>
      <c r="E2" s="146"/>
      <c r="F2" s="146"/>
      <c r="G2" s="146"/>
      <c r="H2" s="146"/>
      <c r="I2" s="146"/>
      <c r="J2" s="146"/>
      <c r="K2" s="51"/>
      <c r="L2" s="51"/>
    </row>
    <row r="3" spans="1:12" ht="6.75" customHeight="1">
      <c r="A3" s="142"/>
      <c r="B3" s="143"/>
      <c r="C3" s="143"/>
      <c r="D3" s="142"/>
      <c r="E3" s="142"/>
      <c r="F3" s="142"/>
      <c r="G3" s="142"/>
      <c r="H3" s="142"/>
      <c r="I3" s="142"/>
      <c r="J3" s="142"/>
      <c r="K3" s="49"/>
      <c r="L3" s="49"/>
    </row>
    <row r="4" spans="1:12" ht="14.25" thickBot="1">
      <c r="A4" s="142"/>
      <c r="B4" s="907"/>
      <c r="C4" s="907"/>
      <c r="D4" s="907"/>
      <c r="E4" s="339"/>
      <c r="F4" s="147" t="s">
        <v>1</v>
      </c>
      <c r="G4" s="142"/>
      <c r="H4" s="147" t="s">
        <v>2</v>
      </c>
      <c r="I4" s="142"/>
      <c r="J4" s="148" t="s">
        <v>242</v>
      </c>
      <c r="K4" s="49"/>
      <c r="L4" s="49"/>
    </row>
    <row r="5" spans="1:12" ht="14.25" thickBot="1">
      <c r="A5" s="142"/>
      <c r="B5" s="908" t="s">
        <v>243</v>
      </c>
      <c r="C5" s="908"/>
      <c r="D5" s="908"/>
      <c r="E5" s="339"/>
      <c r="F5" s="149">
        <f>SUM(F9:F23)</f>
        <v>56096452.079139791</v>
      </c>
      <c r="G5" s="144"/>
      <c r="H5" s="149">
        <f>SUM(H9:H23)</f>
        <v>48292163.206446104</v>
      </c>
      <c r="I5" s="142"/>
      <c r="J5" s="150">
        <f>SUM(J9:J23)</f>
        <v>7804288.8726936914</v>
      </c>
      <c r="K5" s="49"/>
      <c r="L5" s="49"/>
    </row>
    <row r="6" spans="1:12" ht="6.75" customHeight="1" thickBot="1">
      <c r="A6" s="142"/>
      <c r="B6" s="151"/>
      <c r="C6" s="151"/>
      <c r="D6" s="151"/>
      <c r="E6" s="151"/>
      <c r="F6" s="142"/>
      <c r="G6" s="142"/>
      <c r="H6" s="142"/>
      <c r="I6" s="142"/>
      <c r="J6" s="142"/>
      <c r="K6" s="49"/>
      <c r="L6" s="49"/>
    </row>
    <row r="7" spans="1:12" ht="26.65" thickBot="1">
      <c r="A7" s="142"/>
      <c r="B7" s="152" t="s">
        <v>26</v>
      </c>
      <c r="C7" s="153"/>
      <c r="D7" s="152" t="s">
        <v>244</v>
      </c>
      <c r="E7" s="153"/>
      <c r="F7" s="154" t="s">
        <v>245</v>
      </c>
      <c r="G7" s="155"/>
      <c r="H7" s="154" t="s">
        <v>246</v>
      </c>
      <c r="I7" s="155"/>
      <c r="J7" s="154" t="s">
        <v>247</v>
      </c>
      <c r="K7" s="99"/>
      <c r="L7" s="52" t="s">
        <v>248</v>
      </c>
    </row>
    <row r="8" spans="1:12" ht="6.75" customHeight="1">
      <c r="A8" s="142"/>
      <c r="B8" s="143"/>
      <c r="C8" s="143"/>
      <c r="D8" s="142"/>
      <c r="E8" s="142"/>
      <c r="F8" s="142"/>
      <c r="G8" s="142"/>
      <c r="H8" s="142"/>
      <c r="I8" s="142"/>
      <c r="J8" s="142"/>
      <c r="K8" s="49"/>
      <c r="L8" s="49"/>
    </row>
    <row r="9" spans="1:12" ht="13.9">
      <c r="A9" s="142"/>
      <c r="B9" s="156">
        <f>'Expenditure Breakdown'!L6</f>
        <v>1</v>
      </c>
      <c r="C9" s="145"/>
      <c r="D9" s="157" t="str">
        <f>'Expenditure Breakdown'!M6</f>
        <v>1. Panels</v>
      </c>
      <c r="E9" s="23"/>
      <c r="F9" s="158">
        <f>'Expenditure Breakdown'!I6</f>
        <v>14537831.300000001</v>
      </c>
      <c r="G9" s="23"/>
      <c r="H9" s="158">
        <f>'Expenditure Breakdown'!X6</f>
        <v>13751216</v>
      </c>
      <c r="I9" s="26"/>
      <c r="J9" s="159">
        <f t="shared" ref="J9:J23" si="0">F9-H9</f>
        <v>786615.30000000075</v>
      </c>
      <c r="K9" s="100"/>
      <c r="L9" s="181"/>
    </row>
    <row r="10" spans="1:12" ht="13.9">
      <c r="A10" s="142"/>
      <c r="B10" s="156">
        <f>'Expenditure Breakdown'!L23</f>
        <v>2</v>
      </c>
      <c r="C10" s="145"/>
      <c r="D10" s="157" t="str">
        <f>'Expenditure Breakdown'!M23</f>
        <v>2. Inverters</v>
      </c>
      <c r="E10" s="23"/>
      <c r="F10" s="158">
        <f>'Expenditure Breakdown'!I23</f>
        <v>2760000</v>
      </c>
      <c r="G10" s="23"/>
      <c r="H10" s="158">
        <f>'Expenditure Breakdown'!X23</f>
        <v>2495176.22371</v>
      </c>
      <c r="I10" s="26"/>
      <c r="J10" s="159">
        <f t="shared" si="0"/>
        <v>264823.77628999995</v>
      </c>
      <c r="K10" s="100"/>
      <c r="L10" s="181"/>
    </row>
    <row r="11" spans="1:12" ht="13.9">
      <c r="A11" s="142"/>
      <c r="B11" s="156">
        <f>'Expenditure Breakdown'!L31</f>
        <v>3</v>
      </c>
      <c r="C11" s="145"/>
      <c r="D11" s="157" t="str">
        <f>'Expenditure Breakdown'!M31</f>
        <v>3. Mounting Structures</v>
      </c>
      <c r="E11" s="160"/>
      <c r="F11" s="158">
        <f>'Expenditure Breakdown'!I31</f>
        <v>7358785.9097348731</v>
      </c>
      <c r="G11" s="23"/>
      <c r="H11" s="158">
        <f>'Expenditure Breakdown'!X31</f>
        <v>4061009.86</v>
      </c>
      <c r="I11" s="26"/>
      <c r="J11" s="159">
        <f t="shared" si="0"/>
        <v>3297776.0497348732</v>
      </c>
      <c r="K11" s="100"/>
      <c r="L11" s="181"/>
    </row>
    <row r="12" spans="1:12" ht="13.9">
      <c r="A12" s="142"/>
      <c r="B12" s="156">
        <f>'Expenditure Breakdown'!L53</f>
        <v>4</v>
      </c>
      <c r="C12" s="145"/>
      <c r="D12" s="157" t="str">
        <f>'Expenditure Breakdown'!M53</f>
        <v>4. DC Equipment</v>
      </c>
      <c r="E12" s="160"/>
      <c r="F12" s="158">
        <f>'Expenditure Breakdown'!I53</f>
        <v>8057942</v>
      </c>
      <c r="G12" s="23"/>
      <c r="H12" s="158">
        <f>'Expenditure Breakdown'!X53</f>
        <v>3193174</v>
      </c>
      <c r="I12" s="26"/>
      <c r="J12" s="159">
        <f t="shared" si="0"/>
        <v>4864768</v>
      </c>
      <c r="K12" s="100"/>
      <c r="L12" s="181"/>
    </row>
    <row r="13" spans="1:12" ht="13.9">
      <c r="A13" s="142"/>
      <c r="B13" s="156">
        <f>'Expenditure Breakdown'!L92</f>
        <v>5</v>
      </c>
      <c r="C13" s="145"/>
      <c r="D13" s="157" t="str">
        <f>'Expenditure Breakdown'!M92</f>
        <v>5. Monitoring</v>
      </c>
      <c r="E13" s="160"/>
      <c r="F13" s="158">
        <f>'Expenditure Breakdown'!I92</f>
        <v>64000</v>
      </c>
      <c r="G13" s="23"/>
      <c r="H13" s="158">
        <f>'Expenditure Breakdown'!X92</f>
        <v>241577.30000000002</v>
      </c>
      <c r="I13" s="26"/>
      <c r="J13" s="159">
        <f t="shared" si="0"/>
        <v>-177577.30000000002</v>
      </c>
      <c r="K13" s="100"/>
      <c r="L13" s="181"/>
    </row>
    <row r="14" spans="1:12" ht="13.9">
      <c r="A14" s="142"/>
      <c r="B14" s="156">
        <f>'Expenditure Breakdown'!L115</f>
        <v>6</v>
      </c>
      <c r="C14" s="145"/>
      <c r="D14" s="157" t="str">
        <f>'Expenditure Breakdown'!M115</f>
        <v>6. AC Equipment</v>
      </c>
      <c r="E14" s="160"/>
      <c r="F14" s="158">
        <f>'Expenditure Breakdown'!I115</f>
        <v>2941866.9</v>
      </c>
      <c r="G14" s="23"/>
      <c r="H14" s="158">
        <f>'Expenditure Breakdown'!X115</f>
        <v>2258542.35</v>
      </c>
      <c r="I14" s="26"/>
      <c r="J14" s="159">
        <f t="shared" si="0"/>
        <v>683324.54999999981</v>
      </c>
      <c r="K14" s="100"/>
      <c r="L14" s="181"/>
    </row>
    <row r="15" spans="1:12" ht="13.9">
      <c r="A15" s="142"/>
      <c r="B15" s="156">
        <f>'Expenditure Breakdown'!L151</f>
        <v>7</v>
      </c>
      <c r="C15" s="145"/>
      <c r="D15" s="157" t="str">
        <f>'Expenditure Breakdown'!M151</f>
        <v>7.MV Substation</v>
      </c>
      <c r="E15" s="160"/>
      <c r="F15" s="158">
        <f>'Expenditure Breakdown'!I151</f>
        <v>12030860.6085</v>
      </c>
      <c r="G15" s="23"/>
      <c r="H15" s="158">
        <f>'Expenditure Breakdown'!X151</f>
        <v>7046627.6127361013</v>
      </c>
      <c r="I15" s="26"/>
      <c r="J15" s="159">
        <f t="shared" si="0"/>
        <v>4984232.9957638988</v>
      </c>
      <c r="K15" s="100"/>
      <c r="L15" s="181"/>
    </row>
    <row r="16" spans="1:12" ht="13.9">
      <c r="A16" s="142"/>
      <c r="B16" s="156">
        <f>'Expenditure Breakdown'!L190</f>
        <v>8</v>
      </c>
      <c r="C16" s="145"/>
      <c r="D16" s="157" t="str">
        <f>'Expenditure Breakdown'!M190</f>
        <v xml:space="preserve">8. Product Add On </v>
      </c>
      <c r="E16" s="160"/>
      <c r="F16" s="158">
        <f>'Expenditure Breakdown'!I190</f>
        <v>2015000</v>
      </c>
      <c r="G16" s="23"/>
      <c r="H16" s="158">
        <f>'Expenditure Breakdown'!X190</f>
        <v>2175649.81</v>
      </c>
      <c r="I16" s="26"/>
      <c r="J16" s="159">
        <f t="shared" si="0"/>
        <v>-160649.81000000006</v>
      </c>
      <c r="K16" s="100"/>
      <c r="L16" s="181"/>
    </row>
    <row r="17" spans="1:12" ht="13.9">
      <c r="A17" s="142"/>
      <c r="B17" s="156">
        <f>'Expenditure Breakdown'!L214</f>
        <v>9</v>
      </c>
      <c r="C17" s="145"/>
      <c r="D17" s="157" t="str">
        <f>'Expenditure Breakdown'!M214</f>
        <v>9. AC &amp; DC installation</v>
      </c>
      <c r="E17" s="160"/>
      <c r="F17" s="158">
        <f>'Expenditure Breakdown'!I214</f>
        <v>4360411.2369999997</v>
      </c>
      <c r="G17" s="23"/>
      <c r="H17" s="158">
        <f>'Expenditure Breakdown'!X214</f>
        <v>8055680</v>
      </c>
      <c r="I17" s="26"/>
      <c r="J17" s="159">
        <f t="shared" si="0"/>
        <v>-3695268.7630000003</v>
      </c>
      <c r="K17" s="100"/>
      <c r="L17" s="181"/>
    </row>
    <row r="18" spans="1:12" ht="13.9">
      <c r="A18" s="142"/>
      <c r="B18" s="156">
        <f>'Expenditure Breakdown'!L258</f>
        <v>10</v>
      </c>
      <c r="C18" s="145"/>
      <c r="D18" s="157" t="str">
        <f>'Expenditure Breakdown'!M258</f>
        <v>10. Site Logistics</v>
      </c>
      <c r="E18" s="23"/>
      <c r="F18" s="158">
        <f>'Expenditure Breakdown'!I258</f>
        <v>394304.23333333328</v>
      </c>
      <c r="G18" s="23"/>
      <c r="H18" s="158">
        <f>'Expenditure Breakdown'!X258</f>
        <v>989880.47000000009</v>
      </c>
      <c r="I18" s="26"/>
      <c r="J18" s="159">
        <f t="shared" si="0"/>
        <v>-595576.23666666681</v>
      </c>
      <c r="K18" s="100"/>
      <c r="L18" s="181"/>
    </row>
    <row r="19" spans="1:12" ht="13.9">
      <c r="A19" s="142"/>
      <c r="B19" s="156">
        <f>'Expenditure Breakdown'!L324</f>
        <v>11</v>
      </c>
      <c r="C19" s="145"/>
      <c r="D19" s="157" t="str">
        <f>'Expenditure Breakdown'!M324</f>
        <v>11. Due Dilligence</v>
      </c>
      <c r="E19" s="23"/>
      <c r="F19" s="158">
        <f>'Expenditure Breakdown'!I324</f>
        <v>420000</v>
      </c>
      <c r="G19" s="23"/>
      <c r="H19" s="158">
        <f>'Expenditure Breakdown'!X324</f>
        <v>426656</v>
      </c>
      <c r="I19" s="26"/>
      <c r="J19" s="159">
        <f t="shared" si="0"/>
        <v>-6656</v>
      </c>
      <c r="K19" s="100"/>
      <c r="L19" s="181"/>
    </row>
    <row r="20" spans="1:12" ht="13.9">
      <c r="A20" s="142"/>
      <c r="B20" s="156">
        <f>'Expenditure Breakdown'!L339</f>
        <v>12</v>
      </c>
      <c r="C20" s="145"/>
      <c r="D20" s="157" t="str">
        <f>'Expenditure Breakdown'!M339</f>
        <v>12. BDP Commission</v>
      </c>
      <c r="E20" s="23"/>
      <c r="F20" s="158">
        <f>'Expenditure Breakdown'!I339</f>
        <v>205449.89057158865</v>
      </c>
      <c r="G20" s="23"/>
      <c r="H20" s="158">
        <f>'Expenditure Breakdown'!X339</f>
        <v>0</v>
      </c>
      <c r="I20" s="26"/>
      <c r="J20" s="159">
        <f t="shared" si="0"/>
        <v>205449.89057158865</v>
      </c>
      <c r="K20" s="100"/>
      <c r="L20" s="181"/>
    </row>
    <row r="21" spans="1:12" ht="13.9">
      <c r="A21" s="142"/>
      <c r="B21" s="156">
        <f>'Expenditure Breakdown'!L342</f>
        <v>13</v>
      </c>
      <c r="C21" s="145"/>
      <c r="D21" s="157" t="str">
        <f>'Expenditure Breakdown'!M354</f>
        <v>13. Engineering</v>
      </c>
      <c r="E21" s="23"/>
      <c r="F21" s="158">
        <f>'Expenditure Breakdown'!I342</f>
        <v>950000</v>
      </c>
      <c r="G21" s="23"/>
      <c r="H21" s="158">
        <f>'Expenditure Breakdown'!X342</f>
        <v>1011274.9999999999</v>
      </c>
      <c r="I21" s="26"/>
      <c r="J21" s="159">
        <f t="shared" si="0"/>
        <v>-61274.999999999884</v>
      </c>
      <c r="K21" s="100"/>
      <c r="L21" s="181"/>
    </row>
    <row r="22" spans="1:12" ht="13.9">
      <c r="A22" s="142"/>
      <c r="B22" s="156">
        <f>'Expenditure Breakdown'!L366</f>
        <v>14</v>
      </c>
      <c r="C22" s="145"/>
      <c r="D22" s="157" t="str">
        <f>'Expenditure Breakdown'!M366</f>
        <v>14. General Expenses</v>
      </c>
      <c r="E22" s="23"/>
      <c r="F22" s="158">
        <f>'Expenditure Breakdown'!I366</f>
        <v>0</v>
      </c>
      <c r="G22" s="23"/>
      <c r="H22" s="158">
        <f>'Expenditure Breakdown'!X366</f>
        <v>310187.17</v>
      </c>
      <c r="I22" s="26"/>
      <c r="J22" s="159">
        <f t="shared" si="0"/>
        <v>-310187.17</v>
      </c>
      <c r="K22" s="100"/>
      <c r="L22" s="181"/>
    </row>
    <row r="23" spans="1:12" ht="13.9">
      <c r="A23" s="142"/>
      <c r="B23" s="156">
        <f>'Expenditure Breakdown'!L383</f>
        <v>15</v>
      </c>
      <c r="C23" s="145"/>
      <c r="D23" s="157" t="str">
        <f>'Expenditure Breakdown'!M383</f>
        <v>15. Service Add On</v>
      </c>
      <c r="E23" s="23"/>
      <c r="F23" s="158">
        <f>'Expenditure Breakdown'!I383</f>
        <v>0</v>
      </c>
      <c r="G23" s="23"/>
      <c r="H23" s="158">
        <f>'Expenditure Breakdown'!X383</f>
        <v>2275511.4099999997</v>
      </c>
      <c r="I23" s="26"/>
      <c r="J23" s="159">
        <f t="shared" si="0"/>
        <v>-2275511.4099999997</v>
      </c>
      <c r="K23" s="100"/>
      <c r="L23" s="181"/>
    </row>
    <row r="24" spans="1:12" ht="6.75" customHeight="1">
      <c r="A24" s="142"/>
      <c r="B24" s="24"/>
      <c r="C24" s="24"/>
      <c r="D24" s="23"/>
      <c r="E24" s="23"/>
      <c r="F24" s="23"/>
      <c r="G24" s="23"/>
      <c r="H24" s="26"/>
      <c r="I24" s="26"/>
      <c r="J24" s="26"/>
      <c r="K24" s="100"/>
      <c r="L24" s="49"/>
    </row>
    <row r="25" spans="1:12" ht="15" customHeight="1">
      <c r="A25" s="142"/>
      <c r="B25" s="24"/>
      <c r="C25" s="24"/>
      <c r="D25" s="161" t="s">
        <v>249</v>
      </c>
      <c r="E25" s="23"/>
      <c r="F25" s="162">
        <f>'Expenditure Breakdown'!I2-'Expenditure Tracking'!F5</f>
        <v>0</v>
      </c>
      <c r="G25" s="162" t="e">
        <f>#REF!-G5</f>
        <v>#REF!</v>
      </c>
      <c r="H25" s="162">
        <f>'Expenditure Breakdown'!X2-H5</f>
        <v>0</v>
      </c>
      <c r="I25" s="26"/>
      <c r="J25" s="163"/>
      <c r="K25" s="100"/>
      <c r="L25" s="49"/>
    </row>
    <row r="26" spans="1:12" s="1" customFormat="1">
      <c r="B26" s="46"/>
      <c r="C26" s="46"/>
    </row>
    <row r="27" spans="1:12">
      <c r="A27" s="49"/>
      <c r="B27" s="50"/>
      <c r="C27" s="50"/>
      <c r="D27" s="49"/>
      <c r="E27" s="49"/>
      <c r="F27" s="49"/>
      <c r="G27" s="49"/>
      <c r="H27" s="49"/>
      <c r="I27" s="49"/>
      <c r="J27" s="49"/>
      <c r="K27" s="49"/>
      <c r="L27" s="49"/>
    </row>
    <row r="28" spans="1:12">
      <c r="A28" s="49"/>
      <c r="B28" s="50"/>
      <c r="C28" s="50"/>
      <c r="D28" s="49"/>
      <c r="E28" s="49"/>
      <c r="F28" s="49"/>
      <c r="G28" s="49"/>
      <c r="H28" s="49"/>
      <c r="I28" s="49"/>
      <c r="J28" s="49"/>
      <c r="K28" s="49"/>
      <c r="L28" s="49"/>
    </row>
    <row r="29" spans="1:12">
      <c r="A29" s="49"/>
      <c r="B29" s="50"/>
      <c r="C29" s="50"/>
      <c r="E29" s="49"/>
      <c r="F29" s="49"/>
      <c r="G29" s="49"/>
      <c r="H29" s="49"/>
      <c r="I29" s="49"/>
      <c r="J29" s="49"/>
      <c r="K29" s="49"/>
      <c r="L29" s="49"/>
    </row>
    <row r="30" spans="1:12">
      <c r="A30" s="49"/>
      <c r="B30" s="50"/>
      <c r="C30" s="50"/>
      <c r="D30" s="49"/>
      <c r="E30" s="49"/>
      <c r="F30" s="49"/>
      <c r="G30" s="49"/>
      <c r="H30" s="49"/>
      <c r="I30" s="49"/>
      <c r="J30" s="49"/>
      <c r="K30" s="49"/>
      <c r="L30" s="49"/>
    </row>
    <row r="31" spans="1:12">
      <c r="A31" s="49"/>
      <c r="B31" s="50"/>
      <c r="C31" s="50"/>
      <c r="D31" s="49"/>
      <c r="E31" s="49"/>
      <c r="F31" s="49"/>
      <c r="G31" s="49"/>
      <c r="H31" s="49"/>
      <c r="I31" s="49"/>
      <c r="J31" s="49"/>
      <c r="K31" s="49"/>
      <c r="L31" s="49"/>
    </row>
    <row r="32" spans="1:12">
      <c r="A32" s="49"/>
      <c r="B32" s="50"/>
      <c r="C32" s="50"/>
      <c r="D32" s="49"/>
      <c r="E32" s="49"/>
      <c r="F32" s="49"/>
      <c r="G32" s="49"/>
      <c r="H32" s="49"/>
      <c r="I32" s="49"/>
      <c r="J32" s="49"/>
      <c r="K32" s="49"/>
      <c r="L32" s="49"/>
    </row>
    <row r="33" spans="1:12">
      <c r="A33" s="49"/>
      <c r="B33" s="50"/>
      <c r="C33" s="50"/>
      <c r="D33" s="49"/>
      <c r="E33" s="49"/>
      <c r="F33" s="49"/>
      <c r="G33" s="49"/>
      <c r="H33" s="49"/>
      <c r="I33" s="49"/>
      <c r="J33" s="49"/>
      <c r="K33" s="49"/>
      <c r="L33" s="49"/>
    </row>
    <row r="34" spans="1:12">
      <c r="A34" s="49"/>
      <c r="B34" s="50"/>
      <c r="C34" s="50"/>
      <c r="D34" s="49"/>
      <c r="E34" s="49"/>
      <c r="F34" s="49"/>
      <c r="G34" s="49"/>
      <c r="H34" s="49"/>
      <c r="I34" s="49"/>
      <c r="J34" s="49"/>
      <c r="K34" s="49"/>
      <c r="L34" s="49"/>
    </row>
    <row r="35" spans="1:12">
      <c r="A35" s="49"/>
      <c r="B35" s="50"/>
      <c r="C35" s="50"/>
      <c r="D35" s="49"/>
      <c r="E35" s="49"/>
      <c r="F35" s="49"/>
      <c r="G35" s="49"/>
      <c r="H35" s="49"/>
      <c r="I35" s="49"/>
      <c r="J35" s="49"/>
      <c r="K35" s="49"/>
      <c r="L35" s="49"/>
    </row>
    <row r="36" spans="1:12">
      <c r="A36" s="49"/>
      <c r="B36" s="50"/>
      <c r="C36" s="50"/>
      <c r="D36" s="49"/>
      <c r="E36" s="49"/>
      <c r="F36" s="49"/>
      <c r="G36" s="49"/>
      <c r="H36" s="49"/>
      <c r="I36" s="49"/>
      <c r="J36" s="49"/>
      <c r="K36" s="49"/>
      <c r="L36" s="49"/>
    </row>
    <row r="37" spans="1:12">
      <c r="A37" s="49"/>
      <c r="B37" s="50"/>
      <c r="C37" s="50"/>
      <c r="D37" s="49"/>
      <c r="E37" s="49"/>
      <c r="F37" s="49"/>
      <c r="G37" s="49"/>
      <c r="H37" s="49"/>
      <c r="I37" s="49"/>
      <c r="J37" s="49"/>
      <c r="K37" s="49"/>
      <c r="L37" s="49"/>
    </row>
    <row r="38" spans="1:12">
      <c r="A38" s="49"/>
      <c r="B38" s="50"/>
      <c r="C38" s="50"/>
      <c r="D38" s="49"/>
      <c r="E38" s="49"/>
      <c r="F38" s="49"/>
      <c r="G38" s="49"/>
      <c r="H38" s="49"/>
      <c r="I38" s="49"/>
      <c r="J38" s="49"/>
      <c r="K38" s="49"/>
      <c r="L38" s="49"/>
    </row>
    <row r="39" spans="1:12" s="49" customFormat="1">
      <c r="B39" s="50"/>
      <c r="C39" s="50"/>
    </row>
    <row r="40" spans="1:12" s="49" customFormat="1">
      <c r="B40" s="50"/>
      <c r="C40" s="50"/>
    </row>
    <row r="41" spans="1:12" s="49" customFormat="1">
      <c r="B41" s="50"/>
      <c r="C41" s="50"/>
    </row>
    <row r="42" spans="1:12" s="49" customFormat="1">
      <c r="B42" s="50"/>
      <c r="C42" s="50"/>
    </row>
    <row r="43" spans="1:12" s="49" customFormat="1">
      <c r="B43" s="50"/>
      <c r="C43" s="50"/>
    </row>
    <row r="44" spans="1:12" s="49" customFormat="1">
      <c r="B44" s="50"/>
      <c r="C44" s="50"/>
    </row>
    <row r="45" spans="1:12" s="49" customFormat="1">
      <c r="B45" s="50"/>
      <c r="C45" s="50"/>
    </row>
    <row r="46" spans="1:12" s="49" customFormat="1">
      <c r="B46" s="50"/>
      <c r="C46" s="50"/>
    </row>
    <row r="47" spans="1:12" s="49" customFormat="1">
      <c r="B47" s="50"/>
      <c r="C47" s="50"/>
    </row>
    <row r="48" spans="1:12" s="49" customFormat="1">
      <c r="B48" s="50"/>
      <c r="C48" s="50"/>
    </row>
    <row r="49" spans="2:3" s="49" customFormat="1">
      <c r="B49" s="50"/>
      <c r="C49" s="50"/>
    </row>
    <row r="50" spans="2:3" s="49" customFormat="1">
      <c r="B50" s="50"/>
      <c r="C50" s="50"/>
    </row>
    <row r="51" spans="2:3" s="49" customFormat="1">
      <c r="B51" s="50"/>
      <c r="C51" s="50"/>
    </row>
    <row r="52" spans="2:3" s="49" customFormat="1">
      <c r="B52" s="50"/>
      <c r="C52" s="50"/>
    </row>
    <row r="53" spans="2:3" s="49" customFormat="1">
      <c r="B53" s="50"/>
      <c r="C53" s="50"/>
    </row>
    <row r="54" spans="2:3" s="49" customFormat="1">
      <c r="B54" s="50"/>
      <c r="C54" s="50"/>
    </row>
    <row r="55" spans="2:3" s="49" customFormat="1">
      <c r="B55" s="50"/>
      <c r="C55" s="50"/>
    </row>
    <row r="56" spans="2:3" s="49" customFormat="1">
      <c r="B56" s="50"/>
      <c r="C56" s="50"/>
    </row>
    <row r="57" spans="2:3" s="49" customFormat="1">
      <c r="B57" s="50"/>
      <c r="C57" s="50"/>
    </row>
    <row r="58" spans="2:3" s="49" customFormat="1">
      <c r="B58" s="50"/>
      <c r="C58" s="50"/>
    </row>
    <row r="59" spans="2:3" s="49" customFormat="1">
      <c r="B59" s="50"/>
      <c r="C59" s="50"/>
    </row>
    <row r="60" spans="2:3" s="49" customFormat="1">
      <c r="B60" s="50"/>
      <c r="C60" s="50"/>
    </row>
    <row r="61" spans="2:3" s="49" customFormat="1">
      <c r="B61" s="50"/>
      <c r="C61" s="50"/>
    </row>
    <row r="62" spans="2:3" s="49" customFormat="1">
      <c r="B62" s="50"/>
      <c r="C62" s="50"/>
    </row>
    <row r="63" spans="2:3" s="49" customFormat="1">
      <c r="B63" s="50"/>
      <c r="C63" s="50"/>
    </row>
    <row r="64" spans="2:3" s="49" customFormat="1">
      <c r="B64" s="50"/>
      <c r="C64" s="50"/>
    </row>
    <row r="65" spans="2:3" s="49" customFormat="1">
      <c r="B65" s="50"/>
      <c r="C65" s="50"/>
    </row>
    <row r="66" spans="2:3" s="49" customFormat="1">
      <c r="B66" s="50"/>
      <c r="C66" s="50"/>
    </row>
    <row r="67" spans="2:3" s="49" customFormat="1">
      <c r="B67" s="50"/>
      <c r="C67" s="50"/>
    </row>
    <row r="68" spans="2:3" s="49" customFormat="1">
      <c r="B68" s="50"/>
      <c r="C68" s="50"/>
    </row>
    <row r="69" spans="2:3" s="49" customFormat="1">
      <c r="B69" s="50"/>
      <c r="C69" s="50"/>
    </row>
    <row r="70" spans="2:3" s="49" customFormat="1">
      <c r="B70" s="50"/>
      <c r="C70" s="50"/>
    </row>
    <row r="71" spans="2:3" s="49" customFormat="1">
      <c r="B71" s="50"/>
      <c r="C71" s="50"/>
    </row>
    <row r="72" spans="2:3" s="49" customFormat="1">
      <c r="B72" s="50"/>
      <c r="C72" s="50"/>
    </row>
    <row r="73" spans="2:3" s="49" customFormat="1">
      <c r="B73" s="50"/>
      <c r="C73" s="50"/>
    </row>
    <row r="74" spans="2:3" s="49" customFormat="1">
      <c r="B74" s="50"/>
      <c r="C74" s="50"/>
    </row>
    <row r="75" spans="2:3" s="49" customFormat="1">
      <c r="B75" s="50"/>
      <c r="C75" s="50"/>
    </row>
    <row r="76" spans="2:3" s="49" customFormat="1">
      <c r="B76" s="50"/>
      <c r="C76" s="50"/>
    </row>
    <row r="77" spans="2:3" s="49" customFormat="1">
      <c r="B77" s="50"/>
      <c r="C77" s="50"/>
    </row>
    <row r="78" spans="2:3" s="49" customFormat="1">
      <c r="B78" s="50"/>
      <c r="C78" s="50"/>
    </row>
    <row r="79" spans="2:3" s="49" customFormat="1">
      <c r="B79" s="50"/>
      <c r="C79" s="50"/>
    </row>
    <row r="80" spans="2:3" s="49" customFormat="1">
      <c r="B80" s="50"/>
      <c r="C80" s="50"/>
    </row>
    <row r="81" spans="2:3" s="49" customFormat="1">
      <c r="B81" s="50"/>
      <c r="C81" s="50"/>
    </row>
    <row r="82" spans="2:3" s="49" customFormat="1">
      <c r="B82" s="50"/>
      <c r="C82" s="50"/>
    </row>
    <row r="83" spans="2:3" s="49" customFormat="1">
      <c r="B83" s="50"/>
      <c r="C83" s="50"/>
    </row>
    <row r="84" spans="2:3" s="49" customFormat="1">
      <c r="B84" s="50"/>
      <c r="C84" s="50"/>
    </row>
    <row r="85" spans="2:3" s="49" customFormat="1">
      <c r="B85" s="50"/>
      <c r="C85" s="50"/>
    </row>
    <row r="86" spans="2:3" s="49" customFormat="1">
      <c r="B86" s="50"/>
      <c r="C86" s="50"/>
    </row>
    <row r="87" spans="2:3" s="49" customFormat="1">
      <c r="B87" s="50"/>
      <c r="C87" s="50"/>
    </row>
    <row r="88" spans="2:3" s="49" customFormat="1">
      <c r="B88" s="50"/>
      <c r="C88" s="50"/>
    </row>
    <row r="89" spans="2:3" s="49" customFormat="1">
      <c r="B89" s="50"/>
      <c r="C89" s="50"/>
    </row>
    <row r="90" spans="2:3" s="49" customFormat="1">
      <c r="B90" s="50"/>
      <c r="C90" s="50"/>
    </row>
    <row r="91" spans="2:3" s="49" customFormat="1">
      <c r="B91" s="50"/>
      <c r="C91" s="50"/>
    </row>
    <row r="92" spans="2:3" s="49" customFormat="1">
      <c r="B92" s="50"/>
      <c r="C92" s="50"/>
    </row>
    <row r="93" spans="2:3" s="49" customFormat="1">
      <c r="B93" s="50"/>
      <c r="C93" s="50"/>
    </row>
    <row r="94" spans="2:3" s="49" customFormat="1">
      <c r="B94" s="50"/>
      <c r="C94" s="50"/>
    </row>
    <row r="95" spans="2:3" s="49" customFormat="1">
      <c r="B95" s="50"/>
      <c r="C95" s="50"/>
    </row>
    <row r="96" spans="2:3" s="49" customFormat="1">
      <c r="B96" s="50"/>
      <c r="C96" s="50"/>
    </row>
    <row r="97" spans="2:3" s="49" customFormat="1">
      <c r="B97" s="50"/>
      <c r="C97" s="50"/>
    </row>
    <row r="98" spans="2:3" s="49" customFormat="1">
      <c r="B98" s="50"/>
      <c r="C98" s="50"/>
    </row>
    <row r="99" spans="2:3" s="49" customFormat="1">
      <c r="B99" s="50"/>
      <c r="C99" s="50"/>
    </row>
    <row r="100" spans="2:3" s="49" customFormat="1">
      <c r="B100" s="50"/>
      <c r="C100" s="50"/>
    </row>
    <row r="101" spans="2:3" s="49" customFormat="1">
      <c r="B101" s="50"/>
      <c r="C101" s="50"/>
    </row>
    <row r="102" spans="2:3" s="49" customFormat="1">
      <c r="B102" s="50"/>
      <c r="C102" s="50"/>
    </row>
    <row r="103" spans="2:3" s="49" customFormat="1">
      <c r="B103" s="50"/>
      <c r="C103" s="50"/>
    </row>
    <row r="104" spans="2:3" s="49" customFormat="1">
      <c r="B104" s="50"/>
      <c r="C104" s="50"/>
    </row>
    <row r="105" spans="2:3" s="49" customFormat="1">
      <c r="B105" s="50"/>
      <c r="C105" s="50"/>
    </row>
    <row r="106" spans="2:3" s="49" customFormat="1">
      <c r="B106" s="50"/>
      <c r="C106" s="50"/>
    </row>
    <row r="107" spans="2:3" s="49" customFormat="1">
      <c r="B107" s="50"/>
      <c r="C107" s="50"/>
    </row>
    <row r="108" spans="2:3" s="49" customFormat="1">
      <c r="B108" s="50"/>
      <c r="C108" s="50"/>
    </row>
    <row r="109" spans="2:3" s="49" customFormat="1">
      <c r="B109" s="50"/>
      <c r="C109" s="50"/>
    </row>
    <row r="110" spans="2:3" s="49" customFormat="1">
      <c r="B110" s="50"/>
      <c r="C110" s="50"/>
    </row>
    <row r="111" spans="2:3" s="49" customFormat="1">
      <c r="B111" s="50"/>
      <c r="C111" s="50"/>
    </row>
    <row r="112" spans="2:3" s="49" customFormat="1">
      <c r="B112" s="50"/>
      <c r="C112" s="50"/>
    </row>
    <row r="113" spans="2:3" s="49" customFormat="1">
      <c r="B113" s="50"/>
      <c r="C113" s="50"/>
    </row>
    <row r="114" spans="2:3" s="49" customFormat="1">
      <c r="B114" s="50"/>
      <c r="C114" s="50"/>
    </row>
    <row r="115" spans="2:3" s="49" customFormat="1">
      <c r="B115" s="50"/>
      <c r="C115" s="50"/>
    </row>
    <row r="116" spans="2:3" s="49" customFormat="1">
      <c r="B116" s="50"/>
      <c r="C116" s="50"/>
    </row>
    <row r="117" spans="2:3" s="49" customFormat="1">
      <c r="B117" s="50"/>
      <c r="C117" s="50"/>
    </row>
    <row r="118" spans="2:3" s="49" customFormat="1">
      <c r="B118" s="50"/>
      <c r="C118" s="50"/>
    </row>
    <row r="119" spans="2:3" s="49" customFormat="1">
      <c r="B119" s="50"/>
      <c r="C119" s="50"/>
    </row>
    <row r="120" spans="2:3" s="49" customFormat="1">
      <c r="B120" s="50"/>
      <c r="C120" s="50"/>
    </row>
    <row r="121" spans="2:3" s="49" customFormat="1">
      <c r="B121" s="50"/>
      <c r="C121" s="50"/>
    </row>
    <row r="122" spans="2:3" s="49" customFormat="1">
      <c r="B122" s="50"/>
      <c r="C122" s="50"/>
    </row>
    <row r="123" spans="2:3" s="49" customFormat="1">
      <c r="B123" s="50"/>
      <c r="C123" s="50"/>
    </row>
    <row r="124" spans="2:3" s="49" customFormat="1">
      <c r="B124" s="50"/>
      <c r="C124" s="50"/>
    </row>
    <row r="125" spans="2:3" s="49" customFormat="1">
      <c r="B125" s="50"/>
      <c r="C125" s="50"/>
    </row>
    <row r="126" spans="2:3" s="49" customFormat="1">
      <c r="B126" s="50"/>
      <c r="C126" s="50"/>
    </row>
    <row r="127" spans="2:3" s="49" customFormat="1">
      <c r="B127" s="50"/>
      <c r="C127" s="50"/>
    </row>
    <row r="128" spans="2:3" s="49" customFormat="1">
      <c r="B128" s="50"/>
      <c r="C128" s="50"/>
    </row>
    <row r="129" spans="2:3" s="49" customFormat="1">
      <c r="B129" s="50"/>
      <c r="C129" s="50"/>
    </row>
    <row r="130" spans="2:3" s="49" customFormat="1">
      <c r="B130" s="50"/>
      <c r="C130" s="50"/>
    </row>
    <row r="131" spans="2:3" s="49" customFormat="1">
      <c r="B131" s="50"/>
      <c r="C131" s="50"/>
    </row>
    <row r="132" spans="2:3" s="49" customFormat="1">
      <c r="B132" s="50"/>
      <c r="C132" s="50"/>
    </row>
    <row r="133" spans="2:3" s="49" customFormat="1">
      <c r="B133" s="50"/>
      <c r="C133" s="50"/>
    </row>
    <row r="134" spans="2:3" s="49" customFormat="1">
      <c r="B134" s="50"/>
      <c r="C134" s="50"/>
    </row>
    <row r="135" spans="2:3" s="49" customFormat="1">
      <c r="B135" s="50"/>
      <c r="C135" s="50"/>
    </row>
    <row r="136" spans="2:3" s="49" customFormat="1">
      <c r="B136" s="50"/>
      <c r="C136" s="50"/>
    </row>
    <row r="137" spans="2:3" s="49" customFormat="1">
      <c r="B137" s="50"/>
      <c r="C137" s="50"/>
    </row>
    <row r="138" spans="2:3" s="49" customFormat="1">
      <c r="B138" s="50"/>
      <c r="C138" s="50"/>
    </row>
    <row r="139" spans="2:3" s="49" customFormat="1">
      <c r="B139" s="50"/>
      <c r="C139" s="50"/>
    </row>
    <row r="140" spans="2:3" s="49" customFormat="1">
      <c r="B140" s="50"/>
      <c r="C140" s="50"/>
    </row>
    <row r="141" spans="2:3" s="49" customFormat="1">
      <c r="B141" s="50"/>
      <c r="C141" s="50"/>
    </row>
    <row r="142" spans="2:3" s="49" customFormat="1">
      <c r="B142" s="50"/>
      <c r="C142" s="50"/>
    </row>
    <row r="143" spans="2:3" s="49" customFormat="1">
      <c r="B143" s="50"/>
      <c r="C143" s="50"/>
    </row>
    <row r="144" spans="2:3" s="49" customFormat="1">
      <c r="B144" s="50"/>
      <c r="C144" s="50"/>
    </row>
    <row r="145" spans="2:3" s="49" customFormat="1">
      <c r="B145" s="50"/>
      <c r="C145" s="50"/>
    </row>
    <row r="146" spans="2:3" s="49" customFormat="1">
      <c r="B146" s="50"/>
      <c r="C146" s="50"/>
    </row>
    <row r="147" spans="2:3" s="49" customFormat="1">
      <c r="B147" s="50"/>
      <c r="C147" s="50"/>
    </row>
    <row r="148" spans="2:3" s="49" customFormat="1">
      <c r="B148" s="50"/>
      <c r="C148" s="50"/>
    </row>
    <row r="149" spans="2:3" s="49" customFormat="1">
      <c r="B149" s="50"/>
      <c r="C149" s="50"/>
    </row>
    <row r="150" spans="2:3" s="49" customFormat="1">
      <c r="B150" s="50"/>
      <c r="C150" s="50"/>
    </row>
    <row r="151" spans="2:3" s="49" customFormat="1">
      <c r="B151" s="50"/>
      <c r="C151" s="50"/>
    </row>
    <row r="152" spans="2:3" s="49" customFormat="1">
      <c r="B152" s="50"/>
      <c r="C152" s="50"/>
    </row>
    <row r="153" spans="2:3" s="49" customFormat="1">
      <c r="B153" s="50"/>
      <c r="C153" s="50"/>
    </row>
    <row r="154" spans="2:3" s="49" customFormat="1">
      <c r="B154" s="50"/>
      <c r="C154" s="50"/>
    </row>
    <row r="155" spans="2:3" s="49" customFormat="1">
      <c r="B155" s="50"/>
      <c r="C155" s="50"/>
    </row>
    <row r="156" spans="2:3" s="49" customFormat="1">
      <c r="B156" s="50"/>
      <c r="C156" s="50"/>
    </row>
    <row r="157" spans="2:3" s="49" customFormat="1">
      <c r="B157" s="50"/>
      <c r="C157" s="50"/>
    </row>
    <row r="158" spans="2:3" s="49" customFormat="1">
      <c r="B158" s="50"/>
      <c r="C158" s="50"/>
    </row>
    <row r="159" spans="2:3" s="49" customFormat="1">
      <c r="B159" s="50"/>
      <c r="C159" s="50"/>
    </row>
    <row r="160" spans="2:3" s="49" customFormat="1">
      <c r="B160" s="50"/>
      <c r="C160" s="50"/>
    </row>
    <row r="161" spans="2:3" s="49" customFormat="1">
      <c r="B161" s="50"/>
      <c r="C161" s="50"/>
    </row>
    <row r="162" spans="2:3" s="49" customFormat="1">
      <c r="B162" s="50"/>
      <c r="C162" s="50"/>
    </row>
    <row r="163" spans="2:3" s="49" customFormat="1">
      <c r="B163" s="50"/>
      <c r="C163" s="50"/>
    </row>
    <row r="164" spans="2:3" s="49" customFormat="1">
      <c r="B164" s="50"/>
      <c r="C164" s="50"/>
    </row>
    <row r="165" spans="2:3" s="49" customFormat="1">
      <c r="B165" s="50"/>
      <c r="C165" s="50"/>
    </row>
    <row r="166" spans="2:3" s="49" customFormat="1">
      <c r="B166" s="50"/>
      <c r="C166" s="50"/>
    </row>
    <row r="167" spans="2:3" s="49" customFormat="1">
      <c r="B167" s="50"/>
      <c r="C167" s="50"/>
    </row>
    <row r="168" spans="2:3" s="49" customFormat="1">
      <c r="B168" s="50"/>
      <c r="C168" s="50"/>
    </row>
    <row r="169" spans="2:3" s="49" customFormat="1">
      <c r="B169" s="50"/>
      <c r="C169" s="50"/>
    </row>
    <row r="170" spans="2:3" s="49" customFormat="1">
      <c r="B170" s="50"/>
      <c r="C170" s="50"/>
    </row>
    <row r="171" spans="2:3" s="49" customFormat="1">
      <c r="B171" s="50"/>
      <c r="C171" s="50"/>
    </row>
    <row r="172" spans="2:3" s="49" customFormat="1">
      <c r="B172" s="50"/>
      <c r="C172" s="50"/>
    </row>
    <row r="173" spans="2:3" s="49" customFormat="1">
      <c r="B173" s="50"/>
      <c r="C173" s="50"/>
    </row>
    <row r="174" spans="2:3" s="49" customFormat="1">
      <c r="B174" s="50"/>
      <c r="C174" s="50"/>
    </row>
    <row r="175" spans="2:3" s="49" customFormat="1">
      <c r="B175" s="50"/>
      <c r="C175" s="50"/>
    </row>
    <row r="176" spans="2:3" s="49" customFormat="1">
      <c r="B176" s="50"/>
      <c r="C176" s="50"/>
    </row>
    <row r="177" spans="2:3" s="49" customFormat="1">
      <c r="B177" s="50"/>
      <c r="C177" s="50"/>
    </row>
    <row r="178" spans="2:3" s="49" customFormat="1">
      <c r="B178" s="50"/>
      <c r="C178" s="50"/>
    </row>
    <row r="179" spans="2:3" s="49" customFormat="1">
      <c r="B179" s="50"/>
      <c r="C179" s="50"/>
    </row>
    <row r="180" spans="2:3" s="49" customFormat="1">
      <c r="B180" s="50"/>
      <c r="C180" s="50"/>
    </row>
    <row r="181" spans="2:3" s="49" customFormat="1">
      <c r="B181" s="50"/>
      <c r="C181" s="50"/>
    </row>
    <row r="182" spans="2:3" s="49" customFormat="1">
      <c r="B182" s="50"/>
      <c r="C182" s="50"/>
    </row>
    <row r="183" spans="2:3" s="49" customFormat="1">
      <c r="B183" s="50"/>
      <c r="C183" s="50"/>
    </row>
    <row r="184" spans="2:3" s="49" customFormat="1">
      <c r="B184" s="50"/>
      <c r="C184" s="50"/>
    </row>
    <row r="185" spans="2:3" s="49" customFormat="1">
      <c r="B185" s="50"/>
      <c r="C185" s="50"/>
    </row>
    <row r="186" spans="2:3" s="49" customFormat="1">
      <c r="B186" s="50"/>
      <c r="C186" s="50"/>
    </row>
    <row r="187" spans="2:3" s="49" customFormat="1">
      <c r="B187" s="50"/>
      <c r="C187" s="50"/>
    </row>
    <row r="188" spans="2:3" s="49" customFormat="1">
      <c r="B188" s="50"/>
      <c r="C188" s="50"/>
    </row>
    <row r="189" spans="2:3" s="49" customFormat="1">
      <c r="B189" s="50"/>
      <c r="C189" s="50"/>
    </row>
    <row r="190" spans="2:3" s="49" customFormat="1">
      <c r="B190" s="50"/>
      <c r="C190" s="50"/>
    </row>
    <row r="191" spans="2:3" s="49" customFormat="1">
      <c r="B191" s="50"/>
      <c r="C191" s="50"/>
    </row>
    <row r="192" spans="2:3" s="49" customFormat="1">
      <c r="B192" s="50"/>
      <c r="C192" s="50"/>
    </row>
    <row r="193" spans="2:3" s="49" customFormat="1">
      <c r="B193" s="50"/>
      <c r="C193" s="50"/>
    </row>
    <row r="194" spans="2:3" s="49" customFormat="1">
      <c r="B194" s="50"/>
      <c r="C194" s="50"/>
    </row>
    <row r="195" spans="2:3" s="49" customFormat="1">
      <c r="B195" s="50"/>
      <c r="C195" s="50"/>
    </row>
    <row r="196" spans="2:3" s="49" customFormat="1">
      <c r="B196" s="50"/>
      <c r="C196" s="50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99"/>
  <sheetViews>
    <sheetView topLeftCell="J1" zoomScale="80" zoomScaleNormal="80" workbookViewId="0">
      <pane ySplit="4" topLeftCell="A416" activePane="bottomLeft" state="frozen"/>
      <selection activeCell="K24" sqref="K24"/>
      <selection pane="bottomLeft" activeCell="Q420" sqref="Q420"/>
    </sheetView>
  </sheetViews>
  <sheetFormatPr defaultColWidth="9.265625" defaultRowHeight="13.5"/>
  <cols>
    <col min="1" max="1" width="2.265625" style="49" hidden="1" customWidth="1"/>
    <col min="2" max="2" width="6.265625" style="4" hidden="1" customWidth="1"/>
    <col min="3" max="3" width="35.265625" style="4" hidden="1" customWidth="1"/>
    <col min="4" max="4" width="53.73046875" style="4" hidden="1" customWidth="1"/>
    <col min="5" max="5" width="7.265625" style="7" hidden="1" customWidth="1"/>
    <col min="6" max="6" width="14.73046875" style="398" hidden="1" customWidth="1"/>
    <col min="7" max="7" width="16.265625" style="4" hidden="1" customWidth="1"/>
    <col min="8" max="8" width="16.73046875" style="49" hidden="1" customWidth="1"/>
    <col min="9" max="9" width="20" style="276" hidden="1" customWidth="1"/>
    <col min="10" max="10" width="20" style="276" bestFit="1" customWidth="1"/>
    <col min="11" max="11" width="5.265625" style="49" customWidth="1"/>
    <col min="12" max="12" width="6.265625" style="49" bestFit="1" customWidth="1"/>
    <col min="13" max="13" width="23.73046875" style="49" bestFit="1" customWidth="1"/>
    <col min="14" max="14" width="60.73046875" style="49" customWidth="1"/>
    <col min="15" max="15" width="21" style="49" bestFit="1" customWidth="1"/>
    <col min="16" max="16" width="16.265625" style="49" bestFit="1" customWidth="1"/>
    <col min="17" max="17" width="16.73046875" style="49" bestFit="1" customWidth="1"/>
    <col min="18" max="18" width="44" style="49" bestFit="1" customWidth="1"/>
    <col min="19" max="19" width="46.73046875" style="49" bestFit="1" customWidth="1"/>
    <col min="20" max="20" width="14" style="49" bestFit="1" customWidth="1"/>
    <col min="21" max="21" width="22.3984375" style="49" customWidth="1"/>
    <col min="22" max="22" width="18" style="49" customWidth="1"/>
    <col min="23" max="23" width="16.73046875" style="49" bestFit="1" customWidth="1"/>
    <col min="24" max="24" width="19.265625" style="49" bestFit="1" customWidth="1"/>
    <col min="25" max="25" width="27.265625" style="49" bestFit="1" customWidth="1"/>
    <col min="26" max="26" width="23" style="49" bestFit="1" customWidth="1"/>
    <col min="27" max="27" width="7.73046875" style="49" bestFit="1" customWidth="1"/>
    <col min="28" max="28" width="88" style="49" bestFit="1" customWidth="1"/>
    <col min="29" max="75" width="17.265625" style="49" customWidth="1"/>
    <col min="76" max="16384" width="9.265625" style="4"/>
  </cols>
  <sheetData>
    <row r="1" spans="1:75" s="49" customFormat="1" ht="4.5" customHeight="1" thickBot="1">
      <c r="E1" s="92"/>
      <c r="F1" s="388"/>
      <c r="H1" s="289"/>
      <c r="I1" s="182"/>
      <c r="J1" s="182"/>
      <c r="O1" s="92"/>
      <c r="P1" s="388"/>
      <c r="Q1" s="289"/>
      <c r="R1" s="289"/>
      <c r="S1" s="289"/>
      <c r="T1" s="289"/>
      <c r="U1" s="289"/>
      <c r="V1" s="289"/>
      <c r="W1" s="289"/>
      <c r="Y1" s="409"/>
    </row>
    <row r="2" spans="1:75" ht="21.75" customHeight="1" thickBot="1">
      <c r="B2" s="876" t="s">
        <v>250</v>
      </c>
      <c r="C2" s="877"/>
      <c r="D2" s="877"/>
      <c r="E2" s="877"/>
      <c r="F2" s="877"/>
      <c r="G2" s="877"/>
      <c r="H2" s="688"/>
      <c r="I2" s="184">
        <f>SUM(I6:I440)</f>
        <v>56096452.079139791</v>
      </c>
      <c r="J2" s="184">
        <f>SUM(J6:J440)-5000</f>
        <v>59994999.999999985</v>
      </c>
      <c r="L2" s="878" t="s">
        <v>251</v>
      </c>
      <c r="M2" s="879"/>
      <c r="N2" s="879"/>
      <c r="O2" s="879"/>
      <c r="P2" s="879"/>
      <c r="Q2" s="879"/>
      <c r="R2" s="880" t="s">
        <v>252</v>
      </c>
      <c r="S2" s="881"/>
      <c r="T2" s="881"/>
      <c r="U2" s="881"/>
      <c r="V2" s="881"/>
      <c r="W2" s="882"/>
      <c r="X2" s="405">
        <f>SUM(X6:X440)</f>
        <v>48292163.206446104</v>
      </c>
    </row>
    <row r="3" spans="1:75" s="49" customFormat="1" ht="13.5" customHeight="1" thickBot="1">
      <c r="E3" s="92"/>
      <c r="F3" s="388"/>
      <c r="I3" s="182"/>
      <c r="J3" s="295"/>
      <c r="O3" s="92"/>
      <c r="P3" s="388"/>
      <c r="Q3" s="183"/>
      <c r="X3" s="406"/>
    </row>
    <row r="4" spans="1:75" s="7" customFormat="1" ht="42" thickBot="1">
      <c r="A4" s="92"/>
      <c r="B4" s="185" t="s">
        <v>253</v>
      </c>
      <c r="C4" s="186" t="s">
        <v>254</v>
      </c>
      <c r="D4" s="186" t="s">
        <v>255</v>
      </c>
      <c r="E4" s="186" t="s">
        <v>256</v>
      </c>
      <c r="F4" s="389" t="s">
        <v>257</v>
      </c>
      <c r="G4" s="187" t="s">
        <v>258</v>
      </c>
      <c r="H4" s="297" t="s">
        <v>259</v>
      </c>
      <c r="I4" s="188" t="s">
        <v>260</v>
      </c>
      <c r="J4" s="188" t="str">
        <f>IF(J2-'Revenue Tracking'!D4&gt;=0, "Total Revenue", "ERROR on REV" )</f>
        <v>ERROR on REV</v>
      </c>
      <c r="K4" s="92"/>
      <c r="L4" s="185" t="s">
        <v>253</v>
      </c>
      <c r="M4" s="186" t="s">
        <v>261</v>
      </c>
      <c r="N4" s="186" t="s">
        <v>255</v>
      </c>
      <c r="O4" s="186" t="s">
        <v>256</v>
      </c>
      <c r="P4" s="389" t="s">
        <v>257</v>
      </c>
      <c r="Q4" s="299" t="s">
        <v>262</v>
      </c>
      <c r="R4" s="541" t="s">
        <v>263</v>
      </c>
      <c r="S4" s="542" t="s">
        <v>31</v>
      </c>
      <c r="T4" s="297" t="s">
        <v>32</v>
      </c>
      <c r="U4" s="298" t="s">
        <v>264</v>
      </c>
      <c r="V4" s="299" t="s">
        <v>265</v>
      </c>
      <c r="W4" s="297" t="s">
        <v>259</v>
      </c>
      <c r="X4" s="407" t="s">
        <v>260</v>
      </c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</row>
    <row r="5" spans="1:75" s="1" customFormat="1" ht="7.5" customHeight="1" thickBot="1">
      <c r="B5" s="189"/>
      <c r="C5" s="190"/>
      <c r="D5" s="190"/>
      <c r="E5" s="191"/>
      <c r="F5" s="390"/>
      <c r="G5" s="192"/>
      <c r="H5" s="426"/>
      <c r="I5" s="193"/>
      <c r="J5" s="193"/>
      <c r="K5" s="194"/>
      <c r="L5" s="189"/>
      <c r="M5" s="190"/>
      <c r="N5" s="190"/>
      <c r="O5" s="191"/>
      <c r="P5" s="390"/>
      <c r="Q5" s="403"/>
      <c r="R5" s="425"/>
      <c r="S5" s="543"/>
      <c r="T5" s="426"/>
      <c r="U5" s="426"/>
      <c r="V5" s="426"/>
      <c r="W5" s="426"/>
      <c r="X5" s="408"/>
      <c r="Y5" s="40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</row>
    <row r="6" spans="1:75" ht="14.25" customHeight="1">
      <c r="B6" s="207">
        <v>1</v>
      </c>
      <c r="C6" s="277" t="s">
        <v>266</v>
      </c>
      <c r="D6" s="208" t="s">
        <v>267</v>
      </c>
      <c r="E6" s="209"/>
      <c r="F6" s="361"/>
      <c r="G6" s="317">
        <f>D441</f>
        <v>14537831.300000001</v>
      </c>
      <c r="H6" s="459">
        <v>45827</v>
      </c>
      <c r="I6" s="841">
        <f>SUM(G6:G19)</f>
        <v>14537831.300000001</v>
      </c>
      <c r="J6" s="841">
        <f>F441</f>
        <v>15101045.605359133</v>
      </c>
      <c r="K6" s="314"/>
      <c r="L6" s="207">
        <v>1</v>
      </c>
      <c r="M6" s="342" t="s">
        <v>268</v>
      </c>
      <c r="N6" s="208" t="s">
        <v>269</v>
      </c>
      <c r="O6" s="475">
        <v>11420</v>
      </c>
      <c r="P6" s="566">
        <v>0.1</v>
      </c>
      <c r="Q6" s="317">
        <f>13735976*0.1</f>
        <v>1373597.6</v>
      </c>
      <c r="R6" s="874" t="s">
        <v>270</v>
      </c>
      <c r="S6" s="544" t="s">
        <v>271</v>
      </c>
      <c r="T6" s="639">
        <v>45869</v>
      </c>
      <c r="U6" s="641">
        <v>1510104.5605359133</v>
      </c>
      <c r="V6" s="829">
        <f>J6-SUM(U6:U19)</f>
        <v>0</v>
      </c>
      <c r="W6" s="459">
        <v>45827</v>
      </c>
      <c r="X6" s="883">
        <f>SUM(Q6:Q21)</f>
        <v>13751216</v>
      </c>
      <c r="Y6" s="409"/>
    </row>
    <row r="7" spans="1:75" ht="15" customHeight="1">
      <c r="B7" s="237">
        <v>1</v>
      </c>
      <c r="C7" s="343"/>
      <c r="D7" s="315" t="s">
        <v>272</v>
      </c>
      <c r="E7" s="316"/>
      <c r="F7" s="383"/>
      <c r="G7" s="241"/>
      <c r="H7" s="496"/>
      <c r="I7" s="842"/>
      <c r="J7" s="842"/>
      <c r="K7" s="214"/>
      <c r="L7" s="237">
        <v>1</v>
      </c>
      <c r="M7" s="239" t="s">
        <v>268</v>
      </c>
      <c r="N7" s="315"/>
      <c r="O7" s="476"/>
      <c r="P7" s="368"/>
      <c r="Q7" s="241"/>
      <c r="R7" s="839"/>
      <c r="S7" s="545"/>
      <c r="T7" s="610" t="s">
        <v>273</v>
      </c>
      <c r="U7" s="615">
        <v>0</v>
      </c>
      <c r="V7" s="830"/>
      <c r="W7" s="496"/>
      <c r="X7" s="884"/>
      <c r="Y7" s="409"/>
    </row>
    <row r="8" spans="1:75" ht="15" customHeight="1">
      <c r="B8" s="309">
        <v>1</v>
      </c>
      <c r="C8" s="412"/>
      <c r="D8" s="413"/>
      <c r="E8" s="414"/>
      <c r="F8" s="368"/>
      <c r="G8" s="312"/>
      <c r="H8" s="496"/>
      <c r="I8" s="842"/>
      <c r="J8" s="842"/>
      <c r="K8" s="214"/>
      <c r="L8" s="237">
        <v>1</v>
      </c>
      <c r="M8" s="239" t="s">
        <v>268</v>
      </c>
      <c r="N8" s="413" t="s">
        <v>274</v>
      </c>
      <c r="O8" s="477">
        <v>5112</v>
      </c>
      <c r="P8" s="368">
        <v>1202.8</v>
      </c>
      <c r="Q8" s="241">
        <f>1675740.96/1.15</f>
        <v>1457166.0521739132</v>
      </c>
      <c r="R8" s="839"/>
      <c r="S8" s="544" t="s">
        <v>275</v>
      </c>
      <c r="T8" s="610">
        <v>45869</v>
      </c>
      <c r="U8" s="615">
        <v>6083790.7724287482</v>
      </c>
      <c r="V8" s="830"/>
      <c r="W8" s="692">
        <v>45925</v>
      </c>
      <c r="X8" s="884"/>
      <c r="Y8" s="409"/>
    </row>
    <row r="9" spans="1:75" ht="15" customHeight="1">
      <c r="B9" s="309"/>
      <c r="C9" s="412"/>
      <c r="D9" s="413"/>
      <c r="E9" s="414"/>
      <c r="F9" s="368"/>
      <c r="G9" s="312"/>
      <c r="H9" s="497"/>
      <c r="I9" s="842"/>
      <c r="J9" s="842"/>
      <c r="K9" s="214"/>
      <c r="L9" s="237">
        <v>1</v>
      </c>
      <c r="M9" s="239" t="s">
        <v>268</v>
      </c>
      <c r="N9" s="413"/>
      <c r="O9" s="790">
        <f>O8*620/1000</f>
        <v>3169.44</v>
      </c>
      <c r="P9" s="368"/>
      <c r="Q9" s="241">
        <f>(2000000+237905.06+2243727.74)/1.15</f>
        <v>3897072.0000000009</v>
      </c>
      <c r="R9" s="839"/>
      <c r="S9" s="544" t="s">
        <v>275</v>
      </c>
      <c r="T9" s="610">
        <v>45869</v>
      </c>
      <c r="U9" s="616">
        <v>0</v>
      </c>
      <c r="V9" s="830"/>
      <c r="W9" s="710">
        <v>45946</v>
      </c>
      <c r="X9" s="884"/>
      <c r="Y9" s="409"/>
    </row>
    <row r="10" spans="1:75" ht="15" customHeight="1">
      <c r="B10" s="309"/>
      <c r="C10" s="412"/>
      <c r="D10" s="413"/>
      <c r="E10" s="414"/>
      <c r="F10" s="368"/>
      <c r="G10" s="312"/>
      <c r="H10" s="497"/>
      <c r="I10" s="842"/>
      <c r="J10" s="842"/>
      <c r="K10" s="214"/>
      <c r="L10" s="237">
        <v>1</v>
      </c>
      <c r="M10" s="239" t="s">
        <v>268</v>
      </c>
      <c r="N10" s="413"/>
      <c r="O10" s="711"/>
      <c r="P10" s="368"/>
      <c r="Q10" s="241">
        <f>6148713.6-Q8-Q9-614871.36</f>
        <v>179604.18782608525</v>
      </c>
      <c r="R10" s="839"/>
      <c r="S10" s="544" t="s">
        <v>275</v>
      </c>
      <c r="T10" s="610">
        <v>45869</v>
      </c>
      <c r="U10" s="616">
        <v>0</v>
      </c>
      <c r="V10" s="830"/>
      <c r="W10" s="710">
        <v>46031</v>
      </c>
      <c r="X10" s="884"/>
      <c r="Y10" s="409"/>
    </row>
    <row r="11" spans="1:75" ht="15" customHeight="1">
      <c r="B11" s="309">
        <v>1</v>
      </c>
      <c r="C11" s="412"/>
      <c r="D11" s="413"/>
      <c r="E11" s="414"/>
      <c r="F11" s="368"/>
      <c r="G11" s="312"/>
      <c r="H11" s="497"/>
      <c r="I11" s="842"/>
      <c r="J11" s="842"/>
      <c r="K11" s="214"/>
      <c r="L11" s="237">
        <v>1</v>
      </c>
      <c r="M11" s="239" t="s">
        <v>268</v>
      </c>
      <c r="N11" s="413" t="s">
        <v>276</v>
      </c>
      <c r="O11" s="477">
        <f>4032+2268</f>
        <v>6300</v>
      </c>
      <c r="P11" s="368">
        <v>1202.8</v>
      </c>
      <c r="Q11" s="241">
        <v>869565.22</v>
      </c>
      <c r="R11" s="839"/>
      <c r="S11" s="544" t="s">
        <v>275</v>
      </c>
      <c r="T11" s="610">
        <v>45869</v>
      </c>
      <c r="U11" s="616">
        <v>7497629.4730635975</v>
      </c>
      <c r="V11" s="830"/>
      <c r="W11" s="710">
        <v>46031</v>
      </c>
      <c r="X11" s="884"/>
      <c r="Y11" s="409"/>
    </row>
    <row r="12" spans="1:75" ht="15" customHeight="1">
      <c r="B12" s="309"/>
      <c r="C12" s="412"/>
      <c r="D12" s="413"/>
      <c r="E12" s="414"/>
      <c r="F12" s="368"/>
      <c r="G12" s="312"/>
      <c r="H12" s="497"/>
      <c r="I12" s="842"/>
      <c r="J12" s="842"/>
      <c r="K12" s="214"/>
      <c r="L12" s="237">
        <v>1</v>
      </c>
      <c r="M12" s="239" t="s">
        <v>268</v>
      </c>
      <c r="N12" s="413"/>
      <c r="O12" s="477">
        <f>O11*620/1000</f>
        <v>3906</v>
      </c>
      <c r="P12" s="368"/>
      <c r="Q12" s="241">
        <v>637461.31000000006</v>
      </c>
      <c r="R12" s="839"/>
      <c r="S12" s="544" t="s">
        <v>275</v>
      </c>
      <c r="T12" s="610">
        <v>45869</v>
      </c>
      <c r="U12" s="616">
        <v>0</v>
      </c>
      <c r="V12" s="830"/>
      <c r="W12" s="710">
        <v>46031</v>
      </c>
      <c r="X12" s="884"/>
      <c r="Y12" s="409"/>
    </row>
    <row r="13" spans="1:75" ht="15" customHeight="1">
      <c r="B13" s="309"/>
      <c r="C13" s="412"/>
      <c r="D13" s="413"/>
      <c r="E13" s="414"/>
      <c r="F13" s="368"/>
      <c r="G13" s="312"/>
      <c r="H13" s="497"/>
      <c r="I13" s="842"/>
      <c r="J13" s="842"/>
      <c r="K13" s="214"/>
      <c r="L13" s="237">
        <v>1</v>
      </c>
      <c r="M13" s="239" t="s">
        <v>268</v>
      </c>
      <c r="N13" s="413"/>
      <c r="O13" s="477"/>
      <c r="P13" s="368"/>
      <c r="Q13" s="241">
        <v>1006679.1304347827</v>
      </c>
      <c r="R13" s="839"/>
      <c r="S13" s="544" t="s">
        <v>275</v>
      </c>
      <c r="T13" s="610">
        <v>45869</v>
      </c>
      <c r="U13" s="616">
        <v>0</v>
      </c>
      <c r="V13" s="830"/>
      <c r="W13" s="710">
        <v>46037</v>
      </c>
      <c r="X13" s="884"/>
      <c r="Y13" s="409"/>
    </row>
    <row r="14" spans="1:75" ht="15" customHeight="1">
      <c r="B14" s="309"/>
      <c r="C14" s="412"/>
      <c r="D14" s="413"/>
      <c r="E14" s="414"/>
      <c r="F14" s="368"/>
      <c r="G14" s="312"/>
      <c r="H14" s="497"/>
      <c r="I14" s="842"/>
      <c r="J14" s="842"/>
      <c r="K14" s="214"/>
      <c r="L14" s="237">
        <v>1</v>
      </c>
      <c r="M14" s="239" t="s">
        <v>268</v>
      </c>
      <c r="N14" s="797"/>
      <c r="O14" s="477"/>
      <c r="P14" s="368"/>
      <c r="Q14" s="241">
        <v>1277597.209</v>
      </c>
      <c r="R14" s="839"/>
      <c r="S14" s="544" t="s">
        <v>275</v>
      </c>
      <c r="T14" s="610">
        <v>45869</v>
      </c>
      <c r="U14" s="616">
        <v>0</v>
      </c>
      <c r="V14" s="830"/>
      <c r="W14" s="461">
        <v>46045</v>
      </c>
      <c r="X14" s="884"/>
      <c r="Y14" s="409"/>
    </row>
    <row r="15" spans="1:75" ht="15" customHeight="1">
      <c r="B15" s="309"/>
      <c r="C15" s="412"/>
      <c r="D15" s="413"/>
      <c r="E15" s="414"/>
      <c r="F15" s="368"/>
      <c r="G15" s="312"/>
      <c r="H15" s="497"/>
      <c r="I15" s="842"/>
      <c r="J15" s="842"/>
      <c r="K15" s="214"/>
      <c r="L15" s="237">
        <v>1</v>
      </c>
      <c r="M15" s="239" t="s">
        <v>268</v>
      </c>
      <c r="N15" s="413"/>
      <c r="O15" s="477"/>
      <c r="P15" s="368"/>
      <c r="Q15" s="241">
        <v>1304347.8259999999</v>
      </c>
      <c r="R15" s="839"/>
      <c r="S15" s="544" t="s">
        <v>275</v>
      </c>
      <c r="T15" s="610">
        <v>45869</v>
      </c>
      <c r="U15" s="616">
        <v>0</v>
      </c>
      <c r="V15" s="830"/>
      <c r="W15" s="461">
        <v>46051</v>
      </c>
      <c r="X15" s="884"/>
      <c r="Y15" s="409"/>
    </row>
    <row r="16" spans="1:75" ht="15" customHeight="1">
      <c r="B16" s="309"/>
      <c r="C16" s="412"/>
      <c r="D16" s="413"/>
      <c r="E16" s="414"/>
      <c r="F16" s="368"/>
      <c r="G16" s="312"/>
      <c r="H16" s="497"/>
      <c r="I16" s="842"/>
      <c r="J16" s="842"/>
      <c r="K16" s="214"/>
      <c r="L16" s="237">
        <v>1</v>
      </c>
      <c r="M16" s="239" t="s">
        <v>268</v>
      </c>
      <c r="N16" s="413"/>
      <c r="O16" s="477"/>
      <c r="P16" s="368"/>
      <c r="Q16" s="241">
        <f>6819876-Q11-Q12-Q13-Q14-Q15</f>
        <v>1724225.3045652178</v>
      </c>
      <c r="R16" s="839"/>
      <c r="S16" s="544" t="s">
        <v>275</v>
      </c>
      <c r="T16" s="610">
        <v>45869</v>
      </c>
      <c r="U16" s="616">
        <v>0</v>
      </c>
      <c r="V16" s="830"/>
      <c r="W16" s="461">
        <v>46051</v>
      </c>
      <c r="X16" s="884"/>
      <c r="Y16" s="409"/>
    </row>
    <row r="17" spans="1:31" ht="15" customHeight="1">
      <c r="B17" s="309">
        <v>1</v>
      </c>
      <c r="C17" s="412"/>
      <c r="D17" s="413"/>
      <c r="E17" s="414"/>
      <c r="F17" s="368"/>
      <c r="G17" s="312"/>
      <c r="H17" s="497"/>
      <c r="I17" s="842"/>
      <c r="J17" s="842"/>
      <c r="K17" s="214"/>
      <c r="L17" s="237">
        <v>1</v>
      </c>
      <c r="M17" s="239" t="s">
        <v>268</v>
      </c>
      <c r="N17" s="413" t="s">
        <v>277</v>
      </c>
      <c r="O17" s="477">
        <v>8</v>
      </c>
      <c r="P17" s="368">
        <v>1202.8</v>
      </c>
      <c r="Q17" s="241">
        <f t="shared" ref="Q17" si="0">13735976*0.9*(O17/$O$6)</f>
        <v>8660.16</v>
      </c>
      <c r="R17" s="840"/>
      <c r="S17" s="544" t="s">
        <v>275</v>
      </c>
      <c r="T17" s="610">
        <v>45869</v>
      </c>
      <c r="U17" s="616">
        <v>9520.7993308744099</v>
      </c>
      <c r="V17" s="830"/>
      <c r="W17" s="461">
        <f>W16</f>
        <v>46051</v>
      </c>
      <c r="X17" s="884"/>
      <c r="Y17" s="409"/>
      <c r="AB17" s="885" t="s">
        <v>278</v>
      </c>
      <c r="AC17" s="885"/>
    </row>
    <row r="18" spans="1:31" ht="15" customHeight="1" thickBot="1">
      <c r="B18" s="242">
        <v>1</v>
      </c>
      <c r="C18" s="344"/>
      <c r="D18" s="318"/>
      <c r="E18" s="319"/>
      <c r="F18" s="384"/>
      <c r="G18" s="256"/>
      <c r="H18" s="498"/>
      <c r="I18" s="842"/>
      <c r="J18" s="842"/>
      <c r="K18" s="722"/>
      <c r="L18" s="723">
        <v>1</v>
      </c>
      <c r="M18" s="724" t="s">
        <v>268</v>
      </c>
      <c r="N18" s="724" t="s">
        <v>279</v>
      </c>
      <c r="O18" s="725">
        <v>1</v>
      </c>
      <c r="P18" s="726">
        <v>43292.88</v>
      </c>
      <c r="Q18" s="727">
        <f>P18</f>
        <v>43292.88</v>
      </c>
      <c r="R18" s="728"/>
      <c r="S18" s="729" t="s">
        <v>280</v>
      </c>
      <c r="T18" s="730">
        <v>45900</v>
      </c>
      <c r="U18" s="733">
        <v>0</v>
      </c>
      <c r="V18" s="830"/>
      <c r="W18" s="710">
        <f>W9</f>
        <v>45946</v>
      </c>
      <c r="X18" s="884"/>
      <c r="Y18" s="526" t="s">
        <v>281</v>
      </c>
      <c r="Z18" s="527" t="s">
        <v>282</v>
      </c>
    </row>
    <row r="19" spans="1:31" ht="15" customHeight="1" thickBot="1">
      <c r="B19" s="242">
        <v>1</v>
      </c>
      <c r="C19" s="344"/>
      <c r="D19" s="318"/>
      <c r="E19" s="319"/>
      <c r="F19" s="384"/>
      <c r="G19" s="256"/>
      <c r="H19" s="498"/>
      <c r="I19" s="843"/>
      <c r="J19" s="843"/>
      <c r="K19" s="215"/>
      <c r="L19" s="778">
        <v>1</v>
      </c>
      <c r="M19" s="779" t="s">
        <v>268</v>
      </c>
      <c r="N19" s="779" t="s">
        <v>279</v>
      </c>
      <c r="O19" s="780">
        <v>1</v>
      </c>
      <c r="P19" s="781">
        <v>-43292.88</v>
      </c>
      <c r="Q19" s="782">
        <f>P19</f>
        <v>-43292.88</v>
      </c>
      <c r="R19" s="783"/>
      <c r="S19" s="784" t="s">
        <v>283</v>
      </c>
      <c r="T19" s="785">
        <v>45991</v>
      </c>
      <c r="U19" s="786">
        <v>0</v>
      </c>
      <c r="V19" s="830"/>
      <c r="W19" s="799">
        <f>W16</f>
        <v>46051</v>
      </c>
      <c r="X19" s="884"/>
      <c r="Y19" s="526" t="s">
        <v>281</v>
      </c>
      <c r="Z19" s="527" t="s">
        <v>282</v>
      </c>
    </row>
    <row r="20" spans="1:31" ht="15" customHeight="1" thickBot="1">
      <c r="B20" s="578"/>
      <c r="C20" s="768"/>
      <c r="D20" s="769"/>
      <c r="E20" s="770"/>
      <c r="F20" s="582"/>
      <c r="G20" s="583"/>
      <c r="H20" s="771"/>
      <c r="I20" s="767"/>
      <c r="J20" s="767"/>
      <c r="K20" s="214"/>
      <c r="L20" s="778">
        <v>1</v>
      </c>
      <c r="M20" s="789" t="s">
        <v>268</v>
      </c>
      <c r="N20" s="779" t="s">
        <v>284</v>
      </c>
      <c r="O20" s="780">
        <v>11</v>
      </c>
      <c r="P20" s="781">
        <v>1240</v>
      </c>
      <c r="Q20" s="787">
        <f>O20*P20</f>
        <v>13640</v>
      </c>
      <c r="R20" s="783"/>
      <c r="S20" s="784" t="s">
        <v>285</v>
      </c>
      <c r="T20" s="785">
        <v>46112</v>
      </c>
      <c r="U20" s="786"/>
      <c r="V20" s="830"/>
      <c r="W20" s="813">
        <v>46149</v>
      </c>
      <c r="X20" s="884"/>
      <c r="Y20" s="772"/>
      <c r="Z20" s="773"/>
    </row>
    <row r="21" spans="1:31" ht="15" customHeight="1" thickBot="1">
      <c r="B21" s="578"/>
      <c r="C21" s="768"/>
      <c r="D21" s="769"/>
      <c r="E21" s="770"/>
      <c r="F21" s="582"/>
      <c r="G21" s="583"/>
      <c r="H21" s="771"/>
      <c r="I21" s="767"/>
      <c r="J21" s="767"/>
      <c r="K21" s="214"/>
      <c r="L21" s="578">
        <v>1</v>
      </c>
      <c r="M21" s="774" t="s">
        <v>268</v>
      </c>
      <c r="N21" s="699" t="s">
        <v>286</v>
      </c>
      <c r="O21" s="483"/>
      <c r="P21" s="376"/>
      <c r="Q21" s="788">
        <v>1600</v>
      </c>
      <c r="R21" s="731"/>
      <c r="S21" s="732" t="s">
        <v>285</v>
      </c>
      <c r="T21" s="791">
        <v>46112</v>
      </c>
      <c r="U21" s="734"/>
      <c r="V21" s="831"/>
      <c r="W21" s="814">
        <v>46149</v>
      </c>
      <c r="X21" s="884"/>
      <c r="Y21" s="772"/>
      <c r="Z21" s="773"/>
    </row>
    <row r="22" spans="1:31" ht="14.25" thickBot="1">
      <c r="A22" s="4"/>
      <c r="B22" s="202"/>
      <c r="C22" s="203"/>
      <c r="D22" s="204"/>
      <c r="E22" s="217"/>
      <c r="F22" s="380"/>
      <c r="G22" s="205"/>
      <c r="H22" s="499"/>
      <c r="I22" s="206"/>
      <c r="J22" s="206"/>
      <c r="K22" s="4"/>
      <c r="L22" s="202"/>
      <c r="M22" s="329"/>
      <c r="N22" s="204"/>
      <c r="O22" s="479"/>
      <c r="P22" s="380"/>
      <c r="Q22" s="205"/>
      <c r="R22" s="513"/>
      <c r="S22" s="548"/>
      <c r="T22" s="448" t="str">
        <f t="shared" ref="T22:T52" si="1">IF(W22&gt;1,EOMONTH(W22,0),"")</f>
        <v/>
      </c>
      <c r="U22" s="433"/>
      <c r="V22" s="424"/>
      <c r="W22" s="499"/>
      <c r="X22" s="276"/>
      <c r="Y22" s="528" t="s">
        <v>287</v>
      </c>
      <c r="Z22" s="529">
        <f>G115</f>
        <v>2941866.9</v>
      </c>
      <c r="AB22" s="592" t="s">
        <v>288</v>
      </c>
      <c r="AC22" s="593">
        <v>4000000</v>
      </c>
      <c r="AD22" s="594" t="s">
        <v>289</v>
      </c>
      <c r="AE22" s="595">
        <f>AC22/4000000</f>
        <v>1</v>
      </c>
    </row>
    <row r="23" spans="1:31" ht="14.25" customHeight="1">
      <c r="B23" s="219">
        <v>2</v>
      </c>
      <c r="C23" s="245" t="s">
        <v>290</v>
      </c>
      <c r="D23" s="245" t="s">
        <v>291</v>
      </c>
      <c r="E23" s="290"/>
      <c r="F23" s="381"/>
      <c r="G23" s="222">
        <f>D442</f>
        <v>2760000</v>
      </c>
      <c r="H23" s="463">
        <v>45820</v>
      </c>
      <c r="I23" s="862">
        <f>SUM(G23:G29)</f>
        <v>2760000</v>
      </c>
      <c r="J23" s="862">
        <f>F442</f>
        <v>2982470.7100577182</v>
      </c>
      <c r="K23" s="223"/>
      <c r="L23" s="219">
        <v>2</v>
      </c>
      <c r="M23" s="345" t="s">
        <v>292</v>
      </c>
      <c r="N23" s="245" t="s">
        <v>293</v>
      </c>
      <c r="O23" s="480">
        <v>23</v>
      </c>
      <c r="P23" s="381">
        <f>6087*17.7457</f>
        <v>108018.0759</v>
      </c>
      <c r="Q23" s="222">
        <f>O23*P23*30%</f>
        <v>745324.72370999993</v>
      </c>
      <c r="R23" s="886" t="s">
        <v>294</v>
      </c>
      <c r="S23" s="549" t="s">
        <v>295</v>
      </c>
      <c r="T23" s="640">
        <v>45869</v>
      </c>
      <c r="U23" s="642">
        <v>886426.77283851232</v>
      </c>
      <c r="V23" s="871">
        <f>J23-SUM(U23:U29)</f>
        <v>-2.8844410553574562E-4</v>
      </c>
      <c r="W23" s="463">
        <v>45820</v>
      </c>
      <c r="X23" s="865">
        <f>SUM(Q23:Q29)</f>
        <v>2495176.22371</v>
      </c>
      <c r="Y23" s="528" t="s">
        <v>296</v>
      </c>
      <c r="Z23" s="530">
        <f>G54</f>
        <v>4558110</v>
      </c>
      <c r="AB23" s="596"/>
      <c r="AE23" s="597"/>
    </row>
    <row r="24" spans="1:31" ht="14.25" customHeight="1">
      <c r="B24" s="224">
        <v>2</v>
      </c>
      <c r="C24" s="351"/>
      <c r="D24" s="334"/>
      <c r="E24" s="415"/>
      <c r="F24" s="377"/>
      <c r="G24" s="404"/>
      <c r="H24" s="464"/>
      <c r="I24" s="863"/>
      <c r="J24" s="863"/>
      <c r="K24" s="227"/>
      <c r="L24" s="224">
        <v>2</v>
      </c>
      <c r="M24" s="351" t="s">
        <v>292</v>
      </c>
      <c r="N24" s="334" t="s">
        <v>297</v>
      </c>
      <c r="O24" s="481"/>
      <c r="P24" s="377"/>
      <c r="Q24" s="404">
        <v>1749851.5</v>
      </c>
      <c r="R24" s="836"/>
      <c r="S24" s="550" t="s">
        <v>298</v>
      </c>
      <c r="T24" s="620">
        <v>45869</v>
      </c>
      <c r="U24" s="617">
        <v>2081126.7475076499</v>
      </c>
      <c r="V24" s="872"/>
      <c r="W24" s="464">
        <v>45855</v>
      </c>
      <c r="X24" s="866"/>
      <c r="Y24" s="528" t="s">
        <v>299</v>
      </c>
      <c r="Z24" s="529">
        <f>G214</f>
        <v>1062060</v>
      </c>
      <c r="AA24" s="565">
        <f>Z24/7080000</f>
        <v>0.1500084745762712</v>
      </c>
      <c r="AB24" s="596" t="s">
        <v>300</v>
      </c>
      <c r="AE24" s="597"/>
    </row>
    <row r="25" spans="1:31" ht="14.25" customHeight="1">
      <c r="B25" s="224">
        <v>2</v>
      </c>
      <c r="C25" s="351"/>
      <c r="D25" s="334"/>
      <c r="E25" s="415"/>
      <c r="F25" s="377"/>
      <c r="G25" s="404"/>
      <c r="H25" s="501"/>
      <c r="I25" s="863"/>
      <c r="J25" s="863"/>
      <c r="K25" s="227"/>
      <c r="L25" s="224">
        <v>2</v>
      </c>
      <c r="M25" s="351" t="s">
        <v>292</v>
      </c>
      <c r="N25" s="334"/>
      <c r="O25" s="481"/>
      <c r="P25" s="377"/>
      <c r="Q25" s="404"/>
      <c r="R25" s="836"/>
      <c r="S25" s="550"/>
      <c r="T25" s="450" t="str">
        <f t="shared" si="1"/>
        <v/>
      </c>
      <c r="U25" s="435">
        <f>(Q25/$X$23*$J$23)</f>
        <v>0</v>
      </c>
      <c r="V25" s="872"/>
      <c r="W25" s="501"/>
      <c r="X25" s="866"/>
      <c r="Y25" s="528" t="s">
        <v>301</v>
      </c>
      <c r="Z25" s="529">
        <f>G215</f>
        <v>3298351.2369999997</v>
      </c>
      <c r="AA25" s="565">
        <f>Z25/7080000</f>
        <v>0.46586881878531072</v>
      </c>
      <c r="AB25" s="598" t="s">
        <v>302</v>
      </c>
      <c r="AC25" s="599">
        <v>550000</v>
      </c>
      <c r="AD25" s="600"/>
      <c r="AE25" s="601"/>
    </row>
    <row r="26" spans="1:31" ht="14.25" customHeight="1">
      <c r="B26" s="224">
        <v>2</v>
      </c>
      <c r="C26" s="351"/>
      <c r="D26" s="334"/>
      <c r="E26" s="415"/>
      <c r="F26" s="377"/>
      <c r="G26" s="404"/>
      <c r="H26" s="464"/>
      <c r="I26" s="863"/>
      <c r="J26" s="863"/>
      <c r="K26" s="227"/>
      <c r="L26" s="224">
        <v>2</v>
      </c>
      <c r="M26" s="351" t="s">
        <v>292</v>
      </c>
      <c r="N26" s="334"/>
      <c r="O26" s="588"/>
      <c r="P26" s="377"/>
      <c r="Q26" s="404"/>
      <c r="R26" s="837"/>
      <c r="S26" s="550"/>
      <c r="T26" s="608">
        <v>45900</v>
      </c>
      <c r="U26" s="617">
        <v>14917.189999999999</v>
      </c>
      <c r="V26" s="872"/>
      <c r="W26" s="464">
        <v>45820</v>
      </c>
      <c r="X26" s="866"/>
      <c r="Y26" s="528" t="s">
        <v>303</v>
      </c>
      <c r="Z26" s="529">
        <f>G258</f>
        <v>85000</v>
      </c>
    </row>
    <row r="27" spans="1:31" ht="14.25" customHeight="1">
      <c r="B27" s="224">
        <v>2</v>
      </c>
      <c r="C27" s="351"/>
      <c r="D27" s="334"/>
      <c r="E27" s="415"/>
      <c r="F27" s="377"/>
      <c r="G27" s="404"/>
      <c r="H27" s="501"/>
      <c r="I27" s="863"/>
      <c r="J27" s="863"/>
      <c r="K27" s="227"/>
      <c r="L27" s="224">
        <v>2</v>
      </c>
      <c r="M27" s="351" t="s">
        <v>292</v>
      </c>
      <c r="N27" s="792" t="s">
        <v>304</v>
      </c>
      <c r="O27" s="588"/>
      <c r="P27" s="377"/>
      <c r="Q27" s="404">
        <v>899.72</v>
      </c>
      <c r="R27" s="515"/>
      <c r="S27" s="550" t="s">
        <v>305</v>
      </c>
      <c r="T27" s="608">
        <v>46022</v>
      </c>
      <c r="U27" s="715">
        <v>0</v>
      </c>
      <c r="V27" s="872"/>
      <c r="W27" s="703">
        <v>46053</v>
      </c>
      <c r="X27" s="866"/>
      <c r="Y27" s="528" t="s">
        <v>306</v>
      </c>
      <c r="Z27" s="529">
        <f>G259</f>
        <v>133245.9</v>
      </c>
      <c r="AB27" s="592" t="s">
        <v>307</v>
      </c>
      <c r="AC27" s="594"/>
      <c r="AD27" s="594"/>
      <c r="AE27" s="602"/>
    </row>
    <row r="28" spans="1:31" ht="14.25" customHeight="1">
      <c r="B28" s="224">
        <v>2</v>
      </c>
      <c r="C28" s="351"/>
      <c r="D28" s="334"/>
      <c r="E28" s="415"/>
      <c r="F28" s="377"/>
      <c r="G28" s="404"/>
      <c r="H28" s="501"/>
      <c r="I28" s="863"/>
      <c r="J28" s="863"/>
      <c r="K28" s="227"/>
      <c r="L28" s="224">
        <v>2</v>
      </c>
      <c r="M28" s="351" t="s">
        <v>292</v>
      </c>
      <c r="N28" s="334"/>
      <c r="O28" s="481"/>
      <c r="P28" s="377"/>
      <c r="Q28" s="404">
        <v>-899.72</v>
      </c>
      <c r="R28" s="515"/>
      <c r="S28" s="550" t="s">
        <v>305</v>
      </c>
      <c r="T28" s="714">
        <v>46053</v>
      </c>
      <c r="U28" s="715">
        <v>0</v>
      </c>
      <c r="V28" s="872"/>
      <c r="W28" s="703">
        <v>46053</v>
      </c>
      <c r="X28" s="866"/>
      <c r="Y28" s="528" t="s">
        <v>308</v>
      </c>
      <c r="Z28" s="529">
        <f>G263</f>
        <v>176058.33333333331</v>
      </c>
      <c r="AB28" s="596"/>
      <c r="AE28" s="597"/>
    </row>
    <row r="29" spans="1:31" ht="15" customHeight="1" thickBot="1">
      <c r="B29" s="321">
        <v>2</v>
      </c>
      <c r="C29" s="322"/>
      <c r="D29" s="322"/>
      <c r="E29" s="323"/>
      <c r="F29" s="391"/>
      <c r="G29" s="324"/>
      <c r="H29" s="502"/>
      <c r="I29" s="864"/>
      <c r="J29" s="864"/>
      <c r="K29" s="232"/>
      <c r="L29" s="321">
        <v>2</v>
      </c>
      <c r="M29" s="346" t="s">
        <v>292</v>
      </c>
      <c r="N29" s="322"/>
      <c r="O29" s="482"/>
      <c r="P29" s="391"/>
      <c r="Q29" s="324"/>
      <c r="R29" s="516"/>
      <c r="S29" s="551"/>
      <c r="T29" s="451" t="str">
        <f t="shared" si="1"/>
        <v/>
      </c>
      <c r="U29" s="436">
        <f>(Q29/$X$23*$J$23)</f>
        <v>0</v>
      </c>
      <c r="V29" s="873"/>
      <c r="W29" s="502"/>
      <c r="X29" s="867"/>
      <c r="Y29" s="528" t="s">
        <v>309</v>
      </c>
      <c r="Z29" s="529">
        <v>0</v>
      </c>
      <c r="AB29" s="596" t="s">
        <v>310</v>
      </c>
      <c r="AC29" s="603">
        <v>2500000</v>
      </c>
      <c r="AD29" s="49" t="s">
        <v>311</v>
      </c>
      <c r="AE29" s="604">
        <f>AC29/3000000</f>
        <v>0.83333333333333337</v>
      </c>
    </row>
    <row r="30" spans="1:31" ht="14.25" thickBot="1">
      <c r="A30" s="4"/>
      <c r="B30" s="216"/>
      <c r="C30" s="203"/>
      <c r="D30" s="203"/>
      <c r="E30" s="217"/>
      <c r="F30" s="380"/>
      <c r="G30" s="218"/>
      <c r="H30" s="499"/>
      <c r="I30" s="206"/>
      <c r="J30" s="206"/>
      <c r="K30" s="4"/>
      <c r="L30" s="216"/>
      <c r="M30" s="203"/>
      <c r="N30" s="203"/>
      <c r="O30" s="479"/>
      <c r="P30" s="380"/>
      <c r="Q30" s="218"/>
      <c r="R30" s="513"/>
      <c r="S30" s="548"/>
      <c r="T30" s="448" t="str">
        <f t="shared" si="1"/>
        <v/>
      </c>
      <c r="U30" s="437"/>
      <c r="V30" s="420"/>
      <c r="W30" s="499"/>
      <c r="X30" s="276"/>
      <c r="Y30" s="528"/>
      <c r="Z30" s="529"/>
      <c r="AB30" s="596"/>
      <c r="AE30" s="597"/>
    </row>
    <row r="31" spans="1:31" ht="14.25" customHeight="1">
      <c r="B31" s="207">
        <v>3</v>
      </c>
      <c r="C31" s="235" t="s">
        <v>312</v>
      </c>
      <c r="D31" s="253" t="s">
        <v>313</v>
      </c>
      <c r="E31" s="209"/>
      <c r="F31" s="361"/>
      <c r="G31" s="210">
        <f>D443</f>
        <v>7358785.9097348731</v>
      </c>
      <c r="H31" s="636">
        <v>45867</v>
      </c>
      <c r="I31" s="841">
        <f>SUM(G31:G51)</f>
        <v>7358785.9097348731</v>
      </c>
      <c r="J31" s="841">
        <f>F443</f>
        <v>7951943.2744093109</v>
      </c>
      <c r="K31" s="211"/>
      <c r="L31" s="207">
        <v>3</v>
      </c>
      <c r="M31" s="347" t="s">
        <v>314</v>
      </c>
      <c r="N31" s="253" t="s">
        <v>315</v>
      </c>
      <c r="O31" s="475">
        <v>19830</v>
      </c>
      <c r="P31" s="361">
        <v>22.88</v>
      </c>
      <c r="Q31" s="210">
        <f>O31*P31</f>
        <v>453710.39999999997</v>
      </c>
      <c r="R31" s="874" t="s">
        <v>316</v>
      </c>
      <c r="S31" s="552" t="s">
        <v>317</v>
      </c>
      <c r="T31" s="609">
        <v>45838</v>
      </c>
      <c r="U31" s="614">
        <v>870407.92269117013</v>
      </c>
      <c r="V31" s="829">
        <f>J31-SUM(U31:U51)</f>
        <v>0</v>
      </c>
      <c r="W31" s="636">
        <v>45867</v>
      </c>
      <c r="X31" s="826">
        <f>SUM(Q31:Q51)</f>
        <v>4061009.86</v>
      </c>
      <c r="Y31" s="528" t="s">
        <v>318</v>
      </c>
      <c r="Z31" s="531">
        <v>0</v>
      </c>
      <c r="AB31" s="596" t="s">
        <v>319</v>
      </c>
      <c r="AE31" s="597"/>
    </row>
    <row r="32" spans="1:31" ht="14.25" customHeight="1">
      <c r="B32" s="237">
        <v>3</v>
      </c>
      <c r="C32" s="238"/>
      <c r="D32" s="254"/>
      <c r="E32" s="240"/>
      <c r="F32" s="383"/>
      <c r="G32" s="241"/>
      <c r="H32" s="637"/>
      <c r="I32" s="842"/>
      <c r="J32" s="842"/>
      <c r="K32" s="214"/>
      <c r="L32" s="237">
        <v>3</v>
      </c>
      <c r="M32" s="348" t="s">
        <v>314</v>
      </c>
      <c r="N32" s="254" t="s">
        <v>320</v>
      </c>
      <c r="O32" s="476">
        <v>39660</v>
      </c>
      <c r="P32" s="383">
        <v>5.87</v>
      </c>
      <c r="Q32" s="241">
        <f t="shared" ref="Q32:Q39" si="2">O32*P32</f>
        <v>232804.2</v>
      </c>
      <c r="R32" s="839"/>
      <c r="S32" s="545" t="s">
        <v>317</v>
      </c>
      <c r="T32" s="610">
        <v>45838</v>
      </c>
      <c r="U32" s="615">
        <v>446616.65263961267</v>
      </c>
      <c r="V32" s="830"/>
      <c r="W32" s="637">
        <v>45867</v>
      </c>
      <c r="X32" s="827"/>
      <c r="Y32" s="528" t="s">
        <v>321</v>
      </c>
      <c r="Z32" s="529">
        <f>SUM(Z22:Z31)</f>
        <v>12254692.370333334</v>
      </c>
      <c r="AB32" s="598" t="s">
        <v>302</v>
      </c>
      <c r="AC32" s="599">
        <v>590000</v>
      </c>
      <c r="AD32" s="600"/>
      <c r="AE32" s="601"/>
    </row>
    <row r="33" spans="2:27" ht="14.25" customHeight="1">
      <c r="B33" s="237"/>
      <c r="C33" s="238"/>
      <c r="D33" s="254"/>
      <c r="E33" s="240"/>
      <c r="F33" s="383"/>
      <c r="G33" s="241"/>
      <c r="H33" s="637"/>
      <c r="I33" s="842"/>
      <c r="J33" s="842"/>
      <c r="K33" s="214"/>
      <c r="L33" s="237">
        <v>3</v>
      </c>
      <c r="M33" s="348" t="s">
        <v>314</v>
      </c>
      <c r="N33" s="254" t="s">
        <v>322</v>
      </c>
      <c r="O33" s="476">
        <v>18030</v>
      </c>
      <c r="P33" s="383">
        <v>10.64</v>
      </c>
      <c r="Q33" s="241">
        <v>197183</v>
      </c>
      <c r="R33" s="839"/>
      <c r="S33" s="545" t="s">
        <v>317</v>
      </c>
      <c r="T33" s="610">
        <v>45838</v>
      </c>
      <c r="U33" s="615">
        <v>378280.16598255851</v>
      </c>
      <c r="V33" s="830"/>
      <c r="W33" s="637">
        <v>45867</v>
      </c>
      <c r="X33" s="827"/>
      <c r="Y33" s="528" t="s">
        <v>323</v>
      </c>
      <c r="Z33" s="532">
        <f>+Z32*0.85</f>
        <v>10416488.514783334</v>
      </c>
    </row>
    <row r="34" spans="2:27" ht="14.25" customHeight="1">
      <c r="B34" s="237"/>
      <c r="C34" s="238"/>
      <c r="D34" s="254"/>
      <c r="E34" s="240"/>
      <c r="F34" s="383"/>
      <c r="G34" s="241"/>
      <c r="H34" s="637"/>
      <c r="I34" s="842"/>
      <c r="J34" s="842"/>
      <c r="K34" s="214"/>
      <c r="L34" s="237">
        <v>3</v>
      </c>
      <c r="M34" s="348" t="s">
        <v>314</v>
      </c>
      <c r="N34" s="254" t="s">
        <v>324</v>
      </c>
      <c r="O34" s="476">
        <v>-470</v>
      </c>
      <c r="P34" s="383">
        <v>10.64</v>
      </c>
      <c r="Q34" s="241">
        <f>O34*P34</f>
        <v>-5000.8</v>
      </c>
      <c r="R34" s="839"/>
      <c r="S34" s="545" t="s">
        <v>325</v>
      </c>
      <c r="T34" s="687">
        <v>46081</v>
      </c>
      <c r="U34" s="615"/>
      <c r="V34" s="830"/>
      <c r="W34" s="692">
        <v>46081</v>
      </c>
      <c r="X34" s="827"/>
      <c r="Y34" s="528"/>
      <c r="Z34" s="532"/>
    </row>
    <row r="35" spans="2:27" ht="14.25" customHeight="1">
      <c r="B35" s="237"/>
      <c r="C35" s="238"/>
      <c r="D35" s="254"/>
      <c r="E35" s="240"/>
      <c r="F35" s="383"/>
      <c r="G35" s="241"/>
      <c r="H35" s="637"/>
      <c r="I35" s="842"/>
      <c r="J35" s="842"/>
      <c r="K35" s="214"/>
      <c r="L35" s="237">
        <v>3</v>
      </c>
      <c r="M35" s="348" t="s">
        <v>314</v>
      </c>
      <c r="N35" s="254" t="s">
        <v>326</v>
      </c>
      <c r="O35" s="476">
        <v>1820</v>
      </c>
      <c r="P35" s="383">
        <v>10.96</v>
      </c>
      <c r="Q35" s="241">
        <v>20391.2</v>
      </c>
      <c r="R35" s="839"/>
      <c r="S35" s="545" t="s">
        <v>317</v>
      </c>
      <c r="T35" s="610">
        <v>45838</v>
      </c>
      <c r="U35" s="615">
        <v>39118.922628135013</v>
      </c>
      <c r="V35" s="830"/>
      <c r="W35" s="637">
        <v>45867</v>
      </c>
      <c r="X35" s="827"/>
      <c r="Y35" s="533" t="s">
        <v>327</v>
      </c>
      <c r="Z35" s="531">
        <f>Z33/'Project Plan'!$E$3/1000</f>
        <v>1.4712554399411488</v>
      </c>
    </row>
    <row r="36" spans="2:27" ht="14.25" customHeight="1">
      <c r="B36" s="237"/>
      <c r="C36" s="238"/>
      <c r="D36" s="254"/>
      <c r="E36" s="240"/>
      <c r="F36" s="383"/>
      <c r="G36" s="241"/>
      <c r="H36" s="496"/>
      <c r="I36" s="842"/>
      <c r="J36" s="842"/>
      <c r="K36" s="214"/>
      <c r="L36" s="237">
        <v>3</v>
      </c>
      <c r="M36" s="348" t="s">
        <v>314</v>
      </c>
      <c r="N36" s="254"/>
      <c r="O36" s="476"/>
      <c r="P36" s="383"/>
      <c r="Q36" s="241"/>
      <c r="R36" s="839"/>
      <c r="S36" s="545"/>
      <c r="T36" s="445"/>
      <c r="U36" s="615">
        <v>0</v>
      </c>
      <c r="V36" s="830"/>
      <c r="W36" s="496"/>
      <c r="X36" s="827"/>
    </row>
    <row r="37" spans="2:27" ht="14.25" customHeight="1">
      <c r="B37" s="237"/>
      <c r="C37" s="238"/>
      <c r="D37" s="254"/>
      <c r="E37" s="240"/>
      <c r="F37" s="383"/>
      <c r="G37" s="241"/>
      <c r="H37" s="637"/>
      <c r="I37" s="842"/>
      <c r="J37" s="842"/>
      <c r="K37" s="214"/>
      <c r="L37" s="237">
        <v>3</v>
      </c>
      <c r="M37" s="348" t="s">
        <v>314</v>
      </c>
      <c r="N37" s="254" t="s">
        <v>328</v>
      </c>
      <c r="O37" s="476">
        <f>O31*0.1</f>
        <v>1983</v>
      </c>
      <c r="P37" s="383">
        <v>22.88</v>
      </c>
      <c r="Q37" s="241">
        <f t="shared" si="2"/>
        <v>45371.040000000001</v>
      </c>
      <c r="R37" s="839"/>
      <c r="S37" s="545" t="s">
        <v>317</v>
      </c>
      <c r="T37" s="610">
        <v>45838</v>
      </c>
      <c r="U37" s="615">
        <v>87040.79226911701</v>
      </c>
      <c r="V37" s="830"/>
      <c r="W37" s="637">
        <v>45867</v>
      </c>
      <c r="X37" s="827"/>
      <c r="Y37" s="534" t="s">
        <v>2</v>
      </c>
      <c r="Z37" s="535" t="s">
        <v>329</v>
      </c>
    </row>
    <row r="38" spans="2:27" ht="14.25" customHeight="1">
      <c r="B38" s="237"/>
      <c r="C38" s="238"/>
      <c r="D38" s="254"/>
      <c r="E38" s="240"/>
      <c r="F38" s="383"/>
      <c r="G38" s="241"/>
      <c r="H38" s="637"/>
      <c r="I38" s="842"/>
      <c r="J38" s="842"/>
      <c r="K38" s="214"/>
      <c r="L38" s="237">
        <v>3</v>
      </c>
      <c r="M38" s="348" t="s">
        <v>314</v>
      </c>
      <c r="N38" s="254" t="s">
        <v>330</v>
      </c>
      <c r="O38" s="476">
        <v>-220</v>
      </c>
      <c r="P38" s="383">
        <v>22.88</v>
      </c>
      <c r="Q38" s="241">
        <f>O38*P38</f>
        <v>-5033.5999999999995</v>
      </c>
      <c r="R38" s="839"/>
      <c r="S38" s="545" t="s">
        <v>325</v>
      </c>
      <c r="T38" s="687">
        <v>46081</v>
      </c>
      <c r="U38" s="615"/>
      <c r="V38" s="830"/>
      <c r="W38" s="692">
        <v>46081</v>
      </c>
      <c r="X38" s="827"/>
      <c r="Y38" s="776"/>
      <c r="Z38" s="777"/>
    </row>
    <row r="39" spans="2:27" ht="14.25" customHeight="1">
      <c r="B39" s="237"/>
      <c r="C39" s="238"/>
      <c r="D39" s="254"/>
      <c r="E39" s="240"/>
      <c r="F39" s="383"/>
      <c r="G39" s="241"/>
      <c r="H39" s="637"/>
      <c r="I39" s="842"/>
      <c r="J39" s="842"/>
      <c r="K39" s="214"/>
      <c r="L39" s="237">
        <v>3</v>
      </c>
      <c r="M39" s="348" t="s">
        <v>314</v>
      </c>
      <c r="N39" s="254" t="s">
        <v>331</v>
      </c>
      <c r="O39" s="476">
        <f>O37*2</f>
        <v>3966</v>
      </c>
      <c r="P39" s="383">
        <v>5.87</v>
      </c>
      <c r="Q39" s="241">
        <f t="shared" si="2"/>
        <v>23280.420000000002</v>
      </c>
      <c r="R39" s="839"/>
      <c r="S39" s="545" t="s">
        <v>317</v>
      </c>
      <c r="T39" s="610">
        <v>45838</v>
      </c>
      <c r="U39" s="615">
        <v>44661.665263961266</v>
      </c>
      <c r="V39" s="830"/>
      <c r="W39" s="637">
        <v>45867</v>
      </c>
      <c r="X39" s="827"/>
      <c r="Y39" s="536" t="str">
        <f t="shared" ref="Y39:Y46" si="3">Y22</f>
        <v>AC Equipment</v>
      </c>
      <c r="Z39" s="537">
        <v>2941866.9</v>
      </c>
    </row>
    <row r="40" spans="2:27" ht="14.25" customHeight="1">
      <c r="B40" s="237"/>
      <c r="C40" s="238"/>
      <c r="D40" s="254"/>
      <c r="E40" s="240"/>
      <c r="F40" s="383"/>
      <c r="G40" s="241"/>
      <c r="H40" s="496"/>
      <c r="I40" s="842"/>
      <c r="J40" s="842"/>
      <c r="K40" s="214"/>
      <c r="L40" s="237">
        <v>3</v>
      </c>
      <c r="M40" s="348" t="s">
        <v>314</v>
      </c>
      <c r="N40" s="254"/>
      <c r="O40" s="476"/>
      <c r="P40" s="383"/>
      <c r="Q40" s="241"/>
      <c r="R40" s="839"/>
      <c r="S40" s="545"/>
      <c r="T40" s="445"/>
      <c r="U40" s="615">
        <v>0</v>
      </c>
      <c r="V40" s="830"/>
      <c r="W40" s="496"/>
      <c r="X40" s="827"/>
      <c r="Y40" s="536" t="str">
        <f t="shared" si="3"/>
        <v>DC Equipment</v>
      </c>
      <c r="Z40" s="537">
        <v>4558110</v>
      </c>
    </row>
    <row r="41" spans="2:27" ht="14.25" customHeight="1">
      <c r="B41" s="237"/>
      <c r="C41" s="238"/>
      <c r="D41" s="254"/>
      <c r="E41" s="240"/>
      <c r="F41" s="383"/>
      <c r="G41" s="241"/>
      <c r="H41" s="637"/>
      <c r="I41" s="842"/>
      <c r="J41" s="842"/>
      <c r="K41" s="214"/>
      <c r="L41" s="237">
        <v>3</v>
      </c>
      <c r="M41" s="348" t="s">
        <v>314</v>
      </c>
      <c r="N41" s="254" t="s">
        <v>332</v>
      </c>
      <c r="O41" s="476"/>
      <c r="P41" s="383"/>
      <c r="Q41" s="241">
        <v>17564</v>
      </c>
      <c r="R41" s="840"/>
      <c r="S41" s="545" t="s">
        <v>317</v>
      </c>
      <c r="T41" s="610">
        <v>45838</v>
      </c>
      <c r="U41" s="615">
        <v>33695.16051240552</v>
      </c>
      <c r="V41" s="830"/>
      <c r="W41" s="637">
        <v>45867</v>
      </c>
      <c r="X41" s="827"/>
      <c r="Y41" s="536" t="str">
        <f t="shared" si="3"/>
        <v>AC Labour</v>
      </c>
      <c r="Z41" s="537">
        <f>AA41*7080000</f>
        <v>1770000</v>
      </c>
      <c r="AA41" s="570">
        <v>0.25</v>
      </c>
    </row>
    <row r="42" spans="2:27" ht="14.25" customHeight="1">
      <c r="B42" s="237"/>
      <c r="C42" s="238"/>
      <c r="D42" s="254"/>
      <c r="E42" s="240"/>
      <c r="F42" s="383"/>
      <c r="G42" s="241"/>
      <c r="H42" s="496"/>
      <c r="I42" s="842"/>
      <c r="J42" s="842"/>
      <c r="K42" s="214"/>
      <c r="L42" s="237">
        <v>3</v>
      </c>
      <c r="M42" s="348" t="s">
        <v>314</v>
      </c>
      <c r="N42" s="254"/>
      <c r="O42" s="476"/>
      <c r="P42" s="383"/>
      <c r="Q42" s="241"/>
      <c r="R42" s="510"/>
      <c r="S42" s="545"/>
      <c r="T42" s="687"/>
      <c r="U42" s="430">
        <f>(Q42/$X$31*$J$31)</f>
        <v>0</v>
      </c>
      <c r="V42" s="830"/>
      <c r="W42" s="692">
        <v>45930</v>
      </c>
      <c r="X42" s="827"/>
      <c r="Y42" s="536" t="str">
        <f t="shared" si="3"/>
        <v>DC Labour</v>
      </c>
      <c r="Z42" s="537">
        <f>AA42*7080000</f>
        <v>4602000</v>
      </c>
      <c r="AA42" s="565">
        <v>0.65</v>
      </c>
    </row>
    <row r="43" spans="2:27" ht="14.25" customHeight="1">
      <c r="B43" s="237"/>
      <c r="C43" s="238"/>
      <c r="D43" s="254"/>
      <c r="E43" s="240"/>
      <c r="F43" s="383"/>
      <c r="G43" s="241"/>
      <c r="H43" s="496"/>
      <c r="I43" s="842"/>
      <c r="J43" s="842"/>
      <c r="K43" s="214"/>
      <c r="L43" s="237">
        <v>3</v>
      </c>
      <c r="M43" s="348" t="s">
        <v>314</v>
      </c>
      <c r="N43" s="254"/>
      <c r="O43" s="476"/>
      <c r="P43" s="383"/>
      <c r="Q43" s="241"/>
      <c r="R43" s="510"/>
      <c r="S43" s="545"/>
      <c r="T43" s="687"/>
      <c r="U43" s="430">
        <f>(Q43/$X$31*$J$31)</f>
        <v>0</v>
      </c>
      <c r="V43" s="830"/>
      <c r="W43" s="692">
        <v>45930</v>
      </c>
      <c r="X43" s="827"/>
      <c r="Y43" s="536" t="str">
        <f t="shared" si="3"/>
        <v>Offloading</v>
      </c>
      <c r="Z43" s="537">
        <v>85000</v>
      </c>
    </row>
    <row r="44" spans="2:27" ht="14.25" customHeight="1">
      <c r="B44" s="237"/>
      <c r="C44" s="238"/>
      <c r="D44" s="254"/>
      <c r="E44" s="240"/>
      <c r="F44" s="383"/>
      <c r="G44" s="241"/>
      <c r="H44" s="496"/>
      <c r="I44" s="842"/>
      <c r="J44" s="842"/>
      <c r="K44" s="214"/>
      <c r="L44" s="237">
        <v>3</v>
      </c>
      <c r="M44" s="348" t="s">
        <v>314</v>
      </c>
      <c r="N44" s="254"/>
      <c r="O44" s="476"/>
      <c r="P44" s="383"/>
      <c r="Q44" s="241"/>
      <c r="R44" s="510"/>
      <c r="S44" s="545"/>
      <c r="T44" s="445" t="str">
        <f t="shared" ref="T44" si="4">IF(W44&gt;1,EOMONTH(W44,0),"")</f>
        <v/>
      </c>
      <c r="U44" s="430">
        <f>(Q44/$X$31*$J$31)</f>
        <v>0</v>
      </c>
      <c r="V44" s="830"/>
      <c r="W44" s="496"/>
      <c r="X44" s="827"/>
      <c r="Y44" s="536" t="str">
        <f t="shared" si="3"/>
        <v>Scaffolding</v>
      </c>
      <c r="Z44" s="537">
        <v>133245.9</v>
      </c>
    </row>
    <row r="45" spans="2:27" ht="14.25" customHeight="1">
      <c r="B45" s="237">
        <v>3</v>
      </c>
      <c r="C45" s="238"/>
      <c r="D45" s="254"/>
      <c r="E45" s="240"/>
      <c r="F45" s="383"/>
      <c r="G45" s="241"/>
      <c r="H45" s="460"/>
      <c r="I45" s="842"/>
      <c r="J45" s="842"/>
      <c r="K45" s="214"/>
      <c r="L45" s="237">
        <v>3</v>
      </c>
      <c r="M45" s="348" t="s">
        <v>314</v>
      </c>
      <c r="N45" s="254" t="s">
        <v>333</v>
      </c>
      <c r="O45" s="567">
        <f>O8*620/1000</f>
        <v>3169.44</v>
      </c>
      <c r="P45" s="383">
        <v>0.97201398354283397</v>
      </c>
      <c r="Q45" s="241">
        <f>O45*P45*1000*0.5</f>
        <v>1540370</v>
      </c>
      <c r="R45" s="838" t="s">
        <v>334</v>
      </c>
      <c r="S45" s="545" t="s">
        <v>335</v>
      </c>
      <c r="T45" s="610">
        <v>45900</v>
      </c>
      <c r="U45" s="615">
        <v>2955079.389574931</v>
      </c>
      <c r="V45" s="830"/>
      <c r="W45" s="460">
        <v>45827</v>
      </c>
      <c r="X45" s="827"/>
      <c r="Y45" s="536" t="str">
        <f t="shared" si="3"/>
        <v>Storage</v>
      </c>
      <c r="Z45" s="537">
        <v>176058.33333333331</v>
      </c>
    </row>
    <row r="46" spans="2:27" ht="14.25" customHeight="1">
      <c r="B46" s="237">
        <v>3</v>
      </c>
      <c r="C46" s="310"/>
      <c r="D46" s="311"/>
      <c r="E46" s="332"/>
      <c r="F46" s="368"/>
      <c r="G46" s="312"/>
      <c r="H46" s="461"/>
      <c r="I46" s="842"/>
      <c r="J46" s="842"/>
      <c r="K46" s="214"/>
      <c r="L46" s="237">
        <v>3</v>
      </c>
      <c r="M46" s="348" t="s">
        <v>314</v>
      </c>
      <c r="N46" s="254" t="s">
        <v>336</v>
      </c>
      <c r="O46" s="477"/>
      <c r="P46" s="368"/>
      <c r="Q46" s="312">
        <f>O45*P45*1000*0.5</f>
        <v>1540370</v>
      </c>
      <c r="R46" s="839"/>
      <c r="S46" s="546" t="s">
        <v>337</v>
      </c>
      <c r="T46" s="606">
        <v>45900</v>
      </c>
      <c r="U46" s="616">
        <v>2955079.389574931</v>
      </c>
      <c r="V46" s="830"/>
      <c r="W46" s="461">
        <v>45930</v>
      </c>
      <c r="X46" s="827"/>
      <c r="Y46" s="536" t="str">
        <f t="shared" si="3"/>
        <v>Telehandler</v>
      </c>
      <c r="Z46" s="537">
        <v>150000</v>
      </c>
    </row>
    <row r="47" spans="2:27" ht="14.25" customHeight="1">
      <c r="B47" s="237"/>
      <c r="C47" s="310"/>
      <c r="D47" s="311"/>
      <c r="E47" s="332"/>
      <c r="F47" s="368"/>
      <c r="G47" s="312"/>
      <c r="H47" s="461"/>
      <c r="I47" s="842"/>
      <c r="J47" s="842"/>
      <c r="K47" s="214"/>
      <c r="L47" s="237">
        <v>3</v>
      </c>
      <c r="M47" s="348" t="s">
        <v>314</v>
      </c>
      <c r="N47" s="798"/>
      <c r="O47" s="477"/>
      <c r="P47" s="368"/>
      <c r="Q47" s="312">
        <v>-1540370</v>
      </c>
      <c r="R47" s="839"/>
      <c r="S47" s="545" t="s">
        <v>338</v>
      </c>
      <c r="T47" s="687">
        <v>45930</v>
      </c>
      <c r="U47" s="616">
        <v>0</v>
      </c>
      <c r="V47" s="830"/>
      <c r="W47" s="692">
        <v>45930</v>
      </c>
      <c r="X47" s="827"/>
      <c r="Y47" s="536"/>
      <c r="Z47" s="537"/>
    </row>
    <row r="48" spans="2:27" ht="14.25" customHeight="1">
      <c r="B48" s="237"/>
      <c r="C48" s="310"/>
      <c r="D48" s="311"/>
      <c r="E48" s="332"/>
      <c r="F48" s="368"/>
      <c r="G48" s="312"/>
      <c r="H48" s="461"/>
      <c r="I48" s="842"/>
      <c r="J48" s="842"/>
      <c r="K48" s="214"/>
      <c r="L48" s="237">
        <v>3</v>
      </c>
      <c r="M48" s="348" t="s">
        <v>314</v>
      </c>
      <c r="N48" s="311"/>
      <c r="O48" s="477"/>
      <c r="P48" s="368"/>
      <c r="Q48" s="312">
        <v>-1540370</v>
      </c>
      <c r="R48" s="839"/>
      <c r="S48" s="545" t="s">
        <v>339</v>
      </c>
      <c r="T48" s="687">
        <v>45930</v>
      </c>
      <c r="U48" s="616">
        <v>0</v>
      </c>
      <c r="V48" s="830"/>
      <c r="W48" s="692">
        <v>45930</v>
      </c>
      <c r="X48" s="827"/>
      <c r="Y48" s="536"/>
      <c r="Z48" s="537"/>
    </row>
    <row r="49" spans="1:26" ht="14.25" customHeight="1">
      <c r="B49" s="237"/>
      <c r="C49" s="310"/>
      <c r="D49" s="311"/>
      <c r="E49" s="332"/>
      <c r="F49" s="368"/>
      <c r="G49" s="312"/>
      <c r="H49" s="461"/>
      <c r="I49" s="842"/>
      <c r="J49" s="842"/>
      <c r="K49" s="214"/>
      <c r="L49" s="237">
        <v>3</v>
      </c>
      <c r="M49" s="348" t="s">
        <v>314</v>
      </c>
      <c r="N49" s="311"/>
      <c r="O49" s="721"/>
      <c r="P49" s="368"/>
      <c r="Q49" s="312">
        <v>3006740</v>
      </c>
      <c r="R49" s="839"/>
      <c r="S49" s="545" t="s">
        <v>340</v>
      </c>
      <c r="T49" s="606">
        <v>45930</v>
      </c>
      <c r="U49" s="616">
        <v>0</v>
      </c>
      <c r="V49" s="830"/>
      <c r="W49" s="461">
        <v>45930</v>
      </c>
      <c r="X49" s="827"/>
      <c r="Y49" s="536"/>
      <c r="Z49" s="537"/>
    </row>
    <row r="50" spans="1:26" ht="14.25" customHeight="1">
      <c r="B50" s="237">
        <v>3</v>
      </c>
      <c r="C50" s="310"/>
      <c r="D50" s="311"/>
      <c r="E50" s="332"/>
      <c r="F50" s="368"/>
      <c r="G50" s="312"/>
      <c r="H50" s="461"/>
      <c r="I50" s="842"/>
      <c r="J50" s="842"/>
      <c r="K50" s="214"/>
      <c r="L50" s="237">
        <v>3</v>
      </c>
      <c r="M50" s="348" t="s">
        <v>314</v>
      </c>
      <c r="N50" s="311" t="s">
        <v>341</v>
      </c>
      <c r="O50" s="477"/>
      <c r="P50" s="368"/>
      <c r="Q50" s="312">
        <f>74000*50%</f>
        <v>37000</v>
      </c>
      <c r="R50" s="839"/>
      <c r="S50" s="545" t="s">
        <v>335</v>
      </c>
      <c r="T50" s="606">
        <v>45838</v>
      </c>
      <c r="U50" s="616">
        <v>70981.606636244833</v>
      </c>
      <c r="V50" s="830"/>
      <c r="W50" s="461">
        <v>45827</v>
      </c>
      <c r="X50" s="827"/>
      <c r="Y50" s="536" t="s">
        <v>342</v>
      </c>
      <c r="Z50" s="537">
        <v>4500</v>
      </c>
    </row>
    <row r="51" spans="1:26" ht="15" customHeight="1" thickBot="1">
      <c r="B51" s="242">
        <v>3</v>
      </c>
      <c r="C51" s="263"/>
      <c r="D51" s="255"/>
      <c r="E51" s="244"/>
      <c r="F51" s="384"/>
      <c r="G51" s="256"/>
      <c r="H51" s="462"/>
      <c r="I51" s="843"/>
      <c r="J51" s="843"/>
      <c r="K51" s="215"/>
      <c r="L51" s="242">
        <v>3</v>
      </c>
      <c r="M51" s="349" t="s">
        <v>314</v>
      </c>
      <c r="N51" s="255" t="s">
        <v>343</v>
      </c>
      <c r="O51" s="478"/>
      <c r="P51" s="384"/>
      <c r="Q51" s="256">
        <f>74000*50%</f>
        <v>37000</v>
      </c>
      <c r="R51" s="875"/>
      <c r="S51" s="547" t="s">
        <v>337</v>
      </c>
      <c r="T51" s="643">
        <v>45900</v>
      </c>
      <c r="U51" s="650">
        <v>70981.606636244833</v>
      </c>
      <c r="V51" s="831"/>
      <c r="W51" s="462">
        <f>W46</f>
        <v>45930</v>
      </c>
      <c r="X51" s="828"/>
      <c r="Y51" s="536" t="s">
        <v>318</v>
      </c>
      <c r="Z51" s="537">
        <v>0</v>
      </c>
    </row>
    <row r="52" spans="1:26" ht="14.25" thickBot="1">
      <c r="A52" s="4"/>
      <c r="B52" s="216"/>
      <c r="C52" s="233"/>
      <c r="D52" s="234"/>
      <c r="E52" s="217"/>
      <c r="F52" s="380"/>
      <c r="G52" s="218"/>
      <c r="H52" s="499"/>
      <c r="I52" s="206"/>
      <c r="J52" s="206"/>
      <c r="K52" s="4"/>
      <c r="L52" s="216"/>
      <c r="M52" s="233"/>
      <c r="N52" s="234"/>
      <c r="O52" s="479"/>
      <c r="P52" s="380"/>
      <c r="Q52" s="218"/>
      <c r="R52" s="513"/>
      <c r="S52" s="548"/>
      <c r="T52" s="448" t="str">
        <f t="shared" si="1"/>
        <v/>
      </c>
      <c r="U52" s="437"/>
      <c r="V52" s="420"/>
      <c r="W52" s="499"/>
      <c r="X52" s="276"/>
      <c r="Y52" s="536" t="s">
        <v>318</v>
      </c>
      <c r="Z52" s="538">
        <v>0</v>
      </c>
    </row>
    <row r="53" spans="1:26" ht="14.25" customHeight="1">
      <c r="B53" s="219">
        <v>4</v>
      </c>
      <c r="C53" s="220" t="s">
        <v>296</v>
      </c>
      <c r="D53" s="220" t="s">
        <v>344</v>
      </c>
      <c r="E53" s="290">
        <v>249988</v>
      </c>
      <c r="F53" s="381"/>
      <c r="G53" s="222">
        <v>3499832</v>
      </c>
      <c r="H53" s="500">
        <f>H54</f>
        <v>45901</v>
      </c>
      <c r="I53" s="862">
        <f>SUM(G53:G90)</f>
        <v>8057942</v>
      </c>
      <c r="J53" s="862">
        <f>F444</f>
        <v>8707455.0718637351</v>
      </c>
      <c r="K53" s="223"/>
      <c r="L53" s="219">
        <v>4</v>
      </c>
      <c r="M53" s="350" t="s">
        <v>345</v>
      </c>
      <c r="N53" s="220" t="s">
        <v>344</v>
      </c>
      <c r="O53" s="472">
        <v>24000</v>
      </c>
      <c r="P53" s="381">
        <v>0</v>
      </c>
      <c r="Q53" s="222">
        <f>O53*P53</f>
        <v>0</v>
      </c>
      <c r="R53" s="514"/>
      <c r="S53" s="549"/>
      <c r="T53" s="449"/>
      <c r="U53" s="434">
        <f>(Q53/$X$53*$J$53)</f>
        <v>0</v>
      </c>
      <c r="V53" s="871">
        <f>J53-SUM(U53:U90)</f>
        <v>-4.7537833452224731E-3</v>
      </c>
      <c r="W53" s="500"/>
      <c r="X53" s="865">
        <f>SUM(Q53:Q90)</f>
        <v>3193174</v>
      </c>
      <c r="Y53" s="536" t="s">
        <v>321</v>
      </c>
      <c r="Z53" s="537">
        <f>SUM(Z39:Z52)</f>
        <v>14420781.133333335</v>
      </c>
    </row>
    <row r="54" spans="1:26" ht="14.25" customHeight="1">
      <c r="B54" s="246">
        <v>4</v>
      </c>
      <c r="C54" s="334"/>
      <c r="D54" s="334" t="s">
        <v>346</v>
      </c>
      <c r="E54" s="320"/>
      <c r="F54" s="377"/>
      <c r="G54" s="561">
        <f>D444-G53</f>
        <v>4558110</v>
      </c>
      <c r="H54" s="464">
        <v>45901</v>
      </c>
      <c r="I54" s="863"/>
      <c r="J54" s="863"/>
      <c r="K54" s="227"/>
      <c r="L54" s="224">
        <v>4</v>
      </c>
      <c r="M54" s="351" t="s">
        <v>345</v>
      </c>
      <c r="N54" s="334" t="s">
        <v>347</v>
      </c>
      <c r="O54" s="587">
        <v>0.1</v>
      </c>
      <c r="P54" s="377">
        <v>2376000</v>
      </c>
      <c r="Q54" s="226">
        <f>O54*P54</f>
        <v>237600</v>
      </c>
      <c r="R54" s="835" t="s">
        <v>270</v>
      </c>
      <c r="S54" s="550" t="s">
        <v>271</v>
      </c>
      <c r="T54" s="608">
        <v>45838</v>
      </c>
      <c r="U54" s="617">
        <v>465334.01673059782</v>
      </c>
      <c r="V54" s="872"/>
      <c r="W54" s="464">
        <v>45901</v>
      </c>
      <c r="X54" s="866"/>
      <c r="Y54" s="539" t="s">
        <v>327</v>
      </c>
      <c r="Z54" s="538">
        <f>Z53/'Project Plan'!$E$3/1000</f>
        <v>2.0368334934086629</v>
      </c>
    </row>
    <row r="55" spans="1:26" ht="14.25" customHeight="1">
      <c r="B55" s="246"/>
      <c r="C55" s="334"/>
      <c r="D55" s="334"/>
      <c r="E55" s="320"/>
      <c r="F55" s="377"/>
      <c r="G55" s="561"/>
      <c r="H55" s="464"/>
      <c r="I55" s="863"/>
      <c r="J55" s="863"/>
      <c r="K55" s="227"/>
      <c r="L55" s="224">
        <v>4</v>
      </c>
      <c r="M55" s="351" t="s">
        <v>345</v>
      </c>
      <c r="N55" s="334" t="s">
        <v>131</v>
      </c>
      <c r="O55" s="587">
        <v>0.9</v>
      </c>
      <c r="P55" s="377"/>
      <c r="Q55" s="226">
        <f>O55*P54</f>
        <v>2138400</v>
      </c>
      <c r="R55" s="836"/>
      <c r="S55" s="550" t="s">
        <v>348</v>
      </c>
      <c r="T55" s="608">
        <v>45838</v>
      </c>
      <c r="U55" s="617">
        <v>4188006.1505753803</v>
      </c>
      <c r="V55" s="872"/>
      <c r="W55" s="464">
        <v>45901</v>
      </c>
      <c r="X55" s="866"/>
      <c r="Y55" s="409"/>
    </row>
    <row r="56" spans="1:26" ht="14.25" customHeight="1">
      <c r="B56" s="246">
        <v>4</v>
      </c>
      <c r="C56" s="334"/>
      <c r="D56" s="334"/>
      <c r="E56" s="320"/>
      <c r="F56" s="377"/>
      <c r="G56" s="226"/>
      <c r="H56" s="464"/>
      <c r="I56" s="863"/>
      <c r="J56" s="863"/>
      <c r="K56" s="227"/>
      <c r="L56" s="224">
        <v>4</v>
      </c>
      <c r="M56" s="351" t="s">
        <v>345</v>
      </c>
      <c r="N56" s="334" t="s">
        <v>349</v>
      </c>
      <c r="O56" s="473">
        <v>500</v>
      </c>
      <c r="P56" s="377">
        <v>13</v>
      </c>
      <c r="Q56" s="226">
        <f>O56*P56</f>
        <v>6500</v>
      </c>
      <c r="R56" s="835" t="s">
        <v>350</v>
      </c>
      <c r="S56" s="550" t="s">
        <v>351</v>
      </c>
      <c r="T56" s="608">
        <v>45869</v>
      </c>
      <c r="U56" s="617">
        <v>13627.717212616306</v>
      </c>
      <c r="V56" s="872"/>
      <c r="W56" s="464">
        <v>45925</v>
      </c>
      <c r="X56" s="866"/>
      <c r="Y56" s="409"/>
    </row>
    <row r="57" spans="1:26" ht="14.25" customHeight="1">
      <c r="B57" s="246">
        <v>4</v>
      </c>
      <c r="C57" s="334"/>
      <c r="D57" s="334"/>
      <c r="E57" s="320"/>
      <c r="F57" s="377"/>
      <c r="G57" s="226"/>
      <c r="H57" s="464"/>
      <c r="I57" s="863"/>
      <c r="J57" s="863"/>
      <c r="K57" s="227"/>
      <c r="L57" s="224">
        <v>4</v>
      </c>
      <c r="M57" s="351" t="s">
        <v>345</v>
      </c>
      <c r="N57" s="334" t="s">
        <v>352</v>
      </c>
      <c r="O57" s="481">
        <v>500</v>
      </c>
      <c r="P57" s="377">
        <v>13</v>
      </c>
      <c r="Q57" s="226">
        <f>O57*P57</f>
        <v>6500</v>
      </c>
      <c r="R57" s="837"/>
      <c r="S57" s="550" t="s">
        <v>351</v>
      </c>
      <c r="T57" s="608">
        <v>45869</v>
      </c>
      <c r="U57" s="617">
        <v>13627.717212616306</v>
      </c>
      <c r="V57" s="872"/>
      <c r="W57" s="464">
        <f>W56</f>
        <v>45925</v>
      </c>
      <c r="X57" s="866"/>
      <c r="Y57" s="409"/>
    </row>
    <row r="58" spans="1:26" ht="14.25" customHeight="1">
      <c r="B58" s="246"/>
      <c r="C58" s="334"/>
      <c r="D58" s="334"/>
      <c r="E58" s="320"/>
      <c r="F58" s="377"/>
      <c r="G58" s="226"/>
      <c r="H58" s="464"/>
      <c r="I58" s="863"/>
      <c r="J58" s="863"/>
      <c r="K58" s="227"/>
      <c r="L58" s="224">
        <v>4</v>
      </c>
      <c r="M58" s="351" t="s">
        <v>345</v>
      </c>
      <c r="N58" s="334" t="s">
        <v>353</v>
      </c>
      <c r="O58" s="481">
        <v>-4000</v>
      </c>
      <c r="P58" s="377">
        <v>13</v>
      </c>
      <c r="Q58" s="226">
        <f>O58*P58</f>
        <v>-52000</v>
      </c>
      <c r="R58" s="775"/>
      <c r="S58" s="550" t="s">
        <v>325</v>
      </c>
      <c r="T58" s="714">
        <v>46081</v>
      </c>
      <c r="U58" s="617">
        <v>0</v>
      </c>
      <c r="V58" s="872"/>
      <c r="W58" s="703">
        <v>46081</v>
      </c>
      <c r="X58" s="866"/>
      <c r="Y58" s="409"/>
    </row>
    <row r="59" spans="1:26" ht="14.25" customHeight="1">
      <c r="B59" s="246"/>
      <c r="C59" s="334"/>
      <c r="D59" s="334"/>
      <c r="E59" s="320"/>
      <c r="F59" s="377"/>
      <c r="G59" s="226"/>
      <c r="H59" s="464"/>
      <c r="I59" s="863"/>
      <c r="J59" s="863"/>
      <c r="K59" s="227"/>
      <c r="L59" s="224">
        <v>4</v>
      </c>
      <c r="M59" s="351" t="s">
        <v>345</v>
      </c>
      <c r="N59" s="334" t="s">
        <v>354</v>
      </c>
      <c r="O59" s="481">
        <v>-4790</v>
      </c>
      <c r="P59" s="377">
        <v>13</v>
      </c>
      <c r="Q59" s="226">
        <f>O59*P59</f>
        <v>-62270</v>
      </c>
      <c r="R59" s="775"/>
      <c r="S59" s="550" t="s">
        <v>325</v>
      </c>
      <c r="T59" s="714">
        <v>46081</v>
      </c>
      <c r="U59" s="617">
        <v>0</v>
      </c>
      <c r="V59" s="872"/>
      <c r="W59" s="703">
        <v>46081</v>
      </c>
      <c r="X59" s="866"/>
      <c r="Y59" s="409"/>
    </row>
    <row r="60" spans="1:26" ht="14.25" customHeight="1">
      <c r="B60" s="246"/>
      <c r="C60" s="334"/>
      <c r="D60" s="334"/>
      <c r="E60" s="320"/>
      <c r="F60" s="377"/>
      <c r="G60" s="226"/>
      <c r="H60" s="501"/>
      <c r="I60" s="863"/>
      <c r="J60" s="863"/>
      <c r="K60" s="227"/>
      <c r="L60" s="224">
        <v>4</v>
      </c>
      <c r="M60" s="351" t="s">
        <v>345</v>
      </c>
      <c r="N60" s="334"/>
      <c r="O60" s="481"/>
      <c r="P60" s="377"/>
      <c r="Q60" s="226"/>
      <c r="R60" s="519"/>
      <c r="S60" s="550"/>
      <c r="T60" s="450" t="str">
        <f t="shared" ref="T60:T173" si="5">IF(W60&gt;1,EOMONTH(W60,0),"")</f>
        <v/>
      </c>
      <c r="U60" s="435">
        <f>(Q60/$X$53*$J$53)</f>
        <v>0</v>
      </c>
      <c r="V60" s="872"/>
      <c r="W60" s="501"/>
      <c r="X60" s="866"/>
      <c r="Y60" s="409"/>
    </row>
    <row r="61" spans="1:26" ht="14.25" customHeight="1">
      <c r="B61" s="246"/>
      <c r="C61" s="334"/>
      <c r="D61" s="334"/>
      <c r="E61" s="320"/>
      <c r="F61" s="377"/>
      <c r="G61" s="226"/>
      <c r="H61" s="464"/>
      <c r="I61" s="863"/>
      <c r="J61" s="863"/>
      <c r="K61" s="227"/>
      <c r="L61" s="224">
        <v>4</v>
      </c>
      <c r="M61" s="351" t="s">
        <v>345</v>
      </c>
      <c r="N61" s="334" t="s">
        <v>355</v>
      </c>
      <c r="O61" s="481"/>
      <c r="P61" s="377"/>
      <c r="Q61" s="226">
        <v>370187</v>
      </c>
      <c r="R61" s="519" t="s">
        <v>356</v>
      </c>
      <c r="S61" s="550" t="s">
        <v>357</v>
      </c>
      <c r="T61" s="608">
        <v>45869</v>
      </c>
      <c r="U61" s="617">
        <v>1724074.1776282564</v>
      </c>
      <c r="V61" s="872"/>
      <c r="W61" s="464">
        <v>45904</v>
      </c>
      <c r="X61" s="866"/>
      <c r="Y61" s="409"/>
    </row>
    <row r="62" spans="1:26" ht="14.25" customHeight="1">
      <c r="B62" s="246"/>
      <c r="C62" s="334"/>
      <c r="D62" s="334"/>
      <c r="E62" s="320"/>
      <c r="F62" s="377"/>
      <c r="G62" s="226"/>
      <c r="H62" s="608"/>
      <c r="I62" s="863"/>
      <c r="J62" s="863"/>
      <c r="K62" s="227"/>
      <c r="L62" s="224">
        <v>4</v>
      </c>
      <c r="M62" s="351" t="s">
        <v>345</v>
      </c>
      <c r="N62" s="334"/>
      <c r="O62" s="481"/>
      <c r="P62" s="377"/>
      <c r="Q62" s="226"/>
      <c r="R62" s="519"/>
      <c r="S62" s="550"/>
      <c r="T62" s="608">
        <v>45900</v>
      </c>
      <c r="U62" s="617">
        <v>1117518.18</v>
      </c>
      <c r="V62" s="872"/>
      <c r="W62" s="608">
        <v>45900</v>
      </c>
      <c r="X62" s="866"/>
      <c r="Y62" s="409"/>
      <c r="Z62" s="686"/>
    </row>
    <row r="63" spans="1:26" ht="14.25" customHeight="1">
      <c r="B63" s="246"/>
      <c r="C63" s="334"/>
      <c r="D63" s="334"/>
      <c r="E63" s="320"/>
      <c r="F63" s="377"/>
      <c r="G63" s="226"/>
      <c r="H63" s="501"/>
      <c r="I63" s="863"/>
      <c r="J63" s="863"/>
      <c r="K63" s="227"/>
      <c r="L63" s="224">
        <v>4</v>
      </c>
      <c r="M63" s="351" t="s">
        <v>345</v>
      </c>
      <c r="N63" s="334" t="s">
        <v>358</v>
      </c>
      <c r="O63" s="481">
        <v>-4</v>
      </c>
      <c r="P63" s="377">
        <v>225</v>
      </c>
      <c r="Q63" s="226">
        <f t="shared" ref="Q63:Q75" si="6">O63*P63</f>
        <v>-900</v>
      </c>
      <c r="R63" s="519"/>
      <c r="S63" s="550" t="s">
        <v>325</v>
      </c>
      <c r="T63" s="714">
        <v>46081</v>
      </c>
      <c r="U63" s="715">
        <v>0</v>
      </c>
      <c r="V63" s="872"/>
      <c r="W63" s="703">
        <v>46081</v>
      </c>
      <c r="X63" s="866"/>
      <c r="Y63" s="409"/>
    </row>
    <row r="64" spans="1:26" ht="14.25" customHeight="1">
      <c r="B64" s="246"/>
      <c r="C64" s="334"/>
      <c r="D64" s="334"/>
      <c r="E64" s="320"/>
      <c r="F64" s="377"/>
      <c r="G64" s="226"/>
      <c r="H64" s="501"/>
      <c r="I64" s="863"/>
      <c r="J64" s="863"/>
      <c r="K64" s="227"/>
      <c r="L64" s="224">
        <v>4</v>
      </c>
      <c r="M64" s="351" t="s">
        <v>345</v>
      </c>
      <c r="N64" s="334" t="s">
        <v>359</v>
      </c>
      <c r="O64" s="481">
        <v>-3</v>
      </c>
      <c r="P64" s="377">
        <v>87</v>
      </c>
      <c r="Q64" s="226">
        <f t="shared" si="6"/>
        <v>-261</v>
      </c>
      <c r="R64" s="519"/>
      <c r="S64" s="550" t="s">
        <v>325</v>
      </c>
      <c r="T64" s="714">
        <v>46081</v>
      </c>
      <c r="U64" s="715">
        <v>0</v>
      </c>
      <c r="V64" s="872"/>
      <c r="W64" s="703">
        <v>46081</v>
      </c>
      <c r="X64" s="866"/>
      <c r="Y64" s="409"/>
    </row>
    <row r="65" spans="2:26" ht="14.25" customHeight="1">
      <c r="B65" s="246"/>
      <c r="C65" s="334"/>
      <c r="D65" s="334"/>
      <c r="E65" s="320"/>
      <c r="F65" s="377"/>
      <c r="G65" s="226"/>
      <c r="H65" s="501"/>
      <c r="I65" s="863"/>
      <c r="J65" s="863"/>
      <c r="K65" s="227"/>
      <c r="L65" s="224">
        <v>4</v>
      </c>
      <c r="M65" s="351" t="s">
        <v>345</v>
      </c>
      <c r="N65" s="334" t="s">
        <v>360</v>
      </c>
      <c r="O65" s="481">
        <v>-16</v>
      </c>
      <c r="P65" s="377">
        <v>501</v>
      </c>
      <c r="Q65" s="226">
        <f t="shared" si="6"/>
        <v>-8016</v>
      </c>
      <c r="R65" s="519"/>
      <c r="S65" s="550" t="s">
        <v>325</v>
      </c>
      <c r="T65" s="714">
        <v>46081</v>
      </c>
      <c r="U65" s="715">
        <v>0</v>
      </c>
      <c r="V65" s="872"/>
      <c r="W65" s="703">
        <v>46081</v>
      </c>
      <c r="X65" s="866"/>
      <c r="Y65" s="409"/>
    </row>
    <row r="66" spans="2:26" ht="14.25" customHeight="1">
      <c r="B66" s="246"/>
      <c r="C66" s="334"/>
      <c r="D66" s="334"/>
      <c r="E66" s="320"/>
      <c r="F66" s="377"/>
      <c r="G66" s="226"/>
      <c r="H66" s="501"/>
      <c r="I66" s="863"/>
      <c r="J66" s="863"/>
      <c r="K66" s="227"/>
      <c r="L66" s="224">
        <v>4</v>
      </c>
      <c r="M66" s="351" t="s">
        <v>345</v>
      </c>
      <c r="N66" s="334" t="s">
        <v>361</v>
      </c>
      <c r="O66" s="481">
        <v>-20</v>
      </c>
      <c r="P66" s="377">
        <v>360</v>
      </c>
      <c r="Q66" s="226">
        <f t="shared" si="6"/>
        <v>-7200</v>
      </c>
      <c r="R66" s="519"/>
      <c r="S66" s="550" t="s">
        <v>325</v>
      </c>
      <c r="T66" s="714">
        <v>46081</v>
      </c>
      <c r="U66" s="715">
        <v>0</v>
      </c>
      <c r="V66" s="872"/>
      <c r="W66" s="703">
        <v>46081</v>
      </c>
      <c r="X66" s="866"/>
      <c r="Y66" s="409"/>
    </row>
    <row r="67" spans="2:26" ht="14.25" customHeight="1">
      <c r="B67" s="246"/>
      <c r="C67" s="334"/>
      <c r="D67" s="334"/>
      <c r="E67" s="320"/>
      <c r="F67" s="377"/>
      <c r="G67" s="226"/>
      <c r="H67" s="501"/>
      <c r="I67" s="863"/>
      <c r="J67" s="863"/>
      <c r="K67" s="227"/>
      <c r="L67" s="224">
        <v>4</v>
      </c>
      <c r="M67" s="351" t="s">
        <v>345</v>
      </c>
      <c r="N67" s="334" t="s">
        <v>362</v>
      </c>
      <c r="O67" s="481">
        <v>-3</v>
      </c>
      <c r="P67" s="377">
        <v>237</v>
      </c>
      <c r="Q67" s="226">
        <f t="shared" si="6"/>
        <v>-711</v>
      </c>
      <c r="R67" s="519"/>
      <c r="S67" s="550" t="s">
        <v>325</v>
      </c>
      <c r="T67" s="714">
        <v>46081</v>
      </c>
      <c r="U67" s="715">
        <v>0</v>
      </c>
      <c r="V67" s="872"/>
      <c r="W67" s="703">
        <v>46081</v>
      </c>
      <c r="X67" s="866"/>
      <c r="Y67" s="409"/>
    </row>
    <row r="68" spans="2:26" ht="14.25" customHeight="1">
      <c r="B68" s="246"/>
      <c r="C68" s="334"/>
      <c r="D68" s="334"/>
      <c r="E68" s="320"/>
      <c r="F68" s="377"/>
      <c r="G68" s="226"/>
      <c r="H68" s="501"/>
      <c r="I68" s="863"/>
      <c r="J68" s="863"/>
      <c r="K68" s="227"/>
      <c r="L68" s="224">
        <v>4</v>
      </c>
      <c r="M68" s="351" t="s">
        <v>345</v>
      </c>
      <c r="N68" s="334" t="s">
        <v>363</v>
      </c>
      <c r="O68" s="481">
        <v>-2</v>
      </c>
      <c r="P68" s="377">
        <v>117</v>
      </c>
      <c r="Q68" s="226">
        <f t="shared" si="6"/>
        <v>-234</v>
      </c>
      <c r="R68" s="519"/>
      <c r="S68" s="550" t="s">
        <v>325</v>
      </c>
      <c r="T68" s="714">
        <v>46081</v>
      </c>
      <c r="U68" s="715">
        <v>0</v>
      </c>
      <c r="V68" s="872"/>
      <c r="W68" s="703">
        <v>46081</v>
      </c>
      <c r="X68" s="866"/>
      <c r="Y68" s="409"/>
    </row>
    <row r="69" spans="2:26" ht="14.25" customHeight="1">
      <c r="B69" s="246"/>
      <c r="C69" s="334"/>
      <c r="D69" s="334"/>
      <c r="E69" s="320"/>
      <c r="F69" s="377"/>
      <c r="G69" s="226"/>
      <c r="H69" s="501"/>
      <c r="I69" s="863"/>
      <c r="J69" s="863"/>
      <c r="K69" s="227"/>
      <c r="L69" s="224">
        <v>4</v>
      </c>
      <c r="M69" s="351" t="s">
        <v>345</v>
      </c>
      <c r="N69" s="334" t="s">
        <v>364</v>
      </c>
      <c r="O69" s="481">
        <v>-2</v>
      </c>
      <c r="P69" s="377">
        <v>246</v>
      </c>
      <c r="Q69" s="226">
        <f t="shared" si="6"/>
        <v>-492</v>
      </c>
      <c r="R69" s="519"/>
      <c r="S69" s="550" t="s">
        <v>325</v>
      </c>
      <c r="T69" s="714">
        <v>46081</v>
      </c>
      <c r="U69" s="715">
        <v>0</v>
      </c>
      <c r="V69" s="872"/>
      <c r="W69" s="703">
        <v>46081</v>
      </c>
      <c r="X69" s="866"/>
      <c r="Y69" s="409"/>
    </row>
    <row r="70" spans="2:26" ht="14.25" customHeight="1">
      <c r="B70" s="246"/>
      <c r="C70" s="334"/>
      <c r="D70" s="334"/>
      <c r="E70" s="320"/>
      <c r="F70" s="377"/>
      <c r="G70" s="226"/>
      <c r="H70" s="501"/>
      <c r="I70" s="863"/>
      <c r="J70" s="863"/>
      <c r="K70" s="227"/>
      <c r="L70" s="224">
        <v>4</v>
      </c>
      <c r="M70" s="351" t="s">
        <v>345</v>
      </c>
      <c r="N70" s="334" t="s">
        <v>365</v>
      </c>
      <c r="O70" s="481">
        <v>-2</v>
      </c>
      <c r="P70" s="377">
        <v>375</v>
      </c>
      <c r="Q70" s="226">
        <f t="shared" si="6"/>
        <v>-750</v>
      </c>
      <c r="R70" s="519"/>
      <c r="S70" s="550" t="s">
        <v>325</v>
      </c>
      <c r="T70" s="714">
        <v>46081</v>
      </c>
      <c r="U70" s="715">
        <v>0</v>
      </c>
      <c r="V70" s="872"/>
      <c r="W70" s="703">
        <v>46081</v>
      </c>
      <c r="X70" s="866"/>
      <c r="Y70" s="409"/>
    </row>
    <row r="71" spans="2:26" ht="14.25" customHeight="1">
      <c r="B71" s="246"/>
      <c r="C71" s="334"/>
      <c r="D71" s="334"/>
      <c r="E71" s="320"/>
      <c r="F71" s="377"/>
      <c r="G71" s="226"/>
      <c r="H71" s="501"/>
      <c r="I71" s="863"/>
      <c r="J71" s="863"/>
      <c r="K71" s="227"/>
      <c r="L71" s="224">
        <v>4</v>
      </c>
      <c r="M71" s="351" t="s">
        <v>345</v>
      </c>
      <c r="N71" s="334" t="s">
        <v>366</v>
      </c>
      <c r="O71" s="481">
        <v>-2</v>
      </c>
      <c r="P71" s="377">
        <v>189</v>
      </c>
      <c r="Q71" s="226">
        <f t="shared" si="6"/>
        <v>-378</v>
      </c>
      <c r="R71" s="519"/>
      <c r="S71" s="550" t="s">
        <v>325</v>
      </c>
      <c r="T71" s="714">
        <v>46081</v>
      </c>
      <c r="U71" s="715">
        <v>0</v>
      </c>
      <c r="V71" s="872"/>
      <c r="W71" s="703">
        <v>46081</v>
      </c>
      <c r="X71" s="866"/>
      <c r="Y71" s="409"/>
    </row>
    <row r="72" spans="2:26" ht="14.25" customHeight="1">
      <c r="B72" s="246"/>
      <c r="C72" s="334"/>
      <c r="D72" s="334"/>
      <c r="E72" s="320"/>
      <c r="F72" s="377"/>
      <c r="G72" s="226"/>
      <c r="H72" s="501"/>
      <c r="I72" s="863"/>
      <c r="J72" s="863"/>
      <c r="K72" s="227"/>
      <c r="L72" s="224">
        <v>4</v>
      </c>
      <c r="M72" s="351" t="s">
        <v>345</v>
      </c>
      <c r="N72" s="334" t="s">
        <v>367</v>
      </c>
      <c r="O72" s="481">
        <v>-2</v>
      </c>
      <c r="P72" s="377">
        <v>180</v>
      </c>
      <c r="Q72" s="226">
        <f t="shared" si="6"/>
        <v>-360</v>
      </c>
      <c r="R72" s="519"/>
      <c r="S72" s="550" t="s">
        <v>325</v>
      </c>
      <c r="T72" s="714">
        <v>46081</v>
      </c>
      <c r="U72" s="715">
        <v>0</v>
      </c>
      <c r="V72" s="872"/>
      <c r="W72" s="703">
        <v>46081</v>
      </c>
      <c r="X72" s="866"/>
      <c r="Y72" s="409"/>
    </row>
    <row r="73" spans="2:26" ht="14.25" customHeight="1">
      <c r="B73" s="246"/>
      <c r="C73" s="334"/>
      <c r="D73" s="334"/>
      <c r="E73" s="320"/>
      <c r="F73" s="377"/>
      <c r="G73" s="226"/>
      <c r="H73" s="501"/>
      <c r="I73" s="863"/>
      <c r="J73" s="863"/>
      <c r="K73" s="227"/>
      <c r="L73" s="224">
        <v>4</v>
      </c>
      <c r="M73" s="351" t="s">
        <v>345</v>
      </c>
      <c r="N73" s="334" t="s">
        <v>368</v>
      </c>
      <c r="O73" s="481">
        <v>-3</v>
      </c>
      <c r="P73" s="377">
        <v>470</v>
      </c>
      <c r="Q73" s="226">
        <f t="shared" si="6"/>
        <v>-1410</v>
      </c>
      <c r="R73" s="519"/>
      <c r="S73" s="550" t="s">
        <v>325</v>
      </c>
      <c r="T73" s="714">
        <v>46081</v>
      </c>
      <c r="U73" s="715">
        <v>0</v>
      </c>
      <c r="V73" s="872"/>
      <c r="W73" s="703">
        <v>46081</v>
      </c>
      <c r="X73" s="866"/>
      <c r="Y73" s="409"/>
    </row>
    <row r="74" spans="2:26" ht="14.25" customHeight="1">
      <c r="B74" s="246"/>
      <c r="C74" s="334"/>
      <c r="D74" s="334"/>
      <c r="E74" s="320"/>
      <c r="F74" s="377"/>
      <c r="G74" s="226"/>
      <c r="H74" s="501"/>
      <c r="I74" s="863"/>
      <c r="J74" s="863"/>
      <c r="K74" s="227"/>
      <c r="L74" s="224">
        <v>4</v>
      </c>
      <c r="M74" s="351" t="s">
        <v>345</v>
      </c>
      <c r="N74" s="334" t="s">
        <v>369</v>
      </c>
      <c r="O74" s="481">
        <v>-2</v>
      </c>
      <c r="P74" s="377">
        <v>270</v>
      </c>
      <c r="Q74" s="226">
        <f t="shared" si="6"/>
        <v>-540</v>
      </c>
      <c r="R74" s="519"/>
      <c r="S74" s="550" t="s">
        <v>325</v>
      </c>
      <c r="T74" s="714">
        <v>46081</v>
      </c>
      <c r="U74" s="715">
        <v>0</v>
      </c>
      <c r="V74" s="872"/>
      <c r="W74" s="703">
        <v>46081</v>
      </c>
      <c r="X74" s="866"/>
      <c r="Y74" s="409"/>
    </row>
    <row r="75" spans="2:26" ht="14.25" customHeight="1">
      <c r="B75" s="246"/>
      <c r="C75" s="334"/>
      <c r="D75" s="334"/>
      <c r="E75" s="320"/>
      <c r="F75" s="377"/>
      <c r="G75" s="226"/>
      <c r="H75" s="501"/>
      <c r="I75" s="863"/>
      <c r="J75" s="863"/>
      <c r="K75" s="227"/>
      <c r="L75" s="224">
        <v>4</v>
      </c>
      <c r="M75" s="351" t="s">
        <v>345</v>
      </c>
      <c r="N75" s="334" t="s">
        <v>370</v>
      </c>
      <c r="O75" s="481">
        <v>-1</v>
      </c>
      <c r="P75" s="377">
        <v>491</v>
      </c>
      <c r="Q75" s="226">
        <f t="shared" si="6"/>
        <v>-491</v>
      </c>
      <c r="R75" s="519"/>
      <c r="S75" s="550" t="s">
        <v>325</v>
      </c>
      <c r="T75" s="714">
        <v>46081</v>
      </c>
      <c r="U75" s="715">
        <v>0</v>
      </c>
      <c r="V75" s="872"/>
      <c r="W75" s="703">
        <v>46081</v>
      </c>
      <c r="X75" s="866"/>
      <c r="Y75" s="409"/>
    </row>
    <row r="76" spans="2:26" ht="14.25" customHeight="1">
      <c r="B76" s="246"/>
      <c r="C76" s="334"/>
      <c r="D76" s="334"/>
      <c r="E76" s="320"/>
      <c r="F76" s="377"/>
      <c r="G76" s="226"/>
      <c r="H76" s="501"/>
      <c r="I76" s="863"/>
      <c r="J76" s="863"/>
      <c r="K76" s="227"/>
      <c r="L76" s="224">
        <v>4</v>
      </c>
      <c r="M76" s="351" t="s">
        <v>345</v>
      </c>
      <c r="N76" s="334"/>
      <c r="O76" s="481"/>
      <c r="P76" s="377"/>
      <c r="Q76" s="226"/>
      <c r="R76" s="519"/>
      <c r="S76" s="550"/>
      <c r="T76" s="450"/>
      <c r="U76" s="435"/>
      <c r="V76" s="872"/>
      <c r="W76" s="501"/>
      <c r="X76" s="866"/>
      <c r="Y76" s="409"/>
    </row>
    <row r="77" spans="2:26" ht="14.25" customHeight="1">
      <c r="B77" s="246"/>
      <c r="C77" s="334"/>
      <c r="D77" s="334"/>
      <c r="E77" s="320"/>
      <c r="F77" s="377"/>
      <c r="G77" s="226"/>
      <c r="H77" s="501"/>
      <c r="I77" s="863"/>
      <c r="J77" s="863"/>
      <c r="K77" s="227"/>
      <c r="L77" s="224">
        <v>4</v>
      </c>
      <c r="M77" s="351" t="s">
        <v>345</v>
      </c>
      <c r="N77" s="334"/>
      <c r="O77" s="481"/>
      <c r="P77" s="377"/>
      <c r="Q77" s="226"/>
      <c r="R77" s="519"/>
      <c r="S77" s="550"/>
      <c r="T77" s="450"/>
      <c r="U77" s="435"/>
      <c r="V77" s="872"/>
      <c r="W77" s="501"/>
      <c r="X77" s="866"/>
      <c r="Y77" s="409"/>
    </row>
    <row r="78" spans="2:26" ht="14.25" customHeight="1">
      <c r="B78" s="246"/>
      <c r="C78" s="334"/>
      <c r="D78" s="334"/>
      <c r="E78" s="320"/>
      <c r="F78" s="377"/>
      <c r="G78" s="226"/>
      <c r="H78" s="501"/>
      <c r="I78" s="863"/>
      <c r="J78" s="863"/>
      <c r="K78" s="227"/>
      <c r="L78" s="224">
        <v>4</v>
      </c>
      <c r="M78" s="351" t="s">
        <v>345</v>
      </c>
      <c r="N78" s="334"/>
      <c r="O78" s="481"/>
      <c r="P78" s="377"/>
      <c r="Q78" s="226"/>
      <c r="R78" s="519"/>
      <c r="S78" s="550"/>
      <c r="T78" s="450" t="str">
        <f t="shared" si="5"/>
        <v/>
      </c>
      <c r="U78" s="435">
        <f>(Q78/$X$53*$J$53)</f>
        <v>0</v>
      </c>
      <c r="V78" s="872"/>
      <c r="W78" s="501"/>
      <c r="X78" s="866"/>
      <c r="Y78" s="409"/>
      <c r="Z78" s="686"/>
    </row>
    <row r="79" spans="2:26" ht="14.25" customHeight="1">
      <c r="B79" s="246"/>
      <c r="C79" s="334"/>
      <c r="D79" s="334"/>
      <c r="E79" s="320"/>
      <c r="F79" s="377"/>
      <c r="G79" s="226"/>
      <c r="H79" s="501"/>
      <c r="I79" s="863"/>
      <c r="J79" s="863"/>
      <c r="K79" s="227"/>
      <c r="L79" s="224">
        <v>4</v>
      </c>
      <c r="M79" s="351" t="s">
        <v>345</v>
      </c>
      <c r="N79" s="334"/>
      <c r="O79" s="481"/>
      <c r="P79" s="377"/>
      <c r="Q79" s="226"/>
      <c r="R79" s="519"/>
      <c r="S79" s="550"/>
      <c r="T79" s="450" t="str">
        <f t="shared" si="5"/>
        <v/>
      </c>
      <c r="U79" s="435">
        <f>(Q79/$X$53*$J$53)</f>
        <v>0</v>
      </c>
      <c r="V79" s="872"/>
      <c r="W79" s="501"/>
      <c r="X79" s="866"/>
      <c r="Y79" s="409"/>
    </row>
    <row r="80" spans="2:26" ht="14.25" customHeight="1">
      <c r="B80" s="246">
        <v>4</v>
      </c>
      <c r="C80" s="334"/>
      <c r="D80" s="334"/>
      <c r="E80" s="320"/>
      <c r="F80" s="377"/>
      <c r="G80" s="226"/>
      <c r="H80" s="464"/>
      <c r="I80" s="863"/>
      <c r="J80" s="863"/>
      <c r="K80" s="227"/>
      <c r="L80" s="224">
        <v>4</v>
      </c>
      <c r="M80" s="351" t="s">
        <v>345</v>
      </c>
      <c r="N80" s="334" t="s">
        <v>371</v>
      </c>
      <c r="O80" s="491">
        <f>AC25/2</f>
        <v>275000</v>
      </c>
      <c r="P80" s="492">
        <v>0.5</v>
      </c>
      <c r="Q80" s="226">
        <f>$O$80*P80</f>
        <v>137500</v>
      </c>
      <c r="R80" s="835" t="s">
        <v>372</v>
      </c>
      <c r="S80" s="550" t="s">
        <v>373</v>
      </c>
      <c r="T80" s="608">
        <v>45838</v>
      </c>
      <c r="U80" s="617">
        <v>269290.51894131815</v>
      </c>
      <c r="V80" s="872"/>
      <c r="W80" s="464">
        <f>W85</f>
        <v>45834</v>
      </c>
      <c r="X80" s="866"/>
      <c r="Y80" s="409"/>
    </row>
    <row r="81" spans="1:25" ht="14.25" customHeight="1">
      <c r="B81" s="246">
        <v>4</v>
      </c>
      <c r="C81" s="334"/>
      <c r="D81" s="334"/>
      <c r="E81" s="320"/>
      <c r="F81" s="377"/>
      <c r="G81" s="226"/>
      <c r="H81" s="464"/>
      <c r="I81" s="863"/>
      <c r="J81" s="863"/>
      <c r="K81" s="227"/>
      <c r="L81" s="224">
        <v>4</v>
      </c>
      <c r="M81" s="351" t="s">
        <v>345</v>
      </c>
      <c r="N81" s="334" t="s">
        <v>374</v>
      </c>
      <c r="O81" s="481"/>
      <c r="P81" s="492">
        <v>0.4</v>
      </c>
      <c r="Q81" s="226">
        <f t="shared" ref="Q81:Q82" si="7">$O$80*P81</f>
        <v>110000</v>
      </c>
      <c r="R81" s="836"/>
      <c r="S81" s="550" t="s">
        <v>375</v>
      </c>
      <c r="T81" s="608">
        <f t="shared" ref="T81:T82" si="8">T86</f>
        <v>45869</v>
      </c>
      <c r="U81" s="617">
        <v>230622.90667504517</v>
      </c>
      <c r="V81" s="872"/>
      <c r="W81" s="464">
        <f t="shared" ref="W81" si="9">W86</f>
        <v>45904</v>
      </c>
      <c r="X81" s="866"/>
      <c r="Y81" s="409"/>
    </row>
    <row r="82" spans="1:25" ht="14.25" customHeight="1">
      <c r="B82" s="246">
        <v>4</v>
      </c>
      <c r="C82" s="334"/>
      <c r="D82" s="334"/>
      <c r="E82" s="320"/>
      <c r="F82" s="377"/>
      <c r="G82" s="226"/>
      <c r="H82" s="501"/>
      <c r="I82" s="863"/>
      <c r="J82" s="863"/>
      <c r="K82" s="227"/>
      <c r="L82" s="224">
        <v>4</v>
      </c>
      <c r="M82" s="351" t="s">
        <v>345</v>
      </c>
      <c r="N82" s="334" t="s">
        <v>376</v>
      </c>
      <c r="O82" s="481"/>
      <c r="P82" s="492">
        <v>0.1</v>
      </c>
      <c r="Q82" s="226">
        <f t="shared" si="7"/>
        <v>27500</v>
      </c>
      <c r="R82" s="836"/>
      <c r="S82" s="550" t="s">
        <v>377</v>
      </c>
      <c r="T82" s="608">
        <f t="shared" si="8"/>
        <v>45900</v>
      </c>
      <c r="U82" s="617">
        <v>71925.973060766104</v>
      </c>
      <c r="V82" s="872"/>
      <c r="W82" s="464">
        <f>W222</f>
        <v>46142</v>
      </c>
      <c r="X82" s="866"/>
      <c r="Y82" s="409"/>
    </row>
    <row r="83" spans="1:25" ht="14.25" customHeight="1">
      <c r="B83" s="246">
        <v>4</v>
      </c>
      <c r="C83" s="334"/>
      <c r="D83" s="334"/>
      <c r="E83" s="320"/>
      <c r="F83" s="377"/>
      <c r="G83" s="226"/>
      <c r="H83" s="501"/>
      <c r="I83" s="863"/>
      <c r="J83" s="863"/>
      <c r="K83" s="227"/>
      <c r="L83" s="224">
        <v>4</v>
      </c>
      <c r="M83" s="351" t="s">
        <v>345</v>
      </c>
      <c r="N83" s="334"/>
      <c r="O83" s="481"/>
      <c r="P83" s="492"/>
      <c r="Q83" s="226"/>
      <c r="R83" s="836"/>
      <c r="S83" s="550"/>
      <c r="T83" s="450" t="str">
        <f t="shared" si="5"/>
        <v/>
      </c>
      <c r="U83" s="435">
        <f>(Q83/$X$53*$J$53)</f>
        <v>0</v>
      </c>
      <c r="V83" s="872"/>
      <c r="W83" s="501"/>
      <c r="X83" s="866"/>
      <c r="Y83" s="409"/>
    </row>
    <row r="84" spans="1:25" ht="14.25" customHeight="1">
      <c r="B84" s="246">
        <v>4</v>
      </c>
      <c r="C84" s="334"/>
      <c r="D84" s="334"/>
      <c r="E84" s="320"/>
      <c r="F84" s="377"/>
      <c r="G84" s="226"/>
      <c r="H84" s="501"/>
      <c r="I84" s="863"/>
      <c r="J84" s="863"/>
      <c r="K84" s="227"/>
      <c r="L84" s="224">
        <v>4</v>
      </c>
      <c r="M84" s="351" t="s">
        <v>345</v>
      </c>
      <c r="N84" s="334"/>
      <c r="O84" s="481"/>
      <c r="P84" s="492"/>
      <c r="Q84" s="226"/>
      <c r="R84" s="836"/>
      <c r="S84" s="550"/>
      <c r="T84" s="450" t="str">
        <f t="shared" si="5"/>
        <v/>
      </c>
      <c r="U84" s="435">
        <f>(Q84/$X$53*$J$53)</f>
        <v>0</v>
      </c>
      <c r="V84" s="872"/>
      <c r="W84" s="501"/>
      <c r="X84" s="866"/>
      <c r="Y84" s="409"/>
    </row>
    <row r="85" spans="1:25" ht="14.25" customHeight="1">
      <c r="B85" s="246">
        <v>4</v>
      </c>
      <c r="C85" s="334"/>
      <c r="D85" s="334"/>
      <c r="E85" s="320"/>
      <c r="F85" s="377"/>
      <c r="G85" s="226"/>
      <c r="H85" s="464"/>
      <c r="I85" s="863"/>
      <c r="J85" s="863"/>
      <c r="K85" s="227"/>
      <c r="L85" s="224">
        <v>4</v>
      </c>
      <c r="M85" s="351" t="s">
        <v>345</v>
      </c>
      <c r="N85" s="334" t="s">
        <v>378</v>
      </c>
      <c r="O85" s="491">
        <f>AC32/2</f>
        <v>295000</v>
      </c>
      <c r="P85" s="492">
        <v>0.5</v>
      </c>
      <c r="Q85" s="226">
        <f>$O$85*P85</f>
        <v>147500</v>
      </c>
      <c r="R85" s="836"/>
      <c r="S85" s="550" t="s">
        <v>373</v>
      </c>
      <c r="T85" s="608">
        <v>45838</v>
      </c>
      <c r="U85" s="617">
        <v>288875.28395523224</v>
      </c>
      <c r="V85" s="872"/>
      <c r="W85" s="464">
        <f>W215</f>
        <v>45834</v>
      </c>
      <c r="X85" s="866"/>
      <c r="Y85" s="409"/>
    </row>
    <row r="86" spans="1:25" ht="14.25" customHeight="1">
      <c r="B86" s="246">
        <v>4</v>
      </c>
      <c r="C86" s="334"/>
      <c r="D86" s="334"/>
      <c r="E86" s="320"/>
      <c r="F86" s="377"/>
      <c r="G86" s="226"/>
      <c r="H86" s="464"/>
      <c r="I86" s="863"/>
      <c r="J86" s="863"/>
      <c r="K86" s="227"/>
      <c r="L86" s="224">
        <v>4</v>
      </c>
      <c r="M86" s="351" t="s">
        <v>345</v>
      </c>
      <c r="N86" s="334" t="s">
        <v>379</v>
      </c>
      <c r="O86" s="481"/>
      <c r="P86" s="492">
        <v>0.4</v>
      </c>
      <c r="Q86" s="226">
        <f t="shared" ref="Q86:Q87" si="10">$O$85*P86</f>
        <v>118000</v>
      </c>
      <c r="R86" s="836"/>
      <c r="S86" s="550" t="s">
        <v>375</v>
      </c>
      <c r="T86" s="608">
        <v>45869</v>
      </c>
      <c r="U86" s="617">
        <v>247395.48170595756</v>
      </c>
      <c r="V86" s="872"/>
      <c r="W86" s="464">
        <v>45904</v>
      </c>
      <c r="X86" s="866"/>
      <c r="Y86" s="409"/>
    </row>
    <row r="87" spans="1:25" ht="14.25" customHeight="1">
      <c r="B87" s="246">
        <v>4</v>
      </c>
      <c r="C87" s="334"/>
      <c r="D87" s="334"/>
      <c r="E87" s="320"/>
      <c r="F87" s="377"/>
      <c r="G87" s="226"/>
      <c r="H87" s="501"/>
      <c r="I87" s="863"/>
      <c r="J87" s="863"/>
      <c r="K87" s="227"/>
      <c r="L87" s="224">
        <v>4</v>
      </c>
      <c r="M87" s="351" t="s">
        <v>345</v>
      </c>
      <c r="N87" s="334" t="s">
        <v>380</v>
      </c>
      <c r="O87" s="481"/>
      <c r="P87" s="492">
        <v>0.1</v>
      </c>
      <c r="Q87" s="226">
        <f t="shared" si="10"/>
        <v>29500</v>
      </c>
      <c r="R87" s="837"/>
      <c r="S87" s="550" t="s">
        <v>377</v>
      </c>
      <c r="T87" s="608">
        <v>45900</v>
      </c>
      <c r="U87" s="617">
        <v>77156.952919730917</v>
      </c>
      <c r="V87" s="872"/>
      <c r="W87" s="464">
        <f>W222</f>
        <v>46142</v>
      </c>
      <c r="X87" s="866"/>
      <c r="Y87" s="409"/>
    </row>
    <row r="88" spans="1:25" ht="14.25" customHeight="1">
      <c r="B88" s="246">
        <v>4</v>
      </c>
      <c r="C88" s="334"/>
      <c r="D88" s="334"/>
      <c r="E88" s="320"/>
      <c r="F88" s="377"/>
      <c r="G88" s="226"/>
      <c r="H88" s="501"/>
      <c r="I88" s="863"/>
      <c r="J88" s="863"/>
      <c r="K88" s="227"/>
      <c r="L88" s="224">
        <v>4</v>
      </c>
      <c r="M88" s="351" t="s">
        <v>345</v>
      </c>
      <c r="N88" s="334"/>
      <c r="O88" s="481"/>
      <c r="P88" s="492"/>
      <c r="Q88" s="226"/>
      <c r="R88" s="515"/>
      <c r="S88" s="550"/>
      <c r="T88" s="450" t="str">
        <f t="shared" si="5"/>
        <v/>
      </c>
      <c r="U88" s="435">
        <f>(Q88/$X$53*$J$53)</f>
        <v>0</v>
      </c>
      <c r="V88" s="872"/>
      <c r="W88" s="501"/>
      <c r="X88" s="866"/>
      <c r="Y88" s="409"/>
    </row>
    <row r="89" spans="1:25" ht="14.25" customHeight="1">
      <c r="B89" s="246">
        <v>4</v>
      </c>
      <c r="C89" s="334"/>
      <c r="D89" s="334"/>
      <c r="E89" s="320"/>
      <c r="F89" s="377"/>
      <c r="G89" s="226"/>
      <c r="H89" s="501"/>
      <c r="I89" s="863"/>
      <c r="J89" s="863"/>
      <c r="K89" s="227"/>
      <c r="L89" s="224">
        <v>4</v>
      </c>
      <c r="M89" s="351" t="s">
        <v>345</v>
      </c>
      <c r="N89" s="334"/>
      <c r="O89" s="481"/>
      <c r="P89" s="377"/>
      <c r="Q89" s="226"/>
      <c r="R89" s="515"/>
      <c r="S89" s="550"/>
      <c r="T89" s="450" t="str">
        <f t="shared" si="5"/>
        <v/>
      </c>
      <c r="U89" s="435">
        <f>(Q89/$X$53*$J$53)</f>
        <v>0</v>
      </c>
      <c r="V89" s="872"/>
      <c r="W89" s="501"/>
      <c r="X89" s="866"/>
      <c r="Y89" s="409"/>
    </row>
    <row r="90" spans="1:25" ht="15" customHeight="1" thickBot="1">
      <c r="B90" s="228">
        <v>4</v>
      </c>
      <c r="C90" s="251"/>
      <c r="D90" s="251"/>
      <c r="E90" s="323"/>
      <c r="F90" s="379"/>
      <c r="G90" s="231"/>
      <c r="H90" s="502"/>
      <c r="I90" s="864"/>
      <c r="J90" s="864"/>
      <c r="K90" s="232"/>
      <c r="L90" s="228">
        <v>4</v>
      </c>
      <c r="M90" s="352" t="s">
        <v>345</v>
      </c>
      <c r="N90" s="251"/>
      <c r="O90" s="482"/>
      <c r="P90" s="379"/>
      <c r="Q90" s="231"/>
      <c r="R90" s="516"/>
      <c r="S90" s="551"/>
      <c r="T90" s="451" t="str">
        <f t="shared" si="5"/>
        <v/>
      </c>
      <c r="U90" s="436">
        <f>(Q90/$X$53*$J$53)</f>
        <v>0</v>
      </c>
      <c r="V90" s="873"/>
      <c r="W90" s="502"/>
      <c r="X90" s="867"/>
      <c r="Y90" s="409"/>
    </row>
    <row r="91" spans="1:25" ht="13.9" thickBot="1">
      <c r="A91" s="4"/>
      <c r="B91" s="202"/>
      <c r="C91" s="203"/>
      <c r="D91" s="234"/>
      <c r="E91" s="217"/>
      <c r="F91" s="380"/>
      <c r="G91" s="218"/>
      <c r="H91" s="499"/>
      <c r="I91" s="206"/>
      <c r="J91" s="206"/>
      <c r="K91" s="4"/>
      <c r="L91" s="202"/>
      <c r="M91" s="203"/>
      <c r="N91" s="234"/>
      <c r="O91" s="479"/>
      <c r="P91" s="380"/>
      <c r="Q91" s="218"/>
      <c r="R91" s="518"/>
      <c r="S91" s="553"/>
      <c r="T91" s="448" t="str">
        <f t="shared" si="5"/>
        <v/>
      </c>
      <c r="U91" s="439"/>
      <c r="V91" s="423"/>
      <c r="W91" s="499"/>
      <c r="X91" s="276"/>
      <c r="Y91" s="409"/>
    </row>
    <row r="92" spans="1:25" ht="14.25" customHeight="1">
      <c r="B92" s="207">
        <v>5</v>
      </c>
      <c r="C92" s="235" t="s">
        <v>381</v>
      </c>
      <c r="D92" s="253" t="s">
        <v>382</v>
      </c>
      <c r="E92" s="209"/>
      <c r="F92" s="361"/>
      <c r="G92" s="210">
        <v>26000</v>
      </c>
      <c r="H92" s="503">
        <f>H93</f>
        <v>45862</v>
      </c>
      <c r="I92" s="841">
        <f>SUM(G92:G113)</f>
        <v>64000</v>
      </c>
      <c r="J92" s="841">
        <f>F446</f>
        <v>69158.741102787666</v>
      </c>
      <c r="K92" s="211"/>
      <c r="L92" s="207">
        <v>5</v>
      </c>
      <c r="M92" s="347" t="s">
        <v>383</v>
      </c>
      <c r="N92" s="253" t="s">
        <v>384</v>
      </c>
      <c r="O92" s="475"/>
      <c r="P92" s="361"/>
      <c r="Q92" s="210"/>
      <c r="R92" s="517"/>
      <c r="S92" s="552"/>
      <c r="T92" s="452"/>
      <c r="U92" s="438">
        <f>(Q92/$X$92*$J$92)</f>
        <v>0</v>
      </c>
      <c r="V92" s="829">
        <f>J92-SUM(U92:U113)</f>
        <v>5.4426000860985368E-4</v>
      </c>
      <c r="W92" s="503"/>
      <c r="X92" s="826">
        <f>SUM(Q92:Q113)</f>
        <v>241577.30000000002</v>
      </c>
      <c r="Y92" s="409"/>
    </row>
    <row r="93" spans="1:25" ht="14.25" customHeight="1">
      <c r="B93" s="212">
        <v>5</v>
      </c>
      <c r="C93" s="236"/>
      <c r="D93" s="239" t="s">
        <v>385</v>
      </c>
      <c r="E93" s="375"/>
      <c r="F93" s="376"/>
      <c r="G93" s="241">
        <v>8000</v>
      </c>
      <c r="H93" s="460">
        <v>45862</v>
      </c>
      <c r="I93" s="842"/>
      <c r="J93" s="842"/>
      <c r="K93" s="214"/>
      <c r="L93" s="212">
        <v>5</v>
      </c>
      <c r="M93" s="623" t="s">
        <v>383</v>
      </c>
      <c r="N93" s="213" t="s">
        <v>386</v>
      </c>
      <c r="O93" s="483">
        <v>1</v>
      </c>
      <c r="P93" s="376"/>
      <c r="Q93" s="241">
        <v>19205.5</v>
      </c>
      <c r="R93" s="563" t="s">
        <v>387</v>
      </c>
      <c r="S93" s="545" t="s">
        <v>388</v>
      </c>
      <c r="T93" s="610">
        <v>45869</v>
      </c>
      <c r="U93" s="615">
        <v>3006.8451525953706</v>
      </c>
      <c r="V93" s="830"/>
      <c r="W93" s="460">
        <v>45862</v>
      </c>
      <c r="X93" s="827"/>
      <c r="Y93" s="409"/>
    </row>
    <row r="94" spans="1:25" ht="14.25" customHeight="1">
      <c r="B94" s="212"/>
      <c r="C94" s="236"/>
      <c r="D94" s="239"/>
      <c r="E94" s="375"/>
      <c r="F94" s="376"/>
      <c r="G94" s="241"/>
      <c r="H94" s="460"/>
      <c r="I94" s="842"/>
      <c r="J94" s="842"/>
      <c r="K94" s="214"/>
      <c r="L94" s="212">
        <v>5</v>
      </c>
      <c r="M94" s="623" t="s">
        <v>383</v>
      </c>
      <c r="N94" s="213" t="s">
        <v>389</v>
      </c>
      <c r="O94" s="483"/>
      <c r="P94" s="376"/>
      <c r="Q94" s="241">
        <v>264.26</v>
      </c>
      <c r="R94" s="563"/>
      <c r="S94" s="510" t="s">
        <v>390</v>
      </c>
      <c r="T94" s="610">
        <v>45869</v>
      </c>
      <c r="U94" s="615">
        <v>41.372986906086929</v>
      </c>
      <c r="V94" s="830"/>
      <c r="W94" s="460">
        <v>45900</v>
      </c>
      <c r="X94" s="827"/>
      <c r="Y94" s="409"/>
    </row>
    <row r="95" spans="1:25" ht="14.25" customHeight="1">
      <c r="B95" s="212">
        <v>5</v>
      </c>
      <c r="C95" s="236"/>
      <c r="D95" s="239" t="s">
        <v>391</v>
      </c>
      <c r="E95" s="240"/>
      <c r="F95" s="383"/>
      <c r="G95" s="241">
        <v>30000</v>
      </c>
      <c r="H95" s="460">
        <v>45900</v>
      </c>
      <c r="I95" s="842"/>
      <c r="J95" s="842"/>
      <c r="K95" s="214"/>
      <c r="L95" s="212">
        <v>5</v>
      </c>
      <c r="M95" s="623" t="s">
        <v>383</v>
      </c>
      <c r="N95" s="239" t="s">
        <v>392</v>
      </c>
      <c r="O95" s="476">
        <v>1</v>
      </c>
      <c r="P95" s="383"/>
      <c r="Q95" s="241">
        <v>11169</v>
      </c>
      <c r="R95" s="510"/>
      <c r="S95" s="545" t="s">
        <v>393</v>
      </c>
      <c r="T95" s="610">
        <v>45900</v>
      </c>
      <c r="U95" s="615">
        <v>26948.87</v>
      </c>
      <c r="V95" s="830"/>
      <c r="W95" s="460">
        <v>45900</v>
      </c>
      <c r="X95" s="827"/>
      <c r="Y95" s="409" t="s">
        <v>394</v>
      </c>
    </row>
    <row r="96" spans="1:25" ht="14.25" customHeight="1">
      <c r="B96" s="212"/>
      <c r="C96" s="236"/>
      <c r="D96" s="239"/>
      <c r="E96" s="240"/>
      <c r="F96" s="383"/>
      <c r="G96" s="241"/>
      <c r="H96" s="460"/>
      <c r="I96" s="842"/>
      <c r="J96" s="842"/>
      <c r="K96" s="214"/>
      <c r="L96" s="212">
        <v>5</v>
      </c>
      <c r="M96" s="623" t="s">
        <v>383</v>
      </c>
      <c r="N96" s="239" t="s">
        <v>395</v>
      </c>
      <c r="O96" s="476"/>
      <c r="P96" s="383"/>
      <c r="Q96" s="241">
        <v>175.56</v>
      </c>
      <c r="R96" s="510"/>
      <c r="S96" s="545" t="s">
        <v>390</v>
      </c>
      <c r="T96" s="610">
        <v>45869</v>
      </c>
      <c r="U96" s="615">
        <v>27.48596677981012</v>
      </c>
      <c r="V96" s="830"/>
      <c r="W96" s="460">
        <v>45900</v>
      </c>
      <c r="X96" s="827"/>
      <c r="Y96" s="409"/>
    </row>
    <row r="97" spans="2:25" ht="14.25" customHeight="1">
      <c r="B97" s="212"/>
      <c r="C97" s="236"/>
      <c r="D97" s="239"/>
      <c r="E97" s="240"/>
      <c r="F97" s="383"/>
      <c r="G97" s="241"/>
      <c r="H97" s="460"/>
      <c r="I97" s="842"/>
      <c r="J97" s="842"/>
      <c r="K97" s="214"/>
      <c r="L97" s="212">
        <v>5</v>
      </c>
      <c r="M97" s="623" t="s">
        <v>383</v>
      </c>
      <c r="N97" s="239" t="s">
        <v>396</v>
      </c>
      <c r="O97" s="476">
        <v>1</v>
      </c>
      <c r="P97" s="383"/>
      <c r="Q97" s="241">
        <v>95374</v>
      </c>
      <c r="R97" s="510" t="s">
        <v>397</v>
      </c>
      <c r="S97" s="545" t="s">
        <v>398</v>
      </c>
      <c r="T97" s="610">
        <v>45869</v>
      </c>
      <c r="U97" s="615">
        <v>14931.912711651916</v>
      </c>
      <c r="V97" s="830"/>
      <c r="W97" s="460">
        <v>45930</v>
      </c>
      <c r="X97" s="827"/>
      <c r="Y97" s="409"/>
    </row>
    <row r="98" spans="2:25" ht="14.25" customHeight="1">
      <c r="B98" s="212"/>
      <c r="C98" s="236"/>
      <c r="D98" s="239"/>
      <c r="E98" s="240"/>
      <c r="F98" s="383"/>
      <c r="G98" s="241"/>
      <c r="H98" s="460"/>
      <c r="I98" s="842"/>
      <c r="J98" s="842"/>
      <c r="K98" s="214"/>
      <c r="L98" s="212">
        <v>5</v>
      </c>
      <c r="M98" s="623" t="s">
        <v>383</v>
      </c>
      <c r="N98" s="239" t="s">
        <v>399</v>
      </c>
      <c r="O98" s="476"/>
      <c r="P98" s="383"/>
      <c r="Q98" s="241">
        <v>15921</v>
      </c>
      <c r="R98" s="510" t="s">
        <v>400</v>
      </c>
      <c r="S98" s="545" t="s">
        <v>401</v>
      </c>
      <c r="T98" s="610">
        <v>45869</v>
      </c>
      <c r="U98" s="615">
        <v>2492.6183475812081</v>
      </c>
      <c r="V98" s="830"/>
      <c r="W98" s="460">
        <f>T98+30</f>
        <v>45899</v>
      </c>
      <c r="X98" s="827"/>
      <c r="Y98" s="409"/>
    </row>
    <row r="99" spans="2:25" ht="14.25" customHeight="1">
      <c r="B99" s="212"/>
      <c r="C99" s="236"/>
      <c r="D99" s="239"/>
      <c r="E99" s="240"/>
      <c r="F99" s="383"/>
      <c r="G99" s="241"/>
      <c r="H99" s="496"/>
      <c r="I99" s="842"/>
      <c r="J99" s="842"/>
      <c r="K99" s="214"/>
      <c r="L99" s="212">
        <v>5</v>
      </c>
      <c r="M99" s="623" t="s">
        <v>383</v>
      </c>
      <c r="N99" s="239" t="s">
        <v>150</v>
      </c>
      <c r="O99" s="476"/>
      <c r="P99" s="383"/>
      <c r="Q99" s="241">
        <v>83760</v>
      </c>
      <c r="R99" s="510" t="s">
        <v>402</v>
      </c>
      <c r="S99" s="545" t="s">
        <v>403</v>
      </c>
      <c r="T99" s="687">
        <v>46022</v>
      </c>
      <c r="U99" s="693">
        <v>17237.103282812757</v>
      </c>
      <c r="V99" s="830"/>
      <c r="W99" s="692">
        <v>46037</v>
      </c>
      <c r="X99" s="827"/>
      <c r="Y99" s="409"/>
    </row>
    <row r="100" spans="2:25" ht="14.25" customHeight="1">
      <c r="B100" s="212"/>
      <c r="C100" s="236"/>
      <c r="D100" s="239"/>
      <c r="E100" s="240"/>
      <c r="F100" s="383"/>
      <c r="G100" s="241"/>
      <c r="H100" s="496"/>
      <c r="I100" s="842"/>
      <c r="J100" s="842"/>
      <c r="K100" s="214"/>
      <c r="L100" s="212">
        <v>5</v>
      </c>
      <c r="M100" s="623" t="s">
        <v>383</v>
      </c>
      <c r="N100" s="239" t="s">
        <v>404</v>
      </c>
      <c r="O100" s="476"/>
      <c r="P100" s="383"/>
      <c r="Q100" s="241">
        <v>1980</v>
      </c>
      <c r="R100" s="510"/>
      <c r="S100" s="545" t="s">
        <v>405</v>
      </c>
      <c r="T100" s="610">
        <v>46053</v>
      </c>
      <c r="U100" s="693">
        <v>562.22433163430321</v>
      </c>
      <c r="V100" s="830"/>
      <c r="W100" s="692">
        <v>46053</v>
      </c>
      <c r="X100" s="827"/>
      <c r="Y100" s="409"/>
    </row>
    <row r="101" spans="2:25" ht="14.25" customHeight="1">
      <c r="B101" s="212"/>
      <c r="C101" s="236"/>
      <c r="D101" s="239"/>
      <c r="E101" s="240"/>
      <c r="F101" s="383"/>
      <c r="G101" s="241"/>
      <c r="H101" s="496"/>
      <c r="I101" s="842"/>
      <c r="J101" s="842"/>
      <c r="K101" s="214"/>
      <c r="L101" s="212">
        <v>5</v>
      </c>
      <c r="M101" s="623" t="s">
        <v>383</v>
      </c>
      <c r="N101" s="239"/>
      <c r="O101" s="476"/>
      <c r="P101" s="383"/>
      <c r="Q101" s="241">
        <v>-1980</v>
      </c>
      <c r="R101" s="510"/>
      <c r="S101" s="545" t="s">
        <v>406</v>
      </c>
      <c r="T101" s="687">
        <v>46053</v>
      </c>
      <c r="U101" s="693"/>
      <c r="V101" s="830"/>
      <c r="W101" s="692">
        <v>46053</v>
      </c>
      <c r="X101" s="827"/>
      <c r="Y101" s="409"/>
    </row>
    <row r="102" spans="2:25" ht="14.25" customHeight="1">
      <c r="B102" s="212"/>
      <c r="C102" s="236"/>
      <c r="D102" s="239"/>
      <c r="E102" s="240"/>
      <c r="F102" s="383"/>
      <c r="G102" s="241"/>
      <c r="H102" s="460"/>
      <c r="I102" s="842"/>
      <c r="J102" s="842"/>
      <c r="K102" s="214"/>
      <c r="L102" s="212">
        <v>5</v>
      </c>
      <c r="M102" s="623" t="s">
        <v>383</v>
      </c>
      <c r="N102" s="239" t="s">
        <v>407</v>
      </c>
      <c r="O102" s="476">
        <v>1</v>
      </c>
      <c r="P102" s="383"/>
      <c r="Q102" s="241">
        <v>1060</v>
      </c>
      <c r="R102" s="510" t="s">
        <v>408</v>
      </c>
      <c r="S102" s="545" t="s">
        <v>409</v>
      </c>
      <c r="T102" s="610">
        <v>45930</v>
      </c>
      <c r="U102" s="693">
        <v>335.81690215918718</v>
      </c>
      <c r="V102" s="830"/>
      <c r="W102" s="460">
        <v>45904</v>
      </c>
      <c r="X102" s="827"/>
      <c r="Y102" s="409"/>
    </row>
    <row r="103" spans="2:25" ht="14.25" customHeight="1">
      <c r="B103" s="212"/>
      <c r="C103" s="236"/>
      <c r="D103" s="239"/>
      <c r="E103" s="240"/>
      <c r="F103" s="383"/>
      <c r="G103" s="241"/>
      <c r="H103" s="496"/>
      <c r="I103" s="842"/>
      <c r="J103" s="842"/>
      <c r="K103" s="214"/>
      <c r="L103" s="212">
        <v>5</v>
      </c>
      <c r="M103" s="623" t="s">
        <v>383</v>
      </c>
      <c r="N103" s="239"/>
      <c r="O103" s="476"/>
      <c r="P103" s="383"/>
      <c r="Q103" s="241"/>
      <c r="R103" s="510"/>
      <c r="S103" s="545"/>
      <c r="T103" s="445"/>
      <c r="U103" s="430">
        <f t="shared" ref="U103:U113" si="11">(Q103/$X$92*$J$92)</f>
        <v>0</v>
      </c>
      <c r="V103" s="830"/>
      <c r="W103" s="496"/>
      <c r="X103" s="827"/>
      <c r="Y103" s="409"/>
    </row>
    <row r="104" spans="2:25" ht="14.25" customHeight="1">
      <c r="B104" s="212"/>
      <c r="C104" s="236"/>
      <c r="D104" s="239"/>
      <c r="E104" s="240"/>
      <c r="F104" s="383"/>
      <c r="G104" s="241"/>
      <c r="H104" s="496"/>
      <c r="I104" s="842"/>
      <c r="J104" s="842"/>
      <c r="K104" s="214"/>
      <c r="L104" s="212">
        <v>5</v>
      </c>
      <c r="M104" s="623" t="s">
        <v>383</v>
      </c>
      <c r="N104" s="239" t="s">
        <v>410</v>
      </c>
      <c r="O104" s="476"/>
      <c r="P104" s="383"/>
      <c r="Q104" s="241">
        <v>11169</v>
      </c>
      <c r="R104" s="510"/>
      <c r="S104" s="545" t="s">
        <v>411</v>
      </c>
      <c r="T104" s="687">
        <v>45961</v>
      </c>
      <c r="U104" s="693">
        <v>3469.3217718440114</v>
      </c>
      <c r="V104" s="830"/>
      <c r="W104" s="460">
        <v>45974</v>
      </c>
      <c r="X104" s="827"/>
      <c r="Y104" s="409"/>
    </row>
    <row r="105" spans="2:25" ht="14.25" customHeight="1">
      <c r="B105" s="212"/>
      <c r="C105" s="236"/>
      <c r="D105" s="239"/>
      <c r="E105" s="240"/>
      <c r="F105" s="383"/>
      <c r="G105" s="241"/>
      <c r="H105" s="496"/>
      <c r="I105" s="842"/>
      <c r="J105" s="842"/>
      <c r="K105" s="214"/>
      <c r="L105" s="212">
        <v>5</v>
      </c>
      <c r="M105" s="623" t="s">
        <v>383</v>
      </c>
      <c r="N105" s="239" t="s">
        <v>395</v>
      </c>
      <c r="O105" s="476"/>
      <c r="P105" s="383"/>
      <c r="Q105" s="241">
        <v>308.98</v>
      </c>
      <c r="R105" s="510"/>
      <c r="S105" s="510" t="s">
        <v>412</v>
      </c>
      <c r="T105" s="687">
        <v>45961</v>
      </c>
      <c r="U105" s="693">
        <v>97.749104563019316</v>
      </c>
      <c r="V105" s="830"/>
      <c r="W105" s="460">
        <v>45991</v>
      </c>
      <c r="X105" s="827"/>
      <c r="Y105" s="409"/>
    </row>
    <row r="106" spans="2:25" ht="14.25" customHeight="1">
      <c r="B106" s="212"/>
      <c r="C106" s="236"/>
      <c r="D106" s="239"/>
      <c r="E106" s="240"/>
      <c r="F106" s="383"/>
      <c r="G106" s="241"/>
      <c r="H106" s="496"/>
      <c r="I106" s="842"/>
      <c r="J106" s="842"/>
      <c r="K106" s="214"/>
      <c r="L106" s="212">
        <v>5</v>
      </c>
      <c r="M106" s="623" t="s">
        <v>383</v>
      </c>
      <c r="N106" s="239"/>
      <c r="O106" s="476"/>
      <c r="P106" s="383"/>
      <c r="Q106" s="241"/>
      <c r="R106" s="510"/>
      <c r="S106" s="545"/>
      <c r="T106" s="610"/>
      <c r="U106" s="693"/>
      <c r="V106" s="830"/>
      <c r="W106" s="496"/>
      <c r="X106" s="827"/>
      <c r="Y106" s="409"/>
    </row>
    <row r="107" spans="2:25" ht="14.25" customHeight="1">
      <c r="B107" s="212"/>
      <c r="C107" s="236"/>
      <c r="D107" s="239"/>
      <c r="E107" s="240"/>
      <c r="F107" s="383"/>
      <c r="G107" s="241"/>
      <c r="H107" s="496"/>
      <c r="I107" s="842"/>
      <c r="J107" s="842"/>
      <c r="K107" s="214"/>
      <c r="L107" s="212">
        <v>5</v>
      </c>
      <c r="M107" s="623" t="s">
        <v>383</v>
      </c>
      <c r="N107" s="239" t="s">
        <v>413</v>
      </c>
      <c r="O107" s="476"/>
      <c r="P107" s="383"/>
      <c r="Q107" s="241">
        <v>3170</v>
      </c>
      <c r="R107" s="510"/>
      <c r="S107" s="545" t="s">
        <v>414</v>
      </c>
      <c r="T107" s="610">
        <v>46053</v>
      </c>
      <c r="U107" s="693">
        <v>7.42</v>
      </c>
      <c r="V107" s="830"/>
      <c r="W107" s="692">
        <v>46079</v>
      </c>
      <c r="X107" s="827"/>
      <c r="Y107" s="409"/>
    </row>
    <row r="108" spans="2:25" ht="14.25" customHeight="1">
      <c r="B108" s="212"/>
      <c r="C108" s="236"/>
      <c r="D108" s="239"/>
      <c r="E108" s="240"/>
      <c r="F108" s="383"/>
      <c r="G108" s="241"/>
      <c r="H108" s="496"/>
      <c r="I108" s="842"/>
      <c r="J108" s="842"/>
      <c r="K108" s="214"/>
      <c r="L108" s="212">
        <v>5</v>
      </c>
      <c r="M108" s="623" t="s">
        <v>383</v>
      </c>
      <c r="N108" s="239"/>
      <c r="O108" s="476"/>
      <c r="P108" s="383"/>
      <c r="Q108" s="241"/>
      <c r="R108" s="510"/>
      <c r="S108" s="545"/>
      <c r="T108" s="445" t="str">
        <f t="shared" ref="T108:T111" si="12">IF(W108&gt;1,EOMONTH(W108,0),"")</f>
        <v/>
      </c>
      <c r="U108" s="430">
        <f t="shared" si="11"/>
        <v>0</v>
      </c>
      <c r="V108" s="830"/>
      <c r="W108" s="496"/>
      <c r="X108" s="827"/>
      <c r="Y108" s="409"/>
    </row>
    <row r="109" spans="2:25" ht="14.25" customHeight="1">
      <c r="B109" s="212"/>
      <c r="C109" s="236"/>
      <c r="D109" s="239"/>
      <c r="E109" s="240"/>
      <c r="F109" s="383"/>
      <c r="G109" s="241"/>
      <c r="H109" s="496"/>
      <c r="I109" s="842"/>
      <c r="J109" s="842"/>
      <c r="K109" s="214"/>
      <c r="L109" s="212">
        <v>5</v>
      </c>
      <c r="M109" s="623" t="s">
        <v>383</v>
      </c>
      <c r="N109" s="239"/>
      <c r="O109" s="476"/>
      <c r="P109" s="383"/>
      <c r="Q109" s="241"/>
      <c r="R109" s="510"/>
      <c r="S109" s="545"/>
      <c r="T109" s="445" t="str">
        <f t="shared" si="12"/>
        <v/>
      </c>
      <c r="U109" s="430">
        <f t="shared" si="11"/>
        <v>0</v>
      </c>
      <c r="V109" s="830"/>
      <c r="W109" s="496"/>
      <c r="X109" s="827"/>
      <c r="Y109" s="409"/>
    </row>
    <row r="110" spans="2:25" ht="14.25" customHeight="1">
      <c r="B110" s="237">
        <v>5</v>
      </c>
      <c r="C110" s="238"/>
      <c r="D110" s="239"/>
      <c r="E110" s="240"/>
      <c r="F110" s="383"/>
      <c r="G110" s="241"/>
      <c r="H110" s="496"/>
      <c r="I110" s="842"/>
      <c r="J110" s="842"/>
      <c r="K110" s="214"/>
      <c r="L110" s="237">
        <v>5</v>
      </c>
      <c r="M110" s="623" t="s">
        <v>383</v>
      </c>
      <c r="N110" s="239"/>
      <c r="O110" s="476"/>
      <c r="P110" s="383"/>
      <c r="Q110" s="241"/>
      <c r="R110" s="510"/>
      <c r="S110" s="545"/>
      <c r="T110" s="445" t="str">
        <f t="shared" si="12"/>
        <v/>
      </c>
      <c r="U110" s="430">
        <f t="shared" si="11"/>
        <v>0</v>
      </c>
      <c r="V110" s="830"/>
      <c r="W110" s="496"/>
      <c r="X110" s="827"/>
      <c r="Y110" s="409"/>
    </row>
    <row r="111" spans="2:25" ht="14.25" customHeight="1">
      <c r="B111" s="309">
        <v>5</v>
      </c>
      <c r="C111" s="310"/>
      <c r="D111" s="313"/>
      <c r="E111" s="332"/>
      <c r="F111" s="368"/>
      <c r="G111" s="312"/>
      <c r="H111" s="497"/>
      <c r="I111" s="842"/>
      <c r="J111" s="842"/>
      <c r="K111" s="214"/>
      <c r="L111" s="237">
        <v>5</v>
      </c>
      <c r="M111" s="623" t="s">
        <v>383</v>
      </c>
      <c r="N111" s="313"/>
      <c r="O111" s="477"/>
      <c r="P111" s="368"/>
      <c r="Q111" s="312"/>
      <c r="R111" s="511"/>
      <c r="S111" s="546"/>
      <c r="T111" s="446" t="str">
        <f t="shared" si="12"/>
        <v/>
      </c>
      <c r="U111" s="431">
        <f t="shared" si="11"/>
        <v>0</v>
      </c>
      <c r="V111" s="830"/>
      <c r="W111" s="497"/>
      <c r="X111" s="827"/>
      <c r="Y111" s="409"/>
    </row>
    <row r="112" spans="2:25" ht="14.25" customHeight="1">
      <c r="B112" s="309">
        <v>5</v>
      </c>
      <c r="C112" s="310"/>
      <c r="D112" s="313"/>
      <c r="E112" s="332"/>
      <c r="F112" s="368"/>
      <c r="G112" s="312"/>
      <c r="H112" s="497"/>
      <c r="I112" s="842"/>
      <c r="J112" s="842"/>
      <c r="K112" s="214"/>
      <c r="L112" s="237">
        <v>5</v>
      </c>
      <c r="M112" s="623" t="s">
        <v>383</v>
      </c>
      <c r="N112" s="313"/>
      <c r="O112" s="477"/>
      <c r="P112" s="368"/>
      <c r="Q112" s="312"/>
      <c r="R112" s="511"/>
      <c r="S112" s="546"/>
      <c r="T112" s="446" t="str">
        <f t="shared" si="5"/>
        <v/>
      </c>
      <c r="U112" s="431">
        <f t="shared" si="11"/>
        <v>0</v>
      </c>
      <c r="V112" s="830"/>
      <c r="W112" s="497"/>
      <c r="X112" s="827"/>
      <c r="Y112" s="409"/>
    </row>
    <row r="113" spans="1:25" ht="15" customHeight="1" thickBot="1">
      <c r="B113" s="242">
        <v>5</v>
      </c>
      <c r="C113" s="263"/>
      <c r="D113" s="243"/>
      <c r="E113" s="244"/>
      <c r="F113" s="384"/>
      <c r="G113" s="256"/>
      <c r="H113" s="498"/>
      <c r="I113" s="843"/>
      <c r="J113" s="843"/>
      <c r="K113" s="215"/>
      <c r="L113" s="242">
        <v>5</v>
      </c>
      <c r="M113" s="349" t="s">
        <v>383</v>
      </c>
      <c r="N113" s="243"/>
      <c r="O113" s="478"/>
      <c r="P113" s="384"/>
      <c r="Q113" s="256"/>
      <c r="R113" s="512"/>
      <c r="S113" s="547"/>
      <c r="T113" s="447" t="str">
        <f t="shared" si="5"/>
        <v/>
      </c>
      <c r="U113" s="432">
        <f t="shared" si="11"/>
        <v>0</v>
      </c>
      <c r="V113" s="831"/>
      <c r="W113" s="498"/>
      <c r="X113" s="828"/>
      <c r="Y113" s="409"/>
    </row>
    <row r="114" spans="1:25" ht="14.25" thickBot="1">
      <c r="A114" s="4"/>
      <c r="B114" s="216"/>
      <c r="C114" s="233"/>
      <c r="D114" s="204"/>
      <c r="E114" s="217"/>
      <c r="F114" s="380"/>
      <c r="G114" s="218"/>
      <c r="H114" s="499"/>
      <c r="I114" s="252"/>
      <c r="J114" s="252"/>
      <c r="K114" s="4"/>
      <c r="L114" s="216"/>
      <c r="M114" s="233"/>
      <c r="N114" s="204"/>
      <c r="O114" s="479"/>
      <c r="P114" s="380"/>
      <c r="Q114" s="218"/>
      <c r="R114" s="513"/>
      <c r="S114" s="548"/>
      <c r="T114" s="448" t="str">
        <f t="shared" si="5"/>
        <v/>
      </c>
      <c r="U114" s="437"/>
      <c r="V114" s="420"/>
      <c r="W114" s="499"/>
      <c r="X114" s="410"/>
      <c r="Y114" s="409"/>
    </row>
    <row r="115" spans="1:25" ht="14.25" customHeight="1">
      <c r="B115" s="219">
        <v>6</v>
      </c>
      <c r="C115" s="220" t="s">
        <v>287</v>
      </c>
      <c r="D115" s="221" t="s">
        <v>415</v>
      </c>
      <c r="E115" s="402"/>
      <c r="F115" s="381"/>
      <c r="G115" s="222">
        <f>D445</f>
        <v>2941866.9</v>
      </c>
      <c r="H115" s="500">
        <f>H116</f>
        <v>45901</v>
      </c>
      <c r="I115" s="862">
        <f>SUM(G115:G149)</f>
        <v>2941866.9</v>
      </c>
      <c r="J115" s="862">
        <f>F445</f>
        <v>3178997.0514993835</v>
      </c>
      <c r="K115" s="223"/>
      <c r="L115" s="219">
        <v>6</v>
      </c>
      <c r="M115" s="355" t="s">
        <v>416</v>
      </c>
      <c r="N115" s="221"/>
      <c r="O115" s="471"/>
      <c r="P115" s="381"/>
      <c r="Q115" s="222"/>
      <c r="R115" s="514"/>
      <c r="S115" s="549"/>
      <c r="T115" s="449"/>
      <c r="U115" s="434">
        <f>(Q115/$X$115*$J$115)</f>
        <v>0</v>
      </c>
      <c r="V115" s="871">
        <f>J115-SUM(U115:U149)</f>
        <v>2.9870779253542423E-3</v>
      </c>
      <c r="W115" s="500"/>
      <c r="X115" s="865">
        <f>SUM(Q115:Q149)</f>
        <v>2258542.35</v>
      </c>
      <c r="Y115" s="409"/>
    </row>
    <row r="116" spans="1:25" ht="14.25" customHeight="1">
      <c r="B116" s="224">
        <v>6</v>
      </c>
      <c r="C116" s="334"/>
      <c r="D116" s="367"/>
      <c r="E116" s="320"/>
      <c r="F116" s="377"/>
      <c r="G116" s="247"/>
      <c r="H116" s="464">
        <v>45901</v>
      </c>
      <c r="I116" s="863"/>
      <c r="J116" s="863"/>
      <c r="K116" s="227"/>
      <c r="L116" s="224">
        <v>6</v>
      </c>
      <c r="M116" s="353" t="s">
        <v>416</v>
      </c>
      <c r="N116" s="367" t="s">
        <v>417</v>
      </c>
      <c r="O116" s="481"/>
      <c r="P116" s="377">
        <f>Q116/20</f>
        <v>27122.75</v>
      </c>
      <c r="Q116" s="247">
        <v>542455</v>
      </c>
      <c r="R116" s="515" t="s">
        <v>418</v>
      </c>
      <c r="S116" s="550" t="s">
        <v>419</v>
      </c>
      <c r="T116" s="608">
        <v>45869</v>
      </c>
      <c r="U116" s="617">
        <v>819376.53083841596</v>
      </c>
      <c r="V116" s="872"/>
      <c r="W116" s="464">
        <v>45901</v>
      </c>
      <c r="X116" s="866"/>
      <c r="Y116" s="409"/>
    </row>
    <row r="117" spans="1:25" ht="14.25" customHeight="1">
      <c r="B117" s="224"/>
      <c r="C117" s="334"/>
      <c r="D117" s="367"/>
      <c r="E117" s="320"/>
      <c r="F117" s="377"/>
      <c r="G117" s="247"/>
      <c r="H117" s="501"/>
      <c r="I117" s="863"/>
      <c r="J117" s="863"/>
      <c r="K117" s="227"/>
      <c r="L117" s="224">
        <v>6</v>
      </c>
      <c r="M117" s="353" t="s">
        <v>416</v>
      </c>
      <c r="N117" s="367"/>
      <c r="O117" s="481"/>
      <c r="P117" s="377"/>
      <c r="Q117" s="247"/>
      <c r="R117" s="515"/>
      <c r="S117" s="550"/>
      <c r="T117" s="450"/>
      <c r="U117" s="435"/>
      <c r="V117" s="872"/>
      <c r="W117" s="501"/>
      <c r="X117" s="866"/>
      <c r="Y117" s="409"/>
    </row>
    <row r="118" spans="1:25" ht="14.25" customHeight="1">
      <c r="B118" s="224"/>
      <c r="C118" s="334"/>
      <c r="D118" s="367"/>
      <c r="E118" s="320"/>
      <c r="F118" s="377"/>
      <c r="G118" s="247"/>
      <c r="H118" s="501"/>
      <c r="I118" s="863"/>
      <c r="J118" s="863"/>
      <c r="K118" s="227"/>
      <c r="L118" s="224">
        <v>6</v>
      </c>
      <c r="M118" s="353" t="s">
        <v>416</v>
      </c>
      <c r="N118" s="367" t="s">
        <v>420</v>
      </c>
      <c r="O118" s="481"/>
      <c r="P118" s="377"/>
      <c r="Q118" s="247">
        <v>111600</v>
      </c>
      <c r="R118" s="515"/>
      <c r="S118" s="550" t="s">
        <v>421</v>
      </c>
      <c r="T118" s="608">
        <v>46022</v>
      </c>
      <c r="U118" s="435"/>
      <c r="V118" s="872"/>
      <c r="W118" s="464">
        <v>46051</v>
      </c>
      <c r="X118" s="866"/>
      <c r="Y118" s="409"/>
    </row>
    <row r="119" spans="1:25" ht="14.25" customHeight="1">
      <c r="B119" s="224"/>
      <c r="C119" s="334"/>
      <c r="D119" s="367"/>
      <c r="E119" s="320"/>
      <c r="F119" s="377"/>
      <c r="G119" s="247"/>
      <c r="H119" s="501"/>
      <c r="I119" s="863"/>
      <c r="J119" s="863"/>
      <c r="K119" s="227"/>
      <c r="L119" s="224">
        <v>6</v>
      </c>
      <c r="M119" s="353" t="s">
        <v>416</v>
      </c>
      <c r="N119" s="367" t="s">
        <v>422</v>
      </c>
      <c r="O119" s="481"/>
      <c r="P119" s="377"/>
      <c r="Q119" s="247"/>
      <c r="R119" s="515"/>
      <c r="S119" s="550"/>
      <c r="T119" s="608">
        <v>45900</v>
      </c>
      <c r="U119" s="617">
        <v>720273.72</v>
      </c>
      <c r="V119" s="872"/>
      <c r="W119" s="501"/>
      <c r="X119" s="866"/>
      <c r="Y119" s="409"/>
    </row>
    <row r="120" spans="1:25" ht="14.25" customHeight="1">
      <c r="B120" s="224"/>
      <c r="C120" s="334"/>
      <c r="D120" s="367"/>
      <c r="E120" s="320"/>
      <c r="F120" s="377"/>
      <c r="G120" s="247"/>
      <c r="H120" s="501"/>
      <c r="I120" s="863"/>
      <c r="J120" s="863"/>
      <c r="K120" s="227"/>
      <c r="L120" s="224">
        <v>6</v>
      </c>
      <c r="M120" s="353" t="s">
        <v>416</v>
      </c>
      <c r="N120" s="367"/>
      <c r="O120" s="481"/>
      <c r="P120" s="377"/>
      <c r="Q120" s="247"/>
      <c r="R120" s="515"/>
      <c r="S120" s="550"/>
      <c r="T120" s="450"/>
      <c r="U120" s="435"/>
      <c r="V120" s="872"/>
      <c r="W120" s="501"/>
      <c r="X120" s="866"/>
      <c r="Y120" s="409"/>
    </row>
    <row r="121" spans="1:25" ht="14.25" customHeight="1">
      <c r="B121" s="224"/>
      <c r="C121" s="334"/>
      <c r="D121" s="367"/>
      <c r="E121" s="320"/>
      <c r="F121" s="377"/>
      <c r="G121" s="247"/>
      <c r="H121" s="464"/>
      <c r="I121" s="863"/>
      <c r="J121" s="863"/>
      <c r="K121" s="227"/>
      <c r="L121" s="224">
        <v>6</v>
      </c>
      <c r="M121" s="353" t="s">
        <v>416</v>
      </c>
      <c r="N121" s="367" t="s">
        <v>423</v>
      </c>
      <c r="O121" s="481"/>
      <c r="P121" s="377">
        <f>Q121+Q126+Q133</f>
        <v>1126388</v>
      </c>
      <c r="Q121" s="247">
        <v>602839</v>
      </c>
      <c r="R121" s="835" t="s">
        <v>424</v>
      </c>
      <c r="S121" s="550" t="s">
        <v>425</v>
      </c>
      <c r="T121" s="608">
        <v>45869</v>
      </c>
      <c r="U121" s="617">
        <v>586595.33735154092</v>
      </c>
      <c r="V121" s="872"/>
      <c r="W121" s="464">
        <v>45900</v>
      </c>
      <c r="X121" s="866"/>
      <c r="Y121" s="409"/>
    </row>
    <row r="122" spans="1:25" ht="14.25" customHeight="1">
      <c r="B122" s="224"/>
      <c r="C122" s="334"/>
      <c r="D122" s="367"/>
      <c r="E122" s="320"/>
      <c r="F122" s="377"/>
      <c r="G122" s="247"/>
      <c r="H122" s="464"/>
      <c r="I122" s="863"/>
      <c r="J122" s="863"/>
      <c r="K122" s="227"/>
      <c r="L122" s="224">
        <v>6</v>
      </c>
      <c r="M122" s="353" t="s">
        <v>416</v>
      </c>
      <c r="N122" s="367" t="s">
        <v>426</v>
      </c>
      <c r="O122" s="481">
        <v>-90</v>
      </c>
      <c r="P122" s="377">
        <v>2771</v>
      </c>
      <c r="Q122" s="247">
        <f>O122*P122</f>
        <v>-249390</v>
      </c>
      <c r="R122" s="836"/>
      <c r="S122" s="550" t="s">
        <v>325</v>
      </c>
      <c r="T122" s="714">
        <v>46081</v>
      </c>
      <c r="U122" s="617">
        <v>0</v>
      </c>
      <c r="V122" s="872"/>
      <c r="W122" s="703">
        <v>46081</v>
      </c>
      <c r="X122" s="866"/>
      <c r="Y122" s="409"/>
    </row>
    <row r="123" spans="1:25" ht="14.25" customHeight="1">
      <c r="B123" s="224"/>
      <c r="C123" s="334"/>
      <c r="D123" s="367"/>
      <c r="E123" s="320"/>
      <c r="F123" s="377"/>
      <c r="G123" s="247"/>
      <c r="H123" s="464"/>
      <c r="I123" s="863"/>
      <c r="J123" s="863"/>
      <c r="K123" s="227"/>
      <c r="L123" s="224">
        <v>6</v>
      </c>
      <c r="M123" s="353" t="s">
        <v>416</v>
      </c>
      <c r="N123" s="367" t="s">
        <v>426</v>
      </c>
      <c r="O123" s="481">
        <v>90</v>
      </c>
      <c r="P123" s="377">
        <v>2771</v>
      </c>
      <c r="Q123" s="247">
        <f>O123*P123</f>
        <v>249390</v>
      </c>
      <c r="R123" s="836"/>
      <c r="S123" s="550" t="s">
        <v>427</v>
      </c>
      <c r="T123" s="714">
        <v>46142</v>
      </c>
      <c r="U123" s="617">
        <v>0</v>
      </c>
      <c r="V123" s="872"/>
      <c r="W123" s="703">
        <v>46142</v>
      </c>
      <c r="X123" s="866"/>
      <c r="Y123" s="409"/>
    </row>
    <row r="124" spans="1:25" ht="14.25" customHeight="1">
      <c r="B124" s="224"/>
      <c r="C124" s="334"/>
      <c r="D124" s="367"/>
      <c r="E124" s="320"/>
      <c r="F124" s="377"/>
      <c r="G124" s="247"/>
      <c r="H124" s="464"/>
      <c r="I124" s="863"/>
      <c r="J124" s="863"/>
      <c r="K124" s="227"/>
      <c r="L124" s="224">
        <v>6</v>
      </c>
      <c r="M124" s="353" t="s">
        <v>416</v>
      </c>
      <c r="N124" s="367"/>
      <c r="O124" s="481"/>
      <c r="P124" s="377"/>
      <c r="Q124" s="247"/>
      <c r="R124" s="836"/>
      <c r="S124" s="550"/>
      <c r="T124" s="714"/>
      <c r="U124" s="617"/>
      <c r="V124" s="872"/>
      <c r="W124" s="703"/>
      <c r="X124" s="866"/>
      <c r="Y124" s="409"/>
    </row>
    <row r="125" spans="1:25" ht="14.25" customHeight="1">
      <c r="B125" s="224"/>
      <c r="C125" s="334"/>
      <c r="D125" s="367"/>
      <c r="E125" s="320"/>
      <c r="F125" s="377"/>
      <c r="G125" s="247"/>
      <c r="H125" s="464"/>
      <c r="I125" s="863"/>
      <c r="J125" s="863"/>
      <c r="K125" s="227"/>
      <c r="L125" s="224">
        <v>6</v>
      </c>
      <c r="M125" s="353" t="s">
        <v>416</v>
      </c>
      <c r="N125" s="367" t="s">
        <v>428</v>
      </c>
      <c r="O125" s="481">
        <v>-5000</v>
      </c>
      <c r="P125" s="377">
        <v>14.6</v>
      </c>
      <c r="Q125" s="247">
        <f>O125*P125</f>
        <v>-73000</v>
      </c>
      <c r="R125" s="836"/>
      <c r="S125" s="550" t="s">
        <v>325</v>
      </c>
      <c r="T125" s="714">
        <v>46081</v>
      </c>
      <c r="U125" s="617">
        <v>0</v>
      </c>
      <c r="V125" s="872"/>
      <c r="W125" s="703">
        <v>46081</v>
      </c>
      <c r="X125" s="866"/>
      <c r="Y125" s="409"/>
    </row>
    <row r="126" spans="1:25" ht="14.25" customHeight="1">
      <c r="B126" s="224"/>
      <c r="C126" s="334"/>
      <c r="D126" s="367"/>
      <c r="E126" s="320"/>
      <c r="F126" s="377"/>
      <c r="G126" s="247"/>
      <c r="H126" s="464"/>
      <c r="I126" s="863"/>
      <c r="J126" s="863"/>
      <c r="K126" s="227"/>
      <c r="L126" s="224">
        <v>6</v>
      </c>
      <c r="M126" s="353" t="s">
        <v>416</v>
      </c>
      <c r="N126" s="367" t="s">
        <v>429</v>
      </c>
      <c r="O126" s="481"/>
      <c r="P126" s="377"/>
      <c r="Q126" s="247">
        <v>517469.18</v>
      </c>
      <c r="R126" s="836"/>
      <c r="S126" s="550" t="s">
        <v>430</v>
      </c>
      <c r="T126" s="608">
        <v>45869</v>
      </c>
      <c r="U126" s="617">
        <v>460970.25062994479</v>
      </c>
      <c r="V126" s="872"/>
      <c r="W126" s="464">
        <v>45900</v>
      </c>
      <c r="X126" s="866"/>
      <c r="Y126" s="409"/>
    </row>
    <row r="127" spans="1:25" ht="14.25" customHeight="1">
      <c r="B127" s="224"/>
      <c r="C127" s="334"/>
      <c r="D127" s="367"/>
      <c r="E127" s="320"/>
      <c r="F127" s="377"/>
      <c r="G127" s="247"/>
      <c r="H127" s="464"/>
      <c r="I127" s="863"/>
      <c r="J127" s="863"/>
      <c r="K127" s="227"/>
      <c r="L127" s="224">
        <v>6</v>
      </c>
      <c r="M127" s="353" t="s">
        <v>416</v>
      </c>
      <c r="N127" s="367" t="s">
        <v>431</v>
      </c>
      <c r="O127" s="481">
        <v>-70</v>
      </c>
      <c r="P127" s="377">
        <v>140</v>
      </c>
      <c r="Q127" s="247">
        <f t="shared" ref="Q127:Q132" si="13">O127*P127</f>
        <v>-9800</v>
      </c>
      <c r="R127" s="836"/>
      <c r="S127" s="550" t="s">
        <v>325</v>
      </c>
      <c r="T127" s="714">
        <v>46081</v>
      </c>
      <c r="U127" s="617">
        <v>0</v>
      </c>
      <c r="V127" s="872"/>
      <c r="W127" s="703">
        <v>46081</v>
      </c>
      <c r="X127" s="866"/>
      <c r="Y127" s="409"/>
    </row>
    <row r="128" spans="1:25" ht="14.25" customHeight="1">
      <c r="B128" s="224"/>
      <c r="C128" s="334"/>
      <c r="D128" s="367"/>
      <c r="E128" s="320"/>
      <c r="F128" s="377"/>
      <c r="G128" s="247"/>
      <c r="H128" s="464"/>
      <c r="I128" s="863"/>
      <c r="J128" s="863"/>
      <c r="K128" s="227"/>
      <c r="L128" s="224">
        <v>6</v>
      </c>
      <c r="M128" s="353" t="s">
        <v>416</v>
      </c>
      <c r="N128" s="367" t="s">
        <v>432</v>
      </c>
      <c r="O128" s="481">
        <v>-70</v>
      </c>
      <c r="P128" s="377">
        <v>198</v>
      </c>
      <c r="Q128" s="247">
        <f t="shared" si="13"/>
        <v>-13860</v>
      </c>
      <c r="R128" s="836"/>
      <c r="S128" s="550" t="s">
        <v>325</v>
      </c>
      <c r="T128" s="714">
        <v>46081</v>
      </c>
      <c r="U128" s="617">
        <v>0</v>
      </c>
      <c r="V128" s="872"/>
      <c r="W128" s="703">
        <v>46081</v>
      </c>
      <c r="X128" s="866"/>
      <c r="Y128" s="409"/>
    </row>
    <row r="129" spans="2:25" ht="14.25" customHeight="1">
      <c r="B129" s="224"/>
      <c r="C129" s="334"/>
      <c r="D129" s="367"/>
      <c r="E129" s="320"/>
      <c r="F129" s="377"/>
      <c r="G129" s="247"/>
      <c r="H129" s="464"/>
      <c r="I129" s="863"/>
      <c r="J129" s="863"/>
      <c r="K129" s="227"/>
      <c r="L129" s="224">
        <v>6</v>
      </c>
      <c r="M129" s="353" t="s">
        <v>416</v>
      </c>
      <c r="N129" s="367" t="s">
        <v>433</v>
      </c>
      <c r="O129" s="481">
        <v>-125</v>
      </c>
      <c r="P129" s="377">
        <v>151</v>
      </c>
      <c r="Q129" s="793">
        <f t="shared" si="13"/>
        <v>-18875</v>
      </c>
      <c r="R129" s="836"/>
      <c r="S129" s="550" t="s">
        <v>325</v>
      </c>
      <c r="T129" s="714">
        <v>46081</v>
      </c>
      <c r="U129" s="617">
        <v>0</v>
      </c>
      <c r="V129" s="872"/>
      <c r="W129" s="703">
        <v>46081</v>
      </c>
      <c r="X129" s="866"/>
      <c r="Y129" s="409"/>
    </row>
    <row r="130" spans="2:25" ht="14.25" customHeight="1">
      <c r="B130" s="224"/>
      <c r="C130" s="334"/>
      <c r="D130" s="367"/>
      <c r="E130" s="320"/>
      <c r="F130" s="377"/>
      <c r="G130" s="247"/>
      <c r="H130" s="464"/>
      <c r="I130" s="863"/>
      <c r="J130" s="863"/>
      <c r="K130" s="227"/>
      <c r="L130" s="224">
        <v>6</v>
      </c>
      <c r="M130" s="353" t="s">
        <v>416</v>
      </c>
      <c r="N130" s="367" t="s">
        <v>434</v>
      </c>
      <c r="O130" s="481">
        <v>-27</v>
      </c>
      <c r="P130" s="377">
        <v>595</v>
      </c>
      <c r="Q130" s="793">
        <f t="shared" si="13"/>
        <v>-16065</v>
      </c>
      <c r="R130" s="836"/>
      <c r="S130" s="550" t="s">
        <v>325</v>
      </c>
      <c r="T130" s="714">
        <v>46081</v>
      </c>
      <c r="U130" s="617">
        <v>0</v>
      </c>
      <c r="V130" s="872"/>
      <c r="W130" s="703">
        <v>46081</v>
      </c>
      <c r="X130" s="866"/>
      <c r="Y130" s="409"/>
    </row>
    <row r="131" spans="2:25" ht="14.25" customHeight="1">
      <c r="B131" s="224"/>
      <c r="C131" s="334"/>
      <c r="D131" s="367"/>
      <c r="E131" s="320"/>
      <c r="F131" s="377"/>
      <c r="G131" s="247"/>
      <c r="H131" s="464"/>
      <c r="I131" s="863"/>
      <c r="J131" s="863"/>
      <c r="K131" s="227"/>
      <c r="L131" s="224">
        <v>6</v>
      </c>
      <c r="M131" s="353" t="s">
        <v>416</v>
      </c>
      <c r="N131" s="367" t="s">
        <v>435</v>
      </c>
      <c r="O131" s="481">
        <v>-15</v>
      </c>
      <c r="P131" s="377">
        <v>40.31</v>
      </c>
      <c r="Q131" s="793">
        <f t="shared" si="13"/>
        <v>-604.65000000000009</v>
      </c>
      <c r="R131" s="836"/>
      <c r="S131" s="550" t="s">
        <v>325</v>
      </c>
      <c r="T131" s="714">
        <v>46081</v>
      </c>
      <c r="U131" s="617">
        <v>0</v>
      </c>
      <c r="V131" s="872"/>
      <c r="W131" s="703">
        <v>46081</v>
      </c>
      <c r="X131" s="866"/>
      <c r="Y131" s="409"/>
    </row>
    <row r="132" spans="2:25" ht="14.25" customHeight="1">
      <c r="B132" s="224"/>
      <c r="C132" s="334"/>
      <c r="D132" s="367"/>
      <c r="E132" s="320"/>
      <c r="F132" s="377"/>
      <c r="G132" s="247"/>
      <c r="H132" s="464"/>
      <c r="I132" s="863"/>
      <c r="J132" s="863"/>
      <c r="K132" s="227"/>
      <c r="L132" s="224">
        <v>6</v>
      </c>
      <c r="M132" s="353" t="s">
        <v>416</v>
      </c>
      <c r="N132" s="367" t="s">
        <v>436</v>
      </c>
      <c r="O132" s="481">
        <v>-30</v>
      </c>
      <c r="P132" s="377">
        <v>358</v>
      </c>
      <c r="Q132" s="247">
        <f t="shared" si="13"/>
        <v>-10740</v>
      </c>
      <c r="R132" s="836"/>
      <c r="S132" s="550" t="s">
        <v>325</v>
      </c>
      <c r="T132" s="714">
        <v>46081</v>
      </c>
      <c r="U132" s="617">
        <v>0</v>
      </c>
      <c r="V132" s="872"/>
      <c r="W132" s="703">
        <v>46081</v>
      </c>
      <c r="X132" s="866"/>
      <c r="Y132" s="409"/>
    </row>
    <row r="133" spans="2:25" ht="14.25" customHeight="1">
      <c r="B133" s="224"/>
      <c r="C133" s="334"/>
      <c r="D133" s="367"/>
      <c r="E133" s="320"/>
      <c r="F133" s="377"/>
      <c r="G133" s="247"/>
      <c r="H133" s="464"/>
      <c r="I133" s="863"/>
      <c r="J133" s="863"/>
      <c r="K133" s="227"/>
      <c r="L133" s="224">
        <v>6</v>
      </c>
      <c r="M133" s="353" t="s">
        <v>416</v>
      </c>
      <c r="N133" s="367" t="s">
        <v>437</v>
      </c>
      <c r="O133" s="481"/>
      <c r="P133" s="377"/>
      <c r="Q133" s="247">
        <v>6079.82</v>
      </c>
      <c r="R133" s="837"/>
      <c r="S133" s="550" t="s">
        <v>438</v>
      </c>
      <c r="T133" s="608">
        <v>45869</v>
      </c>
      <c r="U133" s="617">
        <v>5915.9975780210725</v>
      </c>
      <c r="V133" s="872"/>
      <c r="W133" s="464">
        <v>45900</v>
      </c>
      <c r="X133" s="866"/>
      <c r="Y133" s="409"/>
    </row>
    <row r="134" spans="2:25" ht="14.25" customHeight="1">
      <c r="B134" s="224"/>
      <c r="C134" s="334"/>
      <c r="D134" s="367"/>
      <c r="E134" s="320"/>
      <c r="F134" s="377"/>
      <c r="G134" s="247"/>
      <c r="H134" s="501"/>
      <c r="I134" s="863"/>
      <c r="J134" s="863"/>
      <c r="K134" s="227"/>
      <c r="L134" s="224">
        <v>6</v>
      </c>
      <c r="M134" s="353" t="s">
        <v>416</v>
      </c>
      <c r="N134" s="367"/>
      <c r="O134" s="481"/>
      <c r="P134" s="377"/>
      <c r="Q134" s="247"/>
      <c r="R134" s="515"/>
      <c r="S134" s="550"/>
      <c r="T134" s="450"/>
      <c r="U134" s="435"/>
      <c r="V134" s="872"/>
      <c r="W134" s="501"/>
      <c r="X134" s="866"/>
      <c r="Y134" s="409"/>
    </row>
    <row r="135" spans="2:25" ht="14.25" customHeight="1">
      <c r="B135" s="224">
        <v>6</v>
      </c>
      <c r="C135" s="334"/>
      <c r="D135" s="367"/>
      <c r="E135" s="320"/>
      <c r="F135" s="377"/>
      <c r="G135" s="247"/>
      <c r="H135" s="501"/>
      <c r="I135" s="863"/>
      <c r="J135" s="863"/>
      <c r="K135" s="227"/>
      <c r="L135" s="224">
        <v>6</v>
      </c>
      <c r="M135" s="353" t="s">
        <v>416</v>
      </c>
      <c r="N135" s="367" t="s">
        <v>439</v>
      </c>
      <c r="O135" s="481"/>
      <c r="P135" s="377"/>
      <c r="Q135" s="247">
        <v>51044</v>
      </c>
      <c r="R135" s="515"/>
      <c r="S135" s="550" t="s">
        <v>440</v>
      </c>
      <c r="T135" s="608">
        <v>45991</v>
      </c>
      <c r="U135" s="794" t="s">
        <v>47</v>
      </c>
      <c r="V135" s="872"/>
      <c r="W135" s="464">
        <v>46029</v>
      </c>
      <c r="X135" s="866"/>
      <c r="Y135" s="409"/>
    </row>
    <row r="136" spans="2:25" ht="14.25" customHeight="1">
      <c r="B136" s="224">
        <v>6</v>
      </c>
      <c r="C136" s="334"/>
      <c r="D136" s="367"/>
      <c r="E136" s="320"/>
      <c r="F136" s="377"/>
      <c r="G136" s="247"/>
      <c r="H136" s="501"/>
      <c r="I136" s="863"/>
      <c r="J136" s="863"/>
      <c r="K136" s="227"/>
      <c r="L136" s="224">
        <v>6</v>
      </c>
      <c r="M136" s="353" t="s">
        <v>416</v>
      </c>
      <c r="N136" s="367"/>
      <c r="O136" s="481"/>
      <c r="P136" s="377"/>
      <c r="Q136" s="247"/>
      <c r="R136" s="515"/>
      <c r="S136" s="550"/>
      <c r="T136" s="450"/>
      <c r="U136" s="435"/>
      <c r="V136" s="872"/>
      <c r="W136" s="501"/>
      <c r="X136" s="866"/>
      <c r="Y136" s="409"/>
    </row>
    <row r="137" spans="2:25" ht="14.25" customHeight="1">
      <c r="B137" s="224">
        <v>6</v>
      </c>
      <c r="C137" s="334"/>
      <c r="D137" s="367"/>
      <c r="E137" s="320"/>
      <c r="F137" s="377"/>
      <c r="G137" s="247"/>
      <c r="H137" s="501"/>
      <c r="I137" s="863"/>
      <c r="J137" s="863"/>
      <c r="K137" s="227"/>
      <c r="L137" s="224">
        <v>6</v>
      </c>
      <c r="M137" s="353" t="s">
        <v>416</v>
      </c>
      <c r="N137" s="367"/>
      <c r="O137" s="481"/>
      <c r="P137" s="377"/>
      <c r="Q137" s="247"/>
      <c r="R137" s="515"/>
      <c r="S137" s="550"/>
      <c r="T137" s="450" t="str">
        <f t="shared" si="5"/>
        <v/>
      </c>
      <c r="U137" s="435">
        <f>(Q137/$X$115*$J$115)</f>
        <v>0</v>
      </c>
      <c r="V137" s="872"/>
      <c r="W137" s="501"/>
      <c r="X137" s="866"/>
      <c r="Y137" s="409"/>
    </row>
    <row r="138" spans="2:25" ht="14.25" customHeight="1">
      <c r="B138" s="224">
        <v>6</v>
      </c>
      <c r="C138" s="334"/>
      <c r="D138" s="367"/>
      <c r="E138" s="320"/>
      <c r="F138" s="377"/>
      <c r="G138" s="247"/>
      <c r="H138" s="501"/>
      <c r="I138" s="863"/>
      <c r="J138" s="863"/>
      <c r="K138" s="227"/>
      <c r="L138" s="224">
        <v>6</v>
      </c>
      <c r="M138" s="353" t="s">
        <v>416</v>
      </c>
      <c r="N138" s="367"/>
      <c r="O138" s="481"/>
      <c r="P138" s="377"/>
      <c r="Q138" s="247"/>
      <c r="R138" s="515"/>
      <c r="S138" s="550"/>
      <c r="T138" s="450" t="str">
        <f t="shared" si="5"/>
        <v/>
      </c>
      <c r="U138" s="435">
        <f>(Q138/$X$115*$J$115)</f>
        <v>0</v>
      </c>
      <c r="V138" s="872"/>
      <c r="W138" s="501"/>
      <c r="X138" s="866"/>
      <c r="Y138" s="409"/>
    </row>
    <row r="139" spans="2:25" ht="14.25" customHeight="1">
      <c r="B139" s="224">
        <v>6</v>
      </c>
      <c r="C139" s="374"/>
      <c r="D139" s="225"/>
      <c r="E139" s="325"/>
      <c r="F139" s="378"/>
      <c r="G139" s="247"/>
      <c r="H139" s="464"/>
      <c r="I139" s="863"/>
      <c r="J139" s="863"/>
      <c r="K139" s="227"/>
      <c r="L139" s="224">
        <v>6</v>
      </c>
      <c r="M139" s="353" t="s">
        <v>416</v>
      </c>
      <c r="N139" s="334" t="s">
        <v>371</v>
      </c>
      <c r="O139" s="491">
        <f>AC25/2</f>
        <v>275000</v>
      </c>
      <c r="P139" s="492">
        <v>0.5</v>
      </c>
      <c r="Q139" s="226">
        <f>$O$139*P139</f>
        <v>137500</v>
      </c>
      <c r="R139" s="835" t="s">
        <v>372</v>
      </c>
      <c r="S139" s="550" t="s">
        <v>373</v>
      </c>
      <c r="T139" s="608">
        <v>45838</v>
      </c>
      <c r="U139" s="617">
        <v>136570.21466011828</v>
      </c>
      <c r="V139" s="872"/>
      <c r="W139" s="464">
        <f>W85</f>
        <v>45834</v>
      </c>
      <c r="X139" s="866"/>
      <c r="Y139" s="409"/>
    </row>
    <row r="140" spans="2:25" ht="14.25" customHeight="1">
      <c r="B140" s="224">
        <v>6</v>
      </c>
      <c r="C140" s="326"/>
      <c r="D140" s="225"/>
      <c r="E140" s="325"/>
      <c r="F140" s="378"/>
      <c r="G140" s="247"/>
      <c r="H140" s="464"/>
      <c r="I140" s="863"/>
      <c r="J140" s="863"/>
      <c r="K140" s="227"/>
      <c r="L140" s="224">
        <v>6</v>
      </c>
      <c r="M140" s="354" t="s">
        <v>416</v>
      </c>
      <c r="N140" s="334" t="s">
        <v>441</v>
      </c>
      <c r="O140" s="481"/>
      <c r="P140" s="492">
        <v>0.4</v>
      </c>
      <c r="Q140" s="226">
        <f t="shared" ref="Q140:Q141" si="14">$O$139*P140</f>
        <v>110000</v>
      </c>
      <c r="R140" s="836"/>
      <c r="S140" s="550" t="s">
        <v>375</v>
      </c>
      <c r="T140" s="608">
        <v>45869</v>
      </c>
      <c r="U140" s="617">
        <v>107036.01974767643</v>
      </c>
      <c r="V140" s="872"/>
      <c r="W140" s="464">
        <f>W86</f>
        <v>45904</v>
      </c>
      <c r="X140" s="866"/>
      <c r="Y140" s="409"/>
    </row>
    <row r="141" spans="2:25" ht="14.25" customHeight="1">
      <c r="B141" s="224">
        <v>6</v>
      </c>
      <c r="C141" s="326"/>
      <c r="D141" s="225"/>
      <c r="E141" s="325"/>
      <c r="F141" s="378"/>
      <c r="G141" s="247"/>
      <c r="H141" s="501"/>
      <c r="I141" s="863"/>
      <c r="J141" s="863"/>
      <c r="K141" s="227"/>
      <c r="L141" s="224">
        <v>6</v>
      </c>
      <c r="M141" s="354" t="s">
        <v>416</v>
      </c>
      <c r="N141" s="334" t="s">
        <v>376</v>
      </c>
      <c r="O141" s="481"/>
      <c r="P141" s="492">
        <v>0.1</v>
      </c>
      <c r="Q141" s="226">
        <f t="shared" si="14"/>
        <v>27500</v>
      </c>
      <c r="R141" s="836"/>
      <c r="S141" s="550" t="s">
        <v>377</v>
      </c>
      <c r="T141" s="608">
        <f>T87</f>
        <v>45900</v>
      </c>
      <c r="U141" s="651">
        <v>39048.034594758567</v>
      </c>
      <c r="V141" s="872"/>
      <c r="W141" s="464">
        <f>W222</f>
        <v>46142</v>
      </c>
      <c r="X141" s="866"/>
      <c r="Y141" s="409"/>
    </row>
    <row r="142" spans="2:25" ht="14.25" customHeight="1">
      <c r="B142" s="224">
        <v>6</v>
      </c>
      <c r="C142" s="326"/>
      <c r="D142" s="225"/>
      <c r="E142" s="325"/>
      <c r="F142" s="378"/>
      <c r="G142" s="247"/>
      <c r="H142" s="501"/>
      <c r="I142" s="863"/>
      <c r="J142" s="863"/>
      <c r="K142" s="227"/>
      <c r="L142" s="224">
        <v>6</v>
      </c>
      <c r="M142" s="354" t="s">
        <v>416</v>
      </c>
      <c r="N142" s="334"/>
      <c r="O142" s="481"/>
      <c r="P142" s="492"/>
      <c r="Q142" s="226"/>
      <c r="R142" s="836"/>
      <c r="S142" s="550"/>
      <c r="T142" s="450" t="str">
        <f t="shared" si="5"/>
        <v/>
      </c>
      <c r="U142" s="435">
        <f>(Q142/$X$115*$J$115)</f>
        <v>0</v>
      </c>
      <c r="V142" s="872"/>
      <c r="W142" s="501"/>
      <c r="X142" s="866"/>
      <c r="Y142" s="409"/>
    </row>
    <row r="143" spans="2:25" ht="14.25" customHeight="1">
      <c r="B143" s="224">
        <v>6</v>
      </c>
      <c r="C143" s="326"/>
      <c r="D143" s="225"/>
      <c r="E143" s="325"/>
      <c r="F143" s="378"/>
      <c r="G143" s="247"/>
      <c r="H143" s="501"/>
      <c r="I143" s="863"/>
      <c r="J143" s="863"/>
      <c r="K143" s="227"/>
      <c r="L143" s="224">
        <v>6</v>
      </c>
      <c r="M143" s="354" t="s">
        <v>416</v>
      </c>
      <c r="N143" s="334"/>
      <c r="O143" s="481"/>
      <c r="P143" s="492"/>
      <c r="Q143" s="226"/>
      <c r="R143" s="836"/>
      <c r="S143" s="550"/>
      <c r="T143" s="450" t="str">
        <f t="shared" si="5"/>
        <v/>
      </c>
      <c r="U143" s="435">
        <f>(Q143/$X$115*$J$115)</f>
        <v>0</v>
      </c>
      <c r="V143" s="872"/>
      <c r="W143" s="501"/>
      <c r="X143" s="866"/>
      <c r="Y143" s="409"/>
    </row>
    <row r="144" spans="2:25" ht="14.25" customHeight="1">
      <c r="B144" s="224">
        <v>6</v>
      </c>
      <c r="C144" s="427"/>
      <c r="D144" s="261"/>
      <c r="E144" s="340"/>
      <c r="F144" s="385"/>
      <c r="G144" s="247"/>
      <c r="H144" s="464"/>
      <c r="I144" s="863"/>
      <c r="J144" s="863"/>
      <c r="K144" s="227"/>
      <c r="L144" s="224">
        <v>6</v>
      </c>
      <c r="M144" s="354" t="s">
        <v>416</v>
      </c>
      <c r="N144" s="334" t="s">
        <v>378</v>
      </c>
      <c r="O144" s="491">
        <f>AC32/2</f>
        <v>295000</v>
      </c>
      <c r="P144" s="492">
        <v>0.5</v>
      </c>
      <c r="Q144" s="226">
        <f>$O$144*P144</f>
        <v>147500</v>
      </c>
      <c r="R144" s="836"/>
      <c r="S144" s="554" t="s">
        <v>373</v>
      </c>
      <c r="T144" s="611">
        <v>45838</v>
      </c>
      <c r="U144" s="618">
        <v>146502.59390812687</v>
      </c>
      <c r="V144" s="872"/>
      <c r="W144" s="464">
        <f>W139</f>
        <v>45834</v>
      </c>
      <c r="X144" s="866"/>
      <c r="Y144" s="409"/>
    </row>
    <row r="145" spans="1:25" ht="14.25" customHeight="1">
      <c r="B145" s="224">
        <v>6</v>
      </c>
      <c r="C145" s="427"/>
      <c r="D145" s="261"/>
      <c r="E145" s="340"/>
      <c r="F145" s="385"/>
      <c r="G145" s="247"/>
      <c r="H145" s="464"/>
      <c r="I145" s="863"/>
      <c r="J145" s="863"/>
      <c r="K145" s="227"/>
      <c r="L145" s="224">
        <v>6</v>
      </c>
      <c r="M145" s="354" t="s">
        <v>416</v>
      </c>
      <c r="N145" s="334" t="s">
        <v>442</v>
      </c>
      <c r="O145" s="481"/>
      <c r="P145" s="492">
        <v>0.4</v>
      </c>
      <c r="Q145" s="226">
        <f t="shared" ref="Q145:Q146" si="15">$O$144*P145</f>
        <v>118000</v>
      </c>
      <c r="R145" s="836"/>
      <c r="S145" s="554" t="s">
        <v>375</v>
      </c>
      <c r="T145" s="611">
        <v>45869</v>
      </c>
      <c r="U145" s="618">
        <v>114820.45754750744</v>
      </c>
      <c r="V145" s="872"/>
      <c r="W145" s="464">
        <f t="shared" ref="W145:W146" si="16">W140</f>
        <v>45904</v>
      </c>
      <c r="X145" s="866"/>
      <c r="Y145" s="409"/>
    </row>
    <row r="146" spans="1:25" ht="14.25" customHeight="1">
      <c r="B146" s="224">
        <v>6</v>
      </c>
      <c r="C146" s="427"/>
      <c r="D146" s="261"/>
      <c r="E146" s="340"/>
      <c r="F146" s="385"/>
      <c r="G146" s="247"/>
      <c r="H146" s="501"/>
      <c r="I146" s="863"/>
      <c r="J146" s="863"/>
      <c r="K146" s="227"/>
      <c r="L146" s="224">
        <v>6</v>
      </c>
      <c r="M146" s="354" t="s">
        <v>416</v>
      </c>
      <c r="N146" s="334" t="s">
        <v>380</v>
      </c>
      <c r="O146" s="481"/>
      <c r="P146" s="492">
        <v>0.1</v>
      </c>
      <c r="Q146" s="226">
        <f t="shared" si="15"/>
        <v>29500</v>
      </c>
      <c r="R146" s="837"/>
      <c r="S146" s="554" t="s">
        <v>377</v>
      </c>
      <c r="T146" s="611">
        <f t="shared" ref="T146" si="17">T141</f>
        <v>45900</v>
      </c>
      <c r="U146" s="652">
        <v>41887.891656195548</v>
      </c>
      <c r="V146" s="872"/>
      <c r="W146" s="464">
        <f t="shared" si="16"/>
        <v>46142</v>
      </c>
      <c r="X146" s="866"/>
      <c r="Y146" s="409"/>
    </row>
    <row r="147" spans="1:25" ht="14.25" customHeight="1">
      <c r="B147" s="224">
        <v>6</v>
      </c>
      <c r="C147" s="427"/>
      <c r="D147" s="261"/>
      <c r="E147" s="340"/>
      <c r="F147" s="385"/>
      <c r="G147" s="247"/>
      <c r="H147" s="504"/>
      <c r="I147" s="863"/>
      <c r="J147" s="863"/>
      <c r="K147" s="227"/>
      <c r="L147" s="224">
        <v>6</v>
      </c>
      <c r="M147" s="354" t="s">
        <v>416</v>
      </c>
      <c r="N147" s="334"/>
      <c r="O147" s="481"/>
      <c r="P147" s="492"/>
      <c r="Q147" s="226"/>
      <c r="R147" s="519"/>
      <c r="S147" s="554"/>
      <c r="T147" s="453" t="str">
        <f t="shared" si="5"/>
        <v/>
      </c>
      <c r="U147" s="440">
        <f>(Q147/$X$115*$J$115)</f>
        <v>0</v>
      </c>
      <c r="V147" s="872"/>
      <c r="W147" s="504"/>
      <c r="X147" s="866"/>
      <c r="Y147" s="409"/>
    </row>
    <row r="148" spans="1:25" ht="14.25" customHeight="1">
      <c r="B148" s="224">
        <v>6</v>
      </c>
      <c r="C148" s="427"/>
      <c r="D148" s="261"/>
      <c r="E148" s="340"/>
      <c r="F148" s="385"/>
      <c r="G148" s="247"/>
      <c r="H148" s="504"/>
      <c r="I148" s="863"/>
      <c r="J148" s="863"/>
      <c r="K148" s="227"/>
      <c r="L148" s="224">
        <v>6</v>
      </c>
      <c r="M148" s="354" t="s">
        <v>416</v>
      </c>
      <c r="N148" s="334"/>
      <c r="O148" s="481"/>
      <c r="P148" s="492"/>
      <c r="Q148" s="226"/>
      <c r="R148" s="519"/>
      <c r="S148" s="554"/>
      <c r="T148" s="453" t="str">
        <f t="shared" si="5"/>
        <v/>
      </c>
      <c r="U148" s="440">
        <f>(Q148/$X$115*$J$115)</f>
        <v>0</v>
      </c>
      <c r="V148" s="872"/>
      <c r="W148" s="504"/>
      <c r="X148" s="866"/>
      <c r="Y148" s="409"/>
    </row>
    <row r="149" spans="1:25" ht="15" customHeight="1" thickBot="1">
      <c r="B149" s="228">
        <v>6</v>
      </c>
      <c r="C149" s="327"/>
      <c r="D149" s="230"/>
      <c r="E149" s="382"/>
      <c r="F149" s="379"/>
      <c r="G149" s="231"/>
      <c r="H149" s="502"/>
      <c r="I149" s="864"/>
      <c r="J149" s="864"/>
      <c r="K149" s="232"/>
      <c r="L149" s="228">
        <v>6</v>
      </c>
      <c r="M149" s="356" t="s">
        <v>416</v>
      </c>
      <c r="N149" s="230"/>
      <c r="O149" s="485"/>
      <c r="P149" s="379"/>
      <c r="Q149" s="231"/>
      <c r="R149" s="516"/>
      <c r="S149" s="551"/>
      <c r="T149" s="451" t="str">
        <f t="shared" si="5"/>
        <v/>
      </c>
      <c r="U149" s="436">
        <f>(Q149/$X$115*$J$115)</f>
        <v>0</v>
      </c>
      <c r="V149" s="873"/>
      <c r="W149" s="502"/>
      <c r="X149" s="867"/>
      <c r="Y149" s="409"/>
    </row>
    <row r="150" spans="1:25" ht="13.9" thickBot="1">
      <c r="A150" s="4"/>
      <c r="B150" s="216"/>
      <c r="C150" s="257"/>
      <c r="D150" s="234"/>
      <c r="E150" s="217"/>
      <c r="F150" s="380"/>
      <c r="G150" s="218"/>
      <c r="H150" s="505"/>
      <c r="I150" s="206"/>
      <c r="J150" s="206"/>
      <c r="K150" s="4"/>
      <c r="L150" s="216"/>
      <c r="M150" s="257"/>
      <c r="N150" s="234"/>
      <c r="O150" s="479"/>
      <c r="P150" s="380"/>
      <c r="Q150" s="218"/>
      <c r="R150" s="520"/>
      <c r="S150" s="555"/>
      <c r="T150" s="454" t="str">
        <f t="shared" si="5"/>
        <v/>
      </c>
      <c r="U150" s="441"/>
      <c r="V150" s="416"/>
      <c r="W150" s="505"/>
      <c r="X150" s="276"/>
      <c r="Y150" s="409"/>
    </row>
    <row r="151" spans="1:25" ht="14.25" customHeight="1">
      <c r="B151" s="306">
        <v>7</v>
      </c>
      <c r="C151" s="235" t="s">
        <v>443</v>
      </c>
      <c r="D151" s="307"/>
      <c r="E151" s="386"/>
      <c r="F151" s="392"/>
      <c r="G151" s="308"/>
      <c r="H151" s="465"/>
      <c r="I151" s="841">
        <f>D464</f>
        <v>12030860.6085</v>
      </c>
      <c r="J151" s="841">
        <f>F464</f>
        <v>12664063.798421053</v>
      </c>
      <c r="K151" s="211"/>
      <c r="L151" s="306">
        <v>7</v>
      </c>
      <c r="M151" s="585" t="s">
        <v>444</v>
      </c>
      <c r="N151" s="307" t="s">
        <v>445</v>
      </c>
      <c r="O151" s="584">
        <v>0.3</v>
      </c>
      <c r="P151" s="392">
        <f>1423.48*17.7457*(23)</f>
        <v>580994.92782799993</v>
      </c>
      <c r="Q151" s="308">
        <f>O151*P151</f>
        <v>174298.47834839998</v>
      </c>
      <c r="R151" s="874" t="s">
        <v>294</v>
      </c>
      <c r="S151" s="556" t="s">
        <v>295</v>
      </c>
      <c r="T151" s="649">
        <v>45900</v>
      </c>
      <c r="U151" s="653">
        <v>312323.78861163039</v>
      </c>
      <c r="V151" s="868">
        <f>J151-SUM(U151:U188)</f>
        <v>7.3705613613128662E-4</v>
      </c>
      <c r="W151" s="465">
        <v>45820</v>
      </c>
      <c r="X151" s="826">
        <f>SUM(Q151:Q188)</f>
        <v>7046627.6127361013</v>
      </c>
      <c r="Y151" s="409"/>
    </row>
    <row r="152" spans="1:25" ht="14.25" customHeight="1">
      <c r="B152" s="578"/>
      <c r="C152" s="579"/>
      <c r="D152" s="580"/>
      <c r="E152" s="581"/>
      <c r="F152" s="582"/>
      <c r="G152" s="583"/>
      <c r="H152" s="497"/>
      <c r="I152" s="842"/>
      <c r="J152" s="842"/>
      <c r="K152" s="214"/>
      <c r="L152" s="309">
        <v>7</v>
      </c>
      <c r="M152" s="310" t="s">
        <v>444</v>
      </c>
      <c r="N152" s="254" t="s">
        <v>445</v>
      </c>
      <c r="O152" s="586">
        <v>0.7</v>
      </c>
      <c r="P152" s="383"/>
      <c r="Q152" s="241">
        <v>408046.32</v>
      </c>
      <c r="R152" s="839"/>
      <c r="S152" s="545" t="s">
        <v>446</v>
      </c>
      <c r="T152" s="606">
        <v>45900</v>
      </c>
      <c r="U152" s="654">
        <v>731174.32693068369</v>
      </c>
      <c r="V152" s="869"/>
      <c r="W152" s="698">
        <v>45960</v>
      </c>
      <c r="X152" s="827"/>
      <c r="Y152" s="409"/>
    </row>
    <row r="153" spans="1:25" ht="14.25" customHeight="1">
      <c r="B153" s="309"/>
      <c r="C153" s="310"/>
      <c r="D153" s="311"/>
      <c r="E153" s="332"/>
      <c r="F153" s="368"/>
      <c r="G153" s="312"/>
      <c r="H153" s="497"/>
      <c r="I153" s="842"/>
      <c r="J153" s="842"/>
      <c r="K153" s="214"/>
      <c r="L153" s="309">
        <v>7</v>
      </c>
      <c r="M153" s="310" t="s">
        <v>444</v>
      </c>
      <c r="N153" s="311"/>
      <c r="O153" s="332"/>
      <c r="P153" s="368"/>
      <c r="Q153" s="312"/>
      <c r="R153" s="839"/>
      <c r="S153" s="546"/>
      <c r="T153" s="446" t="str">
        <f t="shared" ref="T153:T172" si="18">IF(W153&gt;1,EOMONTH(W153,0),"")</f>
        <v/>
      </c>
      <c r="U153" s="431">
        <f t="shared" ref="U153:U188" si="19">(Q153/$X$151*$J$151)</f>
        <v>0</v>
      </c>
      <c r="V153" s="869"/>
      <c r="W153" s="497"/>
      <c r="X153" s="827"/>
      <c r="Y153" s="409"/>
    </row>
    <row r="154" spans="1:25" ht="14.25" customHeight="1">
      <c r="B154" s="309"/>
      <c r="C154" s="310"/>
      <c r="D154" s="311"/>
      <c r="E154" s="332"/>
      <c r="F154" s="368"/>
      <c r="G154" s="312"/>
      <c r="H154" s="461"/>
      <c r="I154" s="842"/>
      <c r="J154" s="842"/>
      <c r="K154" s="214"/>
      <c r="L154" s="309">
        <v>7</v>
      </c>
      <c r="M154" s="310" t="s">
        <v>444</v>
      </c>
      <c r="N154" s="311" t="s">
        <v>447</v>
      </c>
      <c r="O154" s="568">
        <v>0.3</v>
      </c>
      <c r="P154" s="368">
        <f>17.7457*161957.61</f>
        <v>2874051.1597769996</v>
      </c>
      <c r="Q154" s="312">
        <f>O154*P154</f>
        <v>862215.34793309984</v>
      </c>
      <c r="R154" s="839"/>
      <c r="S154" s="546" t="s">
        <v>295</v>
      </c>
      <c r="T154" s="606">
        <v>45991</v>
      </c>
      <c r="U154" s="735">
        <v>1549556.8624156141</v>
      </c>
      <c r="V154" s="869"/>
      <c r="W154" s="461">
        <v>45820</v>
      </c>
      <c r="X154" s="827"/>
      <c r="Y154" s="409"/>
    </row>
    <row r="155" spans="1:25" ht="14.25" customHeight="1">
      <c r="B155" s="309"/>
      <c r="C155" s="310"/>
      <c r="D155" s="311"/>
      <c r="E155" s="332"/>
      <c r="F155" s="368"/>
      <c r="G155" s="312"/>
      <c r="H155" s="497"/>
      <c r="I155" s="842"/>
      <c r="J155" s="842"/>
      <c r="K155" s="214"/>
      <c r="L155" s="309">
        <v>7</v>
      </c>
      <c r="M155" s="310" t="s">
        <v>444</v>
      </c>
      <c r="N155" s="311" t="s">
        <v>448</v>
      </c>
      <c r="O155" s="568">
        <v>0.7</v>
      </c>
      <c r="P155" s="368"/>
      <c r="Q155" s="312">
        <f>P154*O155</f>
        <v>2011835.8118438995</v>
      </c>
      <c r="R155" s="839"/>
      <c r="S155" s="546" t="s">
        <v>449</v>
      </c>
      <c r="T155" s="717">
        <v>45991</v>
      </c>
      <c r="U155" s="735">
        <v>3615632.678969766</v>
      </c>
      <c r="V155" s="869"/>
      <c r="W155" s="461">
        <v>45988</v>
      </c>
      <c r="X155" s="827"/>
      <c r="Y155" s="409"/>
    </row>
    <row r="156" spans="1:25" ht="14.25" customHeight="1">
      <c r="B156" s="309"/>
      <c r="C156" s="310"/>
      <c r="D156" s="311"/>
      <c r="E156" s="332"/>
      <c r="F156" s="368"/>
      <c r="G156" s="312"/>
      <c r="H156" s="461"/>
      <c r="I156" s="842"/>
      <c r="J156" s="842"/>
      <c r="K156" s="214"/>
      <c r="L156" s="309">
        <v>7</v>
      </c>
      <c r="M156" s="310" t="s">
        <v>444</v>
      </c>
      <c r="N156" s="311" t="s">
        <v>450</v>
      </c>
      <c r="O156" s="568">
        <v>0.3</v>
      </c>
      <c r="P156" s="368">
        <f>17.7457*13967.44</f>
        <v>247862.000008</v>
      </c>
      <c r="Q156" s="312">
        <f>O156*P156</f>
        <v>74358.600002399995</v>
      </c>
      <c r="R156" s="839"/>
      <c r="S156" s="546" t="s">
        <v>295</v>
      </c>
      <c r="T156" s="606">
        <v>45991</v>
      </c>
      <c r="U156" s="735">
        <v>133635.84769112332</v>
      </c>
      <c r="V156" s="869"/>
      <c r="W156" s="461">
        <v>45820</v>
      </c>
      <c r="X156" s="827"/>
      <c r="Y156" s="409"/>
    </row>
    <row r="157" spans="1:25" ht="14.25" customHeight="1">
      <c r="B157" s="309"/>
      <c r="C157" s="310"/>
      <c r="D157" s="311"/>
      <c r="E157" s="332"/>
      <c r="F157" s="368"/>
      <c r="G157" s="312"/>
      <c r="H157" s="497"/>
      <c r="I157" s="842"/>
      <c r="J157" s="842"/>
      <c r="K157" s="214"/>
      <c r="L157" s="309">
        <v>7</v>
      </c>
      <c r="M157" s="310" t="s">
        <v>444</v>
      </c>
      <c r="N157" s="311" t="s">
        <v>451</v>
      </c>
      <c r="O157" s="568">
        <v>0.7</v>
      </c>
      <c r="P157" s="368"/>
      <c r="Q157" s="312">
        <f>P156*O157</f>
        <v>173503.40000559998</v>
      </c>
      <c r="R157" s="839"/>
      <c r="S157" s="546" t="s">
        <v>449</v>
      </c>
      <c r="T157" s="717">
        <v>45991</v>
      </c>
      <c r="U157" s="735">
        <v>311816.97794595436</v>
      </c>
      <c r="V157" s="869"/>
      <c r="W157" s="461">
        <f>W155</f>
        <v>45988</v>
      </c>
      <c r="X157" s="827"/>
      <c r="Y157" s="409"/>
    </row>
    <row r="158" spans="1:25" ht="14.25" customHeight="1">
      <c r="B158" s="309"/>
      <c r="C158" s="310"/>
      <c r="D158" s="311"/>
      <c r="E158" s="332"/>
      <c r="F158" s="368"/>
      <c r="G158" s="312"/>
      <c r="H158" s="497"/>
      <c r="I158" s="842"/>
      <c r="J158" s="842"/>
      <c r="K158" s="214"/>
      <c r="L158" s="309">
        <v>7</v>
      </c>
      <c r="M158" s="310" t="s">
        <v>444</v>
      </c>
      <c r="N158" s="311"/>
      <c r="O158" s="332"/>
      <c r="P158" s="368"/>
      <c r="Q158" s="312"/>
      <c r="R158" s="839"/>
      <c r="S158" s="546"/>
      <c r="T158" s="446" t="str">
        <f t="shared" si="18"/>
        <v/>
      </c>
      <c r="U158" s="431">
        <f t="shared" si="19"/>
        <v>0</v>
      </c>
      <c r="V158" s="869"/>
      <c r="W158" s="497"/>
      <c r="X158" s="827"/>
      <c r="Y158" s="409"/>
    </row>
    <row r="159" spans="1:25" ht="14.25" customHeight="1">
      <c r="B159" s="309"/>
      <c r="C159" s="310"/>
      <c r="D159" s="311"/>
      <c r="E159" s="332"/>
      <c r="F159" s="368"/>
      <c r="G159" s="312"/>
      <c r="H159" s="461"/>
      <c r="I159" s="842"/>
      <c r="J159" s="842"/>
      <c r="K159" s="214"/>
      <c r="L159" s="309">
        <v>7</v>
      </c>
      <c r="M159" s="310" t="s">
        <v>444</v>
      </c>
      <c r="N159" s="311" t="s">
        <v>452</v>
      </c>
      <c r="O159" s="568">
        <v>0.3</v>
      </c>
      <c r="P159" s="368">
        <f>17.7457*130607.61</f>
        <v>2317723.4647769998</v>
      </c>
      <c r="Q159" s="312">
        <f>O159*P159</f>
        <v>695317.03943309991</v>
      </c>
      <c r="R159" s="839"/>
      <c r="S159" s="546" t="s">
        <v>295</v>
      </c>
      <c r="T159" s="606">
        <v>45991</v>
      </c>
      <c r="U159" s="735">
        <v>1252691.1980570836</v>
      </c>
      <c r="V159" s="869"/>
      <c r="W159" s="461">
        <v>45820</v>
      </c>
      <c r="X159" s="827"/>
      <c r="Y159" s="409"/>
    </row>
    <row r="160" spans="1:25" ht="14.25" customHeight="1">
      <c r="B160" s="309">
        <v>7</v>
      </c>
      <c r="C160" s="310"/>
      <c r="D160" s="311" t="s">
        <v>453</v>
      </c>
      <c r="E160" s="332"/>
      <c r="F160" s="368"/>
      <c r="G160" s="312">
        <v>12030860.6085</v>
      </c>
      <c r="H160" s="497">
        <v>45946</v>
      </c>
      <c r="I160" s="842"/>
      <c r="J160" s="842"/>
      <c r="K160" s="214"/>
      <c r="L160" s="309">
        <v>7</v>
      </c>
      <c r="M160" s="310" t="s">
        <v>444</v>
      </c>
      <c r="N160" s="311" t="s">
        <v>454</v>
      </c>
      <c r="O160" s="568">
        <v>0.7</v>
      </c>
      <c r="P160" s="368"/>
      <c r="Q160" s="312">
        <f>P159*O160</f>
        <v>1622406.4253438998</v>
      </c>
      <c r="R160" s="839"/>
      <c r="S160" s="546" t="s">
        <v>449</v>
      </c>
      <c r="T160" s="717">
        <f t="shared" si="18"/>
        <v>45991</v>
      </c>
      <c r="U160" s="735">
        <v>2915757.6654665284</v>
      </c>
      <c r="V160" s="869"/>
      <c r="W160" s="461">
        <f>W155</f>
        <v>45988</v>
      </c>
      <c r="X160" s="827"/>
      <c r="Y160" s="409"/>
    </row>
    <row r="161" spans="2:25" ht="14.25" customHeight="1">
      <c r="B161" s="309">
        <v>7</v>
      </c>
      <c r="C161" s="310"/>
      <c r="D161" s="311" t="s">
        <v>455</v>
      </c>
      <c r="E161" s="332"/>
      <c r="F161" s="368"/>
      <c r="G161" s="312"/>
      <c r="H161" s="497">
        <v>45946</v>
      </c>
      <c r="I161" s="842"/>
      <c r="J161" s="842"/>
      <c r="K161" s="214"/>
      <c r="L161" s="309">
        <v>7</v>
      </c>
      <c r="M161" s="310" t="s">
        <v>444</v>
      </c>
      <c r="N161" s="311" t="s">
        <v>456</v>
      </c>
      <c r="O161" s="568">
        <v>0.3</v>
      </c>
      <c r="P161" s="368">
        <f>17.7457*10852.53</f>
        <v>192585.74162099999</v>
      </c>
      <c r="Q161" s="312">
        <f>O161*P161</f>
        <v>57775.722486299994</v>
      </c>
      <c r="R161" s="839"/>
      <c r="S161" s="546" t="s">
        <v>295</v>
      </c>
      <c r="T161" s="606">
        <v>45991</v>
      </c>
      <c r="U161" s="735">
        <v>103833.41873266298</v>
      </c>
      <c r="V161" s="869"/>
      <c r="W161" s="461">
        <f>W159</f>
        <v>45820</v>
      </c>
      <c r="X161" s="827"/>
      <c r="Y161" s="409"/>
    </row>
    <row r="162" spans="2:25" ht="14.25" customHeight="1">
      <c r="B162" s="309"/>
      <c r="C162" s="310"/>
      <c r="D162" s="311"/>
      <c r="E162" s="332"/>
      <c r="F162" s="368"/>
      <c r="G162" s="312"/>
      <c r="H162" s="497"/>
      <c r="I162" s="842"/>
      <c r="J162" s="842"/>
      <c r="K162" s="214"/>
      <c r="L162" s="309">
        <v>7</v>
      </c>
      <c r="M162" s="310" t="s">
        <v>444</v>
      </c>
      <c r="N162" s="311" t="s">
        <v>457</v>
      </c>
      <c r="O162" s="568">
        <v>0.7</v>
      </c>
      <c r="P162" s="368"/>
      <c r="Q162" s="312">
        <f>P161*O162</f>
        <v>134810.01913469998</v>
      </c>
      <c r="R162" s="839"/>
      <c r="S162" s="546" t="s">
        <v>449</v>
      </c>
      <c r="T162" s="717">
        <f t="shared" si="18"/>
        <v>45991</v>
      </c>
      <c r="U162" s="735">
        <v>242277.97704288029</v>
      </c>
      <c r="V162" s="869"/>
      <c r="W162" s="461">
        <f>W160</f>
        <v>45988</v>
      </c>
      <c r="X162" s="827"/>
      <c r="Y162" s="409"/>
    </row>
    <row r="163" spans="2:25" ht="14.25" customHeight="1">
      <c r="B163" s="309"/>
      <c r="C163" s="310"/>
      <c r="D163" s="311"/>
      <c r="E163" s="332"/>
      <c r="F163" s="368"/>
      <c r="G163" s="312"/>
      <c r="H163" s="497"/>
      <c r="I163" s="842"/>
      <c r="J163" s="842"/>
      <c r="K163" s="214"/>
      <c r="L163" s="309">
        <v>7</v>
      </c>
      <c r="M163" s="310" t="s">
        <v>444</v>
      </c>
      <c r="N163" s="311"/>
      <c r="O163" s="332"/>
      <c r="P163" s="368"/>
      <c r="Q163" s="312"/>
      <c r="R163" s="839"/>
      <c r="S163" s="546"/>
      <c r="T163" s="446" t="str">
        <f t="shared" si="18"/>
        <v/>
      </c>
      <c r="U163" s="431">
        <f t="shared" si="19"/>
        <v>0</v>
      </c>
      <c r="V163" s="869"/>
      <c r="W163" s="497"/>
      <c r="X163" s="827"/>
      <c r="Y163" s="409"/>
    </row>
    <row r="164" spans="2:25" ht="14.25" customHeight="1">
      <c r="B164" s="309">
        <v>7</v>
      </c>
      <c r="C164" s="310"/>
      <c r="D164" s="311" t="s">
        <v>445</v>
      </c>
      <c r="E164" s="332"/>
      <c r="F164" s="368"/>
      <c r="G164" s="312"/>
      <c r="H164" s="461">
        <v>45820</v>
      </c>
      <c r="I164" s="842"/>
      <c r="J164" s="842"/>
      <c r="K164" s="214"/>
      <c r="L164" s="309">
        <v>7</v>
      </c>
      <c r="M164" s="310" t="s">
        <v>444</v>
      </c>
      <c r="N164" s="313" t="s">
        <v>458</v>
      </c>
      <c r="O164" s="568">
        <v>0.3</v>
      </c>
      <c r="P164" s="368">
        <f>17.7457*(2333.33*2+3333.34+24.5+51.89+121.45+56.76+4635.94+764.04)</f>
        <v>242310.08030600002</v>
      </c>
      <c r="Q164" s="312">
        <f>O164*$P$164</f>
        <v>72693.024091800005</v>
      </c>
      <c r="R164" s="839"/>
      <c r="S164" s="546" t="s">
        <v>295</v>
      </c>
      <c r="T164" s="606">
        <v>45991</v>
      </c>
      <c r="U164" s="735">
        <v>130642.50665592682</v>
      </c>
      <c r="V164" s="869"/>
      <c r="W164" s="461">
        <v>45820</v>
      </c>
      <c r="X164" s="827"/>
      <c r="Y164" s="409"/>
    </row>
    <row r="165" spans="2:25" ht="14.25" customHeight="1">
      <c r="B165" s="309"/>
      <c r="C165" s="310"/>
      <c r="D165" s="311"/>
      <c r="E165" s="332"/>
      <c r="F165" s="368"/>
      <c r="G165" s="312"/>
      <c r="H165" s="497"/>
      <c r="I165" s="842"/>
      <c r="J165" s="842"/>
      <c r="K165" s="214"/>
      <c r="L165" s="309">
        <v>7</v>
      </c>
      <c r="M165" s="310" t="s">
        <v>444</v>
      </c>
      <c r="N165" s="313" t="s">
        <v>459</v>
      </c>
      <c r="O165" s="568">
        <v>0.7</v>
      </c>
      <c r="P165" s="368"/>
      <c r="Q165" s="312">
        <f>O165*$P$164</f>
        <v>169617.05621420001</v>
      </c>
      <c r="R165" s="839"/>
      <c r="S165" s="546" t="s">
        <v>449</v>
      </c>
      <c r="T165" s="717">
        <v>45991</v>
      </c>
      <c r="U165" s="735">
        <v>304832.51553049596</v>
      </c>
      <c r="V165" s="869"/>
      <c r="W165" s="461">
        <f>W155</f>
        <v>45988</v>
      </c>
      <c r="X165" s="827"/>
      <c r="Y165" s="409"/>
    </row>
    <row r="166" spans="2:25" ht="14.25" customHeight="1">
      <c r="B166" s="309"/>
      <c r="C166" s="310"/>
      <c r="D166" s="311"/>
      <c r="E166" s="332"/>
      <c r="F166" s="368"/>
      <c r="G166" s="312"/>
      <c r="H166" s="497"/>
      <c r="I166" s="842"/>
      <c r="J166" s="842"/>
      <c r="K166" s="214"/>
      <c r="L166" s="309">
        <v>7</v>
      </c>
      <c r="M166" s="310" t="s">
        <v>444</v>
      </c>
      <c r="N166" s="313"/>
      <c r="O166" s="332"/>
      <c r="P166" s="368"/>
      <c r="Q166" s="312"/>
      <c r="R166" s="839"/>
      <c r="S166" s="546"/>
      <c r="T166" s="446" t="str">
        <f t="shared" si="18"/>
        <v/>
      </c>
      <c r="U166" s="431">
        <f t="shared" si="19"/>
        <v>0</v>
      </c>
      <c r="V166" s="869"/>
      <c r="W166" s="497"/>
      <c r="X166" s="827"/>
      <c r="Y166" s="409"/>
    </row>
    <row r="167" spans="2:25" ht="14.25" customHeight="1">
      <c r="B167" s="309"/>
      <c r="C167" s="310"/>
      <c r="D167" s="311"/>
      <c r="E167" s="332"/>
      <c r="F167" s="368"/>
      <c r="G167" s="312"/>
      <c r="H167" s="461"/>
      <c r="I167" s="842"/>
      <c r="J167" s="842"/>
      <c r="K167" s="214"/>
      <c r="L167" s="309">
        <v>7</v>
      </c>
      <c r="M167" s="310" t="s">
        <v>444</v>
      </c>
      <c r="N167" s="313" t="s">
        <v>460</v>
      </c>
      <c r="O167" s="568">
        <v>0.3</v>
      </c>
      <c r="P167" s="368">
        <f>17.7457*((2*(283.34+1691.67+34.19+20.76+13.43+408.34+20.76+8.18+19.53))+93+57.4)</f>
        <v>91404.551560000007</v>
      </c>
      <c r="Q167" s="312">
        <f>O167*$P$167</f>
        <v>27421.365468</v>
      </c>
      <c r="R167" s="839"/>
      <c r="S167" s="546" t="s">
        <v>295</v>
      </c>
      <c r="T167" s="606">
        <v>45991</v>
      </c>
      <c r="U167" s="735">
        <v>49281.151326759806</v>
      </c>
      <c r="V167" s="869"/>
      <c r="W167" s="461">
        <v>45820</v>
      </c>
      <c r="X167" s="827"/>
      <c r="Y167" s="409"/>
    </row>
    <row r="168" spans="2:25" ht="14.25" customHeight="1">
      <c r="B168" s="309"/>
      <c r="C168" s="310"/>
      <c r="D168" s="311"/>
      <c r="E168" s="332"/>
      <c r="F168" s="368"/>
      <c r="G168" s="312"/>
      <c r="H168" s="497"/>
      <c r="I168" s="842"/>
      <c r="J168" s="842"/>
      <c r="K168" s="214"/>
      <c r="L168" s="309">
        <v>7</v>
      </c>
      <c r="M168" s="310" t="s">
        <v>444</v>
      </c>
      <c r="N168" s="313" t="s">
        <v>461</v>
      </c>
      <c r="O168" s="568">
        <v>0.7</v>
      </c>
      <c r="P168" s="368"/>
      <c r="Q168" s="312">
        <f>O168*$P$167</f>
        <v>63983.186092000004</v>
      </c>
      <c r="R168" s="839"/>
      <c r="S168" s="546" t="s">
        <v>449</v>
      </c>
      <c r="T168" s="717">
        <v>45991</v>
      </c>
      <c r="U168" s="735">
        <v>114989.35309577289</v>
      </c>
      <c r="V168" s="869"/>
      <c r="W168" s="461">
        <f>W155</f>
        <v>45988</v>
      </c>
      <c r="X168" s="827"/>
      <c r="Y168" s="409"/>
    </row>
    <row r="169" spans="2:25" ht="14.25" customHeight="1">
      <c r="B169" s="309"/>
      <c r="C169" s="310"/>
      <c r="D169" s="311"/>
      <c r="E169" s="332"/>
      <c r="F169" s="368"/>
      <c r="G169" s="312"/>
      <c r="H169" s="497"/>
      <c r="I169" s="842"/>
      <c r="J169" s="842"/>
      <c r="K169" s="214"/>
      <c r="L169" s="309">
        <v>7</v>
      </c>
      <c r="M169" s="310" t="s">
        <v>444</v>
      </c>
      <c r="N169" s="313"/>
      <c r="O169" s="332"/>
      <c r="P169" s="368"/>
      <c r="Q169" s="312"/>
      <c r="R169" s="839"/>
      <c r="S169" s="546"/>
      <c r="T169" s="446" t="str">
        <f t="shared" si="18"/>
        <v/>
      </c>
      <c r="U169" s="431">
        <f t="shared" si="19"/>
        <v>0</v>
      </c>
      <c r="V169" s="869"/>
      <c r="W169" s="497"/>
      <c r="X169" s="827"/>
      <c r="Y169" s="409"/>
    </row>
    <row r="170" spans="2:25" ht="14.25" customHeight="1">
      <c r="B170" s="309"/>
      <c r="C170" s="310"/>
      <c r="D170" s="311"/>
      <c r="E170" s="332"/>
      <c r="F170" s="368"/>
      <c r="G170" s="312"/>
      <c r="H170" s="461"/>
      <c r="I170" s="842"/>
      <c r="J170" s="842"/>
      <c r="K170" s="214"/>
      <c r="L170" s="309">
        <v>7</v>
      </c>
      <c r="M170" s="310" t="s">
        <v>444</v>
      </c>
      <c r="N170" s="311" t="s">
        <v>462</v>
      </c>
      <c r="O170" s="568">
        <v>0.3</v>
      </c>
      <c r="P170" s="312">
        <f>17.7457*(3297.63+2*8793.67+2*4185)</f>
        <v>519149.92112900002</v>
      </c>
      <c r="Q170" s="312">
        <v>159507.76633870002</v>
      </c>
      <c r="R170" s="839"/>
      <c r="S170" s="546" t="s">
        <v>295</v>
      </c>
      <c r="T170" s="606">
        <v>45991</v>
      </c>
      <c r="U170" s="735">
        <v>286664.29393912485</v>
      </c>
      <c r="V170" s="869"/>
      <c r="W170" s="461">
        <v>45820</v>
      </c>
      <c r="X170" s="827"/>
      <c r="Y170" s="409"/>
    </row>
    <row r="171" spans="2:25" ht="14.25" customHeight="1">
      <c r="B171" s="309"/>
      <c r="C171" s="310"/>
      <c r="D171" s="311"/>
      <c r="E171" s="332"/>
      <c r="F171" s="368"/>
      <c r="G171" s="312"/>
      <c r="H171" s="497"/>
      <c r="I171" s="842"/>
      <c r="J171" s="842"/>
      <c r="K171" s="214"/>
      <c r="L171" s="309">
        <v>7</v>
      </c>
      <c r="M171" s="310" t="s">
        <v>444</v>
      </c>
      <c r="N171" s="311" t="s">
        <v>463</v>
      </c>
      <c r="O171" s="568">
        <v>0.7</v>
      </c>
      <c r="P171" s="368"/>
      <c r="Q171" s="312">
        <v>338838.05</v>
      </c>
      <c r="R171" s="840"/>
      <c r="S171" s="546" t="s">
        <v>449</v>
      </c>
      <c r="T171" s="717">
        <v>45991</v>
      </c>
      <c r="U171" s="735">
        <v>608953.23527198925</v>
      </c>
      <c r="V171" s="869"/>
      <c r="W171" s="461">
        <v>45988</v>
      </c>
      <c r="X171" s="827"/>
      <c r="Y171" s="409"/>
    </row>
    <row r="172" spans="2:25" ht="14.25" customHeight="1">
      <c r="B172" s="309"/>
      <c r="C172" s="310"/>
      <c r="D172" s="311"/>
      <c r="E172" s="332"/>
      <c r="F172" s="368"/>
      <c r="G172" s="312"/>
      <c r="H172" s="497"/>
      <c r="I172" s="842"/>
      <c r="J172" s="842"/>
      <c r="K172" s="214"/>
      <c r="L172" s="309">
        <v>7</v>
      </c>
      <c r="M172" s="310" t="s">
        <v>444</v>
      </c>
      <c r="N172" s="313"/>
      <c r="O172" s="332"/>
      <c r="P172" s="368"/>
      <c r="Q172" s="312"/>
      <c r="R172" s="511"/>
      <c r="S172" s="546"/>
      <c r="T172" s="446" t="str">
        <f t="shared" si="18"/>
        <v/>
      </c>
      <c r="U172" s="431">
        <f t="shared" si="19"/>
        <v>0</v>
      </c>
      <c r="V172" s="869"/>
      <c r="W172" s="497"/>
      <c r="X172" s="827"/>
      <c r="Y172" s="409"/>
    </row>
    <row r="173" spans="2:25" ht="14.25" customHeight="1">
      <c r="B173" s="309">
        <v>7</v>
      </c>
      <c r="C173" s="310"/>
      <c r="D173" s="311" t="s">
        <v>464</v>
      </c>
      <c r="E173" s="332"/>
      <c r="F173" s="368"/>
      <c r="G173" s="312"/>
      <c r="H173" s="497">
        <f>H160</f>
        <v>45946</v>
      </c>
      <c r="I173" s="842"/>
      <c r="J173" s="842"/>
      <c r="K173" s="214"/>
      <c r="L173" s="309">
        <v>7</v>
      </c>
      <c r="M173" s="310" t="s">
        <v>444</v>
      </c>
      <c r="N173" s="589"/>
      <c r="O173" s="590"/>
      <c r="P173" s="368"/>
      <c r="Q173" s="312"/>
      <c r="R173" s="511"/>
      <c r="S173" s="546"/>
      <c r="T173" s="446" t="str">
        <f t="shared" si="5"/>
        <v/>
      </c>
      <c r="U173" s="431">
        <f t="shared" si="19"/>
        <v>0</v>
      </c>
      <c r="V173" s="869"/>
      <c r="W173" s="497"/>
      <c r="X173" s="827"/>
      <c r="Y173" s="409"/>
    </row>
    <row r="174" spans="2:25" ht="14.25" customHeight="1">
      <c r="B174" s="309">
        <v>7</v>
      </c>
      <c r="C174" s="310"/>
      <c r="D174" s="311" t="s">
        <v>465</v>
      </c>
      <c r="E174" s="332"/>
      <c r="F174" s="368"/>
      <c r="G174" s="312"/>
      <c r="H174" s="497">
        <f>H161</f>
        <v>45946</v>
      </c>
      <c r="I174" s="842"/>
      <c r="J174" s="842"/>
      <c r="K174" s="214"/>
      <c r="L174" s="309">
        <v>7</v>
      </c>
      <c r="M174" s="310" t="s">
        <v>444</v>
      </c>
      <c r="N174" s="311"/>
      <c r="O174" s="689"/>
      <c r="P174" s="368"/>
      <c r="Q174" s="312"/>
      <c r="R174" s="511"/>
      <c r="S174" s="546"/>
      <c r="T174" s="446"/>
      <c r="U174" s="431">
        <f t="shared" si="19"/>
        <v>0</v>
      </c>
      <c r="V174" s="869"/>
      <c r="W174" s="497"/>
      <c r="X174" s="827"/>
      <c r="Y174" s="409"/>
    </row>
    <row r="175" spans="2:25" ht="14.25" customHeight="1">
      <c r="B175" s="309">
        <v>7</v>
      </c>
      <c r="C175" s="310"/>
      <c r="D175" s="311" t="s">
        <v>466</v>
      </c>
      <c r="E175" s="332"/>
      <c r="F175" s="368"/>
      <c r="G175" s="312"/>
      <c r="H175" s="497">
        <f>H174</f>
        <v>45946</v>
      </c>
      <c r="I175" s="842"/>
      <c r="J175" s="842"/>
      <c r="K175" s="214"/>
      <c r="L175" s="309">
        <v>7</v>
      </c>
      <c r="M175" s="310" t="s">
        <v>444</v>
      </c>
      <c r="N175" s="311"/>
      <c r="O175" s="689"/>
      <c r="P175" s="368"/>
      <c r="Q175" s="312"/>
      <c r="R175" s="511"/>
      <c r="S175" s="546"/>
      <c r="T175" s="446"/>
      <c r="U175" s="431">
        <f t="shared" si="19"/>
        <v>0</v>
      </c>
      <c r="V175" s="869"/>
      <c r="W175" s="497"/>
      <c r="X175" s="827"/>
      <c r="Y175" s="409"/>
    </row>
    <row r="176" spans="2:25" ht="14.25" customHeight="1">
      <c r="B176" s="309"/>
      <c r="C176" s="310"/>
      <c r="D176" s="311"/>
      <c r="E176" s="332"/>
      <c r="F176" s="368"/>
      <c r="G176" s="312"/>
      <c r="H176" s="497"/>
      <c r="I176" s="842"/>
      <c r="J176" s="842"/>
      <c r="K176" s="214"/>
      <c r="L176" s="309">
        <v>7</v>
      </c>
      <c r="M176" s="310" t="s">
        <v>444</v>
      </c>
      <c r="N176" s="311"/>
      <c r="O176" s="721"/>
      <c r="P176" s="368"/>
      <c r="Q176" s="312"/>
      <c r="R176" s="511"/>
      <c r="S176" s="546"/>
      <c r="T176" s="446" t="str">
        <f t="shared" ref="T176:T182" si="20">IF(W176&gt;1,EOMONTH(W176,0),"")</f>
        <v/>
      </c>
      <c r="U176" s="431">
        <f t="shared" si="19"/>
        <v>0</v>
      </c>
      <c r="V176" s="869"/>
      <c r="W176" s="497"/>
      <c r="X176" s="827"/>
      <c r="Y176" s="409"/>
    </row>
    <row r="177" spans="1:25" ht="14.25" customHeight="1">
      <c r="B177" s="309"/>
      <c r="C177" s="310"/>
      <c r="D177" s="311"/>
      <c r="E177" s="332"/>
      <c r="F177" s="368"/>
      <c r="G177" s="312"/>
      <c r="H177" s="497"/>
      <c r="I177" s="842"/>
      <c r="J177" s="842"/>
      <c r="K177" s="214"/>
      <c r="L177" s="309">
        <v>7</v>
      </c>
      <c r="M177" s="310" t="s">
        <v>444</v>
      </c>
      <c r="N177" s="311"/>
      <c r="O177" s="689"/>
      <c r="P177" s="368"/>
      <c r="Q177" s="312"/>
      <c r="R177" s="511"/>
      <c r="S177" s="546"/>
      <c r="T177" s="446"/>
      <c r="U177" s="431">
        <f t="shared" si="19"/>
        <v>0</v>
      </c>
      <c r="V177" s="869"/>
      <c r="W177" s="497"/>
      <c r="X177" s="827"/>
      <c r="Y177" s="409"/>
    </row>
    <row r="178" spans="1:25" ht="14.25" customHeight="1">
      <c r="B178" s="309"/>
      <c r="C178" s="310"/>
      <c r="D178" s="311"/>
      <c r="E178" s="332"/>
      <c r="F178" s="368"/>
      <c r="G178" s="312"/>
      <c r="H178" s="497"/>
      <c r="I178" s="842"/>
      <c r="J178" s="842"/>
      <c r="K178" s="214"/>
      <c r="L178" s="309">
        <v>7</v>
      </c>
      <c r="M178" s="310" t="s">
        <v>444</v>
      </c>
      <c r="N178" s="311"/>
      <c r="O178" s="568"/>
      <c r="P178" s="368"/>
      <c r="Q178" s="312"/>
      <c r="R178" s="511"/>
      <c r="S178" s="546"/>
      <c r="T178" s="446"/>
      <c r="U178" s="431">
        <f t="shared" si="19"/>
        <v>0</v>
      </c>
      <c r="V178" s="869"/>
      <c r="W178" s="497"/>
      <c r="X178" s="827"/>
      <c r="Y178" s="409"/>
    </row>
    <row r="179" spans="1:25" ht="14.25" customHeight="1">
      <c r="B179" s="309"/>
      <c r="C179" s="310"/>
      <c r="D179" s="311"/>
      <c r="E179" s="332"/>
      <c r="F179" s="368"/>
      <c r="G179" s="312"/>
      <c r="H179" s="497"/>
      <c r="I179" s="842"/>
      <c r="J179" s="842"/>
      <c r="K179" s="214"/>
      <c r="L179" s="309">
        <v>7</v>
      </c>
      <c r="M179" s="310" t="s">
        <v>444</v>
      </c>
      <c r="N179" s="311"/>
      <c r="O179" s="689"/>
      <c r="P179" s="312"/>
      <c r="Q179" s="312"/>
      <c r="R179" s="511"/>
      <c r="S179" s="546"/>
      <c r="T179" s="446"/>
      <c r="U179" s="431">
        <f t="shared" si="19"/>
        <v>0</v>
      </c>
      <c r="V179" s="869"/>
      <c r="W179" s="497"/>
      <c r="X179" s="827"/>
      <c r="Y179" s="409"/>
    </row>
    <row r="180" spans="1:25" ht="14.25" customHeight="1">
      <c r="B180" s="309"/>
      <c r="C180" s="310"/>
      <c r="D180" s="311"/>
      <c r="E180" s="332"/>
      <c r="F180" s="368"/>
      <c r="G180" s="312"/>
      <c r="H180" s="497"/>
      <c r="I180" s="842"/>
      <c r="J180" s="842"/>
      <c r="K180" s="214"/>
      <c r="L180" s="309">
        <v>7</v>
      </c>
      <c r="M180" s="310" t="s">
        <v>444</v>
      </c>
      <c r="N180" s="311"/>
      <c r="O180" s="568"/>
      <c r="P180" s="368"/>
      <c r="Q180" s="312"/>
      <c r="R180" s="511"/>
      <c r="S180" s="546"/>
      <c r="T180" s="446" t="str">
        <f t="shared" si="20"/>
        <v/>
      </c>
      <c r="U180" s="431">
        <f t="shared" si="19"/>
        <v>0</v>
      </c>
      <c r="V180" s="869"/>
      <c r="W180" s="497"/>
      <c r="X180" s="827"/>
      <c r="Y180" s="409"/>
    </row>
    <row r="181" spans="1:25" ht="14.25" customHeight="1">
      <c r="B181" s="309"/>
      <c r="C181" s="310"/>
      <c r="D181" s="311"/>
      <c r="E181" s="332"/>
      <c r="F181" s="368"/>
      <c r="G181" s="312"/>
      <c r="H181" s="497"/>
      <c r="I181" s="842"/>
      <c r="J181" s="842"/>
      <c r="K181" s="214"/>
      <c r="L181" s="309">
        <v>7</v>
      </c>
      <c r="M181" s="310" t="s">
        <v>444</v>
      </c>
      <c r="N181" s="311"/>
      <c r="O181" s="568"/>
      <c r="P181" s="312"/>
      <c r="Q181" s="312"/>
      <c r="R181" s="511"/>
      <c r="S181" s="546"/>
      <c r="T181" s="446" t="str">
        <f t="shared" si="20"/>
        <v/>
      </c>
      <c r="U181" s="431">
        <f t="shared" si="19"/>
        <v>0</v>
      </c>
      <c r="V181" s="869"/>
      <c r="W181" s="497"/>
      <c r="X181" s="827"/>
      <c r="Y181" s="409"/>
    </row>
    <row r="182" spans="1:25" ht="14.25" customHeight="1">
      <c r="B182" s="309"/>
      <c r="C182" s="310"/>
      <c r="D182" s="311"/>
      <c r="E182" s="332"/>
      <c r="F182" s="368"/>
      <c r="G182" s="312"/>
      <c r="H182" s="497"/>
      <c r="I182" s="842"/>
      <c r="J182" s="842"/>
      <c r="K182" s="214"/>
      <c r="L182" s="309">
        <v>7</v>
      </c>
      <c r="M182" s="310" t="s">
        <v>444</v>
      </c>
      <c r="N182" s="311"/>
      <c r="O182" s="568"/>
      <c r="P182" s="368"/>
      <c r="Q182" s="312"/>
      <c r="R182" s="511"/>
      <c r="S182" s="546"/>
      <c r="T182" s="446" t="str">
        <f t="shared" si="20"/>
        <v/>
      </c>
      <c r="U182" s="431">
        <f t="shared" si="19"/>
        <v>0</v>
      </c>
      <c r="V182" s="869"/>
      <c r="W182" s="497"/>
      <c r="X182" s="827"/>
      <c r="Y182" s="409"/>
    </row>
    <row r="183" spans="1:25" ht="14.25" customHeight="1">
      <c r="B183" s="309"/>
      <c r="C183" s="310"/>
      <c r="D183" s="311"/>
      <c r="E183" s="332"/>
      <c r="F183" s="368"/>
      <c r="G183" s="312"/>
      <c r="H183" s="497"/>
      <c r="I183" s="842"/>
      <c r="J183" s="842"/>
      <c r="K183" s="214"/>
      <c r="L183" s="309">
        <v>7</v>
      </c>
      <c r="M183" s="310" t="s">
        <v>444</v>
      </c>
      <c r="N183" s="311"/>
      <c r="O183" s="568"/>
      <c r="P183" s="368"/>
      <c r="Q183" s="312"/>
      <c r="R183" s="511"/>
      <c r="S183" s="546"/>
      <c r="T183" s="446"/>
      <c r="U183" s="431">
        <f t="shared" si="19"/>
        <v>0</v>
      </c>
      <c r="V183" s="869"/>
      <c r="W183" s="497"/>
      <c r="X183" s="827"/>
      <c r="Y183" s="409"/>
    </row>
    <row r="184" spans="1:25" ht="14.25" customHeight="1">
      <c r="B184" s="309">
        <v>7</v>
      </c>
      <c r="C184" s="310"/>
      <c r="D184" s="311"/>
      <c r="E184" s="332"/>
      <c r="F184" s="368"/>
      <c r="G184" s="312"/>
      <c r="H184" s="497"/>
      <c r="I184" s="842"/>
      <c r="J184" s="842"/>
      <c r="K184" s="214"/>
      <c r="L184" s="309">
        <v>7</v>
      </c>
      <c r="M184" s="310" t="s">
        <v>444</v>
      </c>
      <c r="N184" s="311"/>
      <c r="O184" s="568"/>
      <c r="P184" s="368"/>
      <c r="Q184" s="312"/>
      <c r="R184" s="511"/>
      <c r="S184" s="546"/>
      <c r="T184" s="446"/>
      <c r="U184" s="431">
        <f t="shared" si="19"/>
        <v>0</v>
      </c>
      <c r="V184" s="869"/>
      <c r="W184" s="497"/>
      <c r="X184" s="827"/>
      <c r="Y184" s="409"/>
    </row>
    <row r="185" spans="1:25" ht="14.25" customHeight="1">
      <c r="B185" s="309">
        <v>7</v>
      </c>
      <c r="C185" s="310"/>
      <c r="D185" s="311"/>
      <c r="E185" s="332"/>
      <c r="F185" s="368"/>
      <c r="G185" s="312"/>
      <c r="H185" s="497"/>
      <c r="I185" s="842"/>
      <c r="J185" s="842"/>
      <c r="K185" s="214"/>
      <c r="L185" s="309">
        <v>7</v>
      </c>
      <c r="M185" s="310" t="s">
        <v>444</v>
      </c>
      <c r="N185" s="311"/>
      <c r="O185" s="477"/>
      <c r="P185" s="368"/>
      <c r="Q185" s="312"/>
      <c r="R185" s="511"/>
      <c r="S185" s="546"/>
      <c r="T185" s="446" t="str">
        <f t="shared" ref="T185:T365" si="21">IF(W185&gt;1,EOMONTH(W185,0),"")</f>
        <v/>
      </c>
      <c r="U185" s="431">
        <f t="shared" si="19"/>
        <v>0</v>
      </c>
      <c r="V185" s="869"/>
      <c r="W185" s="497"/>
      <c r="X185" s="827"/>
      <c r="Y185" s="409"/>
    </row>
    <row r="186" spans="1:25" ht="14.25" customHeight="1">
      <c r="B186" s="309">
        <v>7</v>
      </c>
      <c r="C186" s="310"/>
      <c r="D186" s="311"/>
      <c r="E186" s="332"/>
      <c r="F186" s="368"/>
      <c r="G186" s="312"/>
      <c r="H186" s="497"/>
      <c r="I186" s="842"/>
      <c r="J186" s="842"/>
      <c r="K186" s="214"/>
      <c r="L186" s="309">
        <v>7</v>
      </c>
      <c r="M186" s="310" t="s">
        <v>444</v>
      </c>
      <c r="N186" s="311"/>
      <c r="O186" s="477"/>
      <c r="P186" s="368"/>
      <c r="Q186" s="312"/>
      <c r="R186" s="511"/>
      <c r="S186" s="546"/>
      <c r="T186" s="446" t="str">
        <f t="shared" si="21"/>
        <v/>
      </c>
      <c r="U186" s="431">
        <f t="shared" si="19"/>
        <v>0</v>
      </c>
      <c r="V186" s="869"/>
      <c r="W186" s="497"/>
      <c r="X186" s="827"/>
      <c r="Y186" s="409"/>
    </row>
    <row r="187" spans="1:25" ht="14.25" customHeight="1">
      <c r="B187" s="309">
        <v>7</v>
      </c>
      <c r="C187" s="310"/>
      <c r="D187" s="311"/>
      <c r="E187" s="332"/>
      <c r="F187" s="368"/>
      <c r="G187" s="312"/>
      <c r="H187" s="497"/>
      <c r="I187" s="842"/>
      <c r="J187" s="842"/>
      <c r="K187" s="214"/>
      <c r="L187" s="309">
        <v>7</v>
      </c>
      <c r="M187" s="310" t="s">
        <v>444</v>
      </c>
      <c r="N187" s="311"/>
      <c r="O187" s="477"/>
      <c r="P187" s="368"/>
      <c r="Q187" s="312"/>
      <c r="R187" s="511"/>
      <c r="S187" s="546"/>
      <c r="T187" s="446" t="str">
        <f t="shared" si="21"/>
        <v/>
      </c>
      <c r="U187" s="431">
        <f t="shared" si="19"/>
        <v>0</v>
      </c>
      <c r="V187" s="869"/>
      <c r="W187" s="497"/>
      <c r="X187" s="827"/>
      <c r="Y187" s="409"/>
    </row>
    <row r="188" spans="1:25" ht="15" customHeight="1" thickBot="1">
      <c r="B188" s="242">
        <v>7</v>
      </c>
      <c r="C188" s="263"/>
      <c r="D188" s="255"/>
      <c r="E188" s="244"/>
      <c r="F188" s="384"/>
      <c r="G188" s="256"/>
      <c r="H188" s="498"/>
      <c r="I188" s="843"/>
      <c r="J188" s="843"/>
      <c r="K188" s="215"/>
      <c r="L188" s="242">
        <v>7</v>
      </c>
      <c r="M188" s="263" t="s">
        <v>444</v>
      </c>
      <c r="N188" s="255"/>
      <c r="O188" s="478"/>
      <c r="P188" s="384"/>
      <c r="Q188" s="256"/>
      <c r="R188" s="512"/>
      <c r="S188" s="547"/>
      <c r="T188" s="447" t="str">
        <f t="shared" si="21"/>
        <v/>
      </c>
      <c r="U188" s="432">
        <f t="shared" si="19"/>
        <v>0</v>
      </c>
      <c r="V188" s="870"/>
      <c r="W188" s="498"/>
      <c r="X188" s="828"/>
      <c r="Y188" s="409"/>
    </row>
    <row r="189" spans="1:25" ht="13.9" thickBot="1">
      <c r="A189" s="4"/>
      <c r="B189" s="216"/>
      <c r="C189" s="257"/>
      <c r="D189" s="234"/>
      <c r="E189" s="217"/>
      <c r="F189" s="380"/>
      <c r="G189" s="218"/>
      <c r="H189" s="499"/>
      <c r="I189" s="206"/>
      <c r="J189" s="206"/>
      <c r="K189" s="4"/>
      <c r="L189" s="216"/>
      <c r="M189" s="257"/>
      <c r="N189" s="234"/>
      <c r="O189" s="479"/>
      <c r="P189" s="380"/>
      <c r="Q189" s="218"/>
      <c r="R189" s="513"/>
      <c r="S189" s="548"/>
      <c r="T189" s="448" t="str">
        <f t="shared" si="21"/>
        <v/>
      </c>
      <c r="U189" s="437"/>
      <c r="V189" s="420"/>
      <c r="W189" s="499"/>
      <c r="X189" s="276"/>
      <c r="Y189" s="409"/>
    </row>
    <row r="190" spans="1:25" ht="14.25" customHeight="1">
      <c r="B190" s="258">
        <v>8</v>
      </c>
      <c r="C190" s="220" t="s">
        <v>467</v>
      </c>
      <c r="D190" s="259"/>
      <c r="E190" s="387"/>
      <c r="F190" s="341"/>
      <c r="G190" s="260"/>
      <c r="H190" s="500"/>
      <c r="I190" s="862">
        <f>D447+D448+D449</f>
        <v>2015000</v>
      </c>
      <c r="J190" s="862">
        <f>F447+F448+F449</f>
        <v>2177419.7394080805</v>
      </c>
      <c r="K190" s="223"/>
      <c r="L190" s="258">
        <v>8</v>
      </c>
      <c r="M190" s="350" t="s">
        <v>468</v>
      </c>
      <c r="N190" s="259"/>
      <c r="O190" s="486"/>
      <c r="P190" s="341"/>
      <c r="Q190" s="260"/>
      <c r="R190" s="514"/>
      <c r="S190" s="549"/>
      <c r="T190" s="449" t="str">
        <f t="shared" si="21"/>
        <v/>
      </c>
      <c r="U190" s="434">
        <f>(Q190/$X$190*$J$190)</f>
        <v>0</v>
      </c>
      <c r="V190" s="859">
        <f>J190-SUM(U190:U212)</f>
        <v>1.8892991356551647E-3</v>
      </c>
      <c r="W190" s="500"/>
      <c r="X190" s="865">
        <f>SUM(Q190:Q212)</f>
        <v>2175649.81</v>
      </c>
      <c r="Y190" s="409"/>
    </row>
    <row r="191" spans="1:25" ht="14.25" customHeight="1">
      <c r="B191" s="248">
        <v>8</v>
      </c>
      <c r="C191" s="249"/>
      <c r="D191" s="261" t="s">
        <v>469</v>
      </c>
      <c r="E191" s="340"/>
      <c r="F191" s="385"/>
      <c r="G191" s="250">
        <v>25000</v>
      </c>
      <c r="H191" s="464">
        <v>45899</v>
      </c>
      <c r="I191" s="863"/>
      <c r="J191" s="863"/>
      <c r="K191" s="227"/>
      <c r="L191" s="248">
        <v>8</v>
      </c>
      <c r="M191" s="357" t="s">
        <v>468</v>
      </c>
      <c r="N191" s="261" t="s">
        <v>470</v>
      </c>
      <c r="O191" s="250">
        <v>78963</v>
      </c>
      <c r="P191" s="638">
        <v>2</v>
      </c>
      <c r="Q191" s="250">
        <f>O191*P191</f>
        <v>157926</v>
      </c>
      <c r="R191" s="515" t="s">
        <v>471</v>
      </c>
      <c r="S191" s="550" t="s">
        <v>472</v>
      </c>
      <c r="T191" s="608">
        <v>45869</v>
      </c>
      <c r="U191" s="617">
        <v>159363.64106558694</v>
      </c>
      <c r="V191" s="860"/>
      <c r="W191" s="464">
        <v>45899</v>
      </c>
      <c r="X191" s="866"/>
      <c r="Y191" s="409"/>
    </row>
    <row r="192" spans="1:25" ht="14.25" customHeight="1">
      <c r="B192" s="248">
        <v>8</v>
      </c>
      <c r="C192" s="249"/>
      <c r="D192" s="261" t="s">
        <v>473</v>
      </c>
      <c r="E192" s="340"/>
      <c r="F192" s="385"/>
      <c r="G192" s="250">
        <v>540000</v>
      </c>
      <c r="H192" s="464">
        <v>45899</v>
      </c>
      <c r="I192" s="863"/>
      <c r="J192" s="863"/>
      <c r="K192" s="227"/>
      <c r="L192" s="248">
        <v>8</v>
      </c>
      <c r="M192" s="357" t="s">
        <v>468</v>
      </c>
      <c r="N192" s="261" t="s">
        <v>474</v>
      </c>
      <c r="O192" s="340"/>
      <c r="P192" s="385"/>
      <c r="Q192" s="250">
        <v>416290</v>
      </c>
      <c r="R192" s="515" t="s">
        <v>475</v>
      </c>
      <c r="S192" s="550" t="s">
        <v>476</v>
      </c>
      <c r="T192" s="608">
        <v>45869</v>
      </c>
      <c r="U192" s="617">
        <v>373906.90512172278</v>
      </c>
      <c r="V192" s="860"/>
      <c r="W192" s="464">
        <v>45899</v>
      </c>
      <c r="X192" s="866"/>
      <c r="Y192" s="409"/>
    </row>
    <row r="193" spans="2:25" ht="14.25" customHeight="1">
      <c r="B193" s="248"/>
      <c r="C193" s="249"/>
      <c r="D193" s="261"/>
      <c r="E193" s="340"/>
      <c r="F193" s="385"/>
      <c r="G193" s="250"/>
      <c r="H193" s="464"/>
      <c r="I193" s="863"/>
      <c r="J193" s="863"/>
      <c r="K193" s="227"/>
      <c r="L193" s="248">
        <v>8</v>
      </c>
      <c r="M193" s="357" t="s">
        <v>468</v>
      </c>
      <c r="N193" s="261" t="s">
        <v>477</v>
      </c>
      <c r="O193" s="340"/>
      <c r="P193" s="385"/>
      <c r="Q193" s="250">
        <v>49639</v>
      </c>
      <c r="R193" s="515"/>
      <c r="S193" s="550" t="s">
        <v>478</v>
      </c>
      <c r="T193" s="608">
        <v>45869</v>
      </c>
      <c r="U193" s="617">
        <v>50090.876605844955</v>
      </c>
      <c r="V193" s="860"/>
      <c r="W193" s="464">
        <v>45899</v>
      </c>
      <c r="X193" s="866"/>
      <c r="Y193" s="409"/>
    </row>
    <row r="194" spans="2:25" ht="14.25" customHeight="1">
      <c r="B194" s="248"/>
      <c r="C194" s="249"/>
      <c r="D194" s="261"/>
      <c r="E194" s="340"/>
      <c r="F194" s="385"/>
      <c r="G194" s="250"/>
      <c r="H194" s="464"/>
      <c r="I194" s="863"/>
      <c r="J194" s="863"/>
      <c r="K194" s="227"/>
      <c r="L194" s="248">
        <v>8</v>
      </c>
      <c r="M194" s="357" t="s">
        <v>468</v>
      </c>
      <c r="N194" s="261" t="s">
        <v>477</v>
      </c>
      <c r="O194" s="340"/>
      <c r="P194" s="385"/>
      <c r="Q194" s="250">
        <f>-Q193</f>
        <v>-49639</v>
      </c>
      <c r="R194" s="515"/>
      <c r="S194" s="550" t="s">
        <v>478</v>
      </c>
      <c r="T194" s="608">
        <v>45900</v>
      </c>
      <c r="U194" s="435">
        <v>0</v>
      </c>
      <c r="V194" s="860"/>
      <c r="W194" s="464">
        <v>45900</v>
      </c>
      <c r="X194" s="866"/>
      <c r="Y194" s="409"/>
    </row>
    <row r="195" spans="2:25" ht="14.25" customHeight="1">
      <c r="B195" s="248"/>
      <c r="C195" s="249"/>
      <c r="D195" s="261"/>
      <c r="E195" s="340"/>
      <c r="F195" s="385"/>
      <c r="G195" s="250"/>
      <c r="H195" s="501"/>
      <c r="I195" s="863"/>
      <c r="J195" s="863"/>
      <c r="K195" s="227"/>
      <c r="L195" s="248">
        <v>8</v>
      </c>
      <c r="M195" s="357" t="s">
        <v>468</v>
      </c>
      <c r="N195" s="261" t="s">
        <v>479</v>
      </c>
      <c r="O195" s="622">
        <v>376996</v>
      </c>
      <c r="P195" s="621">
        <v>0.5</v>
      </c>
      <c r="Q195" s="250">
        <f>$O$195*P195</f>
        <v>188498</v>
      </c>
      <c r="R195" s="835" t="s">
        <v>480</v>
      </c>
      <c r="S195" s="550" t="s">
        <v>481</v>
      </c>
      <c r="T195" s="608">
        <v>45869</v>
      </c>
      <c r="U195" s="617">
        <v>190213.94585806647</v>
      </c>
      <c r="V195" s="860"/>
      <c r="W195" s="464">
        <v>45989</v>
      </c>
      <c r="X195" s="866"/>
      <c r="Y195" s="409"/>
    </row>
    <row r="196" spans="2:25" ht="14.25" customHeight="1">
      <c r="B196" s="248"/>
      <c r="C196" s="249"/>
      <c r="D196" s="261"/>
      <c r="E196" s="340"/>
      <c r="F196" s="385"/>
      <c r="G196" s="250"/>
      <c r="H196" s="501"/>
      <c r="I196" s="863"/>
      <c r="J196" s="863"/>
      <c r="K196" s="227"/>
      <c r="L196" s="248">
        <v>8</v>
      </c>
      <c r="M196" s="357" t="s">
        <v>468</v>
      </c>
      <c r="N196" s="261" t="s">
        <v>482</v>
      </c>
      <c r="O196" s="763">
        <f>O195/2</f>
        <v>188498</v>
      </c>
      <c r="P196" s="621">
        <v>0.5</v>
      </c>
      <c r="Q196" s="250">
        <f>$O$195*P196</f>
        <v>188498</v>
      </c>
      <c r="R196" s="837"/>
      <c r="S196" s="550" t="s">
        <v>481</v>
      </c>
      <c r="T196" s="608">
        <v>45869</v>
      </c>
      <c r="U196" s="617">
        <v>190213.94585806647</v>
      </c>
      <c r="V196" s="860"/>
      <c r="W196" s="464">
        <v>45989</v>
      </c>
      <c r="X196" s="866"/>
      <c r="Y196" s="409"/>
    </row>
    <row r="197" spans="2:25" ht="14.25" customHeight="1">
      <c r="B197" s="248"/>
      <c r="C197" s="249"/>
      <c r="D197" s="261"/>
      <c r="E197" s="340"/>
      <c r="F197" s="385"/>
      <c r="G197" s="250"/>
      <c r="H197" s="464"/>
      <c r="I197" s="863"/>
      <c r="J197" s="863"/>
      <c r="K197" s="227"/>
      <c r="L197" s="248">
        <v>8</v>
      </c>
      <c r="M197" s="357" t="s">
        <v>468</v>
      </c>
      <c r="N197" s="261" t="s">
        <v>473</v>
      </c>
      <c r="O197" s="340"/>
      <c r="P197" s="385"/>
      <c r="Q197" s="250">
        <v>264744.74</v>
      </c>
      <c r="R197" s="835" t="s">
        <v>483</v>
      </c>
      <c r="S197" s="550" t="s">
        <v>484</v>
      </c>
      <c r="T197" s="608">
        <v>45838</v>
      </c>
      <c r="U197" s="617">
        <v>311742.46060635644</v>
      </c>
      <c r="V197" s="860"/>
      <c r="W197" s="464">
        <v>45834</v>
      </c>
      <c r="X197" s="866"/>
      <c r="Y197" s="409"/>
    </row>
    <row r="198" spans="2:25" ht="14.25" customHeight="1">
      <c r="B198" s="248"/>
      <c r="C198" s="249"/>
      <c r="D198" s="261"/>
      <c r="E198" s="340"/>
      <c r="F198" s="385"/>
      <c r="G198" s="250"/>
      <c r="H198" s="464"/>
      <c r="I198" s="863"/>
      <c r="J198" s="863"/>
      <c r="K198" s="227"/>
      <c r="L198" s="248">
        <v>8</v>
      </c>
      <c r="M198" s="357" t="s">
        <v>468</v>
      </c>
      <c r="N198" s="261" t="s">
        <v>485</v>
      </c>
      <c r="O198" s="340"/>
      <c r="P198" s="385"/>
      <c r="Q198" s="250">
        <v>8911.2000000000007</v>
      </c>
      <c r="R198" s="836"/>
      <c r="S198" s="550" t="s">
        <v>484</v>
      </c>
      <c r="T198" s="608">
        <v>45838</v>
      </c>
      <c r="U198" s="617">
        <v>10493.124112514432</v>
      </c>
      <c r="V198" s="860"/>
      <c r="W198" s="464">
        <v>45834</v>
      </c>
      <c r="X198" s="866"/>
      <c r="Y198" s="409"/>
    </row>
    <row r="199" spans="2:25" ht="14.25" customHeight="1">
      <c r="B199" s="248"/>
      <c r="C199" s="249"/>
      <c r="D199" s="261"/>
      <c r="E199" s="340"/>
      <c r="F199" s="385"/>
      <c r="G199" s="250"/>
      <c r="H199" s="464"/>
      <c r="I199" s="863"/>
      <c r="J199" s="863"/>
      <c r="K199" s="227"/>
      <c r="L199" s="248">
        <v>8</v>
      </c>
      <c r="M199" s="357" t="s">
        <v>468</v>
      </c>
      <c r="N199" s="261" t="s">
        <v>286</v>
      </c>
      <c r="O199" s="340"/>
      <c r="P199" s="385"/>
      <c r="Q199" s="250">
        <v>500</v>
      </c>
      <c r="R199" s="837"/>
      <c r="S199" s="550" t="s">
        <v>484</v>
      </c>
      <c r="T199" s="608">
        <v>45838</v>
      </c>
      <c r="U199" s="617">
        <v>588.76044261796551</v>
      </c>
      <c r="V199" s="860"/>
      <c r="W199" s="464">
        <v>45834</v>
      </c>
      <c r="X199" s="866"/>
      <c r="Y199" s="409"/>
    </row>
    <row r="200" spans="2:25" ht="14.25" customHeight="1">
      <c r="B200" s="248"/>
      <c r="C200" s="249"/>
      <c r="D200" s="261"/>
      <c r="E200" s="340"/>
      <c r="F200" s="385"/>
      <c r="G200" s="250"/>
      <c r="H200" s="464"/>
      <c r="I200" s="863"/>
      <c r="J200" s="863"/>
      <c r="K200" s="227"/>
      <c r="L200" s="248">
        <v>8</v>
      </c>
      <c r="M200" s="357" t="s">
        <v>468</v>
      </c>
      <c r="N200" s="261" t="s">
        <v>486</v>
      </c>
      <c r="O200" s="340">
        <v>5</v>
      </c>
      <c r="P200" s="385">
        <v>2900</v>
      </c>
      <c r="Q200" s="250">
        <v>56604</v>
      </c>
      <c r="R200" s="515" t="s">
        <v>487</v>
      </c>
      <c r="S200" s="550" t="s">
        <v>488</v>
      </c>
      <c r="T200" s="608">
        <v>45900</v>
      </c>
      <c r="U200" s="651">
        <v>37374.055508281563</v>
      </c>
      <c r="V200" s="860"/>
      <c r="W200" s="464">
        <v>45897</v>
      </c>
      <c r="X200" s="866"/>
      <c r="Y200" s="409"/>
    </row>
    <row r="201" spans="2:25" ht="14.25" customHeight="1">
      <c r="B201" s="248"/>
      <c r="C201" s="249"/>
      <c r="D201" s="261"/>
      <c r="E201" s="340"/>
      <c r="F201" s="385"/>
      <c r="G201" s="250"/>
      <c r="H201" s="501"/>
      <c r="I201" s="863"/>
      <c r="J201" s="863"/>
      <c r="K201" s="227"/>
      <c r="L201" s="248">
        <v>8</v>
      </c>
      <c r="M201" s="357" t="s">
        <v>468</v>
      </c>
      <c r="N201" s="261"/>
      <c r="O201" s="340"/>
      <c r="P201" s="385"/>
      <c r="Q201" s="250"/>
      <c r="R201" s="519"/>
      <c r="S201" s="550"/>
      <c r="T201" s="450"/>
      <c r="U201" s="435"/>
      <c r="V201" s="860"/>
      <c r="W201" s="501"/>
      <c r="X201" s="866"/>
      <c r="Y201" s="409"/>
    </row>
    <row r="202" spans="2:25" ht="14.25" customHeight="1">
      <c r="B202" s="248"/>
      <c r="C202" s="249"/>
      <c r="D202" s="261"/>
      <c r="E202" s="340"/>
      <c r="F202" s="385"/>
      <c r="G202" s="250"/>
      <c r="H202" s="501"/>
      <c r="I202" s="863"/>
      <c r="J202" s="863"/>
      <c r="K202" s="227"/>
      <c r="L202" s="248">
        <v>8</v>
      </c>
      <c r="M202" s="357" t="s">
        <v>468</v>
      </c>
      <c r="N202" s="261"/>
      <c r="O202" s="340"/>
      <c r="P202" s="385"/>
      <c r="Q202" s="250"/>
      <c r="R202" s="519"/>
      <c r="S202" s="550"/>
      <c r="T202" s="450"/>
      <c r="U202" s="435"/>
      <c r="V202" s="860"/>
      <c r="W202" s="501"/>
      <c r="X202" s="866"/>
      <c r="Y202" s="409"/>
    </row>
    <row r="203" spans="2:25" ht="14.25" customHeight="1">
      <c r="B203" s="248"/>
      <c r="C203" s="249"/>
      <c r="D203" s="261"/>
      <c r="E203" s="340"/>
      <c r="F203" s="385"/>
      <c r="G203" s="250"/>
      <c r="H203" s="464"/>
      <c r="I203" s="863"/>
      <c r="J203" s="863"/>
      <c r="K203" s="227"/>
      <c r="L203" s="248">
        <v>8</v>
      </c>
      <c r="M203" s="357" t="s">
        <v>468</v>
      </c>
      <c r="N203" s="261" t="s">
        <v>489</v>
      </c>
      <c r="O203" s="622">
        <v>282770</v>
      </c>
      <c r="P203" s="621">
        <v>0.5</v>
      </c>
      <c r="Q203" s="250">
        <f>O203*P203</f>
        <v>141385</v>
      </c>
      <c r="R203" s="835" t="s">
        <v>490</v>
      </c>
      <c r="S203" s="550" t="s">
        <v>491</v>
      </c>
      <c r="T203" s="608">
        <v>45869</v>
      </c>
      <c r="U203" s="617">
        <v>142672.06408101268</v>
      </c>
      <c r="V203" s="860"/>
      <c r="W203" s="464">
        <v>45855</v>
      </c>
      <c r="X203" s="866"/>
      <c r="Y203" s="409"/>
    </row>
    <row r="204" spans="2:25" ht="14.25" customHeight="1">
      <c r="B204" s="248"/>
      <c r="C204" s="249"/>
      <c r="D204" s="261"/>
      <c r="E204" s="340"/>
      <c r="F204" s="385"/>
      <c r="G204" s="250"/>
      <c r="H204" s="464"/>
      <c r="I204" s="863"/>
      <c r="J204" s="863"/>
      <c r="K204" s="227"/>
      <c r="L204" s="248">
        <v>8</v>
      </c>
      <c r="M204" s="357" t="s">
        <v>468</v>
      </c>
      <c r="N204" s="261" t="s">
        <v>492</v>
      </c>
      <c r="O204" s="340"/>
      <c r="P204" s="621">
        <v>0.5</v>
      </c>
      <c r="Q204" s="250">
        <f>O203*P204</f>
        <v>141385</v>
      </c>
      <c r="R204" s="837"/>
      <c r="S204" s="550" t="s">
        <v>493</v>
      </c>
      <c r="T204" s="608">
        <v>45900</v>
      </c>
      <c r="U204" s="651">
        <v>139002.42023511391</v>
      </c>
      <c r="V204" s="860"/>
      <c r="W204" s="464">
        <v>45910</v>
      </c>
      <c r="X204" s="866"/>
      <c r="Y204" s="409"/>
    </row>
    <row r="205" spans="2:25" ht="14.25" customHeight="1">
      <c r="B205" s="248">
        <v>8</v>
      </c>
      <c r="C205" s="249"/>
      <c r="D205" s="261" t="s">
        <v>494</v>
      </c>
      <c r="E205" s="340"/>
      <c r="F205" s="385"/>
      <c r="G205" s="250">
        <v>250000</v>
      </c>
      <c r="H205" s="501">
        <f>H191</f>
        <v>45899</v>
      </c>
      <c r="I205" s="863"/>
      <c r="J205" s="863"/>
      <c r="K205" s="227"/>
      <c r="L205" s="248">
        <v>8</v>
      </c>
      <c r="M205" s="357" t="s">
        <v>468</v>
      </c>
      <c r="N205" s="261"/>
      <c r="O205" s="340"/>
      <c r="P205" s="385"/>
      <c r="Q205" s="250"/>
      <c r="R205" s="515"/>
      <c r="S205" s="550"/>
      <c r="T205" s="450" t="str">
        <f t="shared" si="21"/>
        <v/>
      </c>
      <c r="U205" s="435">
        <f>(Q205/$X$190*$J$190)</f>
        <v>0</v>
      </c>
      <c r="V205" s="860"/>
      <c r="W205" s="501"/>
      <c r="X205" s="866"/>
      <c r="Y205" s="409"/>
    </row>
    <row r="206" spans="2:25" ht="14.25" customHeight="1">
      <c r="B206" s="248">
        <v>8</v>
      </c>
      <c r="C206" s="249"/>
      <c r="D206" s="261" t="s">
        <v>495</v>
      </c>
      <c r="E206" s="340"/>
      <c r="F206" s="385"/>
      <c r="G206" s="250">
        <v>600000</v>
      </c>
      <c r="H206" s="501">
        <f>H191</f>
        <v>45899</v>
      </c>
      <c r="I206" s="863"/>
      <c r="J206" s="863"/>
      <c r="K206" s="227"/>
      <c r="L206" s="248">
        <v>8</v>
      </c>
      <c r="M206" s="357" t="s">
        <v>468</v>
      </c>
      <c r="N206" s="261" t="s">
        <v>496</v>
      </c>
      <c r="O206" s="340"/>
      <c r="P206" s="385"/>
      <c r="Q206" s="250">
        <v>9531.6</v>
      </c>
      <c r="R206" s="515" t="s">
        <v>497</v>
      </c>
      <c r="S206" s="550" t="s">
        <v>498</v>
      </c>
      <c r="T206" s="608">
        <v>46081</v>
      </c>
      <c r="U206" s="715">
        <v>47805.18</v>
      </c>
      <c r="V206" s="860"/>
      <c r="W206" s="703">
        <v>46086</v>
      </c>
      <c r="X206" s="866"/>
      <c r="Y206" s="409"/>
    </row>
    <row r="207" spans="2:25" ht="14.25" customHeight="1">
      <c r="B207" s="248">
        <v>8</v>
      </c>
      <c r="C207" s="249"/>
      <c r="D207" s="261" t="s">
        <v>499</v>
      </c>
      <c r="E207" s="340"/>
      <c r="F207" s="385"/>
      <c r="G207" s="250">
        <v>600000</v>
      </c>
      <c r="H207" s="501">
        <f>H192</f>
        <v>45899</v>
      </c>
      <c r="I207" s="863"/>
      <c r="J207" s="863"/>
      <c r="K207" s="227"/>
      <c r="L207" s="248">
        <v>8</v>
      </c>
      <c r="M207" s="357" t="s">
        <v>468</v>
      </c>
      <c r="N207" s="261"/>
      <c r="O207" s="340"/>
      <c r="P207" s="385"/>
      <c r="Q207" s="250"/>
      <c r="R207" s="515"/>
      <c r="S207" s="550"/>
      <c r="T207" s="450"/>
      <c r="U207" s="435">
        <v>0</v>
      </c>
      <c r="V207" s="860"/>
      <c r="W207" s="501"/>
      <c r="X207" s="866"/>
      <c r="Y207" s="409"/>
    </row>
    <row r="208" spans="2:25" ht="14.25" customHeight="1">
      <c r="B208" s="248"/>
      <c r="C208" s="249"/>
      <c r="D208" s="261"/>
      <c r="E208" s="340"/>
      <c r="F208" s="385"/>
      <c r="G208" s="250"/>
      <c r="H208" s="501"/>
      <c r="I208" s="863"/>
      <c r="J208" s="863"/>
      <c r="K208" s="227"/>
      <c r="L208" s="248">
        <v>9</v>
      </c>
      <c r="M208" s="357" t="s">
        <v>468</v>
      </c>
      <c r="N208" s="261"/>
      <c r="O208" s="340"/>
      <c r="P208" s="385"/>
      <c r="Q208" s="250"/>
      <c r="R208" s="515"/>
      <c r="S208" s="550"/>
      <c r="T208" s="450"/>
      <c r="U208" s="435"/>
      <c r="V208" s="860"/>
      <c r="W208" s="501"/>
      <c r="X208" s="866"/>
      <c r="Y208" s="409"/>
    </row>
    <row r="209" spans="1:25" ht="14.25" customHeight="1">
      <c r="B209" s="248">
        <v>8</v>
      </c>
      <c r="C209" s="249"/>
      <c r="D209" s="261"/>
      <c r="E209" s="340"/>
      <c r="F209" s="385"/>
      <c r="G209" s="250"/>
      <c r="H209" s="501"/>
      <c r="I209" s="863"/>
      <c r="J209" s="863"/>
      <c r="K209" s="227"/>
      <c r="L209" s="248">
        <v>8</v>
      </c>
      <c r="M209" s="357" t="s">
        <v>468</v>
      </c>
      <c r="N209" s="261" t="s">
        <v>500</v>
      </c>
      <c r="O209" s="484"/>
      <c r="P209" s="385"/>
      <c r="Q209" s="250">
        <v>1376.27</v>
      </c>
      <c r="R209" s="515"/>
      <c r="S209" s="766" t="s">
        <v>501</v>
      </c>
      <c r="T209" s="714">
        <v>45961</v>
      </c>
      <c r="U209" s="715">
        <v>1352.2371916952748</v>
      </c>
      <c r="V209" s="860"/>
      <c r="W209" s="703">
        <v>45940</v>
      </c>
      <c r="X209" s="866"/>
      <c r="Y209" s="409"/>
    </row>
    <row r="210" spans="1:25" ht="14.25" customHeight="1">
      <c r="B210" s="248">
        <v>8</v>
      </c>
      <c r="C210" s="249"/>
      <c r="D210" s="261"/>
      <c r="E210" s="340"/>
      <c r="F210" s="385"/>
      <c r="G210" s="250"/>
      <c r="H210" s="504"/>
      <c r="I210" s="863"/>
      <c r="J210" s="863"/>
      <c r="K210" s="227"/>
      <c r="L210" s="248">
        <v>8</v>
      </c>
      <c r="M210" s="357" t="s">
        <v>468</v>
      </c>
      <c r="N210" s="261" t="s">
        <v>499</v>
      </c>
      <c r="O210" s="484"/>
      <c r="P210" s="385"/>
      <c r="Q210" s="250">
        <v>200000</v>
      </c>
      <c r="R210" s="519"/>
      <c r="S210" s="554" t="s">
        <v>502</v>
      </c>
      <c r="T210" s="801">
        <v>45900</v>
      </c>
      <c r="U210" s="802">
        <v>522600.12083190132</v>
      </c>
      <c r="V210" s="860"/>
      <c r="W210" s="803">
        <v>46114</v>
      </c>
      <c r="X210" s="866"/>
      <c r="Y210" s="409"/>
    </row>
    <row r="211" spans="1:25" ht="14.25" customHeight="1">
      <c r="B211" s="248"/>
      <c r="C211" s="249"/>
      <c r="D211" s="261"/>
      <c r="E211" s="340"/>
      <c r="F211" s="385"/>
      <c r="G211" s="250"/>
      <c r="H211" s="504"/>
      <c r="I211" s="863"/>
      <c r="J211" s="863"/>
      <c r="K211" s="227"/>
      <c r="L211" s="248">
        <v>8</v>
      </c>
      <c r="M211" s="357" t="s">
        <v>468</v>
      </c>
      <c r="N211" s="261" t="s">
        <v>499</v>
      </c>
      <c r="O211" s="484"/>
      <c r="P211" s="385"/>
      <c r="Q211" s="250">
        <v>200000</v>
      </c>
      <c r="R211" s="519"/>
      <c r="S211" s="554" t="s">
        <v>502</v>
      </c>
      <c r="T211" s="801">
        <v>45900</v>
      </c>
      <c r="U211" s="802">
        <v>0</v>
      </c>
      <c r="V211" s="860"/>
      <c r="W211" s="803">
        <v>46128</v>
      </c>
      <c r="X211" s="866"/>
      <c r="Y211" s="409"/>
    </row>
    <row r="212" spans="1:25" ht="15" customHeight="1">
      <c r="B212" s="248">
        <v>8</v>
      </c>
      <c r="C212" s="229"/>
      <c r="D212" s="230"/>
      <c r="E212" s="382"/>
      <c r="F212" s="379"/>
      <c r="G212" s="231"/>
      <c r="H212" s="502"/>
      <c r="I212" s="864"/>
      <c r="J212" s="864"/>
      <c r="K212" s="232"/>
      <c r="L212" s="228">
        <v>8</v>
      </c>
      <c r="M212" s="356" t="s">
        <v>468</v>
      </c>
      <c r="N212" s="230" t="s">
        <v>499</v>
      </c>
      <c r="O212" s="485"/>
      <c r="P212" s="379"/>
      <c r="Q212" s="231">
        <v>200000</v>
      </c>
      <c r="R212" s="632"/>
      <c r="S212" s="551" t="s">
        <v>502</v>
      </c>
      <c r="T212" s="648">
        <v>45900</v>
      </c>
      <c r="U212" s="655">
        <v>0</v>
      </c>
      <c r="V212" s="861"/>
      <c r="W212" s="502">
        <v>46170</v>
      </c>
      <c r="X212" s="867"/>
      <c r="Y212" s="409"/>
    </row>
    <row r="213" spans="1:25" ht="22.5" customHeight="1">
      <c r="A213" s="4"/>
      <c r="B213" s="262"/>
      <c r="C213" s="91"/>
      <c r="D213" s="91"/>
      <c r="E213" s="91"/>
      <c r="F213" s="393"/>
      <c r="G213" s="91"/>
      <c r="H213" s="466"/>
      <c r="I213" s="363"/>
      <c r="J213" s="364"/>
      <c r="K213" s="91"/>
      <c r="L213" s="262"/>
      <c r="M213" s="91"/>
      <c r="N213" s="91"/>
      <c r="O213" s="487"/>
      <c r="P213" s="393"/>
      <c r="Q213" s="91"/>
      <c r="R213" s="521"/>
      <c r="S213" s="262"/>
      <c r="T213" s="455" t="str">
        <f t="shared" si="21"/>
        <v/>
      </c>
      <c r="U213" s="422"/>
      <c r="V213" s="422"/>
      <c r="W213" s="466"/>
      <c r="X213" s="363"/>
      <c r="Y213" s="409"/>
    </row>
    <row r="214" spans="1:25" ht="15" customHeight="1" thickBot="1">
      <c r="B214" s="237">
        <v>9</v>
      </c>
      <c r="C214" s="366" t="s">
        <v>503</v>
      </c>
      <c r="D214" s="253" t="s">
        <v>504</v>
      </c>
      <c r="E214" s="240"/>
      <c r="F214" s="361">
        <f>G214/7000000</f>
        <v>0.15172285714285713</v>
      </c>
      <c r="G214" s="540">
        <f>D454</f>
        <v>1062060</v>
      </c>
      <c r="H214" s="503">
        <f>H215</f>
        <v>45834</v>
      </c>
      <c r="I214" s="853">
        <f>SUM(G214:G256)</f>
        <v>4360411.2369999997</v>
      </c>
      <c r="J214" s="841">
        <f>F454+F455</f>
        <v>5129895.5729411766</v>
      </c>
      <c r="K214" s="214"/>
      <c r="L214" s="237">
        <v>9</v>
      </c>
      <c r="M214" s="348" t="s">
        <v>505</v>
      </c>
      <c r="N214" s="571" t="s">
        <v>506</v>
      </c>
      <c r="O214" s="476"/>
      <c r="P214" s="361"/>
      <c r="Q214" s="241"/>
      <c r="R214" s="517"/>
      <c r="S214" s="552"/>
      <c r="T214" s="452"/>
      <c r="U214" s="438">
        <f>(Q214/$X$214*$J$214)</f>
        <v>0</v>
      </c>
      <c r="V214" s="829">
        <f>J214-SUM(U214:U256)</f>
        <v>2.478407695889473E-3</v>
      </c>
      <c r="W214" s="503"/>
      <c r="X214" s="856">
        <f>SUM(Q214:Q256)</f>
        <v>8055680</v>
      </c>
      <c r="Y214" s="409"/>
    </row>
    <row r="215" spans="1:25" ht="15" customHeight="1">
      <c r="B215" s="237">
        <v>9</v>
      </c>
      <c r="C215" s="366"/>
      <c r="D215" s="254" t="s">
        <v>507</v>
      </c>
      <c r="E215" s="240"/>
      <c r="F215" s="361">
        <f>G215/7000000</f>
        <v>0.47119303385714284</v>
      </c>
      <c r="G215" s="540">
        <f>D455</f>
        <v>3298351.2369999997</v>
      </c>
      <c r="H215" s="460">
        <v>45834</v>
      </c>
      <c r="I215" s="854"/>
      <c r="J215" s="842"/>
      <c r="K215" s="214"/>
      <c r="L215" s="237">
        <v>9</v>
      </c>
      <c r="M215" s="348" t="s">
        <v>505</v>
      </c>
      <c r="N215" s="254" t="s">
        <v>508</v>
      </c>
      <c r="O215" s="494">
        <f>AC22*0.6</f>
        <v>2400000</v>
      </c>
      <c r="P215" s="574">
        <v>0.17499999999999999</v>
      </c>
      <c r="Q215" s="241">
        <f>$O$215*P215</f>
        <v>420000</v>
      </c>
      <c r="R215" s="838" t="s">
        <v>372</v>
      </c>
      <c r="S215" s="545" t="s">
        <v>373</v>
      </c>
      <c r="T215" s="606">
        <v>45838</v>
      </c>
      <c r="U215" s="615">
        <v>326447.90009625664</v>
      </c>
      <c r="V215" s="830"/>
      <c r="W215" s="460">
        <v>45834</v>
      </c>
      <c r="X215" s="857"/>
      <c r="Y215" s="409"/>
    </row>
    <row r="216" spans="1:25" ht="15" customHeight="1">
      <c r="B216" s="309">
        <v>9</v>
      </c>
      <c r="C216" s="428"/>
      <c r="D216" s="311"/>
      <c r="E216" s="332"/>
      <c r="F216" s="368"/>
      <c r="G216" s="312"/>
      <c r="H216" s="461"/>
      <c r="I216" s="854"/>
      <c r="J216" s="842"/>
      <c r="K216" s="214"/>
      <c r="L216" s="309">
        <v>9</v>
      </c>
      <c r="M216" s="429" t="s">
        <v>505</v>
      </c>
      <c r="N216" s="311" t="s">
        <v>509</v>
      </c>
      <c r="O216" s="573">
        <f>O215/4000000</f>
        <v>0.6</v>
      </c>
      <c r="P216" s="575">
        <v>0.2</v>
      </c>
      <c r="Q216" s="241">
        <f t="shared" ref="Q216:Q222" si="22">$O$215*P216</f>
        <v>480000</v>
      </c>
      <c r="R216" s="839"/>
      <c r="S216" s="546" t="s">
        <v>375</v>
      </c>
      <c r="T216" s="606">
        <v>45869</v>
      </c>
      <c r="U216" s="616">
        <v>242313.05694970069</v>
      </c>
      <c r="V216" s="830"/>
      <c r="W216" s="461">
        <v>45904</v>
      </c>
      <c r="X216" s="857"/>
      <c r="Y216" s="409"/>
    </row>
    <row r="217" spans="1:25" ht="15" customHeight="1">
      <c r="B217" s="309">
        <v>9</v>
      </c>
      <c r="C217" s="428"/>
      <c r="D217" s="311"/>
      <c r="E217" s="332"/>
      <c r="F217" s="368"/>
      <c r="G217" s="312"/>
      <c r="H217" s="497"/>
      <c r="I217" s="854"/>
      <c r="J217" s="842"/>
      <c r="K217" s="214"/>
      <c r="L217" s="309">
        <v>9</v>
      </c>
      <c r="M217" s="429" t="s">
        <v>505</v>
      </c>
      <c r="N217" s="311" t="s">
        <v>510</v>
      </c>
      <c r="O217" s="477"/>
      <c r="P217" s="575">
        <v>0.2</v>
      </c>
      <c r="Q217" s="712">
        <f t="shared" si="22"/>
        <v>480000</v>
      </c>
      <c r="R217" s="839"/>
      <c r="S217" s="546" t="s">
        <v>377</v>
      </c>
      <c r="T217" s="606">
        <v>45900</v>
      </c>
      <c r="U217" s="654">
        <v>242313.04694970069</v>
      </c>
      <c r="V217" s="830"/>
      <c r="W217" s="698">
        <v>45932</v>
      </c>
      <c r="X217" s="857"/>
      <c r="Y217" s="409"/>
    </row>
    <row r="218" spans="1:25" ht="15" customHeight="1">
      <c r="B218" s="309">
        <v>9</v>
      </c>
      <c r="C218" s="428"/>
      <c r="D218" s="311"/>
      <c r="E218" s="332"/>
      <c r="F218" s="368"/>
      <c r="G218" s="312"/>
      <c r="H218" s="497"/>
      <c r="I218" s="854"/>
      <c r="J218" s="842"/>
      <c r="K218" s="214"/>
      <c r="L218" s="309">
        <v>9</v>
      </c>
      <c r="M218" s="429" t="s">
        <v>505</v>
      </c>
      <c r="N218" s="311" t="s">
        <v>511</v>
      </c>
      <c r="O218" s="477"/>
      <c r="P218" s="575">
        <v>0.1</v>
      </c>
      <c r="Q218" s="712">
        <f t="shared" si="22"/>
        <v>240000</v>
      </c>
      <c r="R218" s="839"/>
      <c r="S218" s="546" t="s">
        <v>377</v>
      </c>
      <c r="T218" s="606">
        <v>45900</v>
      </c>
      <c r="U218" s="654">
        <v>152833.14847485034</v>
      </c>
      <c r="V218" s="830"/>
      <c r="W218" s="698">
        <v>45932</v>
      </c>
      <c r="X218" s="857"/>
      <c r="Y218" s="409"/>
    </row>
    <row r="219" spans="1:25" ht="15" customHeight="1">
      <c r="B219" s="309">
        <v>9</v>
      </c>
      <c r="C219" s="428"/>
      <c r="D219" s="311"/>
      <c r="E219" s="332"/>
      <c r="F219" s="368"/>
      <c r="G219" s="312"/>
      <c r="H219" s="497"/>
      <c r="I219" s="854"/>
      <c r="J219" s="842"/>
      <c r="K219" s="214"/>
      <c r="L219" s="309">
        <v>9</v>
      </c>
      <c r="M219" s="429" t="s">
        <v>505</v>
      </c>
      <c r="N219" s="311" t="s">
        <v>512</v>
      </c>
      <c r="O219" s="477"/>
      <c r="P219" s="575">
        <v>0.2</v>
      </c>
      <c r="Q219" s="241">
        <f t="shared" si="22"/>
        <v>480000</v>
      </c>
      <c r="R219" s="839"/>
      <c r="S219" s="546" t="s">
        <v>513</v>
      </c>
      <c r="T219" s="606">
        <v>46053</v>
      </c>
      <c r="U219" s="735">
        <v>305666.29694970069</v>
      </c>
      <c r="V219" s="830"/>
      <c r="W219" s="461">
        <v>46045</v>
      </c>
      <c r="X219" s="857"/>
      <c r="Y219" s="409"/>
    </row>
    <row r="220" spans="1:25" ht="15" customHeight="1">
      <c r="B220" s="309">
        <v>9</v>
      </c>
      <c r="C220" s="428"/>
      <c r="D220" s="311"/>
      <c r="E220" s="332"/>
      <c r="F220" s="368"/>
      <c r="G220" s="312"/>
      <c r="H220" s="497"/>
      <c r="I220" s="854"/>
      <c r="J220" s="842"/>
      <c r="K220" s="214"/>
      <c r="L220" s="309">
        <v>9</v>
      </c>
      <c r="M220" s="429" t="s">
        <v>505</v>
      </c>
      <c r="N220" s="311" t="s">
        <v>514</v>
      </c>
      <c r="O220" s="477"/>
      <c r="P220" s="575">
        <v>0.05</v>
      </c>
      <c r="Q220" s="241">
        <f t="shared" si="22"/>
        <v>120000</v>
      </c>
      <c r="R220" s="839"/>
      <c r="S220" s="546" t="s">
        <v>513</v>
      </c>
      <c r="T220" s="606">
        <v>46053</v>
      </c>
      <c r="U220" s="735">
        <v>76416.574237425171</v>
      </c>
      <c r="V220" s="830"/>
      <c r="W220" s="461">
        <f>W219</f>
        <v>46045</v>
      </c>
      <c r="X220" s="857"/>
      <c r="Y220" s="409"/>
    </row>
    <row r="221" spans="1:25" ht="15" customHeight="1">
      <c r="B221" s="309">
        <v>9</v>
      </c>
      <c r="C221" s="428"/>
      <c r="D221" s="311"/>
      <c r="E221" s="332"/>
      <c r="F221" s="368"/>
      <c r="G221" s="312"/>
      <c r="H221" s="497"/>
      <c r="I221" s="854"/>
      <c r="J221" s="842"/>
      <c r="K221" s="214"/>
      <c r="L221" s="309">
        <v>9</v>
      </c>
      <c r="M221" s="429" t="s">
        <v>505</v>
      </c>
      <c r="N221" s="311" t="s">
        <v>515</v>
      </c>
      <c r="O221" s="477"/>
      <c r="P221" s="575">
        <v>0.05</v>
      </c>
      <c r="Q221" s="241">
        <f t="shared" si="22"/>
        <v>120000</v>
      </c>
      <c r="R221" s="839"/>
      <c r="S221" s="546" t="s">
        <v>513</v>
      </c>
      <c r="T221" s="606">
        <v>46053</v>
      </c>
      <c r="U221" s="735">
        <v>76416.574237425171</v>
      </c>
      <c r="V221" s="830"/>
      <c r="W221" s="461">
        <v>46093</v>
      </c>
      <c r="X221" s="857"/>
      <c r="Y221" s="409"/>
    </row>
    <row r="222" spans="1:25" ht="15" customHeight="1">
      <c r="B222" s="309">
        <v>9</v>
      </c>
      <c r="C222" s="428"/>
      <c r="D222" s="311"/>
      <c r="E222" s="332"/>
      <c r="F222" s="368"/>
      <c r="G222" s="312"/>
      <c r="H222" s="497"/>
      <c r="I222" s="854"/>
      <c r="J222" s="842"/>
      <c r="K222" s="214"/>
      <c r="L222" s="309">
        <v>9</v>
      </c>
      <c r="M222" s="429" t="s">
        <v>505</v>
      </c>
      <c r="N222" s="311" t="s">
        <v>516</v>
      </c>
      <c r="O222" s="477"/>
      <c r="P222" s="575">
        <v>2.5000000000000001E-2</v>
      </c>
      <c r="Q222" s="241">
        <f t="shared" si="22"/>
        <v>60000</v>
      </c>
      <c r="R222" s="839"/>
      <c r="S222" s="546" t="s">
        <v>513</v>
      </c>
      <c r="T222" s="606">
        <v>46053</v>
      </c>
      <c r="U222" s="735">
        <v>38208.287118712586</v>
      </c>
      <c r="V222" s="830"/>
      <c r="W222" s="461">
        <v>46142</v>
      </c>
      <c r="X222" s="857"/>
      <c r="Y222" s="409"/>
    </row>
    <row r="223" spans="1:25" ht="15" customHeight="1">
      <c r="B223" s="309">
        <v>9</v>
      </c>
      <c r="C223" s="428"/>
      <c r="D223" s="311"/>
      <c r="E223" s="332"/>
      <c r="F223" s="368"/>
      <c r="G223" s="312"/>
      <c r="H223" s="497"/>
      <c r="I223" s="854"/>
      <c r="J223" s="842"/>
      <c r="K223" s="214"/>
      <c r="L223" s="309">
        <v>9</v>
      </c>
      <c r="M223" s="429" t="s">
        <v>505</v>
      </c>
      <c r="N223" s="311"/>
      <c r="O223" s="477"/>
      <c r="P223" s="576"/>
      <c r="Q223" s="312"/>
      <c r="R223" s="839"/>
      <c r="S223" s="546"/>
      <c r="T223" s="446"/>
      <c r="U223" s="431">
        <f t="shared" ref="U223:U224" si="23">(Q223/$X$214*$J$214)</f>
        <v>0</v>
      </c>
      <c r="V223" s="830"/>
      <c r="W223" s="497"/>
      <c r="X223" s="857"/>
      <c r="Y223" s="409"/>
    </row>
    <row r="224" spans="1:25" ht="15" customHeight="1">
      <c r="B224" s="309"/>
      <c r="C224" s="428"/>
      <c r="D224" s="311"/>
      <c r="E224" s="332"/>
      <c r="F224" s="368"/>
      <c r="G224" s="312"/>
      <c r="H224" s="497"/>
      <c r="I224" s="854"/>
      <c r="J224" s="842"/>
      <c r="K224" s="214"/>
      <c r="L224" s="309">
        <v>9</v>
      </c>
      <c r="M224" s="429" t="s">
        <v>505</v>
      </c>
      <c r="N224" s="572" t="s">
        <v>517</v>
      </c>
      <c r="O224" s="477"/>
      <c r="P224" s="576"/>
      <c r="Q224" s="312"/>
      <c r="R224" s="839"/>
      <c r="S224" s="546"/>
      <c r="T224" s="446"/>
      <c r="U224" s="431">
        <f t="shared" si="23"/>
        <v>0</v>
      </c>
      <c r="V224" s="830"/>
      <c r="W224" s="497"/>
      <c r="X224" s="857"/>
      <c r="Y224" s="409"/>
    </row>
    <row r="225" spans="2:25" ht="15" customHeight="1">
      <c r="B225" s="309"/>
      <c r="C225" s="428"/>
      <c r="D225" s="311"/>
      <c r="E225" s="332"/>
      <c r="F225" s="368"/>
      <c r="G225" s="312"/>
      <c r="H225" s="461"/>
      <c r="I225" s="854"/>
      <c r="J225" s="842"/>
      <c r="K225" s="214"/>
      <c r="L225" s="309">
        <v>9</v>
      </c>
      <c r="M225" s="429" t="s">
        <v>505</v>
      </c>
      <c r="N225" s="254" t="s">
        <v>508</v>
      </c>
      <c r="O225" s="494">
        <f>AC29*0.6</f>
        <v>1500000</v>
      </c>
      <c r="P225" s="574">
        <f>P215</f>
        <v>0.17499999999999999</v>
      </c>
      <c r="Q225" s="241">
        <f>$O$225*P225</f>
        <v>262500</v>
      </c>
      <c r="R225" s="839"/>
      <c r="S225" s="546" t="s">
        <v>373</v>
      </c>
      <c r="T225" s="606">
        <v>45838</v>
      </c>
      <c r="U225" s="616">
        <v>204029.93756016044</v>
      </c>
      <c r="V225" s="830"/>
      <c r="W225" s="461">
        <f>W215</f>
        <v>45834</v>
      </c>
      <c r="X225" s="857"/>
      <c r="Y225" s="409"/>
    </row>
    <row r="226" spans="2:25" ht="15" customHeight="1">
      <c r="B226" s="309"/>
      <c r="C226" s="428"/>
      <c r="D226" s="311"/>
      <c r="E226" s="332"/>
      <c r="F226" s="368"/>
      <c r="G226" s="312"/>
      <c r="H226" s="461"/>
      <c r="I226" s="854"/>
      <c r="J226" s="842"/>
      <c r="K226" s="214"/>
      <c r="L226" s="309">
        <v>9</v>
      </c>
      <c r="M226" s="429" t="s">
        <v>505</v>
      </c>
      <c r="N226" s="311" t="s">
        <v>509</v>
      </c>
      <c r="O226" s="573">
        <f>O225/3000000</f>
        <v>0.5</v>
      </c>
      <c r="P226" s="574">
        <f t="shared" ref="P226:P228" si="24">P216</f>
        <v>0.2</v>
      </c>
      <c r="Q226" s="241">
        <f t="shared" ref="Q226:Q234" si="25">$O$225*P226</f>
        <v>300000</v>
      </c>
      <c r="R226" s="839"/>
      <c r="S226" s="546" t="s">
        <v>375</v>
      </c>
      <c r="T226" s="606">
        <v>45869</v>
      </c>
      <c r="U226" s="616">
        <v>191041.43559356293</v>
      </c>
      <c r="V226" s="830"/>
      <c r="W226" s="461">
        <f>W216</f>
        <v>45904</v>
      </c>
      <c r="X226" s="857"/>
      <c r="Y226" s="409"/>
    </row>
    <row r="227" spans="2:25" ht="15" customHeight="1">
      <c r="B227" s="309"/>
      <c r="C227" s="428"/>
      <c r="D227" s="311"/>
      <c r="E227" s="332"/>
      <c r="F227" s="368"/>
      <c r="G227" s="312"/>
      <c r="H227" s="497"/>
      <c r="I227" s="854"/>
      <c r="J227" s="842"/>
      <c r="K227" s="214"/>
      <c r="L227" s="309">
        <v>9</v>
      </c>
      <c r="M227" s="429" t="s">
        <v>505</v>
      </c>
      <c r="N227" s="311" t="s">
        <v>510</v>
      </c>
      <c r="O227" s="477"/>
      <c r="P227" s="574">
        <f t="shared" si="24"/>
        <v>0.2</v>
      </c>
      <c r="Q227" s="656">
        <f t="shared" si="25"/>
        <v>300000</v>
      </c>
      <c r="R227" s="839"/>
      <c r="S227" s="546" t="s">
        <v>377</v>
      </c>
      <c r="T227" s="606">
        <v>45900</v>
      </c>
      <c r="U227" s="654">
        <v>191041.43559356293</v>
      </c>
      <c r="V227" s="830"/>
      <c r="W227" s="461">
        <v>46360</v>
      </c>
      <c r="X227" s="857"/>
      <c r="Y227" s="409"/>
    </row>
    <row r="228" spans="2:25" ht="15" customHeight="1">
      <c r="B228" s="309"/>
      <c r="C228" s="428"/>
      <c r="D228" s="311"/>
      <c r="E228" s="332"/>
      <c r="F228" s="368"/>
      <c r="G228" s="312"/>
      <c r="H228" s="497"/>
      <c r="I228" s="854"/>
      <c r="J228" s="842"/>
      <c r="K228" s="214"/>
      <c r="L228" s="309">
        <v>9</v>
      </c>
      <c r="M228" s="429" t="s">
        <v>505</v>
      </c>
      <c r="N228" s="311" t="s">
        <v>511</v>
      </c>
      <c r="O228" s="477"/>
      <c r="P228" s="574">
        <f t="shared" si="24"/>
        <v>0.1</v>
      </c>
      <c r="Q228" s="656">
        <f t="shared" si="25"/>
        <v>150000</v>
      </c>
      <c r="R228" s="839"/>
      <c r="S228" s="546" t="s">
        <v>377</v>
      </c>
      <c r="T228" s="606">
        <v>45900</v>
      </c>
      <c r="U228" s="654">
        <v>95520.717796781464</v>
      </c>
      <c r="V228" s="830"/>
      <c r="W228" s="710">
        <v>46079</v>
      </c>
      <c r="X228" s="857"/>
      <c r="Y228" s="409"/>
    </row>
    <row r="229" spans="2:25" ht="15" customHeight="1">
      <c r="B229" s="309"/>
      <c r="C229" s="428"/>
      <c r="D229" s="311"/>
      <c r="E229" s="332"/>
      <c r="F229" s="368"/>
      <c r="G229" s="312"/>
      <c r="H229" s="497"/>
      <c r="I229" s="854"/>
      <c r="J229" s="842"/>
      <c r="K229" s="214"/>
      <c r="L229" s="309">
        <v>9</v>
      </c>
      <c r="M229" s="429" t="s">
        <v>505</v>
      </c>
      <c r="N229" s="311" t="s">
        <v>518</v>
      </c>
      <c r="O229" s="477"/>
      <c r="P229" s="574">
        <v>0.15</v>
      </c>
      <c r="Q229" s="656">
        <f t="shared" si="25"/>
        <v>225000</v>
      </c>
      <c r="R229" s="839"/>
      <c r="S229" s="546" t="s">
        <v>377</v>
      </c>
      <c r="T229" s="606">
        <v>45900</v>
      </c>
      <c r="U229" s="654">
        <v>191041.43559356293</v>
      </c>
      <c r="V229" s="830"/>
      <c r="W229" s="461">
        <v>46009</v>
      </c>
      <c r="X229" s="857"/>
      <c r="Y229" s="409"/>
    </row>
    <row r="230" spans="2:25" ht="15" customHeight="1">
      <c r="B230" s="309"/>
      <c r="C230" s="428"/>
      <c r="D230" s="311"/>
      <c r="E230" s="332"/>
      <c r="F230" s="368"/>
      <c r="G230" s="312"/>
      <c r="H230" s="497"/>
      <c r="I230" s="854"/>
      <c r="J230" s="842"/>
      <c r="K230" s="214"/>
      <c r="L230" s="309"/>
      <c r="M230" s="429" t="s">
        <v>505</v>
      </c>
      <c r="N230" s="311" t="s">
        <v>519</v>
      </c>
      <c r="O230" s="477"/>
      <c r="P230" s="574">
        <v>0.05</v>
      </c>
      <c r="Q230" s="656">
        <f>O225*P230</f>
        <v>75000</v>
      </c>
      <c r="R230" s="839"/>
      <c r="S230" s="546" t="s">
        <v>377</v>
      </c>
      <c r="T230" s="606">
        <v>45900</v>
      </c>
      <c r="U230" s="654" t="s">
        <v>47</v>
      </c>
      <c r="V230" s="830"/>
      <c r="W230" s="461">
        <v>46015</v>
      </c>
      <c r="X230" s="857"/>
      <c r="Y230" s="409"/>
    </row>
    <row r="231" spans="2:25" ht="15" customHeight="1">
      <c r="B231" s="309"/>
      <c r="C231" s="428"/>
      <c r="D231" s="311"/>
      <c r="E231" s="332"/>
      <c r="F231" s="368"/>
      <c r="G231" s="312"/>
      <c r="H231" s="497"/>
      <c r="I231" s="854"/>
      <c r="J231" s="842"/>
      <c r="K231" s="214"/>
      <c r="L231" s="309">
        <v>9</v>
      </c>
      <c r="M231" s="429" t="s">
        <v>505</v>
      </c>
      <c r="N231" s="311" t="s">
        <v>520</v>
      </c>
      <c r="O231" s="477"/>
      <c r="P231" s="748">
        <v>3.7499999999999999E-2</v>
      </c>
      <c r="Q231" s="656">
        <f t="shared" si="25"/>
        <v>56250</v>
      </c>
      <c r="R231" s="839"/>
      <c r="S231" s="546" t="s">
        <v>377</v>
      </c>
      <c r="T231" s="606">
        <v>45900</v>
      </c>
      <c r="U231" s="654">
        <v>47760.358898390732</v>
      </c>
      <c r="V231" s="830"/>
      <c r="W231" s="461">
        <v>46009</v>
      </c>
      <c r="X231" s="857"/>
      <c r="Y231" s="409"/>
    </row>
    <row r="232" spans="2:25" ht="15" customHeight="1">
      <c r="B232" s="309"/>
      <c r="C232" s="428"/>
      <c r="D232" s="311"/>
      <c r="E232" s="332"/>
      <c r="F232" s="368"/>
      <c r="G232" s="312"/>
      <c r="H232" s="497"/>
      <c r="I232" s="854"/>
      <c r="J232" s="842"/>
      <c r="K232" s="214"/>
      <c r="L232" s="309"/>
      <c r="M232" s="429" t="s">
        <v>505</v>
      </c>
      <c r="N232" s="311" t="s">
        <v>521</v>
      </c>
      <c r="O232" s="477"/>
      <c r="P232" s="748">
        <v>1.2500000000000001E-2</v>
      </c>
      <c r="Q232" s="656">
        <f>O225*P232</f>
        <v>18750</v>
      </c>
      <c r="R232" s="839"/>
      <c r="S232" s="546" t="s">
        <v>377</v>
      </c>
      <c r="T232" s="606">
        <v>45900</v>
      </c>
      <c r="U232" s="654">
        <v>0</v>
      </c>
      <c r="V232" s="830"/>
      <c r="W232" s="710">
        <v>46015</v>
      </c>
      <c r="X232" s="857"/>
      <c r="Y232" s="409"/>
    </row>
    <row r="233" spans="2:25" ht="15" customHeight="1">
      <c r="B233" s="309"/>
      <c r="C233" s="428"/>
      <c r="D233" s="311"/>
      <c r="E233" s="332"/>
      <c r="F233" s="368"/>
      <c r="G233" s="312"/>
      <c r="H233" s="497"/>
      <c r="I233" s="854"/>
      <c r="J233" s="842"/>
      <c r="K233" s="214"/>
      <c r="L233" s="309">
        <v>9</v>
      </c>
      <c r="M233" s="429" t="s">
        <v>505</v>
      </c>
      <c r="N233" s="311" t="s">
        <v>515</v>
      </c>
      <c r="O233" s="477"/>
      <c r="P233" s="574">
        <f>P221</f>
        <v>0.05</v>
      </c>
      <c r="Q233" s="241">
        <f t="shared" si="25"/>
        <v>75000</v>
      </c>
      <c r="R233" s="839"/>
      <c r="S233" s="546" t="s">
        <v>513</v>
      </c>
      <c r="T233" s="606">
        <v>46053</v>
      </c>
      <c r="U233" s="735">
        <v>47760.358898390732</v>
      </c>
      <c r="V233" s="830"/>
      <c r="W233" s="461">
        <v>46111</v>
      </c>
      <c r="X233" s="857"/>
      <c r="Y233" s="409"/>
    </row>
    <row r="234" spans="2:25" ht="15" customHeight="1">
      <c r="B234" s="309"/>
      <c r="C234" s="428"/>
      <c r="D234" s="311"/>
      <c r="E234" s="332"/>
      <c r="F234" s="368"/>
      <c r="G234" s="312"/>
      <c r="H234" s="497"/>
      <c r="I234" s="854"/>
      <c r="J234" s="842"/>
      <c r="K234" s="214"/>
      <c r="L234" s="309">
        <v>9</v>
      </c>
      <c r="M234" s="429" t="s">
        <v>505</v>
      </c>
      <c r="N234" s="311" t="s">
        <v>516</v>
      </c>
      <c r="O234" s="477"/>
      <c r="P234" s="574">
        <f>P222</f>
        <v>2.5000000000000001E-2</v>
      </c>
      <c r="Q234" s="241">
        <f t="shared" si="25"/>
        <v>37500</v>
      </c>
      <c r="R234" s="839"/>
      <c r="S234" s="546" t="s">
        <v>513</v>
      </c>
      <c r="T234" s="606">
        <v>46053</v>
      </c>
      <c r="U234" s="735">
        <v>23880.179449195366</v>
      </c>
      <c r="V234" s="830"/>
      <c r="W234" s="461">
        <v>46142</v>
      </c>
      <c r="X234" s="857"/>
      <c r="Y234" s="409"/>
    </row>
    <row r="235" spans="2:25" ht="15" customHeight="1">
      <c r="B235" s="309"/>
      <c r="C235" s="428"/>
      <c r="D235" s="311"/>
      <c r="E235" s="332"/>
      <c r="F235" s="368"/>
      <c r="G235" s="312"/>
      <c r="H235" s="497"/>
      <c r="I235" s="854"/>
      <c r="J235" s="842"/>
      <c r="K235" s="214"/>
      <c r="L235" s="309">
        <v>9</v>
      </c>
      <c r="M235" s="429" t="s">
        <v>505</v>
      </c>
      <c r="N235" s="311"/>
      <c r="O235" s="477"/>
      <c r="P235" s="493"/>
      <c r="Q235" s="312"/>
      <c r="R235" s="839"/>
      <c r="S235" s="546"/>
      <c r="T235" s="446"/>
      <c r="U235" s="431"/>
      <c r="V235" s="830"/>
      <c r="W235" s="497"/>
      <c r="X235" s="857"/>
      <c r="Y235" s="409"/>
    </row>
    <row r="236" spans="2:25" ht="15" customHeight="1">
      <c r="B236" s="309"/>
      <c r="C236" s="428"/>
      <c r="D236" s="311"/>
      <c r="E236" s="332"/>
      <c r="F236" s="368"/>
      <c r="G236" s="312"/>
      <c r="H236" s="497"/>
      <c r="I236" s="854"/>
      <c r="J236" s="842"/>
      <c r="K236" s="214"/>
      <c r="L236" s="309">
        <v>9</v>
      </c>
      <c r="M236" s="429" t="s">
        <v>505</v>
      </c>
      <c r="N236" s="572" t="s">
        <v>522</v>
      </c>
      <c r="O236" s="573"/>
      <c r="P236" s="493"/>
      <c r="Q236" s="312"/>
      <c r="R236" s="839"/>
      <c r="S236" s="546"/>
      <c r="T236" s="446"/>
      <c r="U236" s="431"/>
      <c r="V236" s="830"/>
      <c r="W236" s="497"/>
      <c r="X236" s="857"/>
      <c r="Y236" s="409"/>
    </row>
    <row r="237" spans="2:25" ht="15" customHeight="1">
      <c r="B237" s="309"/>
      <c r="C237" s="428"/>
      <c r="D237" s="311"/>
      <c r="E237" s="332"/>
      <c r="F237" s="368"/>
      <c r="G237" s="312"/>
      <c r="H237" s="461"/>
      <c r="I237" s="854"/>
      <c r="J237" s="842"/>
      <c r="K237" s="214"/>
      <c r="L237" s="309">
        <v>9</v>
      </c>
      <c r="M237" s="429" t="s">
        <v>505</v>
      </c>
      <c r="N237" s="254" t="s">
        <v>508</v>
      </c>
      <c r="O237" s="573">
        <f>AC22*0.3+AC29*0.3</f>
        <v>1950000</v>
      </c>
      <c r="P237" s="575">
        <v>0.17499999999999999</v>
      </c>
      <c r="Q237" s="241">
        <f>$O$237*P237</f>
        <v>341250</v>
      </c>
      <c r="R237" s="839"/>
      <c r="S237" s="546" t="s">
        <v>373</v>
      </c>
      <c r="T237" s="606">
        <v>45838</v>
      </c>
      <c r="U237" s="616">
        <v>265238.91882820858</v>
      </c>
      <c r="V237" s="830"/>
      <c r="W237" s="461">
        <f>W225</f>
        <v>45834</v>
      </c>
      <c r="X237" s="857"/>
      <c r="Y237" s="409"/>
    </row>
    <row r="238" spans="2:25" ht="15" customHeight="1">
      <c r="B238" s="309"/>
      <c r="C238" s="428"/>
      <c r="D238" s="311"/>
      <c r="E238" s="332"/>
      <c r="F238" s="368"/>
      <c r="G238" s="312"/>
      <c r="H238" s="461"/>
      <c r="I238" s="854"/>
      <c r="J238" s="842"/>
      <c r="K238" s="214"/>
      <c r="L238" s="309">
        <v>9</v>
      </c>
      <c r="M238" s="429" t="s">
        <v>505</v>
      </c>
      <c r="N238" s="311" t="s">
        <v>509</v>
      </c>
      <c r="O238" s="573">
        <f>O237/7000000</f>
        <v>0.27857142857142858</v>
      </c>
      <c r="P238" s="575">
        <v>0.2</v>
      </c>
      <c r="Q238" s="241">
        <f t="shared" ref="Q238:Q245" si="26">$O$237*P238</f>
        <v>390000</v>
      </c>
      <c r="R238" s="839"/>
      <c r="S238" s="546" t="s">
        <v>375</v>
      </c>
      <c r="T238" s="606">
        <v>45869</v>
      </c>
      <c r="U238" s="616">
        <v>248353.86627163179</v>
      </c>
      <c r="V238" s="830"/>
      <c r="W238" s="461">
        <f>W226</f>
        <v>45904</v>
      </c>
      <c r="X238" s="857"/>
      <c r="Y238" s="409"/>
    </row>
    <row r="239" spans="2:25" ht="15" customHeight="1">
      <c r="B239" s="309"/>
      <c r="C239" s="428"/>
      <c r="D239" s="311"/>
      <c r="E239" s="332"/>
      <c r="F239" s="368"/>
      <c r="G239" s="312"/>
      <c r="H239" s="497"/>
      <c r="I239" s="854"/>
      <c r="J239" s="842"/>
      <c r="K239" s="214"/>
      <c r="L239" s="309">
        <v>9</v>
      </c>
      <c r="M239" s="429" t="s">
        <v>505</v>
      </c>
      <c r="N239" s="311" t="s">
        <v>523</v>
      </c>
      <c r="O239" s="477"/>
      <c r="P239" s="575">
        <v>0.2</v>
      </c>
      <c r="Q239" s="656">
        <f t="shared" si="26"/>
        <v>390000</v>
      </c>
      <c r="R239" s="839"/>
      <c r="S239" s="546" t="s">
        <v>377</v>
      </c>
      <c r="T239" s="606">
        <v>45900</v>
      </c>
      <c r="U239" s="654">
        <v>248353.86627163179</v>
      </c>
      <c r="V239" s="830"/>
      <c r="W239" s="710">
        <v>45995</v>
      </c>
      <c r="X239" s="857"/>
      <c r="Y239" s="409"/>
    </row>
    <row r="240" spans="2:25" ht="15" customHeight="1">
      <c r="B240" s="309"/>
      <c r="C240" s="428"/>
      <c r="D240" s="311"/>
      <c r="E240" s="332"/>
      <c r="F240" s="368"/>
      <c r="G240" s="312"/>
      <c r="H240" s="497"/>
      <c r="I240" s="854"/>
      <c r="J240" s="842"/>
      <c r="K240" s="214"/>
      <c r="L240" s="309">
        <v>9</v>
      </c>
      <c r="M240" s="429" t="s">
        <v>505</v>
      </c>
      <c r="N240" s="311" t="s">
        <v>524</v>
      </c>
      <c r="O240" s="477"/>
      <c r="P240" s="575">
        <v>0.1</v>
      </c>
      <c r="Q240" s="656">
        <f t="shared" si="26"/>
        <v>195000</v>
      </c>
      <c r="R240" s="839"/>
      <c r="S240" s="546" t="s">
        <v>377</v>
      </c>
      <c r="T240" s="606">
        <v>45900</v>
      </c>
      <c r="U240" s="654">
        <v>124176.9331358159</v>
      </c>
      <c r="V240" s="830"/>
      <c r="W240" s="461">
        <v>46009</v>
      </c>
      <c r="X240" s="857"/>
      <c r="Y240" s="409"/>
    </row>
    <row r="241" spans="2:25">
      <c r="B241" s="309"/>
      <c r="C241" s="428"/>
      <c r="D241" s="311"/>
      <c r="E241" s="332"/>
      <c r="F241" s="368"/>
      <c r="G241" s="312"/>
      <c r="H241" s="497"/>
      <c r="I241" s="854"/>
      <c r="J241" s="842"/>
      <c r="K241" s="214"/>
      <c r="L241" s="309">
        <v>9</v>
      </c>
      <c r="M241" s="429" t="s">
        <v>505</v>
      </c>
      <c r="N241" s="311" t="s">
        <v>525</v>
      </c>
      <c r="O241" s="477"/>
      <c r="P241" s="575">
        <v>0.1</v>
      </c>
      <c r="Q241" s="656">
        <f t="shared" si="26"/>
        <v>195000</v>
      </c>
      <c r="R241" s="839"/>
      <c r="S241" s="546" t="s">
        <v>377</v>
      </c>
      <c r="T241" s="606">
        <v>45900</v>
      </c>
      <c r="U241" s="654">
        <v>248353.86627163179</v>
      </c>
      <c r="V241" s="830"/>
      <c r="W241" s="710">
        <v>46015</v>
      </c>
      <c r="X241" s="857"/>
      <c r="Y241" s="409"/>
    </row>
    <row r="242" spans="2:25">
      <c r="B242" s="309"/>
      <c r="C242" s="428"/>
      <c r="D242" s="311"/>
      <c r="E242" s="332"/>
      <c r="F242" s="368"/>
      <c r="G242" s="312"/>
      <c r="H242" s="497"/>
      <c r="I242" s="854"/>
      <c r="J242" s="842"/>
      <c r="K242" s="214"/>
      <c r="L242" s="309">
        <v>9</v>
      </c>
      <c r="M242" s="429" t="s">
        <v>505</v>
      </c>
      <c r="N242" s="311" t="s">
        <v>525</v>
      </c>
      <c r="O242" s="477"/>
      <c r="P242" s="575">
        <v>0.1</v>
      </c>
      <c r="Q242" s="656">
        <f t="shared" si="26"/>
        <v>195000</v>
      </c>
      <c r="R242" s="839"/>
      <c r="S242" s="546" t="s">
        <v>377</v>
      </c>
      <c r="T242" s="606">
        <v>45900</v>
      </c>
      <c r="U242" s="654"/>
      <c r="V242" s="830"/>
      <c r="W242" s="461">
        <v>46051</v>
      </c>
      <c r="X242" s="857"/>
      <c r="Y242" s="409"/>
    </row>
    <row r="243" spans="2:25" ht="15" customHeight="1">
      <c r="B243" s="309"/>
      <c r="C243" s="428"/>
      <c r="D243" s="311"/>
      <c r="E243" s="332"/>
      <c r="F243" s="368"/>
      <c r="G243" s="312"/>
      <c r="H243" s="497"/>
      <c r="I243" s="854"/>
      <c r="J243" s="842"/>
      <c r="K243" s="214"/>
      <c r="L243" s="309">
        <v>9</v>
      </c>
      <c r="M243" s="429" t="s">
        <v>505</v>
      </c>
      <c r="N243" s="311" t="s">
        <v>526</v>
      </c>
      <c r="O243" s="477"/>
      <c r="P243" s="575">
        <v>0.05</v>
      </c>
      <c r="Q243" s="656">
        <f t="shared" si="26"/>
        <v>97500</v>
      </c>
      <c r="R243" s="839"/>
      <c r="S243" s="546" t="s">
        <v>377</v>
      </c>
      <c r="T243" s="606">
        <v>45900</v>
      </c>
      <c r="U243" s="654">
        <v>62088.466567907948</v>
      </c>
      <c r="V243" s="830"/>
      <c r="W243" s="461">
        <v>46052</v>
      </c>
      <c r="X243" s="857"/>
      <c r="Y243" s="409"/>
    </row>
    <row r="244" spans="2:25" ht="15" customHeight="1">
      <c r="B244" s="309"/>
      <c r="C244" s="428"/>
      <c r="D244" s="311"/>
      <c r="E244" s="332"/>
      <c r="F244" s="368"/>
      <c r="G244" s="312"/>
      <c r="H244" s="497"/>
      <c r="I244" s="854"/>
      <c r="J244" s="842"/>
      <c r="K244" s="214"/>
      <c r="L244" s="309">
        <v>9</v>
      </c>
      <c r="M244" s="429" t="s">
        <v>505</v>
      </c>
      <c r="N244" s="311" t="s">
        <v>515</v>
      </c>
      <c r="O244" s="477"/>
      <c r="P244" s="575">
        <v>0.05</v>
      </c>
      <c r="Q244" s="241">
        <f t="shared" si="26"/>
        <v>97500</v>
      </c>
      <c r="R244" s="839"/>
      <c r="S244" s="546" t="s">
        <v>513</v>
      </c>
      <c r="T244" s="606">
        <v>46053</v>
      </c>
      <c r="U244" s="735">
        <v>62088.466567907948</v>
      </c>
      <c r="V244" s="830"/>
      <c r="W244" s="461">
        <v>46111</v>
      </c>
      <c r="X244" s="857"/>
      <c r="Y244" s="409"/>
    </row>
    <row r="245" spans="2:25" ht="15" customHeight="1">
      <c r="B245" s="309"/>
      <c r="C245" s="428"/>
      <c r="D245" s="311"/>
      <c r="E245" s="332"/>
      <c r="F245" s="368"/>
      <c r="G245" s="312"/>
      <c r="H245" s="497"/>
      <c r="I245" s="854"/>
      <c r="J245" s="842"/>
      <c r="K245" s="214"/>
      <c r="L245" s="309">
        <v>9</v>
      </c>
      <c r="M245" s="429" t="s">
        <v>505</v>
      </c>
      <c r="N245" s="311" t="s">
        <v>516</v>
      </c>
      <c r="O245" s="477"/>
      <c r="P245" s="575">
        <v>2.5000000000000001E-2</v>
      </c>
      <c r="Q245" s="241">
        <f t="shared" si="26"/>
        <v>48750</v>
      </c>
      <c r="R245" s="840"/>
      <c r="S245" s="546" t="s">
        <v>513</v>
      </c>
      <c r="T245" s="606">
        <v>46053</v>
      </c>
      <c r="U245" s="735">
        <v>31044.233283953974</v>
      </c>
      <c r="V245" s="830"/>
      <c r="W245" s="461">
        <v>46142</v>
      </c>
      <c r="X245" s="857"/>
      <c r="Y245" s="409"/>
    </row>
    <row r="246" spans="2:25" ht="15" customHeight="1">
      <c r="B246" s="309"/>
      <c r="C246" s="428"/>
      <c r="D246" s="311"/>
      <c r="E246" s="332"/>
      <c r="F246" s="368"/>
      <c r="G246" s="312"/>
      <c r="H246" s="497"/>
      <c r="I246" s="854"/>
      <c r="J246" s="842"/>
      <c r="K246" s="214"/>
      <c r="L246" s="309">
        <v>9</v>
      </c>
      <c r="M246" s="429" t="s">
        <v>505</v>
      </c>
      <c r="N246" s="311"/>
      <c r="O246" s="477"/>
      <c r="P246" s="368"/>
      <c r="Q246" s="312"/>
      <c r="R246" s="511"/>
      <c r="S246" s="546"/>
      <c r="T246" s="446"/>
      <c r="U246" s="431">
        <f>(Q246/$X$214*$J$214)</f>
        <v>0</v>
      </c>
      <c r="V246" s="830"/>
      <c r="W246" s="497"/>
      <c r="X246" s="857"/>
      <c r="Y246" s="409"/>
    </row>
    <row r="247" spans="2:25" ht="15" customHeight="1">
      <c r="B247" s="309"/>
      <c r="C247" s="428"/>
      <c r="D247" s="311"/>
      <c r="E247" s="332"/>
      <c r="F247" s="368"/>
      <c r="G247" s="312"/>
      <c r="H247" s="497"/>
      <c r="I247" s="854"/>
      <c r="J247" s="842"/>
      <c r="K247" s="214"/>
      <c r="L247" s="309">
        <v>9</v>
      </c>
      <c r="M247" s="429" t="s">
        <v>505</v>
      </c>
      <c r="N247" s="572" t="s">
        <v>527</v>
      </c>
      <c r="O247" s="477"/>
      <c r="P247" s="368"/>
      <c r="Q247" s="312"/>
      <c r="R247" s="511"/>
      <c r="S247" s="546"/>
      <c r="T247" s="446"/>
      <c r="U247" s="431">
        <f>(Q247/$X$214*$J$214)</f>
        <v>0</v>
      </c>
      <c r="V247" s="830"/>
      <c r="W247" s="497"/>
      <c r="X247" s="857"/>
      <c r="Y247" s="409"/>
    </row>
    <row r="248" spans="2:25" ht="15" customHeight="1">
      <c r="B248" s="309"/>
      <c r="C248" s="428"/>
      <c r="D248" s="311"/>
      <c r="E248" s="332"/>
      <c r="F248" s="368"/>
      <c r="G248" s="312"/>
      <c r="H248" s="497"/>
      <c r="I248" s="854"/>
      <c r="J248" s="842"/>
      <c r="K248" s="214"/>
      <c r="L248" s="309">
        <v>9</v>
      </c>
      <c r="M248" s="429" t="s">
        <v>505</v>
      </c>
      <c r="N248" s="311" t="s">
        <v>508</v>
      </c>
      <c r="O248" s="607">
        <v>2205680</v>
      </c>
      <c r="P248" s="493">
        <v>0.25</v>
      </c>
      <c r="Q248" s="312">
        <f>$O$248*P248</f>
        <v>551420</v>
      </c>
      <c r="R248" s="838" t="s">
        <v>528</v>
      </c>
      <c r="S248" s="546" t="s">
        <v>529</v>
      </c>
      <c r="T248" s="606">
        <v>45869</v>
      </c>
      <c r="U248" s="616">
        <v>351146.89471667493</v>
      </c>
      <c r="V248" s="830"/>
      <c r="W248" s="698">
        <v>45932</v>
      </c>
      <c r="X248" s="857"/>
      <c r="Y248" s="409"/>
    </row>
    <row r="249" spans="2:25" ht="15" customHeight="1">
      <c r="B249" s="309"/>
      <c r="C249" s="428"/>
      <c r="D249" s="311"/>
      <c r="E249" s="332"/>
      <c r="F249" s="368"/>
      <c r="G249" s="312"/>
      <c r="H249" s="497"/>
      <c r="I249" s="854"/>
      <c r="J249" s="842"/>
      <c r="K249" s="214"/>
      <c r="L249" s="309">
        <v>9</v>
      </c>
      <c r="M249" s="429" t="s">
        <v>505</v>
      </c>
      <c r="N249" s="311" t="s">
        <v>509</v>
      </c>
      <c r="O249" s="754">
        <f>O248/'Project Plan'!E3/100</f>
        <v>3.1153672316384182</v>
      </c>
      <c r="P249" s="493">
        <v>0.25</v>
      </c>
      <c r="Q249" s="312">
        <f t="shared" ref="Q249:Q253" si="27">$O$248*P249</f>
        <v>551420</v>
      </c>
      <c r="R249" s="839"/>
      <c r="S249" s="546" t="s">
        <v>529</v>
      </c>
      <c r="T249" s="606">
        <v>45869</v>
      </c>
      <c r="U249" s="616">
        <v>351146.89471667493</v>
      </c>
      <c r="V249" s="830"/>
      <c r="W249" s="698">
        <v>45932</v>
      </c>
      <c r="X249" s="857"/>
      <c r="Y249" s="409"/>
    </row>
    <row r="250" spans="2:25" ht="15" customHeight="1">
      <c r="B250" s="309"/>
      <c r="C250" s="428"/>
      <c r="D250" s="311"/>
      <c r="E250" s="332"/>
      <c r="F250" s="368"/>
      <c r="G250" s="312"/>
      <c r="H250" s="497"/>
      <c r="I250" s="854"/>
      <c r="J250" s="842"/>
      <c r="K250" s="214"/>
      <c r="L250" s="309">
        <v>9</v>
      </c>
      <c r="M250" s="429" t="s">
        <v>505</v>
      </c>
      <c r="N250" s="311" t="s">
        <v>530</v>
      </c>
      <c r="O250" s="477"/>
      <c r="P250" s="493">
        <v>0.2</v>
      </c>
      <c r="Q250" s="312">
        <f t="shared" si="27"/>
        <v>441136</v>
      </c>
      <c r="R250" s="839"/>
      <c r="S250" s="546" t="s">
        <v>529</v>
      </c>
      <c r="T250" s="606">
        <v>45900</v>
      </c>
      <c r="U250" s="654">
        <v>561835.03154667979</v>
      </c>
      <c r="V250" s="830"/>
      <c r="W250" s="461">
        <v>46009</v>
      </c>
      <c r="X250" s="857"/>
      <c r="Y250" s="409"/>
    </row>
    <row r="251" spans="2:25" ht="15" customHeight="1">
      <c r="B251" s="309"/>
      <c r="C251" s="428"/>
      <c r="D251" s="311"/>
      <c r="E251" s="332"/>
      <c r="F251" s="368"/>
      <c r="G251" s="312"/>
      <c r="H251" s="497"/>
      <c r="I251" s="854"/>
      <c r="J251" s="842"/>
      <c r="K251" s="214"/>
      <c r="L251" s="309">
        <v>9</v>
      </c>
      <c r="M251" s="429" t="s">
        <v>505</v>
      </c>
      <c r="N251" s="311"/>
      <c r="O251" s="477"/>
      <c r="P251" s="493">
        <v>0.1</v>
      </c>
      <c r="Q251" s="312">
        <f t="shared" si="27"/>
        <v>220568</v>
      </c>
      <c r="R251" s="839"/>
      <c r="S251" s="546" t="s">
        <v>529</v>
      </c>
      <c r="T251" s="606">
        <v>45900</v>
      </c>
      <c r="U251" s="654"/>
      <c r="V251" s="830"/>
      <c r="W251" s="461">
        <v>46015</v>
      </c>
      <c r="X251" s="857"/>
      <c r="Y251" s="409"/>
    </row>
    <row r="252" spans="2:25" ht="15" customHeight="1">
      <c r="B252" s="309"/>
      <c r="C252" s="428"/>
      <c r="D252" s="311"/>
      <c r="E252" s="332"/>
      <c r="F252" s="368"/>
      <c r="G252" s="312"/>
      <c r="H252" s="497"/>
      <c r="I252" s="854"/>
      <c r="J252" s="842"/>
      <c r="K252" s="214"/>
      <c r="L252" s="309">
        <v>9</v>
      </c>
      <c r="M252" s="429" t="s">
        <v>505</v>
      </c>
      <c r="N252" s="311"/>
      <c r="O252" s="477"/>
      <c r="P252" s="493">
        <v>0.1</v>
      </c>
      <c r="Q252" s="312">
        <f t="shared" si="27"/>
        <v>220568</v>
      </c>
      <c r="R252" s="839"/>
      <c r="S252" s="546" t="s">
        <v>529</v>
      </c>
      <c r="T252" s="606">
        <v>45900</v>
      </c>
      <c r="U252" s="654"/>
      <c r="V252" s="830"/>
      <c r="W252" s="461">
        <v>46022</v>
      </c>
      <c r="X252" s="857"/>
      <c r="Y252" s="409"/>
    </row>
    <row r="253" spans="2:25" ht="15" customHeight="1">
      <c r="B253" s="309"/>
      <c r="C253" s="428"/>
      <c r="D253" s="311"/>
      <c r="E253" s="332"/>
      <c r="F253" s="368"/>
      <c r="G253" s="312"/>
      <c r="H253" s="497"/>
      <c r="I253" s="854"/>
      <c r="J253" s="842"/>
      <c r="K253" s="214"/>
      <c r="L253" s="309">
        <v>9</v>
      </c>
      <c r="M253" s="429" t="s">
        <v>505</v>
      </c>
      <c r="N253" s="311" t="s">
        <v>516</v>
      </c>
      <c r="O253" s="477"/>
      <c r="P253" s="493">
        <v>0.1</v>
      </c>
      <c r="Q253" s="312">
        <f t="shared" si="27"/>
        <v>220568</v>
      </c>
      <c r="R253" s="840"/>
      <c r="S253" s="546" t="s">
        <v>529</v>
      </c>
      <c r="T253" s="606">
        <v>45900</v>
      </c>
      <c r="U253" s="654">
        <v>123377.38788666995</v>
      </c>
      <c r="V253" s="830"/>
      <c r="W253" s="461">
        <v>46029</v>
      </c>
      <c r="X253" s="857"/>
      <c r="Y253" s="409"/>
    </row>
    <row r="254" spans="2:25" ht="15" customHeight="1">
      <c r="B254" s="309"/>
      <c r="C254" s="428"/>
      <c r="D254" s="311"/>
      <c r="E254" s="332"/>
      <c r="F254" s="368"/>
      <c r="G254" s="312"/>
      <c r="H254" s="497"/>
      <c r="I254" s="854"/>
      <c r="J254" s="842"/>
      <c r="K254" s="214"/>
      <c r="L254" s="309">
        <v>9</v>
      </c>
      <c r="M254" s="429" t="s">
        <v>505</v>
      </c>
      <c r="N254" s="311"/>
      <c r="O254" s="477"/>
      <c r="P254" s="368"/>
      <c r="Q254" s="312"/>
      <c r="R254" s="511"/>
      <c r="S254" s="546"/>
      <c r="T254" s="446"/>
      <c r="U254" s="431">
        <f>(Q254/$X$214*$J$214)</f>
        <v>0</v>
      </c>
      <c r="V254" s="830"/>
      <c r="W254" s="497"/>
      <c r="X254" s="857"/>
      <c r="Y254" s="409"/>
    </row>
    <row r="255" spans="2:25" ht="15" customHeight="1">
      <c r="B255" s="309">
        <v>9</v>
      </c>
      <c r="C255" s="428"/>
      <c r="D255" s="311"/>
      <c r="E255" s="332"/>
      <c r="F255" s="368"/>
      <c r="G255" s="312"/>
      <c r="H255" s="497"/>
      <c r="I255" s="854"/>
      <c r="J255" s="842"/>
      <c r="K255" s="214"/>
      <c r="L255" s="309">
        <v>9</v>
      </c>
      <c r="M255" s="429" t="s">
        <v>505</v>
      </c>
      <c r="N255" s="311"/>
      <c r="O255" s="721"/>
      <c r="P255" s="368"/>
      <c r="Q255" s="312"/>
      <c r="R255" s="511"/>
      <c r="S255" s="546"/>
      <c r="T255" s="446" t="str">
        <f t="shared" si="21"/>
        <v/>
      </c>
      <c r="U255" s="431">
        <f>(Q255/$X$214*$J$214)</f>
        <v>0</v>
      </c>
      <c r="V255" s="830"/>
      <c r="W255" s="497"/>
      <c r="X255" s="857"/>
      <c r="Y255" s="409"/>
    </row>
    <row r="256" spans="2:25" ht="15" customHeight="1" thickBot="1">
      <c r="B256" s="242">
        <v>9</v>
      </c>
      <c r="C256" s="362"/>
      <c r="D256" s="255"/>
      <c r="E256" s="244"/>
      <c r="F256" s="384"/>
      <c r="G256" s="256"/>
      <c r="H256" s="498"/>
      <c r="I256" s="855"/>
      <c r="J256" s="843"/>
      <c r="K256" s="215"/>
      <c r="L256" s="242">
        <v>9</v>
      </c>
      <c r="M256" s="365" t="s">
        <v>505</v>
      </c>
      <c r="N256" s="255"/>
      <c r="O256" s="478"/>
      <c r="P256" s="384"/>
      <c r="Q256" s="256"/>
      <c r="R256" s="512"/>
      <c r="S256" s="547"/>
      <c r="T256" s="447" t="str">
        <f t="shared" si="21"/>
        <v/>
      </c>
      <c r="U256" s="432">
        <f>(Q256/$X$214*$J$214)</f>
        <v>0</v>
      </c>
      <c r="V256" s="831"/>
      <c r="W256" s="498"/>
      <c r="X256" s="858"/>
      <c r="Y256" s="409"/>
    </row>
    <row r="257" spans="1:25" ht="13.9" thickBot="1">
      <c r="A257" s="4"/>
      <c r="B257" s="216"/>
      <c r="C257" s="233"/>
      <c r="D257" s="234"/>
      <c r="E257" s="217"/>
      <c r="F257" s="380"/>
      <c r="G257" s="218"/>
      <c r="H257" s="499"/>
      <c r="I257" s="206"/>
      <c r="J257" s="328"/>
      <c r="K257" s="4"/>
      <c r="L257" s="216"/>
      <c r="M257" s="233"/>
      <c r="N257" s="234"/>
      <c r="O257" s="479"/>
      <c r="P257" s="380"/>
      <c r="Q257" s="218"/>
      <c r="R257" s="513"/>
      <c r="S257" s="548"/>
      <c r="T257" s="448" t="str">
        <f t="shared" si="21"/>
        <v/>
      </c>
      <c r="U257" s="437"/>
      <c r="V257" s="420"/>
      <c r="W257" s="499"/>
      <c r="X257" s="276"/>
      <c r="Y257" s="409"/>
    </row>
    <row r="258" spans="1:25" ht="14.25" customHeight="1">
      <c r="B258" s="195">
        <v>10</v>
      </c>
      <c r="C258" s="196" t="s">
        <v>531</v>
      </c>
      <c r="D258" s="196" t="s">
        <v>303</v>
      </c>
      <c r="E258" s="197"/>
      <c r="F258" s="394"/>
      <c r="G258" s="264">
        <f>D458</f>
        <v>85000</v>
      </c>
      <c r="H258" s="506">
        <f>H259</f>
        <v>45925</v>
      </c>
      <c r="I258" s="844">
        <f>SUM(G258:G322)</f>
        <v>394304.23333333328</v>
      </c>
      <c r="J258" s="844">
        <f>F458+F461+F462+F460</f>
        <v>463887.33333333331</v>
      </c>
      <c r="K258" s="265"/>
      <c r="L258" s="195">
        <v>10</v>
      </c>
      <c r="M258" s="358" t="s">
        <v>532</v>
      </c>
      <c r="N258" s="196"/>
      <c r="O258" s="488"/>
      <c r="P258" s="394"/>
      <c r="Q258" s="264"/>
      <c r="R258" s="522"/>
      <c r="S258" s="557"/>
      <c r="T258" s="456" t="str">
        <f t="shared" si="21"/>
        <v/>
      </c>
      <c r="U258" s="795">
        <f>(Q258/$X$258*$J$258)</f>
        <v>0</v>
      </c>
      <c r="V258" s="850">
        <f>J258-SUM(U258:U322)</f>
        <v>5.9088593116030097E-4</v>
      </c>
      <c r="W258" s="506"/>
      <c r="X258" s="847">
        <f>SUM(Q258:Q322)</f>
        <v>989880.47000000009</v>
      </c>
      <c r="Y258" s="409"/>
    </row>
    <row r="259" spans="1:25" ht="14.25" customHeight="1">
      <c r="B259" s="266">
        <v>10</v>
      </c>
      <c r="C259" s="267"/>
      <c r="D259" s="267" t="s">
        <v>306</v>
      </c>
      <c r="E259" s="268"/>
      <c r="F259" s="395"/>
      <c r="G259" s="269">
        <f>D462</f>
        <v>133245.9</v>
      </c>
      <c r="H259" s="468">
        <v>45925</v>
      </c>
      <c r="I259" s="845"/>
      <c r="J259" s="845"/>
      <c r="K259" s="198"/>
      <c r="L259" s="266">
        <v>10</v>
      </c>
      <c r="M259" s="359" t="s">
        <v>532</v>
      </c>
      <c r="N259" s="267" t="s">
        <v>533</v>
      </c>
      <c r="O259" s="679">
        <v>82020</v>
      </c>
      <c r="P259" s="678">
        <v>0.5</v>
      </c>
      <c r="Q259" s="269">
        <f>O259*P259</f>
        <v>41010</v>
      </c>
      <c r="R259" s="523" t="s">
        <v>534</v>
      </c>
      <c r="S259" s="558" t="s">
        <v>535</v>
      </c>
      <c r="T259" s="647">
        <v>45900</v>
      </c>
      <c r="U259" s="756">
        <v>0</v>
      </c>
      <c r="V259" s="851"/>
      <c r="W259" s="468">
        <v>45925</v>
      </c>
      <c r="X259" s="848"/>
      <c r="Y259" s="409"/>
    </row>
    <row r="260" spans="1:25" ht="14.25" customHeight="1">
      <c r="B260" s="266">
        <v>10</v>
      </c>
      <c r="C260" s="267"/>
      <c r="D260" s="267" t="s">
        <v>536</v>
      </c>
      <c r="E260" s="268"/>
      <c r="F260" s="395"/>
      <c r="G260" s="269">
        <f>D461</f>
        <v>0</v>
      </c>
      <c r="H260" s="507"/>
      <c r="I260" s="845"/>
      <c r="J260" s="845"/>
      <c r="K260" s="198"/>
      <c r="L260" s="266">
        <v>10</v>
      </c>
      <c r="M260" s="359" t="s">
        <v>532</v>
      </c>
      <c r="N260" s="267"/>
      <c r="O260" s="489"/>
      <c r="P260" s="395"/>
      <c r="Q260" s="269">
        <f>O259*P259</f>
        <v>41010</v>
      </c>
      <c r="R260" s="523"/>
      <c r="S260" s="558" t="s">
        <v>535</v>
      </c>
      <c r="T260" s="612">
        <v>45900</v>
      </c>
      <c r="U260" s="756">
        <v>0</v>
      </c>
      <c r="V260" s="851"/>
      <c r="W260" s="468">
        <v>45967</v>
      </c>
      <c r="X260" s="848"/>
      <c r="Y260" s="409"/>
    </row>
    <row r="261" spans="1:25" ht="14.25" customHeight="1">
      <c r="B261" s="266"/>
      <c r="C261" s="267"/>
      <c r="D261" s="267"/>
      <c r="E261" s="268"/>
      <c r="F261" s="395"/>
      <c r="G261" s="269"/>
      <c r="H261" s="507"/>
      <c r="I261" s="845"/>
      <c r="J261" s="845"/>
      <c r="K261" s="198"/>
      <c r="L261" s="266">
        <v>10</v>
      </c>
      <c r="M261" s="359" t="s">
        <v>532</v>
      </c>
      <c r="N261" s="267"/>
      <c r="O261" s="489"/>
      <c r="P261" s="395"/>
      <c r="Q261" s="269">
        <v>41010</v>
      </c>
      <c r="R261" s="523"/>
      <c r="S261" s="558" t="s">
        <v>537</v>
      </c>
      <c r="T261" s="612">
        <v>45991</v>
      </c>
      <c r="U261" s="756">
        <v>0</v>
      </c>
      <c r="V261" s="851"/>
      <c r="W261" s="468">
        <v>46037</v>
      </c>
      <c r="X261" s="848"/>
      <c r="Y261" s="409"/>
    </row>
    <row r="262" spans="1:25" ht="14.25" customHeight="1">
      <c r="B262" s="266"/>
      <c r="C262" s="267"/>
      <c r="D262" s="267"/>
      <c r="E262" s="268"/>
      <c r="F262" s="395"/>
      <c r="G262" s="269"/>
      <c r="H262" s="507"/>
      <c r="I262" s="845"/>
      <c r="J262" s="845"/>
      <c r="K262" s="198"/>
      <c r="L262" s="266">
        <v>10</v>
      </c>
      <c r="M262" s="359" t="s">
        <v>532</v>
      </c>
      <c r="N262" s="267"/>
      <c r="O262" s="489"/>
      <c r="P262" s="395"/>
      <c r="Q262" s="269">
        <v>41010</v>
      </c>
      <c r="R262" s="523"/>
      <c r="S262" s="558" t="s">
        <v>538</v>
      </c>
      <c r="T262" s="612">
        <v>46022</v>
      </c>
      <c r="U262" s="756">
        <v>0</v>
      </c>
      <c r="V262" s="851"/>
      <c r="W262" s="750">
        <v>46031</v>
      </c>
      <c r="X262" s="848"/>
      <c r="Y262" s="409"/>
    </row>
    <row r="263" spans="1:25" ht="14.25" customHeight="1">
      <c r="B263" s="266">
        <v>10</v>
      </c>
      <c r="C263" s="267"/>
      <c r="D263" s="267" t="s">
        <v>308</v>
      </c>
      <c r="E263" s="268"/>
      <c r="F263" s="395"/>
      <c r="G263" s="269">
        <f>D460</f>
        <v>176058.33333333331</v>
      </c>
      <c r="H263" s="507">
        <f>H259</f>
        <v>45925</v>
      </c>
      <c r="I263" s="845"/>
      <c r="J263" s="845"/>
      <c r="K263" s="198"/>
      <c r="L263" s="266">
        <v>10</v>
      </c>
      <c r="M263" s="359" t="s">
        <v>532</v>
      </c>
      <c r="N263" s="267" t="s">
        <v>539</v>
      </c>
      <c r="O263" s="489"/>
      <c r="P263" s="395"/>
      <c r="Q263" s="269">
        <f>41010+460</f>
        <v>41470</v>
      </c>
      <c r="R263" s="523"/>
      <c r="S263" s="558" t="s">
        <v>540</v>
      </c>
      <c r="T263" s="612">
        <v>46022</v>
      </c>
      <c r="U263" s="756">
        <v>790.55</v>
      </c>
      <c r="V263" s="851"/>
      <c r="W263" s="468">
        <v>46053</v>
      </c>
      <c r="X263" s="848"/>
      <c r="Y263" s="409"/>
    </row>
    <row r="264" spans="1:25" ht="14.25" customHeight="1">
      <c r="B264" s="266"/>
      <c r="C264" s="267"/>
      <c r="D264" s="267"/>
      <c r="E264" s="268"/>
      <c r="F264" s="395"/>
      <c r="G264" s="269"/>
      <c r="H264" s="508"/>
      <c r="I264" s="845"/>
      <c r="J264" s="845"/>
      <c r="K264" s="198"/>
      <c r="L264" s="266">
        <v>10</v>
      </c>
      <c r="M264" s="359" t="s">
        <v>532</v>
      </c>
      <c r="N264" s="267" t="s">
        <v>541</v>
      </c>
      <c r="O264" s="489"/>
      <c r="P264" s="395"/>
      <c r="Q264" s="269">
        <v>460</v>
      </c>
      <c r="R264" s="524"/>
      <c r="S264" s="558" t="s">
        <v>542</v>
      </c>
      <c r="T264" s="612">
        <v>46022</v>
      </c>
      <c r="U264" s="694">
        <v>0</v>
      </c>
      <c r="V264" s="851"/>
      <c r="W264" s="691">
        <v>46031</v>
      </c>
      <c r="X264" s="848"/>
      <c r="Y264" s="409"/>
    </row>
    <row r="265" spans="1:25" ht="14.25" customHeight="1">
      <c r="B265" s="266"/>
      <c r="C265" s="267"/>
      <c r="D265" s="267"/>
      <c r="E265" s="268"/>
      <c r="F265" s="395"/>
      <c r="G265" s="269"/>
      <c r="H265" s="508"/>
      <c r="I265" s="845"/>
      <c r="J265" s="845"/>
      <c r="K265" s="198"/>
      <c r="L265" s="266">
        <v>10</v>
      </c>
      <c r="M265" s="359" t="s">
        <v>532</v>
      </c>
      <c r="N265" s="267" t="s">
        <v>543</v>
      </c>
      <c r="O265" s="489"/>
      <c r="P265" s="395"/>
      <c r="Q265" s="269">
        <v>41470</v>
      </c>
      <c r="R265" s="524"/>
      <c r="S265" s="559" t="s">
        <v>544</v>
      </c>
      <c r="T265" s="612">
        <v>46081</v>
      </c>
      <c r="U265" s="694">
        <v>0</v>
      </c>
      <c r="V265" s="851"/>
      <c r="W265" s="469">
        <v>46111</v>
      </c>
      <c r="X265" s="848"/>
      <c r="Y265" s="409"/>
    </row>
    <row r="266" spans="1:25" ht="14.25" customHeight="1">
      <c r="B266" s="266"/>
      <c r="C266" s="267"/>
      <c r="D266" s="267"/>
      <c r="E266" s="268"/>
      <c r="F266" s="395"/>
      <c r="G266" s="269"/>
      <c r="H266" s="508"/>
      <c r="I266" s="845"/>
      <c r="J266" s="845"/>
      <c r="K266" s="198"/>
      <c r="L266" s="266">
        <v>10</v>
      </c>
      <c r="M266" s="359" t="s">
        <v>532</v>
      </c>
      <c r="N266" s="267"/>
      <c r="O266" s="489"/>
      <c r="P266" s="395"/>
      <c r="Q266" s="269">
        <v>7855.19</v>
      </c>
      <c r="R266" s="524"/>
      <c r="S266" s="559" t="s">
        <v>545</v>
      </c>
      <c r="T266" s="612">
        <v>46112</v>
      </c>
      <c r="U266" s="443"/>
      <c r="V266" s="851"/>
      <c r="W266" s="508">
        <v>46163</v>
      </c>
      <c r="X266" s="848"/>
      <c r="Y266" s="409"/>
    </row>
    <row r="267" spans="1:25" ht="14.25" customHeight="1">
      <c r="B267" s="266"/>
      <c r="C267" s="267"/>
      <c r="D267" s="267"/>
      <c r="E267" s="268"/>
      <c r="F267" s="395"/>
      <c r="G267" s="269"/>
      <c r="H267" s="508"/>
      <c r="I267" s="845"/>
      <c r="J267" s="845"/>
      <c r="K267" s="198"/>
      <c r="L267" s="266">
        <v>10</v>
      </c>
      <c r="M267" s="359" t="s">
        <v>532</v>
      </c>
      <c r="N267" s="267"/>
      <c r="O267" s="489"/>
      <c r="P267" s="395"/>
      <c r="Q267" s="269"/>
      <c r="R267" s="524"/>
      <c r="S267" s="559"/>
      <c r="T267" s="612"/>
      <c r="U267" s="443"/>
      <c r="V267" s="851"/>
      <c r="W267" s="508"/>
      <c r="X267" s="848"/>
      <c r="Y267" s="409"/>
    </row>
    <row r="268" spans="1:25" ht="14.25" customHeight="1">
      <c r="B268" s="266"/>
      <c r="C268" s="267"/>
      <c r="D268" s="267"/>
      <c r="E268" s="268"/>
      <c r="F268" s="395"/>
      <c r="G268" s="269"/>
      <c r="H268" s="508"/>
      <c r="I268" s="845"/>
      <c r="J268" s="845"/>
      <c r="K268" s="198"/>
      <c r="L268" s="266">
        <v>10</v>
      </c>
      <c r="M268" s="359" t="s">
        <v>532</v>
      </c>
      <c r="N268" s="267"/>
      <c r="O268" s="489"/>
      <c r="P268" s="395"/>
      <c r="Q268" s="269"/>
      <c r="R268" s="524"/>
      <c r="S268" s="755"/>
      <c r="T268" s="612"/>
      <c r="U268" s="443"/>
      <c r="V268" s="851"/>
      <c r="W268" s="691"/>
      <c r="X268" s="848"/>
      <c r="Y268" s="409"/>
    </row>
    <row r="269" spans="1:25" ht="14.25" customHeight="1">
      <c r="B269" s="266">
        <v>10</v>
      </c>
      <c r="C269" s="267"/>
      <c r="D269" s="267"/>
      <c r="E269" s="268"/>
      <c r="F269" s="395"/>
      <c r="G269" s="269"/>
      <c r="H269" s="469"/>
      <c r="I269" s="845"/>
      <c r="J269" s="845"/>
      <c r="K269" s="198"/>
      <c r="L269" s="266">
        <v>10</v>
      </c>
      <c r="M269" s="359" t="s">
        <v>532</v>
      </c>
      <c r="N269" s="267" t="s">
        <v>371</v>
      </c>
      <c r="O269" s="605">
        <f>AC22*0.1</f>
        <v>400000</v>
      </c>
      <c r="P269" s="495">
        <v>0.5</v>
      </c>
      <c r="Q269" s="269">
        <f>$O$269*P269</f>
        <v>200000</v>
      </c>
      <c r="R269" s="832" t="s">
        <v>372</v>
      </c>
      <c r="S269" s="559" t="s">
        <v>373</v>
      </c>
      <c r="T269" s="612">
        <v>45838</v>
      </c>
      <c r="U269" s="619">
        <v>130552.96794014869</v>
      </c>
      <c r="V269" s="851"/>
      <c r="W269" s="469">
        <v>45834</v>
      </c>
      <c r="X269" s="848"/>
      <c r="Y269" s="409"/>
    </row>
    <row r="270" spans="1:25" ht="14.25" customHeight="1">
      <c r="B270" s="266">
        <v>10</v>
      </c>
      <c r="C270" s="267"/>
      <c r="D270" s="267"/>
      <c r="E270" s="268"/>
      <c r="F270" s="395"/>
      <c r="G270" s="269"/>
      <c r="H270" s="469"/>
      <c r="I270" s="845"/>
      <c r="J270" s="845"/>
      <c r="K270" s="198"/>
      <c r="L270" s="266">
        <v>10</v>
      </c>
      <c r="M270" s="359" t="s">
        <v>532</v>
      </c>
      <c r="N270" s="267" t="s">
        <v>546</v>
      </c>
      <c r="O270" s="489"/>
      <c r="P270" s="495">
        <v>0.4</v>
      </c>
      <c r="Q270" s="269">
        <f>$O$269*P270</f>
        <v>160000</v>
      </c>
      <c r="R270" s="833"/>
      <c r="S270" s="559" t="s">
        <v>375</v>
      </c>
      <c r="T270" s="612">
        <v>45869</v>
      </c>
      <c r="U270" s="619">
        <v>105639.01698453363</v>
      </c>
      <c r="V270" s="851"/>
      <c r="W270" s="469">
        <v>45904</v>
      </c>
      <c r="X270" s="848"/>
      <c r="Y270" s="409"/>
    </row>
    <row r="271" spans="1:25" ht="14.25" customHeight="1">
      <c r="B271" s="266">
        <v>10</v>
      </c>
      <c r="C271" s="267"/>
      <c r="D271" s="267"/>
      <c r="E271" s="268"/>
      <c r="F271" s="395"/>
      <c r="G271" s="269"/>
      <c r="H271" s="508"/>
      <c r="I271" s="845"/>
      <c r="J271" s="845"/>
      <c r="K271" s="198"/>
      <c r="L271" s="266">
        <v>10</v>
      </c>
      <c r="M271" s="359" t="s">
        <v>532</v>
      </c>
      <c r="N271" s="267" t="s">
        <v>547</v>
      </c>
      <c r="O271" s="489"/>
      <c r="P271" s="495">
        <v>0.1</v>
      </c>
      <c r="Q271" s="713">
        <f>$O$269*P271</f>
        <v>40000</v>
      </c>
      <c r="R271" s="833"/>
      <c r="S271" s="559" t="s">
        <v>377</v>
      </c>
      <c r="T271" s="612">
        <v>45900</v>
      </c>
      <c r="U271" s="657">
        <v>16629.772302381578</v>
      </c>
      <c r="V271" s="851"/>
      <c r="W271" s="469">
        <f>W222</f>
        <v>46142</v>
      </c>
      <c r="X271" s="848"/>
      <c r="Y271" s="409"/>
    </row>
    <row r="272" spans="1:25" ht="14.25" customHeight="1">
      <c r="B272" s="266">
        <v>10</v>
      </c>
      <c r="C272" s="267"/>
      <c r="D272" s="267"/>
      <c r="E272" s="268"/>
      <c r="F272" s="395"/>
      <c r="G272" s="269"/>
      <c r="H272" s="508"/>
      <c r="I272" s="845"/>
      <c r="J272" s="845"/>
      <c r="K272" s="198"/>
      <c r="L272" s="266">
        <v>10</v>
      </c>
      <c r="M272" s="359" t="s">
        <v>532</v>
      </c>
      <c r="N272" s="267"/>
      <c r="O272" s="489"/>
      <c r="P272" s="495"/>
      <c r="Q272" s="269"/>
      <c r="R272" s="833"/>
      <c r="S272" s="559"/>
      <c r="T272" s="457"/>
      <c r="U272" s="443">
        <f>(Q272/$X$258*$J$258)</f>
        <v>0</v>
      </c>
      <c r="V272" s="851"/>
      <c r="W272" s="508"/>
      <c r="X272" s="848"/>
      <c r="Y272" s="409"/>
    </row>
    <row r="273" spans="2:25" ht="14.25" customHeight="1">
      <c r="B273" s="266">
        <v>10</v>
      </c>
      <c r="C273" s="267"/>
      <c r="D273" s="267"/>
      <c r="E273" s="268"/>
      <c r="F273" s="395"/>
      <c r="G273" s="269"/>
      <c r="H273" s="508"/>
      <c r="I273" s="845"/>
      <c r="J273" s="845"/>
      <c r="K273" s="198"/>
      <c r="L273" s="266">
        <v>10</v>
      </c>
      <c r="M273" s="359" t="s">
        <v>532</v>
      </c>
      <c r="N273" s="267"/>
      <c r="O273" s="489"/>
      <c r="P273" s="495"/>
      <c r="Q273" s="269"/>
      <c r="R273" s="833"/>
      <c r="S273" s="559"/>
      <c r="T273" s="457" t="str">
        <f t="shared" si="21"/>
        <v/>
      </c>
      <c r="U273" s="443">
        <f>(Q273/$X$258*$J$258)</f>
        <v>0</v>
      </c>
      <c r="V273" s="851"/>
      <c r="W273" s="508"/>
      <c r="X273" s="848"/>
      <c r="Y273" s="409"/>
    </row>
    <row r="274" spans="2:25" ht="14.25" customHeight="1">
      <c r="B274" s="266"/>
      <c r="C274" s="267"/>
      <c r="D274" s="267"/>
      <c r="E274" s="268"/>
      <c r="F274" s="395"/>
      <c r="G274" s="269"/>
      <c r="H274" s="508"/>
      <c r="I274" s="845"/>
      <c r="J274" s="845"/>
      <c r="K274" s="198"/>
      <c r="L274" s="266">
        <v>10</v>
      </c>
      <c r="M274" s="359" t="s">
        <v>532</v>
      </c>
      <c r="N274" s="267"/>
      <c r="O274" s="489"/>
      <c r="P274" s="495"/>
      <c r="Q274" s="269"/>
      <c r="R274" s="833"/>
      <c r="S274" s="559"/>
      <c r="T274" s="457"/>
      <c r="U274" s="443">
        <f>(Q274/$X$258*$J$258)</f>
        <v>0</v>
      </c>
      <c r="V274" s="851"/>
      <c r="W274" s="508"/>
      <c r="X274" s="848"/>
      <c r="Y274" s="409"/>
    </row>
    <row r="275" spans="2:25" ht="14.25" customHeight="1">
      <c r="B275" s="266"/>
      <c r="C275" s="267"/>
      <c r="D275" s="267"/>
      <c r="E275" s="268"/>
      <c r="F275" s="395"/>
      <c r="G275" s="269"/>
      <c r="H275" s="469"/>
      <c r="I275" s="845"/>
      <c r="J275" s="845"/>
      <c r="K275" s="198"/>
      <c r="L275" s="266">
        <v>10</v>
      </c>
      <c r="M275" s="359" t="s">
        <v>532</v>
      </c>
      <c r="N275" s="267" t="s">
        <v>378</v>
      </c>
      <c r="O275" s="605">
        <f>AC29*0.1</f>
        <v>250000</v>
      </c>
      <c r="P275" s="495">
        <v>0.5</v>
      </c>
      <c r="Q275" s="269">
        <f>$O$275*P275</f>
        <v>125000</v>
      </c>
      <c r="R275" s="833"/>
      <c r="S275" s="559" t="s">
        <v>373</v>
      </c>
      <c r="T275" s="612">
        <v>45838</v>
      </c>
      <c r="U275" s="619">
        <v>81595.60496259293</v>
      </c>
      <c r="V275" s="851"/>
      <c r="W275" s="469">
        <v>45834</v>
      </c>
      <c r="X275" s="848"/>
      <c r="Y275" s="409"/>
    </row>
    <row r="276" spans="2:25" ht="14.25" customHeight="1">
      <c r="B276" s="266"/>
      <c r="C276" s="267"/>
      <c r="D276" s="267"/>
      <c r="E276" s="268"/>
      <c r="F276" s="395"/>
      <c r="G276" s="269"/>
      <c r="H276" s="469"/>
      <c r="I276" s="845"/>
      <c r="J276" s="845"/>
      <c r="K276" s="198"/>
      <c r="L276" s="266">
        <v>10</v>
      </c>
      <c r="M276" s="359" t="s">
        <v>532</v>
      </c>
      <c r="N276" s="267" t="s">
        <v>548</v>
      </c>
      <c r="O276" s="489"/>
      <c r="P276" s="495">
        <v>0.4</v>
      </c>
      <c r="Q276" s="269">
        <f t="shared" ref="Q276:Q277" si="28">$O$275*P276</f>
        <v>100000</v>
      </c>
      <c r="R276" s="833"/>
      <c r="S276" s="559" t="s">
        <v>375</v>
      </c>
      <c r="T276" s="612">
        <v>45869</v>
      </c>
      <c r="U276" s="619">
        <v>68657.965615333524</v>
      </c>
      <c r="V276" s="851"/>
      <c r="W276" s="469">
        <f>W270</f>
        <v>45904</v>
      </c>
      <c r="X276" s="848"/>
      <c r="Y276" s="409"/>
    </row>
    <row r="277" spans="2:25" ht="14.25" customHeight="1">
      <c r="B277" s="266"/>
      <c r="C277" s="267"/>
      <c r="D277" s="267"/>
      <c r="E277" s="268"/>
      <c r="F277" s="395"/>
      <c r="G277" s="269"/>
      <c r="H277" s="457"/>
      <c r="I277" s="845"/>
      <c r="J277" s="845"/>
      <c r="K277" s="198"/>
      <c r="L277" s="266">
        <v>10</v>
      </c>
      <c r="M277" s="359" t="s">
        <v>532</v>
      </c>
      <c r="N277" s="267" t="s">
        <v>549</v>
      </c>
      <c r="O277" s="489"/>
      <c r="P277" s="495">
        <v>0.1</v>
      </c>
      <c r="Q277" s="269">
        <f t="shared" si="28"/>
        <v>25000</v>
      </c>
      <c r="R277" s="834"/>
      <c r="S277" s="559" t="s">
        <v>377</v>
      </c>
      <c r="T277" s="612">
        <v>45900</v>
      </c>
      <c r="U277" s="657">
        <v>22162.210188988483</v>
      </c>
      <c r="V277" s="851"/>
      <c r="W277" s="612">
        <f>W222</f>
        <v>46142</v>
      </c>
      <c r="X277" s="848"/>
      <c r="Y277" s="409"/>
    </row>
    <row r="278" spans="2:25" ht="14.25" customHeight="1">
      <c r="B278" s="266"/>
      <c r="C278" s="267"/>
      <c r="D278" s="267"/>
      <c r="E278" s="268"/>
      <c r="F278" s="395"/>
      <c r="G278" s="269"/>
      <c r="H278" s="508"/>
      <c r="I278" s="845"/>
      <c r="J278" s="845"/>
      <c r="K278" s="198"/>
      <c r="L278" s="266">
        <v>10</v>
      </c>
      <c r="M278" s="359" t="s">
        <v>532</v>
      </c>
      <c r="N278" s="267"/>
      <c r="O278" s="489"/>
      <c r="P278" s="495"/>
      <c r="Q278" s="269"/>
      <c r="R278" s="524"/>
      <c r="S278" s="559"/>
      <c r="T278" s="457"/>
      <c r="U278" s="443">
        <f>(Q278/$X$258*$J$258)</f>
        <v>0</v>
      </c>
      <c r="V278" s="851"/>
      <c r="W278" s="508"/>
      <c r="X278" s="848"/>
      <c r="Y278" s="409"/>
    </row>
    <row r="279" spans="2:25" ht="14.25" customHeight="1">
      <c r="B279" s="266">
        <v>10</v>
      </c>
      <c r="C279" s="267"/>
      <c r="D279" s="267"/>
      <c r="E279" s="268"/>
      <c r="F279" s="395"/>
      <c r="G279" s="269"/>
      <c r="H279" s="469"/>
      <c r="I279" s="845"/>
      <c r="J279" s="845"/>
      <c r="K279" s="198"/>
      <c r="L279" s="266">
        <v>10</v>
      </c>
      <c r="M279" s="359" t="s">
        <v>532</v>
      </c>
      <c r="N279" s="267" t="s">
        <v>550</v>
      </c>
      <c r="O279" s="489"/>
      <c r="P279" s="495"/>
      <c r="Q279" s="269">
        <v>10400</v>
      </c>
      <c r="R279" s="524"/>
      <c r="S279" s="559" t="s">
        <v>551</v>
      </c>
      <c r="T279" s="612">
        <v>45838</v>
      </c>
      <c r="U279" s="619">
        <v>6788.7543328877318</v>
      </c>
      <c r="V279" s="851"/>
      <c r="W279" s="469">
        <v>45835</v>
      </c>
      <c r="X279" s="848"/>
      <c r="Y279" s="409"/>
    </row>
    <row r="280" spans="2:25" ht="14.25" customHeight="1">
      <c r="B280" s="266">
        <v>10</v>
      </c>
      <c r="C280" s="267"/>
      <c r="D280" s="267"/>
      <c r="E280" s="268"/>
      <c r="F280" s="395"/>
      <c r="G280" s="269"/>
      <c r="H280" s="469"/>
      <c r="I280" s="845"/>
      <c r="J280" s="845"/>
      <c r="K280" s="198"/>
      <c r="L280" s="266">
        <v>10</v>
      </c>
      <c r="M280" s="359" t="s">
        <v>532</v>
      </c>
      <c r="N280" s="267" t="s">
        <v>552</v>
      </c>
      <c r="O280" s="489"/>
      <c r="P280" s="495"/>
      <c r="Q280" s="269">
        <v>10400</v>
      </c>
      <c r="R280" s="524"/>
      <c r="S280" s="559" t="s">
        <v>553</v>
      </c>
      <c r="T280" s="612">
        <v>45869</v>
      </c>
      <c r="U280" s="619">
        <v>6743.2861039946856</v>
      </c>
      <c r="V280" s="851"/>
      <c r="W280" s="469">
        <v>45845</v>
      </c>
      <c r="X280" s="848"/>
      <c r="Y280" s="409"/>
    </row>
    <row r="281" spans="2:25" ht="14.25" customHeight="1">
      <c r="B281" s="266">
        <v>10</v>
      </c>
      <c r="C281" s="267"/>
      <c r="D281" s="267"/>
      <c r="E281" s="268"/>
      <c r="F281" s="395"/>
      <c r="G281" s="269"/>
      <c r="H281" s="508"/>
      <c r="I281" s="845"/>
      <c r="J281" s="845"/>
      <c r="K281" s="198"/>
      <c r="L281" s="266">
        <v>10</v>
      </c>
      <c r="M281" s="359" t="s">
        <v>532</v>
      </c>
      <c r="N281" s="267" t="s">
        <v>554</v>
      </c>
      <c r="O281" s="489"/>
      <c r="P281" s="495"/>
      <c r="Q281" s="269">
        <v>1550</v>
      </c>
      <c r="R281" s="524"/>
      <c r="S281" s="559" t="s">
        <v>555</v>
      </c>
      <c r="T281" s="612">
        <v>45869</v>
      </c>
      <c r="U281" s="619">
        <v>1023.3779770376696</v>
      </c>
      <c r="V281" s="851"/>
      <c r="W281" s="691">
        <v>45901</v>
      </c>
      <c r="X281" s="848"/>
      <c r="Y281" s="409"/>
    </row>
    <row r="282" spans="2:25" ht="14.25" customHeight="1">
      <c r="B282" s="266"/>
      <c r="C282" s="267"/>
      <c r="D282" s="267"/>
      <c r="E282" s="268"/>
      <c r="F282" s="395"/>
      <c r="G282" s="269"/>
      <c r="H282" s="469"/>
      <c r="I282" s="845"/>
      <c r="J282" s="845"/>
      <c r="K282" s="198"/>
      <c r="L282" s="266">
        <v>10</v>
      </c>
      <c r="M282" s="359" t="s">
        <v>532</v>
      </c>
      <c r="N282" s="267" t="s">
        <v>554</v>
      </c>
      <c r="O282" s="489"/>
      <c r="P282" s="495"/>
      <c r="Q282" s="269">
        <v>11850</v>
      </c>
      <c r="R282" s="524"/>
      <c r="S282" s="559" t="s">
        <v>556</v>
      </c>
      <c r="T282" s="612">
        <v>45900</v>
      </c>
      <c r="U282" s="657">
        <v>6908.749169580542</v>
      </c>
      <c r="V282" s="851"/>
      <c r="W282" s="469">
        <v>45890</v>
      </c>
      <c r="X282" s="848"/>
      <c r="Y282" s="409"/>
    </row>
    <row r="283" spans="2:25" ht="14.25" customHeight="1">
      <c r="B283" s="266">
        <v>10</v>
      </c>
      <c r="C283" s="267"/>
      <c r="D283" s="267"/>
      <c r="E283" s="268"/>
      <c r="F283" s="395"/>
      <c r="G283" s="269"/>
      <c r="H283" s="508"/>
      <c r="I283" s="845"/>
      <c r="J283" s="845"/>
      <c r="K283" s="198"/>
      <c r="L283" s="266">
        <v>10</v>
      </c>
      <c r="M283" s="359" t="s">
        <v>532</v>
      </c>
      <c r="N283" s="267" t="s">
        <v>557</v>
      </c>
      <c r="O283" s="489"/>
      <c r="P283" s="395"/>
      <c r="Q283" s="269">
        <v>1500</v>
      </c>
      <c r="R283" s="524"/>
      <c r="S283" s="559" t="s">
        <v>558</v>
      </c>
      <c r="T283" s="612">
        <v>45900</v>
      </c>
      <c r="U283" s="657">
        <v>874.52521133930907</v>
      </c>
      <c r="V283" s="851"/>
      <c r="W283" s="691">
        <v>45930</v>
      </c>
      <c r="X283" s="848"/>
      <c r="Y283" s="409"/>
    </row>
    <row r="284" spans="2:25" ht="14.25" customHeight="1">
      <c r="B284" s="266"/>
      <c r="C284" s="267"/>
      <c r="D284" s="267"/>
      <c r="E284" s="268"/>
      <c r="F284" s="395"/>
      <c r="G284" s="269"/>
      <c r="H284" s="508"/>
      <c r="I284" s="845"/>
      <c r="J284" s="845"/>
      <c r="K284" s="198"/>
      <c r="L284" s="266">
        <v>10</v>
      </c>
      <c r="M284" s="359" t="s">
        <v>532</v>
      </c>
      <c r="N284" s="267" t="s">
        <v>559</v>
      </c>
      <c r="O284" s="489"/>
      <c r="P284" s="395"/>
      <c r="Q284" s="269">
        <v>1500</v>
      </c>
      <c r="R284" s="524"/>
      <c r="S284" s="559" t="s">
        <v>560</v>
      </c>
      <c r="T284" s="612">
        <v>45900</v>
      </c>
      <c r="U284" s="657">
        <v>874.52521133930907</v>
      </c>
      <c r="V284" s="851"/>
      <c r="W284" s="691">
        <v>45930</v>
      </c>
      <c r="X284" s="848"/>
      <c r="Y284" s="409"/>
    </row>
    <row r="285" spans="2:25" ht="14.25" customHeight="1">
      <c r="B285" s="266"/>
      <c r="C285" s="267"/>
      <c r="D285" s="267"/>
      <c r="E285" s="268"/>
      <c r="F285" s="395"/>
      <c r="G285" s="269"/>
      <c r="H285" s="469"/>
      <c r="I285" s="845"/>
      <c r="J285" s="845"/>
      <c r="K285" s="198"/>
      <c r="L285" s="266">
        <v>10</v>
      </c>
      <c r="M285" s="359" t="s">
        <v>532</v>
      </c>
      <c r="N285" s="267" t="s">
        <v>561</v>
      </c>
      <c r="O285" s="489"/>
      <c r="P285" s="395"/>
      <c r="Q285" s="269">
        <v>250</v>
      </c>
      <c r="R285" s="524"/>
      <c r="S285" s="559" t="s">
        <v>562</v>
      </c>
      <c r="T285" s="612">
        <v>45838</v>
      </c>
      <c r="U285" s="619">
        <v>163.19120992518586</v>
      </c>
      <c r="V285" s="851"/>
      <c r="W285" s="469">
        <v>45876</v>
      </c>
      <c r="X285" s="848"/>
      <c r="Y285" s="409"/>
    </row>
    <row r="286" spans="2:25" ht="14.25" customHeight="1">
      <c r="B286" s="266"/>
      <c r="C286" s="267"/>
      <c r="D286" s="267"/>
      <c r="E286" s="268"/>
      <c r="F286" s="395"/>
      <c r="G286" s="269"/>
      <c r="H286" s="508"/>
      <c r="I286" s="845"/>
      <c r="J286" s="845"/>
      <c r="K286" s="198"/>
      <c r="L286" s="266">
        <v>10</v>
      </c>
      <c r="M286" s="359" t="s">
        <v>532</v>
      </c>
      <c r="N286" s="267" t="s">
        <v>561</v>
      </c>
      <c r="O286" s="489"/>
      <c r="P286" s="395"/>
      <c r="Q286" s="269">
        <v>2635</v>
      </c>
      <c r="R286" s="524"/>
      <c r="S286" s="559" t="s">
        <v>563</v>
      </c>
      <c r="T286" s="612">
        <v>45930</v>
      </c>
      <c r="U286" s="619">
        <v>0</v>
      </c>
      <c r="V286" s="851"/>
      <c r="W286" s="691">
        <v>45930</v>
      </c>
      <c r="X286" s="848"/>
      <c r="Y286" s="409"/>
    </row>
    <row r="287" spans="2:25" ht="14.25" customHeight="1">
      <c r="B287" s="266"/>
      <c r="C287" s="267"/>
      <c r="D287" s="267"/>
      <c r="E287" s="268"/>
      <c r="F287" s="395"/>
      <c r="G287" s="269"/>
      <c r="H287" s="508"/>
      <c r="I287" s="845"/>
      <c r="J287" s="845"/>
      <c r="K287" s="198"/>
      <c r="L287" s="266">
        <v>10</v>
      </c>
      <c r="M287" s="359" t="s">
        <v>532</v>
      </c>
      <c r="N287" s="267" t="s">
        <v>561</v>
      </c>
      <c r="O287" s="489"/>
      <c r="P287" s="395"/>
      <c r="Q287" s="269">
        <v>1550</v>
      </c>
      <c r="R287" s="524"/>
      <c r="S287" s="559" t="s">
        <v>564</v>
      </c>
      <c r="T287" s="612">
        <v>45930</v>
      </c>
      <c r="U287" s="619">
        <v>0</v>
      </c>
      <c r="V287" s="851"/>
      <c r="W287" s="691">
        <v>45930</v>
      </c>
      <c r="X287" s="848"/>
      <c r="Y287" s="409"/>
    </row>
    <row r="288" spans="2:25" ht="14.25" customHeight="1">
      <c r="B288" s="266"/>
      <c r="C288" s="267"/>
      <c r="D288" s="267"/>
      <c r="E288" s="268"/>
      <c r="F288" s="395"/>
      <c r="G288" s="269"/>
      <c r="H288" s="508"/>
      <c r="I288" s="845"/>
      <c r="J288" s="845"/>
      <c r="K288" s="198"/>
      <c r="L288" s="266">
        <v>10</v>
      </c>
      <c r="M288" s="359" t="s">
        <v>532</v>
      </c>
      <c r="N288" s="267" t="s">
        <v>561</v>
      </c>
      <c r="O288" s="489"/>
      <c r="P288" s="395"/>
      <c r="Q288" s="269">
        <v>1550</v>
      </c>
      <c r="R288" s="524"/>
      <c r="S288" s="559" t="s">
        <v>565</v>
      </c>
      <c r="T288" s="612">
        <v>45930</v>
      </c>
      <c r="U288" s="619">
        <v>0</v>
      </c>
      <c r="V288" s="851"/>
      <c r="W288" s="691">
        <v>45930</v>
      </c>
      <c r="X288" s="848"/>
      <c r="Y288" s="409"/>
    </row>
    <row r="289" spans="2:25" ht="14.25" customHeight="1">
      <c r="B289" s="266"/>
      <c r="C289" s="267"/>
      <c r="D289" s="267"/>
      <c r="E289" s="268"/>
      <c r="F289" s="395"/>
      <c r="G289" s="269"/>
      <c r="H289" s="508"/>
      <c r="I289" s="845"/>
      <c r="J289" s="845"/>
      <c r="K289" s="198"/>
      <c r="L289" s="266">
        <v>10</v>
      </c>
      <c r="M289" s="359" t="s">
        <v>532</v>
      </c>
      <c r="N289" s="267" t="s">
        <v>566</v>
      </c>
      <c r="O289" s="489"/>
      <c r="P289" s="395"/>
      <c r="Q289" s="269">
        <v>595</v>
      </c>
      <c r="R289" s="524"/>
      <c r="S289" s="559" t="s">
        <v>567</v>
      </c>
      <c r="T289" s="612">
        <v>45900</v>
      </c>
      <c r="U289" s="619">
        <v>346.89500049792593</v>
      </c>
      <c r="V289" s="851"/>
      <c r="W289" s="469">
        <v>45901</v>
      </c>
      <c r="X289" s="848"/>
      <c r="Y289" s="409"/>
    </row>
    <row r="290" spans="2:25" ht="14.25" customHeight="1">
      <c r="B290" s="266"/>
      <c r="C290" s="267"/>
      <c r="D290" s="267"/>
      <c r="E290" s="268"/>
      <c r="F290" s="395"/>
      <c r="G290" s="269"/>
      <c r="H290" s="508"/>
      <c r="I290" s="845"/>
      <c r="J290" s="845"/>
      <c r="K290" s="198"/>
      <c r="L290" s="266">
        <v>10</v>
      </c>
      <c r="M290" s="359" t="s">
        <v>532</v>
      </c>
      <c r="N290" s="267" t="s">
        <v>566</v>
      </c>
      <c r="O290" s="489"/>
      <c r="P290" s="395"/>
      <c r="Q290" s="269">
        <v>1250</v>
      </c>
      <c r="R290" s="524"/>
      <c r="S290" s="559" t="s">
        <v>568</v>
      </c>
      <c r="T290" s="612">
        <v>45900</v>
      </c>
      <c r="U290" s="619">
        <v>728.77100944942424</v>
      </c>
      <c r="V290" s="851"/>
      <c r="W290" s="469">
        <v>45901</v>
      </c>
      <c r="X290" s="848"/>
      <c r="Y290" s="409"/>
    </row>
    <row r="291" spans="2:25" ht="14.25" customHeight="1">
      <c r="B291" s="266"/>
      <c r="C291" s="267"/>
      <c r="D291" s="267"/>
      <c r="E291" s="268"/>
      <c r="F291" s="395"/>
      <c r="G291" s="269"/>
      <c r="H291" s="508"/>
      <c r="I291" s="845"/>
      <c r="J291" s="845"/>
      <c r="K291" s="198"/>
      <c r="L291" s="266">
        <v>10</v>
      </c>
      <c r="M291" s="359" t="s">
        <v>532</v>
      </c>
      <c r="N291" s="267" t="s">
        <v>569</v>
      </c>
      <c r="O291" s="489"/>
      <c r="P291" s="395"/>
      <c r="Q291" s="269">
        <v>1500</v>
      </c>
      <c r="R291" s="524"/>
      <c r="S291" s="559" t="s">
        <v>570</v>
      </c>
      <c r="T291" s="690">
        <v>45961</v>
      </c>
      <c r="U291" s="694">
        <v>865.42161616940507</v>
      </c>
      <c r="V291" s="851"/>
      <c r="W291" s="469">
        <v>45974</v>
      </c>
      <c r="X291" s="848"/>
      <c r="Y291" s="409"/>
    </row>
    <row r="292" spans="2:25" ht="14.25" customHeight="1">
      <c r="B292" s="266"/>
      <c r="C292" s="267"/>
      <c r="D292" s="267"/>
      <c r="E292" s="268"/>
      <c r="F292" s="395"/>
      <c r="G292" s="269"/>
      <c r="H292" s="508"/>
      <c r="I292" s="845"/>
      <c r="J292" s="845"/>
      <c r="K292" s="198"/>
      <c r="L292" s="266">
        <v>10</v>
      </c>
      <c r="M292" s="359" t="s">
        <v>532</v>
      </c>
      <c r="N292" s="267" t="s">
        <v>569</v>
      </c>
      <c r="O292" s="489"/>
      <c r="P292" s="395"/>
      <c r="Q292" s="269">
        <v>1500</v>
      </c>
      <c r="R292" s="524"/>
      <c r="S292" s="559" t="s">
        <v>571</v>
      </c>
      <c r="T292" s="690">
        <v>45961</v>
      </c>
      <c r="U292" s="694">
        <v>865.42161616940507</v>
      </c>
      <c r="V292" s="851"/>
      <c r="W292" s="469">
        <v>45974</v>
      </c>
      <c r="X292" s="848"/>
      <c r="Y292" s="409"/>
    </row>
    <row r="293" spans="2:25" ht="14.25" customHeight="1">
      <c r="B293" s="266"/>
      <c r="C293" s="267"/>
      <c r="D293" s="267"/>
      <c r="E293" s="268"/>
      <c r="F293" s="395"/>
      <c r="G293" s="269"/>
      <c r="H293" s="508"/>
      <c r="I293" s="845"/>
      <c r="J293" s="845"/>
      <c r="K293" s="198"/>
      <c r="L293" s="266">
        <v>10</v>
      </c>
      <c r="M293" s="359" t="s">
        <v>532</v>
      </c>
      <c r="N293" s="267" t="s">
        <v>569</v>
      </c>
      <c r="O293" s="489"/>
      <c r="P293" s="395"/>
      <c r="Q293" s="269">
        <v>2550</v>
      </c>
      <c r="R293" s="524"/>
      <c r="S293" s="559" t="s">
        <v>572</v>
      </c>
      <c r="T293" s="690">
        <v>45961</v>
      </c>
      <c r="U293" s="694">
        <v>1471.2167474879886</v>
      </c>
      <c r="V293" s="851"/>
      <c r="W293" s="469">
        <v>45974</v>
      </c>
      <c r="X293" s="848"/>
      <c r="Y293" s="409"/>
    </row>
    <row r="294" spans="2:25" ht="14.25" customHeight="1">
      <c r="B294" s="266"/>
      <c r="C294" s="267"/>
      <c r="D294" s="267"/>
      <c r="E294" s="268"/>
      <c r="F294" s="395"/>
      <c r="G294" s="269"/>
      <c r="H294" s="508"/>
      <c r="I294" s="845"/>
      <c r="J294" s="845"/>
      <c r="K294" s="198"/>
      <c r="L294" s="266">
        <v>10</v>
      </c>
      <c r="M294" s="359" t="s">
        <v>532</v>
      </c>
      <c r="N294" s="267" t="s">
        <v>573</v>
      </c>
      <c r="O294" s="489"/>
      <c r="P294" s="395"/>
      <c r="Q294" s="269">
        <v>1550</v>
      </c>
      <c r="R294" s="719"/>
      <c r="S294" s="559" t="s">
        <v>574</v>
      </c>
      <c r="T294" s="612">
        <v>45991</v>
      </c>
      <c r="U294" s="694">
        <v>1770.4386486937569</v>
      </c>
      <c r="V294" s="851"/>
      <c r="W294" s="469">
        <v>45995</v>
      </c>
      <c r="X294" s="848"/>
      <c r="Y294" s="409"/>
    </row>
    <row r="295" spans="2:25" ht="14.25" customHeight="1">
      <c r="B295" s="266"/>
      <c r="C295" s="267"/>
      <c r="D295" s="267"/>
      <c r="E295" s="268"/>
      <c r="F295" s="395"/>
      <c r="G295" s="269"/>
      <c r="H295" s="508"/>
      <c r="I295" s="845"/>
      <c r="J295" s="845"/>
      <c r="K295" s="198"/>
      <c r="L295" s="266">
        <v>10</v>
      </c>
      <c r="M295" s="359" t="s">
        <v>532</v>
      </c>
      <c r="N295" s="267" t="s">
        <v>575</v>
      </c>
      <c r="O295" s="489"/>
      <c r="P295" s="395"/>
      <c r="Q295" s="269">
        <v>1550</v>
      </c>
      <c r="R295" s="524"/>
      <c r="S295" s="559" t="s">
        <v>576</v>
      </c>
      <c r="T295" s="612">
        <v>45991</v>
      </c>
      <c r="U295" s="694">
        <v>1770.4386486937569</v>
      </c>
      <c r="V295" s="851"/>
      <c r="W295" s="469">
        <v>45995</v>
      </c>
      <c r="X295" s="848"/>
      <c r="Y295" s="409"/>
    </row>
    <row r="296" spans="2:25" ht="14.25" customHeight="1">
      <c r="B296" s="266"/>
      <c r="C296" s="267"/>
      <c r="D296" s="267"/>
      <c r="E296" s="268"/>
      <c r="F296" s="395"/>
      <c r="G296" s="269"/>
      <c r="H296" s="508"/>
      <c r="I296" s="845"/>
      <c r="J296" s="845"/>
      <c r="K296" s="198"/>
      <c r="L296" s="266">
        <v>10</v>
      </c>
      <c r="M296" s="359" t="s">
        <v>532</v>
      </c>
      <c r="N296" s="267" t="s">
        <v>577</v>
      </c>
      <c r="O296" s="489"/>
      <c r="P296" s="395"/>
      <c r="Q296" s="269">
        <v>2635</v>
      </c>
      <c r="R296" s="524"/>
      <c r="S296" s="559" t="s">
        <v>578</v>
      </c>
      <c r="T296" s="612">
        <v>45991</v>
      </c>
      <c r="U296" s="694">
        <v>988.11070277938666</v>
      </c>
      <c r="V296" s="851"/>
      <c r="W296" s="469">
        <v>45995</v>
      </c>
      <c r="X296" s="848"/>
      <c r="Y296" s="409"/>
    </row>
    <row r="297" spans="2:25" ht="14.25" customHeight="1">
      <c r="B297" s="266"/>
      <c r="C297" s="267"/>
      <c r="D297" s="267"/>
      <c r="E297" s="268"/>
      <c r="F297" s="395"/>
      <c r="G297" s="269"/>
      <c r="H297" s="508"/>
      <c r="I297" s="845"/>
      <c r="J297" s="845"/>
      <c r="K297" s="198"/>
      <c r="L297" s="266">
        <v>10</v>
      </c>
      <c r="M297" s="359" t="s">
        <v>532</v>
      </c>
      <c r="N297" s="267" t="s">
        <v>579</v>
      </c>
      <c r="O297" s="489"/>
      <c r="P297" s="395"/>
      <c r="Q297" s="269">
        <v>1550</v>
      </c>
      <c r="R297" s="524"/>
      <c r="S297" s="559" t="s">
        <v>580</v>
      </c>
      <c r="T297" s="612">
        <v>46022</v>
      </c>
      <c r="U297" s="694">
        <v>0</v>
      </c>
      <c r="V297" s="851"/>
      <c r="W297" s="691">
        <v>46031</v>
      </c>
      <c r="X297" s="848"/>
      <c r="Y297" s="409"/>
    </row>
    <row r="298" spans="2:25" ht="14.25" customHeight="1">
      <c r="B298" s="266"/>
      <c r="C298" s="267"/>
      <c r="D298" s="267"/>
      <c r="E298" s="268"/>
      <c r="F298" s="395"/>
      <c r="G298" s="269"/>
      <c r="H298" s="508"/>
      <c r="I298" s="845"/>
      <c r="J298" s="845"/>
      <c r="K298" s="198"/>
      <c r="L298" s="266">
        <v>10</v>
      </c>
      <c r="M298" s="359" t="s">
        <v>532</v>
      </c>
      <c r="N298" s="267" t="s">
        <v>581</v>
      </c>
      <c r="O298" s="489"/>
      <c r="P298" s="395"/>
      <c r="Q298" s="269">
        <v>1550</v>
      </c>
      <c r="R298" s="524"/>
      <c r="S298" s="559" t="s">
        <v>582</v>
      </c>
      <c r="T298" s="612">
        <v>46022</v>
      </c>
      <c r="U298" s="694">
        <v>0</v>
      </c>
      <c r="V298" s="851"/>
      <c r="W298" s="691">
        <v>46031</v>
      </c>
      <c r="X298" s="848"/>
      <c r="Y298" s="409"/>
    </row>
    <row r="299" spans="2:25" ht="14.25" customHeight="1">
      <c r="B299" s="266"/>
      <c r="C299" s="267"/>
      <c r="D299" s="267"/>
      <c r="E299" s="268"/>
      <c r="F299" s="395"/>
      <c r="G299" s="269"/>
      <c r="H299" s="508"/>
      <c r="I299" s="845"/>
      <c r="J299" s="845"/>
      <c r="K299" s="198"/>
      <c r="L299" s="266">
        <v>10</v>
      </c>
      <c r="M299" s="359" t="s">
        <v>532</v>
      </c>
      <c r="N299" s="267" t="s">
        <v>583</v>
      </c>
      <c r="O299" s="489"/>
      <c r="P299" s="395"/>
      <c r="Q299" s="269">
        <v>2635</v>
      </c>
      <c r="R299" s="524"/>
      <c r="S299" s="559" t="s">
        <v>584</v>
      </c>
      <c r="T299" s="612">
        <v>46022</v>
      </c>
      <c r="U299" s="694">
        <v>0</v>
      </c>
      <c r="V299" s="851"/>
      <c r="W299" s="691">
        <v>46031</v>
      </c>
      <c r="X299" s="848"/>
      <c r="Y299" s="409"/>
    </row>
    <row r="300" spans="2:25" ht="14.25" customHeight="1">
      <c r="B300" s="266"/>
      <c r="C300" s="267"/>
      <c r="D300" s="267"/>
      <c r="E300" s="268"/>
      <c r="F300" s="395"/>
      <c r="G300" s="269"/>
      <c r="H300" s="508"/>
      <c r="I300" s="845"/>
      <c r="J300" s="845"/>
      <c r="K300" s="198"/>
      <c r="L300" s="266">
        <v>10</v>
      </c>
      <c r="M300" s="359" t="s">
        <v>532</v>
      </c>
      <c r="N300" s="267" t="s">
        <v>585</v>
      </c>
      <c r="O300" s="489"/>
      <c r="P300" s="395"/>
      <c r="Q300" s="269">
        <v>1400</v>
      </c>
      <c r="R300" s="524"/>
      <c r="S300" s="559" t="s">
        <v>586</v>
      </c>
      <c r="T300" s="612">
        <v>46053</v>
      </c>
      <c r="U300" s="694">
        <v>0</v>
      </c>
      <c r="V300" s="851"/>
      <c r="W300" s="469">
        <v>46058</v>
      </c>
      <c r="X300" s="848"/>
      <c r="Y300" s="409"/>
    </row>
    <row r="301" spans="2:25" ht="14.25" customHeight="1">
      <c r="B301" s="266"/>
      <c r="C301" s="267"/>
      <c r="D301" s="267"/>
      <c r="E301" s="268"/>
      <c r="F301" s="395"/>
      <c r="G301" s="269"/>
      <c r="H301" s="508"/>
      <c r="I301" s="845"/>
      <c r="J301" s="845"/>
      <c r="K301" s="198"/>
      <c r="L301" s="266">
        <v>10</v>
      </c>
      <c r="M301" s="359" t="s">
        <v>532</v>
      </c>
      <c r="N301" s="267" t="s">
        <v>585</v>
      </c>
      <c r="O301" s="489"/>
      <c r="P301" s="395"/>
      <c r="Q301" s="269">
        <v>1400</v>
      </c>
      <c r="R301" s="524"/>
      <c r="S301" s="559" t="s">
        <v>587</v>
      </c>
      <c r="T301" s="612">
        <v>46053</v>
      </c>
      <c r="U301" s="694">
        <v>0</v>
      </c>
      <c r="V301" s="851"/>
      <c r="W301" s="469">
        <v>46058</v>
      </c>
      <c r="X301" s="848"/>
      <c r="Y301" s="409"/>
    </row>
    <row r="302" spans="2:25" ht="14.25" customHeight="1">
      <c r="B302" s="266"/>
      <c r="C302" s="267"/>
      <c r="D302" s="267"/>
      <c r="E302" s="268"/>
      <c r="F302" s="395"/>
      <c r="G302" s="269"/>
      <c r="H302" s="508"/>
      <c r="I302" s="845"/>
      <c r="J302" s="845"/>
      <c r="K302" s="198"/>
      <c r="L302" s="266">
        <v>10</v>
      </c>
      <c r="M302" s="359" t="s">
        <v>532</v>
      </c>
      <c r="N302" s="267" t="s">
        <v>585</v>
      </c>
      <c r="O302" s="489"/>
      <c r="P302" s="395"/>
      <c r="Q302" s="269">
        <v>2380</v>
      </c>
      <c r="R302" s="524"/>
      <c r="S302" s="559" t="s">
        <v>588</v>
      </c>
      <c r="T302" s="612">
        <v>46053</v>
      </c>
      <c r="U302" s="694">
        <v>0</v>
      </c>
      <c r="V302" s="851"/>
      <c r="W302" s="469">
        <v>46058</v>
      </c>
      <c r="X302" s="848"/>
      <c r="Y302" s="409"/>
    </row>
    <row r="303" spans="2:25" ht="14.25" customHeight="1">
      <c r="B303" s="266"/>
      <c r="C303" s="267"/>
      <c r="D303" s="267"/>
      <c r="E303" s="268"/>
      <c r="F303" s="395"/>
      <c r="G303" s="269"/>
      <c r="H303" s="508"/>
      <c r="I303" s="845"/>
      <c r="J303" s="845"/>
      <c r="K303" s="198"/>
      <c r="L303" s="266">
        <v>10</v>
      </c>
      <c r="M303" s="359" t="s">
        <v>532</v>
      </c>
      <c r="N303" s="267" t="s">
        <v>589</v>
      </c>
      <c r="O303" s="489"/>
      <c r="P303" s="395"/>
      <c r="Q303" s="269">
        <v>0</v>
      </c>
      <c r="R303" s="524"/>
      <c r="S303" s="559"/>
      <c r="T303" s="612"/>
      <c r="U303" s="694">
        <v>0</v>
      </c>
      <c r="V303" s="851"/>
      <c r="W303" s="691">
        <v>46086</v>
      </c>
      <c r="X303" s="848"/>
      <c r="Y303" s="409"/>
    </row>
    <row r="304" spans="2:25" ht="14.25" customHeight="1">
      <c r="B304" s="266"/>
      <c r="C304" s="267"/>
      <c r="D304" s="267"/>
      <c r="E304" s="268"/>
      <c r="F304" s="395"/>
      <c r="G304" s="269"/>
      <c r="H304" s="508"/>
      <c r="I304" s="845"/>
      <c r="J304" s="845"/>
      <c r="K304" s="198"/>
      <c r="L304" s="266">
        <v>10</v>
      </c>
      <c r="M304" s="359" t="s">
        <v>532</v>
      </c>
      <c r="N304" s="267" t="s">
        <v>589</v>
      </c>
      <c r="O304" s="489"/>
      <c r="P304" s="395"/>
      <c r="Q304" s="269">
        <v>1550</v>
      </c>
      <c r="R304" s="524"/>
      <c r="S304" s="559" t="s">
        <v>590</v>
      </c>
      <c r="T304" s="612">
        <v>46081</v>
      </c>
      <c r="U304" s="694">
        <v>0</v>
      </c>
      <c r="V304" s="851"/>
      <c r="W304" s="691">
        <v>46086</v>
      </c>
      <c r="X304" s="848"/>
      <c r="Y304" s="409"/>
    </row>
    <row r="305" spans="2:25" ht="14.25" customHeight="1">
      <c r="B305" s="266"/>
      <c r="C305" s="267"/>
      <c r="D305" s="267"/>
      <c r="E305" s="268"/>
      <c r="F305" s="395"/>
      <c r="G305" s="269"/>
      <c r="H305" s="508"/>
      <c r="I305" s="845"/>
      <c r="J305" s="845"/>
      <c r="K305" s="198"/>
      <c r="L305" s="266">
        <v>10</v>
      </c>
      <c r="M305" s="359" t="s">
        <v>532</v>
      </c>
      <c r="N305" s="267" t="s">
        <v>589</v>
      </c>
      <c r="O305" s="489"/>
      <c r="P305" s="395"/>
      <c r="Q305" s="269">
        <v>1550</v>
      </c>
      <c r="R305" s="524"/>
      <c r="S305" s="559" t="s">
        <v>591</v>
      </c>
      <c r="T305" s="612">
        <v>46081</v>
      </c>
      <c r="U305" s="694">
        <v>0</v>
      </c>
      <c r="V305" s="851"/>
      <c r="W305" s="691">
        <v>46086</v>
      </c>
      <c r="X305" s="848"/>
      <c r="Y305" s="409"/>
    </row>
    <row r="306" spans="2:25" ht="14.25" customHeight="1">
      <c r="B306" s="266"/>
      <c r="C306" s="267"/>
      <c r="D306" s="267"/>
      <c r="E306" s="268"/>
      <c r="F306" s="395"/>
      <c r="G306" s="269"/>
      <c r="H306" s="508"/>
      <c r="I306" s="845"/>
      <c r="J306" s="845"/>
      <c r="K306" s="198"/>
      <c r="L306" s="266">
        <v>10</v>
      </c>
      <c r="M306" s="359" t="s">
        <v>532</v>
      </c>
      <c r="N306" s="267" t="s">
        <v>589</v>
      </c>
      <c r="O306" s="489"/>
      <c r="P306" s="395"/>
      <c r="Q306" s="269">
        <v>2635</v>
      </c>
      <c r="R306" s="524"/>
      <c r="S306" s="559" t="s">
        <v>592</v>
      </c>
      <c r="T306" s="612">
        <v>46081</v>
      </c>
      <c r="U306" s="694">
        <v>0</v>
      </c>
      <c r="V306" s="851"/>
      <c r="W306" s="691">
        <v>46086</v>
      </c>
      <c r="X306" s="848"/>
      <c r="Y306" s="409"/>
    </row>
    <row r="307" spans="2:25" ht="14.25" customHeight="1">
      <c r="B307" s="266"/>
      <c r="C307" s="267"/>
      <c r="D307" s="267"/>
      <c r="E307" s="268"/>
      <c r="F307" s="395"/>
      <c r="G307" s="269"/>
      <c r="H307" s="508"/>
      <c r="I307" s="845"/>
      <c r="J307" s="845"/>
      <c r="K307" s="198"/>
      <c r="L307" s="266">
        <v>10</v>
      </c>
      <c r="M307" s="359" t="s">
        <v>532</v>
      </c>
      <c r="N307" s="267" t="s">
        <v>589</v>
      </c>
      <c r="O307" s="489"/>
      <c r="P307" s="395"/>
      <c r="Q307" s="269">
        <v>-1300</v>
      </c>
      <c r="R307" s="524"/>
      <c r="S307" s="559" t="s">
        <v>593</v>
      </c>
      <c r="T307" s="612">
        <v>46112</v>
      </c>
      <c r="U307" s="694">
        <v>0</v>
      </c>
      <c r="V307" s="851"/>
      <c r="W307" s="691">
        <v>46112</v>
      </c>
      <c r="X307" s="848"/>
      <c r="Y307" s="409"/>
    </row>
    <row r="308" spans="2:25" ht="14.25" customHeight="1">
      <c r="B308" s="266"/>
      <c r="C308" s="267"/>
      <c r="D308" s="267"/>
      <c r="E308" s="268"/>
      <c r="F308" s="395"/>
      <c r="G308" s="269"/>
      <c r="H308" s="508"/>
      <c r="I308" s="845"/>
      <c r="J308" s="845"/>
      <c r="K308" s="198"/>
      <c r="L308" s="266">
        <v>10</v>
      </c>
      <c r="M308" s="359" t="s">
        <v>532</v>
      </c>
      <c r="N308" s="267" t="s">
        <v>589</v>
      </c>
      <c r="O308" s="489"/>
      <c r="P308" s="395"/>
      <c r="Q308" s="269">
        <v>-1350</v>
      </c>
      <c r="R308" s="524"/>
      <c r="S308" s="559" t="s">
        <v>594</v>
      </c>
      <c r="T308" s="612">
        <v>46112</v>
      </c>
      <c r="U308" s="694">
        <v>0</v>
      </c>
      <c r="V308" s="851"/>
      <c r="W308" s="691">
        <v>46112</v>
      </c>
      <c r="X308" s="848"/>
      <c r="Y308" s="409"/>
    </row>
    <row r="309" spans="2:25" ht="14.25" customHeight="1">
      <c r="B309" s="266"/>
      <c r="C309" s="267"/>
      <c r="D309" s="267"/>
      <c r="E309" s="268"/>
      <c r="F309" s="395"/>
      <c r="G309" s="269"/>
      <c r="H309" s="508"/>
      <c r="I309" s="845"/>
      <c r="J309" s="845"/>
      <c r="K309" s="198"/>
      <c r="L309" s="266">
        <v>10</v>
      </c>
      <c r="M309" s="359" t="s">
        <v>532</v>
      </c>
      <c r="N309" s="267" t="s">
        <v>589</v>
      </c>
      <c r="O309" s="489"/>
      <c r="P309" s="395"/>
      <c r="Q309" s="269">
        <v>-2295</v>
      </c>
      <c r="R309" s="524"/>
      <c r="S309" s="559" t="s">
        <v>595</v>
      </c>
      <c r="T309" s="612">
        <v>46112</v>
      </c>
      <c r="U309" s="694">
        <v>0</v>
      </c>
      <c r="V309" s="851"/>
      <c r="W309" s="691">
        <v>46112</v>
      </c>
      <c r="X309" s="848"/>
      <c r="Y309" s="409"/>
    </row>
    <row r="310" spans="2:25" ht="14.25" customHeight="1">
      <c r="B310" s="266"/>
      <c r="C310" s="267"/>
      <c r="D310" s="267"/>
      <c r="E310" s="268"/>
      <c r="F310" s="395"/>
      <c r="G310" s="269"/>
      <c r="H310" s="508"/>
      <c r="I310" s="845"/>
      <c r="J310" s="845"/>
      <c r="K310" s="198"/>
      <c r="L310" s="266">
        <v>10</v>
      </c>
      <c r="M310" s="359" t="s">
        <v>532</v>
      </c>
      <c r="N310" s="267"/>
      <c r="O310" s="489"/>
      <c r="P310" s="395"/>
      <c r="Q310" s="269"/>
      <c r="R310" s="524"/>
      <c r="S310" s="559"/>
      <c r="T310" s="690"/>
      <c r="U310" s="443"/>
      <c r="V310" s="851"/>
      <c r="W310" s="508"/>
      <c r="X310" s="848"/>
      <c r="Y310" s="409"/>
    </row>
    <row r="311" spans="2:25" ht="14.25" customHeight="1">
      <c r="B311" s="266"/>
      <c r="C311" s="267"/>
      <c r="D311" s="267"/>
      <c r="E311" s="268"/>
      <c r="F311" s="395"/>
      <c r="G311" s="269"/>
      <c r="H311" s="469"/>
      <c r="I311" s="845"/>
      <c r="J311" s="845"/>
      <c r="K311" s="198"/>
      <c r="L311" s="266">
        <v>10</v>
      </c>
      <c r="M311" s="359" t="s">
        <v>532</v>
      </c>
      <c r="N311" s="267" t="s">
        <v>596</v>
      </c>
      <c r="O311" s="489"/>
      <c r="P311" s="395"/>
      <c r="Q311" s="269">
        <v>652.16999999999996</v>
      </c>
      <c r="R311" s="524"/>
      <c r="S311" s="559" t="s">
        <v>597</v>
      </c>
      <c r="T311" s="612">
        <v>45900</v>
      </c>
      <c r="U311" s="619">
        <v>380.22607138610476</v>
      </c>
      <c r="V311" s="851"/>
      <c r="W311" s="469">
        <v>45932</v>
      </c>
      <c r="X311" s="848"/>
      <c r="Y311" s="409"/>
    </row>
    <row r="312" spans="2:25" ht="14.25" customHeight="1">
      <c r="B312" s="266"/>
      <c r="C312" s="267"/>
      <c r="D312" s="267"/>
      <c r="E312" s="268"/>
      <c r="F312" s="395"/>
      <c r="G312" s="269"/>
      <c r="H312" s="508"/>
      <c r="I312" s="845"/>
      <c r="J312" s="845"/>
      <c r="K312" s="198"/>
      <c r="L312" s="266">
        <v>10</v>
      </c>
      <c r="M312" s="359" t="s">
        <v>532</v>
      </c>
      <c r="N312" s="267" t="s">
        <v>598</v>
      </c>
      <c r="O312" s="489"/>
      <c r="P312" s="395"/>
      <c r="Q312" s="269">
        <v>2173.92</v>
      </c>
      <c r="R312" s="524"/>
      <c r="S312" s="559" t="s">
        <v>599</v>
      </c>
      <c r="T312" s="612">
        <v>45930</v>
      </c>
      <c r="U312" s="694">
        <v>1258.8741122956246</v>
      </c>
      <c r="V312" s="851"/>
      <c r="W312" s="469">
        <v>45939</v>
      </c>
      <c r="X312" s="848"/>
      <c r="Y312" s="409"/>
    </row>
    <row r="313" spans="2:25" ht="14.25" customHeight="1">
      <c r="B313" s="266"/>
      <c r="C313" s="267"/>
      <c r="D313" s="267"/>
      <c r="E313" s="268"/>
      <c r="F313" s="395"/>
      <c r="G313" s="269"/>
      <c r="H313" s="508"/>
      <c r="I313" s="845"/>
      <c r="J313" s="845"/>
      <c r="K313" s="198"/>
      <c r="L313" s="266">
        <v>10</v>
      </c>
      <c r="M313" s="359" t="s">
        <v>532</v>
      </c>
      <c r="N313" s="267" t="s">
        <v>600</v>
      </c>
      <c r="O313" s="489"/>
      <c r="P313" s="395"/>
      <c r="Q313" s="269">
        <f>2434.8+652.17</f>
        <v>3086.9700000000003</v>
      </c>
      <c r="R313" s="524"/>
      <c r="S313" s="559" t="s">
        <v>601</v>
      </c>
      <c r="T313" s="690">
        <v>45961</v>
      </c>
      <c r="U313" s="694">
        <v>1781.0203776443125</v>
      </c>
      <c r="V313" s="851"/>
      <c r="W313" s="469">
        <v>45967</v>
      </c>
      <c r="X313" s="848"/>
      <c r="Y313" s="409"/>
    </row>
    <row r="314" spans="2:25" ht="14.25" customHeight="1">
      <c r="B314" s="266"/>
      <c r="C314" s="267"/>
      <c r="D314" s="267"/>
      <c r="E314" s="268"/>
      <c r="F314" s="395"/>
      <c r="G314" s="269"/>
      <c r="H314" s="508"/>
      <c r="I314" s="845"/>
      <c r="J314" s="845"/>
      <c r="K314" s="198"/>
      <c r="L314" s="266">
        <v>10</v>
      </c>
      <c r="M314" s="359" t="s">
        <v>532</v>
      </c>
      <c r="N314" s="267" t="s">
        <v>602</v>
      </c>
      <c r="O314" s="489"/>
      <c r="P314" s="395"/>
      <c r="Q314" s="269">
        <v>2434.8000000000002</v>
      </c>
      <c r="R314" s="524"/>
      <c r="S314" s="559" t="s">
        <v>603</v>
      </c>
      <c r="T314" s="612">
        <v>45991</v>
      </c>
      <c r="U314" s="694">
        <v>1343.363433444877</v>
      </c>
      <c r="V314" s="851"/>
      <c r="W314" s="469">
        <v>45995</v>
      </c>
      <c r="X314" s="848"/>
      <c r="Y314" s="409"/>
    </row>
    <row r="315" spans="2:25" ht="14.25" customHeight="1">
      <c r="B315" s="266"/>
      <c r="C315" s="267"/>
      <c r="D315" s="267"/>
      <c r="E315" s="268"/>
      <c r="F315" s="395"/>
      <c r="G315" s="269"/>
      <c r="H315" s="469"/>
      <c r="I315" s="845"/>
      <c r="J315" s="845"/>
      <c r="K315" s="198"/>
      <c r="L315" s="266">
        <v>10</v>
      </c>
      <c r="M315" s="359" t="s">
        <v>532</v>
      </c>
      <c r="N315" s="267" t="s">
        <v>604</v>
      </c>
      <c r="O315" s="489"/>
      <c r="P315" s="395"/>
      <c r="Q315" s="269">
        <v>1217.4000000000001</v>
      </c>
      <c r="R315" s="524"/>
      <c r="S315" s="559" t="s">
        <v>605</v>
      </c>
      <c r="T315" s="612">
        <v>46022</v>
      </c>
      <c r="U315" s="694">
        <v>608.42503176814455</v>
      </c>
      <c r="V315" s="851"/>
      <c r="W315" s="691">
        <v>46029</v>
      </c>
      <c r="X315" s="848"/>
      <c r="Y315" s="409"/>
    </row>
    <row r="316" spans="2:25" ht="14.25" customHeight="1">
      <c r="B316" s="266"/>
      <c r="C316" s="267"/>
      <c r="D316" s="267"/>
      <c r="E316" s="268"/>
      <c r="F316" s="395"/>
      <c r="G316" s="269"/>
      <c r="H316" s="469"/>
      <c r="I316" s="845"/>
      <c r="J316" s="845"/>
      <c r="K316" s="198"/>
      <c r="L316" s="266">
        <v>10</v>
      </c>
      <c r="M316" s="359" t="s">
        <v>532</v>
      </c>
      <c r="N316" s="267" t="s">
        <v>604</v>
      </c>
      <c r="O316" s="489"/>
      <c r="P316" s="395"/>
      <c r="Q316" s="269">
        <v>608.70000000000005</v>
      </c>
      <c r="R316" s="524"/>
      <c r="S316" s="559" t="s">
        <v>606</v>
      </c>
      <c r="T316" s="612">
        <v>46022</v>
      </c>
      <c r="U316" s="694">
        <v>304.21251588407227</v>
      </c>
      <c r="V316" s="851"/>
      <c r="W316" s="691">
        <v>46029</v>
      </c>
      <c r="X316" s="848"/>
      <c r="Y316" s="409"/>
    </row>
    <row r="317" spans="2:25" ht="14.25" customHeight="1">
      <c r="B317" s="266"/>
      <c r="C317" s="267"/>
      <c r="D317" s="267"/>
      <c r="E317" s="268"/>
      <c r="F317" s="395"/>
      <c r="G317" s="269"/>
      <c r="H317" s="508"/>
      <c r="I317" s="845"/>
      <c r="J317" s="845"/>
      <c r="K317" s="198"/>
      <c r="L317" s="266">
        <v>10</v>
      </c>
      <c r="M317" s="359" t="s">
        <v>532</v>
      </c>
      <c r="N317" s="762" t="s">
        <v>607</v>
      </c>
      <c r="O317" s="489"/>
      <c r="P317" s="395"/>
      <c r="Q317" s="269">
        <v>1826.1</v>
      </c>
      <c r="R317" s="524"/>
      <c r="S317" s="559" t="s">
        <v>608</v>
      </c>
      <c r="T317" s="690">
        <v>46053</v>
      </c>
      <c r="U317" s="443">
        <v>0</v>
      </c>
      <c r="V317" s="851"/>
      <c r="W317" s="469">
        <v>46058</v>
      </c>
      <c r="X317" s="848"/>
      <c r="Y317" s="409"/>
    </row>
    <row r="318" spans="2:25" ht="14.25" customHeight="1">
      <c r="B318" s="266"/>
      <c r="C318" s="267"/>
      <c r="D318" s="267"/>
      <c r="E318" s="268"/>
      <c r="F318" s="395"/>
      <c r="G318" s="269"/>
      <c r="H318" s="508"/>
      <c r="I318" s="845"/>
      <c r="J318" s="845"/>
      <c r="K318" s="198"/>
      <c r="L318" s="266">
        <v>10</v>
      </c>
      <c r="M318" s="359" t="s">
        <v>532</v>
      </c>
      <c r="N318" s="267" t="s">
        <v>607</v>
      </c>
      <c r="O318" s="489"/>
      <c r="P318" s="395"/>
      <c r="Q318" s="269">
        <v>913.05</v>
      </c>
      <c r="R318" s="524"/>
      <c r="S318" s="559" t="s">
        <v>609</v>
      </c>
      <c r="T318" s="690">
        <v>46053</v>
      </c>
      <c r="U318" s="443">
        <v>0</v>
      </c>
      <c r="V318" s="851"/>
      <c r="W318" s="469">
        <v>46058</v>
      </c>
      <c r="X318" s="848"/>
      <c r="Y318" s="409"/>
    </row>
    <row r="319" spans="2:25" ht="14.25" customHeight="1">
      <c r="B319" s="266"/>
      <c r="C319" s="267"/>
      <c r="D319" s="267"/>
      <c r="E319" s="268"/>
      <c r="F319" s="395"/>
      <c r="G319" s="269"/>
      <c r="H319" s="508"/>
      <c r="I319" s="845"/>
      <c r="J319" s="845"/>
      <c r="K319" s="198"/>
      <c r="L319" s="266">
        <v>10</v>
      </c>
      <c r="M319" s="359" t="s">
        <v>532</v>
      </c>
      <c r="N319" s="267" t="s">
        <v>610</v>
      </c>
      <c r="O319" s="489"/>
      <c r="P319" s="395"/>
      <c r="Q319" s="269">
        <v>2434.7800000000002</v>
      </c>
      <c r="R319" s="524"/>
      <c r="S319" s="559" t="s">
        <v>611</v>
      </c>
      <c r="T319" s="612">
        <v>46081</v>
      </c>
      <c r="U319" s="443">
        <v>0</v>
      </c>
      <c r="V319" s="851"/>
      <c r="W319" s="691">
        <v>46086</v>
      </c>
      <c r="X319" s="848"/>
      <c r="Y319" s="409"/>
    </row>
    <row r="320" spans="2:25" ht="14.25" customHeight="1">
      <c r="B320" s="266"/>
      <c r="C320" s="267"/>
      <c r="D320" s="267"/>
      <c r="E320" s="268"/>
      <c r="F320" s="395"/>
      <c r="G320" s="269"/>
      <c r="H320" s="508"/>
      <c r="I320" s="845"/>
      <c r="J320" s="845"/>
      <c r="K320" s="198"/>
      <c r="L320" s="266">
        <v>10</v>
      </c>
      <c r="M320" s="359" t="s">
        <v>532</v>
      </c>
      <c r="N320" s="267" t="s">
        <v>610</v>
      </c>
      <c r="O320" s="489"/>
      <c r="P320" s="395"/>
      <c r="Q320" s="269">
        <v>1217.3900000000001</v>
      </c>
      <c r="R320" s="524"/>
      <c r="S320" s="559" t="s">
        <v>612</v>
      </c>
      <c r="T320" s="612">
        <v>46081</v>
      </c>
      <c r="U320" s="443">
        <v>0</v>
      </c>
      <c r="V320" s="851"/>
      <c r="W320" s="691">
        <v>46086</v>
      </c>
      <c r="X320" s="848"/>
      <c r="Y320" s="409"/>
    </row>
    <row r="321" spans="1:25" ht="14.25" customHeight="1">
      <c r="B321" s="266">
        <v>10</v>
      </c>
      <c r="C321" s="267"/>
      <c r="D321" s="267"/>
      <c r="E321" s="268"/>
      <c r="F321" s="395"/>
      <c r="G321" s="269"/>
      <c r="H321" s="508"/>
      <c r="I321" s="845"/>
      <c r="J321" s="845"/>
      <c r="K321" s="198"/>
      <c r="L321" s="266">
        <v>10</v>
      </c>
      <c r="M321" s="359" t="s">
        <v>532</v>
      </c>
      <c r="N321" s="267"/>
      <c r="O321" s="489"/>
      <c r="P321" s="395"/>
      <c r="Q321" s="269"/>
      <c r="R321" s="524"/>
      <c r="S321" s="559"/>
      <c r="T321" s="457"/>
      <c r="U321" s="443">
        <f t="shared" ref="U321:U322" si="29">(Q321/$X$258*$J$258)</f>
        <v>0</v>
      </c>
      <c r="V321" s="851"/>
      <c r="W321" s="508"/>
      <c r="X321" s="848"/>
      <c r="Y321" s="409"/>
    </row>
    <row r="322" spans="1:25" ht="15" customHeight="1" thickBot="1">
      <c r="B322" s="199">
        <v>10</v>
      </c>
      <c r="C322" s="270"/>
      <c r="D322" s="270"/>
      <c r="E322" s="271"/>
      <c r="F322" s="396"/>
      <c r="G322" s="200"/>
      <c r="H322" s="509"/>
      <c r="I322" s="846"/>
      <c r="J322" s="846"/>
      <c r="K322" s="201"/>
      <c r="L322" s="266">
        <v>10</v>
      </c>
      <c r="M322" s="360" t="s">
        <v>532</v>
      </c>
      <c r="N322" s="270"/>
      <c r="O322" s="490"/>
      <c r="P322" s="396"/>
      <c r="Q322" s="200"/>
      <c r="R322" s="525"/>
      <c r="S322" s="560"/>
      <c r="T322" s="458" t="str">
        <f t="shared" si="21"/>
        <v/>
      </c>
      <c r="U322" s="443">
        <f t="shared" si="29"/>
        <v>0</v>
      </c>
      <c r="V322" s="852"/>
      <c r="W322" s="509"/>
      <c r="X322" s="849"/>
      <c r="Y322" s="409"/>
    </row>
    <row r="323" spans="1:25" ht="13.9" thickBot="1">
      <c r="A323" s="4"/>
      <c r="B323" s="202"/>
      <c r="C323" s="203"/>
      <c r="D323" s="203"/>
      <c r="E323" s="217"/>
      <c r="F323" s="380"/>
      <c r="G323" s="205"/>
      <c r="H323" s="499"/>
      <c r="I323" s="206"/>
      <c r="J323" s="328"/>
      <c r="K323" s="4"/>
      <c r="L323" s="202"/>
      <c r="M323" s="203"/>
      <c r="N323" s="203"/>
      <c r="O323" s="479"/>
      <c r="P323" s="380"/>
      <c r="Q323" s="205"/>
      <c r="R323" s="518"/>
      <c r="S323" s="553"/>
      <c r="T323" s="448" t="str">
        <f t="shared" si="21"/>
        <v/>
      </c>
      <c r="U323" s="433"/>
      <c r="V323" s="421"/>
      <c r="W323" s="499"/>
      <c r="X323" s="276"/>
      <c r="Y323" s="409"/>
    </row>
    <row r="324" spans="1:25" ht="14.25" customHeight="1">
      <c r="B324" s="207">
        <v>11</v>
      </c>
      <c r="C324" s="208" t="s">
        <v>613</v>
      </c>
      <c r="D324" s="277" t="s">
        <v>614</v>
      </c>
      <c r="E324" s="209"/>
      <c r="F324" s="361"/>
      <c r="G324" s="210">
        <v>300000</v>
      </c>
      <c r="H324" s="503">
        <v>45991</v>
      </c>
      <c r="I324" s="841">
        <f>SUM(G324:G337)</f>
        <v>420000</v>
      </c>
      <c r="J324" s="841">
        <f>F457</f>
        <v>494117.64705882355</v>
      </c>
      <c r="K324" s="211"/>
      <c r="L324" s="207">
        <v>11</v>
      </c>
      <c r="M324" s="277" t="s">
        <v>615</v>
      </c>
      <c r="N324" s="277" t="s">
        <v>614</v>
      </c>
      <c r="O324" s="209"/>
      <c r="P324" s="361"/>
      <c r="Q324" s="210">
        <v>0</v>
      </c>
      <c r="R324" s="517"/>
      <c r="S324" s="552"/>
      <c r="T324" s="716">
        <v>46081</v>
      </c>
      <c r="U324" s="438">
        <f>(Q324/$X$324*$J$324)</f>
        <v>0</v>
      </c>
      <c r="V324" s="829">
        <f>J324-SUM(U324:U337)</f>
        <v>-3.9847782463766634E-3</v>
      </c>
      <c r="W324" s="764">
        <v>46112</v>
      </c>
      <c r="X324" s="826">
        <f>SUM(Q324:Q337)</f>
        <v>426656</v>
      </c>
      <c r="Y324" s="409"/>
    </row>
    <row r="325" spans="1:25" ht="14.25" customHeight="1">
      <c r="B325" s="212"/>
      <c r="C325" s="213"/>
      <c r="D325" s="699"/>
      <c r="E325" s="375"/>
      <c r="F325" s="376"/>
      <c r="G325" s="700"/>
      <c r="H325" s="503"/>
      <c r="I325" s="842"/>
      <c r="J325" s="842"/>
      <c r="K325" s="214"/>
      <c r="L325" s="237">
        <v>11</v>
      </c>
      <c r="M325" s="315" t="s">
        <v>615</v>
      </c>
      <c r="N325" s="757" t="s">
        <v>616</v>
      </c>
      <c r="O325" s="375"/>
      <c r="P325" s="376"/>
      <c r="Q325" s="700">
        <v>35600</v>
      </c>
      <c r="R325" s="517" t="s">
        <v>617</v>
      </c>
      <c r="S325" s="552" t="s">
        <v>618</v>
      </c>
      <c r="T325" s="609">
        <v>46081</v>
      </c>
      <c r="U325" s="736">
        <v>193606.6819007681</v>
      </c>
      <c r="V325" s="830"/>
      <c r="W325" s="764">
        <v>46079</v>
      </c>
      <c r="X325" s="827"/>
      <c r="Y325" s="409"/>
    </row>
    <row r="326" spans="1:25" ht="14.25" customHeight="1">
      <c r="B326" s="212"/>
      <c r="C326" s="213"/>
      <c r="D326" s="699"/>
      <c r="E326" s="375"/>
      <c r="F326" s="376"/>
      <c r="G326" s="700"/>
      <c r="H326" s="503"/>
      <c r="I326" s="842"/>
      <c r="J326" s="842"/>
      <c r="K326" s="214"/>
      <c r="L326" s="237">
        <v>11</v>
      </c>
      <c r="M326" s="315" t="s">
        <v>615</v>
      </c>
      <c r="N326" s="699" t="s">
        <v>619</v>
      </c>
      <c r="O326" s="375"/>
      <c r="P326" s="376"/>
      <c r="Q326" s="700">
        <v>28400</v>
      </c>
      <c r="R326" s="517" t="s">
        <v>620</v>
      </c>
      <c r="S326" s="552" t="s">
        <v>621</v>
      </c>
      <c r="T326" s="716">
        <v>45991</v>
      </c>
      <c r="U326" s="736">
        <v>21812.49766334868</v>
      </c>
      <c r="V326" s="830"/>
      <c r="W326" s="749">
        <v>45995</v>
      </c>
      <c r="X326" s="827"/>
      <c r="Y326" s="409"/>
    </row>
    <row r="327" spans="1:25" ht="14.25" customHeight="1">
      <c r="B327" s="212"/>
      <c r="C327" s="213"/>
      <c r="D327" s="699"/>
      <c r="E327" s="375"/>
      <c r="F327" s="376"/>
      <c r="G327" s="700"/>
      <c r="H327" s="503"/>
      <c r="I327" s="842"/>
      <c r="J327" s="842"/>
      <c r="K327" s="214"/>
      <c r="L327" s="237">
        <v>11</v>
      </c>
      <c r="M327" s="315" t="s">
        <v>615</v>
      </c>
      <c r="N327" s="699"/>
      <c r="O327" s="375"/>
      <c r="P327" s="376"/>
      <c r="Q327" s="700"/>
      <c r="R327" s="517"/>
      <c r="S327" s="552"/>
      <c r="T327" s="452"/>
      <c r="U327" s="438"/>
      <c r="V327" s="830"/>
      <c r="W327" s="503"/>
      <c r="X327" s="827"/>
      <c r="Y327" s="409"/>
    </row>
    <row r="328" spans="1:25" ht="14.25" customHeight="1">
      <c r="B328" s="212"/>
      <c r="C328" s="213"/>
      <c r="D328" s="699"/>
      <c r="E328" s="375"/>
      <c r="F328" s="376"/>
      <c r="G328" s="700"/>
      <c r="H328" s="503"/>
      <c r="I328" s="842"/>
      <c r="J328" s="842"/>
      <c r="K328" s="214"/>
      <c r="L328" s="237">
        <v>11</v>
      </c>
      <c r="M328" s="315" t="s">
        <v>615</v>
      </c>
      <c r="N328" s="699"/>
      <c r="O328" s="375"/>
      <c r="P328" s="376"/>
      <c r="Q328" s="700"/>
      <c r="R328" s="517"/>
      <c r="S328" s="552"/>
      <c r="T328" s="609">
        <v>46053</v>
      </c>
      <c r="U328" s="438">
        <v>0</v>
      </c>
      <c r="V328" s="830"/>
      <c r="W328" s="764">
        <v>46053</v>
      </c>
      <c r="X328" s="827"/>
      <c r="Y328" s="409"/>
    </row>
    <row r="329" spans="1:25" ht="14.25" customHeight="1">
      <c r="B329" s="212"/>
      <c r="C329" s="213"/>
      <c r="D329" s="699"/>
      <c r="E329" s="375"/>
      <c r="F329" s="376"/>
      <c r="G329" s="700"/>
      <c r="H329" s="503"/>
      <c r="I329" s="842"/>
      <c r="J329" s="842"/>
      <c r="K329" s="214"/>
      <c r="L329" s="237">
        <v>11</v>
      </c>
      <c r="M329" s="315" t="s">
        <v>615</v>
      </c>
      <c r="N329" s="699"/>
      <c r="O329" s="375"/>
      <c r="P329" s="376"/>
      <c r="Q329" s="700"/>
      <c r="R329" s="517"/>
      <c r="S329" s="552"/>
      <c r="T329" s="452"/>
      <c r="U329" s="438"/>
      <c r="V329" s="830"/>
      <c r="W329" s="503"/>
      <c r="X329" s="827"/>
      <c r="Y329" s="409"/>
    </row>
    <row r="330" spans="1:25" ht="14.25" customHeight="1">
      <c r="B330" s="212"/>
      <c r="C330" s="213"/>
      <c r="D330" s="699"/>
      <c r="E330" s="375"/>
      <c r="F330" s="376"/>
      <c r="G330" s="700"/>
      <c r="H330" s="503"/>
      <c r="I330" s="842"/>
      <c r="J330" s="842"/>
      <c r="K330" s="214"/>
      <c r="L330" s="237">
        <v>11</v>
      </c>
      <c r="M330" s="315" t="s">
        <v>615</v>
      </c>
      <c r="N330" s="699"/>
      <c r="O330" s="375"/>
      <c r="P330" s="376"/>
      <c r="Q330" s="700"/>
      <c r="R330" s="517"/>
      <c r="S330" s="552"/>
      <c r="T330" s="452"/>
      <c r="U330" s="438"/>
      <c r="V330" s="830"/>
      <c r="W330" s="503"/>
      <c r="X330" s="827"/>
      <c r="Y330" s="409"/>
    </row>
    <row r="331" spans="1:25" ht="15" customHeight="1">
      <c r="B331" s="237">
        <v>11</v>
      </c>
      <c r="C331" s="239"/>
      <c r="D331" s="239" t="s">
        <v>622</v>
      </c>
      <c r="E331" s="240"/>
      <c r="F331" s="383"/>
      <c r="G331" s="241">
        <v>40000</v>
      </c>
      <c r="H331" s="460">
        <v>45841</v>
      </c>
      <c r="I331" s="842"/>
      <c r="J331" s="842"/>
      <c r="K331" s="214"/>
      <c r="L331" s="237">
        <v>11</v>
      </c>
      <c r="M331" s="315" t="s">
        <v>615</v>
      </c>
      <c r="N331" s="239" t="s">
        <v>622</v>
      </c>
      <c r="O331" s="240"/>
      <c r="P331" s="383"/>
      <c r="Q331" s="241">
        <v>10400</v>
      </c>
      <c r="R331" s="510" t="s">
        <v>623</v>
      </c>
      <c r="S331" s="545" t="s">
        <v>624</v>
      </c>
      <c r="T331" s="613">
        <v>45838</v>
      </c>
      <c r="U331" s="693">
        <v>12174.422007609013</v>
      </c>
      <c r="V331" s="830"/>
      <c r="W331" s="460">
        <v>45841</v>
      </c>
      <c r="X331" s="827"/>
      <c r="Y331" s="409"/>
    </row>
    <row r="332" spans="1:25" ht="15" customHeight="1">
      <c r="B332" s="237">
        <v>11</v>
      </c>
      <c r="C332" s="239"/>
      <c r="D332" s="239" t="s">
        <v>625</v>
      </c>
      <c r="E332" s="240"/>
      <c r="F332" s="383"/>
      <c r="G332" s="241">
        <v>80000</v>
      </c>
      <c r="H332" s="460">
        <v>45841</v>
      </c>
      <c r="I332" s="842"/>
      <c r="J332" s="842"/>
      <c r="K332" s="214"/>
      <c r="L332" s="237">
        <v>11</v>
      </c>
      <c r="M332" s="315" t="s">
        <v>615</v>
      </c>
      <c r="N332" s="239" t="s">
        <v>625</v>
      </c>
      <c r="O332" s="240"/>
      <c r="P332" s="383"/>
      <c r="Q332" s="241">
        <v>79700</v>
      </c>
      <c r="R332" s="510" t="s">
        <v>626</v>
      </c>
      <c r="S332" s="545" t="s">
        <v>627</v>
      </c>
      <c r="T332" s="610">
        <v>45961</v>
      </c>
      <c r="U332" s="693">
        <v>58776.043794679215</v>
      </c>
      <c r="V332" s="830"/>
      <c r="W332" s="692">
        <v>46031</v>
      </c>
      <c r="X332" s="827"/>
      <c r="Y332" s="409"/>
    </row>
    <row r="333" spans="1:25" ht="15" customHeight="1">
      <c r="B333" s="237">
        <v>11</v>
      </c>
      <c r="C333" s="313"/>
      <c r="D333" s="313"/>
      <c r="E333" s="332"/>
      <c r="F333" s="368"/>
      <c r="G333" s="312"/>
      <c r="H333" s="497"/>
      <c r="I333" s="842"/>
      <c r="J333" s="842"/>
      <c r="K333" s="214"/>
      <c r="L333" s="237">
        <v>11</v>
      </c>
      <c r="M333" s="315" t="s">
        <v>615</v>
      </c>
      <c r="N333" s="313" t="s">
        <v>628</v>
      </c>
      <c r="O333" s="332"/>
      <c r="P333" s="368"/>
      <c r="Q333" s="312">
        <v>252556</v>
      </c>
      <c r="R333" s="564" t="s">
        <v>629</v>
      </c>
      <c r="S333" s="546" t="s">
        <v>630</v>
      </c>
      <c r="T333" s="610">
        <v>45869</v>
      </c>
      <c r="U333" s="693">
        <v>184585.6619127203</v>
      </c>
      <c r="V333" s="830"/>
      <c r="W333" s="497">
        <v>46173</v>
      </c>
      <c r="X333" s="827"/>
      <c r="Y333" s="409"/>
    </row>
    <row r="334" spans="1:25" ht="15" customHeight="1">
      <c r="B334" s="309"/>
      <c r="C334" s="313"/>
      <c r="D334" s="313"/>
      <c r="E334" s="332"/>
      <c r="F334" s="368"/>
      <c r="G334" s="312"/>
      <c r="H334" s="497"/>
      <c r="I334" s="842"/>
      <c r="J334" s="842"/>
      <c r="K334" s="214"/>
      <c r="L334" s="237">
        <v>11</v>
      </c>
      <c r="M334" s="315" t="s">
        <v>615</v>
      </c>
      <c r="N334" s="313"/>
      <c r="O334" s="332"/>
      <c r="P334" s="368"/>
      <c r="Q334" s="312"/>
      <c r="R334" s="564"/>
      <c r="S334" s="546"/>
      <c r="T334" s="446"/>
      <c r="U334" s="430">
        <f>(Q334/$X$324*$J$324)</f>
        <v>0</v>
      </c>
      <c r="V334" s="830"/>
      <c r="W334" s="497"/>
      <c r="X334" s="827"/>
      <c r="Y334" s="409"/>
    </row>
    <row r="335" spans="1:25" ht="15" customHeight="1">
      <c r="B335" s="309"/>
      <c r="C335" s="313"/>
      <c r="D335" s="313"/>
      <c r="E335" s="332"/>
      <c r="F335" s="368"/>
      <c r="G335" s="312"/>
      <c r="H335" s="497"/>
      <c r="I335" s="842"/>
      <c r="J335" s="842"/>
      <c r="K335" s="214"/>
      <c r="L335" s="237">
        <v>11</v>
      </c>
      <c r="M335" s="315" t="s">
        <v>615</v>
      </c>
      <c r="N335" s="313"/>
      <c r="O335" s="332"/>
      <c r="P335" s="368"/>
      <c r="Q335" s="312"/>
      <c r="R335" s="564"/>
      <c r="S335" s="546"/>
      <c r="T335" s="446"/>
      <c r="U335" s="430">
        <f>(Q335/$X$324*$J$324)</f>
        <v>0</v>
      </c>
      <c r="V335" s="830"/>
      <c r="W335" s="497"/>
      <c r="X335" s="827"/>
      <c r="Y335" s="409"/>
    </row>
    <row r="336" spans="1:25" ht="15" customHeight="1">
      <c r="B336" s="309"/>
      <c r="C336" s="313"/>
      <c r="D336" s="313"/>
      <c r="E336" s="332"/>
      <c r="F336" s="368"/>
      <c r="G336" s="312"/>
      <c r="H336" s="497"/>
      <c r="I336" s="842"/>
      <c r="J336" s="842"/>
      <c r="K336" s="214"/>
      <c r="L336" s="237">
        <v>11</v>
      </c>
      <c r="M336" s="315" t="s">
        <v>615</v>
      </c>
      <c r="N336" s="313" t="s">
        <v>631</v>
      </c>
      <c r="O336" s="332"/>
      <c r="P336" s="368"/>
      <c r="Q336" s="312">
        <v>10000</v>
      </c>
      <c r="R336" s="564"/>
      <c r="S336" s="546" t="s">
        <v>632</v>
      </c>
      <c r="T336" s="606">
        <v>46081</v>
      </c>
      <c r="U336" s="693">
        <v>11581.171882238234</v>
      </c>
      <c r="V336" s="830"/>
      <c r="W336" s="461">
        <v>46108</v>
      </c>
      <c r="X336" s="827"/>
      <c r="Y336" s="409"/>
    </row>
    <row r="337" spans="1:25" ht="15" customHeight="1">
      <c r="B337" s="242">
        <v>11</v>
      </c>
      <c r="C337" s="243"/>
      <c r="D337" s="243"/>
      <c r="E337" s="244"/>
      <c r="F337" s="384"/>
      <c r="G337" s="256"/>
      <c r="H337" s="498"/>
      <c r="I337" s="843"/>
      <c r="J337" s="843"/>
      <c r="K337" s="215"/>
      <c r="L337" s="242">
        <v>11</v>
      </c>
      <c r="M337" s="344" t="s">
        <v>615</v>
      </c>
      <c r="N337" s="243" t="s">
        <v>633</v>
      </c>
      <c r="O337" s="478"/>
      <c r="P337" s="384"/>
      <c r="Q337" s="256">
        <v>10000</v>
      </c>
      <c r="R337" s="512"/>
      <c r="S337" s="547" t="s">
        <v>632</v>
      </c>
      <c r="T337" s="643">
        <v>46081</v>
      </c>
      <c r="U337" s="796">
        <v>11581.171882238234</v>
      </c>
      <c r="V337" s="831"/>
      <c r="W337" s="462">
        <v>46108</v>
      </c>
      <c r="X337" s="828"/>
      <c r="Y337" s="409"/>
    </row>
    <row r="338" spans="1:25" ht="15" customHeight="1" thickBot="1">
      <c r="A338" s="4"/>
      <c r="B338" s="216"/>
      <c r="C338" s="203"/>
      <c r="D338" s="203"/>
      <c r="E338" s="217"/>
      <c r="F338" s="380"/>
      <c r="G338" s="218"/>
      <c r="H338" s="499"/>
      <c r="I338" s="206"/>
      <c r="J338" s="206"/>
      <c r="K338" s="4"/>
      <c r="L338" s="216"/>
      <c r="M338" s="203"/>
      <c r="N338" s="203"/>
      <c r="O338" s="479"/>
      <c r="P338" s="380"/>
      <c r="Q338" s="218"/>
      <c r="R338" s="513"/>
      <c r="S338" s="548"/>
      <c r="T338" s="448" t="str">
        <f t="shared" si="21"/>
        <v/>
      </c>
      <c r="U338" s="437"/>
      <c r="V338" s="420"/>
      <c r="W338" s="499"/>
      <c r="X338" s="276"/>
      <c r="Y338" s="409"/>
    </row>
    <row r="339" spans="1:25">
      <c r="B339" s="195">
        <v>12</v>
      </c>
      <c r="C339" s="196" t="s">
        <v>634</v>
      </c>
      <c r="D339" s="196"/>
      <c r="E339" s="197"/>
      <c r="F339" s="394"/>
      <c r="G339" s="264"/>
      <c r="H339" s="506"/>
      <c r="I339" s="844">
        <f>SUM(G339:G340)</f>
        <v>205449.89057158865</v>
      </c>
      <c r="J339" s="844">
        <v>0</v>
      </c>
      <c r="K339" s="399"/>
      <c r="L339" s="195">
        <v>12</v>
      </c>
      <c r="M339" s="196" t="s">
        <v>635</v>
      </c>
      <c r="N339" s="196"/>
      <c r="O339" s="488"/>
      <c r="P339" s="394"/>
      <c r="Q339" s="264"/>
      <c r="R339" s="522"/>
      <c r="S339" s="557"/>
      <c r="T339" s="456" t="str">
        <f t="shared" si="21"/>
        <v/>
      </c>
      <c r="U339" s="442"/>
      <c r="V339" s="419"/>
      <c r="W339" s="506"/>
      <c r="X339" s="847">
        <f>SUM(Q339:Q340)</f>
        <v>0</v>
      </c>
      <c r="Y339" s="409"/>
    </row>
    <row r="340" spans="1:25" ht="15" customHeight="1" thickBot="1">
      <c r="B340" s="199">
        <v>12</v>
      </c>
      <c r="C340" s="270" t="s">
        <v>634</v>
      </c>
      <c r="D340" s="270" t="s">
        <v>636</v>
      </c>
      <c r="E340" s="271"/>
      <c r="F340" s="396"/>
      <c r="G340" s="200">
        <v>205449.89057158865</v>
      </c>
      <c r="H340" s="509">
        <f>H324</f>
        <v>45991</v>
      </c>
      <c r="I340" s="846"/>
      <c r="J340" s="846"/>
      <c r="K340" s="400"/>
      <c r="L340" s="199">
        <v>12</v>
      </c>
      <c r="M340" s="270" t="s">
        <v>635</v>
      </c>
      <c r="N340" s="270" t="s">
        <v>636</v>
      </c>
      <c r="O340" s="490"/>
      <c r="P340" s="396"/>
      <c r="Q340" s="200">
        <v>0</v>
      </c>
      <c r="R340" s="525"/>
      <c r="S340" s="560"/>
      <c r="T340" s="458" t="str">
        <f t="shared" si="21"/>
        <v/>
      </c>
      <c r="U340" s="444"/>
      <c r="V340" s="418"/>
      <c r="W340" s="509"/>
      <c r="X340" s="849"/>
      <c r="Y340" s="409"/>
    </row>
    <row r="341" spans="1:25" ht="14.25" thickBot="1">
      <c r="A341" s="4"/>
      <c r="B341" s="216"/>
      <c r="C341" s="203"/>
      <c r="D341" s="203"/>
      <c r="E341" s="217"/>
      <c r="F341" s="380"/>
      <c r="G341" s="218"/>
      <c r="H341" s="499"/>
      <c r="I341" s="252"/>
      <c r="J341" s="252"/>
      <c r="K341" s="4"/>
      <c r="L341" s="216"/>
      <c r="M341" s="203"/>
      <c r="N341" s="203"/>
      <c r="O341" s="479"/>
      <c r="P341" s="380"/>
      <c r="Q341" s="218"/>
      <c r="R341" s="513"/>
      <c r="S341" s="548"/>
      <c r="T341" s="448" t="str">
        <f t="shared" si="21"/>
        <v/>
      </c>
      <c r="U341" s="437"/>
      <c r="V341" s="420"/>
      <c r="W341" s="499"/>
      <c r="X341" s="410"/>
      <c r="Y341" s="409"/>
    </row>
    <row r="342" spans="1:25" ht="15.75" customHeight="1">
      <c r="B342" s="207">
        <v>13</v>
      </c>
      <c r="C342" s="208" t="s">
        <v>637</v>
      </c>
      <c r="D342" s="277" t="s">
        <v>638</v>
      </c>
      <c r="E342" s="209"/>
      <c r="F342" s="361"/>
      <c r="G342" s="210">
        <v>950000</v>
      </c>
      <c r="H342" s="503">
        <v>46022</v>
      </c>
      <c r="I342" s="841">
        <f>SUM(G342:G357)</f>
        <v>950000</v>
      </c>
      <c r="J342" s="841">
        <f>F456</f>
        <v>1079545.4545454546</v>
      </c>
      <c r="K342" s="211"/>
      <c r="L342" s="207">
        <v>13</v>
      </c>
      <c r="M342" s="277" t="s">
        <v>639</v>
      </c>
      <c r="N342" s="277" t="s">
        <v>640</v>
      </c>
      <c r="O342" s="475"/>
      <c r="P342" s="361"/>
      <c r="Q342" s="210">
        <f>985688/12</f>
        <v>82140.666666666672</v>
      </c>
      <c r="R342" s="765"/>
      <c r="S342" s="552" t="s">
        <v>641</v>
      </c>
      <c r="T342" s="609">
        <v>46081</v>
      </c>
      <c r="U342" s="736">
        <v>86896.76</v>
      </c>
      <c r="V342" s="829">
        <f>J342-SUM(U342:U364)</f>
        <v>-3.1437885481864214E-3</v>
      </c>
      <c r="W342" s="764">
        <v>46108</v>
      </c>
      <c r="X342" s="826">
        <f>SUM(Q342:Q364)</f>
        <v>1011274.9999999999</v>
      </c>
      <c r="Y342" s="409"/>
    </row>
    <row r="343" spans="1:25" ht="15.75" customHeight="1">
      <c r="B343" s="212"/>
      <c r="C343" s="213"/>
      <c r="D343" s="699"/>
      <c r="E343" s="375"/>
      <c r="F343" s="376"/>
      <c r="G343" s="700"/>
      <c r="H343" s="503"/>
      <c r="I343" s="842"/>
      <c r="J343" s="842"/>
      <c r="K343" s="214"/>
      <c r="L343" s="212">
        <v>13</v>
      </c>
      <c r="M343" s="699" t="s">
        <v>639</v>
      </c>
      <c r="N343" s="699" t="s">
        <v>640</v>
      </c>
      <c r="O343" s="483"/>
      <c r="P343" s="376"/>
      <c r="Q343" s="700">
        <v>82140.666666666672</v>
      </c>
      <c r="R343" s="765"/>
      <c r="S343" s="552" t="s">
        <v>641</v>
      </c>
      <c r="T343" s="609">
        <v>46081</v>
      </c>
      <c r="U343" s="736">
        <v>86896.76</v>
      </c>
      <c r="V343" s="830"/>
      <c r="W343" s="764">
        <v>46149</v>
      </c>
      <c r="X343" s="827"/>
      <c r="Y343" s="409"/>
    </row>
    <row r="344" spans="1:25" ht="15.75" customHeight="1">
      <c r="B344" s="212"/>
      <c r="C344" s="213"/>
      <c r="D344" s="699"/>
      <c r="E344" s="375"/>
      <c r="F344" s="376"/>
      <c r="G344" s="700"/>
      <c r="H344" s="503"/>
      <c r="I344" s="842"/>
      <c r="J344" s="842"/>
      <c r="K344" s="214"/>
      <c r="L344" s="212">
        <v>13</v>
      </c>
      <c r="M344" s="699" t="s">
        <v>639</v>
      </c>
      <c r="N344" s="699" t="s">
        <v>640</v>
      </c>
      <c r="O344" s="483"/>
      <c r="P344" s="376"/>
      <c r="Q344" s="700">
        <v>82140.666666666672</v>
      </c>
      <c r="R344" s="765"/>
      <c r="S344" s="552" t="s">
        <v>641</v>
      </c>
      <c r="T344" s="609">
        <v>46081</v>
      </c>
      <c r="U344" s="736">
        <v>86896.76</v>
      </c>
      <c r="V344" s="830"/>
      <c r="W344" s="503">
        <v>46173</v>
      </c>
      <c r="X344" s="827"/>
      <c r="Y344" s="409"/>
    </row>
    <row r="345" spans="1:25" ht="15.75" customHeight="1">
      <c r="B345" s="212"/>
      <c r="C345" s="213"/>
      <c r="D345" s="699"/>
      <c r="E345" s="375"/>
      <c r="F345" s="376"/>
      <c r="G345" s="700"/>
      <c r="H345" s="503"/>
      <c r="I345" s="842"/>
      <c r="J345" s="842"/>
      <c r="K345" s="214"/>
      <c r="L345" s="212">
        <v>13</v>
      </c>
      <c r="M345" s="699" t="s">
        <v>639</v>
      </c>
      <c r="N345" s="699" t="s">
        <v>640</v>
      </c>
      <c r="O345" s="483"/>
      <c r="P345" s="376"/>
      <c r="Q345" s="700">
        <v>82140.666666666672</v>
      </c>
      <c r="R345" s="765"/>
      <c r="S345" s="552" t="s">
        <v>641</v>
      </c>
      <c r="T345" s="609">
        <v>46081</v>
      </c>
      <c r="U345" s="736">
        <v>86896.76</v>
      </c>
      <c r="V345" s="830"/>
      <c r="W345" s="503">
        <v>46203</v>
      </c>
      <c r="X345" s="827"/>
      <c r="Y345" s="409"/>
    </row>
    <row r="346" spans="1:25" ht="15.75" customHeight="1">
      <c r="B346" s="212"/>
      <c r="C346" s="213"/>
      <c r="D346" s="699"/>
      <c r="E346" s="375"/>
      <c r="F346" s="376"/>
      <c r="G346" s="700"/>
      <c r="H346" s="503"/>
      <c r="I346" s="842"/>
      <c r="J346" s="842"/>
      <c r="K346" s="214"/>
      <c r="L346" s="212">
        <v>13</v>
      </c>
      <c r="M346" s="699" t="s">
        <v>639</v>
      </c>
      <c r="N346" s="699" t="s">
        <v>640</v>
      </c>
      <c r="O346" s="483"/>
      <c r="P346" s="376"/>
      <c r="Q346" s="700">
        <v>82140.666666666672</v>
      </c>
      <c r="R346" s="765"/>
      <c r="S346" s="552" t="s">
        <v>641</v>
      </c>
      <c r="T346" s="609">
        <v>46081</v>
      </c>
      <c r="U346" s="736">
        <v>86896.76</v>
      </c>
      <c r="V346" s="830"/>
      <c r="W346" s="503">
        <v>46234</v>
      </c>
      <c r="X346" s="827"/>
      <c r="Y346" s="409"/>
    </row>
    <row r="347" spans="1:25" ht="15.75" customHeight="1">
      <c r="B347" s="212"/>
      <c r="C347" s="213"/>
      <c r="D347" s="699"/>
      <c r="E347" s="375"/>
      <c r="F347" s="376"/>
      <c r="G347" s="700"/>
      <c r="H347" s="503"/>
      <c r="I347" s="842"/>
      <c r="J347" s="842"/>
      <c r="K347" s="214"/>
      <c r="L347" s="212">
        <v>13</v>
      </c>
      <c r="M347" s="699" t="s">
        <v>639</v>
      </c>
      <c r="N347" s="699" t="s">
        <v>640</v>
      </c>
      <c r="O347" s="483"/>
      <c r="P347" s="376"/>
      <c r="Q347" s="700">
        <v>82140.666666666672</v>
      </c>
      <c r="R347" s="765"/>
      <c r="S347" s="552" t="s">
        <v>641</v>
      </c>
      <c r="T347" s="609">
        <v>46081</v>
      </c>
      <c r="U347" s="736">
        <v>86896.76</v>
      </c>
      <c r="V347" s="830"/>
      <c r="W347" s="503">
        <v>46265</v>
      </c>
      <c r="X347" s="827"/>
      <c r="Y347" s="409"/>
    </row>
    <row r="348" spans="1:25" ht="15.75" customHeight="1">
      <c r="B348" s="212"/>
      <c r="C348" s="213"/>
      <c r="D348" s="699"/>
      <c r="E348" s="375"/>
      <c r="F348" s="376"/>
      <c r="G348" s="700"/>
      <c r="H348" s="503"/>
      <c r="I348" s="842"/>
      <c r="J348" s="842"/>
      <c r="K348" s="214"/>
      <c r="L348" s="212">
        <v>13</v>
      </c>
      <c r="M348" s="699" t="s">
        <v>639</v>
      </c>
      <c r="N348" s="699" t="s">
        <v>640</v>
      </c>
      <c r="O348" s="483"/>
      <c r="P348" s="376"/>
      <c r="Q348" s="700">
        <v>82140.666666666672</v>
      </c>
      <c r="R348" s="765"/>
      <c r="S348" s="552" t="s">
        <v>641</v>
      </c>
      <c r="T348" s="609">
        <v>46081</v>
      </c>
      <c r="U348" s="736">
        <v>86896.76</v>
      </c>
      <c r="V348" s="830"/>
      <c r="W348" s="503">
        <v>46295</v>
      </c>
      <c r="X348" s="827"/>
      <c r="Y348" s="409"/>
    </row>
    <row r="349" spans="1:25" ht="15.75" customHeight="1">
      <c r="B349" s="212"/>
      <c r="C349" s="213"/>
      <c r="D349" s="699"/>
      <c r="E349" s="375"/>
      <c r="F349" s="376"/>
      <c r="G349" s="700"/>
      <c r="H349" s="503"/>
      <c r="I349" s="842"/>
      <c r="J349" s="842"/>
      <c r="K349" s="214"/>
      <c r="L349" s="212">
        <v>13</v>
      </c>
      <c r="M349" s="699" t="s">
        <v>639</v>
      </c>
      <c r="N349" s="699" t="s">
        <v>640</v>
      </c>
      <c r="O349" s="483"/>
      <c r="P349" s="376"/>
      <c r="Q349" s="700">
        <v>82140.666666666672</v>
      </c>
      <c r="R349" s="765"/>
      <c r="S349" s="552" t="s">
        <v>641</v>
      </c>
      <c r="T349" s="609">
        <v>46081</v>
      </c>
      <c r="U349" s="736">
        <v>86896.76</v>
      </c>
      <c r="V349" s="830"/>
      <c r="W349" s="503">
        <v>46326</v>
      </c>
      <c r="X349" s="827"/>
      <c r="Y349" s="409"/>
    </row>
    <row r="350" spans="1:25" ht="15.75" customHeight="1">
      <c r="B350" s="212"/>
      <c r="C350" s="213"/>
      <c r="D350" s="699"/>
      <c r="E350" s="375"/>
      <c r="F350" s="376"/>
      <c r="G350" s="700"/>
      <c r="H350" s="503"/>
      <c r="I350" s="842"/>
      <c r="J350" s="842"/>
      <c r="K350" s="214"/>
      <c r="L350" s="212">
        <v>13</v>
      </c>
      <c r="M350" s="699" t="s">
        <v>639</v>
      </c>
      <c r="N350" s="699" t="s">
        <v>640</v>
      </c>
      <c r="O350" s="483"/>
      <c r="P350" s="376"/>
      <c r="Q350" s="700">
        <v>82140.666666666672</v>
      </c>
      <c r="R350" s="765"/>
      <c r="S350" s="552" t="s">
        <v>641</v>
      </c>
      <c r="T350" s="609">
        <v>46081</v>
      </c>
      <c r="U350" s="736">
        <v>86896.76</v>
      </c>
      <c r="V350" s="830"/>
      <c r="W350" s="503">
        <v>46356</v>
      </c>
      <c r="X350" s="827"/>
      <c r="Y350" s="409"/>
    </row>
    <row r="351" spans="1:25" ht="15.75" customHeight="1">
      <c r="B351" s="212"/>
      <c r="C351" s="213"/>
      <c r="D351" s="699"/>
      <c r="E351" s="375"/>
      <c r="F351" s="376"/>
      <c r="G351" s="700"/>
      <c r="H351" s="503"/>
      <c r="I351" s="842"/>
      <c r="J351" s="842"/>
      <c r="K351" s="214"/>
      <c r="L351" s="212">
        <v>13</v>
      </c>
      <c r="M351" s="699" t="s">
        <v>639</v>
      </c>
      <c r="N351" s="699" t="s">
        <v>640</v>
      </c>
      <c r="O351" s="483"/>
      <c r="P351" s="376"/>
      <c r="Q351" s="700">
        <v>82140.666666666672</v>
      </c>
      <c r="R351" s="765"/>
      <c r="S351" s="552" t="s">
        <v>641</v>
      </c>
      <c r="T351" s="609">
        <v>46081</v>
      </c>
      <c r="U351" s="736">
        <v>86896.76</v>
      </c>
      <c r="V351" s="830"/>
      <c r="W351" s="503">
        <v>46387</v>
      </c>
      <c r="X351" s="827"/>
      <c r="Y351" s="409"/>
    </row>
    <row r="352" spans="1:25" ht="15.75" customHeight="1">
      <c r="B352" s="212"/>
      <c r="C352" s="213"/>
      <c r="D352" s="699"/>
      <c r="E352" s="375"/>
      <c r="F352" s="376"/>
      <c r="G352" s="700"/>
      <c r="H352" s="503"/>
      <c r="I352" s="842"/>
      <c r="J352" s="842"/>
      <c r="K352" s="214"/>
      <c r="L352" s="212">
        <v>13</v>
      </c>
      <c r="M352" s="699" t="s">
        <v>639</v>
      </c>
      <c r="N352" s="699" t="s">
        <v>640</v>
      </c>
      <c r="O352" s="483"/>
      <c r="P352" s="376"/>
      <c r="Q352" s="700">
        <v>82140.666666666672</v>
      </c>
      <c r="R352" s="765"/>
      <c r="S352" s="552" t="s">
        <v>641</v>
      </c>
      <c r="T352" s="609">
        <v>46081</v>
      </c>
      <c r="U352" s="736">
        <v>86896.76</v>
      </c>
      <c r="V352" s="830"/>
      <c r="W352" s="503">
        <v>46418</v>
      </c>
      <c r="X352" s="827"/>
      <c r="Y352" s="409"/>
    </row>
    <row r="353" spans="1:25" ht="15.75" customHeight="1">
      <c r="B353" s="212"/>
      <c r="C353" s="213"/>
      <c r="D353" s="699"/>
      <c r="E353" s="375"/>
      <c r="F353" s="376"/>
      <c r="G353" s="700"/>
      <c r="H353" s="503"/>
      <c r="I353" s="842"/>
      <c r="J353" s="842"/>
      <c r="K353" s="214"/>
      <c r="L353" s="212">
        <v>13</v>
      </c>
      <c r="M353" s="699" t="s">
        <v>639</v>
      </c>
      <c r="N353" s="699" t="s">
        <v>640</v>
      </c>
      <c r="O353" s="483"/>
      <c r="P353" s="376"/>
      <c r="Q353" s="700">
        <v>82140.666666666672</v>
      </c>
      <c r="R353" s="765"/>
      <c r="S353" s="552" t="s">
        <v>641</v>
      </c>
      <c r="T353" s="609">
        <v>46081</v>
      </c>
      <c r="U353" s="736">
        <v>86896.8</v>
      </c>
      <c r="V353" s="830"/>
      <c r="W353" s="503">
        <v>46443</v>
      </c>
      <c r="X353" s="827"/>
      <c r="Y353" s="409"/>
    </row>
    <row r="354" spans="1:25" ht="15.75" customHeight="1">
      <c r="B354" s="237">
        <v>13</v>
      </c>
      <c r="C354" s="239"/>
      <c r="D354" s="239"/>
      <c r="E354" s="240"/>
      <c r="F354" s="383"/>
      <c r="G354" s="241"/>
      <c r="H354" s="460"/>
      <c r="I354" s="842"/>
      <c r="J354" s="842"/>
      <c r="K354" s="214"/>
      <c r="L354" s="237">
        <v>13</v>
      </c>
      <c r="M354" s="315" t="s">
        <v>639</v>
      </c>
      <c r="N354" s="239" t="s">
        <v>642</v>
      </c>
      <c r="O354" s="476"/>
      <c r="P354" s="383"/>
      <c r="Q354" s="241">
        <v>11372</v>
      </c>
      <c r="R354" s="510"/>
      <c r="S354" s="545" t="s">
        <v>643</v>
      </c>
      <c r="T354" s="610">
        <v>45900</v>
      </c>
      <c r="U354" s="615">
        <v>12657.57114292171</v>
      </c>
      <c r="V354" s="830"/>
      <c r="W354" s="460">
        <v>45900</v>
      </c>
      <c r="X354" s="827"/>
      <c r="Y354" s="409"/>
    </row>
    <row r="355" spans="1:25" ht="15.75" customHeight="1">
      <c r="B355" s="237">
        <v>13</v>
      </c>
      <c r="C355" s="239"/>
      <c r="D355" s="239"/>
      <c r="E355" s="240"/>
      <c r="F355" s="383"/>
      <c r="G355" s="241"/>
      <c r="H355" s="496"/>
      <c r="I355" s="842"/>
      <c r="J355" s="842"/>
      <c r="K355" s="214"/>
      <c r="L355" s="237">
        <v>13</v>
      </c>
      <c r="M355" s="315" t="s">
        <v>639</v>
      </c>
      <c r="N355" s="239" t="s">
        <v>644</v>
      </c>
      <c r="O355" s="476"/>
      <c r="P355" s="383"/>
      <c r="Q355" s="241">
        <v>2843</v>
      </c>
      <c r="R355" s="510"/>
      <c r="S355" s="545" t="s">
        <v>645</v>
      </c>
      <c r="T355" s="610">
        <v>45930</v>
      </c>
      <c r="U355" s="693">
        <v>3164.3927857304275</v>
      </c>
      <c r="V355" s="830"/>
      <c r="W355" s="460">
        <v>45900</v>
      </c>
      <c r="X355" s="827"/>
      <c r="Y355" s="409"/>
    </row>
    <row r="356" spans="1:25" ht="15.75" customHeight="1">
      <c r="B356" s="237">
        <v>13</v>
      </c>
      <c r="C356" s="239"/>
      <c r="D356" s="239"/>
      <c r="E356" s="240"/>
      <c r="F356" s="383"/>
      <c r="G356" s="241"/>
      <c r="H356" s="496"/>
      <c r="I356" s="842"/>
      <c r="J356" s="842"/>
      <c r="K356" s="214"/>
      <c r="L356" s="237">
        <v>13</v>
      </c>
      <c r="M356" s="315" t="s">
        <v>639</v>
      </c>
      <c r="N356" s="239" t="s">
        <v>646</v>
      </c>
      <c r="O356" s="476"/>
      <c r="P356" s="383"/>
      <c r="Q356" s="241">
        <v>2843</v>
      </c>
      <c r="R356" s="510"/>
      <c r="S356" s="545" t="s">
        <v>647</v>
      </c>
      <c r="T356" s="687">
        <v>45961</v>
      </c>
      <c r="U356" s="693">
        <v>3108.9043414431007</v>
      </c>
      <c r="V356" s="830"/>
      <c r="W356" s="460">
        <v>45989</v>
      </c>
      <c r="X356" s="827"/>
      <c r="Y356" s="409"/>
    </row>
    <row r="357" spans="1:25" ht="15.75" customHeight="1">
      <c r="B357" s="237">
        <v>13</v>
      </c>
      <c r="C357" s="239"/>
      <c r="D357" s="239"/>
      <c r="E357" s="240"/>
      <c r="F357" s="383"/>
      <c r="G357" s="241"/>
      <c r="H357" s="496"/>
      <c r="I357" s="842"/>
      <c r="J357" s="842"/>
      <c r="K357" s="214"/>
      <c r="L357" s="237">
        <v>13</v>
      </c>
      <c r="M357" s="315" t="s">
        <v>639</v>
      </c>
      <c r="N357" s="239" t="s">
        <v>648</v>
      </c>
      <c r="O357" s="476"/>
      <c r="P357" s="383"/>
      <c r="Q357" s="241">
        <v>2843</v>
      </c>
      <c r="R357" s="510"/>
      <c r="S357" s="545" t="s">
        <v>649</v>
      </c>
      <c r="T357" s="610">
        <v>45991</v>
      </c>
      <c r="U357" s="693">
        <v>3155.1443414431005</v>
      </c>
      <c r="V357" s="830"/>
      <c r="W357" s="692">
        <v>46021</v>
      </c>
      <c r="X357" s="827"/>
      <c r="Y357" s="409"/>
    </row>
    <row r="358" spans="1:25" ht="15.75" customHeight="1">
      <c r="B358" s="309"/>
      <c r="C358" s="313"/>
      <c r="D358" s="313"/>
      <c r="E358" s="332"/>
      <c r="F358" s="368"/>
      <c r="G358" s="312"/>
      <c r="H358" s="497"/>
      <c r="I358" s="842"/>
      <c r="J358" s="842"/>
      <c r="K358" s="214"/>
      <c r="L358" s="237">
        <v>13</v>
      </c>
      <c r="M358" s="315" t="s">
        <v>639</v>
      </c>
      <c r="N358" s="239" t="s">
        <v>650</v>
      </c>
      <c r="O358" s="477"/>
      <c r="P358" s="368"/>
      <c r="Q358" s="241">
        <v>2843</v>
      </c>
      <c r="R358" s="511"/>
      <c r="S358" s="545" t="s">
        <v>651</v>
      </c>
      <c r="T358" s="717">
        <v>46022</v>
      </c>
      <c r="U358" s="693">
        <v>3118.0250777042997</v>
      </c>
      <c r="V358" s="830"/>
      <c r="W358" s="461">
        <v>46051</v>
      </c>
      <c r="X358" s="827"/>
      <c r="Y358" s="409"/>
    </row>
    <row r="359" spans="1:25" ht="15.75" customHeight="1">
      <c r="B359" s="309"/>
      <c r="C359" s="313"/>
      <c r="D359" s="313"/>
      <c r="E359" s="332"/>
      <c r="F359" s="368"/>
      <c r="G359" s="312"/>
      <c r="H359" s="497"/>
      <c r="I359" s="842"/>
      <c r="J359" s="842"/>
      <c r="K359" s="214"/>
      <c r="L359" s="237">
        <v>13</v>
      </c>
      <c r="M359" s="315" t="s">
        <v>639</v>
      </c>
      <c r="N359" s="239" t="s">
        <v>652</v>
      </c>
      <c r="O359" s="477"/>
      <c r="P359" s="368"/>
      <c r="Q359" s="241">
        <v>2843</v>
      </c>
      <c r="R359" s="511"/>
      <c r="S359" s="545" t="s">
        <v>653</v>
      </c>
      <c r="T359" s="717">
        <v>46053</v>
      </c>
      <c r="U359" s="693">
        <v>2843</v>
      </c>
      <c r="V359" s="830"/>
      <c r="W359" s="710">
        <v>46107</v>
      </c>
      <c r="X359" s="827"/>
      <c r="Y359" s="409"/>
    </row>
    <row r="360" spans="1:25" ht="15.75" customHeight="1">
      <c r="B360" s="309"/>
      <c r="C360" s="313"/>
      <c r="D360" s="313"/>
      <c r="E360" s="332"/>
      <c r="F360" s="368"/>
      <c r="G360" s="312"/>
      <c r="H360" s="497"/>
      <c r="I360" s="842"/>
      <c r="J360" s="842"/>
      <c r="K360" s="214"/>
      <c r="L360" s="237">
        <v>13</v>
      </c>
      <c r="M360" s="315" t="s">
        <v>639</v>
      </c>
      <c r="N360" s="313" t="s">
        <v>654</v>
      </c>
      <c r="O360" s="477"/>
      <c r="P360" s="368"/>
      <c r="Q360" s="312">
        <v>8737.26</v>
      </c>
      <c r="R360" s="511"/>
      <c r="S360" s="545" t="s">
        <v>655</v>
      </c>
      <c r="T360" s="717">
        <v>46053</v>
      </c>
      <c r="U360" s="693">
        <v>8737.26</v>
      </c>
      <c r="V360" s="830"/>
      <c r="W360" s="710">
        <v>46081</v>
      </c>
      <c r="X360" s="827"/>
      <c r="Y360" s="409"/>
    </row>
    <row r="361" spans="1:25" ht="15.75" customHeight="1">
      <c r="B361" s="309"/>
      <c r="C361" s="313"/>
      <c r="D361" s="313"/>
      <c r="E361" s="332"/>
      <c r="F361" s="368"/>
      <c r="G361" s="312"/>
      <c r="H361" s="497"/>
      <c r="I361" s="842"/>
      <c r="J361" s="842"/>
      <c r="K361" s="214"/>
      <c r="L361" s="237">
        <v>13</v>
      </c>
      <c r="M361" s="315" t="s">
        <v>639</v>
      </c>
      <c r="N361" s="313" t="s">
        <v>654</v>
      </c>
      <c r="O361" s="477"/>
      <c r="P361" s="368"/>
      <c r="Q361" s="312">
        <f>-Q360</f>
        <v>-8737.26</v>
      </c>
      <c r="R361" s="511"/>
      <c r="S361" s="545" t="s">
        <v>656</v>
      </c>
      <c r="T361" s="717">
        <v>46081</v>
      </c>
      <c r="U361" s="693">
        <v>0</v>
      </c>
      <c r="V361" s="830"/>
      <c r="W361" s="710">
        <v>46081</v>
      </c>
      <c r="X361" s="827"/>
      <c r="Y361" s="409"/>
    </row>
    <row r="362" spans="1:25" ht="15.75" customHeight="1">
      <c r="B362" s="309"/>
      <c r="C362" s="313"/>
      <c r="D362" s="313"/>
      <c r="E362" s="332"/>
      <c r="F362" s="368"/>
      <c r="G362" s="312"/>
      <c r="H362" s="497"/>
      <c r="I362" s="842"/>
      <c r="J362" s="842"/>
      <c r="K362" s="214"/>
      <c r="L362" s="237">
        <v>13</v>
      </c>
      <c r="M362" s="315" t="s">
        <v>639</v>
      </c>
      <c r="N362" s="313"/>
      <c r="O362" s="477"/>
      <c r="P362" s="368"/>
      <c r="Q362" s="312"/>
      <c r="R362" s="511"/>
      <c r="S362" s="546"/>
      <c r="T362" s="717"/>
      <c r="U362" s="693">
        <v>0</v>
      </c>
      <c r="V362" s="830"/>
      <c r="W362" s="497"/>
      <c r="X362" s="827"/>
      <c r="Y362" s="409"/>
    </row>
    <row r="363" spans="1:25" ht="15.75" customHeight="1">
      <c r="B363" s="309"/>
      <c r="C363" s="313"/>
      <c r="D363" s="313"/>
      <c r="E363" s="332"/>
      <c r="F363" s="368"/>
      <c r="G363" s="312"/>
      <c r="H363" s="497"/>
      <c r="I363" s="842"/>
      <c r="J363" s="842"/>
      <c r="K363" s="214"/>
      <c r="L363" s="237">
        <v>13</v>
      </c>
      <c r="M363" s="315" t="s">
        <v>639</v>
      </c>
      <c r="N363" s="313"/>
      <c r="O363" s="477"/>
      <c r="P363" s="368"/>
      <c r="Q363" s="312"/>
      <c r="R363" s="511"/>
      <c r="S363" s="546"/>
      <c r="T363" s="446"/>
      <c r="U363" s="735">
        <v>0</v>
      </c>
      <c r="V363" s="830"/>
      <c r="W363" s="497"/>
      <c r="X363" s="827"/>
      <c r="Y363" s="409"/>
    </row>
    <row r="364" spans="1:25" ht="15.75" customHeight="1" thickBot="1">
      <c r="B364" s="242">
        <v>13</v>
      </c>
      <c r="C364" s="243"/>
      <c r="D364" s="243"/>
      <c r="E364" s="244"/>
      <c r="F364" s="384"/>
      <c r="G364" s="256"/>
      <c r="H364" s="498"/>
      <c r="I364" s="843"/>
      <c r="J364" s="843"/>
      <c r="K364" s="401"/>
      <c r="L364" s="242">
        <v>13</v>
      </c>
      <c r="M364" s="344" t="s">
        <v>639</v>
      </c>
      <c r="N364" s="243"/>
      <c r="O364" s="478"/>
      <c r="P364" s="384"/>
      <c r="Q364" s="256"/>
      <c r="R364" s="512"/>
      <c r="S364" s="547"/>
      <c r="T364" s="447" t="str">
        <f t="shared" si="21"/>
        <v/>
      </c>
      <c r="U364" s="432">
        <f>(Q364/$X$342*$J$342)</f>
        <v>0</v>
      </c>
      <c r="V364" s="831"/>
      <c r="W364" s="498"/>
      <c r="X364" s="828"/>
      <c r="Y364" s="409"/>
    </row>
    <row r="365" spans="1:25" ht="14.25" thickBot="1">
      <c r="A365" s="4"/>
      <c r="B365" s="216"/>
      <c r="C365" s="203"/>
      <c r="D365" s="203"/>
      <c r="E365" s="217"/>
      <c r="F365" s="380"/>
      <c r="G365" s="218"/>
      <c r="H365" s="499"/>
      <c r="I365" s="206"/>
      <c r="J365" s="206"/>
      <c r="K365" s="4"/>
      <c r="L365" s="216"/>
      <c r="M365" s="203"/>
      <c r="N365" s="203"/>
      <c r="O365" s="479"/>
      <c r="P365" s="380"/>
      <c r="Q365" s="218"/>
      <c r="R365" s="513"/>
      <c r="S365" s="548"/>
      <c r="T365" s="448" t="str">
        <f t="shared" si="21"/>
        <v/>
      </c>
      <c r="U365" s="437"/>
      <c r="V365" s="420"/>
      <c r="W365" s="499"/>
      <c r="X365" s="410"/>
      <c r="Y365" s="409"/>
    </row>
    <row r="366" spans="1:25" ht="14.25" customHeight="1">
      <c r="B366" s="195">
        <v>14</v>
      </c>
      <c r="C366" s="196" t="s">
        <v>657</v>
      </c>
      <c r="D366" s="196" t="s">
        <v>658</v>
      </c>
      <c r="E366" s="197"/>
      <c r="F366" s="394"/>
      <c r="G366" s="264">
        <v>0</v>
      </c>
      <c r="H366" s="467">
        <v>45817</v>
      </c>
      <c r="I366" s="844">
        <f>SUM(G366:G381)</f>
        <v>0</v>
      </c>
      <c r="J366" s="844">
        <f>F467</f>
        <v>0</v>
      </c>
      <c r="K366" s="265"/>
      <c r="L366" s="195">
        <v>14</v>
      </c>
      <c r="M366" s="358" t="s">
        <v>659</v>
      </c>
      <c r="N366" s="196" t="s">
        <v>660</v>
      </c>
      <c r="O366" s="488"/>
      <c r="P366" s="394"/>
      <c r="Q366" s="264">
        <v>6509.8599999999988</v>
      </c>
      <c r="R366" s="524"/>
      <c r="S366" s="522" t="s">
        <v>661</v>
      </c>
      <c r="T366" s="577">
        <v>45808</v>
      </c>
      <c r="U366" s="694">
        <v>0</v>
      </c>
      <c r="V366" s="850">
        <f>J366-SUM(U366:U381)</f>
        <v>0</v>
      </c>
      <c r="W366" s="467">
        <v>45817</v>
      </c>
      <c r="X366" s="847">
        <f>SUM(Q366:Q381)</f>
        <v>310187.17</v>
      </c>
      <c r="Y366" s="409"/>
    </row>
    <row r="367" spans="1:25" ht="14.25" customHeight="1">
      <c r="B367" s="266">
        <v>14</v>
      </c>
      <c r="C367" s="267"/>
      <c r="D367" s="267"/>
      <c r="E367" s="268"/>
      <c r="F367" s="395"/>
      <c r="G367" s="269"/>
      <c r="H367" s="469">
        <v>45842</v>
      </c>
      <c r="I367" s="845"/>
      <c r="J367" s="845"/>
      <c r="K367" s="198"/>
      <c r="L367" s="266">
        <v>14</v>
      </c>
      <c r="M367" s="359" t="s">
        <v>659</v>
      </c>
      <c r="N367" s="267" t="s">
        <v>660</v>
      </c>
      <c r="O367" s="489"/>
      <c r="P367" s="395"/>
      <c r="Q367" s="269">
        <f>5408.52+362.32</f>
        <v>5770.84</v>
      </c>
      <c r="R367" s="524"/>
      <c r="S367" s="522" t="s">
        <v>661</v>
      </c>
      <c r="T367" s="612">
        <v>45838</v>
      </c>
      <c r="U367" s="694">
        <v>0</v>
      </c>
      <c r="V367" s="851"/>
      <c r="W367" s="469">
        <v>45842</v>
      </c>
      <c r="X367" s="848"/>
      <c r="Y367" s="409"/>
    </row>
    <row r="368" spans="1:25" ht="14.25" customHeight="1">
      <c r="B368" s="266">
        <v>14</v>
      </c>
      <c r="C368" s="267"/>
      <c r="D368" s="267"/>
      <c r="E368" s="268"/>
      <c r="F368" s="395"/>
      <c r="G368" s="269"/>
      <c r="H368" s="469">
        <v>45876</v>
      </c>
      <c r="I368" s="845"/>
      <c r="J368" s="845"/>
      <c r="K368" s="198"/>
      <c r="L368" s="266">
        <v>14</v>
      </c>
      <c r="M368" s="359" t="s">
        <v>659</v>
      </c>
      <c r="N368" s="267" t="s">
        <v>660</v>
      </c>
      <c r="O368" s="489"/>
      <c r="P368" s="395"/>
      <c r="Q368" s="269">
        <v>21295.980000000003</v>
      </c>
      <c r="R368" s="524"/>
      <c r="S368" s="559" t="s">
        <v>661</v>
      </c>
      <c r="T368" s="612">
        <v>45869</v>
      </c>
      <c r="U368" s="694">
        <v>0</v>
      </c>
      <c r="V368" s="851"/>
      <c r="W368" s="469">
        <v>45876</v>
      </c>
      <c r="X368" s="848"/>
      <c r="Y368" s="409"/>
    </row>
    <row r="369" spans="1:25" ht="14.25" customHeight="1">
      <c r="B369" s="266">
        <v>14</v>
      </c>
      <c r="C369" s="267"/>
      <c r="D369" s="267"/>
      <c r="E369" s="268"/>
      <c r="F369" s="395"/>
      <c r="G369" s="269"/>
      <c r="H369" s="469">
        <v>45905</v>
      </c>
      <c r="I369" s="845"/>
      <c r="J369" s="845"/>
      <c r="K369" s="198"/>
      <c r="L369" s="266">
        <v>14</v>
      </c>
      <c r="M369" s="359" t="s">
        <v>659</v>
      </c>
      <c r="N369" s="267" t="s">
        <v>660</v>
      </c>
      <c r="O369" s="489"/>
      <c r="P369" s="395"/>
      <c r="Q369" s="269">
        <v>50534.6</v>
      </c>
      <c r="R369" s="524"/>
      <c r="S369" s="559" t="s">
        <v>661</v>
      </c>
      <c r="T369" s="612">
        <v>45900</v>
      </c>
      <c r="U369" s="694">
        <v>0</v>
      </c>
      <c r="V369" s="851"/>
      <c r="W369" s="469">
        <v>45905</v>
      </c>
      <c r="X369" s="848"/>
      <c r="Y369" s="409"/>
    </row>
    <row r="370" spans="1:25" ht="14.25" customHeight="1">
      <c r="B370" s="266">
        <v>14</v>
      </c>
      <c r="C370" s="267"/>
      <c r="D370" s="267"/>
      <c r="E370" s="268"/>
      <c r="F370" s="395"/>
      <c r="G370" s="269"/>
      <c r="H370" s="508">
        <v>45930</v>
      </c>
      <c r="I370" s="845"/>
      <c r="J370" s="845"/>
      <c r="K370" s="198"/>
      <c r="L370" s="266">
        <v>14</v>
      </c>
      <c r="M370" s="359" t="s">
        <v>659</v>
      </c>
      <c r="N370" s="267" t="s">
        <v>660</v>
      </c>
      <c r="O370" s="489"/>
      <c r="P370" s="395"/>
      <c r="Q370" s="269">
        <v>32154.959999999999</v>
      </c>
      <c r="R370" s="524"/>
      <c r="S370" s="559" t="s">
        <v>661</v>
      </c>
      <c r="T370" s="690">
        <v>45930</v>
      </c>
      <c r="U370" s="694">
        <v>0</v>
      </c>
      <c r="V370" s="851"/>
      <c r="W370" s="691">
        <v>45940</v>
      </c>
      <c r="X370" s="848"/>
      <c r="Y370" s="409"/>
    </row>
    <row r="371" spans="1:25" ht="14.25" customHeight="1">
      <c r="B371" s="266">
        <v>14</v>
      </c>
      <c r="C371" s="267"/>
      <c r="D371" s="267"/>
      <c r="E371" s="268"/>
      <c r="F371" s="395"/>
      <c r="G371" s="269"/>
      <c r="H371" s="508">
        <v>45961</v>
      </c>
      <c r="I371" s="845"/>
      <c r="J371" s="845"/>
      <c r="K371" s="198"/>
      <c r="L371" s="266">
        <v>14</v>
      </c>
      <c r="M371" s="359" t="s">
        <v>659</v>
      </c>
      <c r="N371" s="267" t="s">
        <v>660</v>
      </c>
      <c r="O371" s="489"/>
      <c r="P371" s="395"/>
      <c r="Q371" s="269">
        <v>20629.91</v>
      </c>
      <c r="R371" s="524"/>
      <c r="S371" s="559" t="s">
        <v>661</v>
      </c>
      <c r="T371" s="690">
        <v>45961</v>
      </c>
      <c r="U371" s="694">
        <v>0</v>
      </c>
      <c r="V371" s="851"/>
      <c r="W371" s="691">
        <v>45967</v>
      </c>
      <c r="X371" s="848"/>
      <c r="Y371" s="409"/>
    </row>
    <row r="372" spans="1:25" ht="14.25" customHeight="1">
      <c r="B372" s="266">
        <v>14</v>
      </c>
      <c r="C372" s="267"/>
      <c r="D372" s="267"/>
      <c r="E372" s="268"/>
      <c r="F372" s="395"/>
      <c r="G372" s="269"/>
      <c r="H372" s="508">
        <v>45991</v>
      </c>
      <c r="I372" s="845"/>
      <c r="J372" s="845"/>
      <c r="K372" s="198"/>
      <c r="L372" s="266">
        <v>14</v>
      </c>
      <c r="M372" s="359" t="s">
        <v>659</v>
      </c>
      <c r="N372" s="267" t="s">
        <v>660</v>
      </c>
      <c r="O372" s="489"/>
      <c r="P372" s="395"/>
      <c r="Q372" s="269">
        <v>15266.94</v>
      </c>
      <c r="R372" s="524"/>
      <c r="S372" s="559" t="s">
        <v>661</v>
      </c>
      <c r="T372" s="690">
        <v>45991</v>
      </c>
      <c r="U372" s="694">
        <v>0</v>
      </c>
      <c r="V372" s="851"/>
      <c r="W372" s="691">
        <v>45996</v>
      </c>
      <c r="X372" s="848"/>
      <c r="Y372" s="409"/>
    </row>
    <row r="373" spans="1:25" ht="14.25" customHeight="1">
      <c r="B373" s="266">
        <v>14</v>
      </c>
      <c r="C373" s="267"/>
      <c r="D373" s="267"/>
      <c r="E373" s="268"/>
      <c r="F373" s="395"/>
      <c r="G373" s="269"/>
      <c r="H373" s="508">
        <v>46022</v>
      </c>
      <c r="I373" s="845"/>
      <c r="J373" s="845"/>
      <c r="K373" s="198"/>
      <c r="L373" s="266">
        <v>14</v>
      </c>
      <c r="M373" s="359" t="s">
        <v>659</v>
      </c>
      <c r="N373" s="267" t="s">
        <v>660</v>
      </c>
      <c r="O373" s="489"/>
      <c r="P373" s="395"/>
      <c r="Q373" s="269">
        <v>59700.29</v>
      </c>
      <c r="R373" s="524"/>
      <c r="S373" s="559" t="s">
        <v>661</v>
      </c>
      <c r="T373" s="690">
        <v>46022</v>
      </c>
      <c r="U373" s="694">
        <v>0</v>
      </c>
      <c r="V373" s="851"/>
      <c r="W373" s="691">
        <v>46030</v>
      </c>
      <c r="X373" s="848"/>
      <c r="Y373" s="409"/>
    </row>
    <row r="374" spans="1:25" ht="14.25" customHeight="1">
      <c r="B374" s="266">
        <v>14</v>
      </c>
      <c r="C374" s="267"/>
      <c r="D374" s="267"/>
      <c r="E374" s="268"/>
      <c r="F374" s="395"/>
      <c r="G374" s="269"/>
      <c r="H374" s="508">
        <v>46053</v>
      </c>
      <c r="I374" s="845"/>
      <c r="J374" s="845"/>
      <c r="K374" s="198"/>
      <c r="L374" s="266">
        <v>14</v>
      </c>
      <c r="M374" s="359" t="s">
        <v>659</v>
      </c>
      <c r="N374" s="267" t="s">
        <v>660</v>
      </c>
      <c r="O374" s="489"/>
      <c r="P374" s="395"/>
      <c r="Q374" s="269">
        <v>28655.7</v>
      </c>
      <c r="R374" s="524"/>
      <c r="S374" s="559" t="s">
        <v>661</v>
      </c>
      <c r="T374" s="690">
        <v>46053</v>
      </c>
      <c r="U374" s="694">
        <v>0</v>
      </c>
      <c r="V374" s="851"/>
      <c r="W374" s="691">
        <v>46058</v>
      </c>
      <c r="X374" s="848"/>
      <c r="Y374" s="409"/>
    </row>
    <row r="375" spans="1:25" ht="14.25" customHeight="1">
      <c r="B375" s="266">
        <v>14</v>
      </c>
      <c r="C375" s="267"/>
      <c r="D375" s="267"/>
      <c r="E375" s="268"/>
      <c r="F375" s="395"/>
      <c r="G375" s="269"/>
      <c r="H375" s="508">
        <v>46081</v>
      </c>
      <c r="I375" s="845"/>
      <c r="J375" s="845"/>
      <c r="K375" s="198"/>
      <c r="L375" s="266">
        <v>14</v>
      </c>
      <c r="M375" s="359" t="s">
        <v>659</v>
      </c>
      <c r="N375" s="267" t="s">
        <v>660</v>
      </c>
      <c r="O375" s="489"/>
      <c r="P375" s="395"/>
      <c r="Q375" s="269">
        <f>52616.88-0.31</f>
        <v>52616.57</v>
      </c>
      <c r="R375" s="524"/>
      <c r="S375" s="559" t="s">
        <v>661</v>
      </c>
      <c r="T375" s="690">
        <v>46081</v>
      </c>
      <c r="U375" s="694">
        <v>0</v>
      </c>
      <c r="V375" s="851"/>
      <c r="W375" s="691">
        <v>46086</v>
      </c>
      <c r="X375" s="848"/>
      <c r="Y375" s="409"/>
    </row>
    <row r="376" spans="1:25" ht="14.25" customHeight="1">
      <c r="B376" s="266">
        <v>14</v>
      </c>
      <c r="C376" s="267"/>
      <c r="D376" s="267"/>
      <c r="E376" s="268"/>
      <c r="F376" s="395"/>
      <c r="G376" s="269"/>
      <c r="H376" s="508"/>
      <c r="I376" s="845"/>
      <c r="J376" s="845"/>
      <c r="K376" s="198"/>
      <c r="L376" s="266">
        <v>14</v>
      </c>
      <c r="M376" s="359" t="s">
        <v>659</v>
      </c>
      <c r="N376" s="267" t="s">
        <v>660</v>
      </c>
      <c r="O376" s="489"/>
      <c r="P376" s="395"/>
      <c r="Q376" s="269">
        <v>14045.67</v>
      </c>
      <c r="R376" s="524"/>
      <c r="S376" s="559" t="s">
        <v>661</v>
      </c>
      <c r="T376" s="690">
        <v>46112</v>
      </c>
      <c r="U376" s="694">
        <v>0</v>
      </c>
      <c r="V376" s="851"/>
      <c r="W376" s="691">
        <v>46115</v>
      </c>
      <c r="X376" s="848"/>
      <c r="Y376" s="409"/>
    </row>
    <row r="377" spans="1:25" ht="14.25" customHeight="1">
      <c r="B377" s="817"/>
      <c r="C377" s="818"/>
      <c r="D377" s="818"/>
      <c r="E377" s="819"/>
      <c r="F377" s="820"/>
      <c r="G377" s="821"/>
      <c r="H377" s="508"/>
      <c r="I377" s="845"/>
      <c r="J377" s="845"/>
      <c r="K377" s="198"/>
      <c r="L377" s="266">
        <v>14</v>
      </c>
      <c r="M377" s="359" t="s">
        <v>659</v>
      </c>
      <c r="N377" s="267" t="s">
        <v>660</v>
      </c>
      <c r="O377" s="823"/>
      <c r="P377" s="824"/>
      <c r="Q377" s="825">
        <v>905.85</v>
      </c>
      <c r="R377" s="524"/>
      <c r="S377" s="559" t="s">
        <v>661</v>
      </c>
      <c r="T377" s="690">
        <v>46142</v>
      </c>
      <c r="U377" s="694">
        <v>0</v>
      </c>
      <c r="V377" s="851"/>
      <c r="W377" s="691">
        <v>46149</v>
      </c>
      <c r="X377" s="848"/>
      <c r="Y377" s="409"/>
    </row>
    <row r="378" spans="1:25" ht="14.25" customHeight="1">
      <c r="B378" s="817"/>
      <c r="C378" s="818"/>
      <c r="D378" s="818"/>
      <c r="E378" s="819"/>
      <c r="F378" s="820"/>
      <c r="G378" s="821"/>
      <c r="H378" s="508"/>
      <c r="I378" s="845"/>
      <c r="J378" s="845"/>
      <c r="K378" s="198"/>
      <c r="L378" s="266">
        <v>14</v>
      </c>
      <c r="M378" s="359" t="s">
        <v>659</v>
      </c>
      <c r="N378" s="267" t="s">
        <v>660</v>
      </c>
      <c r="O378" s="823"/>
      <c r="P378" s="824"/>
      <c r="Q378" s="825">
        <v>700</v>
      </c>
      <c r="R378" s="524"/>
      <c r="S378" s="559"/>
      <c r="T378" s="457">
        <v>46173</v>
      </c>
      <c r="U378" s="694">
        <v>0</v>
      </c>
      <c r="V378" s="851"/>
      <c r="W378" s="508">
        <v>46177</v>
      </c>
      <c r="X378" s="848"/>
      <c r="Y378" s="409"/>
    </row>
    <row r="379" spans="1:25" ht="14.25" customHeight="1">
      <c r="B379" s="817"/>
      <c r="C379" s="818"/>
      <c r="D379" s="818"/>
      <c r="E379" s="819"/>
      <c r="F379" s="820"/>
      <c r="G379" s="821"/>
      <c r="H379" s="508"/>
      <c r="I379" s="845"/>
      <c r="J379" s="845"/>
      <c r="K379" s="198"/>
      <c r="L379" s="266">
        <v>14</v>
      </c>
      <c r="M379" s="359" t="s">
        <v>659</v>
      </c>
      <c r="N379" s="267" t="s">
        <v>660</v>
      </c>
      <c r="O379" s="823"/>
      <c r="P379" s="824"/>
      <c r="Q379" s="825">
        <v>700</v>
      </c>
      <c r="R379" s="524"/>
      <c r="S379" s="559"/>
      <c r="T379" s="457">
        <v>46203</v>
      </c>
      <c r="U379" s="694"/>
      <c r="V379" s="851"/>
      <c r="W379" s="508">
        <f>T379+7</f>
        <v>46210</v>
      </c>
      <c r="X379" s="848"/>
      <c r="Y379" s="409"/>
    </row>
    <row r="380" spans="1:25" ht="14.25" customHeight="1">
      <c r="B380" s="817"/>
      <c r="C380" s="818"/>
      <c r="D380" s="818"/>
      <c r="E380" s="819"/>
      <c r="F380" s="820"/>
      <c r="G380" s="821"/>
      <c r="H380" s="508"/>
      <c r="I380" s="845"/>
      <c r="J380" s="845"/>
      <c r="K380" s="198"/>
      <c r="L380" s="266">
        <v>14</v>
      </c>
      <c r="M380" s="359" t="s">
        <v>659</v>
      </c>
      <c r="N380" s="267" t="s">
        <v>660</v>
      </c>
      <c r="O380" s="823"/>
      <c r="P380" s="824"/>
      <c r="Q380" s="825">
        <v>700</v>
      </c>
      <c r="R380" s="524"/>
      <c r="S380" s="559"/>
      <c r="T380" s="457">
        <v>46234</v>
      </c>
      <c r="U380" s="694"/>
      <c r="V380" s="851"/>
      <c r="W380" s="508">
        <f>T380+7</f>
        <v>46241</v>
      </c>
      <c r="X380" s="848"/>
      <c r="Y380" s="409"/>
    </row>
    <row r="381" spans="1:25" ht="15" customHeight="1" thickBot="1">
      <c r="B381" s="199">
        <v>14</v>
      </c>
      <c r="C381" s="270"/>
      <c r="D381" s="270"/>
      <c r="E381" s="271"/>
      <c r="F381" s="396"/>
      <c r="G381" s="200"/>
      <c r="H381" s="509"/>
      <c r="I381" s="846"/>
      <c r="J381" s="846"/>
      <c r="K381" s="201"/>
      <c r="L381" s="199">
        <v>14</v>
      </c>
      <c r="M381" s="360" t="s">
        <v>659</v>
      </c>
      <c r="N381" s="270"/>
      <c r="O381" s="490"/>
      <c r="P381" s="396"/>
      <c r="Q381" s="200"/>
      <c r="R381" s="525"/>
      <c r="S381" s="560"/>
      <c r="T381" s="458" t="str">
        <f t="shared" ref="T381:T383" si="30">IF(W381&gt;1,EOMONTH(W381,0),"")</f>
        <v/>
      </c>
      <c r="U381" s="822">
        <v>0</v>
      </c>
      <c r="V381" s="852"/>
      <c r="W381" s="509"/>
      <c r="X381" s="849"/>
      <c r="Y381" s="409"/>
    </row>
    <row r="382" spans="1:25" ht="14.25" thickBot="1">
      <c r="A382" s="4"/>
      <c r="B382" s="216"/>
      <c r="C382" s="203"/>
      <c r="D382" s="203"/>
      <c r="E382" s="217"/>
      <c r="F382" s="380"/>
      <c r="G382" s="218"/>
      <c r="H382" s="499"/>
      <c r="I382" s="272"/>
      <c r="J382" s="272"/>
      <c r="K382" s="4"/>
      <c r="L382" s="216"/>
      <c r="M382" s="203"/>
      <c r="N382" s="203"/>
      <c r="O382" s="479"/>
      <c r="P382" s="380"/>
      <c r="Q382" s="218"/>
      <c r="R382" s="513"/>
      <c r="S382" s="548"/>
      <c r="T382" s="448" t="str">
        <f t="shared" si="30"/>
        <v/>
      </c>
      <c r="U382" s="437"/>
      <c r="V382" s="420"/>
      <c r="W382" s="499"/>
      <c r="X382" s="417"/>
      <c r="Y382" s="409"/>
    </row>
    <row r="383" spans="1:25">
      <c r="B383" s="207">
        <v>15</v>
      </c>
      <c r="C383" s="208" t="s">
        <v>662</v>
      </c>
      <c r="D383" s="208"/>
      <c r="E383" s="209"/>
      <c r="F383" s="361"/>
      <c r="G383" s="210"/>
      <c r="H383" s="503"/>
      <c r="I383" s="841">
        <v>0</v>
      </c>
      <c r="J383" s="841">
        <v>0</v>
      </c>
      <c r="K383" s="211"/>
      <c r="L383" s="207">
        <v>15</v>
      </c>
      <c r="M383" s="277" t="s">
        <v>663</v>
      </c>
      <c r="N383" s="208"/>
      <c r="O383" s="209"/>
      <c r="P383" s="361"/>
      <c r="Q383" s="210"/>
      <c r="R383" s="517"/>
      <c r="S383" s="552"/>
      <c r="T383" s="452" t="str">
        <f t="shared" si="30"/>
        <v/>
      </c>
      <c r="U383" s="438"/>
      <c r="V383" s="829"/>
      <c r="W383" s="503"/>
      <c r="X383" s="826">
        <f>SUM(Q383:Q439)</f>
        <v>2275511.4099999997</v>
      </c>
      <c r="Y383" s="409"/>
    </row>
    <row r="384" spans="1:25">
      <c r="B384" s="237">
        <v>15</v>
      </c>
      <c r="C384" s="239"/>
      <c r="D384" s="239"/>
      <c r="E384" s="240"/>
      <c r="F384" s="383"/>
      <c r="G384" s="241"/>
      <c r="H384" s="496"/>
      <c r="I384" s="842"/>
      <c r="J384" s="842"/>
      <c r="K384" s="214"/>
      <c r="L384" s="237">
        <v>15</v>
      </c>
      <c r="M384" s="315" t="s">
        <v>663</v>
      </c>
      <c r="N384" s="239" t="s">
        <v>664</v>
      </c>
      <c r="O384" s="476"/>
      <c r="P384" s="383"/>
      <c r="Q384" s="241"/>
      <c r="R384" s="510"/>
      <c r="S384" s="545"/>
      <c r="T384" s="445"/>
      <c r="U384" s="430"/>
      <c r="V384" s="830"/>
      <c r="W384" s="496"/>
      <c r="X384" s="827"/>
      <c r="Y384" s="409"/>
    </row>
    <row r="385" spans="2:25">
      <c r="B385" s="237">
        <v>15</v>
      </c>
      <c r="C385" s="239"/>
      <c r="D385" s="239"/>
      <c r="E385" s="240"/>
      <c r="F385" s="383"/>
      <c r="G385" s="241"/>
      <c r="H385" s="496"/>
      <c r="I385" s="842"/>
      <c r="J385" s="842"/>
      <c r="K385" s="214"/>
      <c r="L385" s="237">
        <v>15</v>
      </c>
      <c r="M385" s="315" t="s">
        <v>663</v>
      </c>
      <c r="N385" s="239" t="s">
        <v>665</v>
      </c>
      <c r="O385" s="476"/>
      <c r="P385" s="383"/>
      <c r="Q385" s="241">
        <v>140.75</v>
      </c>
      <c r="R385" s="510" t="s">
        <v>666</v>
      </c>
      <c r="S385" s="545" t="s">
        <v>667</v>
      </c>
      <c r="T385" s="610">
        <v>46053</v>
      </c>
      <c r="U385" s="430"/>
      <c r="V385" s="830"/>
      <c r="W385" s="460">
        <v>46041</v>
      </c>
      <c r="X385" s="827"/>
      <c r="Y385" s="409"/>
    </row>
    <row r="386" spans="2:25">
      <c r="B386" s="237">
        <v>15</v>
      </c>
      <c r="C386" s="239"/>
      <c r="D386" s="239"/>
      <c r="E386" s="240"/>
      <c r="F386" s="383"/>
      <c r="G386" s="241"/>
      <c r="H386" s="460"/>
      <c r="I386" s="842"/>
      <c r="J386" s="842"/>
      <c r="K386" s="214"/>
      <c r="L386" s="237">
        <v>15</v>
      </c>
      <c r="M386" s="315" t="s">
        <v>663</v>
      </c>
      <c r="N386" s="239" t="s">
        <v>665</v>
      </c>
      <c r="O386" s="476"/>
      <c r="P386" s="383"/>
      <c r="Q386" s="241">
        <v>3127.77</v>
      </c>
      <c r="R386" s="510" t="s">
        <v>668</v>
      </c>
      <c r="S386" s="545" t="s">
        <v>669</v>
      </c>
      <c r="T386" s="610">
        <v>45900</v>
      </c>
      <c r="U386" s="430"/>
      <c r="V386" s="830"/>
      <c r="W386" s="460">
        <v>45883</v>
      </c>
      <c r="X386" s="827"/>
      <c r="Y386" s="409"/>
    </row>
    <row r="387" spans="2:25">
      <c r="B387" s="237">
        <v>15</v>
      </c>
      <c r="C387" s="239"/>
      <c r="D387" s="239"/>
      <c r="E387" s="240"/>
      <c r="F387" s="383"/>
      <c r="G387" s="241"/>
      <c r="H387" s="637"/>
      <c r="I387" s="842"/>
      <c r="J387" s="842"/>
      <c r="K387" s="214"/>
      <c r="L387" s="237">
        <v>15</v>
      </c>
      <c r="M387" s="315" t="s">
        <v>663</v>
      </c>
      <c r="N387" s="239" t="s">
        <v>665</v>
      </c>
      <c r="O387" s="476"/>
      <c r="P387" s="383"/>
      <c r="Q387" s="241">
        <v>1495.89</v>
      </c>
      <c r="R387" s="510" t="s">
        <v>670</v>
      </c>
      <c r="S387" s="545" t="s">
        <v>671</v>
      </c>
      <c r="T387" s="610">
        <v>45900</v>
      </c>
      <c r="U387" s="430"/>
      <c r="V387" s="830"/>
      <c r="W387" s="637">
        <v>45888</v>
      </c>
      <c r="X387" s="827"/>
      <c r="Y387" s="409"/>
    </row>
    <row r="388" spans="2:25">
      <c r="B388" s="237">
        <v>15</v>
      </c>
      <c r="C388" s="239"/>
      <c r="D388" s="239"/>
      <c r="E388" s="240"/>
      <c r="F388" s="383"/>
      <c r="G388" s="241"/>
      <c r="H388" s="460"/>
      <c r="I388" s="842"/>
      <c r="J388" s="842"/>
      <c r="K388" s="214"/>
      <c r="L388" s="237">
        <v>15</v>
      </c>
      <c r="M388" s="315" t="s">
        <v>663</v>
      </c>
      <c r="N388" s="239" t="s">
        <v>665</v>
      </c>
      <c r="O388" s="476"/>
      <c r="P388" s="383"/>
      <c r="Q388" s="241">
        <v>407.97</v>
      </c>
      <c r="R388" s="510" t="s">
        <v>672</v>
      </c>
      <c r="S388" s="545" t="s">
        <v>673</v>
      </c>
      <c r="T388" s="613">
        <v>45900</v>
      </c>
      <c r="U388" s="430"/>
      <c r="V388" s="830"/>
      <c r="W388" s="460">
        <v>45890</v>
      </c>
      <c r="X388" s="827"/>
      <c r="Y388" s="409"/>
    </row>
    <row r="389" spans="2:25">
      <c r="B389" s="237">
        <v>15</v>
      </c>
      <c r="C389" s="239"/>
      <c r="D389" s="239"/>
      <c r="E389" s="240"/>
      <c r="F389" s="383"/>
      <c r="G389" s="241"/>
      <c r="H389" s="460"/>
      <c r="I389" s="842"/>
      <c r="J389" s="842"/>
      <c r="K389" s="214"/>
      <c r="L389" s="237">
        <v>15</v>
      </c>
      <c r="M389" s="315" t="s">
        <v>663</v>
      </c>
      <c r="N389" s="239" t="s">
        <v>665</v>
      </c>
      <c r="O389" s="476"/>
      <c r="P389" s="383"/>
      <c r="Q389" s="241">
        <v>951.93</v>
      </c>
      <c r="R389" s="510" t="s">
        <v>674</v>
      </c>
      <c r="S389" s="545" t="s">
        <v>675</v>
      </c>
      <c r="T389" s="610">
        <v>45900</v>
      </c>
      <c r="U389" s="430"/>
      <c r="V389" s="830"/>
      <c r="W389" s="460">
        <v>45901</v>
      </c>
      <c r="X389" s="827"/>
      <c r="Y389" s="409"/>
    </row>
    <row r="390" spans="2:25">
      <c r="B390" s="237">
        <v>15</v>
      </c>
      <c r="C390" s="239"/>
      <c r="D390" s="239"/>
      <c r="E390" s="240"/>
      <c r="F390" s="383"/>
      <c r="G390" s="241"/>
      <c r="H390" s="460"/>
      <c r="I390" s="842"/>
      <c r="J390" s="842"/>
      <c r="K390" s="214"/>
      <c r="L390" s="237">
        <v>15</v>
      </c>
      <c r="M390" s="315" t="s">
        <v>663</v>
      </c>
      <c r="N390" s="239" t="s">
        <v>665</v>
      </c>
      <c r="O390" s="476"/>
      <c r="P390" s="383"/>
      <c r="Q390" s="241">
        <v>135.99</v>
      </c>
      <c r="R390" s="510" t="s">
        <v>676</v>
      </c>
      <c r="S390" s="545" t="s">
        <v>677</v>
      </c>
      <c r="T390" s="610">
        <v>45930</v>
      </c>
      <c r="U390" s="430"/>
      <c r="V390" s="830"/>
      <c r="W390" s="460">
        <v>45910</v>
      </c>
      <c r="X390" s="827"/>
      <c r="Y390" s="409"/>
    </row>
    <row r="391" spans="2:25">
      <c r="B391" s="237">
        <v>15</v>
      </c>
      <c r="C391" s="239"/>
      <c r="D391" s="239"/>
      <c r="E391" s="240"/>
      <c r="F391" s="383"/>
      <c r="G391" s="241"/>
      <c r="H391" s="460"/>
      <c r="I391" s="842"/>
      <c r="J391" s="842"/>
      <c r="K391" s="214"/>
      <c r="L391" s="237">
        <v>15</v>
      </c>
      <c r="M391" s="315" t="s">
        <v>663</v>
      </c>
      <c r="N391" s="239" t="s">
        <v>665</v>
      </c>
      <c r="O391" s="476"/>
      <c r="P391" s="383"/>
      <c r="Q391" s="241">
        <v>2719.8</v>
      </c>
      <c r="R391" s="510" t="s">
        <v>678</v>
      </c>
      <c r="S391" s="545" t="s">
        <v>679</v>
      </c>
      <c r="T391" s="610">
        <v>45930</v>
      </c>
      <c r="U391" s="430"/>
      <c r="V391" s="830"/>
      <c r="W391" s="460">
        <v>45923</v>
      </c>
      <c r="X391" s="827"/>
      <c r="Y391" s="409"/>
    </row>
    <row r="392" spans="2:25">
      <c r="B392" s="237">
        <v>15</v>
      </c>
      <c r="C392" s="239"/>
      <c r="D392" s="239"/>
      <c r="E392" s="240"/>
      <c r="F392" s="383"/>
      <c r="G392" s="241"/>
      <c r="H392" s="460"/>
      <c r="I392" s="842"/>
      <c r="J392" s="842"/>
      <c r="K392" s="214"/>
      <c r="L392" s="237">
        <v>15</v>
      </c>
      <c r="M392" s="315" t="s">
        <v>663</v>
      </c>
      <c r="N392" s="239" t="s">
        <v>665</v>
      </c>
      <c r="O392" s="476"/>
      <c r="P392" s="383"/>
      <c r="Q392" s="241">
        <v>271.98</v>
      </c>
      <c r="R392" s="510" t="s">
        <v>680</v>
      </c>
      <c r="S392" s="545" t="s">
        <v>681</v>
      </c>
      <c r="T392" s="610">
        <v>45930</v>
      </c>
      <c r="U392" s="430"/>
      <c r="V392" s="830"/>
      <c r="W392" s="460">
        <v>45930</v>
      </c>
      <c r="X392" s="827"/>
      <c r="Y392" s="409"/>
    </row>
    <row r="393" spans="2:25">
      <c r="B393" s="237">
        <v>15</v>
      </c>
      <c r="C393" s="239"/>
      <c r="D393" s="239"/>
      <c r="E393" s="240"/>
      <c r="F393" s="383"/>
      <c r="G393" s="241"/>
      <c r="H393" s="460"/>
      <c r="I393" s="842"/>
      <c r="J393" s="842"/>
      <c r="K393" s="214"/>
      <c r="L393" s="237">
        <v>15</v>
      </c>
      <c r="M393" s="315" t="s">
        <v>663</v>
      </c>
      <c r="N393" s="239" t="s">
        <v>665</v>
      </c>
      <c r="O393" s="476"/>
      <c r="P393" s="383"/>
      <c r="Q393" s="241">
        <v>271.98</v>
      </c>
      <c r="R393" s="510" t="s">
        <v>682</v>
      </c>
      <c r="S393" s="545" t="s">
        <v>683</v>
      </c>
      <c r="T393" s="610">
        <v>45930</v>
      </c>
      <c r="U393" s="430"/>
      <c r="V393" s="830"/>
      <c r="W393" s="460">
        <v>45930</v>
      </c>
      <c r="X393" s="827"/>
      <c r="Y393" s="409"/>
    </row>
    <row r="394" spans="2:25">
      <c r="B394" s="237">
        <v>15</v>
      </c>
      <c r="C394" s="239"/>
      <c r="D394" s="239"/>
      <c r="E394" s="240"/>
      <c r="F394" s="383"/>
      <c r="G394" s="241"/>
      <c r="H394" s="460"/>
      <c r="I394" s="842"/>
      <c r="J394" s="842"/>
      <c r="K394" s="214"/>
      <c r="L394" s="237">
        <v>15</v>
      </c>
      <c r="M394" s="315" t="s">
        <v>663</v>
      </c>
      <c r="N394" s="239" t="s">
        <v>665</v>
      </c>
      <c r="O394" s="476"/>
      <c r="P394" s="383"/>
      <c r="Q394" s="241">
        <v>271.98</v>
      </c>
      <c r="R394" s="510" t="s">
        <v>684</v>
      </c>
      <c r="S394" s="545" t="s">
        <v>685</v>
      </c>
      <c r="T394" s="610">
        <v>45961</v>
      </c>
      <c r="U394" s="430"/>
      <c r="V394" s="830"/>
      <c r="W394" s="460">
        <v>45932</v>
      </c>
      <c r="X394" s="827"/>
      <c r="Y394" s="409"/>
    </row>
    <row r="395" spans="2:25">
      <c r="B395" s="237">
        <v>15</v>
      </c>
      <c r="C395" s="239"/>
      <c r="D395" s="239"/>
      <c r="E395" s="240"/>
      <c r="F395" s="383"/>
      <c r="G395" s="241"/>
      <c r="H395" s="496"/>
      <c r="I395" s="842"/>
      <c r="J395" s="842"/>
      <c r="K395" s="214"/>
      <c r="L395" s="237">
        <v>15</v>
      </c>
      <c r="M395" s="315" t="s">
        <v>663</v>
      </c>
      <c r="N395" s="239" t="s">
        <v>686</v>
      </c>
      <c r="O395" s="476"/>
      <c r="P395" s="383"/>
      <c r="Q395" s="241">
        <v>12722.45</v>
      </c>
      <c r="R395" s="510" t="s">
        <v>687</v>
      </c>
      <c r="S395" s="545" t="s">
        <v>688</v>
      </c>
      <c r="T395" s="613">
        <v>45961</v>
      </c>
      <c r="U395" s="430"/>
      <c r="V395" s="830"/>
      <c r="W395" s="692">
        <v>45960</v>
      </c>
      <c r="X395" s="827"/>
      <c r="Y395" s="409"/>
    </row>
    <row r="396" spans="2:25">
      <c r="B396" s="237">
        <v>15</v>
      </c>
      <c r="C396" s="239"/>
      <c r="D396" s="239"/>
      <c r="E396" s="240"/>
      <c r="F396" s="383"/>
      <c r="G396" s="241"/>
      <c r="H396" s="496"/>
      <c r="I396" s="842"/>
      <c r="J396" s="842"/>
      <c r="K396" s="214"/>
      <c r="L396" s="237">
        <v>15</v>
      </c>
      <c r="M396" s="315" t="s">
        <v>663</v>
      </c>
      <c r="N396" s="239" t="s">
        <v>686</v>
      </c>
      <c r="O396" s="476"/>
      <c r="P396" s="383"/>
      <c r="Q396" s="241">
        <v>14381.9</v>
      </c>
      <c r="R396" s="510" t="s">
        <v>689</v>
      </c>
      <c r="S396" s="545" t="s">
        <v>690</v>
      </c>
      <c r="T396" s="687">
        <v>45991</v>
      </c>
      <c r="U396" s="430"/>
      <c r="V396" s="830"/>
      <c r="W396" s="692">
        <v>46009</v>
      </c>
      <c r="X396" s="827"/>
      <c r="Y396" s="409"/>
    </row>
    <row r="397" spans="2:25">
      <c r="B397" s="237"/>
      <c r="C397" s="239"/>
      <c r="D397" s="239"/>
      <c r="E397" s="240"/>
      <c r="F397" s="383"/>
      <c r="G397" s="241"/>
      <c r="H397" s="496"/>
      <c r="I397" s="842"/>
      <c r="J397" s="842"/>
      <c r="K397" s="214"/>
      <c r="L397" s="237">
        <v>15</v>
      </c>
      <c r="M397" s="315" t="s">
        <v>663</v>
      </c>
      <c r="N397" s="239" t="s">
        <v>686</v>
      </c>
      <c r="O397" s="476"/>
      <c r="P397" s="383"/>
      <c r="Q397" s="241">
        <v>9126.98</v>
      </c>
      <c r="R397" s="510"/>
      <c r="S397" s="545" t="s">
        <v>691</v>
      </c>
      <c r="T397" s="687">
        <v>45991</v>
      </c>
      <c r="U397" s="430"/>
      <c r="V397" s="830"/>
      <c r="W397" s="692">
        <v>45995</v>
      </c>
      <c r="X397" s="827"/>
      <c r="Y397" s="409"/>
    </row>
    <row r="398" spans="2:25">
      <c r="B398" s="237"/>
      <c r="C398" s="239"/>
      <c r="D398" s="239"/>
      <c r="E398" s="240"/>
      <c r="F398" s="383"/>
      <c r="G398" s="241"/>
      <c r="H398" s="496"/>
      <c r="I398" s="842"/>
      <c r="J398" s="842"/>
      <c r="K398" s="214"/>
      <c r="L398" s="237">
        <v>15</v>
      </c>
      <c r="M398" s="315" t="s">
        <v>663</v>
      </c>
      <c r="N398" s="239" t="s">
        <v>686</v>
      </c>
      <c r="O398" s="476"/>
      <c r="P398" s="383"/>
      <c r="Q398" s="241">
        <v>1936.03</v>
      </c>
      <c r="R398" s="510" t="s">
        <v>692</v>
      </c>
      <c r="S398" s="545" t="s">
        <v>693</v>
      </c>
      <c r="T398" s="610">
        <v>46053</v>
      </c>
      <c r="U398" s="430"/>
      <c r="V398" s="830"/>
      <c r="W398" s="460">
        <v>46051</v>
      </c>
      <c r="X398" s="827"/>
      <c r="Y398" s="409"/>
    </row>
    <row r="399" spans="2:25">
      <c r="B399" s="237"/>
      <c r="C399" s="239"/>
      <c r="D399" s="239"/>
      <c r="E399" s="240"/>
      <c r="F399" s="383"/>
      <c r="G399" s="241"/>
      <c r="H399" s="496"/>
      <c r="I399" s="842"/>
      <c r="J399" s="842"/>
      <c r="K399" s="214"/>
      <c r="L399" s="237">
        <v>15</v>
      </c>
      <c r="M399" s="315" t="s">
        <v>663</v>
      </c>
      <c r="N399" s="239" t="s">
        <v>686</v>
      </c>
      <c r="O399" s="476"/>
      <c r="P399" s="383"/>
      <c r="Q399" s="241">
        <v>5215.6099999999997</v>
      </c>
      <c r="R399" s="510" t="s">
        <v>694</v>
      </c>
      <c r="S399" s="545" t="s">
        <v>695</v>
      </c>
      <c r="T399" s="610">
        <v>46081</v>
      </c>
      <c r="U399" s="430"/>
      <c r="V399" s="830"/>
      <c r="W399" s="460">
        <v>46093</v>
      </c>
      <c r="X399" s="827"/>
      <c r="Y399" s="409"/>
    </row>
    <row r="400" spans="2:25">
      <c r="B400" s="237"/>
      <c r="C400" s="239"/>
      <c r="D400" s="239"/>
      <c r="E400" s="240"/>
      <c r="F400" s="383"/>
      <c r="G400" s="241"/>
      <c r="H400" s="496"/>
      <c r="I400" s="842"/>
      <c r="J400" s="842"/>
      <c r="K400" s="214"/>
      <c r="L400" s="237">
        <v>15</v>
      </c>
      <c r="M400" s="315" t="s">
        <v>663</v>
      </c>
      <c r="N400" s="239" t="s">
        <v>686</v>
      </c>
      <c r="O400" s="375"/>
      <c r="P400" s="376"/>
      <c r="Q400" s="700">
        <v>7051.28</v>
      </c>
      <c r="R400" s="510" t="s">
        <v>696</v>
      </c>
      <c r="S400" s="545" t="s">
        <v>697</v>
      </c>
      <c r="T400" s="610">
        <v>46081</v>
      </c>
      <c r="U400" s="430"/>
      <c r="V400" s="830"/>
      <c r="W400" s="692">
        <v>46114</v>
      </c>
      <c r="X400" s="827"/>
      <c r="Y400" s="409"/>
    </row>
    <row r="401" spans="2:25">
      <c r="B401" s="237"/>
      <c r="C401" s="239"/>
      <c r="D401" s="239"/>
      <c r="E401" s="240"/>
      <c r="F401" s="383"/>
      <c r="G401" s="241"/>
      <c r="H401" s="496"/>
      <c r="I401" s="842"/>
      <c r="J401" s="842"/>
      <c r="K401" s="214"/>
      <c r="L401" s="237">
        <v>15</v>
      </c>
      <c r="M401" s="315" t="s">
        <v>663</v>
      </c>
      <c r="N401" s="239"/>
      <c r="O401" s="476"/>
      <c r="P401" s="383"/>
      <c r="Q401" s="241"/>
      <c r="R401" s="510"/>
      <c r="S401" s="545"/>
      <c r="T401" s="687"/>
      <c r="U401" s="430"/>
      <c r="V401" s="830"/>
      <c r="W401" s="692"/>
      <c r="X401" s="827"/>
      <c r="Y401" s="409"/>
    </row>
    <row r="402" spans="2:25">
      <c r="B402" s="237"/>
      <c r="C402" s="239"/>
      <c r="D402" s="239"/>
      <c r="E402" s="240"/>
      <c r="F402" s="383"/>
      <c r="G402" s="241"/>
      <c r="H402" s="496"/>
      <c r="I402" s="842"/>
      <c r="J402" s="842"/>
      <c r="K402" s="214"/>
      <c r="L402" s="237">
        <v>15</v>
      </c>
      <c r="M402" s="315" t="s">
        <v>663</v>
      </c>
      <c r="N402" s="239" t="s">
        <v>698</v>
      </c>
      <c r="O402" s="476"/>
      <c r="P402" s="383"/>
      <c r="Q402" s="241">
        <v>319.08999999999997</v>
      </c>
      <c r="R402" s="510"/>
      <c r="S402" s="545" t="s">
        <v>699</v>
      </c>
      <c r="T402" s="687">
        <v>46022</v>
      </c>
      <c r="U402" s="430"/>
      <c r="V402" s="830"/>
      <c r="W402" s="692">
        <v>46051</v>
      </c>
      <c r="X402" s="827"/>
      <c r="Y402" s="409"/>
    </row>
    <row r="403" spans="2:25">
      <c r="B403" s="237"/>
      <c r="C403" s="239"/>
      <c r="D403" s="239"/>
      <c r="E403" s="240"/>
      <c r="F403" s="383"/>
      <c r="G403" s="241"/>
      <c r="H403" s="496"/>
      <c r="I403" s="842"/>
      <c r="J403" s="842"/>
      <c r="K403" s="214"/>
      <c r="L403" s="237">
        <v>15</v>
      </c>
      <c r="M403" s="315" t="s">
        <v>663</v>
      </c>
      <c r="N403" s="239"/>
      <c r="O403" s="476"/>
      <c r="P403" s="383"/>
      <c r="Q403" s="241">
        <v>0</v>
      </c>
      <c r="R403" s="510"/>
      <c r="S403" s="545"/>
      <c r="T403" s="687"/>
      <c r="U403" s="430"/>
      <c r="V403" s="830"/>
      <c r="W403" s="692"/>
      <c r="X403" s="827"/>
      <c r="Y403" s="409"/>
    </row>
    <row r="404" spans="2:25">
      <c r="B404" s="237"/>
      <c r="C404" s="239"/>
      <c r="D404" s="239"/>
      <c r="E404" s="240"/>
      <c r="F404" s="383"/>
      <c r="G404" s="241"/>
      <c r="H404" s="496"/>
      <c r="I404" s="842"/>
      <c r="J404" s="842"/>
      <c r="K404" s="214"/>
      <c r="L404" s="237">
        <v>15</v>
      </c>
      <c r="M404" s="315" t="s">
        <v>663</v>
      </c>
      <c r="N404" s="239"/>
      <c r="O404" s="476"/>
      <c r="P404" s="383"/>
      <c r="Q404" s="241"/>
      <c r="R404" s="510"/>
      <c r="S404" s="545"/>
      <c r="T404" s="687"/>
      <c r="U404" s="430"/>
      <c r="V404" s="830"/>
      <c r="W404" s="692"/>
      <c r="X404" s="827"/>
      <c r="Y404" s="409"/>
    </row>
    <row r="405" spans="2:25">
      <c r="B405" s="237">
        <v>15</v>
      </c>
      <c r="C405" s="239"/>
      <c r="D405" s="239"/>
      <c r="E405" s="240"/>
      <c r="F405" s="383"/>
      <c r="G405" s="241"/>
      <c r="H405" s="496"/>
      <c r="I405" s="842"/>
      <c r="J405" s="842"/>
      <c r="K405" s="214"/>
      <c r="L405" s="237">
        <v>15</v>
      </c>
      <c r="M405" s="315" t="s">
        <v>663</v>
      </c>
      <c r="N405" s="239"/>
      <c r="O405" s="476"/>
      <c r="P405" s="383"/>
      <c r="Q405" s="241"/>
      <c r="R405" s="510"/>
      <c r="S405" s="545"/>
      <c r="T405" s="445"/>
      <c r="U405" s="430"/>
      <c r="V405" s="830"/>
      <c r="W405" s="496"/>
      <c r="X405" s="827"/>
      <c r="Y405" s="409"/>
    </row>
    <row r="406" spans="2:25">
      <c r="B406" s="237">
        <v>15</v>
      </c>
      <c r="C406" s="239"/>
      <c r="D406" s="239"/>
      <c r="E406" s="240"/>
      <c r="F406" s="383"/>
      <c r="G406" s="241"/>
      <c r="H406" s="496"/>
      <c r="I406" s="842"/>
      <c r="J406" s="842"/>
      <c r="K406" s="214"/>
      <c r="L406" s="237">
        <v>15</v>
      </c>
      <c r="M406" s="315" t="s">
        <v>663</v>
      </c>
      <c r="N406" s="239" t="s">
        <v>153</v>
      </c>
      <c r="O406" s="476"/>
      <c r="P406" s="383"/>
      <c r="Q406" s="241">
        <v>160210.04999999999</v>
      </c>
      <c r="R406" s="510" t="s">
        <v>700</v>
      </c>
      <c r="S406" s="545" t="s">
        <v>701</v>
      </c>
      <c r="T406" s="610">
        <v>45991</v>
      </c>
      <c r="U406" s="430"/>
      <c r="V406" s="830"/>
      <c r="W406" s="460">
        <v>46003</v>
      </c>
      <c r="X406" s="827"/>
      <c r="Y406" s="409"/>
    </row>
    <row r="407" spans="2:25">
      <c r="B407" s="237">
        <v>15</v>
      </c>
      <c r="C407" s="239"/>
      <c r="D407" s="239"/>
      <c r="E407" s="240"/>
      <c r="F407" s="383"/>
      <c r="G407" s="241"/>
      <c r="H407" s="496"/>
      <c r="I407" s="842"/>
      <c r="J407" s="842"/>
      <c r="K407" s="214"/>
      <c r="L407" s="237">
        <v>15</v>
      </c>
      <c r="M407" s="315" t="s">
        <v>663</v>
      </c>
      <c r="N407" s="239" t="s">
        <v>702</v>
      </c>
      <c r="O407" s="476"/>
      <c r="P407" s="383"/>
      <c r="Q407" s="241">
        <v>1200</v>
      </c>
      <c r="R407" s="510" t="s">
        <v>703</v>
      </c>
      <c r="S407" s="545" t="s">
        <v>704</v>
      </c>
      <c r="T407" s="687">
        <v>45961</v>
      </c>
      <c r="U407" s="430"/>
      <c r="V407" s="830"/>
      <c r="W407" s="692">
        <v>45946</v>
      </c>
      <c r="X407" s="827"/>
      <c r="Y407" s="409"/>
    </row>
    <row r="408" spans="2:25">
      <c r="B408" s="237">
        <v>15</v>
      </c>
      <c r="C408" s="239"/>
      <c r="D408" s="239"/>
      <c r="E408" s="240"/>
      <c r="F408" s="383"/>
      <c r="G408" s="241"/>
      <c r="H408" s="496"/>
      <c r="I408" s="842"/>
      <c r="J408" s="842"/>
      <c r="K408" s="214"/>
      <c r="L408" s="237">
        <v>15</v>
      </c>
      <c r="M408" s="315" t="s">
        <v>663</v>
      </c>
      <c r="N408" s="239" t="s">
        <v>702</v>
      </c>
      <c r="O408" s="476"/>
      <c r="P408" s="383"/>
      <c r="Q408" s="241">
        <v>1200</v>
      </c>
      <c r="R408" s="510" t="s">
        <v>705</v>
      </c>
      <c r="S408" s="545" t="s">
        <v>706</v>
      </c>
      <c r="T408" s="610">
        <v>46022</v>
      </c>
      <c r="U408" s="430"/>
      <c r="V408" s="830"/>
      <c r="W408" s="460">
        <v>46003</v>
      </c>
      <c r="X408" s="827"/>
      <c r="Y408" s="409"/>
    </row>
    <row r="409" spans="2:25">
      <c r="B409" s="237">
        <v>15</v>
      </c>
      <c r="C409" s="239"/>
      <c r="D409" s="239"/>
      <c r="E409" s="240"/>
      <c r="F409" s="383"/>
      <c r="G409" s="241"/>
      <c r="H409" s="496"/>
      <c r="I409" s="842"/>
      <c r="J409" s="842"/>
      <c r="K409" s="214"/>
      <c r="L409" s="237">
        <v>15</v>
      </c>
      <c r="M409" s="315" t="s">
        <v>663</v>
      </c>
      <c r="N409" s="239" t="s">
        <v>702</v>
      </c>
      <c r="O409" s="476"/>
      <c r="P409" s="383"/>
      <c r="Q409" s="241">
        <v>1200</v>
      </c>
      <c r="R409" s="510" t="s">
        <v>707</v>
      </c>
      <c r="S409" s="545" t="s">
        <v>708</v>
      </c>
      <c r="T409" s="610">
        <v>46053</v>
      </c>
      <c r="U409" s="430"/>
      <c r="V409" s="830"/>
      <c r="W409" s="692">
        <v>46114</v>
      </c>
      <c r="X409" s="827"/>
      <c r="Y409" s="409"/>
    </row>
    <row r="410" spans="2:25">
      <c r="B410" s="237">
        <v>15</v>
      </c>
      <c r="C410" s="239"/>
      <c r="D410" s="239"/>
      <c r="E410" s="240"/>
      <c r="F410" s="383"/>
      <c r="G410" s="241"/>
      <c r="H410" s="496"/>
      <c r="I410" s="842"/>
      <c r="J410" s="842"/>
      <c r="K410" s="214"/>
      <c r="L410" s="237">
        <v>15</v>
      </c>
      <c r="M410" s="315" t="s">
        <v>663</v>
      </c>
      <c r="N410" s="239"/>
      <c r="O410" s="476"/>
      <c r="P410" s="383"/>
      <c r="Q410" s="241"/>
      <c r="R410" s="510"/>
      <c r="S410" s="545"/>
      <c r="T410" s="445"/>
      <c r="U410" s="430"/>
      <c r="V410" s="830"/>
      <c r="W410" s="496"/>
      <c r="X410" s="827"/>
      <c r="Y410" s="409"/>
    </row>
    <row r="411" spans="2:25">
      <c r="B411" s="237"/>
      <c r="C411" s="239"/>
      <c r="D411" s="239"/>
      <c r="E411" s="240"/>
      <c r="F411" s="383"/>
      <c r="G411" s="241"/>
      <c r="H411" s="496"/>
      <c r="I411" s="842"/>
      <c r="J411" s="842"/>
      <c r="K411" s="214"/>
      <c r="L411" s="237">
        <v>15</v>
      </c>
      <c r="M411" s="315" t="s">
        <v>663</v>
      </c>
      <c r="N411" s="239"/>
      <c r="O411" s="476"/>
      <c r="P411" s="383"/>
      <c r="Q411" s="241"/>
      <c r="R411" s="510"/>
      <c r="S411" s="545"/>
      <c r="T411" s="445"/>
      <c r="U411" s="430"/>
      <c r="V411" s="830"/>
      <c r="W411" s="496"/>
      <c r="X411" s="827"/>
      <c r="Y411" s="409"/>
    </row>
    <row r="412" spans="2:25">
      <c r="B412" s="237">
        <v>15</v>
      </c>
      <c r="C412" s="239"/>
      <c r="D412" s="239"/>
      <c r="E412" s="240"/>
      <c r="F412" s="383"/>
      <c r="G412" s="241"/>
      <c r="H412" s="496"/>
      <c r="I412" s="842"/>
      <c r="J412" s="842"/>
      <c r="K412" s="214"/>
      <c r="L412" s="237">
        <v>15</v>
      </c>
      <c r="M412" s="315" t="s">
        <v>663</v>
      </c>
      <c r="N412" s="239" t="s">
        <v>709</v>
      </c>
      <c r="O412" s="476">
        <v>500</v>
      </c>
      <c r="P412" s="383">
        <v>1044.21</v>
      </c>
      <c r="Q412" s="241">
        <f>O412*P412</f>
        <v>522105</v>
      </c>
      <c r="R412" s="510" t="s">
        <v>710</v>
      </c>
      <c r="S412" s="545"/>
      <c r="T412" s="445">
        <v>46203</v>
      </c>
      <c r="U412" s="430"/>
      <c r="V412" s="830"/>
      <c r="W412" s="496">
        <f>T412+30</f>
        <v>46233</v>
      </c>
      <c r="X412" s="827"/>
      <c r="Y412" s="409"/>
    </row>
    <row r="413" spans="2:25">
      <c r="B413" s="237">
        <v>15</v>
      </c>
      <c r="C413" s="239"/>
      <c r="D413" s="239"/>
      <c r="E413" s="240"/>
      <c r="F413" s="383"/>
      <c r="G413" s="241"/>
      <c r="H413" s="496"/>
      <c r="I413" s="842"/>
      <c r="J413" s="842"/>
      <c r="K413" s="214"/>
      <c r="L413" s="237">
        <v>15</v>
      </c>
      <c r="M413" s="315" t="s">
        <v>663</v>
      </c>
      <c r="N413" s="239"/>
      <c r="O413" s="476"/>
      <c r="P413" s="383"/>
      <c r="Q413" s="241"/>
      <c r="R413" s="510"/>
      <c r="S413" s="545"/>
      <c r="T413" s="445"/>
      <c r="U413" s="430"/>
      <c r="V413" s="830"/>
      <c r="W413" s="496"/>
      <c r="X413" s="827"/>
      <c r="Y413" s="409"/>
    </row>
    <row r="414" spans="2:25">
      <c r="B414" s="237">
        <v>15</v>
      </c>
      <c r="C414" s="239"/>
      <c r="D414" s="239"/>
      <c r="E414" s="240"/>
      <c r="F414" s="383"/>
      <c r="G414" s="241"/>
      <c r="H414" s="496"/>
      <c r="I414" s="842"/>
      <c r="J414" s="842"/>
      <c r="K414" s="214"/>
      <c r="L414" s="237">
        <v>15</v>
      </c>
      <c r="M414" s="315" t="s">
        <v>663</v>
      </c>
      <c r="N414" s="239" t="s">
        <v>711</v>
      </c>
      <c r="O414" s="476"/>
      <c r="P414" s="383"/>
      <c r="Q414" s="241">
        <f>300000-SUM(Q415:Q418)</f>
        <v>247285.68</v>
      </c>
      <c r="R414" s="510"/>
      <c r="S414" s="545"/>
      <c r="T414" s="445">
        <v>46203</v>
      </c>
      <c r="U414" s="430"/>
      <c r="V414" s="830"/>
      <c r="W414" s="496">
        <f>T414</f>
        <v>46203</v>
      </c>
      <c r="X414" s="827"/>
      <c r="Y414" s="409"/>
    </row>
    <row r="415" spans="2:25">
      <c r="B415" s="237"/>
      <c r="C415" s="239"/>
      <c r="D415" s="239"/>
      <c r="E415" s="240"/>
      <c r="F415" s="383"/>
      <c r="G415" s="241"/>
      <c r="H415" s="496"/>
      <c r="I415" s="842"/>
      <c r="J415" s="842"/>
      <c r="K415" s="214"/>
      <c r="L415" s="237">
        <v>15</v>
      </c>
      <c r="M415" s="315" t="s">
        <v>663</v>
      </c>
      <c r="N415" s="239" t="s">
        <v>712</v>
      </c>
      <c r="O415" s="476"/>
      <c r="P415" s="383"/>
      <c r="Q415" s="241">
        <v>52714.32</v>
      </c>
      <c r="R415" s="510" t="s">
        <v>713</v>
      </c>
      <c r="S415" s="545" t="s">
        <v>714</v>
      </c>
      <c r="T415" s="610">
        <v>46142</v>
      </c>
      <c r="U415" s="430"/>
      <c r="V415" s="830"/>
      <c r="W415" s="496">
        <v>46163</v>
      </c>
      <c r="X415" s="827"/>
      <c r="Y415" s="409"/>
    </row>
    <row r="416" spans="2:25">
      <c r="B416" s="237"/>
      <c r="C416" s="239"/>
      <c r="D416" s="239"/>
      <c r="E416" s="240"/>
      <c r="F416" s="383"/>
      <c r="G416" s="241"/>
      <c r="H416" s="496"/>
      <c r="I416" s="842"/>
      <c r="J416" s="842"/>
      <c r="K416" s="214"/>
      <c r="L416" s="237">
        <v>15</v>
      </c>
      <c r="M416" s="315" t="s">
        <v>663</v>
      </c>
      <c r="N416" s="239"/>
      <c r="O416" s="476"/>
      <c r="P416" s="383"/>
      <c r="Q416" s="241"/>
      <c r="R416" s="510"/>
      <c r="S416" s="545"/>
      <c r="T416" s="445"/>
      <c r="U416" s="430"/>
      <c r="V416" s="830"/>
      <c r="W416" s="496"/>
      <c r="X416" s="827"/>
      <c r="Y416" s="409"/>
    </row>
    <row r="417" spans="2:25">
      <c r="B417" s="237"/>
      <c r="C417" s="239"/>
      <c r="D417" s="239"/>
      <c r="E417" s="240"/>
      <c r="F417" s="383"/>
      <c r="G417" s="241"/>
      <c r="H417" s="496"/>
      <c r="I417" s="842"/>
      <c r="J417" s="842"/>
      <c r="K417" s="214"/>
      <c r="L417" s="237">
        <v>15</v>
      </c>
      <c r="M417" s="315" t="s">
        <v>663</v>
      </c>
      <c r="N417" s="239"/>
      <c r="O417" s="476"/>
      <c r="P417" s="383"/>
      <c r="Q417" s="241"/>
      <c r="R417" s="510"/>
      <c r="S417" s="545"/>
      <c r="T417" s="445"/>
      <c r="U417" s="430"/>
      <c r="V417" s="830"/>
      <c r="W417" s="496"/>
      <c r="X417" s="827"/>
      <c r="Y417" s="409"/>
    </row>
    <row r="418" spans="2:25">
      <c r="B418" s="237"/>
      <c r="C418" s="239"/>
      <c r="D418" s="239"/>
      <c r="E418" s="240"/>
      <c r="F418" s="383"/>
      <c r="G418" s="241"/>
      <c r="H418" s="496"/>
      <c r="I418" s="842"/>
      <c r="J418" s="842"/>
      <c r="K418" s="214"/>
      <c r="L418" s="237">
        <v>15</v>
      </c>
      <c r="M418" s="315" t="s">
        <v>663</v>
      </c>
      <c r="N418" s="239"/>
      <c r="O418" s="476"/>
      <c r="P418" s="383"/>
      <c r="Q418" s="241"/>
      <c r="R418" s="510"/>
      <c r="S418" s="545"/>
      <c r="T418" s="445"/>
      <c r="U418" s="430"/>
      <c r="V418" s="830"/>
      <c r="W418" s="496"/>
      <c r="X418" s="827"/>
      <c r="Y418" s="409"/>
    </row>
    <row r="419" spans="2:25">
      <c r="B419" s="237"/>
      <c r="C419" s="239"/>
      <c r="D419" s="239"/>
      <c r="E419" s="240"/>
      <c r="F419" s="383"/>
      <c r="G419" s="241"/>
      <c r="H419" s="496"/>
      <c r="I419" s="842"/>
      <c r="J419" s="842"/>
      <c r="K419" s="214"/>
      <c r="L419" s="237">
        <v>15</v>
      </c>
      <c r="M419" s="315" t="s">
        <v>663</v>
      </c>
      <c r="N419" s="239"/>
      <c r="O419" s="476"/>
      <c r="P419" s="383"/>
      <c r="Q419" s="241">
        <f>O419*P419</f>
        <v>0</v>
      </c>
      <c r="R419" s="510"/>
      <c r="S419" s="545"/>
      <c r="T419" s="445"/>
      <c r="U419" s="430"/>
      <c r="V419" s="830"/>
      <c r="W419" s="496"/>
      <c r="X419" s="827"/>
      <c r="Y419" s="409"/>
    </row>
    <row r="420" spans="2:25">
      <c r="B420" s="237"/>
      <c r="C420" s="239"/>
      <c r="D420" s="239"/>
      <c r="E420" s="240"/>
      <c r="F420" s="383"/>
      <c r="G420" s="241"/>
      <c r="H420" s="496"/>
      <c r="I420" s="842"/>
      <c r="J420" s="842"/>
      <c r="K420" s="214"/>
      <c r="L420" s="237">
        <v>15</v>
      </c>
      <c r="M420" s="315" t="s">
        <v>663</v>
      </c>
      <c r="N420" s="239" t="s">
        <v>715</v>
      </c>
      <c r="O420" s="476"/>
      <c r="P420" s="383"/>
      <c r="Q420" s="241">
        <v>8835.7999999999993</v>
      </c>
      <c r="R420" s="510"/>
      <c r="S420" s="545" t="s">
        <v>716</v>
      </c>
      <c r="T420" s="610">
        <v>46173</v>
      </c>
      <c r="U420" s="430"/>
      <c r="V420" s="830"/>
      <c r="W420" s="496">
        <f>T420+30</f>
        <v>46203</v>
      </c>
      <c r="X420" s="827"/>
      <c r="Y420" s="409"/>
    </row>
    <row r="421" spans="2:25">
      <c r="B421" s="237"/>
      <c r="C421" s="239"/>
      <c r="D421" s="239"/>
      <c r="E421" s="240"/>
      <c r="F421" s="383"/>
      <c r="G421" s="241"/>
      <c r="H421" s="496"/>
      <c r="I421" s="842"/>
      <c r="J421" s="842"/>
      <c r="K421" s="214"/>
      <c r="L421" s="237">
        <v>15</v>
      </c>
      <c r="M421" s="315" t="s">
        <v>663</v>
      </c>
      <c r="N421" s="239" t="s">
        <v>717</v>
      </c>
      <c r="O421" s="476">
        <v>20</v>
      </c>
      <c r="P421" s="383">
        <v>2771</v>
      </c>
      <c r="Q421" s="241">
        <v>55420</v>
      </c>
      <c r="R421" s="510"/>
      <c r="S421" s="545" t="s">
        <v>718</v>
      </c>
      <c r="T421" s="610">
        <v>46142</v>
      </c>
      <c r="U421" s="430"/>
      <c r="V421" s="830"/>
      <c r="W421" s="496">
        <v>46173</v>
      </c>
      <c r="X421" s="827"/>
      <c r="Y421" s="409"/>
    </row>
    <row r="422" spans="2:25">
      <c r="B422" s="237"/>
      <c r="C422" s="239"/>
      <c r="D422" s="239"/>
      <c r="E422" s="240"/>
      <c r="F422" s="383"/>
      <c r="G422" s="241"/>
      <c r="H422" s="496"/>
      <c r="I422" s="842"/>
      <c r="J422" s="842"/>
      <c r="K422" s="214"/>
      <c r="L422" s="237">
        <v>15</v>
      </c>
      <c r="M422" s="315" t="s">
        <v>663</v>
      </c>
      <c r="N422" s="239" t="s">
        <v>719</v>
      </c>
      <c r="O422" s="476"/>
      <c r="P422" s="383"/>
      <c r="Q422" s="241">
        <v>14710.19</v>
      </c>
      <c r="R422" s="510"/>
      <c r="S422" s="545" t="s">
        <v>720</v>
      </c>
      <c r="T422" s="610">
        <v>46142</v>
      </c>
      <c r="U422" s="430"/>
      <c r="V422" s="830"/>
      <c r="W422" s="496">
        <v>46173</v>
      </c>
      <c r="X422" s="827"/>
      <c r="Y422" s="409"/>
    </row>
    <row r="423" spans="2:25">
      <c r="B423" s="237"/>
      <c r="C423" s="239"/>
      <c r="D423" s="239"/>
      <c r="E423" s="240"/>
      <c r="F423" s="383"/>
      <c r="G423" s="241"/>
      <c r="H423" s="496"/>
      <c r="I423" s="842"/>
      <c r="J423" s="842"/>
      <c r="K423" s="214"/>
      <c r="L423" s="237">
        <v>15</v>
      </c>
      <c r="M423" s="315" t="s">
        <v>663</v>
      </c>
      <c r="N423" s="804" t="s">
        <v>721</v>
      </c>
      <c r="O423" s="805"/>
      <c r="P423" s="806"/>
      <c r="Q423" s="807">
        <v>87500</v>
      </c>
      <c r="R423" s="510" t="s">
        <v>722</v>
      </c>
      <c r="S423" s="545" t="s">
        <v>723</v>
      </c>
      <c r="T423" s="613">
        <v>46142</v>
      </c>
      <c r="U423" s="430"/>
      <c r="V423" s="830"/>
      <c r="W423" s="692">
        <v>46135</v>
      </c>
      <c r="X423" s="827"/>
      <c r="Y423" s="409"/>
    </row>
    <row r="424" spans="2:25">
      <c r="B424" s="237"/>
      <c r="C424" s="239"/>
      <c r="D424" s="239"/>
      <c r="E424" s="240"/>
      <c r="F424" s="383"/>
      <c r="G424" s="241"/>
      <c r="H424" s="496"/>
      <c r="I424" s="842"/>
      <c r="J424" s="842"/>
      <c r="K424" s="214"/>
      <c r="L424" s="237">
        <v>15</v>
      </c>
      <c r="M424" s="315" t="s">
        <v>663</v>
      </c>
      <c r="N424" s="804"/>
      <c r="O424" s="805"/>
      <c r="P424" s="806"/>
      <c r="Q424" s="807">
        <f>135314.17-Q423</f>
        <v>47814.170000000013</v>
      </c>
      <c r="R424" s="510"/>
      <c r="S424" s="545" t="s">
        <v>723</v>
      </c>
      <c r="T424" s="613">
        <v>46142</v>
      </c>
      <c r="U424" s="430"/>
      <c r="V424" s="830"/>
      <c r="W424" s="496">
        <v>46163</v>
      </c>
      <c r="X424" s="827"/>
      <c r="Y424" s="409"/>
    </row>
    <row r="425" spans="2:25">
      <c r="B425" s="237"/>
      <c r="C425" s="239"/>
      <c r="D425" s="239"/>
      <c r="E425" s="240"/>
      <c r="F425" s="383"/>
      <c r="G425" s="241"/>
      <c r="H425" s="496"/>
      <c r="I425" s="842"/>
      <c r="J425" s="842"/>
      <c r="K425" s="214"/>
      <c r="L425" s="237">
        <v>15</v>
      </c>
      <c r="M425" s="315" t="s">
        <v>663</v>
      </c>
      <c r="N425" s="804" t="s">
        <v>724</v>
      </c>
      <c r="O425" s="805"/>
      <c r="P425" s="806"/>
      <c r="Q425" s="807">
        <v>67657.086956521744</v>
      </c>
      <c r="R425" s="510" t="s">
        <v>725</v>
      </c>
      <c r="S425" s="545" t="s">
        <v>726</v>
      </c>
      <c r="T425" s="613">
        <v>46142</v>
      </c>
      <c r="U425" s="430"/>
      <c r="V425" s="830"/>
      <c r="W425" s="692">
        <f>W423</f>
        <v>46135</v>
      </c>
      <c r="X425" s="827"/>
      <c r="Y425" s="409"/>
    </row>
    <row r="426" spans="2:25">
      <c r="B426" s="237"/>
      <c r="C426" s="239"/>
      <c r="D426" s="239"/>
      <c r="E426" s="240"/>
      <c r="F426" s="383"/>
      <c r="G426" s="241"/>
      <c r="H426" s="496"/>
      <c r="I426" s="842"/>
      <c r="J426" s="842"/>
      <c r="K426" s="214"/>
      <c r="L426" s="237">
        <v>15</v>
      </c>
      <c r="M426" s="315" t="s">
        <v>663</v>
      </c>
      <c r="N426" s="239"/>
      <c r="O426" s="476"/>
      <c r="P426" s="383"/>
      <c r="Q426" s="807">
        <f>175000-Q425</f>
        <v>107342.91304347826</v>
      </c>
      <c r="R426" s="510"/>
      <c r="S426" s="545" t="s">
        <v>726</v>
      </c>
      <c r="T426" s="613">
        <v>46142</v>
      </c>
      <c r="U426" s="430"/>
      <c r="V426" s="830"/>
      <c r="W426" s="496">
        <f>W424</f>
        <v>46163</v>
      </c>
      <c r="X426" s="827"/>
      <c r="Y426" s="409"/>
    </row>
    <row r="427" spans="2:25">
      <c r="B427" s="237"/>
      <c r="C427" s="239"/>
      <c r="D427" s="239"/>
      <c r="E427" s="240"/>
      <c r="F427" s="383"/>
      <c r="G427" s="241"/>
      <c r="H427" s="496"/>
      <c r="I427" s="842"/>
      <c r="J427" s="842"/>
      <c r="K427" s="214"/>
      <c r="L427" s="237">
        <v>15</v>
      </c>
      <c r="M427" s="315" t="s">
        <v>663</v>
      </c>
      <c r="N427" s="239"/>
      <c r="O427" s="476"/>
      <c r="P427" s="383"/>
      <c r="Q427" s="241"/>
      <c r="R427" s="510"/>
      <c r="S427" s="545"/>
      <c r="T427" s="445"/>
      <c r="U427" s="430"/>
      <c r="V427" s="830"/>
      <c r="W427" s="496"/>
      <c r="X427" s="827"/>
      <c r="Y427" s="409"/>
    </row>
    <row r="428" spans="2:25">
      <c r="B428" s="237"/>
      <c r="C428" s="239"/>
      <c r="D428" s="239"/>
      <c r="E428" s="240"/>
      <c r="F428" s="383"/>
      <c r="G428" s="241"/>
      <c r="H428" s="496"/>
      <c r="I428" s="842"/>
      <c r="J428" s="842"/>
      <c r="K428" s="214"/>
      <c r="L428" s="237">
        <v>15</v>
      </c>
      <c r="M428" s="315" t="s">
        <v>663</v>
      </c>
      <c r="N428" s="239"/>
      <c r="O428" s="476"/>
      <c r="P428" s="383"/>
      <c r="Q428" s="241"/>
      <c r="R428" s="510"/>
      <c r="S428" s="545"/>
      <c r="T428" s="445"/>
      <c r="U428" s="430"/>
      <c r="V428" s="830"/>
      <c r="W428" s="496"/>
      <c r="X428" s="827"/>
      <c r="Y428" s="409"/>
    </row>
    <row r="429" spans="2:25">
      <c r="B429" s="237"/>
      <c r="C429" s="239"/>
      <c r="D429" s="239"/>
      <c r="E429" s="240"/>
      <c r="F429" s="383"/>
      <c r="G429" s="241"/>
      <c r="H429" s="496"/>
      <c r="I429" s="842"/>
      <c r="J429" s="842"/>
      <c r="K429" s="214"/>
      <c r="L429" s="237">
        <v>15</v>
      </c>
      <c r="M429" s="315" t="s">
        <v>663</v>
      </c>
      <c r="N429" s="239"/>
      <c r="O429" s="476"/>
      <c r="P429" s="383"/>
      <c r="Q429" s="241"/>
      <c r="R429" s="510"/>
      <c r="S429" s="545"/>
      <c r="T429" s="445"/>
      <c r="U429" s="430"/>
      <c r="V429" s="830"/>
      <c r="W429" s="496"/>
      <c r="X429" s="827"/>
      <c r="Y429" s="409"/>
    </row>
    <row r="430" spans="2:25">
      <c r="B430" s="237"/>
      <c r="C430" s="239"/>
      <c r="D430" s="239"/>
      <c r="E430" s="240"/>
      <c r="F430" s="383"/>
      <c r="G430" s="241"/>
      <c r="H430" s="496"/>
      <c r="I430" s="842"/>
      <c r="J430" s="842"/>
      <c r="K430" s="214"/>
      <c r="L430" s="237">
        <v>15</v>
      </c>
      <c r="M430" s="315" t="s">
        <v>663</v>
      </c>
      <c r="N430" s="239"/>
      <c r="O430" s="476"/>
      <c r="P430" s="383"/>
      <c r="Q430" s="241"/>
      <c r="R430" s="510"/>
      <c r="S430" s="545"/>
      <c r="T430" s="445"/>
      <c r="U430" s="430"/>
      <c r="V430" s="830"/>
      <c r="W430" s="496"/>
      <c r="X430" s="827"/>
      <c r="Y430" s="409"/>
    </row>
    <row r="431" spans="2:25">
      <c r="B431" s="237"/>
      <c r="C431" s="239"/>
      <c r="D431" s="239"/>
      <c r="E431" s="240"/>
      <c r="F431" s="383"/>
      <c r="G431" s="241"/>
      <c r="H431" s="496"/>
      <c r="I431" s="842"/>
      <c r="J431" s="842"/>
      <c r="K431" s="214"/>
      <c r="L431" s="237">
        <v>15</v>
      </c>
      <c r="M431" s="315" t="s">
        <v>663</v>
      </c>
      <c r="N431" s="239"/>
      <c r="O431" s="476"/>
      <c r="P431" s="383"/>
      <c r="Q431" s="241"/>
      <c r="R431" s="510"/>
      <c r="S431" s="545"/>
      <c r="T431" s="445"/>
      <c r="U431" s="430"/>
      <c r="V431" s="830"/>
      <c r="W431" s="496"/>
      <c r="X431" s="827"/>
      <c r="Y431" s="409"/>
    </row>
    <row r="432" spans="2:25">
      <c r="B432" s="237"/>
      <c r="C432" s="239"/>
      <c r="D432" s="239"/>
      <c r="E432" s="240"/>
      <c r="F432" s="383"/>
      <c r="G432" s="241"/>
      <c r="H432" s="496"/>
      <c r="I432" s="842"/>
      <c r="J432" s="842"/>
      <c r="K432" s="214"/>
      <c r="L432" s="237">
        <v>15</v>
      </c>
      <c r="M432" s="315" t="s">
        <v>663</v>
      </c>
      <c r="N432" s="239"/>
      <c r="O432" s="476"/>
      <c r="P432" s="383"/>
      <c r="Q432" s="241"/>
      <c r="R432" s="510"/>
      <c r="S432" s="545"/>
      <c r="T432" s="445"/>
      <c r="U432" s="430"/>
      <c r="V432" s="830"/>
      <c r="W432" s="496"/>
      <c r="X432" s="827"/>
      <c r="Y432" s="409"/>
    </row>
    <row r="433" spans="2:75">
      <c r="B433" s="237"/>
      <c r="C433" s="239"/>
      <c r="D433" s="239"/>
      <c r="E433" s="240"/>
      <c r="F433" s="383"/>
      <c r="G433" s="241"/>
      <c r="H433" s="496"/>
      <c r="I433" s="842"/>
      <c r="J433" s="842"/>
      <c r="K433" s="214"/>
      <c r="L433" s="237">
        <v>15</v>
      </c>
      <c r="M433" s="315" t="s">
        <v>663</v>
      </c>
      <c r="N433" s="239"/>
      <c r="O433" s="476"/>
      <c r="P433" s="383"/>
      <c r="Q433" s="241"/>
      <c r="R433" s="510"/>
      <c r="S433" s="545"/>
      <c r="T433" s="445"/>
      <c r="U433" s="430"/>
      <c r="V433" s="830"/>
      <c r="W433" s="496"/>
      <c r="X433" s="827"/>
      <c r="Y433" s="409"/>
    </row>
    <row r="434" spans="2:75">
      <c r="B434" s="237"/>
      <c r="C434" s="239"/>
      <c r="D434" s="239"/>
      <c r="E434" s="240"/>
      <c r="F434" s="383"/>
      <c r="G434" s="241"/>
      <c r="H434" s="496"/>
      <c r="I434" s="842"/>
      <c r="J434" s="842"/>
      <c r="K434" s="214"/>
      <c r="L434" s="237">
        <v>15</v>
      </c>
      <c r="M434" s="315" t="s">
        <v>663</v>
      </c>
      <c r="N434" s="239"/>
      <c r="O434" s="476"/>
      <c r="P434" s="383"/>
      <c r="Q434" s="241"/>
      <c r="R434" s="510"/>
      <c r="S434" s="545"/>
      <c r="T434" s="445"/>
      <c r="U434" s="430"/>
      <c r="V434" s="830"/>
      <c r="W434" s="496"/>
      <c r="X434" s="827"/>
      <c r="Y434" s="409"/>
    </row>
    <row r="435" spans="2:75">
      <c r="B435" s="237">
        <v>15</v>
      </c>
      <c r="C435" s="239"/>
      <c r="D435" s="239"/>
      <c r="E435" s="240"/>
      <c r="F435" s="383"/>
      <c r="G435" s="241"/>
      <c r="H435" s="496"/>
      <c r="I435" s="842"/>
      <c r="J435" s="842"/>
      <c r="K435" s="214"/>
      <c r="L435" s="237">
        <v>15</v>
      </c>
      <c r="M435" s="315" t="s">
        <v>663</v>
      </c>
      <c r="N435" s="239" t="s">
        <v>727</v>
      </c>
      <c r="O435" s="476"/>
      <c r="P435" s="383"/>
      <c r="Q435" s="540">
        <v>0</v>
      </c>
      <c r="R435" s="510"/>
      <c r="S435" s="545"/>
      <c r="T435" s="445"/>
      <c r="U435" s="430"/>
      <c r="V435" s="830"/>
      <c r="W435" s="496"/>
      <c r="X435" s="827"/>
      <c r="Y435" s="409"/>
    </row>
    <row r="436" spans="2:75">
      <c r="B436" s="237">
        <v>15</v>
      </c>
      <c r="C436" s="239"/>
      <c r="D436" s="239"/>
      <c r="E436" s="240"/>
      <c r="F436" s="383"/>
      <c r="G436" s="241"/>
      <c r="H436" s="496"/>
      <c r="I436" s="842"/>
      <c r="J436" s="842"/>
      <c r="K436" s="214"/>
      <c r="L436" s="237">
        <v>15</v>
      </c>
      <c r="M436" s="315" t="s">
        <v>663</v>
      </c>
      <c r="N436" s="239" t="s">
        <v>728</v>
      </c>
      <c r="O436" s="476"/>
      <c r="P436" s="383"/>
      <c r="Q436" s="241">
        <v>271125.69</v>
      </c>
      <c r="R436" s="510"/>
      <c r="S436" s="545" t="s">
        <v>729</v>
      </c>
      <c r="T436" s="687">
        <v>46053</v>
      </c>
      <c r="U436" s="430"/>
      <c r="V436" s="830"/>
      <c r="W436" s="460">
        <v>46051</v>
      </c>
      <c r="X436" s="827"/>
      <c r="Y436" s="409"/>
    </row>
    <row r="437" spans="2:75">
      <c r="B437" s="237"/>
      <c r="C437" s="239"/>
      <c r="D437" s="239"/>
      <c r="E437" s="240"/>
      <c r="F437" s="383"/>
      <c r="G437" s="241"/>
      <c r="H437" s="496"/>
      <c r="I437" s="842"/>
      <c r="J437" s="842"/>
      <c r="K437" s="214"/>
      <c r="L437" s="237">
        <v>15</v>
      </c>
      <c r="M437" s="315" t="s">
        <v>663</v>
      </c>
      <c r="N437" s="239" t="s">
        <v>730</v>
      </c>
      <c r="O437" s="476"/>
      <c r="P437" s="383"/>
      <c r="Q437" s="241">
        <v>496745.53</v>
      </c>
      <c r="R437" s="510"/>
      <c r="S437" s="545" t="s">
        <v>731</v>
      </c>
      <c r="T437" s="610">
        <v>46081</v>
      </c>
      <c r="U437" s="430"/>
      <c r="V437" s="830"/>
      <c r="W437" s="692">
        <v>46079</v>
      </c>
      <c r="X437" s="827"/>
      <c r="Y437" s="409"/>
    </row>
    <row r="438" spans="2:75">
      <c r="B438" s="237">
        <v>15</v>
      </c>
      <c r="C438" s="239"/>
      <c r="D438" s="239"/>
      <c r="E438" s="240"/>
      <c r="F438" s="383"/>
      <c r="G438" s="241"/>
      <c r="H438" s="496"/>
      <c r="I438" s="842"/>
      <c r="J438" s="842"/>
      <c r="K438" s="214"/>
      <c r="L438" s="237">
        <v>15</v>
      </c>
      <c r="M438" s="315" t="s">
        <v>663</v>
      </c>
      <c r="N438" s="239"/>
      <c r="O438" s="476"/>
      <c r="P438" s="383"/>
      <c r="Q438" s="241"/>
      <c r="R438" s="510"/>
      <c r="S438" s="545"/>
      <c r="T438" s="610"/>
      <c r="U438" s="615"/>
      <c r="V438" s="830"/>
      <c r="W438" s="496"/>
      <c r="X438" s="827"/>
      <c r="Y438" s="409"/>
    </row>
    <row r="439" spans="2:75" ht="15" customHeight="1" thickBot="1">
      <c r="B439" s="242">
        <v>15</v>
      </c>
      <c r="C439" s="243"/>
      <c r="D439" s="243"/>
      <c r="E439" s="244"/>
      <c r="F439" s="384"/>
      <c r="G439" s="256"/>
      <c r="H439" s="498"/>
      <c r="I439" s="843"/>
      <c r="J439" s="843"/>
      <c r="K439" s="215"/>
      <c r="L439" s="242">
        <v>15</v>
      </c>
      <c r="M439" s="344" t="s">
        <v>663</v>
      </c>
      <c r="N439" s="243" t="s">
        <v>732</v>
      </c>
      <c r="O439" s="478"/>
      <c r="P439" s="384"/>
      <c r="Q439" s="256">
        <v>71895.600000000006</v>
      </c>
      <c r="R439" s="512" t="s">
        <v>733</v>
      </c>
      <c r="S439" s="547"/>
      <c r="T439" s="447">
        <v>46265</v>
      </c>
      <c r="U439" s="432"/>
      <c r="V439" s="831"/>
      <c r="W439" s="498">
        <f>T439+7</f>
        <v>46272</v>
      </c>
      <c r="X439" s="828"/>
      <c r="Y439" s="409"/>
    </row>
    <row r="440" spans="2:75" s="1" customFormat="1">
      <c r="B440" s="46"/>
      <c r="E440" s="2"/>
      <c r="F440" s="397"/>
      <c r="G440" s="3"/>
      <c r="H440" s="274"/>
      <c r="I440" s="273"/>
      <c r="J440" s="273"/>
      <c r="L440" s="46"/>
      <c r="O440" s="2"/>
      <c r="P440" s="397"/>
      <c r="Q440" s="274"/>
      <c r="R440" s="274"/>
      <c r="S440" s="274"/>
      <c r="T440" s="274"/>
      <c r="U440" s="274"/>
      <c r="V440" s="274"/>
      <c r="W440" s="274"/>
      <c r="X440" s="274"/>
    </row>
    <row r="441" spans="2:75">
      <c r="B441" s="49"/>
      <c r="C441" s="562" t="s">
        <v>734</v>
      </c>
      <c r="D441" s="6">
        <v>14537831.300000001</v>
      </c>
      <c r="E441" s="470"/>
      <c r="F441" s="562">
        <v>15101045.605359133</v>
      </c>
      <c r="G441" s="49"/>
      <c r="I441" s="49"/>
      <c r="J441" s="49"/>
    </row>
    <row r="442" spans="2:75">
      <c r="B442" s="49"/>
      <c r="C442" s="562" t="s">
        <v>735</v>
      </c>
      <c r="D442" s="6">
        <v>2760000</v>
      </c>
      <c r="E442" s="470"/>
      <c r="F442" s="562">
        <v>2982470.7100577182</v>
      </c>
      <c r="G442" s="49"/>
      <c r="I442" s="182"/>
      <c r="J442" s="182"/>
    </row>
    <row r="443" spans="2:75">
      <c r="B443" s="49"/>
      <c r="C443" s="562" t="s">
        <v>736</v>
      </c>
      <c r="D443" s="6">
        <v>7358785.9097348731</v>
      </c>
      <c r="E443" s="470"/>
      <c r="F443" s="562">
        <v>7951943.2744093109</v>
      </c>
      <c r="G443" s="49"/>
      <c r="I443" s="275"/>
      <c r="J443" s="275"/>
    </row>
    <row r="444" spans="2:75">
      <c r="B444" s="49"/>
      <c r="C444" s="562" t="s">
        <v>346</v>
      </c>
      <c r="D444" s="6">
        <v>8057942</v>
      </c>
      <c r="E444" s="470"/>
      <c r="F444" s="562">
        <v>8707455.0718637351</v>
      </c>
      <c r="G444" s="49"/>
      <c r="I444" s="182"/>
      <c r="J444" s="182"/>
    </row>
    <row r="445" spans="2:75">
      <c r="B445" s="49"/>
      <c r="C445" s="562" t="s">
        <v>415</v>
      </c>
      <c r="D445" s="6">
        <v>2941866.9</v>
      </c>
      <c r="E445" s="470"/>
      <c r="F445" s="562">
        <v>3178997.0514993835</v>
      </c>
      <c r="G445" s="49"/>
      <c r="I445" s="275"/>
      <c r="J445" s="275"/>
    </row>
    <row r="446" spans="2:75" ht="13.9">
      <c r="B446" s="49"/>
      <c r="C446" s="562" t="s">
        <v>382</v>
      </c>
      <c r="D446" s="6">
        <v>64000</v>
      </c>
      <c r="E446" s="470"/>
      <c r="F446" s="562">
        <v>69158.741102787666</v>
      </c>
      <c r="G446" s="49"/>
      <c r="I446" s="182"/>
      <c r="J446" s="182"/>
      <c r="O446" s="411" t="s">
        <v>737</v>
      </c>
      <c r="P446" s="697">
        <v>45982</v>
      </c>
    </row>
    <row r="447" spans="2:75" ht="13.9">
      <c r="B447" s="49"/>
      <c r="C447" s="562" t="s">
        <v>738</v>
      </c>
      <c r="D447" s="6">
        <v>565000</v>
      </c>
      <c r="E447" s="470"/>
      <c r="F447" s="562">
        <v>610542.01129804738</v>
      </c>
      <c r="G447" s="49"/>
      <c r="I447" s="182"/>
      <c r="J447" s="182"/>
      <c r="O447" s="411" t="s">
        <v>739</v>
      </c>
      <c r="P447" s="697">
        <f>'Project Plan'!I99</f>
        <v>46006</v>
      </c>
    </row>
    <row r="448" spans="2:75" ht="13.9">
      <c r="B448" s="49"/>
      <c r="C448" s="562" t="s">
        <v>740</v>
      </c>
      <c r="D448" s="6">
        <v>250000</v>
      </c>
      <c r="E448" s="470"/>
      <c r="F448" s="562">
        <v>270151.33243276435</v>
      </c>
      <c r="G448" s="49"/>
      <c r="I448" s="182"/>
      <c r="J448" s="182"/>
      <c r="O448" s="411" t="s">
        <v>741</v>
      </c>
      <c r="P448" s="411">
        <f>P447-P446</f>
        <v>24</v>
      </c>
      <c r="BV448" s="4"/>
      <c r="BW448" s="4"/>
    </row>
    <row r="449" spans="2:10">
      <c r="B449" s="49"/>
      <c r="C449" s="562" t="s">
        <v>742</v>
      </c>
      <c r="D449" s="6">
        <v>1200000</v>
      </c>
      <c r="E449" s="470"/>
      <c r="F449" s="562">
        <v>1296726.3956772687</v>
      </c>
      <c r="G449" s="49"/>
      <c r="I449" s="182"/>
      <c r="J449" s="182"/>
    </row>
    <row r="450" spans="2:10">
      <c r="B450" s="49"/>
      <c r="C450" s="562" t="s">
        <v>743</v>
      </c>
      <c r="D450" s="6">
        <v>0</v>
      </c>
      <c r="E450" s="470"/>
      <c r="F450" s="562">
        <v>0</v>
      </c>
      <c r="G450" s="49"/>
      <c r="I450" s="182"/>
      <c r="J450" s="182"/>
    </row>
    <row r="451" spans="2:10">
      <c r="B451" s="49"/>
      <c r="C451" s="562" t="s">
        <v>744</v>
      </c>
      <c r="D451" s="6">
        <v>0</v>
      </c>
      <c r="E451" s="470"/>
      <c r="F451" s="562">
        <v>0</v>
      </c>
      <c r="G451" s="49"/>
      <c r="I451" s="182"/>
      <c r="J451" s="182"/>
    </row>
    <row r="452" spans="2:10">
      <c r="B452" s="49"/>
      <c r="C452" s="562" t="s">
        <v>745</v>
      </c>
      <c r="D452" s="6"/>
      <c r="E452" s="470"/>
      <c r="F452" s="562"/>
      <c r="G452" s="49"/>
      <c r="I452" s="182"/>
      <c r="J452" s="182"/>
    </row>
    <row r="453" spans="2:10">
      <c r="B453" s="49"/>
      <c r="C453" s="562"/>
      <c r="D453" s="6"/>
      <c r="E453" s="470"/>
      <c r="F453" s="562"/>
      <c r="G453" s="49"/>
      <c r="I453" s="182"/>
      <c r="J453" s="182"/>
    </row>
    <row r="454" spans="2:10" s="49" customFormat="1">
      <c r="C454" s="562" t="s">
        <v>746</v>
      </c>
      <c r="D454" s="562">
        <v>1062060</v>
      </c>
      <c r="E454" s="470"/>
      <c r="F454" s="562">
        <v>1249482.3529411764</v>
      </c>
      <c r="I454" s="182"/>
      <c r="J454" s="182"/>
    </row>
    <row r="455" spans="2:10" s="49" customFormat="1">
      <c r="C455" s="562" t="s">
        <v>747</v>
      </c>
      <c r="D455" s="562">
        <v>3298351.2369999997</v>
      </c>
      <c r="E455" s="470"/>
      <c r="F455" s="562">
        <v>3880413.2199999997</v>
      </c>
      <c r="I455" s="182"/>
      <c r="J455" s="182"/>
    </row>
    <row r="456" spans="2:10" s="49" customFormat="1">
      <c r="C456" s="562" t="s">
        <v>748</v>
      </c>
      <c r="D456" s="562">
        <v>950000</v>
      </c>
      <c r="E456" s="470"/>
      <c r="F456" s="562">
        <v>1079545.4545454546</v>
      </c>
      <c r="I456" s="182"/>
      <c r="J456" s="182"/>
    </row>
    <row r="457" spans="2:10" s="49" customFormat="1">
      <c r="C457" s="562" t="s">
        <v>749</v>
      </c>
      <c r="D457" s="562">
        <v>420000</v>
      </c>
      <c r="E457" s="470"/>
      <c r="F457" s="562">
        <v>494117.64705882355</v>
      </c>
      <c r="I457" s="182"/>
      <c r="J457" s="182"/>
    </row>
    <row r="458" spans="2:10" s="49" customFormat="1">
      <c r="C458" s="562" t="s">
        <v>750</v>
      </c>
      <c r="D458" s="562">
        <v>85000</v>
      </c>
      <c r="E458" s="470"/>
      <c r="F458" s="562">
        <v>100000</v>
      </c>
      <c r="I458" s="182"/>
      <c r="J458" s="182"/>
    </row>
    <row r="459" spans="2:10" s="49" customFormat="1">
      <c r="C459" s="562" t="s">
        <v>751</v>
      </c>
      <c r="D459" s="562">
        <v>0</v>
      </c>
      <c r="E459" s="470"/>
      <c r="F459" s="562">
        <v>0</v>
      </c>
      <c r="I459" s="182"/>
      <c r="J459" s="182"/>
    </row>
    <row r="460" spans="2:10" s="49" customFormat="1">
      <c r="C460" s="562" t="s">
        <v>752</v>
      </c>
      <c r="D460" s="562">
        <v>176058.33333333331</v>
      </c>
      <c r="E460" s="470"/>
      <c r="F460" s="562">
        <v>207127.45098039214</v>
      </c>
      <c r="I460" s="182"/>
      <c r="J460" s="182"/>
    </row>
    <row r="461" spans="2:10" s="49" customFormat="1">
      <c r="C461" s="562" t="s">
        <v>753</v>
      </c>
      <c r="D461" s="562">
        <v>0</v>
      </c>
      <c r="E461" s="470"/>
      <c r="F461" s="562">
        <v>0</v>
      </c>
      <c r="I461" s="182"/>
      <c r="J461" s="182"/>
    </row>
    <row r="462" spans="2:10" s="49" customFormat="1">
      <c r="C462" s="562" t="s">
        <v>754</v>
      </c>
      <c r="D462" s="562">
        <v>133245.9</v>
      </c>
      <c r="E462" s="470"/>
      <c r="F462" s="562">
        <v>156759.88235294117</v>
      </c>
      <c r="I462" s="182"/>
      <c r="J462" s="182"/>
    </row>
    <row r="463" spans="2:10" s="49" customFormat="1">
      <c r="C463" s="562" t="s">
        <v>755</v>
      </c>
      <c r="D463" s="562">
        <v>0</v>
      </c>
      <c r="E463" s="470"/>
      <c r="F463" s="562">
        <v>0</v>
      </c>
      <c r="I463" s="182"/>
      <c r="J463" s="182"/>
    </row>
    <row r="464" spans="2:10" s="49" customFormat="1">
      <c r="C464" s="562" t="s">
        <v>756</v>
      </c>
      <c r="D464" s="562">
        <v>12030860.6085</v>
      </c>
      <c r="E464" s="470"/>
      <c r="F464" s="562">
        <v>12664063.798421053</v>
      </c>
      <c r="I464" s="182"/>
      <c r="J464" s="182"/>
    </row>
    <row r="465" spans="3:10" s="49" customFormat="1">
      <c r="C465" s="562"/>
      <c r="D465" s="562"/>
      <c r="E465" s="470"/>
      <c r="F465" s="562"/>
      <c r="I465" s="182"/>
      <c r="J465" s="182"/>
    </row>
    <row r="466" spans="3:10" s="49" customFormat="1">
      <c r="C466" s="562" t="s">
        <v>757</v>
      </c>
      <c r="D466" s="562"/>
      <c r="E466" s="470"/>
      <c r="F466" s="562"/>
      <c r="I466" s="182"/>
      <c r="J466" s="182"/>
    </row>
    <row r="467" spans="3:10" s="49" customFormat="1">
      <c r="C467" s="562" t="s">
        <v>758</v>
      </c>
      <c r="D467" s="562">
        <v>0</v>
      </c>
      <c r="E467" s="470"/>
      <c r="F467" s="562">
        <v>0</v>
      </c>
      <c r="I467" s="182"/>
      <c r="J467" s="182"/>
    </row>
    <row r="468" spans="3:10" s="49" customFormat="1">
      <c r="C468" s="474"/>
      <c r="D468" s="474"/>
      <c r="E468" s="92"/>
      <c r="F468" s="388"/>
      <c r="I468" s="182"/>
      <c r="J468" s="182"/>
    </row>
    <row r="469" spans="3:10" s="49" customFormat="1">
      <c r="C469" s="474"/>
      <c r="D469" s="474"/>
      <c r="E469" s="92"/>
      <c r="F469" s="388"/>
      <c r="I469" s="182"/>
      <c r="J469" s="182"/>
    </row>
    <row r="470" spans="3:10" s="49" customFormat="1">
      <c r="C470" s="474"/>
      <c r="D470" s="474"/>
      <c r="E470" s="92"/>
      <c r="F470" s="388"/>
      <c r="I470" s="182"/>
      <c r="J470" s="182"/>
    </row>
    <row r="471" spans="3:10" s="49" customFormat="1">
      <c r="C471" s="474"/>
      <c r="D471" s="474"/>
      <c r="E471" s="92"/>
      <c r="F471" s="388"/>
      <c r="I471" s="182"/>
      <c r="J471" s="182"/>
    </row>
    <row r="472" spans="3:10" s="49" customFormat="1">
      <c r="C472" s="474"/>
      <c r="D472" s="474"/>
      <c r="E472" s="92"/>
      <c r="F472" s="388"/>
      <c r="I472" s="182"/>
      <c r="J472" s="182"/>
    </row>
    <row r="473" spans="3:10" s="49" customFormat="1">
      <c r="C473" s="474"/>
      <c r="D473" s="474"/>
      <c r="E473" s="92"/>
      <c r="F473" s="388"/>
      <c r="I473" s="182"/>
      <c r="J473" s="182"/>
    </row>
    <row r="474" spans="3:10" s="49" customFormat="1">
      <c r="C474" s="474"/>
      <c r="D474" s="474"/>
      <c r="E474" s="92"/>
      <c r="F474" s="388"/>
      <c r="I474" s="182"/>
      <c r="J474" s="182"/>
    </row>
    <row r="475" spans="3:10" s="49" customFormat="1">
      <c r="C475" s="474"/>
      <c r="D475" s="474"/>
      <c r="E475" s="92"/>
      <c r="F475" s="388"/>
      <c r="I475" s="182"/>
      <c r="J475" s="182"/>
    </row>
    <row r="476" spans="3:10" s="49" customFormat="1">
      <c r="C476" s="474"/>
      <c r="D476" s="474"/>
      <c r="E476" s="92"/>
      <c r="F476" s="388"/>
      <c r="I476" s="182"/>
      <c r="J476" s="182"/>
    </row>
    <row r="477" spans="3:10" s="49" customFormat="1">
      <c r="C477" s="474"/>
      <c r="D477" s="474"/>
      <c r="E477" s="92"/>
      <c r="F477" s="388"/>
      <c r="I477" s="182"/>
      <c r="J477" s="182"/>
    </row>
    <row r="478" spans="3:10" s="49" customFormat="1">
      <c r="C478" s="474"/>
      <c r="D478" s="474"/>
      <c r="E478" s="92"/>
      <c r="F478" s="388"/>
      <c r="I478" s="182"/>
      <c r="J478" s="182"/>
    </row>
    <row r="479" spans="3:10" s="49" customFormat="1">
      <c r="C479" s="474"/>
      <c r="D479" s="474"/>
      <c r="E479" s="92"/>
      <c r="F479" s="388"/>
      <c r="I479" s="182"/>
      <c r="J479" s="182"/>
    </row>
    <row r="480" spans="3:10" s="49" customFormat="1">
      <c r="C480" s="474"/>
      <c r="D480" s="474"/>
      <c r="E480" s="92"/>
      <c r="F480" s="388"/>
      <c r="I480" s="182"/>
      <c r="J480" s="182"/>
    </row>
    <row r="481" spans="3:10" s="49" customFormat="1">
      <c r="C481" s="474"/>
      <c r="D481" s="474"/>
      <c r="E481" s="92"/>
      <c r="F481" s="388"/>
      <c r="I481" s="182"/>
      <c r="J481" s="182"/>
    </row>
    <row r="482" spans="3:10" s="49" customFormat="1">
      <c r="C482" s="474"/>
      <c r="D482" s="474"/>
      <c r="E482" s="92"/>
      <c r="F482" s="388"/>
      <c r="I482" s="182"/>
      <c r="J482" s="182"/>
    </row>
    <row r="483" spans="3:10" s="49" customFormat="1">
      <c r="C483" s="474"/>
      <c r="D483" s="474"/>
      <c r="E483" s="92"/>
      <c r="F483" s="388"/>
      <c r="I483" s="182"/>
      <c r="J483" s="182"/>
    </row>
    <row r="484" spans="3:10" s="49" customFormat="1">
      <c r="C484" s="474"/>
      <c r="D484" s="474"/>
      <c r="E484" s="92"/>
      <c r="F484" s="388"/>
      <c r="I484" s="182"/>
      <c r="J484" s="182"/>
    </row>
    <row r="485" spans="3:10" s="49" customFormat="1">
      <c r="C485" s="474"/>
      <c r="D485" s="474"/>
      <c r="E485" s="92"/>
      <c r="F485" s="388"/>
      <c r="I485" s="182"/>
      <c r="J485" s="182"/>
    </row>
    <row r="486" spans="3:10" s="49" customFormat="1">
      <c r="C486" s="474"/>
      <c r="D486" s="474"/>
      <c r="E486" s="92"/>
      <c r="F486" s="388"/>
      <c r="I486" s="182"/>
      <c r="J486" s="182"/>
    </row>
    <row r="487" spans="3:10" s="49" customFormat="1">
      <c r="C487" s="474"/>
      <c r="D487" s="474"/>
      <c r="E487" s="92"/>
      <c r="F487" s="388"/>
      <c r="I487" s="182"/>
      <c r="J487" s="182"/>
    </row>
    <row r="488" spans="3:10" s="49" customFormat="1">
      <c r="E488" s="92"/>
      <c r="F488" s="388"/>
      <c r="I488" s="182"/>
      <c r="J488" s="182"/>
    </row>
    <row r="489" spans="3:10" s="49" customFormat="1">
      <c r="E489" s="92"/>
      <c r="F489" s="388"/>
      <c r="I489" s="182"/>
      <c r="J489" s="182"/>
    </row>
    <row r="490" spans="3:10" s="49" customFormat="1">
      <c r="E490" s="92"/>
      <c r="F490" s="388"/>
      <c r="I490" s="182"/>
      <c r="J490" s="182"/>
    </row>
    <row r="491" spans="3:10" s="49" customFormat="1">
      <c r="E491" s="92"/>
      <c r="F491" s="388"/>
      <c r="I491" s="182"/>
      <c r="J491" s="182"/>
    </row>
    <row r="492" spans="3:10" s="49" customFormat="1">
      <c r="E492" s="92"/>
      <c r="F492" s="388"/>
      <c r="I492" s="182"/>
      <c r="J492" s="182"/>
    </row>
    <row r="493" spans="3:10" s="49" customFormat="1">
      <c r="E493" s="92"/>
      <c r="F493" s="388"/>
      <c r="I493" s="182"/>
      <c r="J493" s="182"/>
    </row>
    <row r="494" spans="3:10" s="49" customFormat="1">
      <c r="E494" s="92"/>
      <c r="F494" s="388"/>
      <c r="I494" s="182"/>
      <c r="J494" s="182"/>
    </row>
    <row r="495" spans="3:10" s="49" customFormat="1">
      <c r="E495" s="92"/>
      <c r="F495" s="388"/>
      <c r="I495" s="182"/>
      <c r="J495" s="182"/>
    </row>
    <row r="496" spans="3:10" s="49" customFormat="1">
      <c r="E496" s="92"/>
      <c r="F496" s="388"/>
      <c r="I496" s="182"/>
      <c r="J496" s="182"/>
    </row>
    <row r="497" spans="5:10" s="49" customFormat="1">
      <c r="E497" s="92"/>
      <c r="F497" s="388"/>
      <c r="I497" s="182"/>
      <c r="J497" s="182"/>
    </row>
    <row r="498" spans="5:10" s="49" customFormat="1">
      <c r="E498" s="92"/>
      <c r="F498" s="388"/>
      <c r="I498" s="182"/>
      <c r="J498" s="182"/>
    </row>
    <row r="499" spans="5:10" s="49" customFormat="1">
      <c r="E499" s="92"/>
      <c r="F499" s="388"/>
      <c r="I499" s="182"/>
      <c r="J499" s="182"/>
    </row>
    <row r="500" spans="5:10" s="49" customFormat="1">
      <c r="E500" s="92"/>
      <c r="F500" s="388"/>
      <c r="I500" s="182"/>
      <c r="J500" s="182"/>
    </row>
    <row r="501" spans="5:10" s="49" customFormat="1">
      <c r="E501" s="92"/>
      <c r="F501" s="388"/>
      <c r="I501" s="182"/>
      <c r="J501" s="182"/>
    </row>
    <row r="502" spans="5:10" s="49" customFormat="1">
      <c r="E502" s="92"/>
      <c r="F502" s="388"/>
      <c r="I502" s="182"/>
      <c r="J502" s="182"/>
    </row>
    <row r="503" spans="5:10" s="49" customFormat="1">
      <c r="E503" s="92"/>
      <c r="F503" s="388"/>
      <c r="I503" s="182"/>
      <c r="J503" s="182"/>
    </row>
    <row r="504" spans="5:10" s="49" customFormat="1">
      <c r="E504" s="92"/>
      <c r="F504" s="388"/>
      <c r="I504" s="182"/>
      <c r="J504" s="182"/>
    </row>
    <row r="505" spans="5:10" s="49" customFormat="1">
      <c r="E505" s="92"/>
      <c r="F505" s="388"/>
      <c r="I505" s="182"/>
      <c r="J505" s="182"/>
    </row>
    <row r="506" spans="5:10" s="49" customFormat="1">
      <c r="E506" s="92"/>
      <c r="F506" s="388"/>
      <c r="I506" s="182"/>
      <c r="J506" s="182"/>
    </row>
    <row r="507" spans="5:10" s="49" customFormat="1">
      <c r="E507" s="92"/>
      <c r="F507" s="388"/>
      <c r="I507" s="182"/>
      <c r="J507" s="182"/>
    </row>
    <row r="508" spans="5:10" s="49" customFormat="1">
      <c r="E508" s="92"/>
      <c r="F508" s="388"/>
      <c r="I508" s="182"/>
      <c r="J508" s="182"/>
    </row>
    <row r="509" spans="5:10" s="49" customFormat="1">
      <c r="E509" s="92"/>
      <c r="F509" s="388"/>
      <c r="I509" s="182"/>
      <c r="J509" s="182"/>
    </row>
    <row r="510" spans="5:10" s="49" customFormat="1">
      <c r="E510" s="92"/>
      <c r="F510" s="388"/>
      <c r="I510" s="182"/>
      <c r="J510" s="182"/>
    </row>
    <row r="511" spans="5:10" s="49" customFormat="1">
      <c r="E511" s="92"/>
      <c r="F511" s="388"/>
      <c r="I511" s="182"/>
      <c r="J511" s="182"/>
    </row>
    <row r="512" spans="5:10" s="49" customFormat="1">
      <c r="E512" s="92"/>
      <c r="F512" s="388"/>
      <c r="I512" s="182"/>
      <c r="J512" s="182"/>
    </row>
    <row r="513" spans="5:10" s="49" customFormat="1">
      <c r="E513" s="92"/>
      <c r="F513" s="388"/>
      <c r="I513" s="182"/>
      <c r="J513" s="182"/>
    </row>
    <row r="514" spans="5:10" s="49" customFormat="1">
      <c r="E514" s="92"/>
      <c r="F514" s="388"/>
      <c r="I514" s="182"/>
      <c r="J514" s="182"/>
    </row>
    <row r="515" spans="5:10" s="49" customFormat="1">
      <c r="E515" s="92"/>
      <c r="F515" s="388"/>
      <c r="I515" s="182"/>
      <c r="J515" s="182"/>
    </row>
    <row r="516" spans="5:10" s="49" customFormat="1">
      <c r="E516" s="92"/>
      <c r="F516" s="388"/>
      <c r="I516" s="182"/>
      <c r="J516" s="182"/>
    </row>
    <row r="517" spans="5:10" s="49" customFormat="1">
      <c r="E517" s="92"/>
      <c r="F517" s="388"/>
      <c r="I517" s="182"/>
      <c r="J517" s="182"/>
    </row>
    <row r="518" spans="5:10" s="49" customFormat="1">
      <c r="E518" s="92"/>
      <c r="F518" s="388"/>
      <c r="I518" s="182"/>
      <c r="J518" s="182"/>
    </row>
    <row r="519" spans="5:10" s="49" customFormat="1">
      <c r="E519" s="92"/>
      <c r="F519" s="388"/>
      <c r="I519" s="182"/>
      <c r="J519" s="182"/>
    </row>
    <row r="520" spans="5:10" s="49" customFormat="1">
      <c r="E520" s="92"/>
      <c r="F520" s="388"/>
      <c r="I520" s="182"/>
      <c r="J520" s="182"/>
    </row>
    <row r="521" spans="5:10" s="49" customFormat="1">
      <c r="E521" s="92"/>
      <c r="F521" s="388"/>
      <c r="I521" s="182"/>
      <c r="J521" s="182"/>
    </row>
    <row r="522" spans="5:10" s="49" customFormat="1">
      <c r="E522" s="92"/>
      <c r="F522" s="388"/>
      <c r="I522" s="182"/>
      <c r="J522" s="182"/>
    </row>
    <row r="523" spans="5:10" s="49" customFormat="1">
      <c r="E523" s="92"/>
      <c r="F523" s="388"/>
      <c r="I523" s="182"/>
      <c r="J523" s="182"/>
    </row>
    <row r="524" spans="5:10" s="49" customFormat="1">
      <c r="E524" s="92"/>
      <c r="F524" s="388"/>
      <c r="I524" s="182"/>
      <c r="J524" s="182"/>
    </row>
    <row r="525" spans="5:10" s="49" customFormat="1">
      <c r="E525" s="92"/>
      <c r="F525" s="388"/>
      <c r="I525" s="182"/>
      <c r="J525" s="182"/>
    </row>
    <row r="526" spans="5:10" s="49" customFormat="1">
      <c r="E526" s="92"/>
      <c r="F526" s="388"/>
      <c r="I526" s="182"/>
      <c r="J526" s="182"/>
    </row>
    <row r="527" spans="5:10" s="49" customFormat="1">
      <c r="E527" s="92"/>
      <c r="F527" s="388"/>
      <c r="I527" s="182"/>
      <c r="J527" s="182"/>
    </row>
    <row r="528" spans="5:10" s="49" customFormat="1">
      <c r="E528" s="92"/>
      <c r="F528" s="388"/>
      <c r="I528" s="182"/>
      <c r="J528" s="182"/>
    </row>
    <row r="529" spans="5:10" s="49" customFormat="1">
      <c r="E529" s="92"/>
      <c r="F529" s="388"/>
      <c r="I529" s="182"/>
      <c r="J529" s="182"/>
    </row>
    <row r="530" spans="5:10" s="49" customFormat="1">
      <c r="E530" s="92"/>
      <c r="F530" s="388"/>
      <c r="I530" s="182"/>
      <c r="J530" s="182"/>
    </row>
    <row r="531" spans="5:10" s="49" customFormat="1">
      <c r="E531" s="92"/>
      <c r="F531" s="388"/>
      <c r="I531" s="182"/>
      <c r="J531" s="182"/>
    </row>
    <row r="532" spans="5:10" s="49" customFormat="1">
      <c r="E532" s="92"/>
      <c r="F532" s="388"/>
      <c r="I532" s="182"/>
      <c r="J532" s="182"/>
    </row>
    <row r="533" spans="5:10" s="49" customFormat="1">
      <c r="E533" s="92"/>
      <c r="F533" s="388"/>
      <c r="I533" s="182"/>
      <c r="J533" s="182"/>
    </row>
    <row r="534" spans="5:10" s="49" customFormat="1">
      <c r="E534" s="92"/>
      <c r="F534" s="388"/>
      <c r="I534" s="182"/>
      <c r="J534" s="182"/>
    </row>
    <row r="535" spans="5:10" s="49" customFormat="1">
      <c r="E535" s="92"/>
      <c r="F535" s="388"/>
      <c r="I535" s="182"/>
      <c r="J535" s="182"/>
    </row>
    <row r="536" spans="5:10" s="49" customFormat="1">
      <c r="E536" s="92"/>
      <c r="F536" s="388"/>
      <c r="I536" s="182"/>
      <c r="J536" s="182"/>
    </row>
    <row r="537" spans="5:10" s="49" customFormat="1">
      <c r="E537" s="92"/>
      <c r="F537" s="388"/>
      <c r="I537" s="182"/>
      <c r="J537" s="182"/>
    </row>
    <row r="538" spans="5:10" s="49" customFormat="1">
      <c r="E538" s="92"/>
      <c r="F538" s="388"/>
      <c r="I538" s="182"/>
      <c r="J538" s="182"/>
    </row>
    <row r="539" spans="5:10" s="49" customFormat="1">
      <c r="E539" s="92"/>
      <c r="F539" s="388"/>
      <c r="I539" s="182"/>
      <c r="J539" s="182"/>
    </row>
    <row r="540" spans="5:10" s="49" customFormat="1">
      <c r="E540" s="92"/>
      <c r="F540" s="388"/>
      <c r="I540" s="182"/>
      <c r="J540" s="182"/>
    </row>
    <row r="541" spans="5:10" s="49" customFormat="1">
      <c r="E541" s="92"/>
      <c r="F541" s="388"/>
      <c r="I541" s="182"/>
      <c r="J541" s="182"/>
    </row>
    <row r="542" spans="5:10" s="49" customFormat="1">
      <c r="E542" s="92"/>
      <c r="F542" s="388"/>
      <c r="I542" s="182"/>
      <c r="J542" s="182"/>
    </row>
    <row r="543" spans="5:10" s="49" customFormat="1">
      <c r="E543" s="92"/>
      <c r="F543" s="388"/>
      <c r="I543" s="182"/>
      <c r="J543" s="182"/>
    </row>
    <row r="544" spans="5:10" s="49" customFormat="1">
      <c r="E544" s="92"/>
      <c r="F544" s="388"/>
      <c r="I544" s="182"/>
      <c r="J544" s="182"/>
    </row>
    <row r="545" spans="5:10" s="49" customFormat="1">
      <c r="E545" s="92"/>
      <c r="F545" s="388"/>
      <c r="I545" s="182"/>
      <c r="J545" s="182"/>
    </row>
    <row r="546" spans="5:10" s="49" customFormat="1">
      <c r="E546" s="92"/>
      <c r="F546" s="388"/>
      <c r="I546" s="182"/>
      <c r="J546" s="182"/>
    </row>
    <row r="547" spans="5:10" s="49" customFormat="1">
      <c r="E547" s="92"/>
      <c r="F547" s="388"/>
      <c r="I547" s="182"/>
      <c r="J547" s="182"/>
    </row>
    <row r="548" spans="5:10" s="49" customFormat="1">
      <c r="E548" s="92"/>
      <c r="F548" s="388"/>
      <c r="I548" s="182"/>
      <c r="J548" s="182"/>
    </row>
    <row r="549" spans="5:10" s="49" customFormat="1">
      <c r="E549" s="92"/>
      <c r="F549" s="388"/>
      <c r="I549" s="182"/>
      <c r="J549" s="182"/>
    </row>
    <row r="550" spans="5:10" s="49" customFormat="1">
      <c r="E550" s="92"/>
      <c r="F550" s="388"/>
      <c r="I550" s="182"/>
      <c r="J550" s="182"/>
    </row>
    <row r="551" spans="5:10" s="49" customFormat="1">
      <c r="E551" s="92"/>
      <c r="F551" s="388"/>
      <c r="I551" s="182"/>
      <c r="J551" s="182"/>
    </row>
    <row r="552" spans="5:10" s="49" customFormat="1">
      <c r="E552" s="92"/>
      <c r="F552" s="388"/>
      <c r="I552" s="182"/>
      <c r="J552" s="182"/>
    </row>
    <row r="553" spans="5:10" s="49" customFormat="1">
      <c r="E553" s="92"/>
      <c r="F553" s="388"/>
      <c r="I553" s="182"/>
      <c r="J553" s="182"/>
    </row>
    <row r="554" spans="5:10" s="49" customFormat="1">
      <c r="E554" s="92"/>
      <c r="F554" s="388"/>
      <c r="I554" s="182"/>
      <c r="J554" s="182"/>
    </row>
    <row r="555" spans="5:10" s="49" customFormat="1">
      <c r="E555" s="92"/>
      <c r="F555" s="388"/>
      <c r="I555" s="182"/>
      <c r="J555" s="182"/>
    </row>
    <row r="556" spans="5:10" s="49" customFormat="1">
      <c r="E556" s="92"/>
      <c r="F556" s="388"/>
      <c r="I556" s="182"/>
      <c r="J556" s="182"/>
    </row>
    <row r="557" spans="5:10" s="49" customFormat="1">
      <c r="E557" s="92"/>
      <c r="F557" s="388"/>
      <c r="I557" s="182"/>
      <c r="J557" s="182"/>
    </row>
    <row r="558" spans="5:10" s="49" customFormat="1">
      <c r="E558" s="92"/>
      <c r="F558" s="388"/>
      <c r="I558" s="182"/>
      <c r="J558" s="182"/>
    </row>
    <row r="559" spans="5:10" s="49" customFormat="1">
      <c r="E559" s="92"/>
      <c r="F559" s="388"/>
      <c r="I559" s="182"/>
      <c r="J559" s="182"/>
    </row>
    <row r="560" spans="5:10" s="49" customFormat="1">
      <c r="E560" s="92"/>
      <c r="F560" s="388"/>
      <c r="I560" s="182"/>
      <c r="J560" s="182"/>
    </row>
    <row r="561" spans="5:10" s="49" customFormat="1">
      <c r="E561" s="92"/>
      <c r="F561" s="388"/>
      <c r="I561" s="182"/>
      <c r="J561" s="182"/>
    </row>
    <row r="562" spans="5:10" s="49" customFormat="1">
      <c r="E562" s="92"/>
      <c r="F562" s="388"/>
      <c r="I562" s="182"/>
      <c r="J562" s="182"/>
    </row>
    <row r="563" spans="5:10" s="49" customFormat="1">
      <c r="E563" s="92"/>
      <c r="F563" s="388"/>
      <c r="I563" s="182"/>
      <c r="J563" s="182"/>
    </row>
    <row r="564" spans="5:10" s="49" customFormat="1">
      <c r="E564" s="92"/>
      <c r="F564" s="388"/>
      <c r="I564" s="182"/>
      <c r="J564" s="182"/>
    </row>
    <row r="565" spans="5:10" s="49" customFormat="1">
      <c r="E565" s="92"/>
      <c r="F565" s="388"/>
      <c r="I565" s="182"/>
      <c r="J565" s="182"/>
    </row>
    <row r="566" spans="5:10" s="49" customFormat="1">
      <c r="E566" s="92"/>
      <c r="F566" s="388"/>
      <c r="I566" s="182"/>
      <c r="J566" s="182"/>
    </row>
    <row r="567" spans="5:10" s="49" customFormat="1">
      <c r="E567" s="92"/>
      <c r="F567" s="388"/>
      <c r="I567" s="182"/>
      <c r="J567" s="182"/>
    </row>
    <row r="568" spans="5:10" s="49" customFormat="1">
      <c r="E568" s="92"/>
      <c r="F568" s="388"/>
      <c r="I568" s="182"/>
      <c r="J568" s="182"/>
    </row>
    <row r="569" spans="5:10" s="49" customFormat="1">
      <c r="E569" s="92"/>
      <c r="F569" s="388"/>
      <c r="I569" s="182"/>
      <c r="J569" s="182"/>
    </row>
    <row r="570" spans="5:10" s="49" customFormat="1">
      <c r="E570" s="92"/>
      <c r="F570" s="388"/>
      <c r="I570" s="182"/>
      <c r="J570" s="182"/>
    </row>
    <row r="571" spans="5:10" s="49" customFormat="1">
      <c r="E571" s="92"/>
      <c r="F571" s="388"/>
      <c r="I571" s="182"/>
      <c r="J571" s="182"/>
    </row>
    <row r="572" spans="5:10" s="49" customFormat="1">
      <c r="E572" s="92"/>
      <c r="F572" s="388"/>
      <c r="I572" s="182"/>
      <c r="J572" s="182"/>
    </row>
    <row r="573" spans="5:10" s="49" customFormat="1">
      <c r="E573" s="92"/>
      <c r="F573" s="388"/>
      <c r="I573" s="182"/>
      <c r="J573" s="182"/>
    </row>
    <row r="574" spans="5:10" s="49" customFormat="1">
      <c r="E574" s="92"/>
      <c r="F574" s="388"/>
      <c r="I574" s="182"/>
      <c r="J574" s="182"/>
    </row>
    <row r="575" spans="5:10" s="49" customFormat="1">
      <c r="E575" s="92"/>
      <c r="F575" s="388"/>
      <c r="I575" s="182"/>
      <c r="J575" s="182"/>
    </row>
    <row r="576" spans="5:10" s="49" customFormat="1">
      <c r="E576" s="92"/>
      <c r="F576" s="388"/>
      <c r="I576" s="182"/>
      <c r="J576" s="182"/>
    </row>
    <row r="577" spans="5:10" s="49" customFormat="1">
      <c r="E577" s="92"/>
      <c r="F577" s="388"/>
      <c r="I577" s="182"/>
      <c r="J577" s="182"/>
    </row>
    <row r="578" spans="5:10" s="49" customFormat="1">
      <c r="E578" s="92"/>
      <c r="F578" s="388"/>
      <c r="I578" s="182"/>
      <c r="J578" s="182"/>
    </row>
    <row r="579" spans="5:10" s="49" customFormat="1">
      <c r="E579" s="92"/>
      <c r="F579" s="388"/>
      <c r="I579" s="182"/>
      <c r="J579" s="182"/>
    </row>
    <row r="580" spans="5:10" s="49" customFormat="1">
      <c r="E580" s="92"/>
      <c r="F580" s="388"/>
      <c r="I580" s="182"/>
      <c r="J580" s="182"/>
    </row>
    <row r="581" spans="5:10" s="49" customFormat="1">
      <c r="E581" s="92"/>
      <c r="F581" s="388"/>
      <c r="I581" s="182"/>
      <c r="J581" s="182"/>
    </row>
    <row r="582" spans="5:10" s="49" customFormat="1">
      <c r="E582" s="92"/>
      <c r="F582" s="388"/>
      <c r="I582" s="182"/>
      <c r="J582" s="182"/>
    </row>
    <row r="583" spans="5:10" s="49" customFormat="1">
      <c r="E583" s="92"/>
      <c r="F583" s="388"/>
      <c r="I583" s="182"/>
      <c r="J583" s="182"/>
    </row>
    <row r="584" spans="5:10" s="49" customFormat="1">
      <c r="E584" s="92"/>
      <c r="F584" s="388"/>
      <c r="I584" s="182"/>
      <c r="J584" s="182"/>
    </row>
    <row r="585" spans="5:10" s="49" customFormat="1">
      <c r="E585" s="92"/>
      <c r="F585" s="388"/>
      <c r="I585" s="182"/>
      <c r="J585" s="182"/>
    </row>
    <row r="586" spans="5:10" s="49" customFormat="1">
      <c r="E586" s="92"/>
      <c r="F586" s="388"/>
      <c r="I586" s="182"/>
      <c r="J586" s="182"/>
    </row>
    <row r="587" spans="5:10" s="49" customFormat="1">
      <c r="E587" s="92"/>
      <c r="F587" s="388"/>
      <c r="I587" s="182"/>
      <c r="J587" s="182"/>
    </row>
    <row r="588" spans="5:10" s="49" customFormat="1">
      <c r="E588" s="92"/>
      <c r="F588" s="388"/>
      <c r="I588" s="182"/>
      <c r="J588" s="182"/>
    </row>
    <row r="589" spans="5:10" s="49" customFormat="1">
      <c r="E589" s="92"/>
      <c r="F589" s="388"/>
      <c r="I589" s="182"/>
      <c r="J589" s="182"/>
    </row>
    <row r="590" spans="5:10" s="49" customFormat="1">
      <c r="E590" s="92"/>
      <c r="F590" s="388"/>
      <c r="I590" s="182"/>
      <c r="J590" s="182"/>
    </row>
    <row r="591" spans="5:10" s="49" customFormat="1">
      <c r="E591" s="92"/>
      <c r="F591" s="388"/>
      <c r="I591" s="182"/>
      <c r="J591" s="182"/>
    </row>
    <row r="592" spans="5:10" s="49" customFormat="1">
      <c r="E592" s="92"/>
      <c r="F592" s="388"/>
      <c r="I592" s="182"/>
      <c r="J592" s="182"/>
    </row>
    <row r="593" spans="5:10" s="49" customFormat="1">
      <c r="E593" s="92"/>
      <c r="F593" s="388"/>
      <c r="I593" s="182"/>
      <c r="J593" s="182"/>
    </row>
    <row r="594" spans="5:10" s="49" customFormat="1">
      <c r="E594" s="92"/>
      <c r="F594" s="388"/>
      <c r="I594" s="182"/>
      <c r="J594" s="182"/>
    </row>
    <row r="595" spans="5:10" s="49" customFormat="1">
      <c r="E595" s="92"/>
      <c r="F595" s="388"/>
      <c r="I595" s="182"/>
      <c r="J595" s="182"/>
    </row>
    <row r="596" spans="5:10" s="49" customFormat="1">
      <c r="E596" s="92"/>
      <c r="F596" s="388"/>
      <c r="I596" s="182"/>
      <c r="J596" s="182"/>
    </row>
    <row r="597" spans="5:10" s="49" customFormat="1">
      <c r="E597" s="92"/>
      <c r="F597" s="388"/>
      <c r="I597" s="182"/>
      <c r="J597" s="182"/>
    </row>
    <row r="598" spans="5:10" s="49" customFormat="1">
      <c r="E598" s="92"/>
      <c r="F598" s="388"/>
      <c r="I598" s="182"/>
      <c r="J598" s="182"/>
    </row>
    <row r="599" spans="5:10" s="49" customFormat="1">
      <c r="E599" s="92"/>
      <c r="F599" s="388"/>
      <c r="I599" s="182"/>
      <c r="J599" s="182"/>
    </row>
    <row r="600" spans="5:10" s="49" customFormat="1">
      <c r="E600" s="92"/>
      <c r="F600" s="388"/>
      <c r="I600" s="182"/>
      <c r="J600" s="182"/>
    </row>
    <row r="601" spans="5:10" s="49" customFormat="1">
      <c r="E601" s="92"/>
      <c r="F601" s="388"/>
      <c r="I601" s="182"/>
      <c r="J601" s="182"/>
    </row>
    <row r="602" spans="5:10" s="49" customFormat="1">
      <c r="E602" s="92"/>
      <c r="F602" s="388"/>
      <c r="I602" s="182"/>
      <c r="J602" s="182"/>
    </row>
    <row r="603" spans="5:10" s="49" customFormat="1">
      <c r="E603" s="92"/>
      <c r="F603" s="388"/>
      <c r="I603" s="182"/>
      <c r="J603" s="182"/>
    </row>
    <row r="604" spans="5:10" s="49" customFormat="1">
      <c r="E604" s="92"/>
      <c r="F604" s="388"/>
      <c r="I604" s="182"/>
      <c r="J604" s="182"/>
    </row>
    <row r="605" spans="5:10" s="49" customFormat="1">
      <c r="E605" s="92"/>
      <c r="F605" s="388"/>
      <c r="I605" s="182"/>
      <c r="J605" s="182"/>
    </row>
    <row r="606" spans="5:10" s="49" customFormat="1">
      <c r="E606" s="92"/>
      <c r="F606" s="388"/>
      <c r="I606" s="182"/>
      <c r="J606" s="182"/>
    </row>
    <row r="607" spans="5:10" s="49" customFormat="1">
      <c r="E607" s="92"/>
      <c r="F607" s="388"/>
      <c r="I607" s="182"/>
      <c r="J607" s="182"/>
    </row>
    <row r="608" spans="5:10" s="49" customFormat="1">
      <c r="E608" s="92"/>
      <c r="F608" s="388"/>
      <c r="I608" s="182"/>
      <c r="J608" s="182"/>
    </row>
    <row r="609" spans="5:10" s="49" customFormat="1">
      <c r="E609" s="92"/>
      <c r="F609" s="388"/>
      <c r="I609" s="182"/>
      <c r="J609" s="182"/>
    </row>
    <row r="610" spans="5:10" s="49" customFormat="1">
      <c r="E610" s="92"/>
      <c r="F610" s="388"/>
      <c r="I610" s="182"/>
      <c r="J610" s="182"/>
    </row>
    <row r="611" spans="5:10" s="49" customFormat="1">
      <c r="E611" s="92"/>
      <c r="F611" s="388"/>
      <c r="I611" s="182"/>
      <c r="J611" s="182"/>
    </row>
    <row r="612" spans="5:10" s="49" customFormat="1">
      <c r="E612" s="92"/>
      <c r="F612" s="388"/>
      <c r="I612" s="182"/>
      <c r="J612" s="182"/>
    </row>
    <row r="613" spans="5:10" s="49" customFormat="1">
      <c r="E613" s="92"/>
      <c r="F613" s="388"/>
      <c r="I613" s="182"/>
      <c r="J613" s="182"/>
    </row>
    <row r="614" spans="5:10" s="49" customFormat="1">
      <c r="E614" s="92"/>
      <c r="F614" s="388"/>
      <c r="I614" s="182"/>
      <c r="J614" s="182"/>
    </row>
    <row r="615" spans="5:10" s="49" customFormat="1">
      <c r="E615" s="92"/>
      <c r="F615" s="388"/>
      <c r="I615" s="182"/>
      <c r="J615" s="182"/>
    </row>
    <row r="616" spans="5:10" s="49" customFormat="1">
      <c r="E616" s="92"/>
      <c r="F616" s="388"/>
      <c r="I616" s="182"/>
      <c r="J616" s="182"/>
    </row>
    <row r="617" spans="5:10" s="49" customFormat="1">
      <c r="E617" s="92"/>
      <c r="F617" s="388"/>
      <c r="I617" s="182"/>
      <c r="J617" s="182"/>
    </row>
    <row r="618" spans="5:10" s="49" customFormat="1">
      <c r="E618" s="92"/>
      <c r="F618" s="388"/>
      <c r="I618" s="182"/>
      <c r="J618" s="182"/>
    </row>
    <row r="619" spans="5:10" s="49" customFormat="1">
      <c r="E619" s="92"/>
      <c r="F619" s="388"/>
      <c r="I619" s="182"/>
      <c r="J619" s="182"/>
    </row>
    <row r="620" spans="5:10" s="49" customFormat="1">
      <c r="E620" s="92"/>
      <c r="F620" s="388"/>
      <c r="I620" s="182"/>
      <c r="J620" s="182"/>
    </row>
    <row r="621" spans="5:10" s="49" customFormat="1">
      <c r="E621" s="92"/>
      <c r="F621" s="388"/>
      <c r="I621" s="182"/>
      <c r="J621" s="182"/>
    </row>
    <row r="622" spans="5:10" s="49" customFormat="1">
      <c r="E622" s="92"/>
      <c r="F622" s="388"/>
      <c r="I622" s="182"/>
      <c r="J622" s="182"/>
    </row>
    <row r="623" spans="5:10" s="49" customFormat="1">
      <c r="E623" s="92"/>
      <c r="F623" s="388"/>
      <c r="I623" s="182"/>
      <c r="J623" s="182"/>
    </row>
    <row r="624" spans="5:10" s="49" customFormat="1">
      <c r="E624" s="92"/>
      <c r="F624" s="388"/>
      <c r="I624" s="182"/>
      <c r="J624" s="182"/>
    </row>
    <row r="625" spans="5:10" s="49" customFormat="1">
      <c r="E625" s="92"/>
      <c r="F625" s="388"/>
      <c r="I625" s="182"/>
      <c r="J625" s="182"/>
    </row>
    <row r="626" spans="5:10" s="49" customFormat="1">
      <c r="E626" s="92"/>
      <c r="F626" s="388"/>
      <c r="I626" s="182"/>
      <c r="J626" s="182"/>
    </row>
    <row r="627" spans="5:10" s="49" customFormat="1">
      <c r="E627" s="92"/>
      <c r="F627" s="388"/>
      <c r="I627" s="182"/>
      <c r="J627" s="182"/>
    </row>
    <row r="628" spans="5:10" s="49" customFormat="1">
      <c r="E628" s="92"/>
      <c r="F628" s="388"/>
      <c r="I628" s="182"/>
      <c r="J628" s="182"/>
    </row>
    <row r="629" spans="5:10" s="49" customFormat="1">
      <c r="E629" s="92"/>
      <c r="F629" s="388"/>
      <c r="I629" s="182"/>
      <c r="J629" s="182"/>
    </row>
    <row r="630" spans="5:10" s="49" customFormat="1">
      <c r="E630" s="92"/>
      <c r="F630" s="388"/>
      <c r="I630" s="182"/>
      <c r="J630" s="182"/>
    </row>
    <row r="631" spans="5:10" s="49" customFormat="1">
      <c r="E631" s="92"/>
      <c r="F631" s="388"/>
      <c r="I631" s="182"/>
      <c r="J631" s="182"/>
    </row>
    <row r="632" spans="5:10" s="49" customFormat="1">
      <c r="E632" s="92"/>
      <c r="F632" s="388"/>
      <c r="I632" s="182"/>
      <c r="J632" s="182"/>
    </row>
    <row r="633" spans="5:10" s="49" customFormat="1">
      <c r="E633" s="92"/>
      <c r="F633" s="388"/>
      <c r="I633" s="182"/>
      <c r="J633" s="182"/>
    </row>
    <row r="634" spans="5:10" s="49" customFormat="1">
      <c r="E634" s="92"/>
      <c r="F634" s="388"/>
      <c r="I634" s="182"/>
      <c r="J634" s="182"/>
    </row>
    <row r="635" spans="5:10" s="49" customFormat="1">
      <c r="E635" s="92"/>
      <c r="F635" s="388"/>
      <c r="I635" s="182"/>
      <c r="J635" s="182"/>
    </row>
    <row r="636" spans="5:10" s="49" customFormat="1">
      <c r="E636" s="92"/>
      <c r="F636" s="388"/>
      <c r="I636" s="182"/>
      <c r="J636" s="182"/>
    </row>
    <row r="637" spans="5:10" s="49" customFormat="1">
      <c r="E637" s="92"/>
      <c r="F637" s="388"/>
      <c r="I637" s="182"/>
      <c r="J637" s="182"/>
    </row>
    <row r="638" spans="5:10" s="49" customFormat="1">
      <c r="E638" s="92"/>
      <c r="F638" s="388"/>
      <c r="I638" s="182"/>
      <c r="J638" s="182"/>
    </row>
    <row r="639" spans="5:10" s="49" customFormat="1">
      <c r="E639" s="92"/>
      <c r="F639" s="388"/>
      <c r="I639" s="182"/>
      <c r="J639" s="182"/>
    </row>
    <row r="640" spans="5:10" s="49" customFormat="1">
      <c r="E640" s="92"/>
      <c r="F640" s="388"/>
      <c r="I640" s="182"/>
      <c r="J640" s="182"/>
    </row>
    <row r="641" spans="5:10" s="49" customFormat="1">
      <c r="E641" s="92"/>
      <c r="F641" s="388"/>
      <c r="I641" s="182"/>
      <c r="J641" s="182"/>
    </row>
    <row r="642" spans="5:10" s="49" customFormat="1">
      <c r="E642" s="92"/>
      <c r="F642" s="388"/>
      <c r="I642" s="182"/>
      <c r="J642" s="182"/>
    </row>
    <row r="643" spans="5:10" s="49" customFormat="1">
      <c r="E643" s="92"/>
      <c r="F643" s="388"/>
      <c r="I643" s="182"/>
      <c r="J643" s="182"/>
    </row>
    <row r="644" spans="5:10" s="49" customFormat="1">
      <c r="E644" s="92"/>
      <c r="F644" s="388"/>
      <c r="I644" s="182"/>
      <c r="J644" s="182"/>
    </row>
    <row r="645" spans="5:10" s="49" customFormat="1">
      <c r="E645" s="92"/>
      <c r="F645" s="388"/>
      <c r="I645" s="182"/>
      <c r="J645" s="182"/>
    </row>
    <row r="646" spans="5:10" s="49" customFormat="1">
      <c r="E646" s="92"/>
      <c r="F646" s="388"/>
      <c r="I646" s="182"/>
      <c r="J646" s="182"/>
    </row>
    <row r="647" spans="5:10" s="49" customFormat="1">
      <c r="E647" s="92"/>
      <c r="F647" s="388"/>
      <c r="I647" s="182"/>
      <c r="J647" s="182"/>
    </row>
    <row r="648" spans="5:10" s="49" customFormat="1">
      <c r="E648" s="92"/>
      <c r="F648" s="388"/>
      <c r="I648" s="182"/>
      <c r="J648" s="182"/>
    </row>
    <row r="649" spans="5:10" s="49" customFormat="1">
      <c r="E649" s="92"/>
      <c r="F649" s="388"/>
      <c r="I649" s="182"/>
      <c r="J649" s="182"/>
    </row>
    <row r="650" spans="5:10" s="49" customFormat="1">
      <c r="E650" s="92"/>
      <c r="F650" s="388"/>
      <c r="I650" s="182"/>
      <c r="J650" s="182"/>
    </row>
    <row r="651" spans="5:10" s="49" customFormat="1">
      <c r="E651" s="92"/>
      <c r="F651" s="388"/>
      <c r="I651" s="182"/>
      <c r="J651" s="182"/>
    </row>
    <row r="652" spans="5:10" s="49" customFormat="1">
      <c r="E652" s="92"/>
      <c r="F652" s="388"/>
      <c r="I652" s="182"/>
      <c r="J652" s="182"/>
    </row>
    <row r="653" spans="5:10" s="49" customFormat="1">
      <c r="E653" s="92"/>
      <c r="F653" s="388"/>
      <c r="I653" s="182"/>
      <c r="J653" s="182"/>
    </row>
    <row r="654" spans="5:10" s="49" customFormat="1">
      <c r="E654" s="92"/>
      <c r="F654" s="388"/>
      <c r="I654" s="182"/>
      <c r="J654" s="182"/>
    </row>
    <row r="655" spans="5:10" s="49" customFormat="1">
      <c r="E655" s="92"/>
      <c r="F655" s="388"/>
      <c r="I655" s="182"/>
      <c r="J655" s="182"/>
    </row>
    <row r="656" spans="5:10" s="49" customFormat="1">
      <c r="E656" s="92"/>
      <c r="F656" s="388"/>
      <c r="I656" s="182"/>
      <c r="J656" s="182"/>
    </row>
    <row r="657" spans="5:10" s="49" customFormat="1">
      <c r="E657" s="92"/>
      <c r="F657" s="388"/>
      <c r="I657" s="182"/>
      <c r="J657" s="182"/>
    </row>
    <row r="658" spans="5:10" s="49" customFormat="1">
      <c r="E658" s="92"/>
      <c r="F658" s="388"/>
      <c r="I658" s="182"/>
      <c r="J658" s="182"/>
    </row>
    <row r="659" spans="5:10" s="49" customFormat="1">
      <c r="E659" s="92"/>
      <c r="F659" s="388"/>
      <c r="I659" s="182"/>
      <c r="J659" s="182"/>
    </row>
    <row r="660" spans="5:10" s="49" customFormat="1">
      <c r="E660" s="92"/>
      <c r="F660" s="388"/>
      <c r="I660" s="182"/>
      <c r="J660" s="182"/>
    </row>
    <row r="661" spans="5:10" s="49" customFormat="1">
      <c r="E661" s="92"/>
      <c r="F661" s="388"/>
      <c r="I661" s="182"/>
      <c r="J661" s="182"/>
    </row>
    <row r="662" spans="5:10" s="49" customFormat="1">
      <c r="E662" s="92"/>
      <c r="F662" s="388"/>
      <c r="I662" s="182"/>
      <c r="J662" s="182"/>
    </row>
    <row r="663" spans="5:10" s="49" customFormat="1">
      <c r="E663" s="92"/>
      <c r="F663" s="388"/>
      <c r="I663" s="182"/>
      <c r="J663" s="182"/>
    </row>
    <row r="664" spans="5:10" s="49" customFormat="1">
      <c r="E664" s="92"/>
      <c r="F664" s="388"/>
      <c r="I664" s="182"/>
      <c r="J664" s="182"/>
    </row>
    <row r="665" spans="5:10" s="49" customFormat="1">
      <c r="E665" s="92"/>
      <c r="F665" s="388"/>
      <c r="I665" s="182"/>
      <c r="J665" s="182"/>
    </row>
    <row r="666" spans="5:10" s="49" customFormat="1">
      <c r="E666" s="92"/>
      <c r="F666" s="388"/>
      <c r="I666" s="182"/>
      <c r="J666" s="182"/>
    </row>
    <row r="667" spans="5:10" s="49" customFormat="1">
      <c r="E667" s="92"/>
      <c r="F667" s="388"/>
      <c r="I667" s="182"/>
      <c r="J667" s="182"/>
    </row>
    <row r="668" spans="5:10" s="49" customFormat="1">
      <c r="E668" s="92"/>
      <c r="F668" s="388"/>
      <c r="I668" s="182"/>
      <c r="J668" s="182"/>
    </row>
    <row r="669" spans="5:10" s="49" customFormat="1">
      <c r="E669" s="92"/>
      <c r="F669" s="388"/>
      <c r="I669" s="182"/>
      <c r="J669" s="182"/>
    </row>
    <row r="670" spans="5:10" s="49" customFormat="1">
      <c r="E670" s="92"/>
      <c r="F670" s="388"/>
      <c r="I670" s="182"/>
      <c r="J670" s="182"/>
    </row>
    <row r="671" spans="5:10" s="49" customFormat="1">
      <c r="E671" s="92"/>
      <c r="F671" s="388"/>
      <c r="I671" s="182"/>
      <c r="J671" s="182"/>
    </row>
    <row r="672" spans="5:10" s="49" customFormat="1">
      <c r="E672" s="92"/>
      <c r="F672" s="388"/>
      <c r="I672" s="182"/>
      <c r="J672" s="182"/>
    </row>
    <row r="673" spans="5:10" s="49" customFormat="1">
      <c r="E673" s="92"/>
      <c r="F673" s="388"/>
      <c r="I673" s="182"/>
      <c r="J673" s="182"/>
    </row>
    <row r="674" spans="5:10" s="49" customFormat="1">
      <c r="E674" s="92"/>
      <c r="F674" s="388"/>
      <c r="I674" s="182"/>
      <c r="J674" s="182"/>
    </row>
    <row r="675" spans="5:10" s="49" customFormat="1">
      <c r="E675" s="92"/>
      <c r="F675" s="388"/>
      <c r="I675" s="182"/>
      <c r="J675" s="182"/>
    </row>
    <row r="676" spans="5:10" s="49" customFormat="1">
      <c r="E676" s="92"/>
      <c r="F676" s="388"/>
      <c r="I676" s="182"/>
      <c r="J676" s="182"/>
    </row>
    <row r="677" spans="5:10" s="49" customFormat="1">
      <c r="E677" s="92"/>
      <c r="F677" s="388"/>
      <c r="I677" s="182"/>
      <c r="J677" s="182"/>
    </row>
    <row r="678" spans="5:10" s="49" customFormat="1">
      <c r="E678" s="92"/>
      <c r="F678" s="388"/>
      <c r="I678" s="182"/>
      <c r="J678" s="182"/>
    </row>
    <row r="679" spans="5:10" s="49" customFormat="1">
      <c r="E679" s="92"/>
      <c r="F679" s="388"/>
      <c r="I679" s="182"/>
      <c r="J679" s="182"/>
    </row>
    <row r="680" spans="5:10" s="49" customFormat="1">
      <c r="E680" s="92"/>
      <c r="F680" s="388"/>
      <c r="I680" s="182"/>
      <c r="J680" s="182"/>
    </row>
    <row r="681" spans="5:10" s="49" customFormat="1">
      <c r="E681" s="92"/>
      <c r="F681" s="388"/>
      <c r="I681" s="182"/>
      <c r="J681" s="182"/>
    </row>
    <row r="682" spans="5:10" s="49" customFormat="1">
      <c r="E682" s="92"/>
      <c r="F682" s="388"/>
      <c r="I682" s="182"/>
      <c r="J682" s="182"/>
    </row>
    <row r="683" spans="5:10" s="49" customFormat="1">
      <c r="E683" s="92"/>
      <c r="F683" s="388"/>
      <c r="I683" s="182"/>
      <c r="J683" s="182"/>
    </row>
    <row r="684" spans="5:10" s="49" customFormat="1">
      <c r="E684" s="92"/>
      <c r="F684" s="388"/>
      <c r="I684" s="182"/>
      <c r="J684" s="182"/>
    </row>
    <row r="685" spans="5:10" s="49" customFormat="1">
      <c r="E685" s="92"/>
      <c r="F685" s="388"/>
      <c r="I685" s="182"/>
      <c r="J685" s="182"/>
    </row>
    <row r="686" spans="5:10" s="49" customFormat="1">
      <c r="E686" s="92"/>
      <c r="F686" s="388"/>
      <c r="I686" s="182"/>
      <c r="J686" s="182"/>
    </row>
    <row r="687" spans="5:10" s="49" customFormat="1">
      <c r="E687" s="92"/>
      <c r="F687" s="388"/>
      <c r="I687" s="182"/>
      <c r="J687" s="182"/>
    </row>
    <row r="688" spans="5:10" s="49" customFormat="1">
      <c r="E688" s="92"/>
      <c r="F688" s="388"/>
      <c r="I688" s="182"/>
      <c r="J688" s="182"/>
    </row>
    <row r="689" spans="5:10" s="49" customFormat="1">
      <c r="E689" s="92"/>
      <c r="F689" s="388"/>
      <c r="I689" s="182"/>
      <c r="J689" s="182"/>
    </row>
    <row r="690" spans="5:10" s="49" customFormat="1">
      <c r="E690" s="92"/>
      <c r="F690" s="388"/>
      <c r="I690" s="182"/>
      <c r="J690" s="182"/>
    </row>
    <row r="691" spans="5:10" s="49" customFormat="1">
      <c r="E691" s="92"/>
      <c r="F691" s="388"/>
      <c r="I691" s="182"/>
      <c r="J691" s="182"/>
    </row>
    <row r="692" spans="5:10" s="49" customFormat="1">
      <c r="E692" s="92"/>
      <c r="F692" s="388"/>
      <c r="I692" s="182"/>
      <c r="J692" s="182"/>
    </row>
    <row r="693" spans="5:10" s="49" customFormat="1">
      <c r="E693" s="92"/>
      <c r="F693" s="388"/>
      <c r="I693" s="182"/>
      <c r="J693" s="182"/>
    </row>
    <row r="694" spans="5:10" s="49" customFormat="1">
      <c r="E694" s="92"/>
      <c r="F694" s="388"/>
      <c r="I694" s="182"/>
      <c r="J694" s="182"/>
    </row>
    <row r="695" spans="5:10" s="49" customFormat="1">
      <c r="E695" s="92"/>
      <c r="F695" s="388"/>
      <c r="I695" s="182"/>
      <c r="J695" s="182"/>
    </row>
    <row r="696" spans="5:10" s="49" customFormat="1">
      <c r="E696" s="92"/>
      <c r="F696" s="388"/>
      <c r="I696" s="182"/>
      <c r="J696" s="182"/>
    </row>
    <row r="697" spans="5:10" s="49" customFormat="1">
      <c r="E697" s="92"/>
      <c r="F697" s="388"/>
      <c r="I697" s="182"/>
      <c r="J697" s="182"/>
    </row>
    <row r="698" spans="5:10" s="49" customFormat="1">
      <c r="E698" s="92"/>
      <c r="F698" s="388"/>
      <c r="I698" s="182"/>
      <c r="J698" s="182"/>
    </row>
    <row r="699" spans="5:10" s="49" customFormat="1">
      <c r="E699" s="92"/>
      <c r="F699" s="388"/>
      <c r="I699" s="182"/>
      <c r="J699" s="182"/>
    </row>
    <row r="700" spans="5:10" s="49" customFormat="1">
      <c r="E700" s="92"/>
      <c r="F700" s="388"/>
      <c r="I700" s="182"/>
      <c r="J700" s="182"/>
    </row>
    <row r="701" spans="5:10" s="49" customFormat="1">
      <c r="E701" s="92"/>
      <c r="F701" s="388"/>
      <c r="I701" s="182"/>
      <c r="J701" s="182"/>
    </row>
    <row r="702" spans="5:10" s="49" customFormat="1">
      <c r="E702" s="92"/>
      <c r="F702" s="388"/>
      <c r="I702" s="182"/>
      <c r="J702" s="182"/>
    </row>
    <row r="703" spans="5:10" s="49" customFormat="1">
      <c r="E703" s="92"/>
      <c r="F703" s="388"/>
      <c r="I703" s="182"/>
      <c r="J703" s="182"/>
    </row>
    <row r="704" spans="5:10" s="49" customFormat="1">
      <c r="E704" s="92"/>
      <c r="F704" s="388"/>
      <c r="I704" s="182"/>
      <c r="J704" s="182"/>
    </row>
    <row r="705" spans="5:10" s="49" customFormat="1">
      <c r="E705" s="92"/>
      <c r="F705" s="388"/>
      <c r="I705" s="182"/>
      <c r="J705" s="182"/>
    </row>
    <row r="706" spans="5:10" s="49" customFormat="1">
      <c r="E706" s="92"/>
      <c r="F706" s="388"/>
      <c r="I706" s="182"/>
      <c r="J706" s="182"/>
    </row>
    <row r="707" spans="5:10" s="49" customFormat="1">
      <c r="E707" s="92"/>
      <c r="F707" s="388"/>
      <c r="I707" s="182"/>
      <c r="J707" s="182"/>
    </row>
    <row r="708" spans="5:10" s="49" customFormat="1">
      <c r="E708" s="92"/>
      <c r="F708" s="388"/>
      <c r="I708" s="182"/>
      <c r="J708" s="182"/>
    </row>
    <row r="709" spans="5:10" s="49" customFormat="1">
      <c r="E709" s="92"/>
      <c r="F709" s="388"/>
      <c r="I709" s="182"/>
      <c r="J709" s="182"/>
    </row>
    <row r="710" spans="5:10" s="49" customFormat="1">
      <c r="E710" s="92"/>
      <c r="F710" s="388"/>
      <c r="I710" s="182"/>
      <c r="J710" s="182"/>
    </row>
    <row r="711" spans="5:10" s="49" customFormat="1">
      <c r="E711" s="92"/>
      <c r="F711" s="388"/>
      <c r="I711" s="182"/>
      <c r="J711" s="182"/>
    </row>
    <row r="712" spans="5:10" s="49" customFormat="1">
      <c r="E712" s="92"/>
      <c r="F712" s="388"/>
      <c r="I712" s="182"/>
      <c r="J712" s="182"/>
    </row>
    <row r="713" spans="5:10" s="49" customFormat="1">
      <c r="E713" s="92"/>
      <c r="F713" s="388"/>
      <c r="I713" s="182"/>
      <c r="J713" s="182"/>
    </row>
    <row r="714" spans="5:10" s="49" customFormat="1">
      <c r="E714" s="92"/>
      <c r="F714" s="388"/>
      <c r="I714" s="182"/>
      <c r="J714" s="182"/>
    </row>
    <row r="715" spans="5:10" s="49" customFormat="1">
      <c r="E715" s="92"/>
      <c r="F715" s="388"/>
      <c r="I715" s="182"/>
      <c r="J715" s="182"/>
    </row>
    <row r="716" spans="5:10" s="49" customFormat="1">
      <c r="E716" s="92"/>
      <c r="F716" s="388"/>
      <c r="I716" s="182"/>
      <c r="J716" s="182"/>
    </row>
    <row r="717" spans="5:10" s="49" customFormat="1">
      <c r="E717" s="92"/>
      <c r="F717" s="388"/>
      <c r="I717" s="182"/>
      <c r="J717" s="182"/>
    </row>
    <row r="718" spans="5:10" s="49" customFormat="1">
      <c r="E718" s="92"/>
      <c r="F718" s="388"/>
      <c r="I718" s="182"/>
      <c r="J718" s="182"/>
    </row>
    <row r="719" spans="5:10" s="49" customFormat="1">
      <c r="E719" s="92"/>
      <c r="F719" s="388"/>
      <c r="I719" s="182"/>
      <c r="J719" s="182"/>
    </row>
    <row r="720" spans="5:10" s="49" customFormat="1">
      <c r="E720" s="92"/>
      <c r="F720" s="388"/>
      <c r="I720" s="182"/>
      <c r="J720" s="182"/>
    </row>
    <row r="721" spans="5:10" s="49" customFormat="1">
      <c r="E721" s="92"/>
      <c r="F721" s="388"/>
      <c r="I721" s="182"/>
      <c r="J721" s="182"/>
    </row>
    <row r="722" spans="5:10" s="49" customFormat="1">
      <c r="E722" s="92"/>
      <c r="F722" s="388"/>
      <c r="I722" s="182"/>
      <c r="J722" s="182"/>
    </row>
    <row r="723" spans="5:10" s="49" customFormat="1">
      <c r="E723" s="92"/>
      <c r="F723" s="388"/>
      <c r="I723" s="182"/>
      <c r="J723" s="182"/>
    </row>
    <row r="724" spans="5:10" s="49" customFormat="1">
      <c r="E724" s="92"/>
      <c r="F724" s="388"/>
      <c r="I724" s="182"/>
      <c r="J724" s="182"/>
    </row>
    <row r="725" spans="5:10" s="49" customFormat="1">
      <c r="E725" s="92"/>
      <c r="F725" s="388"/>
      <c r="I725" s="182"/>
      <c r="J725" s="182"/>
    </row>
    <row r="726" spans="5:10" s="49" customFormat="1">
      <c r="E726" s="92"/>
      <c r="F726" s="388"/>
      <c r="I726" s="182"/>
      <c r="J726" s="182"/>
    </row>
    <row r="727" spans="5:10" s="49" customFormat="1">
      <c r="E727" s="92"/>
      <c r="F727" s="388"/>
      <c r="I727" s="182"/>
      <c r="J727" s="182"/>
    </row>
    <row r="728" spans="5:10" s="49" customFormat="1">
      <c r="E728" s="92"/>
      <c r="F728" s="388"/>
      <c r="I728" s="182"/>
      <c r="J728" s="182"/>
    </row>
    <row r="729" spans="5:10" s="49" customFormat="1">
      <c r="E729" s="92"/>
      <c r="F729" s="388"/>
      <c r="I729" s="182"/>
      <c r="J729" s="182"/>
    </row>
    <row r="730" spans="5:10" s="49" customFormat="1">
      <c r="E730" s="92"/>
      <c r="F730" s="388"/>
      <c r="I730" s="182"/>
      <c r="J730" s="182"/>
    </row>
    <row r="731" spans="5:10" s="49" customFormat="1">
      <c r="E731" s="92"/>
      <c r="F731" s="388"/>
      <c r="I731" s="182"/>
      <c r="J731" s="182"/>
    </row>
    <row r="732" spans="5:10" s="49" customFormat="1">
      <c r="E732" s="92"/>
      <c r="F732" s="388"/>
      <c r="I732" s="182"/>
      <c r="J732" s="182"/>
    </row>
    <row r="733" spans="5:10" s="49" customFormat="1">
      <c r="E733" s="92"/>
      <c r="F733" s="388"/>
      <c r="I733" s="182"/>
      <c r="J733" s="182"/>
    </row>
    <row r="734" spans="5:10" s="49" customFormat="1">
      <c r="E734" s="92"/>
      <c r="F734" s="388"/>
      <c r="I734" s="182"/>
      <c r="J734" s="182"/>
    </row>
    <row r="735" spans="5:10" s="49" customFormat="1">
      <c r="E735" s="92"/>
      <c r="F735" s="388"/>
      <c r="I735" s="182"/>
      <c r="J735" s="182"/>
    </row>
    <row r="736" spans="5:10" s="49" customFormat="1">
      <c r="E736" s="92"/>
      <c r="F736" s="388"/>
      <c r="I736" s="182"/>
      <c r="J736" s="182"/>
    </row>
    <row r="737" spans="5:10" s="49" customFormat="1">
      <c r="E737" s="92"/>
      <c r="F737" s="388"/>
      <c r="I737" s="182"/>
      <c r="J737" s="182"/>
    </row>
    <row r="738" spans="5:10" s="49" customFormat="1">
      <c r="E738" s="92"/>
      <c r="F738" s="388"/>
      <c r="I738" s="182"/>
      <c r="J738" s="182"/>
    </row>
    <row r="739" spans="5:10" s="49" customFormat="1">
      <c r="E739" s="92"/>
      <c r="F739" s="388"/>
      <c r="I739" s="182"/>
      <c r="J739" s="182"/>
    </row>
    <row r="740" spans="5:10" s="49" customFormat="1">
      <c r="E740" s="92"/>
      <c r="F740" s="388"/>
      <c r="I740" s="182"/>
      <c r="J740" s="182"/>
    </row>
    <row r="741" spans="5:10" s="49" customFormat="1">
      <c r="E741" s="92"/>
      <c r="F741" s="388"/>
      <c r="I741" s="182"/>
      <c r="J741" s="182"/>
    </row>
    <row r="742" spans="5:10" s="49" customFormat="1">
      <c r="E742" s="92"/>
      <c r="F742" s="388"/>
      <c r="I742" s="182"/>
      <c r="J742" s="182"/>
    </row>
    <row r="743" spans="5:10" s="49" customFormat="1">
      <c r="E743" s="92"/>
      <c r="F743" s="388"/>
      <c r="I743" s="182"/>
      <c r="J743" s="182"/>
    </row>
    <row r="744" spans="5:10" s="49" customFormat="1">
      <c r="E744" s="92"/>
      <c r="F744" s="388"/>
      <c r="I744" s="182"/>
      <c r="J744" s="182"/>
    </row>
    <row r="745" spans="5:10" s="49" customFormat="1">
      <c r="E745" s="92"/>
      <c r="F745" s="388"/>
      <c r="I745" s="182"/>
      <c r="J745" s="182"/>
    </row>
    <row r="746" spans="5:10" s="49" customFormat="1">
      <c r="E746" s="92"/>
      <c r="F746" s="388"/>
      <c r="I746" s="182"/>
      <c r="J746" s="182"/>
    </row>
    <row r="747" spans="5:10" s="49" customFormat="1">
      <c r="E747" s="92"/>
      <c r="F747" s="388"/>
      <c r="I747" s="182"/>
      <c r="J747" s="182"/>
    </row>
    <row r="748" spans="5:10" s="49" customFormat="1">
      <c r="E748" s="92"/>
      <c r="F748" s="388"/>
      <c r="I748" s="182"/>
      <c r="J748" s="182"/>
    </row>
    <row r="749" spans="5:10" s="49" customFormat="1">
      <c r="E749" s="92"/>
      <c r="F749" s="388"/>
      <c r="I749" s="182"/>
      <c r="J749" s="182"/>
    </row>
    <row r="750" spans="5:10" s="49" customFormat="1">
      <c r="E750" s="92"/>
      <c r="F750" s="388"/>
      <c r="I750" s="182"/>
      <c r="J750" s="182"/>
    </row>
    <row r="751" spans="5:10" s="49" customFormat="1">
      <c r="E751" s="92"/>
      <c r="F751" s="388"/>
      <c r="I751" s="182"/>
      <c r="J751" s="182"/>
    </row>
    <row r="752" spans="5:10" s="49" customFormat="1">
      <c r="E752" s="92"/>
      <c r="F752" s="388"/>
      <c r="I752" s="182"/>
      <c r="J752" s="182"/>
    </row>
    <row r="753" spans="5:10" s="49" customFormat="1">
      <c r="E753" s="92"/>
      <c r="F753" s="388"/>
      <c r="I753" s="182"/>
      <c r="J753" s="182"/>
    </row>
    <row r="754" spans="5:10" s="49" customFormat="1">
      <c r="E754" s="92"/>
      <c r="F754" s="388"/>
      <c r="I754" s="182"/>
      <c r="J754" s="182"/>
    </row>
    <row r="755" spans="5:10" s="49" customFormat="1">
      <c r="E755" s="92"/>
      <c r="F755" s="388"/>
      <c r="I755" s="182"/>
      <c r="J755" s="182"/>
    </row>
    <row r="756" spans="5:10" s="49" customFormat="1">
      <c r="E756" s="92"/>
      <c r="F756" s="388"/>
      <c r="I756" s="182"/>
      <c r="J756" s="182"/>
    </row>
    <row r="757" spans="5:10" s="49" customFormat="1">
      <c r="E757" s="92"/>
      <c r="F757" s="388"/>
      <c r="I757" s="182"/>
      <c r="J757" s="182"/>
    </row>
    <row r="758" spans="5:10" s="49" customFormat="1">
      <c r="E758" s="92"/>
      <c r="F758" s="388"/>
      <c r="I758" s="182"/>
      <c r="J758" s="182"/>
    </row>
    <row r="759" spans="5:10" s="49" customFormat="1">
      <c r="E759" s="92"/>
      <c r="F759" s="388"/>
      <c r="I759" s="182"/>
      <c r="J759" s="182"/>
    </row>
    <row r="760" spans="5:10" s="49" customFormat="1">
      <c r="E760" s="92"/>
      <c r="F760" s="388"/>
      <c r="I760" s="182"/>
      <c r="J760" s="182"/>
    </row>
    <row r="761" spans="5:10" s="49" customFormat="1">
      <c r="E761" s="92"/>
      <c r="F761" s="388"/>
      <c r="I761" s="182"/>
      <c r="J761" s="182"/>
    </row>
    <row r="762" spans="5:10" s="49" customFormat="1">
      <c r="E762" s="92"/>
      <c r="F762" s="388"/>
      <c r="I762" s="182"/>
      <c r="J762" s="182"/>
    </row>
    <row r="763" spans="5:10" s="49" customFormat="1">
      <c r="E763" s="92"/>
      <c r="F763" s="388"/>
      <c r="I763" s="182"/>
      <c r="J763" s="182"/>
    </row>
    <row r="764" spans="5:10" s="49" customFormat="1">
      <c r="E764" s="92"/>
      <c r="F764" s="388"/>
      <c r="I764" s="182"/>
      <c r="J764" s="182"/>
    </row>
    <row r="765" spans="5:10" s="49" customFormat="1">
      <c r="E765" s="92"/>
      <c r="F765" s="388"/>
      <c r="I765" s="182"/>
      <c r="J765" s="182"/>
    </row>
    <row r="766" spans="5:10" s="49" customFormat="1">
      <c r="E766" s="92"/>
      <c r="F766" s="388"/>
      <c r="I766" s="182"/>
      <c r="J766" s="182"/>
    </row>
    <row r="767" spans="5:10" s="49" customFormat="1">
      <c r="E767" s="92"/>
      <c r="F767" s="388"/>
      <c r="I767" s="182"/>
      <c r="J767" s="182"/>
    </row>
    <row r="768" spans="5:10" s="49" customFormat="1">
      <c r="E768" s="92"/>
      <c r="F768" s="388"/>
      <c r="I768" s="182"/>
      <c r="J768" s="182"/>
    </row>
    <row r="769" spans="5:10" s="49" customFormat="1">
      <c r="E769" s="92"/>
      <c r="F769" s="388"/>
      <c r="I769" s="182"/>
      <c r="J769" s="182"/>
    </row>
    <row r="770" spans="5:10" s="49" customFormat="1">
      <c r="E770" s="92"/>
      <c r="F770" s="388"/>
      <c r="I770" s="182"/>
      <c r="J770" s="182"/>
    </row>
    <row r="771" spans="5:10" s="49" customFormat="1">
      <c r="E771" s="92"/>
      <c r="F771" s="388"/>
      <c r="I771" s="182"/>
      <c r="J771" s="182"/>
    </row>
    <row r="772" spans="5:10" s="49" customFormat="1">
      <c r="E772" s="92"/>
      <c r="F772" s="388"/>
      <c r="I772" s="182"/>
      <c r="J772" s="182"/>
    </row>
    <row r="773" spans="5:10" s="49" customFormat="1">
      <c r="E773" s="92"/>
      <c r="F773" s="388"/>
      <c r="I773" s="182"/>
      <c r="J773" s="182"/>
    </row>
    <row r="774" spans="5:10" s="49" customFormat="1">
      <c r="E774" s="92"/>
      <c r="F774" s="388"/>
      <c r="I774" s="182"/>
      <c r="J774" s="182"/>
    </row>
    <row r="775" spans="5:10" s="49" customFormat="1">
      <c r="E775" s="92"/>
      <c r="F775" s="388"/>
      <c r="I775" s="182"/>
      <c r="J775" s="182"/>
    </row>
    <row r="776" spans="5:10" s="49" customFormat="1">
      <c r="E776" s="92"/>
      <c r="F776" s="388"/>
      <c r="I776" s="182"/>
      <c r="J776" s="182"/>
    </row>
    <row r="777" spans="5:10" s="49" customFormat="1">
      <c r="E777" s="92"/>
      <c r="F777" s="388"/>
      <c r="I777" s="182"/>
      <c r="J777" s="182"/>
    </row>
    <row r="778" spans="5:10" s="49" customFormat="1">
      <c r="E778" s="92"/>
      <c r="F778" s="388"/>
      <c r="I778" s="182"/>
      <c r="J778" s="182"/>
    </row>
    <row r="779" spans="5:10" s="49" customFormat="1">
      <c r="E779" s="92"/>
      <c r="F779" s="388"/>
      <c r="I779" s="182"/>
      <c r="J779" s="182"/>
    </row>
    <row r="780" spans="5:10" s="49" customFormat="1">
      <c r="E780" s="92"/>
      <c r="F780" s="388"/>
      <c r="I780" s="182"/>
      <c r="J780" s="182"/>
    </row>
    <row r="781" spans="5:10" s="49" customFormat="1">
      <c r="E781" s="92"/>
      <c r="F781" s="388"/>
      <c r="I781" s="182"/>
      <c r="J781" s="182"/>
    </row>
    <row r="782" spans="5:10" s="49" customFormat="1">
      <c r="E782" s="92"/>
      <c r="F782" s="388"/>
      <c r="I782" s="182"/>
      <c r="J782" s="182"/>
    </row>
    <row r="783" spans="5:10" s="49" customFormat="1">
      <c r="E783" s="92"/>
      <c r="F783" s="388"/>
      <c r="I783" s="182"/>
      <c r="J783" s="182"/>
    </row>
    <row r="784" spans="5:10" s="49" customFormat="1">
      <c r="E784" s="92"/>
      <c r="F784" s="388"/>
      <c r="I784" s="182"/>
      <c r="J784" s="182"/>
    </row>
    <row r="785" spans="5:10" s="49" customFormat="1">
      <c r="E785" s="92"/>
      <c r="F785" s="388"/>
      <c r="I785" s="182"/>
      <c r="J785" s="182"/>
    </row>
    <row r="786" spans="5:10" s="49" customFormat="1">
      <c r="E786" s="92"/>
      <c r="F786" s="388"/>
      <c r="I786" s="182"/>
      <c r="J786" s="182"/>
    </row>
    <row r="787" spans="5:10" s="49" customFormat="1">
      <c r="E787" s="92"/>
      <c r="F787" s="388"/>
      <c r="I787" s="182"/>
      <c r="J787" s="182"/>
    </row>
    <row r="788" spans="5:10" s="49" customFormat="1">
      <c r="E788" s="92"/>
      <c r="F788" s="388"/>
      <c r="I788" s="182"/>
      <c r="J788" s="182"/>
    </row>
    <row r="789" spans="5:10" s="49" customFormat="1">
      <c r="E789" s="92"/>
      <c r="F789" s="388"/>
      <c r="I789" s="182"/>
      <c r="J789" s="182"/>
    </row>
    <row r="790" spans="5:10" s="49" customFormat="1">
      <c r="E790" s="92"/>
      <c r="F790" s="388"/>
      <c r="I790" s="182"/>
      <c r="J790" s="182"/>
    </row>
    <row r="791" spans="5:10" s="49" customFormat="1">
      <c r="E791" s="92"/>
      <c r="F791" s="388"/>
      <c r="I791" s="182"/>
      <c r="J791" s="182"/>
    </row>
    <row r="792" spans="5:10" s="49" customFormat="1">
      <c r="E792" s="92"/>
      <c r="F792" s="388"/>
      <c r="I792" s="182"/>
      <c r="J792" s="182"/>
    </row>
    <row r="793" spans="5:10" s="49" customFormat="1">
      <c r="E793" s="92"/>
      <c r="F793" s="388"/>
      <c r="I793" s="182"/>
      <c r="J793" s="182"/>
    </row>
    <row r="794" spans="5:10" s="49" customFormat="1">
      <c r="E794" s="92"/>
      <c r="F794" s="388"/>
      <c r="I794" s="182"/>
      <c r="J794" s="182"/>
    </row>
    <row r="795" spans="5:10" s="49" customFormat="1">
      <c r="E795" s="92"/>
      <c r="F795" s="388"/>
      <c r="I795" s="182"/>
      <c r="J795" s="182"/>
    </row>
    <row r="796" spans="5:10" s="49" customFormat="1">
      <c r="E796" s="92"/>
      <c r="F796" s="388"/>
      <c r="I796" s="182"/>
      <c r="J796" s="182"/>
    </row>
    <row r="797" spans="5:10" s="49" customFormat="1">
      <c r="E797" s="92"/>
      <c r="F797" s="388"/>
      <c r="I797" s="182"/>
      <c r="J797" s="182"/>
    </row>
    <row r="798" spans="5:10" s="49" customFormat="1">
      <c r="E798" s="92"/>
      <c r="F798" s="388"/>
      <c r="I798" s="182"/>
      <c r="J798" s="182"/>
    </row>
    <row r="799" spans="5:10" s="49" customFormat="1">
      <c r="E799" s="92"/>
      <c r="F799" s="388"/>
      <c r="I799" s="182"/>
      <c r="J799" s="182"/>
    </row>
  </sheetData>
  <sheetProtection formatCells="0" formatColumns="0" formatRows="0" insertColumns="0" insertRows="0" insertHyperlinks="0" deleteColumns="0" deleteRows="0" sort="0" autoFilter="0" pivotTables="0"/>
  <mergeCells count="79">
    <mergeCell ref="X6:X21"/>
    <mergeCell ref="V6:V21"/>
    <mergeCell ref="AB17:AC17"/>
    <mergeCell ref="I53:I90"/>
    <mergeCell ref="J53:J90"/>
    <mergeCell ref="X53:X90"/>
    <mergeCell ref="I23:I29"/>
    <mergeCell ref="J23:J29"/>
    <mergeCell ref="X23:X29"/>
    <mergeCell ref="V53:V90"/>
    <mergeCell ref="X31:X51"/>
    <mergeCell ref="R56:R57"/>
    <mergeCell ref="R23:R26"/>
    <mergeCell ref="I31:I51"/>
    <mergeCell ref="J31:J51"/>
    <mergeCell ref="V23:V29"/>
    <mergeCell ref="B2:G2"/>
    <mergeCell ref="L2:Q2"/>
    <mergeCell ref="I6:I19"/>
    <mergeCell ref="J6:J19"/>
    <mergeCell ref="R2:W2"/>
    <mergeCell ref="I92:I113"/>
    <mergeCell ref="J92:J113"/>
    <mergeCell ref="V31:V51"/>
    <mergeCell ref="R6:R17"/>
    <mergeCell ref="R31:R41"/>
    <mergeCell ref="R45:R51"/>
    <mergeCell ref="R54:R55"/>
    <mergeCell ref="R80:R87"/>
    <mergeCell ref="I115:I149"/>
    <mergeCell ref="J115:J149"/>
    <mergeCell ref="X115:X149"/>
    <mergeCell ref="I190:I212"/>
    <mergeCell ref="J190:J212"/>
    <mergeCell ref="X190:X212"/>
    <mergeCell ref="I151:I188"/>
    <mergeCell ref="J151:J188"/>
    <mergeCell ref="V151:V188"/>
    <mergeCell ref="V115:V149"/>
    <mergeCell ref="R151:R171"/>
    <mergeCell ref="X151:X188"/>
    <mergeCell ref="I214:I256"/>
    <mergeCell ref="J214:J256"/>
    <mergeCell ref="X214:X256"/>
    <mergeCell ref="V190:V212"/>
    <mergeCell ref="V214:V256"/>
    <mergeCell ref="R203:R204"/>
    <mergeCell ref="I383:I439"/>
    <mergeCell ref="J383:J439"/>
    <mergeCell ref="X383:X439"/>
    <mergeCell ref="V383:V439"/>
    <mergeCell ref="I258:I322"/>
    <mergeCell ref="J258:J322"/>
    <mergeCell ref="X258:X322"/>
    <mergeCell ref="V258:V322"/>
    <mergeCell ref="I324:I337"/>
    <mergeCell ref="J324:J337"/>
    <mergeCell ref="X324:X337"/>
    <mergeCell ref="I339:I340"/>
    <mergeCell ref="J339:J340"/>
    <mergeCell ref="X339:X340"/>
    <mergeCell ref="V324:V337"/>
    <mergeCell ref="I342:I364"/>
    <mergeCell ref="J342:J364"/>
    <mergeCell ref="X342:X364"/>
    <mergeCell ref="I366:I381"/>
    <mergeCell ref="J366:J381"/>
    <mergeCell ref="X366:X381"/>
    <mergeCell ref="V342:V364"/>
    <mergeCell ref="V366:V381"/>
    <mergeCell ref="X92:X113"/>
    <mergeCell ref="V92:V113"/>
    <mergeCell ref="R269:R277"/>
    <mergeCell ref="R197:R199"/>
    <mergeCell ref="R195:R196"/>
    <mergeCell ref="R248:R253"/>
    <mergeCell ref="R121:R133"/>
    <mergeCell ref="R139:R146"/>
    <mergeCell ref="R215:R245"/>
  </mergeCells>
  <phoneticPr fontId="13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131B-10AA-42D5-89DD-F6D30B382054}">
  <dimension ref="A1:X6"/>
  <sheetViews>
    <sheetView workbookViewId="0">
      <selection activeCell="A6" sqref="A6"/>
    </sheetView>
  </sheetViews>
  <sheetFormatPr defaultColWidth="33" defaultRowHeight="14.25"/>
  <cols>
    <col min="1" max="1" width="10.3984375" bestFit="1" customWidth="1"/>
    <col min="2" max="2" width="28.73046875" bestFit="1" customWidth="1"/>
    <col min="3" max="3" width="12.1328125" bestFit="1" customWidth="1"/>
    <col min="4" max="4" width="28.73046875" bestFit="1" customWidth="1"/>
    <col min="5" max="5" width="14.59765625" bestFit="1" customWidth="1"/>
    <col min="6" max="6" width="28.73046875" bestFit="1" customWidth="1"/>
    <col min="7" max="7" width="12.1328125" bestFit="1" customWidth="1"/>
    <col min="8" max="8" width="28.73046875" bestFit="1" customWidth="1"/>
    <col min="9" max="9" width="13.59765625" bestFit="1" customWidth="1"/>
    <col min="10" max="10" width="28.73046875" bestFit="1" customWidth="1"/>
    <col min="11" max="11" width="13.59765625" bestFit="1" customWidth="1"/>
    <col min="12" max="12" width="28.73046875" bestFit="1" customWidth="1"/>
    <col min="13" max="13" width="10.3984375" bestFit="1" customWidth="1"/>
    <col min="14" max="14" width="28.73046875" bestFit="1" customWidth="1"/>
    <col min="15" max="15" width="11.1328125" bestFit="1" customWidth="1"/>
    <col min="16" max="16" width="28.73046875" bestFit="1" customWidth="1"/>
    <col min="17" max="17" width="13.73046875" bestFit="1" customWidth="1"/>
    <col min="18" max="18" width="28.73046875" bestFit="1" customWidth="1"/>
    <col min="19" max="19" width="12.1328125" bestFit="1" customWidth="1"/>
    <col min="20" max="20" width="28.73046875" bestFit="1" customWidth="1"/>
    <col min="21" max="21" width="12.1328125" bestFit="1" customWidth="1"/>
    <col min="22" max="22" width="28.73046875" bestFit="1" customWidth="1"/>
    <col min="23" max="23" width="11.1328125" bestFit="1" customWidth="1"/>
    <col min="24" max="24" width="28.73046875" bestFit="1" customWidth="1"/>
  </cols>
  <sheetData>
    <row r="1" spans="1:24">
      <c r="A1" s="808" t="s">
        <v>20</v>
      </c>
    </row>
    <row r="2" spans="1:24">
      <c r="A2" s="809">
        <v>45930</v>
      </c>
      <c r="B2" s="809" t="s">
        <v>759</v>
      </c>
      <c r="C2" s="809">
        <v>45961</v>
      </c>
      <c r="D2" s="809" t="s">
        <v>760</v>
      </c>
      <c r="E2" s="809">
        <v>45991</v>
      </c>
      <c r="F2" s="809" t="s">
        <v>761</v>
      </c>
      <c r="G2" s="809">
        <v>46022</v>
      </c>
      <c r="H2" s="809" t="s">
        <v>762</v>
      </c>
      <c r="I2" s="809">
        <v>46053</v>
      </c>
      <c r="J2" s="809" t="s">
        <v>763</v>
      </c>
      <c r="K2" s="809">
        <v>46081</v>
      </c>
      <c r="L2" s="809" t="s">
        <v>764</v>
      </c>
      <c r="M2" s="809">
        <v>46112</v>
      </c>
      <c r="N2" s="809" t="s">
        <v>765</v>
      </c>
      <c r="O2" s="809">
        <v>46142</v>
      </c>
      <c r="P2" s="809" t="s">
        <v>766</v>
      </c>
      <c r="Q2" s="809">
        <v>46173</v>
      </c>
      <c r="R2" s="809" t="s">
        <v>767</v>
      </c>
      <c r="S2" s="809">
        <v>46203</v>
      </c>
      <c r="T2" s="809" t="s">
        <v>768</v>
      </c>
      <c r="U2" s="809">
        <v>46234</v>
      </c>
      <c r="V2" s="809" t="s">
        <v>769</v>
      </c>
      <c r="W2" s="809">
        <v>46265</v>
      </c>
      <c r="X2" s="809" t="s">
        <v>770</v>
      </c>
    </row>
    <row r="3" spans="1:24">
      <c r="A3" s="810">
        <f>SUMIF('Expenditure Breakdown'!$T$6:$T$558,EOMONTH(A$2,0),'Expenditure Breakdown'!$Q$6:$Q$558)</f>
        <v>-26633.370000000003</v>
      </c>
      <c r="B3" s="810">
        <f>SUMIFS('Expenditure Breakdown'!$Q$6:$Q$558,'Expenditure Breakdown'!$T$6:$T$558,"="&amp;A$2,'Expenditure Breakdown'!$S$6:$S$558,"")</f>
        <v>0</v>
      </c>
      <c r="C3" s="810">
        <f>SUMIF('Expenditure Breakdown'!$T$6:$T$558,EOMONTH(C$2,0),'Expenditure Breakdown'!$Q$6:$Q$558)</f>
        <v>138858.56</v>
      </c>
      <c r="D3" s="810">
        <f>SUMIFS('Expenditure Breakdown'!$Q$6:$Q$558,'Expenditure Breakdown'!$T$6:$T$558,"="&amp;C$2,'Expenditure Breakdown'!$S$6:$S$558,"")</f>
        <v>0</v>
      </c>
      <c r="E3" s="810">
        <f>SUMIF('Expenditure Breakdown'!$T$6:$T$558,EOMONTH(E$2,0),'Expenditure Breakdown'!$Q$6:$Q$558)</f>
        <v>6751442.6043877015</v>
      </c>
      <c r="F3" s="810">
        <f>SUMIFS('Expenditure Breakdown'!$Q$6:$Q$558,'Expenditure Breakdown'!$T$6:$T$558,"="&amp;E$2,'Expenditure Breakdown'!$S$6:$S$558,"")</f>
        <v>0</v>
      </c>
      <c r="G3" s="810">
        <f>SUMIF('Expenditure Breakdown'!$T$6:$T$558,EOMONTH(G$2,0),'Expenditure Breakdown'!$Q$6:$Q$558)</f>
        <v>350823.2</v>
      </c>
      <c r="H3" s="810">
        <f>SUMIFS('Expenditure Breakdown'!$Q$6:$Q$558,'Expenditure Breakdown'!$T$6:$T$558,"="&amp;G$2,'Expenditure Breakdown'!$S$6:$S$558,"")</f>
        <v>0</v>
      </c>
      <c r="I3" s="810">
        <f>SUMIF('Expenditure Breakdown'!$T$6:$T$558,EOMONTH(I$2,0),'Expenditure Breakdown'!$Q$6:$Q$558)</f>
        <v>1363577.8599999999</v>
      </c>
      <c r="J3" s="810">
        <f>SUMIFS('Expenditure Breakdown'!$Q$6:$Q$558,'Expenditure Breakdown'!$T$6:$T$558,"="&amp;I$2,'Expenditure Breakdown'!$S$6:$S$558,"")</f>
        <v>0</v>
      </c>
      <c r="K3" s="810">
        <f>SUMIF('Expenditure Breakdown'!$T$6:$T$558,EOMONTH(K$2,0),'Expenditure Breakdown'!$Q$6:$Q$558)</f>
        <v>1116186.4500000002</v>
      </c>
      <c r="L3" s="810">
        <f>SUMIFS('Expenditure Breakdown'!$Q$6:$Q$558,'Expenditure Breakdown'!$T$6:$T$558,"="&amp;K$2,'Expenditure Breakdown'!$S$6:$S$558,"")</f>
        <v>0</v>
      </c>
      <c r="M3" s="810">
        <f>SUMIF('Expenditure Breakdown'!$T$6:$T$558,EOMONTH(M$2,0),'Expenditure Breakdown'!$Q$6:$Q$558)</f>
        <v>32195.86</v>
      </c>
      <c r="N3" s="810">
        <f>SUMIFS('Expenditure Breakdown'!$Q$6:$Q$558,'Expenditure Breakdown'!$T$6:$T$558,"="&amp;M$2,'Expenditure Breakdown'!$S$6:$S$558,"")</f>
        <v>0</v>
      </c>
      <c r="O3" s="810">
        <f>SUMIF('Expenditure Breakdown'!$T$6:$T$558,EOMONTH(O$2,0),'Expenditure Breakdown'!$Q$6:$Q$558)</f>
        <v>683454.53</v>
      </c>
      <c r="P3" s="810">
        <f>SUMIFS('Expenditure Breakdown'!$Q$6:$Q$558,'Expenditure Breakdown'!$T$6:$T$558,"="&amp;O$2,'Expenditure Breakdown'!$S$6:$S$558,"")</f>
        <v>0</v>
      </c>
      <c r="Q3" s="810">
        <f>SUMIF('Expenditure Breakdown'!$T$6:$T$558,EOMONTH(Q$2,0),'Expenditure Breakdown'!$Q$6:$Q$558)</f>
        <v>9535.7999999999993</v>
      </c>
      <c r="R3" s="810">
        <f>SUMIFS('Expenditure Breakdown'!$Q$6:$Q$558,'Expenditure Breakdown'!$T$6:$T$558,"="&amp;Q$2,'Expenditure Breakdown'!$S$6:$S$558,"")</f>
        <v>700</v>
      </c>
      <c r="S3" s="810">
        <f>SUMIF('Expenditure Breakdown'!$T$6:$T$558,EOMONTH(S$2,0),'Expenditure Breakdown'!$Q$6:$Q$558)</f>
        <v>770090.67999999993</v>
      </c>
      <c r="T3" s="810">
        <f>SUMIFS('Expenditure Breakdown'!$Q$6:$Q$558,'Expenditure Breakdown'!$T$6:$T$558,"="&amp;S$2,'Expenditure Breakdown'!$S$6:$S$558,"")</f>
        <v>770090.67999999993</v>
      </c>
      <c r="U3" s="810">
        <f>SUMIF('Expenditure Breakdown'!$T$6:$T$558,EOMONTH(U$2,0),'Expenditure Breakdown'!$Q$6:$Q$558)</f>
        <v>700</v>
      </c>
      <c r="V3" s="810">
        <f>SUMIFS('Expenditure Breakdown'!$Q$6:$Q$558,'Expenditure Breakdown'!$T$6:$T$558,"="&amp;U$2,'Expenditure Breakdown'!$S$6:$S$558,"")</f>
        <v>700</v>
      </c>
      <c r="W3" s="810">
        <f>SUMIF('Expenditure Breakdown'!$T$6:$T$558,EOMONTH(W$2,0),'Expenditure Breakdown'!$Q$6:$Q$558)</f>
        <v>71895.600000000006</v>
      </c>
      <c r="X3" s="810">
        <f>SUMIFS('Expenditure Breakdown'!$Q$6:$Q$558,'Expenditure Breakdown'!$T$6:$T$558,"="&amp;W$2,'Expenditure Breakdown'!$S$6:$S$558,"")</f>
        <v>71895.600000000006</v>
      </c>
    </row>
    <row r="5" spans="1:24">
      <c r="A5" s="808" t="s">
        <v>771</v>
      </c>
    </row>
    <row r="6" spans="1:24" s="810" customFormat="1">
      <c r="A6" s="810">
        <f>SUMIF('Expenditure Breakdown'!$T$6:$T$558,EOMONTH(A$2,0),'Expenditure Breakdown'!$U$6:$U$558)</f>
        <v>4759.0838001852389</v>
      </c>
      <c r="B6" s="810">
        <f>SUMIFS('Expenditure Breakdown'!$U$6:$U$558,'Expenditure Breakdown'!$T$6:$T$558,"="&amp;A$2,'Expenditure Breakdown'!$S$6:$S$558,"")</f>
        <v>0</v>
      </c>
      <c r="C6" s="810">
        <f>SUMIF('Expenditure Breakdown'!$T$6:$T$558,EOMONTH(C$2,0),'Expenditure Breakdown'!$U$6:$U$558)</f>
        <v>71787.336561695745</v>
      </c>
      <c r="D6" s="810">
        <f>SUMIFS('Expenditure Breakdown'!$U$6:$U$558,'Expenditure Breakdown'!$T$6:$T$558,"="&amp;C$2,'Expenditure Breakdown'!$S$6:$S$558,"")</f>
        <v>0</v>
      </c>
      <c r="E6" s="810">
        <f>SUMIF('Expenditure Breakdown'!$T$6:$T$558,EOMONTH(E$2,0),'Expenditure Breakdown'!$U$6:$U$558)</f>
        <v>11651405.675580088</v>
      </c>
      <c r="F6" s="810">
        <f>SUMIFS('Expenditure Breakdown'!$U$6:$U$558,'Expenditure Breakdown'!$T$6:$T$558,"="&amp;E$2,'Expenditure Breakdown'!$S$6:$S$558,"")</f>
        <v>0</v>
      </c>
      <c r="G6" s="810">
        <f>SUMIF('Expenditure Breakdown'!$T$6:$T$558,EOMONTH(G$2,0),'Expenditure Breakdown'!$U$6:$U$558)</f>
        <v>22058.315908169272</v>
      </c>
      <c r="H6" s="810">
        <f>SUMIFS('Expenditure Breakdown'!$U$6:$U$558,'Expenditure Breakdown'!$T$6:$T$558,"="&amp;G$2,'Expenditure Breakdown'!$S$6:$S$558,"")</f>
        <v>0</v>
      </c>
      <c r="I6" s="810">
        <f>SUMIF('Expenditure Breakdown'!$T$6:$T$558,EOMONTH(I$2,0),'Expenditure Breakdown'!$U$6:$U$558)</f>
        <v>673630.87507434597</v>
      </c>
      <c r="J6" s="810">
        <f>SUMIFS('Expenditure Breakdown'!$U$6:$U$558,'Expenditure Breakdown'!$T$6:$T$558,"="&amp;I$2,'Expenditure Breakdown'!$S$6:$S$558,"")</f>
        <v>0</v>
      </c>
      <c r="K6" s="810">
        <f>SUMIF('Expenditure Breakdown'!$T$6:$T$558,EOMONTH(K$2,0),'Expenditure Breakdown'!$U$6:$U$558)</f>
        <v>1307335.3656652446</v>
      </c>
      <c r="L6" s="810">
        <f>SUMIFS('Expenditure Breakdown'!$U$6:$U$558,'Expenditure Breakdown'!$T$6:$T$558,"="&amp;K$2,'Expenditure Breakdown'!$S$6:$S$558,"")</f>
        <v>0</v>
      </c>
      <c r="M6" s="810">
        <f>SUMIF('Expenditure Breakdown'!$T$6:$T$558,EOMONTH(M$2,0),'Expenditure Breakdown'!$U$6:$U$558)</f>
        <v>0</v>
      </c>
      <c r="N6" s="810">
        <f>SUMIFS('Expenditure Breakdown'!$U$6:$U$558,'Expenditure Breakdown'!$T$6:$T$558,"="&amp;M$2,'Expenditure Breakdown'!$S$6:$S$558,"")</f>
        <v>0</v>
      </c>
      <c r="O6" s="810">
        <f>SUMIF('Expenditure Breakdown'!$T$6:$T$558,EOMONTH(O$2,0),'Expenditure Breakdown'!$U$6:$U$558)</f>
        <v>0</v>
      </c>
      <c r="P6" s="810">
        <f>SUMIFS('Expenditure Breakdown'!$U$6:$U$558,'Expenditure Breakdown'!$T$6:$T$558,"="&amp;O$2,'Expenditure Breakdown'!$S$6:$S$558,"")</f>
        <v>0</v>
      </c>
      <c r="Q6" s="810">
        <f>SUMIF('Expenditure Breakdown'!$T$6:$T$558,EOMONTH(Q$2,0),'Expenditure Breakdown'!$U$6:$U$558)</f>
        <v>0</v>
      </c>
      <c r="R6" s="810">
        <f>SUMIFS('Expenditure Breakdown'!$U$6:$U$558,'Expenditure Breakdown'!$T$6:$T$558,"="&amp;Q$2,'Expenditure Breakdown'!$S$6:$S$558,"")</f>
        <v>0</v>
      </c>
      <c r="S6" s="810">
        <f>SUMIF('Expenditure Breakdown'!$T$6:$T$558,EOMONTH(S$2,0),'Expenditure Breakdown'!$U$6:$U$558)</f>
        <v>0</v>
      </c>
      <c r="T6" s="810">
        <f>SUMIFS('Expenditure Breakdown'!$U$6:$U$558,'Expenditure Breakdown'!$T$6:$T$558,"="&amp;S$2,'Expenditure Breakdown'!$S$6:$S$558,"")</f>
        <v>0</v>
      </c>
      <c r="U6" s="810">
        <f>SUMIF('Expenditure Breakdown'!$T$6:$T$558,EOMONTH(U$2,0),'Expenditure Breakdown'!$U$6:$U$558)</f>
        <v>0</v>
      </c>
      <c r="V6" s="810">
        <f>SUMIFS('Expenditure Breakdown'!$U$6:$U$558,'Expenditure Breakdown'!$T$6:$T$558,"="&amp;U$2,'Expenditure Breakdown'!$S$6:$S$558,"")</f>
        <v>0</v>
      </c>
      <c r="W6" s="810">
        <f>SUMIF('Expenditure Breakdown'!$T$6:$T$558,EOMONTH(W$2,0),'Expenditure Breakdown'!$U$6:$U$558)</f>
        <v>0</v>
      </c>
      <c r="X6" s="810">
        <f>SUMIFS('Expenditure Breakdown'!$U$6:$U$558,'Expenditure Breakdown'!$T$6:$T$558,"="&amp;W$2,'Expenditure Breakdown'!$S$6:$S$558,"")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K16" activePane="bottomRight" state="frozen"/>
      <selection pane="topRight" activeCell="K24" sqref="K24"/>
      <selection pane="bottomLeft" activeCell="K24" sqref="K24"/>
      <selection pane="bottomRight" activeCell="BP11" sqref="BP11"/>
    </sheetView>
  </sheetViews>
  <sheetFormatPr defaultColWidth="9.265625" defaultRowHeight="14.25"/>
  <cols>
    <col min="1" max="1" width="9.265625" customWidth="1"/>
    <col min="2" max="2" width="34.265625" customWidth="1"/>
    <col min="3" max="3" width="18.265625" bestFit="1" customWidth="1"/>
    <col min="4" max="4" width="21" customWidth="1"/>
    <col min="5" max="5" width="4.265625" customWidth="1"/>
    <col min="6" max="6" width="16" bestFit="1" customWidth="1"/>
    <col min="7" max="7" width="20.265625" customWidth="1"/>
    <col min="8" max="316" width="15.3984375" bestFit="1" customWidth="1"/>
    <col min="317" max="317" width="9.265625" style="118"/>
  </cols>
  <sheetData>
    <row r="1" spans="1:794">
      <c r="D1" s="114" t="s">
        <v>772</v>
      </c>
      <c r="E1" s="115"/>
      <c r="F1" s="116">
        <v>45677</v>
      </c>
      <c r="G1" s="117">
        <f>F1+7</f>
        <v>45684</v>
      </c>
      <c r="H1" s="117">
        <f>G1+7</f>
        <v>45691</v>
      </c>
      <c r="I1" s="117">
        <f t="shared" ref="I1:BT1" si="0">H1+7</f>
        <v>45698</v>
      </c>
      <c r="J1" s="117">
        <f t="shared" si="0"/>
        <v>45705</v>
      </c>
      <c r="K1" s="117">
        <f t="shared" si="0"/>
        <v>45712</v>
      </c>
      <c r="L1" s="117">
        <f t="shared" si="0"/>
        <v>45719</v>
      </c>
      <c r="M1" s="117">
        <f t="shared" si="0"/>
        <v>45726</v>
      </c>
      <c r="N1" s="117">
        <f t="shared" si="0"/>
        <v>45733</v>
      </c>
      <c r="O1" s="117">
        <f t="shared" si="0"/>
        <v>45740</v>
      </c>
      <c r="P1" s="117">
        <f t="shared" si="0"/>
        <v>45747</v>
      </c>
      <c r="Q1" s="117">
        <f t="shared" si="0"/>
        <v>45754</v>
      </c>
      <c r="R1" s="117">
        <f t="shared" si="0"/>
        <v>45761</v>
      </c>
      <c r="S1" s="117">
        <f t="shared" si="0"/>
        <v>45768</v>
      </c>
      <c r="T1" s="117">
        <f t="shared" si="0"/>
        <v>45775</v>
      </c>
      <c r="U1" s="117">
        <f t="shared" si="0"/>
        <v>45782</v>
      </c>
      <c r="V1" s="117">
        <f t="shared" si="0"/>
        <v>45789</v>
      </c>
      <c r="W1" s="117">
        <f t="shared" si="0"/>
        <v>45796</v>
      </c>
      <c r="X1" s="117">
        <f t="shared" si="0"/>
        <v>45803</v>
      </c>
      <c r="Y1" s="117">
        <f t="shared" si="0"/>
        <v>45810</v>
      </c>
      <c r="Z1" s="117">
        <f t="shared" si="0"/>
        <v>45817</v>
      </c>
      <c r="AA1" s="117">
        <f t="shared" si="0"/>
        <v>45824</v>
      </c>
      <c r="AB1" s="117">
        <f t="shared" si="0"/>
        <v>45831</v>
      </c>
      <c r="AC1" s="117">
        <f t="shared" si="0"/>
        <v>45838</v>
      </c>
      <c r="AD1" s="117">
        <f t="shared" si="0"/>
        <v>45845</v>
      </c>
      <c r="AE1" s="117">
        <f t="shared" si="0"/>
        <v>45852</v>
      </c>
      <c r="AF1" s="117">
        <f t="shared" si="0"/>
        <v>45859</v>
      </c>
      <c r="AG1" s="117">
        <f t="shared" si="0"/>
        <v>45866</v>
      </c>
      <c r="AH1" s="117">
        <f t="shared" si="0"/>
        <v>45873</v>
      </c>
      <c r="AI1" s="117">
        <f t="shared" si="0"/>
        <v>45880</v>
      </c>
      <c r="AJ1" s="117">
        <f t="shared" si="0"/>
        <v>45887</v>
      </c>
      <c r="AK1" s="117">
        <f t="shared" si="0"/>
        <v>45894</v>
      </c>
      <c r="AL1" s="117">
        <f t="shared" si="0"/>
        <v>45901</v>
      </c>
      <c r="AM1" s="117">
        <f t="shared" si="0"/>
        <v>45908</v>
      </c>
      <c r="AN1" s="117">
        <f t="shared" si="0"/>
        <v>45915</v>
      </c>
      <c r="AO1" s="117">
        <f t="shared" si="0"/>
        <v>45922</v>
      </c>
      <c r="AP1" s="117">
        <f t="shared" si="0"/>
        <v>45929</v>
      </c>
      <c r="AQ1" s="117">
        <f t="shared" si="0"/>
        <v>45936</v>
      </c>
      <c r="AR1" s="117">
        <f t="shared" si="0"/>
        <v>45943</v>
      </c>
      <c r="AS1" s="117">
        <f t="shared" si="0"/>
        <v>45950</v>
      </c>
      <c r="AT1" s="117">
        <f t="shared" si="0"/>
        <v>45957</v>
      </c>
      <c r="AU1" s="117">
        <f t="shared" si="0"/>
        <v>45964</v>
      </c>
      <c r="AV1" s="117">
        <f t="shared" si="0"/>
        <v>45971</v>
      </c>
      <c r="AW1" s="117">
        <f t="shared" si="0"/>
        <v>45978</v>
      </c>
      <c r="AX1" s="117">
        <f t="shared" si="0"/>
        <v>45985</v>
      </c>
      <c r="AY1" s="117">
        <f t="shared" si="0"/>
        <v>45992</v>
      </c>
      <c r="AZ1" s="117">
        <f t="shared" si="0"/>
        <v>45999</v>
      </c>
      <c r="BA1" s="117">
        <f t="shared" si="0"/>
        <v>46006</v>
      </c>
      <c r="BB1" s="117">
        <f t="shared" si="0"/>
        <v>46013</v>
      </c>
      <c r="BC1" s="117">
        <f t="shared" si="0"/>
        <v>46020</v>
      </c>
      <c r="BD1" s="117">
        <f t="shared" si="0"/>
        <v>46027</v>
      </c>
      <c r="BE1" s="117">
        <f t="shared" si="0"/>
        <v>46034</v>
      </c>
      <c r="BF1" s="117">
        <f t="shared" si="0"/>
        <v>46041</v>
      </c>
      <c r="BG1" s="117">
        <f t="shared" si="0"/>
        <v>46048</v>
      </c>
      <c r="BH1" s="117">
        <f t="shared" si="0"/>
        <v>46055</v>
      </c>
      <c r="BI1" s="117">
        <f t="shared" si="0"/>
        <v>46062</v>
      </c>
      <c r="BJ1" s="117">
        <f t="shared" si="0"/>
        <v>46069</v>
      </c>
      <c r="BK1" s="117">
        <f t="shared" si="0"/>
        <v>46076</v>
      </c>
      <c r="BL1" s="117">
        <f t="shared" si="0"/>
        <v>46083</v>
      </c>
      <c r="BM1" s="117">
        <f t="shared" si="0"/>
        <v>46090</v>
      </c>
      <c r="BN1" s="117">
        <f t="shared" si="0"/>
        <v>46097</v>
      </c>
      <c r="BO1" s="117">
        <f t="shared" si="0"/>
        <v>46104</v>
      </c>
      <c r="BP1" s="117">
        <f t="shared" si="0"/>
        <v>46111</v>
      </c>
      <c r="BQ1" s="117">
        <f t="shared" si="0"/>
        <v>46118</v>
      </c>
      <c r="BR1" s="117">
        <f t="shared" si="0"/>
        <v>46125</v>
      </c>
      <c r="BS1" s="117">
        <f t="shared" si="0"/>
        <v>46132</v>
      </c>
      <c r="BT1" s="117">
        <f t="shared" si="0"/>
        <v>46139</v>
      </c>
      <c r="BU1" s="117">
        <f t="shared" ref="BU1:EF1" si="1">BT1+7</f>
        <v>46146</v>
      </c>
      <c r="BV1" s="117">
        <f t="shared" si="1"/>
        <v>46153</v>
      </c>
      <c r="BW1" s="117">
        <f t="shared" si="1"/>
        <v>46160</v>
      </c>
      <c r="BX1" s="117">
        <f t="shared" si="1"/>
        <v>46167</v>
      </c>
      <c r="BY1" s="117">
        <f t="shared" si="1"/>
        <v>46174</v>
      </c>
      <c r="BZ1" s="117">
        <f t="shared" si="1"/>
        <v>46181</v>
      </c>
      <c r="CA1" s="117">
        <f t="shared" si="1"/>
        <v>46188</v>
      </c>
      <c r="CB1" s="117">
        <f t="shared" si="1"/>
        <v>46195</v>
      </c>
      <c r="CC1" s="117">
        <f t="shared" si="1"/>
        <v>46202</v>
      </c>
      <c r="CD1" s="117">
        <f t="shared" si="1"/>
        <v>46209</v>
      </c>
      <c r="CE1" s="117">
        <f t="shared" si="1"/>
        <v>46216</v>
      </c>
      <c r="CF1" s="117">
        <f t="shared" si="1"/>
        <v>46223</v>
      </c>
      <c r="CG1" s="117">
        <f t="shared" si="1"/>
        <v>46230</v>
      </c>
      <c r="CH1" s="117">
        <f t="shared" si="1"/>
        <v>46237</v>
      </c>
      <c r="CI1" s="117">
        <f t="shared" si="1"/>
        <v>46244</v>
      </c>
      <c r="CJ1" s="117">
        <f t="shared" si="1"/>
        <v>46251</v>
      </c>
      <c r="CK1" s="117">
        <f t="shared" si="1"/>
        <v>46258</v>
      </c>
      <c r="CL1" s="117">
        <f t="shared" si="1"/>
        <v>46265</v>
      </c>
      <c r="CM1" s="117">
        <f t="shared" si="1"/>
        <v>46272</v>
      </c>
      <c r="CN1" s="117">
        <f t="shared" si="1"/>
        <v>46279</v>
      </c>
      <c r="CO1" s="117">
        <f t="shared" si="1"/>
        <v>46286</v>
      </c>
      <c r="CP1" s="117">
        <f t="shared" si="1"/>
        <v>46293</v>
      </c>
      <c r="CQ1" s="117">
        <f t="shared" si="1"/>
        <v>46300</v>
      </c>
      <c r="CR1" s="117">
        <f t="shared" si="1"/>
        <v>46307</v>
      </c>
      <c r="CS1" s="117">
        <f t="shared" si="1"/>
        <v>46314</v>
      </c>
      <c r="CT1" s="117">
        <f t="shared" si="1"/>
        <v>46321</v>
      </c>
      <c r="CU1" s="117">
        <f t="shared" si="1"/>
        <v>46328</v>
      </c>
      <c r="CV1" s="117">
        <f t="shared" si="1"/>
        <v>46335</v>
      </c>
      <c r="CW1" s="117">
        <f t="shared" si="1"/>
        <v>46342</v>
      </c>
      <c r="CX1" s="117">
        <f t="shared" si="1"/>
        <v>46349</v>
      </c>
      <c r="CY1" s="117">
        <f t="shared" si="1"/>
        <v>46356</v>
      </c>
      <c r="CZ1" s="117">
        <f t="shared" si="1"/>
        <v>46363</v>
      </c>
      <c r="DA1" s="117">
        <f t="shared" si="1"/>
        <v>46370</v>
      </c>
      <c r="DB1" s="117">
        <f t="shared" si="1"/>
        <v>46377</v>
      </c>
      <c r="DC1" s="117">
        <f t="shared" si="1"/>
        <v>46384</v>
      </c>
      <c r="DD1" s="117">
        <f t="shared" si="1"/>
        <v>46391</v>
      </c>
      <c r="DE1" s="117">
        <f t="shared" si="1"/>
        <v>46398</v>
      </c>
      <c r="DF1" s="117">
        <f t="shared" si="1"/>
        <v>46405</v>
      </c>
      <c r="DG1" s="117">
        <f t="shared" si="1"/>
        <v>46412</v>
      </c>
      <c r="DH1" s="117">
        <f t="shared" si="1"/>
        <v>46419</v>
      </c>
      <c r="DI1" s="117">
        <f t="shared" si="1"/>
        <v>46426</v>
      </c>
      <c r="DJ1" s="117">
        <f t="shared" si="1"/>
        <v>46433</v>
      </c>
      <c r="DK1" s="117">
        <f t="shared" si="1"/>
        <v>46440</v>
      </c>
      <c r="DL1" s="117">
        <f t="shared" si="1"/>
        <v>46447</v>
      </c>
      <c r="DM1" s="117">
        <f t="shared" si="1"/>
        <v>46454</v>
      </c>
      <c r="DN1" s="117">
        <f t="shared" si="1"/>
        <v>46461</v>
      </c>
      <c r="DO1" s="117">
        <f t="shared" si="1"/>
        <v>46468</v>
      </c>
      <c r="DP1" s="117">
        <f t="shared" si="1"/>
        <v>46475</v>
      </c>
      <c r="DQ1" s="117">
        <f t="shared" si="1"/>
        <v>46482</v>
      </c>
      <c r="DR1" s="117">
        <f t="shared" si="1"/>
        <v>46489</v>
      </c>
      <c r="DS1" s="117">
        <f t="shared" si="1"/>
        <v>46496</v>
      </c>
      <c r="DT1" s="117">
        <f t="shared" si="1"/>
        <v>46503</v>
      </c>
      <c r="DU1" s="117">
        <f t="shared" si="1"/>
        <v>46510</v>
      </c>
      <c r="DV1" s="117">
        <f t="shared" si="1"/>
        <v>46517</v>
      </c>
      <c r="DW1" s="117">
        <f t="shared" si="1"/>
        <v>46524</v>
      </c>
      <c r="DX1" s="117">
        <f t="shared" si="1"/>
        <v>46531</v>
      </c>
      <c r="DY1" s="117">
        <f t="shared" si="1"/>
        <v>46538</v>
      </c>
      <c r="DZ1" s="117">
        <f t="shared" si="1"/>
        <v>46545</v>
      </c>
      <c r="EA1" s="117">
        <f t="shared" si="1"/>
        <v>46552</v>
      </c>
      <c r="EB1" s="117">
        <f t="shared" si="1"/>
        <v>46559</v>
      </c>
      <c r="EC1" s="117">
        <f t="shared" si="1"/>
        <v>46566</v>
      </c>
      <c r="ED1" s="117">
        <f t="shared" si="1"/>
        <v>46573</v>
      </c>
      <c r="EE1" s="117">
        <f t="shared" si="1"/>
        <v>46580</v>
      </c>
      <c r="EF1" s="117">
        <f t="shared" si="1"/>
        <v>46587</v>
      </c>
      <c r="EG1" s="117">
        <f t="shared" ref="EG1:GR1" si="2">EF1+7</f>
        <v>46594</v>
      </c>
      <c r="EH1" s="117">
        <f t="shared" si="2"/>
        <v>46601</v>
      </c>
      <c r="EI1" s="117">
        <f t="shared" si="2"/>
        <v>46608</v>
      </c>
      <c r="EJ1" s="117">
        <f t="shared" si="2"/>
        <v>46615</v>
      </c>
      <c r="EK1" s="117">
        <f t="shared" si="2"/>
        <v>46622</v>
      </c>
      <c r="EL1" s="117">
        <f t="shared" si="2"/>
        <v>46629</v>
      </c>
      <c r="EM1" s="117">
        <f t="shared" si="2"/>
        <v>46636</v>
      </c>
      <c r="EN1" s="117">
        <f t="shared" si="2"/>
        <v>46643</v>
      </c>
      <c r="EO1" s="117">
        <f t="shared" si="2"/>
        <v>46650</v>
      </c>
      <c r="EP1" s="117">
        <f t="shared" si="2"/>
        <v>46657</v>
      </c>
      <c r="EQ1" s="117">
        <f t="shared" si="2"/>
        <v>46664</v>
      </c>
      <c r="ER1" s="117">
        <f t="shared" si="2"/>
        <v>46671</v>
      </c>
      <c r="ES1" s="117">
        <f t="shared" si="2"/>
        <v>46678</v>
      </c>
      <c r="ET1" s="117">
        <f t="shared" si="2"/>
        <v>46685</v>
      </c>
      <c r="EU1" s="117">
        <f t="shared" si="2"/>
        <v>46692</v>
      </c>
      <c r="EV1" s="117">
        <f t="shared" si="2"/>
        <v>46699</v>
      </c>
      <c r="EW1" s="117">
        <f t="shared" si="2"/>
        <v>46706</v>
      </c>
      <c r="EX1" s="117">
        <f t="shared" si="2"/>
        <v>46713</v>
      </c>
      <c r="EY1" s="117">
        <f t="shared" si="2"/>
        <v>46720</v>
      </c>
      <c r="EZ1" s="117">
        <f t="shared" si="2"/>
        <v>46727</v>
      </c>
      <c r="FA1" s="117">
        <f t="shared" si="2"/>
        <v>46734</v>
      </c>
      <c r="FB1" s="117">
        <f t="shared" si="2"/>
        <v>46741</v>
      </c>
      <c r="FC1" s="117">
        <f t="shared" si="2"/>
        <v>46748</v>
      </c>
      <c r="FD1" s="117">
        <f t="shared" si="2"/>
        <v>46755</v>
      </c>
      <c r="FE1" s="117">
        <f t="shared" si="2"/>
        <v>46762</v>
      </c>
      <c r="FF1" s="117">
        <f t="shared" si="2"/>
        <v>46769</v>
      </c>
      <c r="FG1" s="117">
        <f t="shared" si="2"/>
        <v>46776</v>
      </c>
      <c r="FH1" s="117">
        <f t="shared" si="2"/>
        <v>46783</v>
      </c>
      <c r="FI1" s="117">
        <f t="shared" si="2"/>
        <v>46790</v>
      </c>
      <c r="FJ1" s="117">
        <f t="shared" si="2"/>
        <v>46797</v>
      </c>
      <c r="FK1" s="117">
        <f t="shared" si="2"/>
        <v>46804</v>
      </c>
      <c r="FL1" s="117">
        <f t="shared" si="2"/>
        <v>46811</v>
      </c>
      <c r="FM1" s="117">
        <f t="shared" si="2"/>
        <v>46818</v>
      </c>
      <c r="FN1" s="117">
        <f t="shared" si="2"/>
        <v>46825</v>
      </c>
      <c r="FO1" s="117">
        <f t="shared" si="2"/>
        <v>46832</v>
      </c>
      <c r="FP1" s="117">
        <f t="shared" si="2"/>
        <v>46839</v>
      </c>
      <c r="FQ1" s="117">
        <f t="shared" si="2"/>
        <v>46846</v>
      </c>
      <c r="FR1" s="117">
        <f t="shared" si="2"/>
        <v>46853</v>
      </c>
      <c r="FS1" s="117">
        <f t="shared" si="2"/>
        <v>46860</v>
      </c>
      <c r="FT1" s="117">
        <f t="shared" si="2"/>
        <v>46867</v>
      </c>
      <c r="FU1" s="117">
        <f t="shared" si="2"/>
        <v>46874</v>
      </c>
      <c r="FV1" s="117">
        <f t="shared" si="2"/>
        <v>46881</v>
      </c>
      <c r="FW1" s="117">
        <f t="shared" si="2"/>
        <v>46888</v>
      </c>
      <c r="FX1" s="117">
        <f t="shared" si="2"/>
        <v>46895</v>
      </c>
      <c r="FY1" s="117">
        <f t="shared" si="2"/>
        <v>46902</v>
      </c>
      <c r="FZ1" s="117">
        <f t="shared" si="2"/>
        <v>46909</v>
      </c>
      <c r="GA1" s="117">
        <f t="shared" si="2"/>
        <v>46916</v>
      </c>
      <c r="GB1" s="117">
        <f t="shared" si="2"/>
        <v>46923</v>
      </c>
      <c r="GC1" s="117">
        <f t="shared" si="2"/>
        <v>46930</v>
      </c>
      <c r="GD1" s="117">
        <f t="shared" si="2"/>
        <v>46937</v>
      </c>
      <c r="GE1" s="117">
        <f t="shared" si="2"/>
        <v>46944</v>
      </c>
      <c r="GF1" s="117">
        <f t="shared" si="2"/>
        <v>46951</v>
      </c>
      <c r="GG1" s="117">
        <f t="shared" si="2"/>
        <v>46958</v>
      </c>
      <c r="GH1" s="117">
        <f t="shared" si="2"/>
        <v>46965</v>
      </c>
      <c r="GI1" s="117">
        <f t="shared" si="2"/>
        <v>46972</v>
      </c>
      <c r="GJ1" s="117">
        <f t="shared" si="2"/>
        <v>46979</v>
      </c>
      <c r="GK1" s="117">
        <f t="shared" si="2"/>
        <v>46986</v>
      </c>
      <c r="GL1" s="117">
        <f t="shared" si="2"/>
        <v>46993</v>
      </c>
      <c r="GM1" s="117">
        <f t="shared" si="2"/>
        <v>47000</v>
      </c>
      <c r="GN1" s="117">
        <f t="shared" si="2"/>
        <v>47007</v>
      </c>
      <c r="GO1" s="117">
        <f t="shared" si="2"/>
        <v>47014</v>
      </c>
      <c r="GP1" s="117">
        <f t="shared" si="2"/>
        <v>47021</v>
      </c>
      <c r="GQ1" s="117">
        <f t="shared" si="2"/>
        <v>47028</v>
      </c>
      <c r="GR1" s="117">
        <f t="shared" si="2"/>
        <v>47035</v>
      </c>
      <c r="GS1" s="117">
        <f t="shared" ref="GS1:JD1" si="3">GR1+7</f>
        <v>47042</v>
      </c>
      <c r="GT1" s="117">
        <f t="shared" si="3"/>
        <v>47049</v>
      </c>
      <c r="GU1" s="117">
        <f t="shared" si="3"/>
        <v>47056</v>
      </c>
      <c r="GV1" s="117">
        <f t="shared" si="3"/>
        <v>47063</v>
      </c>
      <c r="GW1" s="117">
        <f t="shared" si="3"/>
        <v>47070</v>
      </c>
      <c r="GX1" s="117">
        <f t="shared" si="3"/>
        <v>47077</v>
      </c>
      <c r="GY1" s="117">
        <f t="shared" si="3"/>
        <v>47084</v>
      </c>
      <c r="GZ1" s="117">
        <f t="shared" si="3"/>
        <v>47091</v>
      </c>
      <c r="HA1" s="117">
        <f t="shared" si="3"/>
        <v>47098</v>
      </c>
      <c r="HB1" s="117">
        <f t="shared" si="3"/>
        <v>47105</v>
      </c>
      <c r="HC1" s="117">
        <f t="shared" si="3"/>
        <v>47112</v>
      </c>
      <c r="HD1" s="117">
        <f t="shared" si="3"/>
        <v>47119</v>
      </c>
      <c r="HE1" s="117">
        <f t="shared" si="3"/>
        <v>47126</v>
      </c>
      <c r="HF1" s="117">
        <f t="shared" si="3"/>
        <v>47133</v>
      </c>
      <c r="HG1" s="117">
        <f t="shared" si="3"/>
        <v>47140</v>
      </c>
      <c r="HH1" s="117">
        <f t="shared" si="3"/>
        <v>47147</v>
      </c>
      <c r="HI1" s="117">
        <f t="shared" si="3"/>
        <v>47154</v>
      </c>
      <c r="HJ1" s="117">
        <f t="shared" si="3"/>
        <v>47161</v>
      </c>
      <c r="HK1" s="117">
        <f t="shared" si="3"/>
        <v>47168</v>
      </c>
      <c r="HL1" s="117">
        <f t="shared" si="3"/>
        <v>47175</v>
      </c>
      <c r="HM1" s="117">
        <f t="shared" si="3"/>
        <v>47182</v>
      </c>
      <c r="HN1" s="117">
        <f t="shared" si="3"/>
        <v>47189</v>
      </c>
      <c r="HO1" s="117">
        <f t="shared" si="3"/>
        <v>47196</v>
      </c>
      <c r="HP1" s="117">
        <f t="shared" si="3"/>
        <v>47203</v>
      </c>
      <c r="HQ1" s="117">
        <f t="shared" si="3"/>
        <v>47210</v>
      </c>
      <c r="HR1" s="117">
        <f t="shared" si="3"/>
        <v>47217</v>
      </c>
      <c r="HS1" s="117">
        <f t="shared" si="3"/>
        <v>47224</v>
      </c>
      <c r="HT1" s="117">
        <f t="shared" si="3"/>
        <v>47231</v>
      </c>
      <c r="HU1" s="117">
        <f t="shared" si="3"/>
        <v>47238</v>
      </c>
      <c r="HV1" s="117">
        <f t="shared" si="3"/>
        <v>47245</v>
      </c>
      <c r="HW1" s="117">
        <f t="shared" si="3"/>
        <v>47252</v>
      </c>
      <c r="HX1" s="117">
        <f t="shared" si="3"/>
        <v>47259</v>
      </c>
      <c r="HY1" s="117">
        <f t="shared" si="3"/>
        <v>47266</v>
      </c>
      <c r="HZ1" s="117">
        <f t="shared" si="3"/>
        <v>47273</v>
      </c>
      <c r="IA1" s="117">
        <f t="shared" si="3"/>
        <v>47280</v>
      </c>
      <c r="IB1" s="117">
        <f t="shared" si="3"/>
        <v>47287</v>
      </c>
      <c r="IC1" s="117">
        <f t="shared" si="3"/>
        <v>47294</v>
      </c>
      <c r="ID1" s="117">
        <f t="shared" si="3"/>
        <v>47301</v>
      </c>
      <c r="IE1" s="117">
        <f t="shared" si="3"/>
        <v>47308</v>
      </c>
      <c r="IF1" s="117">
        <f t="shared" si="3"/>
        <v>47315</v>
      </c>
      <c r="IG1" s="117">
        <f t="shared" si="3"/>
        <v>47322</v>
      </c>
      <c r="IH1" s="117">
        <f t="shared" si="3"/>
        <v>47329</v>
      </c>
      <c r="II1" s="117">
        <f t="shared" si="3"/>
        <v>47336</v>
      </c>
      <c r="IJ1" s="117">
        <f t="shared" si="3"/>
        <v>47343</v>
      </c>
      <c r="IK1" s="117">
        <f t="shared" si="3"/>
        <v>47350</v>
      </c>
      <c r="IL1" s="117">
        <f t="shared" si="3"/>
        <v>47357</v>
      </c>
      <c r="IM1" s="117">
        <f t="shared" si="3"/>
        <v>47364</v>
      </c>
      <c r="IN1" s="117">
        <f t="shared" si="3"/>
        <v>47371</v>
      </c>
      <c r="IO1" s="117">
        <f t="shared" si="3"/>
        <v>47378</v>
      </c>
      <c r="IP1" s="117">
        <f t="shared" si="3"/>
        <v>47385</v>
      </c>
      <c r="IQ1" s="117">
        <f t="shared" si="3"/>
        <v>47392</v>
      </c>
      <c r="IR1" s="117">
        <f t="shared" si="3"/>
        <v>47399</v>
      </c>
      <c r="IS1" s="117">
        <f t="shared" si="3"/>
        <v>47406</v>
      </c>
      <c r="IT1" s="117">
        <f t="shared" si="3"/>
        <v>47413</v>
      </c>
      <c r="IU1" s="117">
        <f t="shared" si="3"/>
        <v>47420</v>
      </c>
      <c r="IV1" s="117">
        <f t="shared" si="3"/>
        <v>47427</v>
      </c>
      <c r="IW1" s="117">
        <f t="shared" si="3"/>
        <v>47434</v>
      </c>
      <c r="IX1" s="117">
        <f t="shared" si="3"/>
        <v>47441</v>
      </c>
      <c r="IY1" s="117">
        <f t="shared" si="3"/>
        <v>47448</v>
      </c>
      <c r="IZ1" s="117">
        <f t="shared" si="3"/>
        <v>47455</v>
      </c>
      <c r="JA1" s="117">
        <f t="shared" si="3"/>
        <v>47462</v>
      </c>
      <c r="JB1" s="117">
        <f t="shared" si="3"/>
        <v>47469</v>
      </c>
      <c r="JC1" s="117">
        <f t="shared" si="3"/>
        <v>47476</v>
      </c>
      <c r="JD1" s="117">
        <f t="shared" si="3"/>
        <v>47483</v>
      </c>
      <c r="JE1" s="117">
        <f t="shared" ref="JE1:LD1" si="4">JD1+7</f>
        <v>47490</v>
      </c>
      <c r="JF1" s="117">
        <f t="shared" si="4"/>
        <v>47497</v>
      </c>
      <c r="JG1" s="117">
        <f t="shared" si="4"/>
        <v>47504</v>
      </c>
      <c r="JH1" s="117">
        <f t="shared" si="4"/>
        <v>47511</v>
      </c>
      <c r="JI1" s="117">
        <f t="shared" si="4"/>
        <v>47518</v>
      </c>
      <c r="JJ1" s="117">
        <f t="shared" si="4"/>
        <v>47525</v>
      </c>
      <c r="JK1" s="117">
        <f t="shared" si="4"/>
        <v>47532</v>
      </c>
      <c r="JL1" s="117">
        <f t="shared" si="4"/>
        <v>47539</v>
      </c>
      <c r="JM1" s="117">
        <f t="shared" si="4"/>
        <v>47546</v>
      </c>
      <c r="JN1" s="117">
        <f t="shared" si="4"/>
        <v>47553</v>
      </c>
      <c r="JO1" s="117">
        <f t="shared" si="4"/>
        <v>47560</v>
      </c>
      <c r="JP1" s="117">
        <f t="shared" si="4"/>
        <v>47567</v>
      </c>
      <c r="JQ1" s="117">
        <f t="shared" si="4"/>
        <v>47574</v>
      </c>
      <c r="JR1" s="117">
        <f t="shared" si="4"/>
        <v>47581</v>
      </c>
      <c r="JS1" s="117">
        <f t="shared" si="4"/>
        <v>47588</v>
      </c>
      <c r="JT1" s="117">
        <f t="shared" si="4"/>
        <v>47595</v>
      </c>
      <c r="JU1" s="117">
        <f t="shared" si="4"/>
        <v>47602</v>
      </c>
      <c r="JV1" s="117">
        <f t="shared" si="4"/>
        <v>47609</v>
      </c>
      <c r="JW1" s="117">
        <f t="shared" si="4"/>
        <v>47616</v>
      </c>
      <c r="JX1" s="117">
        <f t="shared" si="4"/>
        <v>47623</v>
      </c>
      <c r="JY1" s="117">
        <f t="shared" si="4"/>
        <v>47630</v>
      </c>
      <c r="JZ1" s="117">
        <f t="shared" si="4"/>
        <v>47637</v>
      </c>
      <c r="KA1" s="117">
        <f t="shared" si="4"/>
        <v>47644</v>
      </c>
      <c r="KB1" s="117">
        <f t="shared" si="4"/>
        <v>47651</v>
      </c>
      <c r="KC1" s="117">
        <f t="shared" si="4"/>
        <v>47658</v>
      </c>
      <c r="KD1" s="117">
        <f t="shared" si="4"/>
        <v>47665</v>
      </c>
      <c r="KE1" s="117">
        <f t="shared" si="4"/>
        <v>47672</v>
      </c>
      <c r="KF1" s="117">
        <f t="shared" si="4"/>
        <v>47679</v>
      </c>
      <c r="KG1" s="117">
        <f t="shared" si="4"/>
        <v>47686</v>
      </c>
      <c r="KH1" s="117">
        <f t="shared" si="4"/>
        <v>47693</v>
      </c>
      <c r="KI1" s="117">
        <f t="shared" si="4"/>
        <v>47700</v>
      </c>
      <c r="KJ1" s="117">
        <f t="shared" si="4"/>
        <v>47707</v>
      </c>
      <c r="KK1" s="117">
        <f t="shared" si="4"/>
        <v>47714</v>
      </c>
      <c r="KL1" s="117">
        <f t="shared" si="4"/>
        <v>47721</v>
      </c>
      <c r="KM1" s="117">
        <f t="shared" si="4"/>
        <v>47728</v>
      </c>
      <c r="KN1" s="117">
        <f t="shared" si="4"/>
        <v>47735</v>
      </c>
      <c r="KO1" s="117">
        <f t="shared" si="4"/>
        <v>47742</v>
      </c>
      <c r="KP1" s="117">
        <f t="shared" si="4"/>
        <v>47749</v>
      </c>
      <c r="KQ1" s="117">
        <f t="shared" si="4"/>
        <v>47756</v>
      </c>
      <c r="KR1" s="117">
        <f t="shared" si="4"/>
        <v>47763</v>
      </c>
      <c r="KS1" s="117">
        <f t="shared" si="4"/>
        <v>47770</v>
      </c>
      <c r="KT1" s="117">
        <f t="shared" si="4"/>
        <v>47777</v>
      </c>
      <c r="KU1" s="117">
        <f t="shared" si="4"/>
        <v>47784</v>
      </c>
      <c r="KV1" s="117">
        <f t="shared" si="4"/>
        <v>47791</v>
      </c>
      <c r="KW1" s="117">
        <f t="shared" si="4"/>
        <v>47798</v>
      </c>
      <c r="KX1" s="117">
        <f t="shared" si="4"/>
        <v>47805</v>
      </c>
      <c r="KY1" s="117">
        <f t="shared" si="4"/>
        <v>47812</v>
      </c>
      <c r="KZ1" s="117">
        <f t="shared" si="4"/>
        <v>47819</v>
      </c>
      <c r="LA1" s="117">
        <f t="shared" si="4"/>
        <v>47826</v>
      </c>
      <c r="LB1" s="117">
        <f t="shared" si="4"/>
        <v>47833</v>
      </c>
      <c r="LC1" s="117">
        <f t="shared" si="4"/>
        <v>47840</v>
      </c>
      <c r="LD1" s="117">
        <f t="shared" si="4"/>
        <v>47847</v>
      </c>
    </row>
    <row r="2" spans="1:794" s="118" customFormat="1">
      <c r="A2" s="909" t="s">
        <v>773</v>
      </c>
      <c r="B2" s="119"/>
      <c r="C2" s="120" t="s">
        <v>265</v>
      </c>
      <c r="D2" s="120" t="s">
        <v>265</v>
      </c>
      <c r="E2" s="1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  <c r="CD2" s="121"/>
      <c r="CE2" s="121"/>
      <c r="CF2" s="121"/>
      <c r="CG2" s="121"/>
      <c r="CH2" s="121"/>
      <c r="CI2" s="121"/>
      <c r="CJ2" s="121"/>
      <c r="CK2" s="121"/>
      <c r="CL2" s="121"/>
      <c r="CM2" s="121"/>
      <c r="CN2" s="121"/>
      <c r="CO2" s="121"/>
      <c r="CP2" s="121"/>
      <c r="CQ2" s="121"/>
      <c r="CR2" s="121"/>
      <c r="CS2" s="121"/>
      <c r="CT2" s="121"/>
      <c r="CU2" s="121"/>
      <c r="CV2" s="121"/>
      <c r="CW2" s="121"/>
      <c r="CX2" s="121"/>
      <c r="CY2" s="121"/>
      <c r="CZ2" s="121"/>
      <c r="DA2" s="121"/>
      <c r="DB2" s="121"/>
      <c r="DC2" s="121"/>
      <c r="DD2" s="121"/>
      <c r="DE2" s="121"/>
      <c r="DF2" s="121"/>
      <c r="DG2" s="121"/>
      <c r="DH2" s="121"/>
      <c r="DI2" s="121"/>
      <c r="DJ2" s="121"/>
      <c r="DK2" s="121"/>
      <c r="DL2" s="121"/>
      <c r="DM2" s="121"/>
      <c r="DN2" s="121"/>
      <c r="DO2" s="121"/>
      <c r="DP2" s="121"/>
      <c r="DQ2" s="121"/>
      <c r="DR2" s="121"/>
      <c r="DS2" s="121"/>
      <c r="DT2" s="121"/>
      <c r="DU2" s="121"/>
      <c r="DV2" s="121"/>
      <c r="DW2" s="121"/>
      <c r="DX2" s="121"/>
      <c r="DY2" s="121"/>
      <c r="DZ2" s="121"/>
      <c r="EA2" s="121"/>
      <c r="EB2" s="121"/>
      <c r="EC2" s="121"/>
      <c r="ED2" s="121"/>
      <c r="EE2" s="121"/>
      <c r="EF2" s="121"/>
      <c r="EG2" s="121"/>
      <c r="EH2" s="121"/>
      <c r="EI2" s="121"/>
      <c r="EJ2" s="121"/>
      <c r="EK2" s="121"/>
      <c r="EL2" s="121"/>
      <c r="EM2" s="121"/>
      <c r="EN2" s="121"/>
      <c r="EO2" s="121"/>
      <c r="EP2" s="121"/>
      <c r="EQ2" s="121"/>
      <c r="ER2" s="121"/>
      <c r="ES2" s="121"/>
      <c r="ET2" s="121"/>
      <c r="EU2" s="121"/>
      <c r="EV2" s="121"/>
      <c r="EW2" s="121"/>
      <c r="EX2" s="121"/>
      <c r="EY2" s="121"/>
      <c r="EZ2" s="121"/>
      <c r="FA2" s="121"/>
      <c r="FB2" s="121"/>
      <c r="FC2" s="121"/>
      <c r="FD2" s="121"/>
      <c r="FE2" s="121"/>
      <c r="FF2" s="121"/>
      <c r="FG2" s="121"/>
      <c r="FH2" s="121"/>
      <c r="FI2" s="121"/>
      <c r="FJ2" s="121"/>
      <c r="FK2" s="121"/>
      <c r="FL2" s="121"/>
      <c r="FM2" s="121"/>
      <c r="FN2" s="121"/>
      <c r="FO2" s="121"/>
      <c r="FP2" s="121"/>
      <c r="FQ2" s="121"/>
      <c r="FR2" s="121"/>
      <c r="FS2" s="121"/>
      <c r="FT2" s="121"/>
      <c r="FU2" s="121"/>
      <c r="FV2" s="121"/>
      <c r="FW2" s="121"/>
      <c r="FX2" s="121"/>
      <c r="FY2" s="121"/>
      <c r="FZ2" s="121"/>
      <c r="GA2" s="121"/>
      <c r="GB2" s="121"/>
      <c r="GC2" s="121"/>
      <c r="GD2" s="121"/>
      <c r="GE2" s="121"/>
      <c r="GF2" s="121"/>
      <c r="GG2" s="121"/>
      <c r="GH2" s="121"/>
      <c r="GI2" s="121"/>
      <c r="GJ2" s="121"/>
      <c r="GK2" s="121"/>
      <c r="GL2" s="121"/>
      <c r="GM2" s="121"/>
      <c r="GN2" s="121"/>
      <c r="GO2" s="121"/>
      <c r="GP2" s="121"/>
      <c r="GQ2" s="121"/>
      <c r="GR2" s="121"/>
      <c r="GS2" s="121"/>
      <c r="GT2" s="121"/>
      <c r="GU2" s="121"/>
      <c r="GV2" s="121"/>
      <c r="GW2" s="121"/>
      <c r="GX2" s="121"/>
      <c r="GY2" s="121"/>
      <c r="GZ2" s="121"/>
      <c r="HA2" s="121"/>
      <c r="HB2" s="121"/>
      <c r="HC2" s="121"/>
      <c r="HD2" s="121"/>
      <c r="HE2" s="121"/>
      <c r="HF2" s="121"/>
      <c r="HG2" s="121"/>
      <c r="HH2" s="121"/>
      <c r="HI2" s="121"/>
      <c r="HJ2" s="121"/>
      <c r="HK2" s="121"/>
      <c r="HL2" s="121"/>
      <c r="HM2" s="121"/>
      <c r="HN2" s="121"/>
      <c r="HO2" s="121"/>
      <c r="HP2" s="121"/>
      <c r="HQ2" s="121"/>
      <c r="HR2" s="121"/>
      <c r="HS2" s="121"/>
      <c r="HT2" s="121"/>
      <c r="HU2" s="121"/>
      <c r="HV2" s="121"/>
      <c r="HW2" s="121"/>
      <c r="HX2" s="121"/>
      <c r="HY2" s="121"/>
      <c r="HZ2" s="121"/>
      <c r="IA2" s="121"/>
      <c r="IB2" s="121"/>
      <c r="IC2" s="121"/>
      <c r="ID2" s="121"/>
      <c r="IE2" s="121"/>
      <c r="IF2" s="121"/>
      <c r="IG2" s="121"/>
      <c r="IH2" s="121"/>
      <c r="II2" s="121"/>
      <c r="IJ2" s="121"/>
      <c r="IK2" s="121"/>
      <c r="IL2" s="121"/>
      <c r="IM2" s="121"/>
      <c r="IN2" s="121"/>
      <c r="IO2" s="121"/>
      <c r="IP2" s="121"/>
      <c r="IQ2" s="121"/>
      <c r="IR2" s="121"/>
      <c r="IS2" s="121"/>
      <c r="IT2" s="121"/>
      <c r="IU2" s="121"/>
      <c r="IV2" s="121"/>
      <c r="IW2" s="121"/>
      <c r="IX2" s="121"/>
      <c r="IY2" s="121"/>
      <c r="IZ2" s="121"/>
      <c r="JA2" s="121"/>
      <c r="JB2" s="121"/>
      <c r="JC2" s="121"/>
      <c r="JD2" s="121"/>
      <c r="JE2" s="121"/>
      <c r="JF2" s="121"/>
      <c r="JG2" s="121"/>
      <c r="JH2" s="121"/>
      <c r="JI2" s="121"/>
      <c r="JJ2" s="121"/>
      <c r="JK2" s="121"/>
      <c r="JL2" s="121"/>
      <c r="JM2" s="121"/>
      <c r="JN2" s="121"/>
      <c r="JO2" s="121"/>
      <c r="JP2" s="121"/>
      <c r="JQ2" s="121"/>
      <c r="JR2" s="121"/>
      <c r="JS2" s="121"/>
      <c r="JT2" s="121"/>
      <c r="JU2" s="121"/>
      <c r="JV2" s="121"/>
      <c r="JW2" s="121"/>
      <c r="JX2" s="121"/>
      <c r="JY2" s="121"/>
      <c r="JZ2" s="121"/>
      <c r="KA2" s="121"/>
      <c r="KB2" s="121"/>
      <c r="KC2" s="121"/>
      <c r="KD2" s="121"/>
      <c r="KE2" s="121"/>
      <c r="KF2" s="121"/>
      <c r="KG2" s="121"/>
      <c r="KH2" s="121"/>
      <c r="KI2" s="121"/>
      <c r="KJ2" s="121"/>
      <c r="KK2" s="121"/>
      <c r="KL2" s="121"/>
      <c r="KM2" s="121"/>
      <c r="KN2" s="121"/>
      <c r="KO2" s="121"/>
      <c r="KP2" s="121"/>
      <c r="KQ2" s="121"/>
      <c r="KR2" s="121"/>
      <c r="KS2" s="121"/>
      <c r="KT2" s="121"/>
      <c r="KU2" s="121"/>
      <c r="KV2" s="121"/>
      <c r="KW2" s="121"/>
      <c r="KX2" s="121"/>
      <c r="KY2" s="121"/>
      <c r="KZ2" s="121"/>
      <c r="LA2" s="121"/>
      <c r="LB2" s="121"/>
      <c r="LC2" s="121"/>
      <c r="LD2" s="12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10"/>
      <c r="B3" s="122" t="s">
        <v>14</v>
      </c>
      <c r="C3" s="123">
        <f>'Revenue Tracking'!D4</f>
        <v>59995000</v>
      </c>
      <c r="D3" s="123">
        <f>SUM(F3:LD3)</f>
        <v>59995000</v>
      </c>
      <c r="E3" s="124"/>
      <c r="F3" s="125">
        <f>SUMIFS('Revenue Tracking'!$F$13:$F$21, 'Revenue Tracking'!$H$13:$H$21, "&gt;="&amp;F1,'Revenue Tracking'!$H$13:$H$21, "&lt;"&amp;G1)</f>
        <v>0</v>
      </c>
      <c r="G3" s="125">
        <f>SUMIFS('Revenue Tracking'!$F$13:$F$21, 'Revenue Tracking'!$H$13:$H$21, "&gt;="&amp;G1,'Revenue Tracking'!$H$13:$H$21, "&lt;"&amp;H1)</f>
        <v>0</v>
      </c>
      <c r="H3" s="125">
        <f>SUMIFS('Revenue Tracking'!$F$13:$F$21, 'Revenue Tracking'!$H$13:$H$21, "&gt;="&amp;H1,'Revenue Tracking'!$H$13:$H$21, "&lt;"&amp;I1)</f>
        <v>0</v>
      </c>
      <c r="I3" s="125">
        <f>SUMIFS('Revenue Tracking'!$F$13:$F$21, 'Revenue Tracking'!$H$13:$H$21, "&gt;="&amp;I1,'Revenue Tracking'!$H$13:$H$21, "&lt;"&amp;J1)</f>
        <v>0</v>
      </c>
      <c r="J3" s="125">
        <f>SUMIFS('Revenue Tracking'!$F$13:$F$21, 'Revenue Tracking'!$H$13:$H$21, "&gt;="&amp;J1,'Revenue Tracking'!$H$13:$H$21, "&lt;"&amp;K1)</f>
        <v>0</v>
      </c>
      <c r="K3" s="125">
        <f>SUMIFS('Revenue Tracking'!$F$13:$F$21, 'Revenue Tracking'!$H$13:$H$21, "&gt;="&amp;K1,'Revenue Tracking'!$H$13:$H$21, "&lt;"&amp;L1)</f>
        <v>0</v>
      </c>
      <c r="L3" s="125">
        <f>SUMIFS('Revenue Tracking'!$F$13:$F$21, 'Revenue Tracking'!$H$13:$H$21, "&gt;="&amp;L1,'Revenue Tracking'!$H$13:$H$21, "&lt;"&amp;M1)</f>
        <v>0</v>
      </c>
      <c r="M3" s="125">
        <f>SUMIFS('Revenue Tracking'!$F$13:$F$21, 'Revenue Tracking'!$H$13:$H$21, "&gt;="&amp;M1,'Revenue Tracking'!$H$13:$H$21, "&lt;"&amp;N1)</f>
        <v>0</v>
      </c>
      <c r="N3" s="125">
        <f>SUMIFS('Revenue Tracking'!$F$13:$F$21, 'Revenue Tracking'!$H$13:$H$21, "&gt;="&amp;N1,'Revenue Tracking'!$H$13:$H$21, "&lt;"&amp;O1)</f>
        <v>0</v>
      </c>
      <c r="O3" s="125">
        <f>SUMIFS('Revenue Tracking'!$F$13:$F$21, 'Revenue Tracking'!$H$13:$H$21, "&gt;="&amp;O1,'Revenue Tracking'!$H$13:$H$21, "&lt;"&amp;P1)</f>
        <v>0</v>
      </c>
      <c r="P3" s="125">
        <f>SUMIFS('Revenue Tracking'!$F$13:$F$21, 'Revenue Tracking'!$H$13:$H$21, "&gt;="&amp;P1,'Revenue Tracking'!$H$13:$H$21, "&lt;"&amp;Q1)</f>
        <v>0</v>
      </c>
      <c r="Q3" s="125">
        <f>SUMIFS('Revenue Tracking'!$F$13:$F$21, 'Revenue Tracking'!$H$13:$H$21, "&gt;="&amp;Q1,'Revenue Tracking'!$H$13:$H$21, "&lt;"&amp;R1)</f>
        <v>0</v>
      </c>
      <c r="R3" s="125">
        <f>SUMIFS('Revenue Tracking'!$F$13:$F$21, 'Revenue Tracking'!$H$13:$H$21, "&gt;="&amp;R1,'Revenue Tracking'!$H$13:$H$21, "&lt;"&amp;S1)</f>
        <v>0</v>
      </c>
      <c r="S3" s="125">
        <f>SUMIFS('Revenue Tracking'!$F$13:$F$21, 'Revenue Tracking'!$H$13:$H$21, "&gt;="&amp;S1,'Revenue Tracking'!$H$13:$H$21, "&lt;"&amp;T1)</f>
        <v>0</v>
      </c>
      <c r="T3" s="125">
        <f>SUMIFS('Revenue Tracking'!$F$13:$F$21, 'Revenue Tracking'!$H$13:$H$21, "&gt;="&amp;T1,'Revenue Tracking'!$H$13:$H$21, "&lt;"&amp;U1)</f>
        <v>0</v>
      </c>
      <c r="U3" s="125">
        <f>SUMIFS('Revenue Tracking'!$F$13:$F$21, 'Revenue Tracking'!$H$13:$H$21, "&gt;="&amp;U1,'Revenue Tracking'!$H$13:$H$21, "&lt;"&amp;V1)</f>
        <v>0</v>
      </c>
      <c r="V3" s="125">
        <f>SUMIFS('Revenue Tracking'!$F$13:$F$21, 'Revenue Tracking'!$H$13:$H$21, "&gt;="&amp;V1,'Revenue Tracking'!$H$13:$H$21, "&lt;"&amp;W1)</f>
        <v>0</v>
      </c>
      <c r="W3" s="125">
        <f>SUMIFS('Revenue Tracking'!$F$13:$F$21, 'Revenue Tracking'!$H$13:$H$21, "&gt;="&amp;W1,'Revenue Tracking'!$H$13:$H$21, "&lt;"&amp;X1)</f>
        <v>0</v>
      </c>
      <c r="X3" s="125">
        <f>SUMIFS('Revenue Tracking'!$F$13:$F$21, 'Revenue Tracking'!$H$13:$H$21, "&gt;="&amp;X1,'Revenue Tracking'!$H$13:$H$21, "&lt;"&amp;Y1)</f>
        <v>15000000</v>
      </c>
      <c r="Y3" s="125">
        <f>SUMIFS('Revenue Tracking'!$F$13:$F$21, 'Revenue Tracking'!$H$13:$H$21, "&gt;="&amp;Y1,'Revenue Tracking'!$H$13:$H$21, "&lt;"&amp;Z1)</f>
        <v>0</v>
      </c>
      <c r="Z3" s="125">
        <f>SUMIFS('Revenue Tracking'!$F$13:$F$21, 'Revenue Tracking'!$H$13:$H$21, "&gt;="&amp;Z1,'Revenue Tracking'!$H$13:$H$21, "&lt;"&amp;AA1)</f>
        <v>0</v>
      </c>
      <c r="AA3" s="125">
        <f>SUMIFS('Revenue Tracking'!$F$13:$F$21, 'Revenue Tracking'!$H$13:$H$21, "&gt;="&amp;AA1,'Revenue Tracking'!$H$13:$H$21, "&lt;"&amp;AB1)</f>
        <v>0</v>
      </c>
      <c r="AB3" s="125">
        <f>SUMIFS('Revenue Tracking'!$F$13:$F$21, 'Revenue Tracking'!$H$13:$H$21, "&gt;="&amp;AB1,'Revenue Tracking'!$H$13:$H$21, "&lt;"&amp;AC1)</f>
        <v>0</v>
      </c>
      <c r="AC3" s="125">
        <f>SUMIFS('Revenue Tracking'!$F$13:$F$21, 'Revenue Tracking'!$H$13:$H$21, "&gt;="&amp;AC1,'Revenue Tracking'!$H$13:$H$21, "&lt;"&amp;AD1)</f>
        <v>0</v>
      </c>
      <c r="AD3" s="125">
        <f>SUMIFS('Revenue Tracking'!$F$13:$F$21, 'Revenue Tracking'!$H$13:$H$21, "&gt;="&amp;AD1,'Revenue Tracking'!$H$13:$H$21, "&lt;"&amp;AE1)</f>
        <v>0</v>
      </c>
      <c r="AE3" s="125">
        <f>SUMIFS('Revenue Tracking'!$F$13:$F$21, 'Revenue Tracking'!$H$13:$H$21, "&gt;="&amp;AE1,'Revenue Tracking'!$H$13:$H$21, "&lt;"&amp;AF1)</f>
        <v>0</v>
      </c>
      <c r="AF3" s="125">
        <f>SUMIFS('Revenue Tracking'!$F$13:$F$21, 'Revenue Tracking'!$H$13:$H$21, "&gt;="&amp;AF1,'Revenue Tracking'!$H$13:$H$21, "&lt;"&amp;AG1)</f>
        <v>17998500</v>
      </c>
      <c r="AG3" s="125">
        <f>SUMIFS('Revenue Tracking'!$F$13:$F$21, 'Revenue Tracking'!$H$13:$H$21, "&gt;="&amp;AG1,'Revenue Tracking'!$H$13:$H$21, "&lt;"&amp;AH1)</f>
        <v>0</v>
      </c>
      <c r="AH3" s="125">
        <f>SUMIFS('Revenue Tracking'!$F$13:$F$21, 'Revenue Tracking'!$H$13:$H$21, "&gt;="&amp;AH1,'Revenue Tracking'!$H$13:$H$21, "&lt;"&amp;AI1)</f>
        <v>0</v>
      </c>
      <c r="AI3" s="125">
        <f>SUMIFS('Revenue Tracking'!$F$13:$F$21, 'Revenue Tracking'!$H$13:$H$21, "&gt;="&amp;AI1,'Revenue Tracking'!$H$13:$H$21, "&lt;"&amp;AJ1)</f>
        <v>0</v>
      </c>
      <c r="AJ3" s="125">
        <f>SUMIFS('Revenue Tracking'!$F$13:$F$21, 'Revenue Tracking'!$H$13:$H$21, "&gt;="&amp;AJ1,'Revenue Tracking'!$H$13:$H$21, "&lt;"&amp;AK1)</f>
        <v>0</v>
      </c>
      <c r="AK3" s="125">
        <f>SUMIFS('Revenue Tracking'!$F$13:$F$21, 'Revenue Tracking'!$H$13:$H$21, "&gt;="&amp;AK1,'Revenue Tracking'!$H$13:$H$21, "&lt;"&amp;AL1)</f>
        <v>8998000</v>
      </c>
      <c r="AL3" s="125">
        <f>SUMIFS('Revenue Tracking'!$F$13:$F$21, 'Revenue Tracking'!$H$13:$H$21, "&gt;="&amp;AL1,'Revenue Tracking'!$H$13:$H$21, "&lt;"&amp;AM1)</f>
        <v>0</v>
      </c>
      <c r="AM3" s="125">
        <f>SUMIFS('Revenue Tracking'!$F$13:$F$21, 'Revenue Tracking'!$H$13:$H$21, "&gt;="&amp;AM1,'Revenue Tracking'!$H$13:$H$21, "&lt;"&amp;AN1)</f>
        <v>0</v>
      </c>
      <c r="AN3" s="125">
        <f>SUMIFS('Revenue Tracking'!$F$13:$F$21, 'Revenue Tracking'!$H$13:$H$21, "&gt;="&amp;AN1,'Revenue Tracking'!$H$13:$H$21, "&lt;"&amp;AO1)</f>
        <v>0</v>
      </c>
      <c r="AO3" s="125">
        <f>SUMIFS('Revenue Tracking'!$F$13:$F$21, 'Revenue Tracking'!$H$13:$H$21, "&gt;="&amp;AO1,'Revenue Tracking'!$H$13:$H$21, "&lt;"&amp;AP1)</f>
        <v>8999250</v>
      </c>
      <c r="AP3" s="125">
        <f>SUMIFS('Revenue Tracking'!$F$13:$F$21, 'Revenue Tracking'!$H$13:$H$21, "&gt;="&amp;AP1,'Revenue Tracking'!$H$13:$H$21, "&lt;"&amp;AQ1)</f>
        <v>0</v>
      </c>
      <c r="AQ3" s="125">
        <f>SUMIFS('Revenue Tracking'!$F$13:$F$21, 'Revenue Tracking'!$H$13:$H$21, "&gt;="&amp;AQ1,'Revenue Tracking'!$H$13:$H$21, "&lt;"&amp;AR1)</f>
        <v>0</v>
      </c>
      <c r="AR3" s="125">
        <f>SUMIFS('Revenue Tracking'!$F$13:$F$21, 'Revenue Tracking'!$H$13:$H$21, "&gt;="&amp;AR1,'Revenue Tracking'!$H$13:$H$21, "&lt;"&amp;AS1)</f>
        <v>0</v>
      </c>
      <c r="AS3" s="125">
        <f>SUMIFS('Revenue Tracking'!$F$13:$F$21, 'Revenue Tracking'!$H$13:$H$21, "&gt;="&amp;AS1,'Revenue Tracking'!$H$13:$H$21, "&lt;"&amp;AT1)</f>
        <v>0</v>
      </c>
      <c r="AT3" s="125">
        <f>SUMIFS('Revenue Tracking'!$F$13:$F$21, 'Revenue Tracking'!$H$13:$H$21, "&gt;="&amp;AT1,'Revenue Tracking'!$H$13:$H$21, "&lt;"&amp;AU1)</f>
        <v>0</v>
      </c>
      <c r="AU3" s="125">
        <f>SUMIFS('Revenue Tracking'!$F$13:$F$21, 'Revenue Tracking'!$H$13:$H$21, "&gt;="&amp;AU1,'Revenue Tracking'!$H$13:$H$21, "&lt;"&amp;AV1)</f>
        <v>0</v>
      </c>
      <c r="AV3" s="125">
        <f>SUMIFS('Revenue Tracking'!$F$13:$F$21, 'Revenue Tracking'!$H$13:$H$21, "&gt;="&amp;AV1,'Revenue Tracking'!$H$13:$H$21, "&lt;"&amp;AW1)</f>
        <v>0</v>
      </c>
      <c r="AW3" s="125">
        <f>SUMIFS('Revenue Tracking'!$F$13:$F$21, 'Revenue Tracking'!$H$13:$H$21, "&gt;="&amp;AW1,'Revenue Tracking'!$H$13:$H$21, "&lt;"&amp;AX1)</f>
        <v>5999500</v>
      </c>
      <c r="AX3" s="125">
        <f>SUMIFS('Revenue Tracking'!$F$13:$F$21, 'Revenue Tracking'!$H$13:$H$21, "&gt;="&amp;AX1,'Revenue Tracking'!$H$13:$H$21, "&lt;"&amp;AY1)</f>
        <v>0</v>
      </c>
      <c r="AY3" s="125">
        <f>SUMIFS('Revenue Tracking'!$F$13:$F$21, 'Revenue Tracking'!$H$13:$H$21, "&gt;="&amp;AY1,'Revenue Tracking'!$H$13:$H$21, "&lt;"&amp;AZ1)</f>
        <v>0</v>
      </c>
      <c r="AZ3" s="125">
        <f>SUMIFS('Revenue Tracking'!$F$13:$F$21, 'Revenue Tracking'!$H$13:$H$21, "&gt;="&amp;AZ1,'Revenue Tracking'!$H$13:$H$21, "&lt;"&amp;BA1)</f>
        <v>2999750</v>
      </c>
      <c r="BA3" s="125">
        <f>SUMIFS('Revenue Tracking'!$F$13:$F$21, 'Revenue Tracking'!$H$13:$H$21, "&gt;="&amp;BA1,'Revenue Tracking'!$H$13:$H$21, "&lt;"&amp;BB1)</f>
        <v>0</v>
      </c>
      <c r="BB3" s="125">
        <f>SUMIFS('Revenue Tracking'!$F$13:$F$21, 'Revenue Tracking'!$H$13:$H$21, "&gt;="&amp;BB1,'Revenue Tracking'!$H$13:$H$21, "&lt;"&amp;BC1)</f>
        <v>0</v>
      </c>
      <c r="BC3" s="125">
        <f>SUMIFS('Revenue Tracking'!$F$13:$F$21, 'Revenue Tracking'!$H$13:$H$21, "&gt;="&amp;BC1,'Revenue Tracking'!$H$13:$H$21, "&lt;"&amp;BD1)</f>
        <v>0</v>
      </c>
      <c r="BD3" s="125">
        <f>SUMIFS('Revenue Tracking'!$F$13:$F$21, 'Revenue Tracking'!$H$13:$H$21, "&gt;="&amp;BD1,'Revenue Tracking'!$H$13:$H$21, "&lt;"&amp;BE1)</f>
        <v>0</v>
      </c>
      <c r="BE3" s="125">
        <f>SUMIFS('Revenue Tracking'!$F$13:$F$21, 'Revenue Tracking'!$H$13:$H$21, "&gt;="&amp;BE1,'Revenue Tracking'!$H$13:$H$21, "&lt;"&amp;BF1)</f>
        <v>0</v>
      </c>
      <c r="BF3" s="125">
        <f>SUMIFS('Revenue Tracking'!$F$13:$F$21, 'Revenue Tracking'!$H$13:$H$21, "&gt;="&amp;BF1,'Revenue Tracking'!$H$13:$H$21, "&lt;"&amp;BG1)</f>
        <v>0</v>
      </c>
      <c r="BG3" s="125">
        <f>SUMIFS('Revenue Tracking'!$F$13:$F$21, 'Revenue Tracking'!$H$13:$H$21, "&gt;="&amp;BG1,'Revenue Tracking'!$H$13:$H$21, "&lt;"&amp;BH1)</f>
        <v>0</v>
      </c>
      <c r="BH3" s="125">
        <f>SUMIFS('Revenue Tracking'!$F$13:$F$21, 'Revenue Tracking'!$H$13:$H$21, "&gt;="&amp;BH1,'Revenue Tracking'!$H$13:$H$21, "&lt;"&amp;BI1)</f>
        <v>0</v>
      </c>
      <c r="BI3" s="125">
        <f>SUMIFS('Revenue Tracking'!$F$13:$F$21, 'Revenue Tracking'!$H$13:$H$21, "&gt;="&amp;BI1,'Revenue Tracking'!$H$13:$H$21, "&lt;"&amp;BJ1)</f>
        <v>0</v>
      </c>
      <c r="BJ3" s="125">
        <f>SUMIFS('Revenue Tracking'!$F$13:$F$21, 'Revenue Tracking'!$H$13:$H$21, "&gt;="&amp;BJ1,'Revenue Tracking'!$H$13:$H$21, "&lt;"&amp;BK1)</f>
        <v>0</v>
      </c>
      <c r="BK3" s="125">
        <f>SUMIFS('Revenue Tracking'!$F$13:$F$21, 'Revenue Tracking'!$H$13:$H$21, "&gt;="&amp;BK1,'Revenue Tracking'!$H$13:$H$21, "&lt;"&amp;BL1)</f>
        <v>0</v>
      </c>
      <c r="BL3" s="125">
        <f>SUMIFS('Revenue Tracking'!$F$13:$F$21, 'Revenue Tracking'!$H$13:$H$21, "&gt;="&amp;BL1,'Revenue Tracking'!$H$13:$H$21, "&lt;"&amp;BM1)</f>
        <v>0</v>
      </c>
      <c r="BM3" s="125">
        <f>SUMIFS('Revenue Tracking'!$F$13:$F$21, 'Revenue Tracking'!$H$13:$H$21, "&gt;="&amp;BM1,'Revenue Tracking'!$H$13:$H$21, "&lt;"&amp;BN1)</f>
        <v>0</v>
      </c>
      <c r="BN3" s="125">
        <f>SUMIFS('Revenue Tracking'!$F$13:$F$21, 'Revenue Tracking'!$H$13:$H$21, "&gt;="&amp;BN1,'Revenue Tracking'!$H$13:$H$21, "&lt;"&amp;BO1)</f>
        <v>0</v>
      </c>
      <c r="BO3" s="125">
        <f>SUMIFS('Revenue Tracking'!$F$13:$F$21, 'Revenue Tracking'!$H$13:$H$21, "&gt;="&amp;BO1,'Revenue Tracking'!$H$13:$H$21, "&lt;"&amp;BP1)</f>
        <v>0</v>
      </c>
      <c r="BP3" s="125">
        <f>SUMIFS('Revenue Tracking'!$F$13:$F$21, 'Revenue Tracking'!$H$13:$H$21, "&gt;="&amp;BP1,'Revenue Tracking'!$H$13:$H$21, "&lt;"&amp;BQ1)</f>
        <v>0</v>
      </c>
      <c r="BQ3" s="125">
        <f>SUMIFS('Revenue Tracking'!$F$13:$F$21, 'Revenue Tracking'!$H$13:$H$21, "&gt;="&amp;BQ1,'Revenue Tracking'!$H$13:$H$21, "&lt;"&amp;BR1)</f>
        <v>0</v>
      </c>
      <c r="BR3" s="125">
        <f>SUMIFS('Revenue Tracking'!$F$13:$F$21, 'Revenue Tracking'!$H$13:$H$21, "&gt;="&amp;BR1,'Revenue Tracking'!$H$13:$H$21, "&lt;"&amp;BS1)</f>
        <v>0</v>
      </c>
      <c r="BS3" s="125">
        <f>SUMIFS('Revenue Tracking'!$F$13:$F$21, 'Revenue Tracking'!$H$13:$H$21, "&gt;="&amp;BS1,'Revenue Tracking'!$H$13:$H$21, "&lt;"&amp;BT1)</f>
        <v>0</v>
      </c>
      <c r="BT3" s="125">
        <f>SUMIFS('Revenue Tracking'!$F$13:$F$21, 'Revenue Tracking'!$H$13:$H$21, "&gt;="&amp;BT1,'Revenue Tracking'!$H$13:$H$21, "&lt;"&amp;BU1)</f>
        <v>0</v>
      </c>
      <c r="BU3" s="125">
        <f>SUMIFS('Revenue Tracking'!$F$13:$F$21, 'Revenue Tracking'!$H$13:$H$21, "&gt;="&amp;BU1,'Revenue Tracking'!$H$13:$H$21, "&lt;"&amp;BV1)</f>
        <v>0</v>
      </c>
      <c r="BV3" s="125">
        <f>SUMIFS('Revenue Tracking'!$F$13:$F$21, 'Revenue Tracking'!$H$13:$H$21, "&gt;="&amp;BV1,'Revenue Tracking'!$H$13:$H$21, "&lt;"&amp;BW1)</f>
        <v>0</v>
      </c>
      <c r="BW3" s="125">
        <f>SUMIFS('Revenue Tracking'!$F$13:$F$21, 'Revenue Tracking'!$H$13:$H$21, "&gt;="&amp;BW1,'Revenue Tracking'!$H$13:$H$21, "&lt;"&amp;BX1)</f>
        <v>0</v>
      </c>
      <c r="BX3" s="125">
        <f>SUMIFS('Revenue Tracking'!$F$13:$F$21, 'Revenue Tracking'!$H$13:$H$21, "&gt;="&amp;BX1,'Revenue Tracking'!$H$13:$H$21, "&lt;"&amp;BY1)</f>
        <v>0</v>
      </c>
      <c r="BY3" s="125">
        <f>SUMIFS('Revenue Tracking'!$F$13:$F$21, 'Revenue Tracking'!$H$13:$H$21, "&gt;="&amp;BY1,'Revenue Tracking'!$H$13:$H$21, "&lt;"&amp;BZ1)</f>
        <v>0</v>
      </c>
      <c r="BZ3" s="125">
        <f>SUMIFS('Revenue Tracking'!$F$13:$F$21, 'Revenue Tracking'!$H$13:$H$21, "&gt;="&amp;BZ1,'Revenue Tracking'!$H$13:$H$21, "&lt;"&amp;CA1)</f>
        <v>0</v>
      </c>
      <c r="CA3" s="125">
        <f>SUMIFS('Revenue Tracking'!$F$13:$F$21, 'Revenue Tracking'!$H$13:$H$21, "&gt;="&amp;CA1,'Revenue Tracking'!$H$13:$H$21, "&lt;"&amp;CB1)</f>
        <v>0</v>
      </c>
      <c r="CB3" s="125">
        <f>SUMIFS('Revenue Tracking'!$F$13:$F$21, 'Revenue Tracking'!$H$13:$H$21, "&gt;="&amp;CB1,'Revenue Tracking'!$H$13:$H$21, "&lt;"&amp;CC1)</f>
        <v>0</v>
      </c>
      <c r="CC3" s="125">
        <f>SUMIFS('Revenue Tracking'!$F$13:$F$21, 'Revenue Tracking'!$H$13:$H$21, "&gt;="&amp;CC1,'Revenue Tracking'!$H$13:$H$21, "&lt;"&amp;CD1)</f>
        <v>0</v>
      </c>
      <c r="CD3" s="125">
        <f>SUMIFS('Revenue Tracking'!$F$13:$F$21, 'Revenue Tracking'!$H$13:$H$21, "&gt;="&amp;CD1,'Revenue Tracking'!$H$13:$H$21, "&lt;"&amp;CE1)</f>
        <v>0</v>
      </c>
      <c r="CE3" s="125">
        <f>SUMIFS('Revenue Tracking'!$F$13:$F$21, 'Revenue Tracking'!$H$13:$H$21, "&gt;="&amp;CE1,'Revenue Tracking'!$H$13:$H$21, "&lt;"&amp;CF1)</f>
        <v>0</v>
      </c>
      <c r="CF3" s="125">
        <f>SUMIFS('Revenue Tracking'!$F$13:$F$21, 'Revenue Tracking'!$H$13:$H$21, "&gt;="&amp;CF1,'Revenue Tracking'!$H$13:$H$21, "&lt;"&amp;CG1)</f>
        <v>0</v>
      </c>
      <c r="CG3" s="125">
        <f>SUMIFS('Revenue Tracking'!$F$13:$F$21, 'Revenue Tracking'!$H$13:$H$21, "&gt;="&amp;CG1,'Revenue Tracking'!$H$13:$H$21, "&lt;"&amp;CH1)</f>
        <v>0</v>
      </c>
      <c r="CH3" s="125">
        <f>SUMIFS('Revenue Tracking'!$F$13:$F$21, 'Revenue Tracking'!$H$13:$H$21, "&gt;="&amp;CH1,'Revenue Tracking'!$H$13:$H$21, "&lt;"&amp;CI1)</f>
        <v>0</v>
      </c>
      <c r="CI3" s="125">
        <f>SUMIFS('Revenue Tracking'!$F$13:$F$21, 'Revenue Tracking'!$H$13:$H$21, "&gt;="&amp;CI1,'Revenue Tracking'!$H$13:$H$21, "&lt;"&amp;CJ1)</f>
        <v>0</v>
      </c>
      <c r="CJ3" s="125">
        <f>SUMIFS('Revenue Tracking'!$F$13:$F$21, 'Revenue Tracking'!$H$13:$H$21, "&gt;="&amp;CJ1,'Revenue Tracking'!$H$13:$H$21, "&lt;"&amp;CK1)</f>
        <v>0</v>
      </c>
      <c r="CK3" s="125">
        <f>SUMIFS('Revenue Tracking'!$F$13:$F$21, 'Revenue Tracking'!$H$13:$H$21, "&gt;="&amp;CK1,'Revenue Tracking'!$H$13:$H$21, "&lt;"&amp;CL1)</f>
        <v>0</v>
      </c>
      <c r="CL3" s="125">
        <f>SUMIFS('Revenue Tracking'!$F$13:$F$21, 'Revenue Tracking'!$H$13:$H$21, "&gt;="&amp;CL1,'Revenue Tracking'!$H$13:$H$21, "&lt;"&amp;CM1)</f>
        <v>0</v>
      </c>
      <c r="CM3" s="125">
        <f>SUMIFS('Revenue Tracking'!$F$13:$F$21, 'Revenue Tracking'!$H$13:$H$21, "&gt;="&amp;CM1,'Revenue Tracking'!$H$13:$H$21, "&lt;"&amp;CN1)</f>
        <v>0</v>
      </c>
      <c r="CN3" s="125">
        <f>SUMIFS('Revenue Tracking'!$F$13:$F$21, 'Revenue Tracking'!$H$13:$H$21, "&gt;="&amp;CN1,'Revenue Tracking'!$H$13:$H$21, "&lt;"&amp;CO1)</f>
        <v>0</v>
      </c>
      <c r="CO3" s="125">
        <f>SUMIFS('Revenue Tracking'!$F$13:$F$21, 'Revenue Tracking'!$H$13:$H$21, "&gt;="&amp;CO1,'Revenue Tracking'!$H$13:$H$21, "&lt;"&amp;CP1)</f>
        <v>0</v>
      </c>
      <c r="CP3" s="125">
        <f>SUMIFS('Revenue Tracking'!$F$13:$F$21, 'Revenue Tracking'!$H$13:$H$21, "&gt;="&amp;CP1,'Revenue Tracking'!$H$13:$H$21, "&lt;"&amp;CQ1)</f>
        <v>0</v>
      </c>
      <c r="CQ3" s="125">
        <f>SUMIFS('Revenue Tracking'!$F$13:$F$21, 'Revenue Tracking'!$H$13:$H$21, "&gt;="&amp;CQ1,'Revenue Tracking'!$H$13:$H$21, "&lt;"&amp;CR1)</f>
        <v>0</v>
      </c>
      <c r="CR3" s="125">
        <f>SUMIFS('Revenue Tracking'!$F$13:$F$21, 'Revenue Tracking'!$H$13:$H$21, "&gt;="&amp;CR1,'Revenue Tracking'!$H$13:$H$21, "&lt;"&amp;CS1)</f>
        <v>0</v>
      </c>
      <c r="CS3" s="125">
        <f>SUMIFS('Revenue Tracking'!$F$13:$F$21, 'Revenue Tracking'!$H$13:$H$21, "&gt;="&amp;CS1,'Revenue Tracking'!$H$13:$H$21, "&lt;"&amp;CT1)</f>
        <v>0</v>
      </c>
      <c r="CT3" s="125">
        <f>SUMIFS('Revenue Tracking'!$F$13:$F$21, 'Revenue Tracking'!$H$13:$H$21, "&gt;="&amp;CT1,'Revenue Tracking'!$H$13:$H$21, "&lt;"&amp;CU1)</f>
        <v>0</v>
      </c>
      <c r="CU3" s="125">
        <f>SUMIFS('Revenue Tracking'!$F$13:$F$21, 'Revenue Tracking'!$H$13:$H$21, "&gt;="&amp;CU1,'Revenue Tracking'!$H$13:$H$21, "&lt;"&amp;CV1)</f>
        <v>0</v>
      </c>
      <c r="CV3" s="125">
        <f>SUMIFS('Revenue Tracking'!$F$13:$F$21, 'Revenue Tracking'!$H$13:$H$21, "&gt;="&amp;CV1,'Revenue Tracking'!$H$13:$H$21, "&lt;"&amp;CW1)</f>
        <v>0</v>
      </c>
      <c r="CW3" s="125">
        <f>SUMIFS('Revenue Tracking'!$F$13:$F$21, 'Revenue Tracking'!$H$13:$H$21, "&gt;="&amp;CW1,'Revenue Tracking'!$H$13:$H$21, "&lt;"&amp;CX1)</f>
        <v>0</v>
      </c>
      <c r="CX3" s="125">
        <f>SUMIFS('Revenue Tracking'!$F$13:$F$21, 'Revenue Tracking'!$H$13:$H$21, "&gt;="&amp;CX1,'Revenue Tracking'!$H$13:$H$21, "&lt;"&amp;CY1)</f>
        <v>0</v>
      </c>
      <c r="CY3" s="125">
        <f>SUMIFS('Revenue Tracking'!$F$13:$F$21, 'Revenue Tracking'!$H$13:$H$21, "&gt;="&amp;CY1,'Revenue Tracking'!$H$13:$H$21, "&lt;"&amp;CZ1)</f>
        <v>0</v>
      </c>
      <c r="CZ3" s="125">
        <f>SUMIFS('Revenue Tracking'!$F$13:$F$21, 'Revenue Tracking'!$H$13:$H$21, "&gt;="&amp;CZ1,'Revenue Tracking'!$H$13:$H$21, "&lt;"&amp;DA1)</f>
        <v>0</v>
      </c>
      <c r="DA3" s="125">
        <f>SUMIFS('Revenue Tracking'!$F$13:$F$21, 'Revenue Tracking'!$H$13:$H$21, "&gt;="&amp;DA1,'Revenue Tracking'!$H$13:$H$21, "&lt;"&amp;DB1)</f>
        <v>0</v>
      </c>
      <c r="DB3" s="125">
        <f>SUMIFS('Revenue Tracking'!$F$13:$F$21, 'Revenue Tracking'!$H$13:$H$21, "&gt;="&amp;DB1,'Revenue Tracking'!$H$13:$H$21, "&lt;"&amp;DC1)</f>
        <v>0</v>
      </c>
      <c r="DC3" s="125">
        <f>SUMIFS('Revenue Tracking'!$F$13:$F$21, 'Revenue Tracking'!$H$13:$H$21, "&gt;="&amp;DC1,'Revenue Tracking'!$H$13:$H$21, "&lt;"&amp;DD1)</f>
        <v>0</v>
      </c>
      <c r="DD3" s="125">
        <f>SUMIFS('Revenue Tracking'!$F$13:$F$21, 'Revenue Tracking'!$H$13:$H$21, "&gt;="&amp;DD1,'Revenue Tracking'!$H$13:$H$21, "&lt;"&amp;DE1)</f>
        <v>0</v>
      </c>
      <c r="DE3" s="125">
        <f>SUMIFS('Revenue Tracking'!$F$13:$F$21, 'Revenue Tracking'!$H$13:$H$21, "&gt;="&amp;DE1,'Revenue Tracking'!$H$13:$H$21, "&lt;"&amp;DF1)</f>
        <v>0</v>
      </c>
      <c r="DF3" s="125">
        <f>SUMIFS('Revenue Tracking'!$F$13:$F$21, 'Revenue Tracking'!$H$13:$H$21, "&gt;="&amp;DF1,'Revenue Tracking'!$H$13:$H$21, "&lt;"&amp;DG1)</f>
        <v>0</v>
      </c>
      <c r="DG3" s="125">
        <f>SUMIFS('Revenue Tracking'!$F$13:$F$21, 'Revenue Tracking'!$H$13:$H$21, "&gt;="&amp;DG1,'Revenue Tracking'!$H$13:$H$21, "&lt;"&amp;DH1)</f>
        <v>0</v>
      </c>
      <c r="DH3" s="125">
        <f>SUMIFS('Revenue Tracking'!$F$13:$F$21, 'Revenue Tracking'!$H$13:$H$21, "&gt;="&amp;DH1,'Revenue Tracking'!$H$13:$H$21, "&lt;"&amp;DI1)</f>
        <v>0</v>
      </c>
      <c r="DI3" s="125">
        <f>SUMIFS('Revenue Tracking'!$F$13:$F$21, 'Revenue Tracking'!$H$13:$H$21, "&gt;="&amp;DI1,'Revenue Tracking'!$H$13:$H$21, "&lt;"&amp;DJ1)</f>
        <v>0</v>
      </c>
      <c r="DJ3" s="125">
        <f>SUMIFS('Revenue Tracking'!$F$13:$F$21, 'Revenue Tracking'!$H$13:$H$21, "&gt;="&amp;DJ1,'Revenue Tracking'!$H$13:$H$21, "&lt;"&amp;DK1)</f>
        <v>0</v>
      </c>
      <c r="DK3" s="125">
        <f>SUMIFS('Revenue Tracking'!$F$13:$F$21, 'Revenue Tracking'!$H$13:$H$21, "&gt;="&amp;DK1,'Revenue Tracking'!$H$13:$H$21, "&lt;"&amp;DL1)</f>
        <v>0</v>
      </c>
      <c r="DL3" s="125">
        <f>SUMIFS('Revenue Tracking'!$F$13:$F$21, 'Revenue Tracking'!$H$13:$H$21, "&gt;="&amp;DL1,'Revenue Tracking'!$H$13:$H$21, "&lt;"&amp;DM1)</f>
        <v>0</v>
      </c>
      <c r="DM3" s="125">
        <f>SUMIFS('Revenue Tracking'!$F$13:$F$21, 'Revenue Tracking'!$H$13:$H$21, "&gt;="&amp;DM1,'Revenue Tracking'!$H$13:$H$21, "&lt;"&amp;DN1)</f>
        <v>0</v>
      </c>
      <c r="DN3" s="125">
        <f>SUMIFS('Revenue Tracking'!$F$13:$F$21, 'Revenue Tracking'!$H$13:$H$21, "&gt;="&amp;DN1,'Revenue Tracking'!$H$13:$H$21, "&lt;"&amp;DO1)</f>
        <v>0</v>
      </c>
      <c r="DO3" s="125">
        <f>SUMIFS('Revenue Tracking'!$F$13:$F$21, 'Revenue Tracking'!$H$13:$H$21, "&gt;="&amp;DO1,'Revenue Tracking'!$H$13:$H$21, "&lt;"&amp;DP1)</f>
        <v>0</v>
      </c>
      <c r="DP3" s="125">
        <f>SUMIFS('Revenue Tracking'!$F$13:$F$21, 'Revenue Tracking'!$H$13:$H$21, "&gt;="&amp;DP1,'Revenue Tracking'!$H$13:$H$21, "&lt;"&amp;DQ1)</f>
        <v>0</v>
      </c>
      <c r="DQ3" s="125">
        <f>SUMIFS('Revenue Tracking'!$F$13:$F$21, 'Revenue Tracking'!$H$13:$H$21, "&gt;="&amp;DQ1,'Revenue Tracking'!$H$13:$H$21, "&lt;"&amp;DR1)</f>
        <v>0</v>
      </c>
      <c r="DR3" s="125">
        <f>SUMIFS('Revenue Tracking'!$F$13:$F$21, 'Revenue Tracking'!$H$13:$H$21, "&gt;="&amp;DR1,'Revenue Tracking'!$H$13:$H$21, "&lt;"&amp;DS1)</f>
        <v>0</v>
      </c>
      <c r="DS3" s="125">
        <f>SUMIFS('Revenue Tracking'!$F$13:$F$21, 'Revenue Tracking'!$H$13:$H$21, "&gt;="&amp;DS1,'Revenue Tracking'!$H$13:$H$21, "&lt;"&amp;DT1)</f>
        <v>0</v>
      </c>
      <c r="DT3" s="125">
        <f>SUMIFS('Revenue Tracking'!$F$13:$F$21, 'Revenue Tracking'!$H$13:$H$21, "&gt;="&amp;DT1,'Revenue Tracking'!$H$13:$H$21, "&lt;"&amp;DU1)</f>
        <v>0</v>
      </c>
      <c r="DU3" s="125">
        <f>SUMIFS('Revenue Tracking'!$F$13:$F$21, 'Revenue Tracking'!$H$13:$H$21, "&gt;="&amp;DU1,'Revenue Tracking'!$H$13:$H$21, "&lt;"&amp;DV1)</f>
        <v>0</v>
      </c>
      <c r="DV3" s="125">
        <f>SUMIFS('Revenue Tracking'!$F$13:$F$21, 'Revenue Tracking'!$H$13:$H$21, "&gt;="&amp;DV1,'Revenue Tracking'!$H$13:$H$21, "&lt;"&amp;DW1)</f>
        <v>0</v>
      </c>
      <c r="DW3" s="125">
        <f>SUMIFS('Revenue Tracking'!$F$13:$F$21, 'Revenue Tracking'!$H$13:$H$21, "&gt;="&amp;DW1,'Revenue Tracking'!$H$13:$H$21, "&lt;"&amp;DX1)</f>
        <v>0</v>
      </c>
      <c r="DX3" s="125">
        <f>SUMIFS('Revenue Tracking'!$F$13:$F$21, 'Revenue Tracking'!$H$13:$H$21, "&gt;="&amp;DX1,'Revenue Tracking'!$H$13:$H$21, "&lt;"&amp;DY1)</f>
        <v>0</v>
      </c>
      <c r="DY3" s="125">
        <f>SUMIFS('Revenue Tracking'!$F$13:$F$21, 'Revenue Tracking'!$H$13:$H$21, "&gt;="&amp;DY1,'Revenue Tracking'!$H$13:$H$21, "&lt;"&amp;DZ1)</f>
        <v>0</v>
      </c>
      <c r="DZ3" s="125">
        <f>SUMIFS('Revenue Tracking'!$F$13:$F$21, 'Revenue Tracking'!$H$13:$H$21, "&gt;="&amp;DZ1,'Revenue Tracking'!$H$13:$H$21, "&lt;"&amp;EA1)</f>
        <v>0</v>
      </c>
      <c r="EA3" s="125">
        <f>SUMIFS('Revenue Tracking'!$F$13:$F$21, 'Revenue Tracking'!$H$13:$H$21, "&gt;="&amp;EA1,'Revenue Tracking'!$H$13:$H$21, "&lt;"&amp;EB1)</f>
        <v>0</v>
      </c>
      <c r="EB3" s="125">
        <f>SUMIFS('Revenue Tracking'!$F$13:$F$21, 'Revenue Tracking'!$H$13:$H$21, "&gt;="&amp;EB1,'Revenue Tracking'!$H$13:$H$21, "&lt;"&amp;EC1)</f>
        <v>0</v>
      </c>
      <c r="EC3" s="125">
        <f>SUMIFS('Revenue Tracking'!$F$13:$F$21, 'Revenue Tracking'!$H$13:$H$21, "&gt;="&amp;EC1,'Revenue Tracking'!$H$13:$H$21, "&lt;"&amp;ED1)</f>
        <v>0</v>
      </c>
      <c r="ED3" s="125">
        <f>SUMIFS('Revenue Tracking'!$F$13:$F$21, 'Revenue Tracking'!$H$13:$H$21, "&gt;="&amp;ED1,'Revenue Tracking'!$H$13:$H$21, "&lt;"&amp;EE1)</f>
        <v>0</v>
      </c>
      <c r="EE3" s="125">
        <f>SUMIFS('Revenue Tracking'!$F$13:$F$21, 'Revenue Tracking'!$H$13:$H$21, "&gt;="&amp;EE1,'Revenue Tracking'!$H$13:$H$21, "&lt;"&amp;EF1)</f>
        <v>0</v>
      </c>
      <c r="EF3" s="125">
        <f>SUMIFS('Revenue Tracking'!$F$13:$F$21, 'Revenue Tracking'!$H$13:$H$21, "&gt;="&amp;EF1,'Revenue Tracking'!$H$13:$H$21, "&lt;"&amp;EG1)</f>
        <v>0</v>
      </c>
      <c r="EG3" s="125">
        <f>SUMIFS('Revenue Tracking'!$F$13:$F$21, 'Revenue Tracking'!$H$13:$H$21, "&gt;="&amp;EG1,'Revenue Tracking'!$H$13:$H$21, "&lt;"&amp;EH1)</f>
        <v>0</v>
      </c>
      <c r="EH3" s="125">
        <f>SUMIFS('Revenue Tracking'!$F$13:$F$21, 'Revenue Tracking'!$H$13:$H$21, "&gt;="&amp;EH1,'Revenue Tracking'!$H$13:$H$21, "&lt;"&amp;EI1)</f>
        <v>0</v>
      </c>
      <c r="EI3" s="125">
        <f>SUMIFS('Revenue Tracking'!$F$13:$F$21, 'Revenue Tracking'!$H$13:$H$21, "&gt;="&amp;EI1,'Revenue Tracking'!$H$13:$H$21, "&lt;"&amp;EJ1)</f>
        <v>0</v>
      </c>
      <c r="EJ3" s="125">
        <f>SUMIFS('Revenue Tracking'!$F$13:$F$21, 'Revenue Tracking'!$H$13:$H$21, "&gt;="&amp;EJ1,'Revenue Tracking'!$H$13:$H$21, "&lt;"&amp;EK1)</f>
        <v>0</v>
      </c>
      <c r="EK3" s="125">
        <f>SUMIFS('Revenue Tracking'!$F$13:$F$21, 'Revenue Tracking'!$H$13:$H$21, "&gt;="&amp;EK1,'Revenue Tracking'!$H$13:$H$21, "&lt;"&amp;EL1)</f>
        <v>0</v>
      </c>
      <c r="EL3" s="125">
        <f>SUMIFS('Revenue Tracking'!$F$13:$F$21, 'Revenue Tracking'!$H$13:$H$21, "&gt;="&amp;EL1,'Revenue Tracking'!$H$13:$H$21, "&lt;"&amp;EM1)</f>
        <v>0</v>
      </c>
      <c r="EM3" s="125">
        <f>SUMIFS('Revenue Tracking'!$F$13:$F$21, 'Revenue Tracking'!$H$13:$H$21, "&gt;="&amp;EM1,'Revenue Tracking'!$H$13:$H$21, "&lt;"&amp;EN1)</f>
        <v>0</v>
      </c>
      <c r="EN3" s="125">
        <f>SUMIFS('Revenue Tracking'!$F$13:$F$21, 'Revenue Tracking'!$H$13:$H$21, "&gt;="&amp;EN1,'Revenue Tracking'!$H$13:$H$21, "&lt;"&amp;EO1)</f>
        <v>0</v>
      </c>
      <c r="EO3" s="125">
        <f>SUMIFS('Revenue Tracking'!$F$13:$F$21, 'Revenue Tracking'!$H$13:$H$21, "&gt;="&amp;EO1,'Revenue Tracking'!$H$13:$H$21, "&lt;"&amp;EP1)</f>
        <v>0</v>
      </c>
      <c r="EP3" s="125">
        <f>SUMIFS('Revenue Tracking'!$F$13:$F$21, 'Revenue Tracking'!$H$13:$H$21, "&gt;="&amp;EP1,'Revenue Tracking'!$H$13:$H$21, "&lt;"&amp;EQ1)</f>
        <v>0</v>
      </c>
      <c r="EQ3" s="125">
        <f>SUMIFS('Revenue Tracking'!$F$13:$F$21, 'Revenue Tracking'!$H$13:$H$21, "&gt;="&amp;EQ1,'Revenue Tracking'!$H$13:$H$21, "&lt;"&amp;ER1)</f>
        <v>0</v>
      </c>
      <c r="ER3" s="125">
        <f>SUMIFS('Revenue Tracking'!$F$13:$F$21, 'Revenue Tracking'!$H$13:$H$21, "&gt;="&amp;ER1,'Revenue Tracking'!$H$13:$H$21, "&lt;"&amp;ES1)</f>
        <v>0</v>
      </c>
      <c r="ES3" s="125">
        <f>SUMIFS('Revenue Tracking'!$F$13:$F$21, 'Revenue Tracking'!$H$13:$H$21, "&gt;="&amp;ES1,'Revenue Tracking'!$H$13:$H$21, "&lt;"&amp;ET1)</f>
        <v>0</v>
      </c>
      <c r="ET3" s="125">
        <f>SUMIFS('Revenue Tracking'!$F$13:$F$21, 'Revenue Tracking'!$H$13:$H$21, "&gt;="&amp;ET1,'Revenue Tracking'!$H$13:$H$21, "&lt;"&amp;EU1)</f>
        <v>0</v>
      </c>
      <c r="EU3" s="125">
        <f>SUMIFS('Revenue Tracking'!$F$13:$F$21, 'Revenue Tracking'!$H$13:$H$21, "&gt;="&amp;EU1,'Revenue Tracking'!$H$13:$H$21, "&lt;"&amp;EV1)</f>
        <v>0</v>
      </c>
      <c r="EV3" s="125">
        <f>SUMIFS('Revenue Tracking'!$F$13:$F$21, 'Revenue Tracking'!$H$13:$H$21, "&gt;="&amp;EV1,'Revenue Tracking'!$H$13:$H$21, "&lt;"&amp;EW1)</f>
        <v>0</v>
      </c>
      <c r="EW3" s="125">
        <f>SUMIFS('Revenue Tracking'!$F$13:$F$21, 'Revenue Tracking'!$H$13:$H$21, "&gt;="&amp;EW1,'Revenue Tracking'!$H$13:$H$21, "&lt;"&amp;EX1)</f>
        <v>0</v>
      </c>
      <c r="EX3" s="125">
        <f>SUMIFS('Revenue Tracking'!$F$13:$F$21, 'Revenue Tracking'!$H$13:$H$21, "&gt;="&amp;EX1,'Revenue Tracking'!$H$13:$H$21, "&lt;"&amp;EY1)</f>
        <v>0</v>
      </c>
      <c r="EY3" s="125">
        <f>SUMIFS('Revenue Tracking'!$F$13:$F$21, 'Revenue Tracking'!$H$13:$H$21, "&gt;="&amp;EY1,'Revenue Tracking'!$H$13:$H$21, "&lt;"&amp;EZ1)</f>
        <v>0</v>
      </c>
      <c r="EZ3" s="125">
        <f>SUMIFS('Revenue Tracking'!$F$13:$F$21, 'Revenue Tracking'!$H$13:$H$21, "&gt;="&amp;EZ1,'Revenue Tracking'!$H$13:$H$21, "&lt;"&amp;FA1)</f>
        <v>0</v>
      </c>
      <c r="FA3" s="125">
        <f>SUMIFS('Revenue Tracking'!$F$13:$F$21, 'Revenue Tracking'!$H$13:$H$21, "&gt;="&amp;FA1,'Revenue Tracking'!$H$13:$H$21, "&lt;"&amp;FB1)</f>
        <v>0</v>
      </c>
      <c r="FB3" s="125">
        <f>SUMIFS('Revenue Tracking'!$F$13:$F$21, 'Revenue Tracking'!$H$13:$H$21, "&gt;="&amp;FB1,'Revenue Tracking'!$H$13:$H$21, "&lt;"&amp;FC1)</f>
        <v>0</v>
      </c>
      <c r="FC3" s="125">
        <f>SUMIFS('Revenue Tracking'!$F$13:$F$21, 'Revenue Tracking'!$H$13:$H$21, "&gt;="&amp;FC1,'Revenue Tracking'!$H$13:$H$21, "&lt;"&amp;FD1)</f>
        <v>0</v>
      </c>
      <c r="FD3" s="125">
        <f>SUMIFS('Revenue Tracking'!$F$13:$F$21, 'Revenue Tracking'!$H$13:$H$21, "&gt;="&amp;FD1,'Revenue Tracking'!$H$13:$H$21, "&lt;"&amp;FE1)</f>
        <v>0</v>
      </c>
      <c r="FE3" s="125">
        <f>SUMIFS('Revenue Tracking'!$F$13:$F$21, 'Revenue Tracking'!$H$13:$H$21, "&gt;="&amp;FE1,'Revenue Tracking'!$H$13:$H$21, "&lt;"&amp;FF1)</f>
        <v>0</v>
      </c>
      <c r="FF3" s="125">
        <f>SUMIFS('Revenue Tracking'!$F$13:$F$21, 'Revenue Tracking'!$H$13:$H$21, "&gt;="&amp;FF1,'Revenue Tracking'!$H$13:$H$21, "&lt;"&amp;FG1)</f>
        <v>0</v>
      </c>
      <c r="FG3" s="125">
        <f>SUMIFS('Revenue Tracking'!$F$13:$F$21, 'Revenue Tracking'!$H$13:$H$21, "&gt;="&amp;FG1,'Revenue Tracking'!$H$13:$H$21, "&lt;"&amp;FH1)</f>
        <v>0</v>
      </c>
      <c r="FH3" s="125">
        <f>SUMIFS('Revenue Tracking'!$F$13:$F$21, 'Revenue Tracking'!$H$13:$H$21, "&gt;="&amp;FH1,'Revenue Tracking'!$H$13:$H$21, "&lt;"&amp;FI1)</f>
        <v>0</v>
      </c>
      <c r="FI3" s="125">
        <f>SUMIFS('Revenue Tracking'!$F$13:$F$21, 'Revenue Tracking'!$H$13:$H$21, "&gt;="&amp;FI1,'Revenue Tracking'!$H$13:$H$21, "&lt;"&amp;FJ1)</f>
        <v>0</v>
      </c>
      <c r="FJ3" s="125">
        <f>SUMIFS('Revenue Tracking'!$F$13:$F$21, 'Revenue Tracking'!$H$13:$H$21, "&gt;="&amp;FJ1,'Revenue Tracking'!$H$13:$H$21, "&lt;"&amp;FK1)</f>
        <v>0</v>
      </c>
      <c r="FK3" s="125">
        <f>SUMIFS('Revenue Tracking'!$F$13:$F$21, 'Revenue Tracking'!$H$13:$H$21, "&gt;="&amp;FK1,'Revenue Tracking'!$H$13:$H$21, "&lt;"&amp;FL1)</f>
        <v>0</v>
      </c>
      <c r="FL3" s="125">
        <f>SUMIFS('Revenue Tracking'!$F$13:$F$21, 'Revenue Tracking'!$H$13:$H$21, "&gt;="&amp;FL1,'Revenue Tracking'!$H$13:$H$21, "&lt;"&amp;FM1)</f>
        <v>0</v>
      </c>
      <c r="FM3" s="125">
        <f>SUMIFS('Revenue Tracking'!$F$13:$F$21, 'Revenue Tracking'!$H$13:$H$21, "&gt;="&amp;FM1,'Revenue Tracking'!$H$13:$H$21, "&lt;"&amp;FN1)</f>
        <v>0</v>
      </c>
      <c r="FN3" s="125">
        <f>SUMIFS('Revenue Tracking'!$F$13:$F$21, 'Revenue Tracking'!$H$13:$H$21, "&gt;="&amp;FN1,'Revenue Tracking'!$H$13:$H$21, "&lt;"&amp;FO1)</f>
        <v>0</v>
      </c>
      <c r="FO3" s="125">
        <f>SUMIFS('Revenue Tracking'!$F$13:$F$21, 'Revenue Tracking'!$H$13:$H$21, "&gt;="&amp;FO1,'Revenue Tracking'!$H$13:$H$21, "&lt;"&amp;FP1)</f>
        <v>0</v>
      </c>
      <c r="FP3" s="125">
        <f>SUMIFS('Revenue Tracking'!$F$13:$F$21, 'Revenue Tracking'!$H$13:$H$21, "&gt;="&amp;FP1,'Revenue Tracking'!$H$13:$H$21, "&lt;"&amp;FQ1)</f>
        <v>0</v>
      </c>
      <c r="FQ3" s="125">
        <f>SUMIFS('Revenue Tracking'!$F$13:$F$21, 'Revenue Tracking'!$H$13:$H$21, "&gt;="&amp;FQ1,'Revenue Tracking'!$H$13:$H$21, "&lt;"&amp;FR1)</f>
        <v>0</v>
      </c>
      <c r="FR3" s="125">
        <f>SUMIFS('Revenue Tracking'!$F$13:$F$21, 'Revenue Tracking'!$H$13:$H$21, "&gt;="&amp;FR1,'Revenue Tracking'!$H$13:$H$21, "&lt;"&amp;FS1)</f>
        <v>0</v>
      </c>
      <c r="FS3" s="125">
        <f>SUMIFS('Revenue Tracking'!$F$13:$F$21, 'Revenue Tracking'!$H$13:$H$21, "&gt;="&amp;FS1,'Revenue Tracking'!$H$13:$H$21, "&lt;"&amp;FT1)</f>
        <v>0</v>
      </c>
      <c r="FT3" s="125">
        <f>SUMIFS('Revenue Tracking'!$F$13:$F$21, 'Revenue Tracking'!$H$13:$H$21, "&gt;="&amp;FT1,'Revenue Tracking'!$H$13:$H$21, "&lt;"&amp;FU1)</f>
        <v>0</v>
      </c>
      <c r="FU3" s="125">
        <f>SUMIFS('Revenue Tracking'!$F$13:$F$21, 'Revenue Tracking'!$H$13:$H$21, "&gt;="&amp;FU1,'Revenue Tracking'!$H$13:$H$21, "&lt;"&amp;FV1)</f>
        <v>0</v>
      </c>
      <c r="FV3" s="125">
        <f>SUMIFS('Revenue Tracking'!$F$13:$F$21, 'Revenue Tracking'!$H$13:$H$21, "&gt;="&amp;FV1,'Revenue Tracking'!$H$13:$H$21, "&lt;"&amp;FW1)</f>
        <v>0</v>
      </c>
      <c r="FW3" s="125">
        <f>SUMIFS('Revenue Tracking'!$F$13:$F$21, 'Revenue Tracking'!$H$13:$H$21, "&gt;="&amp;FW1,'Revenue Tracking'!$H$13:$H$21, "&lt;"&amp;FX1)</f>
        <v>0</v>
      </c>
      <c r="FX3" s="125">
        <f>SUMIFS('Revenue Tracking'!$F$13:$F$21, 'Revenue Tracking'!$H$13:$H$21, "&gt;="&amp;FX1,'Revenue Tracking'!$H$13:$H$21, "&lt;"&amp;FY1)</f>
        <v>0</v>
      </c>
      <c r="FY3" s="125">
        <f>SUMIFS('Revenue Tracking'!$F$13:$F$21, 'Revenue Tracking'!$H$13:$H$21, "&gt;="&amp;FY1,'Revenue Tracking'!$H$13:$H$21, "&lt;"&amp;FZ1)</f>
        <v>0</v>
      </c>
      <c r="FZ3" s="125">
        <f>SUMIFS('Revenue Tracking'!$F$13:$F$21, 'Revenue Tracking'!$H$13:$H$21, "&gt;="&amp;FZ1,'Revenue Tracking'!$H$13:$H$21, "&lt;"&amp;GA1)</f>
        <v>0</v>
      </c>
      <c r="GA3" s="125">
        <f>SUMIFS('Revenue Tracking'!$F$13:$F$21, 'Revenue Tracking'!$H$13:$H$21, "&gt;="&amp;GA1,'Revenue Tracking'!$H$13:$H$21, "&lt;"&amp;GB1)</f>
        <v>0</v>
      </c>
      <c r="GB3" s="125">
        <f>SUMIFS('Revenue Tracking'!$F$13:$F$21, 'Revenue Tracking'!$H$13:$H$21, "&gt;="&amp;GB1,'Revenue Tracking'!$H$13:$H$21, "&lt;"&amp;GC1)</f>
        <v>0</v>
      </c>
      <c r="GC3" s="125">
        <f>SUMIFS('Revenue Tracking'!$F$13:$F$21, 'Revenue Tracking'!$H$13:$H$21, "&gt;="&amp;GC1,'Revenue Tracking'!$H$13:$H$21, "&lt;"&amp;GD1)</f>
        <v>0</v>
      </c>
      <c r="GD3" s="125">
        <f>SUMIFS('Revenue Tracking'!$F$13:$F$21, 'Revenue Tracking'!$H$13:$H$21, "&gt;="&amp;GD1,'Revenue Tracking'!$H$13:$H$21, "&lt;"&amp;GE1)</f>
        <v>0</v>
      </c>
      <c r="GE3" s="125">
        <f>SUMIFS('Revenue Tracking'!$F$13:$F$21, 'Revenue Tracking'!$H$13:$H$21, "&gt;="&amp;GE1,'Revenue Tracking'!$H$13:$H$21, "&lt;"&amp;GF1)</f>
        <v>0</v>
      </c>
      <c r="GF3" s="125">
        <f>SUMIFS('Revenue Tracking'!$F$13:$F$21, 'Revenue Tracking'!$H$13:$H$21, "&gt;="&amp;GF1,'Revenue Tracking'!$H$13:$H$21, "&lt;"&amp;GG1)</f>
        <v>0</v>
      </c>
      <c r="GG3" s="125">
        <f>SUMIFS('Revenue Tracking'!$F$13:$F$21, 'Revenue Tracking'!$H$13:$H$21, "&gt;="&amp;GG1,'Revenue Tracking'!$H$13:$H$21, "&lt;"&amp;GH1)</f>
        <v>0</v>
      </c>
      <c r="GH3" s="125">
        <f>SUMIFS('Revenue Tracking'!$F$13:$F$21, 'Revenue Tracking'!$H$13:$H$21, "&gt;="&amp;GH1,'Revenue Tracking'!$H$13:$H$21, "&lt;"&amp;GI1)</f>
        <v>0</v>
      </c>
      <c r="GI3" s="125">
        <f>SUMIFS('Revenue Tracking'!$F$13:$F$21, 'Revenue Tracking'!$H$13:$H$21, "&gt;="&amp;GI1,'Revenue Tracking'!$H$13:$H$21, "&lt;"&amp;GJ1)</f>
        <v>0</v>
      </c>
      <c r="GJ3" s="125">
        <f>SUMIFS('Revenue Tracking'!$F$13:$F$21, 'Revenue Tracking'!$H$13:$H$21, "&gt;="&amp;GJ1,'Revenue Tracking'!$H$13:$H$21, "&lt;"&amp;GK1)</f>
        <v>0</v>
      </c>
      <c r="GK3" s="125">
        <f>SUMIFS('Revenue Tracking'!$F$13:$F$21, 'Revenue Tracking'!$H$13:$H$21, "&gt;="&amp;GK1,'Revenue Tracking'!$H$13:$H$21, "&lt;"&amp;GL1)</f>
        <v>0</v>
      </c>
      <c r="GL3" s="125">
        <f>SUMIFS('Revenue Tracking'!$F$13:$F$21, 'Revenue Tracking'!$H$13:$H$21, "&gt;="&amp;GL1,'Revenue Tracking'!$H$13:$H$21, "&lt;"&amp;GM1)</f>
        <v>0</v>
      </c>
      <c r="GM3" s="125">
        <f>SUMIFS('Revenue Tracking'!$F$13:$F$21, 'Revenue Tracking'!$H$13:$H$21, "&gt;="&amp;GM1,'Revenue Tracking'!$H$13:$H$21, "&lt;"&amp;GN1)</f>
        <v>0</v>
      </c>
      <c r="GN3" s="125">
        <f>SUMIFS('Revenue Tracking'!$F$13:$F$21, 'Revenue Tracking'!$H$13:$H$21, "&gt;="&amp;GN1,'Revenue Tracking'!$H$13:$H$21, "&lt;"&amp;GO1)</f>
        <v>0</v>
      </c>
      <c r="GO3" s="125">
        <f>SUMIFS('Revenue Tracking'!$F$13:$F$21, 'Revenue Tracking'!$H$13:$H$21, "&gt;="&amp;GO1,'Revenue Tracking'!$H$13:$H$21, "&lt;"&amp;GP1)</f>
        <v>0</v>
      </c>
      <c r="GP3" s="125">
        <f>SUMIFS('Revenue Tracking'!$F$13:$F$21, 'Revenue Tracking'!$H$13:$H$21, "&gt;="&amp;GP1,'Revenue Tracking'!$H$13:$H$21, "&lt;"&amp;GQ1)</f>
        <v>0</v>
      </c>
      <c r="GQ3" s="125">
        <f>SUMIFS('Revenue Tracking'!$F$13:$F$21, 'Revenue Tracking'!$H$13:$H$21, "&gt;="&amp;GQ1,'Revenue Tracking'!$H$13:$H$21, "&lt;"&amp;GR1)</f>
        <v>0</v>
      </c>
      <c r="GR3" s="125">
        <f>SUMIFS('Revenue Tracking'!$F$13:$F$21, 'Revenue Tracking'!$H$13:$H$21, "&gt;="&amp;GR1,'Revenue Tracking'!$H$13:$H$21, "&lt;"&amp;GS1)</f>
        <v>0</v>
      </c>
      <c r="GS3" s="125">
        <f>SUMIFS('Revenue Tracking'!$F$13:$F$21, 'Revenue Tracking'!$H$13:$H$21, "&gt;="&amp;GS1,'Revenue Tracking'!$H$13:$H$21, "&lt;"&amp;GT1)</f>
        <v>0</v>
      </c>
      <c r="GT3" s="125">
        <f>SUMIFS('Revenue Tracking'!$F$13:$F$21, 'Revenue Tracking'!$H$13:$H$21, "&gt;="&amp;GT1,'Revenue Tracking'!$H$13:$H$21, "&lt;"&amp;GU1)</f>
        <v>0</v>
      </c>
      <c r="GU3" s="125">
        <f>SUMIFS('Revenue Tracking'!$F$13:$F$21, 'Revenue Tracking'!$H$13:$H$21, "&gt;="&amp;GU1,'Revenue Tracking'!$H$13:$H$21, "&lt;"&amp;GV1)</f>
        <v>0</v>
      </c>
      <c r="GV3" s="125">
        <f>SUMIFS('Revenue Tracking'!$F$13:$F$21, 'Revenue Tracking'!$H$13:$H$21, "&gt;="&amp;GV1,'Revenue Tracking'!$H$13:$H$21, "&lt;"&amp;GW1)</f>
        <v>0</v>
      </c>
      <c r="GW3" s="125">
        <f>SUMIFS('Revenue Tracking'!$F$13:$F$21, 'Revenue Tracking'!$H$13:$H$21, "&gt;="&amp;GW1,'Revenue Tracking'!$H$13:$H$21, "&lt;"&amp;GX1)</f>
        <v>0</v>
      </c>
      <c r="GX3" s="125">
        <f>SUMIFS('Revenue Tracking'!$F$13:$F$21, 'Revenue Tracking'!$H$13:$H$21, "&gt;="&amp;GX1,'Revenue Tracking'!$H$13:$H$21, "&lt;"&amp;GY1)</f>
        <v>0</v>
      </c>
      <c r="GY3" s="125">
        <f>SUMIFS('Revenue Tracking'!$F$13:$F$21, 'Revenue Tracking'!$H$13:$H$21, "&gt;="&amp;GY1,'Revenue Tracking'!$H$13:$H$21, "&lt;"&amp;GZ1)</f>
        <v>0</v>
      </c>
      <c r="GZ3" s="125">
        <f>SUMIFS('Revenue Tracking'!$F$13:$F$21, 'Revenue Tracking'!$H$13:$H$21, "&gt;="&amp;GZ1,'Revenue Tracking'!$H$13:$H$21, "&lt;"&amp;HA1)</f>
        <v>0</v>
      </c>
      <c r="HA3" s="125">
        <f>SUMIFS('Revenue Tracking'!$F$13:$F$21, 'Revenue Tracking'!$H$13:$H$21, "&gt;="&amp;HA1,'Revenue Tracking'!$H$13:$H$21, "&lt;"&amp;HB1)</f>
        <v>0</v>
      </c>
      <c r="HB3" s="125">
        <f>SUMIFS('Revenue Tracking'!$F$13:$F$21, 'Revenue Tracking'!$H$13:$H$21, "&gt;="&amp;HB1,'Revenue Tracking'!$H$13:$H$21, "&lt;"&amp;HC1)</f>
        <v>0</v>
      </c>
      <c r="HC3" s="125">
        <f>SUMIFS('Revenue Tracking'!$F$13:$F$21, 'Revenue Tracking'!$H$13:$H$21, "&gt;="&amp;HC1,'Revenue Tracking'!$H$13:$H$21, "&lt;"&amp;HD1)</f>
        <v>0</v>
      </c>
      <c r="HD3" s="125">
        <f>SUMIFS('Revenue Tracking'!$F$13:$F$21, 'Revenue Tracking'!$H$13:$H$21, "&gt;="&amp;HD1,'Revenue Tracking'!$H$13:$H$21, "&lt;"&amp;HE1)</f>
        <v>0</v>
      </c>
      <c r="HE3" s="125">
        <f>SUMIFS('Revenue Tracking'!$F$13:$F$21, 'Revenue Tracking'!$H$13:$H$21, "&gt;="&amp;HE1,'Revenue Tracking'!$H$13:$H$21, "&lt;"&amp;HF1)</f>
        <v>0</v>
      </c>
      <c r="HF3" s="125">
        <f>SUMIFS('Revenue Tracking'!$F$13:$F$21, 'Revenue Tracking'!$H$13:$H$21, "&gt;="&amp;HF1,'Revenue Tracking'!$H$13:$H$21, "&lt;"&amp;HG1)</f>
        <v>0</v>
      </c>
      <c r="HG3" s="125">
        <f>SUMIFS('Revenue Tracking'!$F$13:$F$21, 'Revenue Tracking'!$H$13:$H$21, "&gt;="&amp;HG1,'Revenue Tracking'!$H$13:$H$21, "&lt;"&amp;HH1)</f>
        <v>0</v>
      </c>
      <c r="HH3" s="125">
        <f>SUMIFS('Revenue Tracking'!$F$13:$F$21, 'Revenue Tracking'!$H$13:$H$21, "&gt;="&amp;HH1,'Revenue Tracking'!$H$13:$H$21, "&lt;"&amp;HI1)</f>
        <v>0</v>
      </c>
      <c r="HI3" s="125">
        <f>SUMIFS('Revenue Tracking'!$F$13:$F$21, 'Revenue Tracking'!$H$13:$H$21, "&gt;="&amp;HI1,'Revenue Tracking'!$H$13:$H$21, "&lt;"&amp;HJ1)</f>
        <v>0</v>
      </c>
      <c r="HJ3" s="125">
        <f>SUMIFS('Revenue Tracking'!$F$13:$F$21, 'Revenue Tracking'!$H$13:$H$21, "&gt;="&amp;HJ1,'Revenue Tracking'!$H$13:$H$21, "&lt;"&amp;HK1)</f>
        <v>0</v>
      </c>
      <c r="HK3" s="125">
        <f>SUMIFS('Revenue Tracking'!$F$13:$F$21, 'Revenue Tracking'!$H$13:$H$21, "&gt;="&amp;HK1,'Revenue Tracking'!$H$13:$H$21, "&lt;"&amp;HL1)</f>
        <v>0</v>
      </c>
      <c r="HL3" s="125">
        <f>SUMIFS('Revenue Tracking'!$F$13:$F$21, 'Revenue Tracking'!$H$13:$H$21, "&gt;="&amp;HL1,'Revenue Tracking'!$H$13:$H$21, "&lt;"&amp;HM1)</f>
        <v>0</v>
      </c>
      <c r="HM3" s="125">
        <f>SUMIFS('Revenue Tracking'!$F$13:$F$21, 'Revenue Tracking'!$H$13:$H$21, "&gt;="&amp;HM1,'Revenue Tracking'!$H$13:$H$21, "&lt;"&amp;HN1)</f>
        <v>0</v>
      </c>
      <c r="HN3" s="125">
        <f>SUMIFS('Revenue Tracking'!$F$13:$F$21, 'Revenue Tracking'!$H$13:$H$21, "&gt;="&amp;HN1,'Revenue Tracking'!$H$13:$H$21, "&lt;"&amp;HO1)</f>
        <v>0</v>
      </c>
      <c r="HO3" s="125">
        <f>SUMIFS('Revenue Tracking'!$F$13:$F$21, 'Revenue Tracking'!$H$13:$H$21, "&gt;="&amp;HO1,'Revenue Tracking'!$H$13:$H$21, "&lt;"&amp;HP1)</f>
        <v>0</v>
      </c>
      <c r="HP3" s="125">
        <f>SUMIFS('Revenue Tracking'!$F$13:$F$21, 'Revenue Tracking'!$H$13:$H$21, "&gt;="&amp;HP1,'Revenue Tracking'!$H$13:$H$21, "&lt;"&amp;HQ1)</f>
        <v>0</v>
      </c>
      <c r="HQ3" s="125">
        <f>SUMIFS('Revenue Tracking'!$F$13:$F$21, 'Revenue Tracking'!$H$13:$H$21, "&gt;="&amp;HQ1,'Revenue Tracking'!$H$13:$H$21, "&lt;"&amp;HR1)</f>
        <v>0</v>
      </c>
      <c r="HR3" s="125">
        <f>SUMIFS('Revenue Tracking'!$F$13:$F$21, 'Revenue Tracking'!$H$13:$H$21, "&gt;="&amp;HR1,'Revenue Tracking'!$H$13:$H$21, "&lt;"&amp;HS1)</f>
        <v>0</v>
      </c>
      <c r="HS3" s="125">
        <f>SUMIFS('Revenue Tracking'!$F$13:$F$21, 'Revenue Tracking'!$H$13:$H$21, "&gt;="&amp;HS1,'Revenue Tracking'!$H$13:$H$21, "&lt;"&amp;HT1)</f>
        <v>0</v>
      </c>
      <c r="HT3" s="125">
        <f>SUMIFS('Revenue Tracking'!$F$13:$F$21, 'Revenue Tracking'!$H$13:$H$21, "&gt;="&amp;HT1,'Revenue Tracking'!$H$13:$H$21, "&lt;"&amp;HU1)</f>
        <v>0</v>
      </c>
      <c r="HU3" s="125">
        <f>SUMIFS('Revenue Tracking'!$F$13:$F$21, 'Revenue Tracking'!$H$13:$H$21, "&gt;="&amp;HU1,'Revenue Tracking'!$H$13:$H$21, "&lt;"&amp;HV1)</f>
        <v>0</v>
      </c>
      <c r="HV3" s="125">
        <f>SUMIFS('Revenue Tracking'!$F$13:$F$21, 'Revenue Tracking'!$H$13:$H$21, "&gt;="&amp;HV1,'Revenue Tracking'!$H$13:$H$21, "&lt;"&amp;HW1)</f>
        <v>0</v>
      </c>
      <c r="HW3" s="125">
        <f>SUMIFS('Revenue Tracking'!$F$13:$F$21, 'Revenue Tracking'!$H$13:$H$21, "&gt;="&amp;HW1,'Revenue Tracking'!$H$13:$H$21, "&lt;"&amp;HX1)</f>
        <v>0</v>
      </c>
      <c r="HX3" s="125">
        <f>SUMIFS('Revenue Tracking'!$F$13:$F$21, 'Revenue Tracking'!$H$13:$H$21, "&gt;="&amp;HX1,'Revenue Tracking'!$H$13:$H$21, "&lt;"&amp;HY1)</f>
        <v>0</v>
      </c>
      <c r="HY3" s="125">
        <f>SUMIFS('Revenue Tracking'!$F$13:$F$21, 'Revenue Tracking'!$H$13:$H$21, "&gt;="&amp;HY1,'Revenue Tracking'!$H$13:$H$21, "&lt;"&amp;HZ1)</f>
        <v>0</v>
      </c>
      <c r="HZ3" s="125">
        <f>SUMIFS('Revenue Tracking'!$F$13:$F$21, 'Revenue Tracking'!$H$13:$H$21, "&gt;="&amp;HZ1,'Revenue Tracking'!$H$13:$H$21, "&lt;"&amp;IA1)</f>
        <v>0</v>
      </c>
      <c r="IA3" s="125">
        <f>SUMIFS('Revenue Tracking'!$F$13:$F$21, 'Revenue Tracking'!$H$13:$H$21, "&gt;="&amp;IA1,'Revenue Tracking'!$H$13:$H$21, "&lt;"&amp;IB1)</f>
        <v>0</v>
      </c>
      <c r="IB3" s="125">
        <f>SUMIFS('Revenue Tracking'!$F$13:$F$21, 'Revenue Tracking'!$H$13:$H$21, "&gt;="&amp;IB1,'Revenue Tracking'!$H$13:$H$21, "&lt;"&amp;IC1)</f>
        <v>0</v>
      </c>
      <c r="IC3" s="125">
        <f>SUMIFS('Revenue Tracking'!$F$13:$F$21, 'Revenue Tracking'!$H$13:$H$21, "&gt;="&amp;IC1,'Revenue Tracking'!$H$13:$H$21, "&lt;"&amp;ID1)</f>
        <v>0</v>
      </c>
      <c r="ID3" s="125">
        <f>SUMIFS('Revenue Tracking'!$F$13:$F$21, 'Revenue Tracking'!$H$13:$H$21, "&gt;="&amp;ID1,'Revenue Tracking'!$H$13:$H$21, "&lt;"&amp;IE1)</f>
        <v>0</v>
      </c>
      <c r="IE3" s="125">
        <f>SUMIFS('Revenue Tracking'!$F$13:$F$21, 'Revenue Tracking'!$H$13:$H$21, "&gt;="&amp;IE1,'Revenue Tracking'!$H$13:$H$21, "&lt;"&amp;IF1)</f>
        <v>0</v>
      </c>
      <c r="IF3" s="125">
        <f>SUMIFS('Revenue Tracking'!$F$13:$F$21, 'Revenue Tracking'!$H$13:$H$21, "&gt;="&amp;IF1,'Revenue Tracking'!$H$13:$H$21, "&lt;"&amp;IG1)</f>
        <v>0</v>
      </c>
      <c r="IG3" s="125">
        <f>SUMIFS('Revenue Tracking'!$F$13:$F$21, 'Revenue Tracking'!$H$13:$H$21, "&gt;="&amp;IG1,'Revenue Tracking'!$H$13:$H$21, "&lt;"&amp;IH1)</f>
        <v>0</v>
      </c>
      <c r="IH3" s="125">
        <f>SUMIFS('Revenue Tracking'!$F$13:$F$21, 'Revenue Tracking'!$H$13:$H$21, "&gt;="&amp;IH1,'Revenue Tracking'!$H$13:$H$21, "&lt;"&amp;II1)</f>
        <v>0</v>
      </c>
      <c r="II3" s="125">
        <f>SUMIFS('Revenue Tracking'!$F$13:$F$21, 'Revenue Tracking'!$H$13:$H$21, "&gt;="&amp;II1,'Revenue Tracking'!$H$13:$H$21, "&lt;"&amp;IJ1)</f>
        <v>0</v>
      </c>
      <c r="IJ3" s="125">
        <f>SUMIFS('Revenue Tracking'!$F$13:$F$21, 'Revenue Tracking'!$H$13:$H$21, "&gt;="&amp;IJ1,'Revenue Tracking'!$H$13:$H$21, "&lt;"&amp;IK1)</f>
        <v>0</v>
      </c>
      <c r="IK3" s="125">
        <f>SUMIFS('Revenue Tracking'!$F$13:$F$21, 'Revenue Tracking'!$H$13:$H$21, "&gt;="&amp;IK1,'Revenue Tracking'!$H$13:$H$21, "&lt;"&amp;IL1)</f>
        <v>0</v>
      </c>
      <c r="IL3" s="125">
        <f>SUMIFS('Revenue Tracking'!$F$13:$F$21, 'Revenue Tracking'!$H$13:$H$21, "&gt;="&amp;IL1,'Revenue Tracking'!$H$13:$H$21, "&lt;"&amp;IM1)</f>
        <v>0</v>
      </c>
      <c r="IM3" s="125">
        <f>SUMIFS('Revenue Tracking'!$F$13:$F$21, 'Revenue Tracking'!$H$13:$H$21, "&gt;="&amp;IM1,'Revenue Tracking'!$H$13:$H$21, "&lt;"&amp;IN1)</f>
        <v>0</v>
      </c>
      <c r="IN3" s="125">
        <f>SUMIFS('Revenue Tracking'!$F$13:$F$21, 'Revenue Tracking'!$H$13:$H$21, "&gt;="&amp;IN1,'Revenue Tracking'!$H$13:$H$21, "&lt;"&amp;IO1)</f>
        <v>0</v>
      </c>
      <c r="IO3" s="125">
        <f>SUMIFS('Revenue Tracking'!$F$13:$F$21, 'Revenue Tracking'!$H$13:$H$21, "&gt;="&amp;IO1,'Revenue Tracking'!$H$13:$H$21, "&lt;"&amp;IP1)</f>
        <v>0</v>
      </c>
      <c r="IP3" s="125">
        <f>SUMIFS('Revenue Tracking'!$F$13:$F$21, 'Revenue Tracking'!$H$13:$H$21, "&gt;="&amp;IP1,'Revenue Tracking'!$H$13:$H$21, "&lt;"&amp;IQ1)</f>
        <v>0</v>
      </c>
      <c r="IQ3" s="125">
        <f>SUMIFS('Revenue Tracking'!$F$13:$F$21, 'Revenue Tracking'!$H$13:$H$21, "&gt;="&amp;IQ1,'Revenue Tracking'!$H$13:$H$21, "&lt;"&amp;IR1)</f>
        <v>0</v>
      </c>
      <c r="IR3" s="125">
        <f>SUMIFS('Revenue Tracking'!$F$13:$F$21, 'Revenue Tracking'!$H$13:$H$21, "&gt;="&amp;IR1,'Revenue Tracking'!$H$13:$H$21, "&lt;"&amp;IS1)</f>
        <v>0</v>
      </c>
      <c r="IS3" s="125">
        <f>SUMIFS('Revenue Tracking'!$F$13:$F$21, 'Revenue Tracking'!$H$13:$H$21, "&gt;="&amp;IS1,'Revenue Tracking'!$H$13:$H$21, "&lt;"&amp;IT1)</f>
        <v>0</v>
      </c>
      <c r="IT3" s="125">
        <f>SUMIFS('Revenue Tracking'!$F$13:$F$21, 'Revenue Tracking'!$H$13:$H$21, "&gt;="&amp;IT1,'Revenue Tracking'!$H$13:$H$21, "&lt;"&amp;IU1)</f>
        <v>0</v>
      </c>
      <c r="IU3" s="125">
        <f>SUMIFS('Revenue Tracking'!$F$13:$F$21, 'Revenue Tracking'!$H$13:$H$21, "&gt;="&amp;IU1,'Revenue Tracking'!$H$13:$H$21, "&lt;"&amp;IV1)</f>
        <v>0</v>
      </c>
      <c r="IV3" s="125">
        <f>SUMIFS('Revenue Tracking'!$F$13:$F$21, 'Revenue Tracking'!$H$13:$H$21, "&gt;="&amp;IV1,'Revenue Tracking'!$H$13:$H$21, "&lt;"&amp;IW1)</f>
        <v>0</v>
      </c>
      <c r="IW3" s="125">
        <f>SUMIFS('Revenue Tracking'!$F$13:$F$21, 'Revenue Tracking'!$H$13:$H$21, "&gt;="&amp;IW1,'Revenue Tracking'!$H$13:$H$21, "&lt;"&amp;IX1)</f>
        <v>0</v>
      </c>
      <c r="IX3" s="125">
        <f>SUMIFS('Revenue Tracking'!$F$13:$F$21, 'Revenue Tracking'!$H$13:$H$21, "&gt;="&amp;IX1,'Revenue Tracking'!$H$13:$H$21, "&lt;"&amp;IY1)</f>
        <v>0</v>
      </c>
      <c r="IY3" s="125">
        <f>SUMIFS('Revenue Tracking'!$F$13:$F$21, 'Revenue Tracking'!$H$13:$H$21, "&gt;="&amp;IY1,'Revenue Tracking'!$H$13:$H$21, "&lt;"&amp;IZ1)</f>
        <v>0</v>
      </c>
      <c r="IZ3" s="125">
        <f>SUMIFS('Revenue Tracking'!$F$13:$F$21, 'Revenue Tracking'!$H$13:$H$21, "&gt;="&amp;IZ1,'Revenue Tracking'!$H$13:$H$21, "&lt;"&amp;JA1)</f>
        <v>0</v>
      </c>
      <c r="JA3" s="125">
        <f>SUMIFS('Revenue Tracking'!$F$13:$F$21, 'Revenue Tracking'!$H$13:$H$21, "&gt;="&amp;JA1,'Revenue Tracking'!$H$13:$H$21, "&lt;"&amp;JB1)</f>
        <v>0</v>
      </c>
      <c r="JB3" s="125">
        <f>SUMIFS('Revenue Tracking'!$F$13:$F$21, 'Revenue Tracking'!$H$13:$H$21, "&gt;="&amp;JB1,'Revenue Tracking'!$H$13:$H$21, "&lt;"&amp;JC1)</f>
        <v>0</v>
      </c>
      <c r="JC3" s="125">
        <f>SUMIFS('Revenue Tracking'!$F$13:$F$21, 'Revenue Tracking'!$H$13:$H$21, "&gt;="&amp;JC1,'Revenue Tracking'!$H$13:$H$21, "&lt;"&amp;JD1)</f>
        <v>0</v>
      </c>
      <c r="JD3" s="125">
        <f>SUMIFS('Revenue Tracking'!$F$13:$F$21, 'Revenue Tracking'!$H$13:$H$21, "&gt;="&amp;JD1,'Revenue Tracking'!$H$13:$H$21, "&lt;"&amp;JE1)</f>
        <v>0</v>
      </c>
      <c r="JE3" s="125">
        <f>SUMIFS('Revenue Tracking'!$F$13:$F$21, 'Revenue Tracking'!$H$13:$H$21, "&gt;="&amp;JE1,'Revenue Tracking'!$H$13:$H$21, "&lt;"&amp;JF1)</f>
        <v>0</v>
      </c>
      <c r="JF3" s="125">
        <f>SUMIFS('Revenue Tracking'!$F$13:$F$21, 'Revenue Tracking'!$H$13:$H$21, "&gt;="&amp;JF1,'Revenue Tracking'!$H$13:$H$21, "&lt;"&amp;JG1)</f>
        <v>0</v>
      </c>
      <c r="JG3" s="125">
        <f>SUMIFS('Revenue Tracking'!$F$13:$F$21, 'Revenue Tracking'!$H$13:$H$21, "&gt;="&amp;JG1,'Revenue Tracking'!$H$13:$H$21, "&lt;"&amp;JH1)</f>
        <v>0</v>
      </c>
      <c r="JH3" s="125">
        <f>SUMIFS('Revenue Tracking'!$F$13:$F$21, 'Revenue Tracking'!$H$13:$H$21, "&gt;="&amp;JH1,'Revenue Tracking'!$H$13:$H$21, "&lt;"&amp;JI1)</f>
        <v>0</v>
      </c>
      <c r="JI3" s="125">
        <f>SUMIFS('Revenue Tracking'!$F$13:$F$21, 'Revenue Tracking'!$H$13:$H$21, "&gt;="&amp;JI1,'Revenue Tracking'!$H$13:$H$21, "&lt;"&amp;JJ1)</f>
        <v>0</v>
      </c>
      <c r="JJ3" s="125">
        <f>SUMIFS('Revenue Tracking'!$F$13:$F$21, 'Revenue Tracking'!$H$13:$H$21, "&gt;="&amp;JJ1,'Revenue Tracking'!$H$13:$H$21, "&lt;"&amp;JK1)</f>
        <v>0</v>
      </c>
      <c r="JK3" s="125">
        <f>SUMIFS('Revenue Tracking'!$F$13:$F$21, 'Revenue Tracking'!$H$13:$H$21, "&gt;="&amp;JK1,'Revenue Tracking'!$H$13:$H$21, "&lt;"&amp;JL1)</f>
        <v>0</v>
      </c>
      <c r="JL3" s="125">
        <f>SUMIFS('Revenue Tracking'!$F$13:$F$21, 'Revenue Tracking'!$H$13:$H$21, "&gt;="&amp;JL1,'Revenue Tracking'!$H$13:$H$21, "&lt;"&amp;JM1)</f>
        <v>0</v>
      </c>
      <c r="JM3" s="125">
        <f>SUMIFS('Revenue Tracking'!$F$13:$F$21, 'Revenue Tracking'!$H$13:$H$21, "&gt;="&amp;JM1,'Revenue Tracking'!$H$13:$H$21, "&lt;"&amp;JN1)</f>
        <v>0</v>
      </c>
      <c r="JN3" s="125">
        <f>SUMIFS('Revenue Tracking'!$F$13:$F$21, 'Revenue Tracking'!$H$13:$H$21, "&gt;="&amp;JN1,'Revenue Tracking'!$H$13:$H$21, "&lt;"&amp;JO1)</f>
        <v>0</v>
      </c>
      <c r="JO3" s="125">
        <f>SUMIFS('Revenue Tracking'!$F$13:$F$21, 'Revenue Tracking'!$H$13:$H$21, "&gt;="&amp;JO1,'Revenue Tracking'!$H$13:$H$21, "&lt;"&amp;JP1)</f>
        <v>0</v>
      </c>
      <c r="JP3" s="125">
        <f>SUMIFS('Revenue Tracking'!$F$13:$F$21, 'Revenue Tracking'!$H$13:$H$21, "&gt;="&amp;JP1,'Revenue Tracking'!$H$13:$H$21, "&lt;"&amp;JQ1)</f>
        <v>0</v>
      </c>
      <c r="JQ3" s="125">
        <f>SUMIFS('Revenue Tracking'!$F$13:$F$21, 'Revenue Tracking'!$H$13:$H$21, "&gt;="&amp;JQ1,'Revenue Tracking'!$H$13:$H$21, "&lt;"&amp;JR1)</f>
        <v>0</v>
      </c>
      <c r="JR3" s="125">
        <f>SUMIFS('Revenue Tracking'!$F$13:$F$21, 'Revenue Tracking'!$H$13:$H$21, "&gt;="&amp;JR1,'Revenue Tracking'!$H$13:$H$21, "&lt;"&amp;JS1)</f>
        <v>0</v>
      </c>
      <c r="JS3" s="125">
        <f>SUMIFS('Revenue Tracking'!$F$13:$F$21, 'Revenue Tracking'!$H$13:$H$21, "&gt;="&amp;JS1,'Revenue Tracking'!$H$13:$H$21, "&lt;"&amp;JT1)</f>
        <v>0</v>
      </c>
      <c r="JT3" s="125">
        <f>SUMIFS('Revenue Tracking'!$F$13:$F$21, 'Revenue Tracking'!$H$13:$H$21, "&gt;="&amp;JT1,'Revenue Tracking'!$H$13:$H$21, "&lt;"&amp;JU1)</f>
        <v>0</v>
      </c>
      <c r="JU3" s="125">
        <f>SUMIFS('Revenue Tracking'!$F$13:$F$21, 'Revenue Tracking'!$H$13:$H$21, "&gt;="&amp;JU1,'Revenue Tracking'!$H$13:$H$21, "&lt;"&amp;JV1)</f>
        <v>0</v>
      </c>
      <c r="JV3" s="125">
        <f>SUMIFS('Revenue Tracking'!$F$13:$F$21, 'Revenue Tracking'!$H$13:$H$21, "&gt;="&amp;JV1,'Revenue Tracking'!$H$13:$H$21, "&lt;"&amp;JW1)</f>
        <v>0</v>
      </c>
      <c r="JW3" s="125">
        <f>SUMIFS('Revenue Tracking'!$F$13:$F$21, 'Revenue Tracking'!$H$13:$H$21, "&gt;="&amp;JW1,'Revenue Tracking'!$H$13:$H$21, "&lt;"&amp;JX1)</f>
        <v>0</v>
      </c>
      <c r="JX3" s="125">
        <f>SUMIFS('Revenue Tracking'!$F$13:$F$21, 'Revenue Tracking'!$H$13:$H$21, "&gt;="&amp;JX1,'Revenue Tracking'!$H$13:$H$21, "&lt;"&amp;JY1)</f>
        <v>0</v>
      </c>
      <c r="JY3" s="125">
        <f>SUMIFS('Revenue Tracking'!$F$13:$F$21, 'Revenue Tracking'!$H$13:$H$21, "&gt;="&amp;JY1,'Revenue Tracking'!$H$13:$H$21, "&lt;"&amp;JZ1)</f>
        <v>0</v>
      </c>
      <c r="JZ3" s="125">
        <f>SUMIFS('Revenue Tracking'!$F$13:$F$21, 'Revenue Tracking'!$H$13:$H$21, "&gt;="&amp;JZ1,'Revenue Tracking'!$H$13:$H$21, "&lt;"&amp;KA1)</f>
        <v>0</v>
      </c>
      <c r="KA3" s="125">
        <f>SUMIFS('Revenue Tracking'!$F$13:$F$21, 'Revenue Tracking'!$H$13:$H$21, "&gt;="&amp;KA1,'Revenue Tracking'!$H$13:$H$21, "&lt;"&amp;KB1)</f>
        <v>0</v>
      </c>
      <c r="KB3" s="125">
        <f>SUMIFS('Revenue Tracking'!$F$13:$F$21, 'Revenue Tracking'!$H$13:$H$21, "&gt;="&amp;KB1,'Revenue Tracking'!$H$13:$H$21, "&lt;"&amp;KC1)</f>
        <v>0</v>
      </c>
      <c r="KC3" s="125">
        <f>SUMIFS('Revenue Tracking'!$F$13:$F$21, 'Revenue Tracking'!$H$13:$H$21, "&gt;="&amp;KC1,'Revenue Tracking'!$H$13:$H$21, "&lt;"&amp;KD1)</f>
        <v>0</v>
      </c>
      <c r="KD3" s="125">
        <f>SUMIFS('Revenue Tracking'!$F$13:$F$21, 'Revenue Tracking'!$H$13:$H$21, "&gt;="&amp;KD1,'Revenue Tracking'!$H$13:$H$21, "&lt;"&amp;KE1)</f>
        <v>0</v>
      </c>
      <c r="KE3" s="125">
        <f>SUMIFS('Revenue Tracking'!$F$13:$F$21, 'Revenue Tracking'!$H$13:$H$21, "&gt;="&amp;KE1,'Revenue Tracking'!$H$13:$H$21, "&lt;"&amp;KF1)</f>
        <v>0</v>
      </c>
      <c r="KF3" s="125">
        <f>SUMIFS('Revenue Tracking'!$F$13:$F$21, 'Revenue Tracking'!$H$13:$H$21, "&gt;="&amp;KF1,'Revenue Tracking'!$H$13:$H$21, "&lt;"&amp;KG1)</f>
        <v>0</v>
      </c>
      <c r="KG3" s="125">
        <f>SUMIFS('Revenue Tracking'!$F$13:$F$21, 'Revenue Tracking'!$H$13:$H$21, "&gt;="&amp;KG1,'Revenue Tracking'!$H$13:$H$21, "&lt;"&amp;KH1)</f>
        <v>0</v>
      </c>
      <c r="KH3" s="125">
        <f>SUMIFS('Revenue Tracking'!$F$13:$F$21, 'Revenue Tracking'!$H$13:$H$21, "&gt;="&amp;KH1,'Revenue Tracking'!$H$13:$H$21, "&lt;"&amp;KI1)</f>
        <v>0</v>
      </c>
      <c r="KI3" s="125">
        <f>SUMIFS('Revenue Tracking'!$F$13:$F$21, 'Revenue Tracking'!$H$13:$H$21, "&gt;="&amp;KI1,'Revenue Tracking'!$H$13:$H$21, "&lt;"&amp;KJ1)</f>
        <v>0</v>
      </c>
      <c r="KJ3" s="125">
        <f>SUMIFS('Revenue Tracking'!$F$13:$F$21, 'Revenue Tracking'!$H$13:$H$21, "&gt;="&amp;KJ1,'Revenue Tracking'!$H$13:$H$21, "&lt;"&amp;KK1)</f>
        <v>0</v>
      </c>
      <c r="KK3" s="125">
        <f>SUMIFS('Revenue Tracking'!$F$13:$F$21, 'Revenue Tracking'!$H$13:$H$21, "&gt;="&amp;KK1,'Revenue Tracking'!$H$13:$H$21, "&lt;"&amp;KL1)</f>
        <v>0</v>
      </c>
      <c r="KL3" s="125">
        <f>SUMIFS('Revenue Tracking'!$F$13:$F$21, 'Revenue Tracking'!$H$13:$H$21, "&gt;="&amp;KL1,'Revenue Tracking'!$H$13:$H$21, "&lt;"&amp;KM1)</f>
        <v>0</v>
      </c>
      <c r="KM3" s="125">
        <f>SUMIFS('Revenue Tracking'!$F$13:$F$21, 'Revenue Tracking'!$H$13:$H$21, "&gt;="&amp;KM1,'Revenue Tracking'!$H$13:$H$21, "&lt;"&amp;KN1)</f>
        <v>0</v>
      </c>
      <c r="KN3" s="125">
        <f>SUMIFS('Revenue Tracking'!$F$13:$F$21, 'Revenue Tracking'!$H$13:$H$21, "&gt;="&amp;KN1,'Revenue Tracking'!$H$13:$H$21, "&lt;"&amp;KO1)</f>
        <v>0</v>
      </c>
      <c r="KO3" s="125">
        <f>SUMIFS('Revenue Tracking'!$F$13:$F$21, 'Revenue Tracking'!$H$13:$H$21, "&gt;="&amp;KO1,'Revenue Tracking'!$H$13:$H$21, "&lt;"&amp;KP1)</f>
        <v>0</v>
      </c>
      <c r="KP3" s="125">
        <f>SUMIFS('Revenue Tracking'!$F$13:$F$21, 'Revenue Tracking'!$H$13:$H$21, "&gt;="&amp;KP1,'Revenue Tracking'!$H$13:$H$21, "&lt;"&amp;KQ1)</f>
        <v>0</v>
      </c>
      <c r="KQ3" s="125">
        <f>SUMIFS('Revenue Tracking'!$F$13:$F$21, 'Revenue Tracking'!$H$13:$H$21, "&gt;="&amp;KQ1,'Revenue Tracking'!$H$13:$H$21, "&lt;"&amp;KR1)</f>
        <v>0</v>
      </c>
      <c r="KR3" s="125">
        <f>SUMIFS('Revenue Tracking'!$F$13:$F$21, 'Revenue Tracking'!$H$13:$H$21, "&gt;="&amp;KR1,'Revenue Tracking'!$H$13:$H$21, "&lt;"&amp;KS1)</f>
        <v>0</v>
      </c>
      <c r="KS3" s="125">
        <f>SUMIFS('Revenue Tracking'!$F$13:$F$21, 'Revenue Tracking'!$H$13:$H$21, "&gt;="&amp;KS1,'Revenue Tracking'!$H$13:$H$21, "&lt;"&amp;KT1)</f>
        <v>0</v>
      </c>
      <c r="KT3" s="125">
        <f>SUMIFS('Revenue Tracking'!$F$13:$F$21, 'Revenue Tracking'!$H$13:$H$21, "&gt;="&amp;KT1,'Revenue Tracking'!$H$13:$H$21, "&lt;"&amp;KU1)</f>
        <v>0</v>
      </c>
      <c r="KU3" s="125">
        <f>SUMIFS('Revenue Tracking'!$F$13:$F$21, 'Revenue Tracking'!$H$13:$H$21, "&gt;="&amp;KU1,'Revenue Tracking'!$H$13:$H$21, "&lt;"&amp;KV1)</f>
        <v>0</v>
      </c>
      <c r="KV3" s="125">
        <f>SUMIFS('Revenue Tracking'!$F$13:$F$21, 'Revenue Tracking'!$H$13:$H$21, "&gt;="&amp;KV1,'Revenue Tracking'!$H$13:$H$21, "&lt;"&amp;KW1)</f>
        <v>0</v>
      </c>
      <c r="KW3" s="125">
        <f>SUMIFS('Revenue Tracking'!$F$13:$F$21, 'Revenue Tracking'!$H$13:$H$21, "&gt;="&amp;KW1,'Revenue Tracking'!$H$13:$H$21, "&lt;"&amp;KX1)</f>
        <v>0</v>
      </c>
      <c r="KX3" s="125">
        <f>SUMIFS('Revenue Tracking'!$F$13:$F$21, 'Revenue Tracking'!$H$13:$H$21, "&gt;="&amp;KX1,'Revenue Tracking'!$H$13:$H$21, "&lt;"&amp;KY1)</f>
        <v>0</v>
      </c>
      <c r="KY3" s="125">
        <f>SUMIFS('Revenue Tracking'!$F$13:$F$21, 'Revenue Tracking'!$H$13:$H$21, "&gt;="&amp;KY1,'Revenue Tracking'!$H$13:$H$21, "&lt;"&amp;KZ1)</f>
        <v>0</v>
      </c>
      <c r="KZ3" s="125">
        <f>SUMIFS('Revenue Tracking'!$F$13:$F$21, 'Revenue Tracking'!$H$13:$H$21, "&gt;="&amp;KZ1,'Revenue Tracking'!$H$13:$H$21, "&lt;"&amp;LA1)</f>
        <v>0</v>
      </c>
      <c r="LA3" s="125">
        <f>SUMIFS('Revenue Tracking'!$F$13:$F$21, 'Revenue Tracking'!$H$13:$H$21, "&gt;="&amp;LA1,'Revenue Tracking'!$H$13:$H$21, "&lt;"&amp;LB1)</f>
        <v>0</v>
      </c>
      <c r="LB3" s="125">
        <f>SUMIFS('Revenue Tracking'!$F$13:$F$21, 'Revenue Tracking'!$H$13:$H$21, "&gt;="&amp;LB1,'Revenue Tracking'!$H$13:$H$21, "&lt;"&amp;LC1)</f>
        <v>0</v>
      </c>
      <c r="LC3" s="125">
        <f>SUMIFS('Revenue Tracking'!$F$13:$F$21, 'Revenue Tracking'!$H$13:$H$21, "&gt;="&amp;LC1,'Revenue Tracking'!$H$13:$H$21, "&lt;"&amp;LD1)</f>
        <v>0</v>
      </c>
      <c r="LD3" s="125">
        <f>SUMIFS('Revenue Tracking'!$F$13:$F$21, 'Revenue Tracking'!$H$13:$H$21, "&gt;="&amp;LD1,'Revenue Tracking'!$H$13:$H$21, "&lt;"&amp;#REF!)</f>
        <v>0</v>
      </c>
    </row>
    <row r="4" spans="1:794">
      <c r="A4" s="910"/>
      <c r="B4" s="122" t="s">
        <v>774</v>
      </c>
      <c r="C4" s="123"/>
      <c r="D4" s="123"/>
      <c r="E4" s="124"/>
      <c r="F4" s="125">
        <f>F3</f>
        <v>0</v>
      </c>
      <c r="G4" s="125">
        <f>F4+G3</f>
        <v>0</v>
      </c>
      <c r="H4" s="125">
        <f>G4+H3</f>
        <v>0</v>
      </c>
      <c r="I4" s="125">
        <f t="shared" ref="I4:BT4" si="5">H4+I3</f>
        <v>0</v>
      </c>
      <c r="J4" s="125">
        <f t="shared" si="5"/>
        <v>0</v>
      </c>
      <c r="K4" s="125">
        <f t="shared" si="5"/>
        <v>0</v>
      </c>
      <c r="L4" s="125">
        <f t="shared" si="5"/>
        <v>0</v>
      </c>
      <c r="M4" s="125">
        <f t="shared" si="5"/>
        <v>0</v>
      </c>
      <c r="N4" s="125">
        <f t="shared" si="5"/>
        <v>0</v>
      </c>
      <c r="O4" s="125">
        <f t="shared" si="5"/>
        <v>0</v>
      </c>
      <c r="P4" s="125">
        <f t="shared" si="5"/>
        <v>0</v>
      </c>
      <c r="Q4" s="125">
        <f t="shared" si="5"/>
        <v>0</v>
      </c>
      <c r="R4" s="125">
        <f t="shared" si="5"/>
        <v>0</v>
      </c>
      <c r="S4" s="125">
        <f t="shared" si="5"/>
        <v>0</v>
      </c>
      <c r="T4" s="125">
        <f t="shared" si="5"/>
        <v>0</v>
      </c>
      <c r="U4" s="125">
        <f t="shared" si="5"/>
        <v>0</v>
      </c>
      <c r="V4" s="125">
        <f t="shared" si="5"/>
        <v>0</v>
      </c>
      <c r="W4" s="125">
        <f t="shared" si="5"/>
        <v>0</v>
      </c>
      <c r="X4" s="125">
        <f t="shared" si="5"/>
        <v>15000000</v>
      </c>
      <c r="Y4" s="125">
        <f t="shared" si="5"/>
        <v>15000000</v>
      </c>
      <c r="Z4" s="125">
        <f t="shared" si="5"/>
        <v>15000000</v>
      </c>
      <c r="AA4" s="125">
        <f t="shared" si="5"/>
        <v>15000000</v>
      </c>
      <c r="AB4" s="125">
        <f t="shared" si="5"/>
        <v>15000000</v>
      </c>
      <c r="AC4" s="125">
        <f t="shared" si="5"/>
        <v>15000000</v>
      </c>
      <c r="AD4" s="125">
        <f t="shared" si="5"/>
        <v>15000000</v>
      </c>
      <c r="AE4" s="125">
        <f t="shared" si="5"/>
        <v>15000000</v>
      </c>
      <c r="AF4" s="125">
        <f t="shared" si="5"/>
        <v>32998500</v>
      </c>
      <c r="AG4" s="125">
        <f t="shared" si="5"/>
        <v>32998500</v>
      </c>
      <c r="AH4" s="125">
        <f t="shared" si="5"/>
        <v>32998500</v>
      </c>
      <c r="AI4" s="125">
        <f t="shared" si="5"/>
        <v>32998500</v>
      </c>
      <c r="AJ4" s="125">
        <f t="shared" si="5"/>
        <v>32998500</v>
      </c>
      <c r="AK4" s="125">
        <f t="shared" si="5"/>
        <v>41996500</v>
      </c>
      <c r="AL4" s="125">
        <f t="shared" si="5"/>
        <v>41996500</v>
      </c>
      <c r="AM4" s="125">
        <f t="shared" si="5"/>
        <v>41996500</v>
      </c>
      <c r="AN4" s="125">
        <f t="shared" si="5"/>
        <v>41996500</v>
      </c>
      <c r="AO4" s="125">
        <f t="shared" si="5"/>
        <v>50995750</v>
      </c>
      <c r="AP4" s="125">
        <f t="shared" si="5"/>
        <v>50995750</v>
      </c>
      <c r="AQ4" s="125">
        <f t="shared" si="5"/>
        <v>50995750</v>
      </c>
      <c r="AR4" s="125">
        <f t="shared" si="5"/>
        <v>50995750</v>
      </c>
      <c r="AS4" s="125">
        <f t="shared" si="5"/>
        <v>50995750</v>
      </c>
      <c r="AT4" s="125">
        <f t="shared" si="5"/>
        <v>50995750</v>
      </c>
      <c r="AU4" s="125">
        <f t="shared" si="5"/>
        <v>50995750</v>
      </c>
      <c r="AV4" s="125">
        <f t="shared" si="5"/>
        <v>50995750</v>
      </c>
      <c r="AW4" s="125">
        <f t="shared" si="5"/>
        <v>56995250</v>
      </c>
      <c r="AX4" s="125">
        <f t="shared" si="5"/>
        <v>56995250</v>
      </c>
      <c r="AY4" s="125">
        <f t="shared" si="5"/>
        <v>56995250</v>
      </c>
      <c r="AZ4" s="125">
        <f t="shared" si="5"/>
        <v>59995000</v>
      </c>
      <c r="BA4" s="125">
        <f t="shared" si="5"/>
        <v>59995000</v>
      </c>
      <c r="BB4" s="125">
        <f t="shared" si="5"/>
        <v>59995000</v>
      </c>
      <c r="BC4" s="125">
        <f t="shared" si="5"/>
        <v>59995000</v>
      </c>
      <c r="BD4" s="125">
        <f t="shared" si="5"/>
        <v>59995000</v>
      </c>
      <c r="BE4" s="125">
        <f t="shared" si="5"/>
        <v>59995000</v>
      </c>
      <c r="BF4" s="125">
        <f t="shared" si="5"/>
        <v>59995000</v>
      </c>
      <c r="BG4" s="125">
        <f t="shared" si="5"/>
        <v>59995000</v>
      </c>
      <c r="BH4" s="125">
        <f t="shared" si="5"/>
        <v>59995000</v>
      </c>
      <c r="BI4" s="125">
        <f t="shared" si="5"/>
        <v>59995000</v>
      </c>
      <c r="BJ4" s="125">
        <f t="shared" si="5"/>
        <v>59995000</v>
      </c>
      <c r="BK4" s="125">
        <f t="shared" si="5"/>
        <v>59995000</v>
      </c>
      <c r="BL4" s="125">
        <f t="shared" si="5"/>
        <v>59995000</v>
      </c>
      <c r="BM4" s="125">
        <f t="shared" si="5"/>
        <v>59995000</v>
      </c>
      <c r="BN4" s="125">
        <f t="shared" si="5"/>
        <v>59995000</v>
      </c>
      <c r="BO4" s="125">
        <f t="shared" si="5"/>
        <v>59995000</v>
      </c>
      <c r="BP4" s="125">
        <f t="shared" si="5"/>
        <v>59995000</v>
      </c>
      <c r="BQ4" s="125">
        <f t="shared" si="5"/>
        <v>59995000</v>
      </c>
      <c r="BR4" s="125">
        <f t="shared" si="5"/>
        <v>59995000</v>
      </c>
      <c r="BS4" s="125">
        <f t="shared" si="5"/>
        <v>59995000</v>
      </c>
      <c r="BT4" s="125">
        <f t="shared" si="5"/>
        <v>59995000</v>
      </c>
      <c r="BU4" s="125">
        <f t="shared" ref="BU4:EF4" si="6">BT4+BU3</f>
        <v>59995000</v>
      </c>
      <c r="BV4" s="125">
        <f t="shared" si="6"/>
        <v>59995000</v>
      </c>
      <c r="BW4" s="125">
        <f t="shared" si="6"/>
        <v>59995000</v>
      </c>
      <c r="BX4" s="125">
        <f t="shared" si="6"/>
        <v>59995000</v>
      </c>
      <c r="BY4" s="125">
        <f t="shared" si="6"/>
        <v>59995000</v>
      </c>
      <c r="BZ4" s="125">
        <f t="shared" si="6"/>
        <v>59995000</v>
      </c>
      <c r="CA4" s="125">
        <f t="shared" si="6"/>
        <v>59995000</v>
      </c>
      <c r="CB4" s="125">
        <f t="shared" si="6"/>
        <v>59995000</v>
      </c>
      <c r="CC4" s="125">
        <f t="shared" si="6"/>
        <v>59995000</v>
      </c>
      <c r="CD4" s="125">
        <f t="shared" si="6"/>
        <v>59995000</v>
      </c>
      <c r="CE4" s="125">
        <f t="shared" si="6"/>
        <v>59995000</v>
      </c>
      <c r="CF4" s="125">
        <f t="shared" si="6"/>
        <v>59995000</v>
      </c>
      <c r="CG4" s="125">
        <f t="shared" si="6"/>
        <v>59995000</v>
      </c>
      <c r="CH4" s="125">
        <f t="shared" si="6"/>
        <v>59995000</v>
      </c>
      <c r="CI4" s="125">
        <f t="shared" si="6"/>
        <v>59995000</v>
      </c>
      <c r="CJ4" s="125">
        <f t="shared" si="6"/>
        <v>59995000</v>
      </c>
      <c r="CK4" s="125">
        <f t="shared" si="6"/>
        <v>59995000</v>
      </c>
      <c r="CL4" s="125">
        <f t="shared" si="6"/>
        <v>59995000</v>
      </c>
      <c r="CM4" s="125">
        <f t="shared" si="6"/>
        <v>59995000</v>
      </c>
      <c r="CN4" s="125">
        <f t="shared" si="6"/>
        <v>59995000</v>
      </c>
      <c r="CO4" s="125">
        <f t="shared" si="6"/>
        <v>59995000</v>
      </c>
      <c r="CP4" s="125">
        <f t="shared" si="6"/>
        <v>59995000</v>
      </c>
      <c r="CQ4" s="125">
        <f t="shared" si="6"/>
        <v>59995000</v>
      </c>
      <c r="CR4" s="125">
        <f t="shared" si="6"/>
        <v>59995000</v>
      </c>
      <c r="CS4" s="125">
        <f t="shared" si="6"/>
        <v>59995000</v>
      </c>
      <c r="CT4" s="125">
        <f t="shared" si="6"/>
        <v>59995000</v>
      </c>
      <c r="CU4" s="125">
        <f t="shared" si="6"/>
        <v>59995000</v>
      </c>
      <c r="CV4" s="125">
        <f t="shared" si="6"/>
        <v>59995000</v>
      </c>
      <c r="CW4" s="125">
        <f t="shared" si="6"/>
        <v>59995000</v>
      </c>
      <c r="CX4" s="125">
        <f t="shared" si="6"/>
        <v>59995000</v>
      </c>
      <c r="CY4" s="125">
        <f t="shared" si="6"/>
        <v>59995000</v>
      </c>
      <c r="CZ4" s="125">
        <f t="shared" si="6"/>
        <v>59995000</v>
      </c>
      <c r="DA4" s="125">
        <f t="shared" si="6"/>
        <v>59995000</v>
      </c>
      <c r="DB4" s="125">
        <f t="shared" si="6"/>
        <v>59995000</v>
      </c>
      <c r="DC4" s="125">
        <f t="shared" si="6"/>
        <v>59995000</v>
      </c>
      <c r="DD4" s="125">
        <f t="shared" si="6"/>
        <v>59995000</v>
      </c>
      <c r="DE4" s="125">
        <f t="shared" si="6"/>
        <v>59995000</v>
      </c>
      <c r="DF4" s="125">
        <f t="shared" si="6"/>
        <v>59995000</v>
      </c>
      <c r="DG4" s="125">
        <f t="shared" si="6"/>
        <v>59995000</v>
      </c>
      <c r="DH4" s="125">
        <f t="shared" si="6"/>
        <v>59995000</v>
      </c>
      <c r="DI4" s="125">
        <f t="shared" si="6"/>
        <v>59995000</v>
      </c>
      <c r="DJ4" s="125">
        <f t="shared" si="6"/>
        <v>59995000</v>
      </c>
      <c r="DK4" s="125">
        <f t="shared" si="6"/>
        <v>59995000</v>
      </c>
      <c r="DL4" s="125">
        <f t="shared" si="6"/>
        <v>59995000</v>
      </c>
      <c r="DM4" s="125">
        <f t="shared" si="6"/>
        <v>59995000</v>
      </c>
      <c r="DN4" s="125">
        <f t="shared" si="6"/>
        <v>59995000</v>
      </c>
      <c r="DO4" s="125">
        <f t="shared" si="6"/>
        <v>59995000</v>
      </c>
      <c r="DP4" s="125">
        <f t="shared" si="6"/>
        <v>59995000</v>
      </c>
      <c r="DQ4" s="125">
        <f t="shared" si="6"/>
        <v>59995000</v>
      </c>
      <c r="DR4" s="125">
        <f t="shared" si="6"/>
        <v>59995000</v>
      </c>
      <c r="DS4" s="125">
        <f t="shared" si="6"/>
        <v>59995000</v>
      </c>
      <c r="DT4" s="125">
        <f t="shared" si="6"/>
        <v>59995000</v>
      </c>
      <c r="DU4" s="125">
        <f t="shared" si="6"/>
        <v>59995000</v>
      </c>
      <c r="DV4" s="125">
        <f t="shared" si="6"/>
        <v>59995000</v>
      </c>
      <c r="DW4" s="125">
        <f t="shared" si="6"/>
        <v>59995000</v>
      </c>
      <c r="DX4" s="125">
        <f t="shared" si="6"/>
        <v>59995000</v>
      </c>
      <c r="DY4" s="125">
        <f t="shared" si="6"/>
        <v>59995000</v>
      </c>
      <c r="DZ4" s="125">
        <f t="shared" si="6"/>
        <v>59995000</v>
      </c>
      <c r="EA4" s="125">
        <f t="shared" si="6"/>
        <v>59995000</v>
      </c>
      <c r="EB4" s="125">
        <f t="shared" si="6"/>
        <v>59995000</v>
      </c>
      <c r="EC4" s="125">
        <f t="shared" si="6"/>
        <v>59995000</v>
      </c>
      <c r="ED4" s="125">
        <f t="shared" si="6"/>
        <v>59995000</v>
      </c>
      <c r="EE4" s="125">
        <f t="shared" si="6"/>
        <v>59995000</v>
      </c>
      <c r="EF4" s="125">
        <f t="shared" si="6"/>
        <v>59995000</v>
      </c>
      <c r="EG4" s="125">
        <f t="shared" ref="EG4:GR4" si="7">EF4+EG3</f>
        <v>59995000</v>
      </c>
      <c r="EH4" s="125">
        <f t="shared" si="7"/>
        <v>59995000</v>
      </c>
      <c r="EI4" s="125">
        <f t="shared" si="7"/>
        <v>59995000</v>
      </c>
      <c r="EJ4" s="125">
        <f t="shared" si="7"/>
        <v>59995000</v>
      </c>
      <c r="EK4" s="125">
        <f t="shared" si="7"/>
        <v>59995000</v>
      </c>
      <c r="EL4" s="125">
        <f t="shared" si="7"/>
        <v>59995000</v>
      </c>
      <c r="EM4" s="125">
        <f t="shared" si="7"/>
        <v>59995000</v>
      </c>
      <c r="EN4" s="125">
        <f t="shared" si="7"/>
        <v>59995000</v>
      </c>
      <c r="EO4" s="125">
        <f t="shared" si="7"/>
        <v>59995000</v>
      </c>
      <c r="EP4" s="125">
        <f t="shared" si="7"/>
        <v>59995000</v>
      </c>
      <c r="EQ4" s="125">
        <f t="shared" si="7"/>
        <v>59995000</v>
      </c>
      <c r="ER4" s="125">
        <f t="shared" si="7"/>
        <v>59995000</v>
      </c>
      <c r="ES4" s="125">
        <f t="shared" si="7"/>
        <v>59995000</v>
      </c>
      <c r="ET4" s="125">
        <f t="shared" si="7"/>
        <v>59995000</v>
      </c>
      <c r="EU4" s="125">
        <f t="shared" si="7"/>
        <v>59995000</v>
      </c>
      <c r="EV4" s="125">
        <f t="shared" si="7"/>
        <v>59995000</v>
      </c>
      <c r="EW4" s="125">
        <f t="shared" si="7"/>
        <v>59995000</v>
      </c>
      <c r="EX4" s="125">
        <f t="shared" si="7"/>
        <v>59995000</v>
      </c>
      <c r="EY4" s="125">
        <f t="shared" si="7"/>
        <v>59995000</v>
      </c>
      <c r="EZ4" s="125">
        <f t="shared" si="7"/>
        <v>59995000</v>
      </c>
      <c r="FA4" s="125">
        <f t="shared" si="7"/>
        <v>59995000</v>
      </c>
      <c r="FB4" s="125">
        <f t="shared" si="7"/>
        <v>59995000</v>
      </c>
      <c r="FC4" s="125">
        <f t="shared" si="7"/>
        <v>59995000</v>
      </c>
      <c r="FD4" s="125">
        <f t="shared" si="7"/>
        <v>59995000</v>
      </c>
      <c r="FE4" s="125">
        <f t="shared" si="7"/>
        <v>59995000</v>
      </c>
      <c r="FF4" s="125">
        <f t="shared" si="7"/>
        <v>59995000</v>
      </c>
      <c r="FG4" s="125">
        <f t="shared" si="7"/>
        <v>59995000</v>
      </c>
      <c r="FH4" s="125">
        <f t="shared" si="7"/>
        <v>59995000</v>
      </c>
      <c r="FI4" s="125">
        <f t="shared" si="7"/>
        <v>59995000</v>
      </c>
      <c r="FJ4" s="125">
        <f t="shared" si="7"/>
        <v>59995000</v>
      </c>
      <c r="FK4" s="125">
        <f t="shared" si="7"/>
        <v>59995000</v>
      </c>
      <c r="FL4" s="125">
        <f t="shared" si="7"/>
        <v>59995000</v>
      </c>
      <c r="FM4" s="125">
        <f t="shared" si="7"/>
        <v>59995000</v>
      </c>
      <c r="FN4" s="125">
        <f t="shared" si="7"/>
        <v>59995000</v>
      </c>
      <c r="FO4" s="125">
        <f t="shared" si="7"/>
        <v>59995000</v>
      </c>
      <c r="FP4" s="125">
        <f t="shared" si="7"/>
        <v>59995000</v>
      </c>
      <c r="FQ4" s="125">
        <f t="shared" si="7"/>
        <v>59995000</v>
      </c>
      <c r="FR4" s="125">
        <f t="shared" si="7"/>
        <v>59995000</v>
      </c>
      <c r="FS4" s="125">
        <f t="shared" si="7"/>
        <v>59995000</v>
      </c>
      <c r="FT4" s="125">
        <f t="shared" si="7"/>
        <v>59995000</v>
      </c>
      <c r="FU4" s="125">
        <f t="shared" si="7"/>
        <v>59995000</v>
      </c>
      <c r="FV4" s="125">
        <f t="shared" si="7"/>
        <v>59995000</v>
      </c>
      <c r="FW4" s="125">
        <f t="shared" si="7"/>
        <v>59995000</v>
      </c>
      <c r="FX4" s="125">
        <f t="shared" si="7"/>
        <v>59995000</v>
      </c>
      <c r="FY4" s="125">
        <f t="shared" si="7"/>
        <v>59995000</v>
      </c>
      <c r="FZ4" s="125">
        <f t="shared" si="7"/>
        <v>59995000</v>
      </c>
      <c r="GA4" s="125">
        <f t="shared" si="7"/>
        <v>59995000</v>
      </c>
      <c r="GB4" s="125">
        <f t="shared" si="7"/>
        <v>59995000</v>
      </c>
      <c r="GC4" s="125">
        <f t="shared" si="7"/>
        <v>59995000</v>
      </c>
      <c r="GD4" s="125">
        <f t="shared" si="7"/>
        <v>59995000</v>
      </c>
      <c r="GE4" s="125">
        <f t="shared" si="7"/>
        <v>59995000</v>
      </c>
      <c r="GF4" s="125">
        <f t="shared" si="7"/>
        <v>59995000</v>
      </c>
      <c r="GG4" s="125">
        <f t="shared" si="7"/>
        <v>59995000</v>
      </c>
      <c r="GH4" s="125">
        <f t="shared" si="7"/>
        <v>59995000</v>
      </c>
      <c r="GI4" s="125">
        <f t="shared" si="7"/>
        <v>59995000</v>
      </c>
      <c r="GJ4" s="125">
        <f t="shared" si="7"/>
        <v>59995000</v>
      </c>
      <c r="GK4" s="125">
        <f t="shared" si="7"/>
        <v>59995000</v>
      </c>
      <c r="GL4" s="125">
        <f t="shared" si="7"/>
        <v>59995000</v>
      </c>
      <c r="GM4" s="125">
        <f t="shared" si="7"/>
        <v>59995000</v>
      </c>
      <c r="GN4" s="125">
        <f t="shared" si="7"/>
        <v>59995000</v>
      </c>
      <c r="GO4" s="125">
        <f t="shared" si="7"/>
        <v>59995000</v>
      </c>
      <c r="GP4" s="125">
        <f t="shared" si="7"/>
        <v>59995000</v>
      </c>
      <c r="GQ4" s="125">
        <f t="shared" si="7"/>
        <v>59995000</v>
      </c>
      <c r="GR4" s="125">
        <f t="shared" si="7"/>
        <v>59995000</v>
      </c>
      <c r="GS4" s="125">
        <f t="shared" ref="GS4:JD4" si="8">GR4+GS3</f>
        <v>59995000</v>
      </c>
      <c r="GT4" s="125">
        <f t="shared" si="8"/>
        <v>59995000</v>
      </c>
      <c r="GU4" s="125">
        <f t="shared" si="8"/>
        <v>59995000</v>
      </c>
      <c r="GV4" s="125">
        <f t="shared" si="8"/>
        <v>59995000</v>
      </c>
      <c r="GW4" s="125">
        <f t="shared" si="8"/>
        <v>59995000</v>
      </c>
      <c r="GX4" s="125">
        <f t="shared" si="8"/>
        <v>59995000</v>
      </c>
      <c r="GY4" s="125">
        <f t="shared" si="8"/>
        <v>59995000</v>
      </c>
      <c r="GZ4" s="125">
        <f t="shared" si="8"/>
        <v>59995000</v>
      </c>
      <c r="HA4" s="125">
        <f t="shared" si="8"/>
        <v>59995000</v>
      </c>
      <c r="HB4" s="125">
        <f t="shared" si="8"/>
        <v>59995000</v>
      </c>
      <c r="HC4" s="125">
        <f t="shared" si="8"/>
        <v>59995000</v>
      </c>
      <c r="HD4" s="125">
        <f t="shared" si="8"/>
        <v>59995000</v>
      </c>
      <c r="HE4" s="125">
        <f t="shared" si="8"/>
        <v>59995000</v>
      </c>
      <c r="HF4" s="125">
        <f t="shared" si="8"/>
        <v>59995000</v>
      </c>
      <c r="HG4" s="125">
        <f t="shared" si="8"/>
        <v>59995000</v>
      </c>
      <c r="HH4" s="125">
        <f t="shared" si="8"/>
        <v>59995000</v>
      </c>
      <c r="HI4" s="125">
        <f t="shared" si="8"/>
        <v>59995000</v>
      </c>
      <c r="HJ4" s="125">
        <f t="shared" si="8"/>
        <v>59995000</v>
      </c>
      <c r="HK4" s="125">
        <f t="shared" si="8"/>
        <v>59995000</v>
      </c>
      <c r="HL4" s="125">
        <f t="shared" si="8"/>
        <v>59995000</v>
      </c>
      <c r="HM4" s="125">
        <f t="shared" si="8"/>
        <v>59995000</v>
      </c>
      <c r="HN4" s="125">
        <f t="shared" si="8"/>
        <v>59995000</v>
      </c>
      <c r="HO4" s="125">
        <f t="shared" si="8"/>
        <v>59995000</v>
      </c>
      <c r="HP4" s="125">
        <f t="shared" si="8"/>
        <v>59995000</v>
      </c>
      <c r="HQ4" s="125">
        <f t="shared" si="8"/>
        <v>59995000</v>
      </c>
      <c r="HR4" s="125">
        <f t="shared" si="8"/>
        <v>59995000</v>
      </c>
      <c r="HS4" s="125">
        <f t="shared" si="8"/>
        <v>59995000</v>
      </c>
      <c r="HT4" s="125">
        <f t="shared" si="8"/>
        <v>59995000</v>
      </c>
      <c r="HU4" s="125">
        <f t="shared" si="8"/>
        <v>59995000</v>
      </c>
      <c r="HV4" s="125">
        <f t="shared" si="8"/>
        <v>59995000</v>
      </c>
      <c r="HW4" s="125">
        <f t="shared" si="8"/>
        <v>59995000</v>
      </c>
      <c r="HX4" s="125">
        <f t="shared" si="8"/>
        <v>59995000</v>
      </c>
      <c r="HY4" s="125">
        <f t="shared" si="8"/>
        <v>59995000</v>
      </c>
      <c r="HZ4" s="125">
        <f t="shared" si="8"/>
        <v>59995000</v>
      </c>
      <c r="IA4" s="125">
        <f t="shared" si="8"/>
        <v>59995000</v>
      </c>
      <c r="IB4" s="125">
        <f t="shared" si="8"/>
        <v>59995000</v>
      </c>
      <c r="IC4" s="125">
        <f t="shared" si="8"/>
        <v>59995000</v>
      </c>
      <c r="ID4" s="125">
        <f t="shared" si="8"/>
        <v>59995000</v>
      </c>
      <c r="IE4" s="125">
        <f t="shared" si="8"/>
        <v>59995000</v>
      </c>
      <c r="IF4" s="125">
        <f t="shared" si="8"/>
        <v>59995000</v>
      </c>
      <c r="IG4" s="125">
        <f t="shared" si="8"/>
        <v>59995000</v>
      </c>
      <c r="IH4" s="125">
        <f t="shared" si="8"/>
        <v>59995000</v>
      </c>
      <c r="II4" s="125">
        <f t="shared" si="8"/>
        <v>59995000</v>
      </c>
      <c r="IJ4" s="125">
        <f t="shared" si="8"/>
        <v>59995000</v>
      </c>
      <c r="IK4" s="125">
        <f t="shared" si="8"/>
        <v>59995000</v>
      </c>
      <c r="IL4" s="125">
        <f t="shared" si="8"/>
        <v>59995000</v>
      </c>
      <c r="IM4" s="125">
        <f t="shared" si="8"/>
        <v>59995000</v>
      </c>
      <c r="IN4" s="125">
        <f t="shared" si="8"/>
        <v>59995000</v>
      </c>
      <c r="IO4" s="125">
        <f t="shared" si="8"/>
        <v>59995000</v>
      </c>
      <c r="IP4" s="125">
        <f t="shared" si="8"/>
        <v>59995000</v>
      </c>
      <c r="IQ4" s="125">
        <f t="shared" si="8"/>
        <v>59995000</v>
      </c>
      <c r="IR4" s="125">
        <f t="shared" si="8"/>
        <v>59995000</v>
      </c>
      <c r="IS4" s="125">
        <f t="shared" si="8"/>
        <v>59995000</v>
      </c>
      <c r="IT4" s="125">
        <f t="shared" si="8"/>
        <v>59995000</v>
      </c>
      <c r="IU4" s="125">
        <f t="shared" si="8"/>
        <v>59995000</v>
      </c>
      <c r="IV4" s="125">
        <f t="shared" si="8"/>
        <v>59995000</v>
      </c>
      <c r="IW4" s="125">
        <f t="shared" si="8"/>
        <v>59995000</v>
      </c>
      <c r="IX4" s="125">
        <f t="shared" si="8"/>
        <v>59995000</v>
      </c>
      <c r="IY4" s="125">
        <f t="shared" si="8"/>
        <v>59995000</v>
      </c>
      <c r="IZ4" s="125">
        <f t="shared" si="8"/>
        <v>59995000</v>
      </c>
      <c r="JA4" s="125">
        <f t="shared" si="8"/>
        <v>59995000</v>
      </c>
      <c r="JB4" s="125">
        <f t="shared" si="8"/>
        <v>59995000</v>
      </c>
      <c r="JC4" s="125">
        <f t="shared" si="8"/>
        <v>59995000</v>
      </c>
      <c r="JD4" s="125">
        <f t="shared" si="8"/>
        <v>59995000</v>
      </c>
      <c r="JE4" s="125">
        <f t="shared" ref="JE4:LD4" si="9">JD4+JE3</f>
        <v>59995000</v>
      </c>
      <c r="JF4" s="125">
        <f t="shared" si="9"/>
        <v>59995000</v>
      </c>
      <c r="JG4" s="125">
        <f t="shared" si="9"/>
        <v>59995000</v>
      </c>
      <c r="JH4" s="125">
        <f t="shared" si="9"/>
        <v>59995000</v>
      </c>
      <c r="JI4" s="125">
        <f t="shared" si="9"/>
        <v>59995000</v>
      </c>
      <c r="JJ4" s="125">
        <f t="shared" si="9"/>
        <v>59995000</v>
      </c>
      <c r="JK4" s="125">
        <f t="shared" si="9"/>
        <v>59995000</v>
      </c>
      <c r="JL4" s="125">
        <f t="shared" si="9"/>
        <v>59995000</v>
      </c>
      <c r="JM4" s="125">
        <f t="shared" si="9"/>
        <v>59995000</v>
      </c>
      <c r="JN4" s="125">
        <f t="shared" si="9"/>
        <v>59995000</v>
      </c>
      <c r="JO4" s="125">
        <f t="shared" si="9"/>
        <v>59995000</v>
      </c>
      <c r="JP4" s="125">
        <f t="shared" si="9"/>
        <v>59995000</v>
      </c>
      <c r="JQ4" s="125">
        <f t="shared" si="9"/>
        <v>59995000</v>
      </c>
      <c r="JR4" s="125">
        <f t="shared" si="9"/>
        <v>59995000</v>
      </c>
      <c r="JS4" s="125">
        <f t="shared" si="9"/>
        <v>59995000</v>
      </c>
      <c r="JT4" s="125">
        <f t="shared" si="9"/>
        <v>59995000</v>
      </c>
      <c r="JU4" s="125">
        <f t="shared" si="9"/>
        <v>59995000</v>
      </c>
      <c r="JV4" s="125">
        <f t="shared" si="9"/>
        <v>59995000</v>
      </c>
      <c r="JW4" s="125">
        <f t="shared" si="9"/>
        <v>59995000</v>
      </c>
      <c r="JX4" s="125">
        <f t="shared" si="9"/>
        <v>59995000</v>
      </c>
      <c r="JY4" s="125">
        <f t="shared" si="9"/>
        <v>59995000</v>
      </c>
      <c r="JZ4" s="125">
        <f t="shared" si="9"/>
        <v>59995000</v>
      </c>
      <c r="KA4" s="125">
        <f t="shared" si="9"/>
        <v>59995000</v>
      </c>
      <c r="KB4" s="125">
        <f t="shared" si="9"/>
        <v>59995000</v>
      </c>
      <c r="KC4" s="125">
        <f t="shared" si="9"/>
        <v>59995000</v>
      </c>
      <c r="KD4" s="125">
        <f t="shared" si="9"/>
        <v>59995000</v>
      </c>
      <c r="KE4" s="125">
        <f t="shared" si="9"/>
        <v>59995000</v>
      </c>
      <c r="KF4" s="125">
        <f t="shared" si="9"/>
        <v>59995000</v>
      </c>
      <c r="KG4" s="125">
        <f t="shared" si="9"/>
        <v>59995000</v>
      </c>
      <c r="KH4" s="125">
        <f t="shared" si="9"/>
        <v>59995000</v>
      </c>
      <c r="KI4" s="125">
        <f t="shared" si="9"/>
        <v>59995000</v>
      </c>
      <c r="KJ4" s="125">
        <f t="shared" si="9"/>
        <v>59995000</v>
      </c>
      <c r="KK4" s="125">
        <f t="shared" si="9"/>
        <v>59995000</v>
      </c>
      <c r="KL4" s="125">
        <f t="shared" si="9"/>
        <v>59995000</v>
      </c>
      <c r="KM4" s="125">
        <f t="shared" si="9"/>
        <v>59995000</v>
      </c>
      <c r="KN4" s="125">
        <f t="shared" si="9"/>
        <v>59995000</v>
      </c>
      <c r="KO4" s="125">
        <f t="shared" si="9"/>
        <v>59995000</v>
      </c>
      <c r="KP4" s="125">
        <f t="shared" si="9"/>
        <v>59995000</v>
      </c>
      <c r="KQ4" s="125">
        <f t="shared" si="9"/>
        <v>59995000</v>
      </c>
      <c r="KR4" s="125">
        <f t="shared" si="9"/>
        <v>59995000</v>
      </c>
      <c r="KS4" s="125">
        <f t="shared" si="9"/>
        <v>59995000</v>
      </c>
      <c r="KT4" s="125">
        <f t="shared" si="9"/>
        <v>59995000</v>
      </c>
      <c r="KU4" s="125">
        <f t="shared" si="9"/>
        <v>59995000</v>
      </c>
      <c r="KV4" s="125">
        <f t="shared" si="9"/>
        <v>59995000</v>
      </c>
      <c r="KW4" s="125">
        <f t="shared" si="9"/>
        <v>59995000</v>
      </c>
      <c r="KX4" s="125">
        <f t="shared" si="9"/>
        <v>59995000</v>
      </c>
      <c r="KY4" s="125">
        <f t="shared" si="9"/>
        <v>59995000</v>
      </c>
      <c r="KZ4" s="125">
        <f t="shared" si="9"/>
        <v>59995000</v>
      </c>
      <c r="LA4" s="125">
        <f t="shared" si="9"/>
        <v>59995000</v>
      </c>
      <c r="LB4" s="125">
        <f t="shared" si="9"/>
        <v>59995000</v>
      </c>
      <c r="LC4" s="125">
        <f t="shared" si="9"/>
        <v>59995000</v>
      </c>
      <c r="LD4" s="125">
        <f t="shared" si="9"/>
        <v>59995000</v>
      </c>
    </row>
    <row r="5" spans="1:794" s="130" customFormat="1">
      <c r="A5" s="910"/>
      <c r="B5" s="126" t="s">
        <v>17</v>
      </c>
      <c r="C5" s="127">
        <f>'Revenue Tracking'!D5</f>
        <v>56096452.079139791</v>
      </c>
      <c r="D5" s="127">
        <f>SUM(F5:LD5)</f>
        <v>56096452.079139791</v>
      </c>
      <c r="E5" s="124"/>
      <c r="F5" s="128">
        <f>SUMIFS('Expenditure Breakdown'!$G$6:$G$447, 'Expenditure Breakdown'!$H$6:$H$447, "&gt;="&amp;F1,'Expenditure Breakdown'!$H$6:$H$447, "&lt;"&amp;G1)</f>
        <v>0</v>
      </c>
      <c r="G5" s="128">
        <f>SUMIFS('Expenditure Breakdown'!$G$6:$G$447, 'Expenditure Breakdown'!$H$6:$H$447, "&gt;="&amp;G1,'Expenditure Breakdown'!$H$6:$H$447, "&lt;"&amp;H1)</f>
        <v>0</v>
      </c>
      <c r="H5" s="128">
        <f>SUMIFS('Expenditure Breakdown'!$G$6:$G$447, 'Expenditure Breakdown'!$H$6:$H$447, "&gt;="&amp;H1,'Expenditure Breakdown'!$H$6:$H$447, "&lt;"&amp;I1)</f>
        <v>0</v>
      </c>
      <c r="I5" s="128">
        <f>SUMIFS('Expenditure Breakdown'!$G$6:$G$447, 'Expenditure Breakdown'!$H$6:$H$447, "&gt;="&amp;I1,'Expenditure Breakdown'!$H$6:$H$447, "&lt;"&amp;J1)</f>
        <v>0</v>
      </c>
      <c r="J5" s="128">
        <f>SUMIFS('Expenditure Breakdown'!$G$6:$G$447, 'Expenditure Breakdown'!$H$6:$H$447, "&gt;="&amp;J1,'Expenditure Breakdown'!$H$6:$H$447, "&lt;"&amp;K1)</f>
        <v>0</v>
      </c>
      <c r="K5" s="128">
        <f>SUMIFS('Expenditure Breakdown'!$G$6:$G$447, 'Expenditure Breakdown'!$H$6:$H$447, "&gt;="&amp;K1,'Expenditure Breakdown'!$H$6:$H$447, "&lt;"&amp;L1)</f>
        <v>0</v>
      </c>
      <c r="L5" s="128">
        <f>SUMIFS('Expenditure Breakdown'!$G$6:$G$447, 'Expenditure Breakdown'!$H$6:$H$447, "&gt;="&amp;L1,'Expenditure Breakdown'!$H$6:$H$447, "&lt;"&amp;M1)</f>
        <v>0</v>
      </c>
      <c r="M5" s="128">
        <f>SUMIFS('Expenditure Breakdown'!$G$6:$G$447, 'Expenditure Breakdown'!$H$6:$H$447, "&gt;="&amp;M1,'Expenditure Breakdown'!$H$6:$H$447, "&lt;"&amp;N1)</f>
        <v>0</v>
      </c>
      <c r="N5" s="128">
        <f>SUMIFS('Expenditure Breakdown'!$G$6:$G$447, 'Expenditure Breakdown'!$H$6:$H$447, "&gt;="&amp;N1,'Expenditure Breakdown'!$H$6:$H$447, "&lt;"&amp;O1)</f>
        <v>0</v>
      </c>
      <c r="O5" s="128">
        <f>SUMIFS('Expenditure Breakdown'!$G$6:$G$447, 'Expenditure Breakdown'!$H$6:$H$447, "&gt;="&amp;O1,'Expenditure Breakdown'!$H$6:$H$447, "&lt;"&amp;P1)</f>
        <v>0</v>
      </c>
      <c r="P5" s="128">
        <f>SUMIFS('Expenditure Breakdown'!$G$6:$G$447, 'Expenditure Breakdown'!$H$6:$H$447, "&gt;="&amp;P1,'Expenditure Breakdown'!$H$6:$H$447, "&lt;"&amp;Q1)</f>
        <v>0</v>
      </c>
      <c r="Q5" s="128">
        <f>SUMIFS('Expenditure Breakdown'!$G$6:$G$447, 'Expenditure Breakdown'!$H$6:$H$447, "&gt;="&amp;Q1,'Expenditure Breakdown'!$H$6:$H$447, "&lt;"&amp;R1)</f>
        <v>0</v>
      </c>
      <c r="R5" s="128">
        <f>SUMIFS('Expenditure Breakdown'!$G$6:$G$447, 'Expenditure Breakdown'!$H$6:$H$447, "&gt;="&amp;R1,'Expenditure Breakdown'!$H$6:$H$447, "&lt;"&amp;S1)</f>
        <v>0</v>
      </c>
      <c r="S5" s="128">
        <f>SUMIFS('Expenditure Breakdown'!$G$6:$G$447, 'Expenditure Breakdown'!$H$6:$H$447, "&gt;="&amp;S1,'Expenditure Breakdown'!$H$6:$H$447, "&lt;"&amp;T1)</f>
        <v>0</v>
      </c>
      <c r="T5" s="128">
        <f>SUMIFS('Expenditure Breakdown'!$G$6:$G$447, 'Expenditure Breakdown'!$H$6:$H$447, "&gt;="&amp;T1,'Expenditure Breakdown'!$H$6:$H$447, "&lt;"&amp;U1)</f>
        <v>0</v>
      </c>
      <c r="U5" s="128">
        <f>SUMIFS('Expenditure Breakdown'!$G$6:$G$447, 'Expenditure Breakdown'!$H$6:$H$447, "&gt;="&amp;U1,'Expenditure Breakdown'!$H$6:$H$447, "&lt;"&amp;V1)</f>
        <v>0</v>
      </c>
      <c r="V5" s="128">
        <f>SUMIFS('Expenditure Breakdown'!$G$6:$G$447, 'Expenditure Breakdown'!$H$6:$H$447, "&gt;="&amp;V1,'Expenditure Breakdown'!$H$6:$H$447, "&lt;"&amp;W1)</f>
        <v>0</v>
      </c>
      <c r="W5" s="128">
        <f>SUMIFS('Expenditure Breakdown'!$G$6:$G$447, 'Expenditure Breakdown'!$H$6:$H$447, "&gt;="&amp;W1,'Expenditure Breakdown'!$H$6:$H$447, "&lt;"&amp;X1)</f>
        <v>0</v>
      </c>
      <c r="X5" s="128">
        <f>SUMIFS('Expenditure Breakdown'!$G$6:$G$447, 'Expenditure Breakdown'!$H$6:$H$447, "&gt;="&amp;X1,'Expenditure Breakdown'!$H$6:$H$447, "&lt;"&amp;Y1)</f>
        <v>0</v>
      </c>
      <c r="Y5" s="128">
        <f>SUMIFS('Expenditure Breakdown'!$G$6:$G$447, 'Expenditure Breakdown'!$H$6:$H$447, "&gt;="&amp;Y1,'Expenditure Breakdown'!$H$6:$H$447, "&lt;"&amp;Z1)</f>
        <v>0</v>
      </c>
      <c r="Z5" s="128">
        <f>SUMIFS('Expenditure Breakdown'!$G$6:$G$447, 'Expenditure Breakdown'!$H$6:$H$447, "&gt;="&amp;Z1,'Expenditure Breakdown'!$H$6:$H$447, "&lt;"&amp;AA1)</f>
        <v>2760000</v>
      </c>
      <c r="AA5" s="128">
        <f>SUMIFS('Expenditure Breakdown'!$G$6:$G$447, 'Expenditure Breakdown'!$H$6:$H$447, "&gt;="&amp;AA1,'Expenditure Breakdown'!$H$6:$H$447, "&lt;"&amp;AB1)</f>
        <v>14537831.300000001</v>
      </c>
      <c r="AB5" s="128">
        <f>SUMIFS('Expenditure Breakdown'!$G$6:$G$447, 'Expenditure Breakdown'!$H$6:$H$447, "&gt;="&amp;AB1,'Expenditure Breakdown'!$H$6:$H$447, "&lt;"&amp;AC1)</f>
        <v>4360411.2369999997</v>
      </c>
      <c r="AC5" s="128">
        <f>SUMIFS('Expenditure Breakdown'!$G$6:$G$447, 'Expenditure Breakdown'!$H$6:$H$447, "&gt;="&amp;AC1,'Expenditure Breakdown'!$H$6:$H$447, "&lt;"&amp;AD1)</f>
        <v>120000</v>
      </c>
      <c r="AD5" s="128">
        <f>SUMIFS('Expenditure Breakdown'!$G$6:$G$447, 'Expenditure Breakdown'!$H$6:$H$447, "&gt;="&amp;AD1,'Expenditure Breakdown'!$H$6:$H$447, "&lt;"&amp;AE1)</f>
        <v>0</v>
      </c>
      <c r="AE5" s="128">
        <f>SUMIFS('Expenditure Breakdown'!$G$6:$G$447, 'Expenditure Breakdown'!$H$6:$H$447, "&gt;="&amp;AE1,'Expenditure Breakdown'!$H$6:$H$447, "&lt;"&amp;AF1)</f>
        <v>0</v>
      </c>
      <c r="AF5" s="128">
        <f>SUMIFS('Expenditure Breakdown'!$G$6:$G$447, 'Expenditure Breakdown'!$H$6:$H$447, "&gt;="&amp;AF1,'Expenditure Breakdown'!$H$6:$H$447, "&lt;"&amp;AG1)</f>
        <v>34000</v>
      </c>
      <c r="AG5" s="128">
        <f>SUMIFS('Expenditure Breakdown'!$G$6:$G$447, 'Expenditure Breakdown'!$H$6:$H$447, "&gt;="&amp;AG1,'Expenditure Breakdown'!$H$6:$H$447, "&lt;"&amp;AH1)</f>
        <v>7358785.9097348731</v>
      </c>
      <c r="AH5" s="128">
        <f>SUMIFS('Expenditure Breakdown'!$G$6:$G$447, 'Expenditure Breakdown'!$H$6:$H$447, "&gt;="&amp;AH1,'Expenditure Breakdown'!$H$6:$H$447, "&lt;"&amp;AI1)</f>
        <v>0</v>
      </c>
      <c r="AI5" s="128">
        <f>SUMIFS('Expenditure Breakdown'!$G$6:$G$447, 'Expenditure Breakdown'!$H$6:$H$447, "&gt;="&amp;AI1,'Expenditure Breakdown'!$H$6:$H$447, "&lt;"&amp;AJ1)</f>
        <v>0</v>
      </c>
      <c r="AJ5" s="128">
        <f>SUMIFS('Expenditure Breakdown'!$G$6:$G$447, 'Expenditure Breakdown'!$H$6:$H$447, "&gt;="&amp;AJ1,'Expenditure Breakdown'!$H$6:$H$447, "&lt;"&amp;AK1)</f>
        <v>0</v>
      </c>
      <c r="AK5" s="128">
        <f>SUMIFS('Expenditure Breakdown'!$G$6:$G$447, 'Expenditure Breakdown'!$H$6:$H$447, "&gt;="&amp;AK1,'Expenditure Breakdown'!$H$6:$H$447, "&lt;"&amp;AL1)</f>
        <v>2045000</v>
      </c>
      <c r="AL5" s="128">
        <f>SUMIFS('Expenditure Breakdown'!$G$6:$G$447, 'Expenditure Breakdown'!$H$6:$H$447, "&gt;="&amp;AL1,'Expenditure Breakdown'!$H$6:$H$447, "&lt;"&amp;AM1)</f>
        <v>10999808.9</v>
      </c>
      <c r="AM5" s="128">
        <f>SUMIFS('Expenditure Breakdown'!$G$6:$G$447, 'Expenditure Breakdown'!$H$6:$H$447, "&gt;="&amp;AM1,'Expenditure Breakdown'!$H$6:$H$447, "&lt;"&amp;AN1)</f>
        <v>0</v>
      </c>
      <c r="AN5" s="128">
        <f>SUMIFS('Expenditure Breakdown'!$G$6:$G$447, 'Expenditure Breakdown'!$H$6:$H$447, "&gt;="&amp;AN1,'Expenditure Breakdown'!$H$6:$H$447, "&lt;"&amp;AO1)</f>
        <v>0</v>
      </c>
      <c r="AO5" s="128">
        <f>SUMIFS('Expenditure Breakdown'!$G$6:$G$447, 'Expenditure Breakdown'!$H$6:$H$447, "&gt;="&amp;AO1,'Expenditure Breakdown'!$H$6:$H$447, "&lt;"&amp;AP1)</f>
        <v>394304.23333333328</v>
      </c>
      <c r="AP5" s="128">
        <f>SUMIFS('Expenditure Breakdown'!$G$6:$G$447, 'Expenditure Breakdown'!$H$6:$H$447, "&gt;="&amp;AP1,'Expenditure Breakdown'!$H$6:$H$447, "&lt;"&amp;AQ1)</f>
        <v>0</v>
      </c>
      <c r="AQ5" s="128">
        <f>SUMIFS('Expenditure Breakdown'!$G$6:$G$447, 'Expenditure Breakdown'!$H$6:$H$447, "&gt;="&amp;AQ1,'Expenditure Breakdown'!$H$6:$H$447, "&lt;"&amp;AR1)</f>
        <v>0</v>
      </c>
      <c r="AR5" s="128">
        <f>SUMIFS('Expenditure Breakdown'!$G$6:$G$447, 'Expenditure Breakdown'!$H$6:$H$447, "&gt;="&amp;AR1,'Expenditure Breakdown'!$H$6:$H$447, "&lt;"&amp;AS1)</f>
        <v>12030860.6085</v>
      </c>
      <c r="AS5" s="128">
        <f>SUMIFS('Expenditure Breakdown'!$G$6:$G$447, 'Expenditure Breakdown'!$H$6:$H$447, "&gt;="&amp;AS1,'Expenditure Breakdown'!$H$6:$H$447, "&lt;"&amp;AT1)</f>
        <v>0</v>
      </c>
      <c r="AT5" s="128">
        <f>SUMIFS('Expenditure Breakdown'!$G$6:$G$447, 'Expenditure Breakdown'!$H$6:$H$447, "&gt;="&amp;AT1,'Expenditure Breakdown'!$H$6:$H$447, "&lt;"&amp;AU1)</f>
        <v>0</v>
      </c>
      <c r="AU5" s="128">
        <f>SUMIFS('Expenditure Breakdown'!$G$6:$G$447, 'Expenditure Breakdown'!$H$6:$H$447, "&gt;="&amp;AU1,'Expenditure Breakdown'!$H$6:$H$447, "&lt;"&amp;AV1)</f>
        <v>0</v>
      </c>
      <c r="AV5" s="128">
        <f>SUMIFS('Expenditure Breakdown'!$G$6:$G$447, 'Expenditure Breakdown'!$H$6:$H$447, "&gt;="&amp;AV1,'Expenditure Breakdown'!$H$6:$H$447, "&lt;"&amp;AW1)</f>
        <v>0</v>
      </c>
      <c r="AW5" s="128">
        <f>SUMIFS('Expenditure Breakdown'!$G$6:$G$447, 'Expenditure Breakdown'!$H$6:$H$447, "&gt;="&amp;AW1,'Expenditure Breakdown'!$H$6:$H$447, "&lt;"&amp;AX1)</f>
        <v>0</v>
      </c>
      <c r="AX5" s="128">
        <f>SUMIFS('Expenditure Breakdown'!$G$6:$G$447, 'Expenditure Breakdown'!$H$6:$H$447, "&gt;="&amp;AX1,'Expenditure Breakdown'!$H$6:$H$447, "&lt;"&amp;AY1)</f>
        <v>505449.89057158865</v>
      </c>
      <c r="AY5" s="128">
        <f>SUMIFS('Expenditure Breakdown'!$G$6:$G$447, 'Expenditure Breakdown'!$H$6:$H$447, "&gt;="&amp;AY1,'Expenditure Breakdown'!$H$6:$H$447, "&lt;"&amp;AZ1)</f>
        <v>0</v>
      </c>
      <c r="AZ5" s="128">
        <f>SUMIFS('Expenditure Breakdown'!$G$6:$G$447, 'Expenditure Breakdown'!$H$6:$H$447, "&gt;="&amp;AZ1,'Expenditure Breakdown'!$H$6:$H$447, "&lt;"&amp;BA1)</f>
        <v>0</v>
      </c>
      <c r="BA5" s="128">
        <f>SUMIFS('Expenditure Breakdown'!$G$6:$G$447, 'Expenditure Breakdown'!$H$6:$H$447, "&gt;="&amp;BA1,'Expenditure Breakdown'!$H$6:$H$447, "&lt;"&amp;BB1)</f>
        <v>0</v>
      </c>
      <c r="BB5" s="128">
        <f>SUMIFS('Expenditure Breakdown'!$G$6:$G$447, 'Expenditure Breakdown'!$H$6:$H$447, "&gt;="&amp;BB1,'Expenditure Breakdown'!$H$6:$H$447, "&lt;"&amp;BC1)</f>
        <v>0</v>
      </c>
      <c r="BC5" s="128">
        <f>SUMIFS('Expenditure Breakdown'!$G$6:$G$447, 'Expenditure Breakdown'!$H$6:$H$447, "&gt;="&amp;BC1,'Expenditure Breakdown'!$H$6:$H$447, "&lt;"&amp;BD1)</f>
        <v>950000</v>
      </c>
      <c r="BD5" s="128">
        <f>SUMIFS('Expenditure Breakdown'!$G$6:$G$447, 'Expenditure Breakdown'!$H$6:$H$447, "&gt;="&amp;BD1,'Expenditure Breakdown'!$H$6:$H$447, "&lt;"&amp;BE1)</f>
        <v>0</v>
      </c>
      <c r="BE5" s="128">
        <f>SUMIFS('Expenditure Breakdown'!$G$6:$G$447, 'Expenditure Breakdown'!$H$6:$H$447, "&gt;="&amp;BE1,'Expenditure Breakdown'!$H$6:$H$447, "&lt;"&amp;BF1)</f>
        <v>0</v>
      </c>
      <c r="BF5" s="128">
        <f>SUMIFS('Expenditure Breakdown'!$G$6:$G$447, 'Expenditure Breakdown'!$H$6:$H$447, "&gt;="&amp;BF1,'Expenditure Breakdown'!$H$6:$H$447, "&lt;"&amp;BG1)</f>
        <v>0</v>
      </c>
      <c r="BG5" s="128">
        <f>SUMIFS('Expenditure Breakdown'!$G$6:$G$447, 'Expenditure Breakdown'!$H$6:$H$447, "&gt;="&amp;BG1,'Expenditure Breakdown'!$H$6:$H$447, "&lt;"&amp;BH1)</f>
        <v>0</v>
      </c>
      <c r="BH5" s="128">
        <f>SUMIFS('Expenditure Breakdown'!$G$6:$G$447, 'Expenditure Breakdown'!$H$6:$H$447, "&gt;="&amp;BH1,'Expenditure Breakdown'!$H$6:$H$447, "&lt;"&amp;BI1)</f>
        <v>0</v>
      </c>
      <c r="BI5" s="128">
        <f>SUMIFS('Expenditure Breakdown'!$G$6:$G$447, 'Expenditure Breakdown'!$H$6:$H$447, "&gt;="&amp;BI1,'Expenditure Breakdown'!$H$6:$H$447, "&lt;"&amp;BJ1)</f>
        <v>0</v>
      </c>
      <c r="BJ5" s="128">
        <f>SUMIFS('Expenditure Breakdown'!$G$6:$G$447, 'Expenditure Breakdown'!$H$6:$H$447, "&gt;="&amp;BJ1,'Expenditure Breakdown'!$H$6:$H$447, "&lt;"&amp;BK1)</f>
        <v>0</v>
      </c>
      <c r="BK5" s="128">
        <f>SUMIFS('Expenditure Breakdown'!$G$6:$G$447, 'Expenditure Breakdown'!$H$6:$H$447, "&gt;="&amp;BK1,'Expenditure Breakdown'!$H$6:$H$447, "&lt;"&amp;BL1)</f>
        <v>0</v>
      </c>
      <c r="BL5" s="128">
        <f>SUMIFS('Expenditure Breakdown'!$G$6:$G$447, 'Expenditure Breakdown'!$H$6:$H$447, "&gt;="&amp;BL1,'Expenditure Breakdown'!$H$6:$H$447, "&lt;"&amp;BM1)</f>
        <v>0</v>
      </c>
      <c r="BM5" s="128">
        <f>SUMIFS('Expenditure Breakdown'!$G$6:$G$447, 'Expenditure Breakdown'!$H$6:$H$447, "&gt;="&amp;BM1,'Expenditure Breakdown'!$H$6:$H$447, "&lt;"&amp;BN1)</f>
        <v>0</v>
      </c>
      <c r="BN5" s="128">
        <f>SUMIFS('Expenditure Breakdown'!$G$6:$G$447, 'Expenditure Breakdown'!$H$6:$H$447, "&gt;="&amp;BN1,'Expenditure Breakdown'!$H$6:$H$447, "&lt;"&amp;BO1)</f>
        <v>0</v>
      </c>
      <c r="BO5" s="128">
        <f>SUMIFS('Expenditure Breakdown'!$G$6:$G$447, 'Expenditure Breakdown'!$H$6:$H$447, "&gt;="&amp;BO1,'Expenditure Breakdown'!$H$6:$H$447, "&lt;"&amp;BP1)</f>
        <v>0</v>
      </c>
      <c r="BP5" s="128">
        <f>SUMIFS('Expenditure Breakdown'!$G$6:$G$447, 'Expenditure Breakdown'!$H$6:$H$447, "&gt;="&amp;BP1,'Expenditure Breakdown'!$H$6:$H$447, "&lt;"&amp;BQ1)</f>
        <v>0</v>
      </c>
      <c r="BQ5" s="128">
        <f>SUMIFS('Expenditure Breakdown'!$G$6:$G$447, 'Expenditure Breakdown'!$H$6:$H$447, "&gt;="&amp;BQ1,'Expenditure Breakdown'!$H$6:$H$447, "&lt;"&amp;BR1)</f>
        <v>0</v>
      </c>
      <c r="BR5" s="128">
        <f>SUMIFS('Expenditure Breakdown'!$G$6:$G$447, 'Expenditure Breakdown'!$H$6:$H$447, "&gt;="&amp;BR1,'Expenditure Breakdown'!$H$6:$H$447, "&lt;"&amp;BS1)</f>
        <v>0</v>
      </c>
      <c r="BS5" s="128">
        <f>SUMIFS('Expenditure Breakdown'!$G$6:$G$447, 'Expenditure Breakdown'!$H$6:$H$447, "&gt;="&amp;BS1,'Expenditure Breakdown'!$H$6:$H$447, "&lt;"&amp;BT1)</f>
        <v>0</v>
      </c>
      <c r="BT5" s="128">
        <f>SUMIFS('Expenditure Breakdown'!$G$6:$G$447, 'Expenditure Breakdown'!$H$6:$H$447, "&gt;="&amp;BT1,'Expenditure Breakdown'!$H$6:$H$447, "&lt;"&amp;BU1)</f>
        <v>0</v>
      </c>
      <c r="BU5" s="128">
        <f>SUMIFS('Expenditure Breakdown'!$G$6:$G$447, 'Expenditure Breakdown'!$H$6:$H$447, "&gt;="&amp;BU1,'Expenditure Breakdown'!$H$6:$H$447, "&lt;"&amp;BV1)</f>
        <v>0</v>
      </c>
      <c r="BV5" s="128">
        <f>SUMIFS('Expenditure Breakdown'!$G$6:$G$447, 'Expenditure Breakdown'!$H$6:$H$447, "&gt;="&amp;BV1,'Expenditure Breakdown'!$H$6:$H$447, "&lt;"&amp;BW1)</f>
        <v>0</v>
      </c>
      <c r="BW5" s="128">
        <f>SUMIFS('Expenditure Breakdown'!$G$6:$G$447, 'Expenditure Breakdown'!$H$6:$H$447, "&gt;="&amp;BW1,'Expenditure Breakdown'!$H$6:$H$447, "&lt;"&amp;BX1)</f>
        <v>0</v>
      </c>
      <c r="BX5" s="128">
        <f>SUMIFS('Expenditure Breakdown'!$G$6:$G$447, 'Expenditure Breakdown'!$H$6:$H$447, "&gt;="&amp;BX1,'Expenditure Breakdown'!$H$6:$H$447, "&lt;"&amp;BY1)</f>
        <v>0</v>
      </c>
      <c r="BY5" s="128">
        <f>SUMIFS('Expenditure Breakdown'!$G$6:$G$447, 'Expenditure Breakdown'!$H$6:$H$447, "&gt;="&amp;BY1,'Expenditure Breakdown'!$H$6:$H$447, "&lt;"&amp;BZ1)</f>
        <v>0</v>
      </c>
      <c r="BZ5" s="128">
        <f>SUMIFS('Expenditure Breakdown'!$G$6:$G$447, 'Expenditure Breakdown'!$H$6:$H$447, "&gt;="&amp;BZ1,'Expenditure Breakdown'!$H$6:$H$447, "&lt;"&amp;CA1)</f>
        <v>0</v>
      </c>
      <c r="CA5" s="128">
        <f>SUMIFS('Expenditure Breakdown'!$G$6:$G$447, 'Expenditure Breakdown'!$H$6:$H$447, "&gt;="&amp;CA1,'Expenditure Breakdown'!$H$6:$H$447, "&lt;"&amp;CB1)</f>
        <v>0</v>
      </c>
      <c r="CB5" s="128">
        <f>SUMIFS('Expenditure Breakdown'!$G$6:$G$447, 'Expenditure Breakdown'!$H$6:$H$447, "&gt;="&amp;CB1,'Expenditure Breakdown'!$H$6:$H$447, "&lt;"&amp;CC1)</f>
        <v>0</v>
      </c>
      <c r="CC5" s="128">
        <f>SUMIFS('Expenditure Breakdown'!$G$6:$G$447, 'Expenditure Breakdown'!$H$6:$H$447, "&gt;="&amp;CC1,'Expenditure Breakdown'!$H$6:$H$447, "&lt;"&amp;CD1)</f>
        <v>0</v>
      </c>
      <c r="CD5" s="128">
        <f>SUMIFS('Expenditure Breakdown'!$G$6:$G$447, 'Expenditure Breakdown'!$H$6:$H$447, "&gt;="&amp;CD1,'Expenditure Breakdown'!$H$6:$H$447, "&lt;"&amp;CE1)</f>
        <v>0</v>
      </c>
      <c r="CE5" s="128">
        <f>SUMIFS('Expenditure Breakdown'!$G$6:$G$447, 'Expenditure Breakdown'!$H$6:$H$447, "&gt;="&amp;CE1,'Expenditure Breakdown'!$H$6:$H$447, "&lt;"&amp;CF1)</f>
        <v>0</v>
      </c>
      <c r="CF5" s="128">
        <f>SUMIFS('Expenditure Breakdown'!$G$6:$G$447, 'Expenditure Breakdown'!$H$6:$H$447, "&gt;="&amp;CF1,'Expenditure Breakdown'!$H$6:$H$447, "&lt;"&amp;CG1)</f>
        <v>0</v>
      </c>
      <c r="CG5" s="128">
        <f>SUMIFS('Expenditure Breakdown'!$G$6:$G$447, 'Expenditure Breakdown'!$H$6:$H$447, "&gt;="&amp;CG1,'Expenditure Breakdown'!$H$6:$H$447, "&lt;"&amp;CH1)</f>
        <v>0</v>
      </c>
      <c r="CH5" s="128">
        <f>SUMIFS('Expenditure Breakdown'!$G$6:$G$447, 'Expenditure Breakdown'!$H$6:$H$447, "&gt;="&amp;CH1,'Expenditure Breakdown'!$H$6:$H$447, "&lt;"&amp;CI1)</f>
        <v>0</v>
      </c>
      <c r="CI5" s="128">
        <f>SUMIFS('Expenditure Breakdown'!$G$6:$G$447, 'Expenditure Breakdown'!$H$6:$H$447, "&gt;="&amp;CI1,'Expenditure Breakdown'!$H$6:$H$447, "&lt;"&amp;CJ1)</f>
        <v>0</v>
      </c>
      <c r="CJ5" s="128">
        <f>SUMIFS('Expenditure Breakdown'!$G$6:$G$447, 'Expenditure Breakdown'!$H$6:$H$447, "&gt;="&amp;CJ1,'Expenditure Breakdown'!$H$6:$H$447, "&lt;"&amp;CK1)</f>
        <v>0</v>
      </c>
      <c r="CK5" s="128">
        <f>SUMIFS('Expenditure Breakdown'!$G$6:$G$447, 'Expenditure Breakdown'!$H$6:$H$447, "&gt;="&amp;CK1,'Expenditure Breakdown'!$H$6:$H$447, "&lt;"&amp;CL1)</f>
        <v>0</v>
      </c>
      <c r="CL5" s="128">
        <f>SUMIFS('Expenditure Breakdown'!$G$6:$G$447, 'Expenditure Breakdown'!$H$6:$H$447, "&gt;="&amp;CL1,'Expenditure Breakdown'!$H$6:$H$447, "&lt;"&amp;CM1)</f>
        <v>0</v>
      </c>
      <c r="CM5" s="128">
        <f>SUMIFS('Expenditure Breakdown'!$G$6:$G$447, 'Expenditure Breakdown'!$H$6:$H$447, "&gt;="&amp;CM1,'Expenditure Breakdown'!$H$6:$H$447, "&lt;"&amp;CN1)</f>
        <v>0</v>
      </c>
      <c r="CN5" s="128">
        <f>SUMIFS('Expenditure Breakdown'!$G$6:$G$447, 'Expenditure Breakdown'!$H$6:$H$447, "&gt;="&amp;CN1,'Expenditure Breakdown'!$H$6:$H$447, "&lt;"&amp;CO1)</f>
        <v>0</v>
      </c>
      <c r="CO5" s="128">
        <f>SUMIFS('Expenditure Breakdown'!$G$6:$G$447, 'Expenditure Breakdown'!$H$6:$H$447, "&gt;="&amp;CO1,'Expenditure Breakdown'!$H$6:$H$447, "&lt;"&amp;CP1)</f>
        <v>0</v>
      </c>
      <c r="CP5" s="128">
        <f>SUMIFS('Expenditure Breakdown'!$G$6:$G$447, 'Expenditure Breakdown'!$H$6:$H$447, "&gt;="&amp;CP1,'Expenditure Breakdown'!$H$6:$H$447, "&lt;"&amp;CQ1)</f>
        <v>0</v>
      </c>
      <c r="CQ5" s="128">
        <f>SUMIFS('Expenditure Breakdown'!$G$6:$G$447, 'Expenditure Breakdown'!$H$6:$H$447, "&gt;="&amp;CQ1,'Expenditure Breakdown'!$H$6:$H$447, "&lt;"&amp;CR1)</f>
        <v>0</v>
      </c>
      <c r="CR5" s="128">
        <f>SUMIFS('Expenditure Breakdown'!$G$6:$G$447, 'Expenditure Breakdown'!$H$6:$H$447, "&gt;="&amp;CR1,'Expenditure Breakdown'!$H$6:$H$447, "&lt;"&amp;CS1)</f>
        <v>0</v>
      </c>
      <c r="CS5" s="128">
        <f>SUMIFS('Expenditure Breakdown'!$G$6:$G$447, 'Expenditure Breakdown'!$H$6:$H$447, "&gt;="&amp;CS1,'Expenditure Breakdown'!$H$6:$H$447, "&lt;"&amp;CT1)</f>
        <v>0</v>
      </c>
      <c r="CT5" s="128">
        <f>SUMIFS('Expenditure Breakdown'!$G$6:$G$447, 'Expenditure Breakdown'!$H$6:$H$447, "&gt;="&amp;CT1,'Expenditure Breakdown'!$H$6:$H$447, "&lt;"&amp;CU1)</f>
        <v>0</v>
      </c>
      <c r="CU5" s="128">
        <f>SUMIFS('Expenditure Breakdown'!$G$6:$G$447, 'Expenditure Breakdown'!$H$6:$H$447, "&gt;="&amp;CU1,'Expenditure Breakdown'!$H$6:$H$447, "&lt;"&amp;CV1)</f>
        <v>0</v>
      </c>
      <c r="CV5" s="128">
        <f>SUMIFS('Expenditure Breakdown'!$G$6:$G$447, 'Expenditure Breakdown'!$H$6:$H$447, "&gt;="&amp;CV1,'Expenditure Breakdown'!$H$6:$H$447, "&lt;"&amp;CW1)</f>
        <v>0</v>
      </c>
      <c r="CW5" s="128">
        <f>SUMIFS('Expenditure Breakdown'!$G$6:$G$447, 'Expenditure Breakdown'!$H$6:$H$447, "&gt;="&amp;CW1,'Expenditure Breakdown'!$H$6:$H$447, "&lt;"&amp;CX1)</f>
        <v>0</v>
      </c>
      <c r="CX5" s="128">
        <f>SUMIFS('Expenditure Breakdown'!$G$6:$G$447, 'Expenditure Breakdown'!$H$6:$H$447, "&gt;="&amp;CX1,'Expenditure Breakdown'!$H$6:$H$447, "&lt;"&amp;CY1)</f>
        <v>0</v>
      </c>
      <c r="CY5" s="128">
        <f>SUMIFS('Expenditure Breakdown'!$G$6:$G$447, 'Expenditure Breakdown'!$H$6:$H$447, "&gt;="&amp;CY1,'Expenditure Breakdown'!$H$6:$H$447, "&lt;"&amp;CZ1)</f>
        <v>0</v>
      </c>
      <c r="CZ5" s="128">
        <f>SUMIFS('Expenditure Breakdown'!$G$6:$G$447, 'Expenditure Breakdown'!$H$6:$H$447, "&gt;="&amp;CZ1,'Expenditure Breakdown'!$H$6:$H$447, "&lt;"&amp;DA1)</f>
        <v>0</v>
      </c>
      <c r="DA5" s="128">
        <f>SUMIFS('Expenditure Breakdown'!$G$6:$G$447, 'Expenditure Breakdown'!$H$6:$H$447, "&gt;="&amp;DA1,'Expenditure Breakdown'!$H$6:$H$447, "&lt;"&amp;DB1)</f>
        <v>0</v>
      </c>
      <c r="DB5" s="128">
        <f>SUMIFS('Expenditure Breakdown'!$G$6:$G$447, 'Expenditure Breakdown'!$H$6:$H$447, "&gt;="&amp;DB1,'Expenditure Breakdown'!$H$6:$H$447, "&lt;"&amp;DC1)</f>
        <v>0</v>
      </c>
      <c r="DC5" s="128">
        <f>SUMIFS('Expenditure Breakdown'!$G$6:$G$447, 'Expenditure Breakdown'!$H$6:$H$447, "&gt;="&amp;DC1,'Expenditure Breakdown'!$H$6:$H$447, "&lt;"&amp;DD1)</f>
        <v>0</v>
      </c>
      <c r="DD5" s="128">
        <f>SUMIFS('Expenditure Breakdown'!$G$6:$G$447, 'Expenditure Breakdown'!$H$6:$H$447, "&gt;="&amp;DD1,'Expenditure Breakdown'!$H$6:$H$447, "&lt;"&amp;DE1)</f>
        <v>0</v>
      </c>
      <c r="DE5" s="128">
        <f>SUMIFS('Expenditure Breakdown'!$G$6:$G$447, 'Expenditure Breakdown'!$H$6:$H$447, "&gt;="&amp;DE1,'Expenditure Breakdown'!$H$6:$H$447, "&lt;"&amp;DF1)</f>
        <v>0</v>
      </c>
      <c r="DF5" s="128">
        <f>SUMIFS('Expenditure Breakdown'!$G$6:$G$447, 'Expenditure Breakdown'!$H$6:$H$447, "&gt;="&amp;DF1,'Expenditure Breakdown'!$H$6:$H$447, "&lt;"&amp;DG1)</f>
        <v>0</v>
      </c>
      <c r="DG5" s="128">
        <f>SUMIFS('Expenditure Breakdown'!$G$6:$G$447, 'Expenditure Breakdown'!$H$6:$H$447, "&gt;="&amp;DG1,'Expenditure Breakdown'!$H$6:$H$447, "&lt;"&amp;DH1)</f>
        <v>0</v>
      </c>
      <c r="DH5" s="128">
        <f>SUMIFS('Expenditure Breakdown'!$G$6:$G$447, 'Expenditure Breakdown'!$H$6:$H$447, "&gt;="&amp;DH1,'Expenditure Breakdown'!$H$6:$H$447, "&lt;"&amp;DI1)</f>
        <v>0</v>
      </c>
      <c r="DI5" s="128">
        <f>SUMIFS('Expenditure Breakdown'!$G$6:$G$447, 'Expenditure Breakdown'!$H$6:$H$447, "&gt;="&amp;DI1,'Expenditure Breakdown'!$H$6:$H$447, "&lt;"&amp;DJ1)</f>
        <v>0</v>
      </c>
      <c r="DJ5" s="128">
        <f>SUMIFS('Expenditure Breakdown'!$G$6:$G$447, 'Expenditure Breakdown'!$H$6:$H$447, "&gt;="&amp;DJ1,'Expenditure Breakdown'!$H$6:$H$447, "&lt;"&amp;DK1)</f>
        <v>0</v>
      </c>
      <c r="DK5" s="128">
        <f>SUMIFS('Expenditure Breakdown'!$G$6:$G$447, 'Expenditure Breakdown'!$H$6:$H$447, "&gt;="&amp;DK1,'Expenditure Breakdown'!$H$6:$H$447, "&lt;"&amp;DL1)</f>
        <v>0</v>
      </c>
      <c r="DL5" s="128">
        <f>SUMIFS('Expenditure Breakdown'!$G$6:$G$447, 'Expenditure Breakdown'!$H$6:$H$447, "&gt;="&amp;DL1,'Expenditure Breakdown'!$H$6:$H$447, "&lt;"&amp;DM1)</f>
        <v>0</v>
      </c>
      <c r="DM5" s="128">
        <f>SUMIFS('Expenditure Breakdown'!$G$6:$G$447, 'Expenditure Breakdown'!$H$6:$H$447, "&gt;="&amp;DM1,'Expenditure Breakdown'!$H$6:$H$447, "&lt;"&amp;DN1)</f>
        <v>0</v>
      </c>
      <c r="DN5" s="128">
        <f>SUMIFS('Expenditure Breakdown'!$G$6:$G$447, 'Expenditure Breakdown'!$H$6:$H$447, "&gt;="&amp;DN1,'Expenditure Breakdown'!$H$6:$H$447, "&lt;"&amp;DO1)</f>
        <v>0</v>
      </c>
      <c r="DO5" s="128">
        <f>SUMIFS('Expenditure Breakdown'!$G$6:$G$447, 'Expenditure Breakdown'!$H$6:$H$447, "&gt;="&amp;DO1,'Expenditure Breakdown'!$H$6:$H$447, "&lt;"&amp;DP1)</f>
        <v>0</v>
      </c>
      <c r="DP5" s="128">
        <f>SUMIFS('Expenditure Breakdown'!$G$6:$G$447, 'Expenditure Breakdown'!$H$6:$H$447, "&gt;="&amp;DP1,'Expenditure Breakdown'!$H$6:$H$447, "&lt;"&amp;DQ1)</f>
        <v>0</v>
      </c>
      <c r="DQ5" s="128">
        <f>SUMIFS('Expenditure Breakdown'!$G$6:$G$447, 'Expenditure Breakdown'!$H$6:$H$447, "&gt;="&amp;DQ1,'Expenditure Breakdown'!$H$6:$H$447, "&lt;"&amp;DR1)</f>
        <v>0</v>
      </c>
      <c r="DR5" s="128">
        <f>SUMIFS('Expenditure Breakdown'!$G$6:$G$447, 'Expenditure Breakdown'!$H$6:$H$447, "&gt;="&amp;DR1,'Expenditure Breakdown'!$H$6:$H$447, "&lt;"&amp;DS1)</f>
        <v>0</v>
      </c>
      <c r="DS5" s="128">
        <f>SUMIFS('Expenditure Breakdown'!$G$6:$G$447, 'Expenditure Breakdown'!$H$6:$H$447, "&gt;="&amp;DS1,'Expenditure Breakdown'!$H$6:$H$447, "&lt;"&amp;DT1)</f>
        <v>0</v>
      </c>
      <c r="DT5" s="128">
        <f>SUMIFS('Expenditure Breakdown'!$G$6:$G$447, 'Expenditure Breakdown'!$H$6:$H$447, "&gt;="&amp;DT1,'Expenditure Breakdown'!$H$6:$H$447, "&lt;"&amp;DU1)</f>
        <v>0</v>
      </c>
      <c r="DU5" s="128">
        <f>SUMIFS('Expenditure Breakdown'!$G$6:$G$447, 'Expenditure Breakdown'!$H$6:$H$447, "&gt;="&amp;DU1,'Expenditure Breakdown'!$H$6:$H$447, "&lt;"&amp;DV1)</f>
        <v>0</v>
      </c>
      <c r="DV5" s="128">
        <f>SUMIFS('Expenditure Breakdown'!$G$6:$G$447, 'Expenditure Breakdown'!$H$6:$H$447, "&gt;="&amp;DV1,'Expenditure Breakdown'!$H$6:$H$447, "&lt;"&amp;DW1)</f>
        <v>0</v>
      </c>
      <c r="DW5" s="128">
        <f>SUMIFS('Expenditure Breakdown'!$G$6:$G$447, 'Expenditure Breakdown'!$H$6:$H$447, "&gt;="&amp;DW1,'Expenditure Breakdown'!$H$6:$H$447, "&lt;"&amp;DX1)</f>
        <v>0</v>
      </c>
      <c r="DX5" s="128">
        <f>SUMIFS('Expenditure Breakdown'!$G$6:$G$447, 'Expenditure Breakdown'!$H$6:$H$447, "&gt;="&amp;DX1,'Expenditure Breakdown'!$H$6:$H$447, "&lt;"&amp;DY1)</f>
        <v>0</v>
      </c>
      <c r="DY5" s="128">
        <f>SUMIFS('Expenditure Breakdown'!$G$6:$G$447, 'Expenditure Breakdown'!$H$6:$H$447, "&gt;="&amp;DY1,'Expenditure Breakdown'!$H$6:$H$447, "&lt;"&amp;DZ1)</f>
        <v>0</v>
      </c>
      <c r="DZ5" s="128">
        <f>SUMIFS('Expenditure Breakdown'!$G$6:$G$447, 'Expenditure Breakdown'!$H$6:$H$447, "&gt;="&amp;DZ1,'Expenditure Breakdown'!$H$6:$H$447, "&lt;"&amp;EA1)</f>
        <v>0</v>
      </c>
      <c r="EA5" s="128">
        <f>SUMIFS('Expenditure Breakdown'!$G$6:$G$447, 'Expenditure Breakdown'!$H$6:$H$447, "&gt;="&amp;EA1,'Expenditure Breakdown'!$H$6:$H$447, "&lt;"&amp;EB1)</f>
        <v>0</v>
      </c>
      <c r="EB5" s="128">
        <f>SUMIFS('Expenditure Breakdown'!$G$6:$G$447, 'Expenditure Breakdown'!$H$6:$H$447, "&gt;="&amp;EB1,'Expenditure Breakdown'!$H$6:$H$447, "&lt;"&amp;EC1)</f>
        <v>0</v>
      </c>
      <c r="EC5" s="128">
        <f>SUMIFS('Expenditure Breakdown'!$G$6:$G$447, 'Expenditure Breakdown'!$H$6:$H$447, "&gt;="&amp;EC1,'Expenditure Breakdown'!$H$6:$H$447, "&lt;"&amp;ED1)</f>
        <v>0</v>
      </c>
      <c r="ED5" s="128">
        <f>SUMIFS('Expenditure Breakdown'!$G$6:$G$447, 'Expenditure Breakdown'!$H$6:$H$447, "&gt;="&amp;ED1,'Expenditure Breakdown'!$H$6:$H$447, "&lt;"&amp;EE1)</f>
        <v>0</v>
      </c>
      <c r="EE5" s="128">
        <f>SUMIFS('Expenditure Breakdown'!$G$6:$G$447, 'Expenditure Breakdown'!$H$6:$H$447, "&gt;="&amp;EE1,'Expenditure Breakdown'!$H$6:$H$447, "&lt;"&amp;EF1)</f>
        <v>0</v>
      </c>
      <c r="EF5" s="128">
        <f>SUMIFS('Expenditure Breakdown'!$G$6:$G$447, 'Expenditure Breakdown'!$H$6:$H$447, "&gt;="&amp;EF1,'Expenditure Breakdown'!$H$6:$H$447, "&lt;"&amp;EG1)</f>
        <v>0</v>
      </c>
      <c r="EG5" s="128">
        <f>SUMIFS('Expenditure Breakdown'!$G$6:$G$447, 'Expenditure Breakdown'!$H$6:$H$447, "&gt;="&amp;EG1,'Expenditure Breakdown'!$H$6:$H$447, "&lt;"&amp;EH1)</f>
        <v>0</v>
      </c>
      <c r="EH5" s="128">
        <f>SUMIFS('Expenditure Breakdown'!$G$6:$G$447, 'Expenditure Breakdown'!$H$6:$H$447, "&gt;="&amp;EH1,'Expenditure Breakdown'!$H$6:$H$447, "&lt;"&amp;EI1)</f>
        <v>0</v>
      </c>
      <c r="EI5" s="128">
        <f>SUMIFS('Expenditure Breakdown'!$G$6:$G$447, 'Expenditure Breakdown'!$H$6:$H$447, "&gt;="&amp;EI1,'Expenditure Breakdown'!$H$6:$H$447, "&lt;"&amp;EJ1)</f>
        <v>0</v>
      </c>
      <c r="EJ5" s="128">
        <f>SUMIFS('Expenditure Breakdown'!$G$6:$G$447, 'Expenditure Breakdown'!$H$6:$H$447, "&gt;="&amp;EJ1,'Expenditure Breakdown'!$H$6:$H$447, "&lt;"&amp;EK1)</f>
        <v>0</v>
      </c>
      <c r="EK5" s="128">
        <f>SUMIFS('Expenditure Breakdown'!$G$6:$G$447, 'Expenditure Breakdown'!$H$6:$H$447, "&gt;="&amp;EK1,'Expenditure Breakdown'!$H$6:$H$447, "&lt;"&amp;EL1)</f>
        <v>0</v>
      </c>
      <c r="EL5" s="128">
        <f>SUMIFS('Expenditure Breakdown'!$G$6:$G$447, 'Expenditure Breakdown'!$H$6:$H$447, "&gt;="&amp;EL1,'Expenditure Breakdown'!$H$6:$H$447, "&lt;"&amp;EM1)</f>
        <v>0</v>
      </c>
      <c r="EM5" s="128">
        <f>SUMIFS('Expenditure Breakdown'!$G$6:$G$447, 'Expenditure Breakdown'!$H$6:$H$447, "&gt;="&amp;EM1,'Expenditure Breakdown'!$H$6:$H$447, "&lt;"&amp;EN1)</f>
        <v>0</v>
      </c>
      <c r="EN5" s="128">
        <f>SUMIFS('Expenditure Breakdown'!$G$6:$G$447, 'Expenditure Breakdown'!$H$6:$H$447, "&gt;="&amp;EN1,'Expenditure Breakdown'!$H$6:$H$447, "&lt;"&amp;EO1)</f>
        <v>0</v>
      </c>
      <c r="EO5" s="128">
        <f>SUMIFS('Expenditure Breakdown'!$G$6:$G$447, 'Expenditure Breakdown'!$H$6:$H$447, "&gt;="&amp;EO1,'Expenditure Breakdown'!$H$6:$H$447, "&lt;"&amp;EP1)</f>
        <v>0</v>
      </c>
      <c r="EP5" s="128">
        <f>SUMIFS('Expenditure Breakdown'!$G$6:$G$447, 'Expenditure Breakdown'!$H$6:$H$447, "&gt;="&amp;EP1,'Expenditure Breakdown'!$H$6:$H$447, "&lt;"&amp;EQ1)</f>
        <v>0</v>
      </c>
      <c r="EQ5" s="128">
        <f>SUMIFS('Expenditure Breakdown'!$G$6:$G$447, 'Expenditure Breakdown'!$H$6:$H$447, "&gt;="&amp;EQ1,'Expenditure Breakdown'!$H$6:$H$447, "&lt;"&amp;ER1)</f>
        <v>0</v>
      </c>
      <c r="ER5" s="128">
        <f>SUMIFS('Expenditure Breakdown'!$G$6:$G$447, 'Expenditure Breakdown'!$H$6:$H$447, "&gt;="&amp;ER1,'Expenditure Breakdown'!$H$6:$H$447, "&lt;"&amp;ES1)</f>
        <v>0</v>
      </c>
      <c r="ES5" s="128">
        <f>SUMIFS('Expenditure Breakdown'!$G$6:$G$447, 'Expenditure Breakdown'!$H$6:$H$447, "&gt;="&amp;ES1,'Expenditure Breakdown'!$H$6:$H$447, "&lt;"&amp;ET1)</f>
        <v>0</v>
      </c>
      <c r="ET5" s="128">
        <f>SUMIFS('Expenditure Breakdown'!$G$6:$G$447, 'Expenditure Breakdown'!$H$6:$H$447, "&gt;="&amp;ET1,'Expenditure Breakdown'!$H$6:$H$447, "&lt;"&amp;EU1)</f>
        <v>0</v>
      </c>
      <c r="EU5" s="128">
        <f>SUMIFS('Expenditure Breakdown'!$G$6:$G$447, 'Expenditure Breakdown'!$H$6:$H$447, "&gt;="&amp;EU1,'Expenditure Breakdown'!$H$6:$H$447, "&lt;"&amp;EV1)</f>
        <v>0</v>
      </c>
      <c r="EV5" s="128">
        <f>SUMIFS('Expenditure Breakdown'!$G$6:$G$447, 'Expenditure Breakdown'!$H$6:$H$447, "&gt;="&amp;EV1,'Expenditure Breakdown'!$H$6:$H$447, "&lt;"&amp;EW1)</f>
        <v>0</v>
      </c>
      <c r="EW5" s="128">
        <f>SUMIFS('Expenditure Breakdown'!$G$6:$G$447, 'Expenditure Breakdown'!$H$6:$H$447, "&gt;="&amp;EW1,'Expenditure Breakdown'!$H$6:$H$447, "&lt;"&amp;EX1)</f>
        <v>0</v>
      </c>
      <c r="EX5" s="128">
        <f>SUMIFS('Expenditure Breakdown'!$G$6:$G$447, 'Expenditure Breakdown'!$H$6:$H$447, "&gt;="&amp;EX1,'Expenditure Breakdown'!$H$6:$H$447, "&lt;"&amp;EY1)</f>
        <v>0</v>
      </c>
      <c r="EY5" s="128">
        <f>SUMIFS('Expenditure Breakdown'!$G$6:$G$447, 'Expenditure Breakdown'!$H$6:$H$447, "&gt;="&amp;EY1,'Expenditure Breakdown'!$H$6:$H$447, "&lt;"&amp;EZ1)</f>
        <v>0</v>
      </c>
      <c r="EZ5" s="128">
        <f>SUMIFS('Expenditure Breakdown'!$G$6:$G$447, 'Expenditure Breakdown'!$H$6:$H$447, "&gt;="&amp;EZ1,'Expenditure Breakdown'!$H$6:$H$447, "&lt;"&amp;FA1)</f>
        <v>0</v>
      </c>
      <c r="FA5" s="128">
        <f>SUMIFS('Expenditure Breakdown'!$G$6:$G$447, 'Expenditure Breakdown'!$H$6:$H$447, "&gt;="&amp;FA1,'Expenditure Breakdown'!$H$6:$H$447, "&lt;"&amp;FB1)</f>
        <v>0</v>
      </c>
      <c r="FB5" s="128">
        <f>SUMIFS('Expenditure Breakdown'!$G$6:$G$447, 'Expenditure Breakdown'!$H$6:$H$447, "&gt;="&amp;FB1,'Expenditure Breakdown'!$H$6:$H$447, "&lt;"&amp;FC1)</f>
        <v>0</v>
      </c>
      <c r="FC5" s="128">
        <f>SUMIFS('Expenditure Breakdown'!$G$6:$G$447, 'Expenditure Breakdown'!$H$6:$H$447, "&gt;="&amp;FC1,'Expenditure Breakdown'!$H$6:$H$447, "&lt;"&amp;FD1)</f>
        <v>0</v>
      </c>
      <c r="FD5" s="128">
        <f>SUMIFS('Expenditure Breakdown'!$G$6:$G$447, 'Expenditure Breakdown'!$H$6:$H$447, "&gt;="&amp;FD1,'Expenditure Breakdown'!$H$6:$H$447, "&lt;"&amp;FE1)</f>
        <v>0</v>
      </c>
      <c r="FE5" s="128">
        <f>SUMIFS('Expenditure Breakdown'!$G$6:$G$447, 'Expenditure Breakdown'!$H$6:$H$447, "&gt;="&amp;FE1,'Expenditure Breakdown'!$H$6:$H$447, "&lt;"&amp;FF1)</f>
        <v>0</v>
      </c>
      <c r="FF5" s="128">
        <f>SUMIFS('Expenditure Breakdown'!$G$6:$G$447, 'Expenditure Breakdown'!$H$6:$H$447, "&gt;="&amp;FF1,'Expenditure Breakdown'!$H$6:$H$447, "&lt;"&amp;FG1)</f>
        <v>0</v>
      </c>
      <c r="FG5" s="128">
        <f>SUMIFS('Expenditure Breakdown'!$G$6:$G$447, 'Expenditure Breakdown'!$H$6:$H$447, "&gt;="&amp;FG1,'Expenditure Breakdown'!$H$6:$H$447, "&lt;"&amp;FH1)</f>
        <v>0</v>
      </c>
      <c r="FH5" s="128">
        <f>SUMIFS('Expenditure Breakdown'!$G$6:$G$447, 'Expenditure Breakdown'!$H$6:$H$447, "&gt;="&amp;FH1,'Expenditure Breakdown'!$H$6:$H$447, "&lt;"&amp;FI1)</f>
        <v>0</v>
      </c>
      <c r="FI5" s="128">
        <f>SUMIFS('Expenditure Breakdown'!$G$6:$G$447, 'Expenditure Breakdown'!$H$6:$H$447, "&gt;="&amp;FI1,'Expenditure Breakdown'!$H$6:$H$447, "&lt;"&amp;FJ1)</f>
        <v>0</v>
      </c>
      <c r="FJ5" s="128">
        <f>SUMIFS('Expenditure Breakdown'!$G$6:$G$447, 'Expenditure Breakdown'!$H$6:$H$447, "&gt;="&amp;FJ1,'Expenditure Breakdown'!$H$6:$H$447, "&lt;"&amp;FK1)</f>
        <v>0</v>
      </c>
      <c r="FK5" s="128">
        <f>SUMIFS('Expenditure Breakdown'!$G$6:$G$447, 'Expenditure Breakdown'!$H$6:$H$447, "&gt;="&amp;FK1,'Expenditure Breakdown'!$H$6:$H$447, "&lt;"&amp;FL1)</f>
        <v>0</v>
      </c>
      <c r="FL5" s="128">
        <f>SUMIFS('Expenditure Breakdown'!$G$6:$G$447, 'Expenditure Breakdown'!$H$6:$H$447, "&gt;="&amp;FL1,'Expenditure Breakdown'!$H$6:$H$447, "&lt;"&amp;FM1)</f>
        <v>0</v>
      </c>
      <c r="FM5" s="128">
        <f>SUMIFS('Expenditure Breakdown'!$G$6:$G$447, 'Expenditure Breakdown'!$H$6:$H$447, "&gt;="&amp;FM1,'Expenditure Breakdown'!$H$6:$H$447, "&lt;"&amp;FN1)</f>
        <v>0</v>
      </c>
      <c r="FN5" s="128">
        <f>SUMIFS('Expenditure Breakdown'!$G$6:$G$447, 'Expenditure Breakdown'!$H$6:$H$447, "&gt;="&amp;FN1,'Expenditure Breakdown'!$H$6:$H$447, "&lt;"&amp;FO1)</f>
        <v>0</v>
      </c>
      <c r="FO5" s="128">
        <f>SUMIFS('Expenditure Breakdown'!$G$6:$G$447, 'Expenditure Breakdown'!$H$6:$H$447, "&gt;="&amp;FO1,'Expenditure Breakdown'!$H$6:$H$447, "&lt;"&amp;FP1)</f>
        <v>0</v>
      </c>
      <c r="FP5" s="128">
        <f>SUMIFS('Expenditure Breakdown'!$G$6:$G$447, 'Expenditure Breakdown'!$H$6:$H$447, "&gt;="&amp;FP1,'Expenditure Breakdown'!$H$6:$H$447, "&lt;"&amp;FQ1)</f>
        <v>0</v>
      </c>
      <c r="FQ5" s="128">
        <f>SUMIFS('Expenditure Breakdown'!$G$6:$G$447, 'Expenditure Breakdown'!$H$6:$H$447, "&gt;="&amp;FQ1,'Expenditure Breakdown'!$H$6:$H$447, "&lt;"&amp;FR1)</f>
        <v>0</v>
      </c>
      <c r="FR5" s="128">
        <f>SUMIFS('Expenditure Breakdown'!$G$6:$G$447, 'Expenditure Breakdown'!$H$6:$H$447, "&gt;="&amp;FR1,'Expenditure Breakdown'!$H$6:$H$447, "&lt;"&amp;FS1)</f>
        <v>0</v>
      </c>
      <c r="FS5" s="128">
        <f>SUMIFS('Expenditure Breakdown'!$G$6:$G$447, 'Expenditure Breakdown'!$H$6:$H$447, "&gt;="&amp;FS1,'Expenditure Breakdown'!$H$6:$H$447, "&lt;"&amp;FT1)</f>
        <v>0</v>
      </c>
      <c r="FT5" s="128">
        <f>SUMIFS('Expenditure Breakdown'!$G$6:$G$447, 'Expenditure Breakdown'!$H$6:$H$447, "&gt;="&amp;FT1,'Expenditure Breakdown'!$H$6:$H$447, "&lt;"&amp;FU1)</f>
        <v>0</v>
      </c>
      <c r="FU5" s="128">
        <f>SUMIFS('Expenditure Breakdown'!$G$6:$G$447, 'Expenditure Breakdown'!$H$6:$H$447, "&gt;="&amp;FU1,'Expenditure Breakdown'!$H$6:$H$447, "&lt;"&amp;FV1)</f>
        <v>0</v>
      </c>
      <c r="FV5" s="128">
        <f>SUMIFS('Expenditure Breakdown'!$G$6:$G$447, 'Expenditure Breakdown'!$H$6:$H$447, "&gt;="&amp;FV1,'Expenditure Breakdown'!$H$6:$H$447, "&lt;"&amp;FW1)</f>
        <v>0</v>
      </c>
      <c r="FW5" s="128">
        <f>SUMIFS('Expenditure Breakdown'!$G$6:$G$447, 'Expenditure Breakdown'!$H$6:$H$447, "&gt;="&amp;FW1,'Expenditure Breakdown'!$H$6:$H$447, "&lt;"&amp;FX1)</f>
        <v>0</v>
      </c>
      <c r="FX5" s="128">
        <f>SUMIFS('Expenditure Breakdown'!$G$6:$G$447, 'Expenditure Breakdown'!$H$6:$H$447, "&gt;="&amp;FX1,'Expenditure Breakdown'!$H$6:$H$447, "&lt;"&amp;FY1)</f>
        <v>0</v>
      </c>
      <c r="FY5" s="128">
        <f>SUMIFS('Expenditure Breakdown'!$G$6:$G$447, 'Expenditure Breakdown'!$H$6:$H$447, "&gt;="&amp;FY1,'Expenditure Breakdown'!$H$6:$H$447, "&lt;"&amp;FZ1)</f>
        <v>0</v>
      </c>
      <c r="FZ5" s="128">
        <f>SUMIFS('Expenditure Breakdown'!$G$6:$G$447, 'Expenditure Breakdown'!$H$6:$H$447, "&gt;="&amp;FZ1,'Expenditure Breakdown'!$H$6:$H$447, "&lt;"&amp;GA1)</f>
        <v>0</v>
      </c>
      <c r="GA5" s="128">
        <f>SUMIFS('Expenditure Breakdown'!$G$6:$G$447, 'Expenditure Breakdown'!$H$6:$H$447, "&gt;="&amp;GA1,'Expenditure Breakdown'!$H$6:$H$447, "&lt;"&amp;GB1)</f>
        <v>0</v>
      </c>
      <c r="GB5" s="128">
        <f>SUMIFS('Expenditure Breakdown'!$G$6:$G$447, 'Expenditure Breakdown'!$H$6:$H$447, "&gt;="&amp;GB1,'Expenditure Breakdown'!$H$6:$H$447, "&lt;"&amp;GC1)</f>
        <v>0</v>
      </c>
      <c r="GC5" s="128">
        <f>SUMIFS('Expenditure Breakdown'!$G$6:$G$447, 'Expenditure Breakdown'!$H$6:$H$447, "&gt;="&amp;GC1,'Expenditure Breakdown'!$H$6:$H$447, "&lt;"&amp;GD1)</f>
        <v>0</v>
      </c>
      <c r="GD5" s="128">
        <f>SUMIFS('Expenditure Breakdown'!$G$6:$G$447, 'Expenditure Breakdown'!$H$6:$H$447, "&gt;="&amp;GD1,'Expenditure Breakdown'!$H$6:$H$447, "&lt;"&amp;GE1)</f>
        <v>0</v>
      </c>
      <c r="GE5" s="128">
        <f>SUMIFS('Expenditure Breakdown'!$G$6:$G$447, 'Expenditure Breakdown'!$H$6:$H$447, "&gt;="&amp;GE1,'Expenditure Breakdown'!$H$6:$H$447, "&lt;"&amp;GF1)</f>
        <v>0</v>
      </c>
      <c r="GF5" s="128">
        <f>SUMIFS('Expenditure Breakdown'!$G$6:$G$447, 'Expenditure Breakdown'!$H$6:$H$447, "&gt;="&amp;GF1,'Expenditure Breakdown'!$H$6:$H$447, "&lt;"&amp;GG1)</f>
        <v>0</v>
      </c>
      <c r="GG5" s="128">
        <f>SUMIFS('Expenditure Breakdown'!$G$6:$G$447, 'Expenditure Breakdown'!$H$6:$H$447, "&gt;="&amp;GG1,'Expenditure Breakdown'!$H$6:$H$447, "&lt;"&amp;GH1)</f>
        <v>0</v>
      </c>
      <c r="GH5" s="128">
        <f>SUMIFS('Expenditure Breakdown'!$G$6:$G$447, 'Expenditure Breakdown'!$H$6:$H$447, "&gt;="&amp;GH1,'Expenditure Breakdown'!$H$6:$H$447, "&lt;"&amp;GI1)</f>
        <v>0</v>
      </c>
      <c r="GI5" s="128">
        <f>SUMIFS('Expenditure Breakdown'!$G$6:$G$447, 'Expenditure Breakdown'!$H$6:$H$447, "&gt;="&amp;GI1,'Expenditure Breakdown'!$H$6:$H$447, "&lt;"&amp;GJ1)</f>
        <v>0</v>
      </c>
      <c r="GJ5" s="128">
        <f>SUMIFS('Expenditure Breakdown'!$G$6:$G$447, 'Expenditure Breakdown'!$H$6:$H$447, "&gt;="&amp;GJ1,'Expenditure Breakdown'!$H$6:$H$447, "&lt;"&amp;GK1)</f>
        <v>0</v>
      </c>
      <c r="GK5" s="128">
        <f>SUMIFS('Expenditure Breakdown'!$G$6:$G$447, 'Expenditure Breakdown'!$H$6:$H$447, "&gt;="&amp;GK1,'Expenditure Breakdown'!$H$6:$H$447, "&lt;"&amp;GL1)</f>
        <v>0</v>
      </c>
      <c r="GL5" s="128">
        <f>SUMIFS('Expenditure Breakdown'!$G$6:$G$447, 'Expenditure Breakdown'!$H$6:$H$447, "&gt;="&amp;GL1,'Expenditure Breakdown'!$H$6:$H$447, "&lt;"&amp;GM1)</f>
        <v>0</v>
      </c>
      <c r="GM5" s="128">
        <f>SUMIFS('Expenditure Breakdown'!$G$6:$G$447, 'Expenditure Breakdown'!$H$6:$H$447, "&gt;="&amp;GM1,'Expenditure Breakdown'!$H$6:$H$447, "&lt;"&amp;GN1)</f>
        <v>0</v>
      </c>
      <c r="GN5" s="128">
        <f>SUMIFS('Expenditure Breakdown'!$G$6:$G$447, 'Expenditure Breakdown'!$H$6:$H$447, "&gt;="&amp;GN1,'Expenditure Breakdown'!$H$6:$H$447, "&lt;"&amp;GO1)</f>
        <v>0</v>
      </c>
      <c r="GO5" s="128">
        <f>SUMIFS('Expenditure Breakdown'!$G$6:$G$447, 'Expenditure Breakdown'!$H$6:$H$447, "&gt;="&amp;GO1,'Expenditure Breakdown'!$H$6:$H$447, "&lt;"&amp;GP1)</f>
        <v>0</v>
      </c>
      <c r="GP5" s="128">
        <f>SUMIFS('Expenditure Breakdown'!$G$6:$G$447, 'Expenditure Breakdown'!$H$6:$H$447, "&gt;="&amp;GP1,'Expenditure Breakdown'!$H$6:$H$447, "&lt;"&amp;GQ1)</f>
        <v>0</v>
      </c>
      <c r="GQ5" s="128">
        <f>SUMIFS('Expenditure Breakdown'!$G$6:$G$447, 'Expenditure Breakdown'!$H$6:$H$447, "&gt;="&amp;GQ1,'Expenditure Breakdown'!$H$6:$H$447, "&lt;"&amp;GR1)</f>
        <v>0</v>
      </c>
      <c r="GR5" s="128">
        <f>SUMIFS('Expenditure Breakdown'!$G$6:$G$447, 'Expenditure Breakdown'!$H$6:$H$447, "&gt;="&amp;GR1,'Expenditure Breakdown'!$H$6:$H$447, "&lt;"&amp;GS1)</f>
        <v>0</v>
      </c>
      <c r="GS5" s="128">
        <f>SUMIFS('Expenditure Breakdown'!$G$6:$G$447, 'Expenditure Breakdown'!$H$6:$H$447, "&gt;="&amp;GS1,'Expenditure Breakdown'!$H$6:$H$447, "&lt;"&amp;GT1)</f>
        <v>0</v>
      </c>
      <c r="GT5" s="128">
        <f>SUMIFS('Expenditure Breakdown'!$G$6:$G$447, 'Expenditure Breakdown'!$H$6:$H$447, "&gt;="&amp;GT1,'Expenditure Breakdown'!$H$6:$H$447, "&lt;"&amp;GU1)</f>
        <v>0</v>
      </c>
      <c r="GU5" s="128">
        <f>SUMIFS('Expenditure Breakdown'!$G$6:$G$447, 'Expenditure Breakdown'!$H$6:$H$447, "&gt;="&amp;GU1,'Expenditure Breakdown'!$H$6:$H$447, "&lt;"&amp;GV1)</f>
        <v>0</v>
      </c>
      <c r="GV5" s="128">
        <f>SUMIFS('Expenditure Breakdown'!$G$6:$G$447, 'Expenditure Breakdown'!$H$6:$H$447, "&gt;="&amp;GV1,'Expenditure Breakdown'!$H$6:$H$447, "&lt;"&amp;GW1)</f>
        <v>0</v>
      </c>
      <c r="GW5" s="128">
        <f>SUMIFS('Expenditure Breakdown'!$G$6:$G$447, 'Expenditure Breakdown'!$H$6:$H$447, "&gt;="&amp;GW1,'Expenditure Breakdown'!$H$6:$H$447, "&lt;"&amp;GX1)</f>
        <v>0</v>
      </c>
      <c r="GX5" s="128">
        <f>SUMIFS('Expenditure Breakdown'!$G$6:$G$447, 'Expenditure Breakdown'!$H$6:$H$447, "&gt;="&amp;GX1,'Expenditure Breakdown'!$H$6:$H$447, "&lt;"&amp;GY1)</f>
        <v>0</v>
      </c>
      <c r="GY5" s="128">
        <f>SUMIFS('Expenditure Breakdown'!$G$6:$G$447, 'Expenditure Breakdown'!$H$6:$H$447, "&gt;="&amp;GY1,'Expenditure Breakdown'!$H$6:$H$447, "&lt;"&amp;GZ1)</f>
        <v>0</v>
      </c>
      <c r="GZ5" s="128">
        <f>SUMIFS('Expenditure Breakdown'!$G$6:$G$447, 'Expenditure Breakdown'!$H$6:$H$447, "&gt;="&amp;GZ1,'Expenditure Breakdown'!$H$6:$H$447, "&lt;"&amp;HA1)</f>
        <v>0</v>
      </c>
      <c r="HA5" s="128">
        <f>SUMIFS('Expenditure Breakdown'!$G$6:$G$447, 'Expenditure Breakdown'!$H$6:$H$447, "&gt;="&amp;HA1,'Expenditure Breakdown'!$H$6:$H$447, "&lt;"&amp;HB1)</f>
        <v>0</v>
      </c>
      <c r="HB5" s="128">
        <f>SUMIFS('Expenditure Breakdown'!$G$6:$G$447, 'Expenditure Breakdown'!$H$6:$H$447, "&gt;="&amp;HB1,'Expenditure Breakdown'!$H$6:$H$447, "&lt;"&amp;HC1)</f>
        <v>0</v>
      </c>
      <c r="HC5" s="128">
        <f>SUMIFS('Expenditure Breakdown'!$G$6:$G$447, 'Expenditure Breakdown'!$H$6:$H$447, "&gt;="&amp;HC1,'Expenditure Breakdown'!$H$6:$H$447, "&lt;"&amp;HD1)</f>
        <v>0</v>
      </c>
      <c r="HD5" s="128">
        <f>SUMIFS('Expenditure Breakdown'!$G$6:$G$447, 'Expenditure Breakdown'!$H$6:$H$447, "&gt;="&amp;HD1,'Expenditure Breakdown'!$H$6:$H$447, "&lt;"&amp;HE1)</f>
        <v>0</v>
      </c>
      <c r="HE5" s="128">
        <f>SUMIFS('Expenditure Breakdown'!$G$6:$G$447, 'Expenditure Breakdown'!$H$6:$H$447, "&gt;="&amp;HE1,'Expenditure Breakdown'!$H$6:$H$447, "&lt;"&amp;HF1)</f>
        <v>0</v>
      </c>
      <c r="HF5" s="128">
        <f>SUMIFS('Expenditure Breakdown'!$G$6:$G$447, 'Expenditure Breakdown'!$H$6:$H$447, "&gt;="&amp;HF1,'Expenditure Breakdown'!$H$6:$H$447, "&lt;"&amp;HG1)</f>
        <v>0</v>
      </c>
      <c r="HG5" s="128">
        <f>SUMIFS('Expenditure Breakdown'!$G$6:$G$447, 'Expenditure Breakdown'!$H$6:$H$447, "&gt;="&amp;HG1,'Expenditure Breakdown'!$H$6:$H$447, "&lt;"&amp;HH1)</f>
        <v>0</v>
      </c>
      <c r="HH5" s="128">
        <f>SUMIFS('Expenditure Breakdown'!$G$6:$G$447, 'Expenditure Breakdown'!$H$6:$H$447, "&gt;="&amp;HH1,'Expenditure Breakdown'!$H$6:$H$447, "&lt;"&amp;HI1)</f>
        <v>0</v>
      </c>
      <c r="HI5" s="128">
        <f>SUMIFS('Expenditure Breakdown'!$G$6:$G$447, 'Expenditure Breakdown'!$H$6:$H$447, "&gt;="&amp;HI1,'Expenditure Breakdown'!$H$6:$H$447, "&lt;"&amp;HJ1)</f>
        <v>0</v>
      </c>
      <c r="HJ5" s="128">
        <f>SUMIFS('Expenditure Breakdown'!$G$6:$G$447, 'Expenditure Breakdown'!$H$6:$H$447, "&gt;="&amp;HJ1,'Expenditure Breakdown'!$H$6:$H$447, "&lt;"&amp;HK1)</f>
        <v>0</v>
      </c>
      <c r="HK5" s="128">
        <f>SUMIFS('Expenditure Breakdown'!$G$6:$G$447, 'Expenditure Breakdown'!$H$6:$H$447, "&gt;="&amp;HK1,'Expenditure Breakdown'!$H$6:$H$447, "&lt;"&amp;HL1)</f>
        <v>0</v>
      </c>
      <c r="HL5" s="128">
        <f>SUMIFS('Expenditure Breakdown'!$G$6:$G$447, 'Expenditure Breakdown'!$H$6:$H$447, "&gt;="&amp;HL1,'Expenditure Breakdown'!$H$6:$H$447, "&lt;"&amp;HM1)</f>
        <v>0</v>
      </c>
      <c r="HM5" s="128">
        <f>SUMIFS('Expenditure Breakdown'!$G$6:$G$447, 'Expenditure Breakdown'!$H$6:$H$447, "&gt;="&amp;HM1,'Expenditure Breakdown'!$H$6:$H$447, "&lt;"&amp;HN1)</f>
        <v>0</v>
      </c>
      <c r="HN5" s="128">
        <f>SUMIFS('Expenditure Breakdown'!$G$6:$G$447, 'Expenditure Breakdown'!$H$6:$H$447, "&gt;="&amp;HN1,'Expenditure Breakdown'!$H$6:$H$447, "&lt;"&amp;HO1)</f>
        <v>0</v>
      </c>
      <c r="HO5" s="128">
        <f>SUMIFS('Expenditure Breakdown'!$G$6:$G$447, 'Expenditure Breakdown'!$H$6:$H$447, "&gt;="&amp;HO1,'Expenditure Breakdown'!$H$6:$H$447, "&lt;"&amp;HP1)</f>
        <v>0</v>
      </c>
      <c r="HP5" s="128">
        <f>SUMIFS('Expenditure Breakdown'!$G$6:$G$447, 'Expenditure Breakdown'!$H$6:$H$447, "&gt;="&amp;HP1,'Expenditure Breakdown'!$H$6:$H$447, "&lt;"&amp;HQ1)</f>
        <v>0</v>
      </c>
      <c r="HQ5" s="128">
        <f>SUMIFS('Expenditure Breakdown'!$G$6:$G$447, 'Expenditure Breakdown'!$H$6:$H$447, "&gt;="&amp;HQ1,'Expenditure Breakdown'!$H$6:$H$447, "&lt;"&amp;HR1)</f>
        <v>0</v>
      </c>
      <c r="HR5" s="128">
        <f>SUMIFS('Expenditure Breakdown'!$G$6:$G$447, 'Expenditure Breakdown'!$H$6:$H$447, "&gt;="&amp;HR1,'Expenditure Breakdown'!$H$6:$H$447, "&lt;"&amp;HS1)</f>
        <v>0</v>
      </c>
      <c r="HS5" s="128">
        <f>SUMIFS('Expenditure Breakdown'!$G$6:$G$447, 'Expenditure Breakdown'!$H$6:$H$447, "&gt;="&amp;HS1,'Expenditure Breakdown'!$H$6:$H$447, "&lt;"&amp;HT1)</f>
        <v>0</v>
      </c>
      <c r="HT5" s="128">
        <f>SUMIFS('Expenditure Breakdown'!$G$6:$G$447, 'Expenditure Breakdown'!$H$6:$H$447, "&gt;="&amp;HT1,'Expenditure Breakdown'!$H$6:$H$447, "&lt;"&amp;HU1)</f>
        <v>0</v>
      </c>
      <c r="HU5" s="128">
        <f>SUMIFS('Expenditure Breakdown'!$G$6:$G$447, 'Expenditure Breakdown'!$H$6:$H$447, "&gt;="&amp;HU1,'Expenditure Breakdown'!$H$6:$H$447, "&lt;"&amp;HV1)</f>
        <v>0</v>
      </c>
      <c r="HV5" s="128">
        <f>SUMIFS('Expenditure Breakdown'!$G$6:$G$447, 'Expenditure Breakdown'!$H$6:$H$447, "&gt;="&amp;HV1,'Expenditure Breakdown'!$H$6:$H$447, "&lt;"&amp;HW1)</f>
        <v>0</v>
      </c>
      <c r="HW5" s="128">
        <f>SUMIFS('Expenditure Breakdown'!$G$6:$G$447, 'Expenditure Breakdown'!$H$6:$H$447, "&gt;="&amp;HW1,'Expenditure Breakdown'!$H$6:$H$447, "&lt;"&amp;HX1)</f>
        <v>0</v>
      </c>
      <c r="HX5" s="128">
        <f>SUMIFS('Expenditure Breakdown'!$G$6:$G$447, 'Expenditure Breakdown'!$H$6:$H$447, "&gt;="&amp;HX1,'Expenditure Breakdown'!$H$6:$H$447, "&lt;"&amp;HY1)</f>
        <v>0</v>
      </c>
      <c r="HY5" s="128">
        <f>SUMIFS('Expenditure Breakdown'!$G$6:$G$447, 'Expenditure Breakdown'!$H$6:$H$447, "&gt;="&amp;HY1,'Expenditure Breakdown'!$H$6:$H$447, "&lt;"&amp;HZ1)</f>
        <v>0</v>
      </c>
      <c r="HZ5" s="128">
        <f>SUMIFS('Expenditure Breakdown'!$G$6:$G$447, 'Expenditure Breakdown'!$H$6:$H$447, "&gt;="&amp;HZ1,'Expenditure Breakdown'!$H$6:$H$447, "&lt;"&amp;IA1)</f>
        <v>0</v>
      </c>
      <c r="IA5" s="128">
        <f>SUMIFS('Expenditure Breakdown'!$G$6:$G$447, 'Expenditure Breakdown'!$H$6:$H$447, "&gt;="&amp;IA1,'Expenditure Breakdown'!$H$6:$H$447, "&lt;"&amp;IB1)</f>
        <v>0</v>
      </c>
      <c r="IB5" s="128">
        <f>SUMIFS('Expenditure Breakdown'!$G$6:$G$447, 'Expenditure Breakdown'!$H$6:$H$447, "&gt;="&amp;IB1,'Expenditure Breakdown'!$H$6:$H$447, "&lt;"&amp;IC1)</f>
        <v>0</v>
      </c>
      <c r="IC5" s="128">
        <f>SUMIFS('Expenditure Breakdown'!$G$6:$G$447, 'Expenditure Breakdown'!$H$6:$H$447, "&gt;="&amp;IC1,'Expenditure Breakdown'!$H$6:$H$447, "&lt;"&amp;ID1)</f>
        <v>0</v>
      </c>
      <c r="ID5" s="128">
        <f>SUMIFS('Expenditure Breakdown'!$G$6:$G$447, 'Expenditure Breakdown'!$H$6:$H$447, "&gt;="&amp;ID1,'Expenditure Breakdown'!$H$6:$H$447, "&lt;"&amp;IE1)</f>
        <v>0</v>
      </c>
      <c r="IE5" s="128">
        <f>SUMIFS('Expenditure Breakdown'!$G$6:$G$447, 'Expenditure Breakdown'!$H$6:$H$447, "&gt;="&amp;IE1,'Expenditure Breakdown'!$H$6:$H$447, "&lt;"&amp;IF1)</f>
        <v>0</v>
      </c>
      <c r="IF5" s="128">
        <f>SUMIFS('Expenditure Breakdown'!$G$6:$G$447, 'Expenditure Breakdown'!$H$6:$H$447, "&gt;="&amp;IF1,'Expenditure Breakdown'!$H$6:$H$447, "&lt;"&amp;IG1)</f>
        <v>0</v>
      </c>
      <c r="IG5" s="128">
        <f>SUMIFS('Expenditure Breakdown'!$G$6:$G$447, 'Expenditure Breakdown'!$H$6:$H$447, "&gt;="&amp;IG1,'Expenditure Breakdown'!$H$6:$H$447, "&lt;"&amp;IH1)</f>
        <v>0</v>
      </c>
      <c r="IH5" s="128">
        <f>SUMIFS('Expenditure Breakdown'!$G$6:$G$447, 'Expenditure Breakdown'!$H$6:$H$447, "&gt;="&amp;IH1,'Expenditure Breakdown'!$H$6:$H$447, "&lt;"&amp;II1)</f>
        <v>0</v>
      </c>
      <c r="II5" s="128">
        <f>SUMIFS('Expenditure Breakdown'!$G$6:$G$447, 'Expenditure Breakdown'!$H$6:$H$447, "&gt;="&amp;II1,'Expenditure Breakdown'!$H$6:$H$447, "&lt;"&amp;IJ1)</f>
        <v>0</v>
      </c>
      <c r="IJ5" s="128">
        <f>SUMIFS('Expenditure Breakdown'!$G$6:$G$447, 'Expenditure Breakdown'!$H$6:$H$447, "&gt;="&amp;IJ1,'Expenditure Breakdown'!$H$6:$H$447, "&lt;"&amp;IK1)</f>
        <v>0</v>
      </c>
      <c r="IK5" s="128">
        <f>SUMIFS('Expenditure Breakdown'!$G$6:$G$447, 'Expenditure Breakdown'!$H$6:$H$447, "&gt;="&amp;IK1,'Expenditure Breakdown'!$H$6:$H$447, "&lt;"&amp;IL1)</f>
        <v>0</v>
      </c>
      <c r="IL5" s="128">
        <f>SUMIFS('Expenditure Breakdown'!$G$6:$G$447, 'Expenditure Breakdown'!$H$6:$H$447, "&gt;="&amp;IL1,'Expenditure Breakdown'!$H$6:$H$447, "&lt;"&amp;IM1)</f>
        <v>0</v>
      </c>
      <c r="IM5" s="128">
        <f>SUMIFS('Expenditure Breakdown'!$G$6:$G$447, 'Expenditure Breakdown'!$H$6:$H$447, "&gt;="&amp;IM1,'Expenditure Breakdown'!$H$6:$H$447, "&lt;"&amp;IN1)</f>
        <v>0</v>
      </c>
      <c r="IN5" s="128">
        <f>SUMIFS('Expenditure Breakdown'!$G$6:$G$447, 'Expenditure Breakdown'!$H$6:$H$447, "&gt;="&amp;IN1,'Expenditure Breakdown'!$H$6:$H$447, "&lt;"&amp;IO1)</f>
        <v>0</v>
      </c>
      <c r="IO5" s="128">
        <f>SUMIFS('Expenditure Breakdown'!$G$6:$G$447, 'Expenditure Breakdown'!$H$6:$H$447, "&gt;="&amp;IO1,'Expenditure Breakdown'!$H$6:$H$447, "&lt;"&amp;IP1)</f>
        <v>0</v>
      </c>
      <c r="IP5" s="128">
        <f>SUMIFS('Expenditure Breakdown'!$G$6:$G$447, 'Expenditure Breakdown'!$H$6:$H$447, "&gt;="&amp;IP1,'Expenditure Breakdown'!$H$6:$H$447, "&lt;"&amp;IQ1)</f>
        <v>0</v>
      </c>
      <c r="IQ5" s="128">
        <f>SUMIFS('Expenditure Breakdown'!$G$6:$G$447, 'Expenditure Breakdown'!$H$6:$H$447, "&gt;="&amp;IQ1,'Expenditure Breakdown'!$H$6:$H$447, "&lt;"&amp;IR1)</f>
        <v>0</v>
      </c>
      <c r="IR5" s="128">
        <f>SUMIFS('Expenditure Breakdown'!$G$6:$G$447, 'Expenditure Breakdown'!$H$6:$H$447, "&gt;="&amp;IR1,'Expenditure Breakdown'!$H$6:$H$447, "&lt;"&amp;IS1)</f>
        <v>0</v>
      </c>
      <c r="IS5" s="128">
        <f>SUMIFS('Expenditure Breakdown'!$G$6:$G$447, 'Expenditure Breakdown'!$H$6:$H$447, "&gt;="&amp;IS1,'Expenditure Breakdown'!$H$6:$H$447, "&lt;"&amp;IT1)</f>
        <v>0</v>
      </c>
      <c r="IT5" s="128">
        <f>SUMIFS('Expenditure Breakdown'!$G$6:$G$447, 'Expenditure Breakdown'!$H$6:$H$447, "&gt;="&amp;IT1,'Expenditure Breakdown'!$H$6:$H$447, "&lt;"&amp;IU1)</f>
        <v>0</v>
      </c>
      <c r="IU5" s="128">
        <f>SUMIFS('Expenditure Breakdown'!$G$6:$G$447, 'Expenditure Breakdown'!$H$6:$H$447, "&gt;="&amp;IU1,'Expenditure Breakdown'!$H$6:$H$447, "&lt;"&amp;IV1)</f>
        <v>0</v>
      </c>
      <c r="IV5" s="128">
        <f>SUMIFS('Expenditure Breakdown'!$G$6:$G$447, 'Expenditure Breakdown'!$H$6:$H$447, "&gt;="&amp;IV1,'Expenditure Breakdown'!$H$6:$H$447, "&lt;"&amp;IW1)</f>
        <v>0</v>
      </c>
      <c r="IW5" s="128">
        <f>SUMIFS('Expenditure Breakdown'!$G$6:$G$447, 'Expenditure Breakdown'!$H$6:$H$447, "&gt;="&amp;IW1,'Expenditure Breakdown'!$H$6:$H$447, "&lt;"&amp;IX1)</f>
        <v>0</v>
      </c>
      <c r="IX5" s="128">
        <f>SUMIFS('Expenditure Breakdown'!$G$6:$G$447, 'Expenditure Breakdown'!$H$6:$H$447, "&gt;="&amp;IX1,'Expenditure Breakdown'!$H$6:$H$447, "&lt;"&amp;IY1)</f>
        <v>0</v>
      </c>
      <c r="IY5" s="128">
        <f>SUMIFS('Expenditure Breakdown'!$G$6:$G$447, 'Expenditure Breakdown'!$H$6:$H$447, "&gt;="&amp;IY1,'Expenditure Breakdown'!$H$6:$H$447, "&lt;"&amp;IZ1)</f>
        <v>0</v>
      </c>
      <c r="IZ5" s="128">
        <f>SUMIFS('Expenditure Breakdown'!$G$6:$G$447, 'Expenditure Breakdown'!$H$6:$H$447, "&gt;="&amp;IZ1,'Expenditure Breakdown'!$H$6:$H$447, "&lt;"&amp;JA1)</f>
        <v>0</v>
      </c>
      <c r="JA5" s="128">
        <f>SUMIFS('Expenditure Breakdown'!$G$6:$G$447, 'Expenditure Breakdown'!$H$6:$H$447, "&gt;="&amp;JA1,'Expenditure Breakdown'!$H$6:$H$447, "&lt;"&amp;JB1)</f>
        <v>0</v>
      </c>
      <c r="JB5" s="128">
        <f>SUMIFS('Expenditure Breakdown'!$G$6:$G$447, 'Expenditure Breakdown'!$H$6:$H$447, "&gt;="&amp;JB1,'Expenditure Breakdown'!$H$6:$H$447, "&lt;"&amp;JC1)</f>
        <v>0</v>
      </c>
      <c r="JC5" s="128">
        <f>SUMIFS('Expenditure Breakdown'!$G$6:$G$447, 'Expenditure Breakdown'!$H$6:$H$447, "&gt;="&amp;JC1,'Expenditure Breakdown'!$H$6:$H$447, "&lt;"&amp;JD1)</f>
        <v>0</v>
      </c>
      <c r="JD5" s="128">
        <f>SUMIFS('Expenditure Breakdown'!$G$6:$G$447, 'Expenditure Breakdown'!$H$6:$H$447, "&gt;="&amp;JD1,'Expenditure Breakdown'!$H$6:$H$447, "&lt;"&amp;JE1)</f>
        <v>0</v>
      </c>
      <c r="JE5" s="128">
        <f>SUMIFS('Expenditure Breakdown'!$G$6:$G$447, 'Expenditure Breakdown'!$H$6:$H$447, "&gt;="&amp;JE1,'Expenditure Breakdown'!$H$6:$H$447, "&lt;"&amp;JF1)</f>
        <v>0</v>
      </c>
      <c r="JF5" s="128">
        <f>SUMIFS('Expenditure Breakdown'!$G$6:$G$447, 'Expenditure Breakdown'!$H$6:$H$447, "&gt;="&amp;JF1,'Expenditure Breakdown'!$H$6:$H$447, "&lt;"&amp;JG1)</f>
        <v>0</v>
      </c>
      <c r="JG5" s="128">
        <f>SUMIFS('Expenditure Breakdown'!$G$6:$G$447, 'Expenditure Breakdown'!$H$6:$H$447, "&gt;="&amp;JG1,'Expenditure Breakdown'!$H$6:$H$447, "&lt;"&amp;JH1)</f>
        <v>0</v>
      </c>
      <c r="JH5" s="128">
        <f>SUMIFS('Expenditure Breakdown'!$G$6:$G$447, 'Expenditure Breakdown'!$H$6:$H$447, "&gt;="&amp;JH1,'Expenditure Breakdown'!$H$6:$H$447, "&lt;"&amp;JI1)</f>
        <v>0</v>
      </c>
      <c r="JI5" s="128">
        <f>SUMIFS('Expenditure Breakdown'!$G$6:$G$447, 'Expenditure Breakdown'!$H$6:$H$447, "&gt;="&amp;JI1,'Expenditure Breakdown'!$H$6:$H$447, "&lt;"&amp;JJ1)</f>
        <v>0</v>
      </c>
      <c r="JJ5" s="128">
        <f>SUMIFS('Expenditure Breakdown'!$G$6:$G$447, 'Expenditure Breakdown'!$H$6:$H$447, "&gt;="&amp;JJ1,'Expenditure Breakdown'!$H$6:$H$447, "&lt;"&amp;JK1)</f>
        <v>0</v>
      </c>
      <c r="JK5" s="128">
        <f>SUMIFS('Expenditure Breakdown'!$G$6:$G$447, 'Expenditure Breakdown'!$H$6:$H$447, "&gt;="&amp;JK1,'Expenditure Breakdown'!$H$6:$H$447, "&lt;"&amp;JL1)</f>
        <v>0</v>
      </c>
      <c r="JL5" s="128">
        <f>SUMIFS('Expenditure Breakdown'!$G$6:$G$447, 'Expenditure Breakdown'!$H$6:$H$447, "&gt;="&amp;JL1,'Expenditure Breakdown'!$H$6:$H$447, "&lt;"&amp;JM1)</f>
        <v>0</v>
      </c>
      <c r="JM5" s="128">
        <f>SUMIFS('Expenditure Breakdown'!$G$6:$G$447, 'Expenditure Breakdown'!$H$6:$H$447, "&gt;="&amp;JM1,'Expenditure Breakdown'!$H$6:$H$447, "&lt;"&amp;JN1)</f>
        <v>0</v>
      </c>
      <c r="JN5" s="128">
        <f>SUMIFS('Expenditure Breakdown'!$G$6:$G$447, 'Expenditure Breakdown'!$H$6:$H$447, "&gt;="&amp;JN1,'Expenditure Breakdown'!$H$6:$H$447, "&lt;"&amp;JO1)</f>
        <v>0</v>
      </c>
      <c r="JO5" s="128">
        <f>SUMIFS('Expenditure Breakdown'!$G$6:$G$447, 'Expenditure Breakdown'!$H$6:$H$447, "&gt;="&amp;JO1,'Expenditure Breakdown'!$H$6:$H$447, "&lt;"&amp;JP1)</f>
        <v>0</v>
      </c>
      <c r="JP5" s="128">
        <f>SUMIFS('Expenditure Breakdown'!$G$6:$G$447, 'Expenditure Breakdown'!$H$6:$H$447, "&gt;="&amp;JP1,'Expenditure Breakdown'!$H$6:$H$447, "&lt;"&amp;JQ1)</f>
        <v>0</v>
      </c>
      <c r="JQ5" s="128">
        <f>SUMIFS('Expenditure Breakdown'!$G$6:$G$447, 'Expenditure Breakdown'!$H$6:$H$447, "&gt;="&amp;JQ1,'Expenditure Breakdown'!$H$6:$H$447, "&lt;"&amp;JR1)</f>
        <v>0</v>
      </c>
      <c r="JR5" s="128">
        <f>SUMIFS('Expenditure Breakdown'!$G$6:$G$447, 'Expenditure Breakdown'!$H$6:$H$447, "&gt;="&amp;JR1,'Expenditure Breakdown'!$H$6:$H$447, "&lt;"&amp;JS1)</f>
        <v>0</v>
      </c>
      <c r="JS5" s="128">
        <f>SUMIFS('Expenditure Breakdown'!$G$6:$G$447, 'Expenditure Breakdown'!$H$6:$H$447, "&gt;="&amp;JS1,'Expenditure Breakdown'!$H$6:$H$447, "&lt;"&amp;JT1)</f>
        <v>0</v>
      </c>
      <c r="JT5" s="128">
        <f>SUMIFS('Expenditure Breakdown'!$G$6:$G$447, 'Expenditure Breakdown'!$H$6:$H$447, "&gt;="&amp;JT1,'Expenditure Breakdown'!$H$6:$H$447, "&lt;"&amp;JU1)</f>
        <v>0</v>
      </c>
      <c r="JU5" s="128">
        <f>SUMIFS('Expenditure Breakdown'!$G$6:$G$447, 'Expenditure Breakdown'!$H$6:$H$447, "&gt;="&amp;JU1,'Expenditure Breakdown'!$H$6:$H$447, "&lt;"&amp;JV1)</f>
        <v>0</v>
      </c>
      <c r="JV5" s="128">
        <f>SUMIFS('Expenditure Breakdown'!$G$6:$G$447, 'Expenditure Breakdown'!$H$6:$H$447, "&gt;="&amp;JV1,'Expenditure Breakdown'!$H$6:$H$447, "&lt;"&amp;JW1)</f>
        <v>0</v>
      </c>
      <c r="JW5" s="128">
        <f>SUMIFS('Expenditure Breakdown'!$G$6:$G$447, 'Expenditure Breakdown'!$H$6:$H$447, "&gt;="&amp;JW1,'Expenditure Breakdown'!$H$6:$H$447, "&lt;"&amp;JX1)</f>
        <v>0</v>
      </c>
      <c r="JX5" s="128">
        <f>SUMIFS('Expenditure Breakdown'!$G$6:$G$447, 'Expenditure Breakdown'!$H$6:$H$447, "&gt;="&amp;JX1,'Expenditure Breakdown'!$H$6:$H$447, "&lt;"&amp;JY1)</f>
        <v>0</v>
      </c>
      <c r="JY5" s="128">
        <f>SUMIFS('Expenditure Breakdown'!$G$6:$G$447, 'Expenditure Breakdown'!$H$6:$H$447, "&gt;="&amp;JY1,'Expenditure Breakdown'!$H$6:$H$447, "&lt;"&amp;JZ1)</f>
        <v>0</v>
      </c>
      <c r="JZ5" s="128">
        <f>SUMIFS('Expenditure Breakdown'!$G$6:$G$447, 'Expenditure Breakdown'!$H$6:$H$447, "&gt;="&amp;JZ1,'Expenditure Breakdown'!$H$6:$H$447, "&lt;"&amp;KA1)</f>
        <v>0</v>
      </c>
      <c r="KA5" s="128">
        <f>SUMIFS('Expenditure Breakdown'!$G$6:$G$447, 'Expenditure Breakdown'!$H$6:$H$447, "&gt;="&amp;KA1,'Expenditure Breakdown'!$H$6:$H$447, "&lt;"&amp;KB1)</f>
        <v>0</v>
      </c>
      <c r="KB5" s="128">
        <f>SUMIFS('Expenditure Breakdown'!$G$6:$G$447, 'Expenditure Breakdown'!$H$6:$H$447, "&gt;="&amp;KB1,'Expenditure Breakdown'!$H$6:$H$447, "&lt;"&amp;KC1)</f>
        <v>0</v>
      </c>
      <c r="KC5" s="128">
        <f>SUMIFS('Expenditure Breakdown'!$G$6:$G$447, 'Expenditure Breakdown'!$H$6:$H$447, "&gt;="&amp;KC1,'Expenditure Breakdown'!$H$6:$H$447, "&lt;"&amp;KD1)</f>
        <v>0</v>
      </c>
      <c r="KD5" s="128">
        <f>SUMIFS('Expenditure Breakdown'!$G$6:$G$447, 'Expenditure Breakdown'!$H$6:$H$447, "&gt;="&amp;KD1,'Expenditure Breakdown'!$H$6:$H$447, "&lt;"&amp;KE1)</f>
        <v>0</v>
      </c>
      <c r="KE5" s="128">
        <f>SUMIFS('Expenditure Breakdown'!$G$6:$G$447, 'Expenditure Breakdown'!$H$6:$H$447, "&gt;="&amp;KE1,'Expenditure Breakdown'!$H$6:$H$447, "&lt;"&amp;KF1)</f>
        <v>0</v>
      </c>
      <c r="KF5" s="128">
        <f>SUMIFS('Expenditure Breakdown'!$G$6:$G$447, 'Expenditure Breakdown'!$H$6:$H$447, "&gt;="&amp;KF1,'Expenditure Breakdown'!$H$6:$H$447, "&lt;"&amp;KG1)</f>
        <v>0</v>
      </c>
      <c r="KG5" s="128">
        <f>SUMIFS('Expenditure Breakdown'!$G$6:$G$447, 'Expenditure Breakdown'!$H$6:$H$447, "&gt;="&amp;KG1,'Expenditure Breakdown'!$H$6:$H$447, "&lt;"&amp;KH1)</f>
        <v>0</v>
      </c>
      <c r="KH5" s="128">
        <f>SUMIFS('Expenditure Breakdown'!$G$6:$G$447, 'Expenditure Breakdown'!$H$6:$H$447, "&gt;="&amp;KH1,'Expenditure Breakdown'!$H$6:$H$447, "&lt;"&amp;KI1)</f>
        <v>0</v>
      </c>
      <c r="KI5" s="128">
        <f>SUMIFS('Expenditure Breakdown'!$G$6:$G$447, 'Expenditure Breakdown'!$H$6:$H$447, "&gt;="&amp;KI1,'Expenditure Breakdown'!$H$6:$H$447, "&lt;"&amp;KJ1)</f>
        <v>0</v>
      </c>
      <c r="KJ5" s="128">
        <f>SUMIFS('Expenditure Breakdown'!$G$6:$G$447, 'Expenditure Breakdown'!$H$6:$H$447, "&gt;="&amp;KJ1,'Expenditure Breakdown'!$H$6:$H$447, "&lt;"&amp;KK1)</f>
        <v>0</v>
      </c>
      <c r="KK5" s="128">
        <f>SUMIFS('Expenditure Breakdown'!$G$6:$G$447, 'Expenditure Breakdown'!$H$6:$H$447, "&gt;="&amp;KK1,'Expenditure Breakdown'!$H$6:$H$447, "&lt;"&amp;KL1)</f>
        <v>0</v>
      </c>
      <c r="KL5" s="128">
        <f>SUMIFS('Expenditure Breakdown'!$G$6:$G$447, 'Expenditure Breakdown'!$H$6:$H$447, "&gt;="&amp;KL1,'Expenditure Breakdown'!$H$6:$H$447, "&lt;"&amp;KM1)</f>
        <v>0</v>
      </c>
      <c r="KM5" s="128">
        <f>SUMIFS('Expenditure Breakdown'!$G$6:$G$447, 'Expenditure Breakdown'!$H$6:$H$447, "&gt;="&amp;KM1,'Expenditure Breakdown'!$H$6:$H$447, "&lt;"&amp;KN1)</f>
        <v>0</v>
      </c>
      <c r="KN5" s="128">
        <f>SUMIFS('Expenditure Breakdown'!$G$6:$G$447, 'Expenditure Breakdown'!$H$6:$H$447, "&gt;="&amp;KN1,'Expenditure Breakdown'!$H$6:$H$447, "&lt;"&amp;KO1)</f>
        <v>0</v>
      </c>
      <c r="KO5" s="128">
        <f>SUMIFS('Expenditure Breakdown'!$G$6:$G$447, 'Expenditure Breakdown'!$H$6:$H$447, "&gt;="&amp;KO1,'Expenditure Breakdown'!$H$6:$H$447, "&lt;"&amp;KP1)</f>
        <v>0</v>
      </c>
      <c r="KP5" s="128">
        <f>SUMIFS('Expenditure Breakdown'!$G$6:$G$447, 'Expenditure Breakdown'!$H$6:$H$447, "&gt;="&amp;KP1,'Expenditure Breakdown'!$H$6:$H$447, "&lt;"&amp;KQ1)</f>
        <v>0</v>
      </c>
      <c r="KQ5" s="128">
        <f>SUMIFS('Expenditure Breakdown'!$G$6:$G$447, 'Expenditure Breakdown'!$H$6:$H$447, "&gt;="&amp;KQ1,'Expenditure Breakdown'!$H$6:$H$447, "&lt;"&amp;KR1)</f>
        <v>0</v>
      </c>
      <c r="KR5" s="128">
        <f>SUMIFS('Expenditure Breakdown'!$G$6:$G$447, 'Expenditure Breakdown'!$H$6:$H$447, "&gt;="&amp;KR1,'Expenditure Breakdown'!$H$6:$H$447, "&lt;"&amp;KS1)</f>
        <v>0</v>
      </c>
      <c r="KS5" s="128">
        <f>SUMIFS('Expenditure Breakdown'!$G$6:$G$447, 'Expenditure Breakdown'!$H$6:$H$447, "&gt;="&amp;KS1,'Expenditure Breakdown'!$H$6:$H$447, "&lt;"&amp;KT1)</f>
        <v>0</v>
      </c>
      <c r="KT5" s="128">
        <f>SUMIFS('Expenditure Breakdown'!$G$6:$G$447, 'Expenditure Breakdown'!$H$6:$H$447, "&gt;="&amp;KT1,'Expenditure Breakdown'!$H$6:$H$447, "&lt;"&amp;KU1)</f>
        <v>0</v>
      </c>
      <c r="KU5" s="128">
        <f>SUMIFS('Expenditure Breakdown'!$G$6:$G$447, 'Expenditure Breakdown'!$H$6:$H$447, "&gt;="&amp;KU1,'Expenditure Breakdown'!$H$6:$H$447, "&lt;"&amp;KV1)</f>
        <v>0</v>
      </c>
      <c r="KV5" s="128">
        <f>SUMIFS('Expenditure Breakdown'!$G$6:$G$447, 'Expenditure Breakdown'!$H$6:$H$447, "&gt;="&amp;KV1,'Expenditure Breakdown'!$H$6:$H$447, "&lt;"&amp;KW1)</f>
        <v>0</v>
      </c>
      <c r="KW5" s="128">
        <f>SUMIFS('Expenditure Breakdown'!$G$6:$G$447, 'Expenditure Breakdown'!$H$6:$H$447, "&gt;="&amp;KW1,'Expenditure Breakdown'!$H$6:$H$447, "&lt;"&amp;KX1)</f>
        <v>0</v>
      </c>
      <c r="KX5" s="128">
        <f>SUMIFS('Expenditure Breakdown'!$G$6:$G$447, 'Expenditure Breakdown'!$H$6:$H$447, "&gt;="&amp;KX1,'Expenditure Breakdown'!$H$6:$H$447, "&lt;"&amp;KY1)</f>
        <v>0</v>
      </c>
      <c r="KY5" s="128">
        <f>SUMIFS('Expenditure Breakdown'!$G$6:$G$447, 'Expenditure Breakdown'!$H$6:$H$447, "&gt;="&amp;KY1,'Expenditure Breakdown'!$H$6:$H$447, "&lt;"&amp;KZ1)</f>
        <v>0</v>
      </c>
      <c r="KZ5" s="128">
        <f>SUMIFS('Expenditure Breakdown'!$G$6:$G$447, 'Expenditure Breakdown'!$H$6:$H$447, "&gt;="&amp;KZ1,'Expenditure Breakdown'!$H$6:$H$447, "&lt;"&amp;LA1)</f>
        <v>0</v>
      </c>
      <c r="LA5" s="128">
        <f>SUMIFS('Expenditure Breakdown'!$G$6:$G$447, 'Expenditure Breakdown'!$H$6:$H$447, "&gt;="&amp;LA1,'Expenditure Breakdown'!$H$6:$H$447, "&lt;"&amp;LB1)</f>
        <v>0</v>
      </c>
      <c r="LB5" s="128">
        <f>SUMIFS('Expenditure Breakdown'!$G$6:$G$447, 'Expenditure Breakdown'!$H$6:$H$447, "&gt;="&amp;LB1,'Expenditure Breakdown'!$H$6:$H$447, "&lt;"&amp;LC1)</f>
        <v>0</v>
      </c>
      <c r="LC5" s="128">
        <f>SUMIFS('Expenditure Breakdown'!$G$6:$G$447, 'Expenditure Breakdown'!$H$6:$H$447, "&gt;="&amp;LC1,'Expenditure Breakdown'!$H$6:$H$447, "&lt;"&amp;LD1)</f>
        <v>0</v>
      </c>
      <c r="LD5" s="128">
        <f>SUMIFS('Expenditure Breakdown'!$G$6:$G$447, 'Expenditure Breakdown'!$H$6:$H$447, "&gt;="&amp;LD1,'Expenditure Breakdown'!$H$6:$H$447, "&lt;"&amp;#REF!)</f>
        <v>0</v>
      </c>
      <c r="LE5" s="118"/>
      <c r="LF5" s="129"/>
      <c r="LG5" s="129"/>
    </row>
    <row r="6" spans="1:794" s="130" customFormat="1">
      <c r="A6" s="910"/>
      <c r="B6" s="126" t="s">
        <v>775</v>
      </c>
      <c r="C6" s="127"/>
      <c r="D6" s="127"/>
      <c r="E6" s="124"/>
      <c r="F6" s="128">
        <f>F5</f>
        <v>0</v>
      </c>
      <c r="G6" s="128">
        <f>F6+G5</f>
        <v>0</v>
      </c>
      <c r="H6" s="128">
        <f>G6+H5</f>
        <v>0</v>
      </c>
      <c r="I6" s="128">
        <f t="shared" ref="I6:BT6" si="10">H6+I5</f>
        <v>0</v>
      </c>
      <c r="J6" s="128">
        <f t="shared" si="10"/>
        <v>0</v>
      </c>
      <c r="K6" s="128">
        <f t="shared" si="10"/>
        <v>0</v>
      </c>
      <c r="L6" s="128">
        <f t="shared" si="10"/>
        <v>0</v>
      </c>
      <c r="M6" s="128">
        <f t="shared" si="10"/>
        <v>0</v>
      </c>
      <c r="N6" s="128">
        <f t="shared" si="10"/>
        <v>0</v>
      </c>
      <c r="O6" s="128">
        <f t="shared" si="10"/>
        <v>0</v>
      </c>
      <c r="P6" s="128">
        <f t="shared" si="10"/>
        <v>0</v>
      </c>
      <c r="Q6" s="128">
        <f t="shared" si="10"/>
        <v>0</v>
      </c>
      <c r="R6" s="128">
        <f t="shared" si="10"/>
        <v>0</v>
      </c>
      <c r="S6" s="128">
        <f t="shared" si="10"/>
        <v>0</v>
      </c>
      <c r="T6" s="128">
        <f t="shared" si="10"/>
        <v>0</v>
      </c>
      <c r="U6" s="128">
        <f t="shared" si="10"/>
        <v>0</v>
      </c>
      <c r="V6" s="128">
        <f t="shared" si="10"/>
        <v>0</v>
      </c>
      <c r="W6" s="128">
        <f t="shared" si="10"/>
        <v>0</v>
      </c>
      <c r="X6" s="128">
        <f t="shared" si="10"/>
        <v>0</v>
      </c>
      <c r="Y6" s="128">
        <f t="shared" si="10"/>
        <v>0</v>
      </c>
      <c r="Z6" s="128">
        <f t="shared" si="10"/>
        <v>2760000</v>
      </c>
      <c r="AA6" s="128">
        <f t="shared" si="10"/>
        <v>17297831.300000001</v>
      </c>
      <c r="AB6" s="128">
        <f t="shared" si="10"/>
        <v>21658242.537</v>
      </c>
      <c r="AC6" s="128">
        <f t="shared" si="10"/>
        <v>21778242.537</v>
      </c>
      <c r="AD6" s="128">
        <f t="shared" si="10"/>
        <v>21778242.537</v>
      </c>
      <c r="AE6" s="128">
        <f t="shared" si="10"/>
        <v>21778242.537</v>
      </c>
      <c r="AF6" s="128">
        <f t="shared" si="10"/>
        <v>21812242.537</v>
      </c>
      <c r="AG6" s="128">
        <f t="shared" si="10"/>
        <v>29171028.446734875</v>
      </c>
      <c r="AH6" s="128">
        <f t="shared" si="10"/>
        <v>29171028.446734875</v>
      </c>
      <c r="AI6" s="128">
        <f t="shared" si="10"/>
        <v>29171028.446734875</v>
      </c>
      <c r="AJ6" s="128">
        <f t="shared" si="10"/>
        <v>29171028.446734875</v>
      </c>
      <c r="AK6" s="128">
        <f t="shared" si="10"/>
        <v>31216028.446734875</v>
      </c>
      <c r="AL6" s="128">
        <f t="shared" si="10"/>
        <v>42215837.346734874</v>
      </c>
      <c r="AM6" s="128">
        <f t="shared" si="10"/>
        <v>42215837.346734874</v>
      </c>
      <c r="AN6" s="128">
        <f t="shared" si="10"/>
        <v>42215837.346734874</v>
      </c>
      <c r="AO6" s="128">
        <f t="shared" si="10"/>
        <v>42610141.580068208</v>
      </c>
      <c r="AP6" s="128">
        <f t="shared" si="10"/>
        <v>42610141.580068208</v>
      </c>
      <c r="AQ6" s="128">
        <f t="shared" si="10"/>
        <v>42610141.580068208</v>
      </c>
      <c r="AR6" s="128">
        <f t="shared" si="10"/>
        <v>54641002.188568205</v>
      </c>
      <c r="AS6" s="128">
        <f t="shared" si="10"/>
        <v>54641002.188568205</v>
      </c>
      <c r="AT6" s="128">
        <f t="shared" si="10"/>
        <v>54641002.188568205</v>
      </c>
      <c r="AU6" s="128">
        <f t="shared" si="10"/>
        <v>54641002.188568205</v>
      </c>
      <c r="AV6" s="128">
        <f t="shared" si="10"/>
        <v>54641002.188568205</v>
      </c>
      <c r="AW6" s="128">
        <f t="shared" si="10"/>
        <v>54641002.188568205</v>
      </c>
      <c r="AX6" s="128">
        <f t="shared" si="10"/>
        <v>55146452.079139791</v>
      </c>
      <c r="AY6" s="128">
        <f t="shared" si="10"/>
        <v>55146452.079139791</v>
      </c>
      <c r="AZ6" s="128">
        <f t="shared" si="10"/>
        <v>55146452.079139791</v>
      </c>
      <c r="BA6" s="128">
        <f t="shared" si="10"/>
        <v>55146452.079139791</v>
      </c>
      <c r="BB6" s="128">
        <f t="shared" si="10"/>
        <v>55146452.079139791</v>
      </c>
      <c r="BC6" s="128">
        <f t="shared" si="10"/>
        <v>56096452.079139791</v>
      </c>
      <c r="BD6" s="128">
        <f t="shared" si="10"/>
        <v>56096452.079139791</v>
      </c>
      <c r="BE6" s="128">
        <f t="shared" si="10"/>
        <v>56096452.079139791</v>
      </c>
      <c r="BF6" s="128">
        <f t="shared" si="10"/>
        <v>56096452.079139791</v>
      </c>
      <c r="BG6" s="128">
        <f t="shared" si="10"/>
        <v>56096452.079139791</v>
      </c>
      <c r="BH6" s="128">
        <f t="shared" si="10"/>
        <v>56096452.079139791</v>
      </c>
      <c r="BI6" s="128">
        <f t="shared" si="10"/>
        <v>56096452.079139791</v>
      </c>
      <c r="BJ6" s="128">
        <f t="shared" si="10"/>
        <v>56096452.079139791</v>
      </c>
      <c r="BK6" s="128">
        <f t="shared" si="10"/>
        <v>56096452.079139791</v>
      </c>
      <c r="BL6" s="128">
        <f t="shared" si="10"/>
        <v>56096452.079139791</v>
      </c>
      <c r="BM6" s="128">
        <f t="shared" si="10"/>
        <v>56096452.079139791</v>
      </c>
      <c r="BN6" s="128">
        <f t="shared" si="10"/>
        <v>56096452.079139791</v>
      </c>
      <c r="BO6" s="128">
        <f t="shared" si="10"/>
        <v>56096452.079139791</v>
      </c>
      <c r="BP6" s="128">
        <f t="shared" si="10"/>
        <v>56096452.079139791</v>
      </c>
      <c r="BQ6" s="128">
        <f t="shared" si="10"/>
        <v>56096452.079139791</v>
      </c>
      <c r="BR6" s="128">
        <f t="shared" si="10"/>
        <v>56096452.079139791</v>
      </c>
      <c r="BS6" s="128">
        <f t="shared" si="10"/>
        <v>56096452.079139791</v>
      </c>
      <c r="BT6" s="128">
        <f t="shared" si="10"/>
        <v>56096452.079139791</v>
      </c>
      <c r="BU6" s="128">
        <f t="shared" ref="BU6:EF6" si="11">BT6+BU5</f>
        <v>56096452.079139791</v>
      </c>
      <c r="BV6" s="128">
        <f t="shared" si="11"/>
        <v>56096452.079139791</v>
      </c>
      <c r="BW6" s="128">
        <f t="shared" si="11"/>
        <v>56096452.079139791</v>
      </c>
      <c r="BX6" s="128">
        <f t="shared" si="11"/>
        <v>56096452.079139791</v>
      </c>
      <c r="BY6" s="128">
        <f t="shared" si="11"/>
        <v>56096452.079139791</v>
      </c>
      <c r="BZ6" s="128">
        <f t="shared" si="11"/>
        <v>56096452.079139791</v>
      </c>
      <c r="CA6" s="128">
        <f t="shared" si="11"/>
        <v>56096452.079139791</v>
      </c>
      <c r="CB6" s="128">
        <f t="shared" si="11"/>
        <v>56096452.079139791</v>
      </c>
      <c r="CC6" s="128">
        <f t="shared" si="11"/>
        <v>56096452.079139791</v>
      </c>
      <c r="CD6" s="128">
        <f t="shared" si="11"/>
        <v>56096452.079139791</v>
      </c>
      <c r="CE6" s="128">
        <f t="shared" si="11"/>
        <v>56096452.079139791</v>
      </c>
      <c r="CF6" s="128">
        <f t="shared" si="11"/>
        <v>56096452.079139791</v>
      </c>
      <c r="CG6" s="128">
        <f t="shared" si="11"/>
        <v>56096452.079139791</v>
      </c>
      <c r="CH6" s="128">
        <f t="shared" si="11"/>
        <v>56096452.079139791</v>
      </c>
      <c r="CI6" s="128">
        <f t="shared" si="11"/>
        <v>56096452.079139791</v>
      </c>
      <c r="CJ6" s="128">
        <f t="shared" si="11"/>
        <v>56096452.079139791</v>
      </c>
      <c r="CK6" s="128">
        <f t="shared" si="11"/>
        <v>56096452.079139791</v>
      </c>
      <c r="CL6" s="128">
        <f t="shared" si="11"/>
        <v>56096452.079139791</v>
      </c>
      <c r="CM6" s="128">
        <f t="shared" si="11"/>
        <v>56096452.079139791</v>
      </c>
      <c r="CN6" s="128">
        <f t="shared" si="11"/>
        <v>56096452.079139791</v>
      </c>
      <c r="CO6" s="128">
        <f t="shared" si="11"/>
        <v>56096452.079139791</v>
      </c>
      <c r="CP6" s="128">
        <f t="shared" si="11"/>
        <v>56096452.079139791</v>
      </c>
      <c r="CQ6" s="128">
        <f t="shared" si="11"/>
        <v>56096452.079139791</v>
      </c>
      <c r="CR6" s="128">
        <f t="shared" si="11"/>
        <v>56096452.079139791</v>
      </c>
      <c r="CS6" s="128">
        <f t="shared" si="11"/>
        <v>56096452.079139791</v>
      </c>
      <c r="CT6" s="128">
        <f t="shared" si="11"/>
        <v>56096452.079139791</v>
      </c>
      <c r="CU6" s="128">
        <f t="shared" si="11"/>
        <v>56096452.079139791</v>
      </c>
      <c r="CV6" s="128">
        <f t="shared" si="11"/>
        <v>56096452.079139791</v>
      </c>
      <c r="CW6" s="128">
        <f t="shared" si="11"/>
        <v>56096452.079139791</v>
      </c>
      <c r="CX6" s="128">
        <f t="shared" si="11"/>
        <v>56096452.079139791</v>
      </c>
      <c r="CY6" s="128">
        <f t="shared" si="11"/>
        <v>56096452.079139791</v>
      </c>
      <c r="CZ6" s="128">
        <f t="shared" si="11"/>
        <v>56096452.079139791</v>
      </c>
      <c r="DA6" s="128">
        <f t="shared" si="11"/>
        <v>56096452.079139791</v>
      </c>
      <c r="DB6" s="128">
        <f t="shared" si="11"/>
        <v>56096452.079139791</v>
      </c>
      <c r="DC6" s="128">
        <f t="shared" si="11"/>
        <v>56096452.079139791</v>
      </c>
      <c r="DD6" s="128">
        <f t="shared" si="11"/>
        <v>56096452.079139791</v>
      </c>
      <c r="DE6" s="128">
        <f t="shared" si="11"/>
        <v>56096452.079139791</v>
      </c>
      <c r="DF6" s="128">
        <f t="shared" si="11"/>
        <v>56096452.079139791</v>
      </c>
      <c r="DG6" s="128">
        <f t="shared" si="11"/>
        <v>56096452.079139791</v>
      </c>
      <c r="DH6" s="128">
        <f t="shared" si="11"/>
        <v>56096452.079139791</v>
      </c>
      <c r="DI6" s="128">
        <f t="shared" si="11"/>
        <v>56096452.079139791</v>
      </c>
      <c r="DJ6" s="128">
        <f t="shared" si="11"/>
        <v>56096452.079139791</v>
      </c>
      <c r="DK6" s="128">
        <f t="shared" si="11"/>
        <v>56096452.079139791</v>
      </c>
      <c r="DL6" s="128">
        <f t="shared" si="11"/>
        <v>56096452.079139791</v>
      </c>
      <c r="DM6" s="128">
        <f t="shared" si="11"/>
        <v>56096452.079139791</v>
      </c>
      <c r="DN6" s="128">
        <f t="shared" si="11"/>
        <v>56096452.079139791</v>
      </c>
      <c r="DO6" s="128">
        <f t="shared" si="11"/>
        <v>56096452.079139791</v>
      </c>
      <c r="DP6" s="128">
        <f t="shared" si="11"/>
        <v>56096452.079139791</v>
      </c>
      <c r="DQ6" s="128">
        <f t="shared" si="11"/>
        <v>56096452.079139791</v>
      </c>
      <c r="DR6" s="128">
        <f t="shared" si="11"/>
        <v>56096452.079139791</v>
      </c>
      <c r="DS6" s="128">
        <f t="shared" si="11"/>
        <v>56096452.079139791</v>
      </c>
      <c r="DT6" s="128">
        <f t="shared" si="11"/>
        <v>56096452.079139791</v>
      </c>
      <c r="DU6" s="128">
        <f t="shared" si="11"/>
        <v>56096452.079139791</v>
      </c>
      <c r="DV6" s="128">
        <f t="shared" si="11"/>
        <v>56096452.079139791</v>
      </c>
      <c r="DW6" s="128">
        <f t="shared" si="11"/>
        <v>56096452.079139791</v>
      </c>
      <c r="DX6" s="128">
        <f t="shared" si="11"/>
        <v>56096452.079139791</v>
      </c>
      <c r="DY6" s="128">
        <f t="shared" si="11"/>
        <v>56096452.079139791</v>
      </c>
      <c r="DZ6" s="128">
        <f t="shared" si="11"/>
        <v>56096452.079139791</v>
      </c>
      <c r="EA6" s="128">
        <f t="shared" si="11"/>
        <v>56096452.079139791</v>
      </c>
      <c r="EB6" s="128">
        <f t="shared" si="11"/>
        <v>56096452.079139791</v>
      </c>
      <c r="EC6" s="128">
        <f t="shared" si="11"/>
        <v>56096452.079139791</v>
      </c>
      <c r="ED6" s="128">
        <f t="shared" si="11"/>
        <v>56096452.079139791</v>
      </c>
      <c r="EE6" s="128">
        <f t="shared" si="11"/>
        <v>56096452.079139791</v>
      </c>
      <c r="EF6" s="128">
        <f t="shared" si="11"/>
        <v>56096452.079139791</v>
      </c>
      <c r="EG6" s="128">
        <f t="shared" ref="EG6:GR6" si="12">EF6+EG5</f>
        <v>56096452.079139791</v>
      </c>
      <c r="EH6" s="128">
        <f t="shared" si="12"/>
        <v>56096452.079139791</v>
      </c>
      <c r="EI6" s="128">
        <f t="shared" si="12"/>
        <v>56096452.079139791</v>
      </c>
      <c r="EJ6" s="128">
        <f t="shared" si="12"/>
        <v>56096452.079139791</v>
      </c>
      <c r="EK6" s="128">
        <f t="shared" si="12"/>
        <v>56096452.079139791</v>
      </c>
      <c r="EL6" s="128">
        <f t="shared" si="12"/>
        <v>56096452.079139791</v>
      </c>
      <c r="EM6" s="128">
        <f t="shared" si="12"/>
        <v>56096452.079139791</v>
      </c>
      <c r="EN6" s="128">
        <f t="shared" si="12"/>
        <v>56096452.079139791</v>
      </c>
      <c r="EO6" s="128">
        <f t="shared" si="12"/>
        <v>56096452.079139791</v>
      </c>
      <c r="EP6" s="128">
        <f t="shared" si="12"/>
        <v>56096452.079139791</v>
      </c>
      <c r="EQ6" s="128">
        <f t="shared" si="12"/>
        <v>56096452.079139791</v>
      </c>
      <c r="ER6" s="128">
        <f t="shared" si="12"/>
        <v>56096452.079139791</v>
      </c>
      <c r="ES6" s="128">
        <f t="shared" si="12"/>
        <v>56096452.079139791</v>
      </c>
      <c r="ET6" s="128">
        <f t="shared" si="12"/>
        <v>56096452.079139791</v>
      </c>
      <c r="EU6" s="128">
        <f t="shared" si="12"/>
        <v>56096452.079139791</v>
      </c>
      <c r="EV6" s="128">
        <f t="shared" si="12"/>
        <v>56096452.079139791</v>
      </c>
      <c r="EW6" s="128">
        <f t="shared" si="12"/>
        <v>56096452.079139791</v>
      </c>
      <c r="EX6" s="128">
        <f t="shared" si="12"/>
        <v>56096452.079139791</v>
      </c>
      <c r="EY6" s="128">
        <f t="shared" si="12"/>
        <v>56096452.079139791</v>
      </c>
      <c r="EZ6" s="128">
        <f t="shared" si="12"/>
        <v>56096452.079139791</v>
      </c>
      <c r="FA6" s="128">
        <f t="shared" si="12"/>
        <v>56096452.079139791</v>
      </c>
      <c r="FB6" s="128">
        <f t="shared" si="12"/>
        <v>56096452.079139791</v>
      </c>
      <c r="FC6" s="128">
        <f t="shared" si="12"/>
        <v>56096452.079139791</v>
      </c>
      <c r="FD6" s="128">
        <f t="shared" si="12"/>
        <v>56096452.079139791</v>
      </c>
      <c r="FE6" s="128">
        <f t="shared" si="12"/>
        <v>56096452.079139791</v>
      </c>
      <c r="FF6" s="128">
        <f t="shared" si="12"/>
        <v>56096452.079139791</v>
      </c>
      <c r="FG6" s="128">
        <f t="shared" si="12"/>
        <v>56096452.079139791</v>
      </c>
      <c r="FH6" s="128">
        <f t="shared" si="12"/>
        <v>56096452.079139791</v>
      </c>
      <c r="FI6" s="128">
        <f t="shared" si="12"/>
        <v>56096452.079139791</v>
      </c>
      <c r="FJ6" s="128">
        <f t="shared" si="12"/>
        <v>56096452.079139791</v>
      </c>
      <c r="FK6" s="128">
        <f t="shared" si="12"/>
        <v>56096452.079139791</v>
      </c>
      <c r="FL6" s="128">
        <f t="shared" si="12"/>
        <v>56096452.079139791</v>
      </c>
      <c r="FM6" s="128">
        <f t="shared" si="12"/>
        <v>56096452.079139791</v>
      </c>
      <c r="FN6" s="128">
        <f t="shared" si="12"/>
        <v>56096452.079139791</v>
      </c>
      <c r="FO6" s="128">
        <f t="shared" si="12"/>
        <v>56096452.079139791</v>
      </c>
      <c r="FP6" s="128">
        <f t="shared" si="12"/>
        <v>56096452.079139791</v>
      </c>
      <c r="FQ6" s="128">
        <f t="shared" si="12"/>
        <v>56096452.079139791</v>
      </c>
      <c r="FR6" s="128">
        <f t="shared" si="12"/>
        <v>56096452.079139791</v>
      </c>
      <c r="FS6" s="128">
        <f t="shared" si="12"/>
        <v>56096452.079139791</v>
      </c>
      <c r="FT6" s="128">
        <f t="shared" si="12"/>
        <v>56096452.079139791</v>
      </c>
      <c r="FU6" s="128">
        <f t="shared" si="12"/>
        <v>56096452.079139791</v>
      </c>
      <c r="FV6" s="128">
        <f t="shared" si="12"/>
        <v>56096452.079139791</v>
      </c>
      <c r="FW6" s="128">
        <f t="shared" si="12"/>
        <v>56096452.079139791</v>
      </c>
      <c r="FX6" s="128">
        <f t="shared" si="12"/>
        <v>56096452.079139791</v>
      </c>
      <c r="FY6" s="128">
        <f t="shared" si="12"/>
        <v>56096452.079139791</v>
      </c>
      <c r="FZ6" s="128">
        <f t="shared" si="12"/>
        <v>56096452.079139791</v>
      </c>
      <c r="GA6" s="128">
        <f t="shared" si="12"/>
        <v>56096452.079139791</v>
      </c>
      <c r="GB6" s="128">
        <f t="shared" si="12"/>
        <v>56096452.079139791</v>
      </c>
      <c r="GC6" s="128">
        <f t="shared" si="12"/>
        <v>56096452.079139791</v>
      </c>
      <c r="GD6" s="128">
        <f t="shared" si="12"/>
        <v>56096452.079139791</v>
      </c>
      <c r="GE6" s="128">
        <f t="shared" si="12"/>
        <v>56096452.079139791</v>
      </c>
      <c r="GF6" s="128">
        <f t="shared" si="12"/>
        <v>56096452.079139791</v>
      </c>
      <c r="GG6" s="128">
        <f t="shared" si="12"/>
        <v>56096452.079139791</v>
      </c>
      <c r="GH6" s="128">
        <f t="shared" si="12"/>
        <v>56096452.079139791</v>
      </c>
      <c r="GI6" s="128">
        <f t="shared" si="12"/>
        <v>56096452.079139791</v>
      </c>
      <c r="GJ6" s="128">
        <f t="shared" si="12"/>
        <v>56096452.079139791</v>
      </c>
      <c r="GK6" s="128">
        <f t="shared" si="12"/>
        <v>56096452.079139791</v>
      </c>
      <c r="GL6" s="128">
        <f t="shared" si="12"/>
        <v>56096452.079139791</v>
      </c>
      <c r="GM6" s="128">
        <f t="shared" si="12"/>
        <v>56096452.079139791</v>
      </c>
      <c r="GN6" s="128">
        <f t="shared" si="12"/>
        <v>56096452.079139791</v>
      </c>
      <c r="GO6" s="128">
        <f t="shared" si="12"/>
        <v>56096452.079139791</v>
      </c>
      <c r="GP6" s="128">
        <f t="shared" si="12"/>
        <v>56096452.079139791</v>
      </c>
      <c r="GQ6" s="128">
        <f t="shared" si="12"/>
        <v>56096452.079139791</v>
      </c>
      <c r="GR6" s="128">
        <f t="shared" si="12"/>
        <v>56096452.079139791</v>
      </c>
      <c r="GS6" s="128">
        <f t="shared" ref="GS6:JD6" si="13">GR6+GS5</f>
        <v>56096452.079139791</v>
      </c>
      <c r="GT6" s="128">
        <f t="shared" si="13"/>
        <v>56096452.079139791</v>
      </c>
      <c r="GU6" s="128">
        <f t="shared" si="13"/>
        <v>56096452.079139791</v>
      </c>
      <c r="GV6" s="128">
        <f t="shared" si="13"/>
        <v>56096452.079139791</v>
      </c>
      <c r="GW6" s="128">
        <f t="shared" si="13"/>
        <v>56096452.079139791</v>
      </c>
      <c r="GX6" s="128">
        <f t="shared" si="13"/>
        <v>56096452.079139791</v>
      </c>
      <c r="GY6" s="128">
        <f t="shared" si="13"/>
        <v>56096452.079139791</v>
      </c>
      <c r="GZ6" s="128">
        <f t="shared" si="13"/>
        <v>56096452.079139791</v>
      </c>
      <c r="HA6" s="128">
        <f t="shared" si="13"/>
        <v>56096452.079139791</v>
      </c>
      <c r="HB6" s="128">
        <f t="shared" si="13"/>
        <v>56096452.079139791</v>
      </c>
      <c r="HC6" s="128">
        <f t="shared" si="13"/>
        <v>56096452.079139791</v>
      </c>
      <c r="HD6" s="128">
        <f t="shared" si="13"/>
        <v>56096452.079139791</v>
      </c>
      <c r="HE6" s="128">
        <f t="shared" si="13"/>
        <v>56096452.079139791</v>
      </c>
      <c r="HF6" s="128">
        <f t="shared" si="13"/>
        <v>56096452.079139791</v>
      </c>
      <c r="HG6" s="128">
        <f t="shared" si="13"/>
        <v>56096452.079139791</v>
      </c>
      <c r="HH6" s="128">
        <f t="shared" si="13"/>
        <v>56096452.079139791</v>
      </c>
      <c r="HI6" s="128">
        <f t="shared" si="13"/>
        <v>56096452.079139791</v>
      </c>
      <c r="HJ6" s="128">
        <f t="shared" si="13"/>
        <v>56096452.079139791</v>
      </c>
      <c r="HK6" s="128">
        <f t="shared" si="13"/>
        <v>56096452.079139791</v>
      </c>
      <c r="HL6" s="128">
        <f t="shared" si="13"/>
        <v>56096452.079139791</v>
      </c>
      <c r="HM6" s="128">
        <f t="shared" si="13"/>
        <v>56096452.079139791</v>
      </c>
      <c r="HN6" s="128">
        <f t="shared" si="13"/>
        <v>56096452.079139791</v>
      </c>
      <c r="HO6" s="128">
        <f t="shared" si="13"/>
        <v>56096452.079139791</v>
      </c>
      <c r="HP6" s="128">
        <f t="shared" si="13"/>
        <v>56096452.079139791</v>
      </c>
      <c r="HQ6" s="128">
        <f t="shared" si="13"/>
        <v>56096452.079139791</v>
      </c>
      <c r="HR6" s="128">
        <f t="shared" si="13"/>
        <v>56096452.079139791</v>
      </c>
      <c r="HS6" s="128">
        <f t="shared" si="13"/>
        <v>56096452.079139791</v>
      </c>
      <c r="HT6" s="128">
        <f t="shared" si="13"/>
        <v>56096452.079139791</v>
      </c>
      <c r="HU6" s="128">
        <f t="shared" si="13"/>
        <v>56096452.079139791</v>
      </c>
      <c r="HV6" s="128">
        <f t="shared" si="13"/>
        <v>56096452.079139791</v>
      </c>
      <c r="HW6" s="128">
        <f t="shared" si="13"/>
        <v>56096452.079139791</v>
      </c>
      <c r="HX6" s="128">
        <f t="shared" si="13"/>
        <v>56096452.079139791</v>
      </c>
      <c r="HY6" s="128">
        <f t="shared" si="13"/>
        <v>56096452.079139791</v>
      </c>
      <c r="HZ6" s="128">
        <f t="shared" si="13"/>
        <v>56096452.079139791</v>
      </c>
      <c r="IA6" s="128">
        <f t="shared" si="13"/>
        <v>56096452.079139791</v>
      </c>
      <c r="IB6" s="128">
        <f t="shared" si="13"/>
        <v>56096452.079139791</v>
      </c>
      <c r="IC6" s="128">
        <f t="shared" si="13"/>
        <v>56096452.079139791</v>
      </c>
      <c r="ID6" s="128">
        <f t="shared" si="13"/>
        <v>56096452.079139791</v>
      </c>
      <c r="IE6" s="128">
        <f t="shared" si="13"/>
        <v>56096452.079139791</v>
      </c>
      <c r="IF6" s="128">
        <f t="shared" si="13"/>
        <v>56096452.079139791</v>
      </c>
      <c r="IG6" s="128">
        <f t="shared" si="13"/>
        <v>56096452.079139791</v>
      </c>
      <c r="IH6" s="128">
        <f t="shared" si="13"/>
        <v>56096452.079139791</v>
      </c>
      <c r="II6" s="128">
        <f t="shared" si="13"/>
        <v>56096452.079139791</v>
      </c>
      <c r="IJ6" s="128">
        <f t="shared" si="13"/>
        <v>56096452.079139791</v>
      </c>
      <c r="IK6" s="128">
        <f t="shared" si="13"/>
        <v>56096452.079139791</v>
      </c>
      <c r="IL6" s="128">
        <f t="shared" si="13"/>
        <v>56096452.079139791</v>
      </c>
      <c r="IM6" s="128">
        <f t="shared" si="13"/>
        <v>56096452.079139791</v>
      </c>
      <c r="IN6" s="128">
        <f t="shared" si="13"/>
        <v>56096452.079139791</v>
      </c>
      <c r="IO6" s="128">
        <f t="shared" si="13"/>
        <v>56096452.079139791</v>
      </c>
      <c r="IP6" s="128">
        <f t="shared" si="13"/>
        <v>56096452.079139791</v>
      </c>
      <c r="IQ6" s="128">
        <f t="shared" si="13"/>
        <v>56096452.079139791</v>
      </c>
      <c r="IR6" s="128">
        <f t="shared" si="13"/>
        <v>56096452.079139791</v>
      </c>
      <c r="IS6" s="128">
        <f t="shared" si="13"/>
        <v>56096452.079139791</v>
      </c>
      <c r="IT6" s="128">
        <f t="shared" si="13"/>
        <v>56096452.079139791</v>
      </c>
      <c r="IU6" s="128">
        <f t="shared" si="13"/>
        <v>56096452.079139791</v>
      </c>
      <c r="IV6" s="128">
        <f t="shared" si="13"/>
        <v>56096452.079139791</v>
      </c>
      <c r="IW6" s="128">
        <f t="shared" si="13"/>
        <v>56096452.079139791</v>
      </c>
      <c r="IX6" s="128">
        <f t="shared" si="13"/>
        <v>56096452.079139791</v>
      </c>
      <c r="IY6" s="128">
        <f t="shared" si="13"/>
        <v>56096452.079139791</v>
      </c>
      <c r="IZ6" s="128">
        <f t="shared" si="13"/>
        <v>56096452.079139791</v>
      </c>
      <c r="JA6" s="128">
        <f t="shared" si="13"/>
        <v>56096452.079139791</v>
      </c>
      <c r="JB6" s="128">
        <f t="shared" si="13"/>
        <v>56096452.079139791</v>
      </c>
      <c r="JC6" s="128">
        <f t="shared" si="13"/>
        <v>56096452.079139791</v>
      </c>
      <c r="JD6" s="128">
        <f t="shared" si="13"/>
        <v>56096452.079139791</v>
      </c>
      <c r="JE6" s="128">
        <f t="shared" ref="JE6:LD6" si="14">JD6+JE5</f>
        <v>56096452.079139791</v>
      </c>
      <c r="JF6" s="128">
        <f t="shared" si="14"/>
        <v>56096452.079139791</v>
      </c>
      <c r="JG6" s="128">
        <f t="shared" si="14"/>
        <v>56096452.079139791</v>
      </c>
      <c r="JH6" s="128">
        <f t="shared" si="14"/>
        <v>56096452.079139791</v>
      </c>
      <c r="JI6" s="128">
        <f t="shared" si="14"/>
        <v>56096452.079139791</v>
      </c>
      <c r="JJ6" s="128">
        <f t="shared" si="14"/>
        <v>56096452.079139791</v>
      </c>
      <c r="JK6" s="128">
        <f t="shared" si="14"/>
        <v>56096452.079139791</v>
      </c>
      <c r="JL6" s="128">
        <f t="shared" si="14"/>
        <v>56096452.079139791</v>
      </c>
      <c r="JM6" s="128">
        <f t="shared" si="14"/>
        <v>56096452.079139791</v>
      </c>
      <c r="JN6" s="128">
        <f t="shared" si="14"/>
        <v>56096452.079139791</v>
      </c>
      <c r="JO6" s="128">
        <f t="shared" si="14"/>
        <v>56096452.079139791</v>
      </c>
      <c r="JP6" s="128">
        <f t="shared" si="14"/>
        <v>56096452.079139791</v>
      </c>
      <c r="JQ6" s="128">
        <f t="shared" si="14"/>
        <v>56096452.079139791</v>
      </c>
      <c r="JR6" s="128">
        <f t="shared" si="14"/>
        <v>56096452.079139791</v>
      </c>
      <c r="JS6" s="128">
        <f t="shared" si="14"/>
        <v>56096452.079139791</v>
      </c>
      <c r="JT6" s="128">
        <f t="shared" si="14"/>
        <v>56096452.079139791</v>
      </c>
      <c r="JU6" s="128">
        <f t="shared" si="14"/>
        <v>56096452.079139791</v>
      </c>
      <c r="JV6" s="128">
        <f t="shared" si="14"/>
        <v>56096452.079139791</v>
      </c>
      <c r="JW6" s="128">
        <f t="shared" si="14"/>
        <v>56096452.079139791</v>
      </c>
      <c r="JX6" s="128">
        <f t="shared" si="14"/>
        <v>56096452.079139791</v>
      </c>
      <c r="JY6" s="128">
        <f t="shared" si="14"/>
        <v>56096452.079139791</v>
      </c>
      <c r="JZ6" s="128">
        <f t="shared" si="14"/>
        <v>56096452.079139791</v>
      </c>
      <c r="KA6" s="128">
        <f t="shared" si="14"/>
        <v>56096452.079139791</v>
      </c>
      <c r="KB6" s="128">
        <f t="shared" si="14"/>
        <v>56096452.079139791</v>
      </c>
      <c r="KC6" s="128">
        <f t="shared" si="14"/>
        <v>56096452.079139791</v>
      </c>
      <c r="KD6" s="128">
        <f t="shared" si="14"/>
        <v>56096452.079139791</v>
      </c>
      <c r="KE6" s="128">
        <f t="shared" si="14"/>
        <v>56096452.079139791</v>
      </c>
      <c r="KF6" s="128">
        <f t="shared" si="14"/>
        <v>56096452.079139791</v>
      </c>
      <c r="KG6" s="128">
        <f t="shared" si="14"/>
        <v>56096452.079139791</v>
      </c>
      <c r="KH6" s="128">
        <f t="shared" si="14"/>
        <v>56096452.079139791</v>
      </c>
      <c r="KI6" s="128">
        <f t="shared" si="14"/>
        <v>56096452.079139791</v>
      </c>
      <c r="KJ6" s="128">
        <f t="shared" si="14"/>
        <v>56096452.079139791</v>
      </c>
      <c r="KK6" s="128">
        <f t="shared" si="14"/>
        <v>56096452.079139791</v>
      </c>
      <c r="KL6" s="128">
        <f t="shared" si="14"/>
        <v>56096452.079139791</v>
      </c>
      <c r="KM6" s="128">
        <f t="shared" si="14"/>
        <v>56096452.079139791</v>
      </c>
      <c r="KN6" s="128">
        <f t="shared" si="14"/>
        <v>56096452.079139791</v>
      </c>
      <c r="KO6" s="128">
        <f t="shared" si="14"/>
        <v>56096452.079139791</v>
      </c>
      <c r="KP6" s="128">
        <f t="shared" si="14"/>
        <v>56096452.079139791</v>
      </c>
      <c r="KQ6" s="128">
        <f t="shared" si="14"/>
        <v>56096452.079139791</v>
      </c>
      <c r="KR6" s="128">
        <f t="shared" si="14"/>
        <v>56096452.079139791</v>
      </c>
      <c r="KS6" s="128">
        <f t="shared" si="14"/>
        <v>56096452.079139791</v>
      </c>
      <c r="KT6" s="128">
        <f t="shared" si="14"/>
        <v>56096452.079139791</v>
      </c>
      <c r="KU6" s="128">
        <f t="shared" si="14"/>
        <v>56096452.079139791</v>
      </c>
      <c r="KV6" s="128">
        <f t="shared" si="14"/>
        <v>56096452.079139791</v>
      </c>
      <c r="KW6" s="128">
        <f t="shared" si="14"/>
        <v>56096452.079139791</v>
      </c>
      <c r="KX6" s="128">
        <f t="shared" si="14"/>
        <v>56096452.079139791</v>
      </c>
      <c r="KY6" s="128">
        <f t="shared" si="14"/>
        <v>56096452.079139791</v>
      </c>
      <c r="KZ6" s="128">
        <f t="shared" si="14"/>
        <v>56096452.079139791</v>
      </c>
      <c r="LA6" s="128">
        <f t="shared" si="14"/>
        <v>56096452.079139791</v>
      </c>
      <c r="LB6" s="128">
        <f t="shared" si="14"/>
        <v>56096452.079139791</v>
      </c>
      <c r="LC6" s="128">
        <f t="shared" si="14"/>
        <v>56096452.079139791</v>
      </c>
      <c r="LD6" s="128">
        <f t="shared" si="14"/>
        <v>56096452.079139791</v>
      </c>
      <c r="LE6" s="118"/>
      <c r="LF6" s="129"/>
    </row>
    <row r="7" spans="1:794">
      <c r="A7" s="910"/>
      <c r="B7" s="131" t="s">
        <v>776</v>
      </c>
      <c r="C7" s="132"/>
      <c r="D7" s="132"/>
      <c r="E7" s="133"/>
      <c r="F7" s="134">
        <f t="shared" ref="F7:H7" si="15">F4-F6</f>
        <v>0</v>
      </c>
      <c r="G7" s="134">
        <f t="shared" si="15"/>
        <v>0</v>
      </c>
      <c r="H7" s="134">
        <f t="shared" si="15"/>
        <v>0</v>
      </c>
      <c r="I7" s="134">
        <f t="shared" ref="I7:BT7" si="16">I4-I6</f>
        <v>0</v>
      </c>
      <c r="J7" s="134">
        <f t="shared" si="16"/>
        <v>0</v>
      </c>
      <c r="K7" s="134">
        <f t="shared" si="16"/>
        <v>0</v>
      </c>
      <c r="L7" s="134">
        <f t="shared" si="16"/>
        <v>0</v>
      </c>
      <c r="M7" s="134">
        <f t="shared" si="16"/>
        <v>0</v>
      </c>
      <c r="N7" s="134">
        <f t="shared" si="16"/>
        <v>0</v>
      </c>
      <c r="O7" s="134">
        <f t="shared" si="16"/>
        <v>0</v>
      </c>
      <c r="P7" s="134">
        <f t="shared" si="16"/>
        <v>0</v>
      </c>
      <c r="Q7" s="134">
        <f t="shared" si="16"/>
        <v>0</v>
      </c>
      <c r="R7" s="134">
        <f t="shared" si="16"/>
        <v>0</v>
      </c>
      <c r="S7" s="134">
        <f t="shared" si="16"/>
        <v>0</v>
      </c>
      <c r="T7" s="134">
        <f t="shared" si="16"/>
        <v>0</v>
      </c>
      <c r="U7" s="134">
        <f t="shared" si="16"/>
        <v>0</v>
      </c>
      <c r="V7" s="134">
        <f t="shared" si="16"/>
        <v>0</v>
      </c>
      <c r="W7" s="134">
        <f t="shared" si="16"/>
        <v>0</v>
      </c>
      <c r="X7" s="134">
        <f t="shared" si="16"/>
        <v>15000000</v>
      </c>
      <c r="Y7" s="134">
        <f t="shared" si="16"/>
        <v>15000000</v>
      </c>
      <c r="Z7" s="134">
        <f t="shared" si="16"/>
        <v>12240000</v>
      </c>
      <c r="AA7" s="134">
        <f t="shared" si="16"/>
        <v>-2297831.3000000007</v>
      </c>
      <c r="AB7" s="134">
        <f t="shared" si="16"/>
        <v>-6658242.5370000005</v>
      </c>
      <c r="AC7" s="134">
        <f t="shared" si="16"/>
        <v>-6778242.5370000005</v>
      </c>
      <c r="AD7" s="134">
        <f t="shared" si="16"/>
        <v>-6778242.5370000005</v>
      </c>
      <c r="AE7" s="134">
        <f t="shared" si="16"/>
        <v>-6778242.5370000005</v>
      </c>
      <c r="AF7" s="134">
        <f t="shared" si="16"/>
        <v>11186257.463</v>
      </c>
      <c r="AG7" s="134">
        <f t="shared" si="16"/>
        <v>3827471.5532651246</v>
      </c>
      <c r="AH7" s="134">
        <f t="shared" si="16"/>
        <v>3827471.5532651246</v>
      </c>
      <c r="AI7" s="134">
        <f t="shared" si="16"/>
        <v>3827471.5532651246</v>
      </c>
      <c r="AJ7" s="134">
        <f t="shared" si="16"/>
        <v>3827471.5532651246</v>
      </c>
      <c r="AK7" s="134">
        <f t="shared" si="16"/>
        <v>10780471.553265125</v>
      </c>
      <c r="AL7" s="134">
        <f t="shared" si="16"/>
        <v>-219337.34673487395</v>
      </c>
      <c r="AM7" s="134">
        <f t="shared" si="16"/>
        <v>-219337.34673487395</v>
      </c>
      <c r="AN7" s="134">
        <f t="shared" si="16"/>
        <v>-219337.34673487395</v>
      </c>
      <c r="AO7" s="134">
        <f t="shared" si="16"/>
        <v>8385608.4199317917</v>
      </c>
      <c r="AP7" s="134">
        <f t="shared" si="16"/>
        <v>8385608.4199317917</v>
      </c>
      <c r="AQ7" s="134">
        <f t="shared" si="16"/>
        <v>8385608.4199317917</v>
      </c>
      <c r="AR7" s="134">
        <f t="shared" si="16"/>
        <v>-3645252.1885682046</v>
      </c>
      <c r="AS7" s="134">
        <f t="shared" si="16"/>
        <v>-3645252.1885682046</v>
      </c>
      <c r="AT7" s="134">
        <f t="shared" si="16"/>
        <v>-3645252.1885682046</v>
      </c>
      <c r="AU7" s="134">
        <f t="shared" si="16"/>
        <v>-3645252.1885682046</v>
      </c>
      <c r="AV7" s="134">
        <f t="shared" si="16"/>
        <v>-3645252.1885682046</v>
      </c>
      <c r="AW7" s="134">
        <f t="shared" si="16"/>
        <v>2354247.8114317954</v>
      </c>
      <c r="AX7" s="134">
        <f t="shared" si="16"/>
        <v>1848797.9208602086</v>
      </c>
      <c r="AY7" s="134">
        <f t="shared" si="16"/>
        <v>1848797.9208602086</v>
      </c>
      <c r="AZ7" s="134">
        <f t="shared" si="16"/>
        <v>4848547.9208602086</v>
      </c>
      <c r="BA7" s="134">
        <f t="shared" si="16"/>
        <v>4848547.9208602086</v>
      </c>
      <c r="BB7" s="134">
        <f t="shared" si="16"/>
        <v>4848547.9208602086</v>
      </c>
      <c r="BC7" s="134">
        <f t="shared" si="16"/>
        <v>3898547.9208602086</v>
      </c>
      <c r="BD7" s="134">
        <f t="shared" si="16"/>
        <v>3898547.9208602086</v>
      </c>
      <c r="BE7" s="134">
        <f t="shared" si="16"/>
        <v>3898547.9208602086</v>
      </c>
      <c r="BF7" s="134">
        <f t="shared" si="16"/>
        <v>3898547.9208602086</v>
      </c>
      <c r="BG7" s="134">
        <f t="shared" si="16"/>
        <v>3898547.9208602086</v>
      </c>
      <c r="BH7" s="134">
        <f t="shared" si="16"/>
        <v>3898547.9208602086</v>
      </c>
      <c r="BI7" s="134">
        <f t="shared" si="16"/>
        <v>3898547.9208602086</v>
      </c>
      <c r="BJ7" s="134">
        <f t="shared" si="16"/>
        <v>3898547.9208602086</v>
      </c>
      <c r="BK7" s="134">
        <f t="shared" si="16"/>
        <v>3898547.9208602086</v>
      </c>
      <c r="BL7" s="134">
        <f t="shared" si="16"/>
        <v>3898547.9208602086</v>
      </c>
      <c r="BM7" s="134">
        <f t="shared" si="16"/>
        <v>3898547.9208602086</v>
      </c>
      <c r="BN7" s="134">
        <f t="shared" si="16"/>
        <v>3898547.9208602086</v>
      </c>
      <c r="BO7" s="134">
        <f t="shared" si="16"/>
        <v>3898547.9208602086</v>
      </c>
      <c r="BP7" s="134">
        <f t="shared" si="16"/>
        <v>3898547.9208602086</v>
      </c>
      <c r="BQ7" s="134">
        <f t="shared" si="16"/>
        <v>3898547.9208602086</v>
      </c>
      <c r="BR7" s="134">
        <f t="shared" si="16"/>
        <v>3898547.9208602086</v>
      </c>
      <c r="BS7" s="134">
        <f t="shared" si="16"/>
        <v>3898547.9208602086</v>
      </c>
      <c r="BT7" s="134">
        <f t="shared" si="16"/>
        <v>3898547.9208602086</v>
      </c>
      <c r="BU7" s="134">
        <f t="shared" ref="BU7:EF7" si="17">BU4-BU6</f>
        <v>3898547.9208602086</v>
      </c>
      <c r="BV7" s="134">
        <f t="shared" si="17"/>
        <v>3898547.9208602086</v>
      </c>
      <c r="BW7" s="134">
        <f t="shared" si="17"/>
        <v>3898547.9208602086</v>
      </c>
      <c r="BX7" s="134">
        <f t="shared" si="17"/>
        <v>3898547.9208602086</v>
      </c>
      <c r="BY7" s="134">
        <f t="shared" si="17"/>
        <v>3898547.9208602086</v>
      </c>
      <c r="BZ7" s="134">
        <f t="shared" si="17"/>
        <v>3898547.9208602086</v>
      </c>
      <c r="CA7" s="134">
        <f t="shared" si="17"/>
        <v>3898547.9208602086</v>
      </c>
      <c r="CB7" s="134">
        <f t="shared" si="17"/>
        <v>3898547.9208602086</v>
      </c>
      <c r="CC7" s="134">
        <f t="shared" si="17"/>
        <v>3898547.9208602086</v>
      </c>
      <c r="CD7" s="134">
        <f t="shared" si="17"/>
        <v>3898547.9208602086</v>
      </c>
      <c r="CE7" s="134">
        <f t="shared" si="17"/>
        <v>3898547.9208602086</v>
      </c>
      <c r="CF7" s="134">
        <f t="shared" si="17"/>
        <v>3898547.9208602086</v>
      </c>
      <c r="CG7" s="134">
        <f t="shared" si="17"/>
        <v>3898547.9208602086</v>
      </c>
      <c r="CH7" s="134">
        <f t="shared" si="17"/>
        <v>3898547.9208602086</v>
      </c>
      <c r="CI7" s="134">
        <f t="shared" si="17"/>
        <v>3898547.9208602086</v>
      </c>
      <c r="CJ7" s="134">
        <f t="shared" si="17"/>
        <v>3898547.9208602086</v>
      </c>
      <c r="CK7" s="134">
        <f t="shared" si="17"/>
        <v>3898547.9208602086</v>
      </c>
      <c r="CL7" s="134">
        <f t="shared" si="17"/>
        <v>3898547.9208602086</v>
      </c>
      <c r="CM7" s="134">
        <f t="shared" si="17"/>
        <v>3898547.9208602086</v>
      </c>
      <c r="CN7" s="134">
        <f t="shared" si="17"/>
        <v>3898547.9208602086</v>
      </c>
      <c r="CO7" s="134">
        <f t="shared" si="17"/>
        <v>3898547.9208602086</v>
      </c>
      <c r="CP7" s="134">
        <f t="shared" si="17"/>
        <v>3898547.9208602086</v>
      </c>
      <c r="CQ7" s="134">
        <f t="shared" si="17"/>
        <v>3898547.9208602086</v>
      </c>
      <c r="CR7" s="134">
        <f t="shared" si="17"/>
        <v>3898547.9208602086</v>
      </c>
      <c r="CS7" s="134">
        <f t="shared" si="17"/>
        <v>3898547.9208602086</v>
      </c>
      <c r="CT7" s="134">
        <f t="shared" si="17"/>
        <v>3898547.9208602086</v>
      </c>
      <c r="CU7" s="134">
        <f t="shared" si="17"/>
        <v>3898547.9208602086</v>
      </c>
      <c r="CV7" s="134">
        <f t="shared" si="17"/>
        <v>3898547.9208602086</v>
      </c>
      <c r="CW7" s="134">
        <f t="shared" si="17"/>
        <v>3898547.9208602086</v>
      </c>
      <c r="CX7" s="134">
        <f t="shared" si="17"/>
        <v>3898547.9208602086</v>
      </c>
      <c r="CY7" s="134">
        <f t="shared" si="17"/>
        <v>3898547.9208602086</v>
      </c>
      <c r="CZ7" s="134">
        <f t="shared" si="17"/>
        <v>3898547.9208602086</v>
      </c>
      <c r="DA7" s="134">
        <f t="shared" si="17"/>
        <v>3898547.9208602086</v>
      </c>
      <c r="DB7" s="134">
        <f t="shared" si="17"/>
        <v>3898547.9208602086</v>
      </c>
      <c r="DC7" s="134">
        <f t="shared" si="17"/>
        <v>3898547.9208602086</v>
      </c>
      <c r="DD7" s="134">
        <f t="shared" si="17"/>
        <v>3898547.9208602086</v>
      </c>
      <c r="DE7" s="134">
        <f t="shared" si="17"/>
        <v>3898547.9208602086</v>
      </c>
      <c r="DF7" s="134">
        <f t="shared" si="17"/>
        <v>3898547.9208602086</v>
      </c>
      <c r="DG7" s="134">
        <f t="shared" si="17"/>
        <v>3898547.9208602086</v>
      </c>
      <c r="DH7" s="134">
        <f t="shared" si="17"/>
        <v>3898547.9208602086</v>
      </c>
      <c r="DI7" s="134">
        <f t="shared" si="17"/>
        <v>3898547.9208602086</v>
      </c>
      <c r="DJ7" s="134">
        <f t="shared" si="17"/>
        <v>3898547.9208602086</v>
      </c>
      <c r="DK7" s="134">
        <f t="shared" si="17"/>
        <v>3898547.9208602086</v>
      </c>
      <c r="DL7" s="134">
        <f t="shared" si="17"/>
        <v>3898547.9208602086</v>
      </c>
      <c r="DM7" s="134">
        <f t="shared" si="17"/>
        <v>3898547.9208602086</v>
      </c>
      <c r="DN7" s="134">
        <f t="shared" si="17"/>
        <v>3898547.9208602086</v>
      </c>
      <c r="DO7" s="134">
        <f t="shared" si="17"/>
        <v>3898547.9208602086</v>
      </c>
      <c r="DP7" s="134">
        <f t="shared" si="17"/>
        <v>3898547.9208602086</v>
      </c>
      <c r="DQ7" s="134">
        <f t="shared" si="17"/>
        <v>3898547.9208602086</v>
      </c>
      <c r="DR7" s="134">
        <f t="shared" si="17"/>
        <v>3898547.9208602086</v>
      </c>
      <c r="DS7" s="134">
        <f t="shared" si="17"/>
        <v>3898547.9208602086</v>
      </c>
      <c r="DT7" s="134">
        <f t="shared" si="17"/>
        <v>3898547.9208602086</v>
      </c>
      <c r="DU7" s="134">
        <f t="shared" si="17"/>
        <v>3898547.9208602086</v>
      </c>
      <c r="DV7" s="134">
        <f t="shared" si="17"/>
        <v>3898547.9208602086</v>
      </c>
      <c r="DW7" s="134">
        <f t="shared" si="17"/>
        <v>3898547.9208602086</v>
      </c>
      <c r="DX7" s="134">
        <f t="shared" si="17"/>
        <v>3898547.9208602086</v>
      </c>
      <c r="DY7" s="134">
        <f t="shared" si="17"/>
        <v>3898547.9208602086</v>
      </c>
      <c r="DZ7" s="134">
        <f t="shared" si="17"/>
        <v>3898547.9208602086</v>
      </c>
      <c r="EA7" s="134">
        <f t="shared" si="17"/>
        <v>3898547.9208602086</v>
      </c>
      <c r="EB7" s="134">
        <f t="shared" si="17"/>
        <v>3898547.9208602086</v>
      </c>
      <c r="EC7" s="134">
        <f t="shared" si="17"/>
        <v>3898547.9208602086</v>
      </c>
      <c r="ED7" s="134">
        <f t="shared" si="17"/>
        <v>3898547.9208602086</v>
      </c>
      <c r="EE7" s="134">
        <f t="shared" si="17"/>
        <v>3898547.9208602086</v>
      </c>
      <c r="EF7" s="134">
        <f t="shared" si="17"/>
        <v>3898547.9208602086</v>
      </c>
      <c r="EG7" s="134">
        <f t="shared" ref="EG7:GR7" si="18">EG4-EG6</f>
        <v>3898547.9208602086</v>
      </c>
      <c r="EH7" s="134">
        <f t="shared" si="18"/>
        <v>3898547.9208602086</v>
      </c>
      <c r="EI7" s="134">
        <f t="shared" si="18"/>
        <v>3898547.9208602086</v>
      </c>
      <c r="EJ7" s="134">
        <f t="shared" si="18"/>
        <v>3898547.9208602086</v>
      </c>
      <c r="EK7" s="134">
        <f t="shared" si="18"/>
        <v>3898547.9208602086</v>
      </c>
      <c r="EL7" s="134">
        <f t="shared" si="18"/>
        <v>3898547.9208602086</v>
      </c>
      <c r="EM7" s="134">
        <f t="shared" si="18"/>
        <v>3898547.9208602086</v>
      </c>
      <c r="EN7" s="134">
        <f t="shared" si="18"/>
        <v>3898547.9208602086</v>
      </c>
      <c r="EO7" s="134">
        <f t="shared" si="18"/>
        <v>3898547.9208602086</v>
      </c>
      <c r="EP7" s="134">
        <f t="shared" si="18"/>
        <v>3898547.9208602086</v>
      </c>
      <c r="EQ7" s="134">
        <f t="shared" si="18"/>
        <v>3898547.9208602086</v>
      </c>
      <c r="ER7" s="134">
        <f t="shared" si="18"/>
        <v>3898547.9208602086</v>
      </c>
      <c r="ES7" s="134">
        <f t="shared" si="18"/>
        <v>3898547.9208602086</v>
      </c>
      <c r="ET7" s="134">
        <f t="shared" si="18"/>
        <v>3898547.9208602086</v>
      </c>
      <c r="EU7" s="134">
        <f t="shared" si="18"/>
        <v>3898547.9208602086</v>
      </c>
      <c r="EV7" s="134">
        <f t="shared" si="18"/>
        <v>3898547.9208602086</v>
      </c>
      <c r="EW7" s="134">
        <f t="shared" si="18"/>
        <v>3898547.9208602086</v>
      </c>
      <c r="EX7" s="134">
        <f t="shared" si="18"/>
        <v>3898547.9208602086</v>
      </c>
      <c r="EY7" s="134">
        <f t="shared" si="18"/>
        <v>3898547.9208602086</v>
      </c>
      <c r="EZ7" s="134">
        <f t="shared" si="18"/>
        <v>3898547.9208602086</v>
      </c>
      <c r="FA7" s="134">
        <f t="shared" si="18"/>
        <v>3898547.9208602086</v>
      </c>
      <c r="FB7" s="134">
        <f t="shared" si="18"/>
        <v>3898547.9208602086</v>
      </c>
      <c r="FC7" s="134">
        <f t="shared" si="18"/>
        <v>3898547.9208602086</v>
      </c>
      <c r="FD7" s="134">
        <f t="shared" si="18"/>
        <v>3898547.9208602086</v>
      </c>
      <c r="FE7" s="134">
        <f t="shared" si="18"/>
        <v>3898547.9208602086</v>
      </c>
      <c r="FF7" s="134">
        <f t="shared" si="18"/>
        <v>3898547.9208602086</v>
      </c>
      <c r="FG7" s="134">
        <f t="shared" si="18"/>
        <v>3898547.9208602086</v>
      </c>
      <c r="FH7" s="134">
        <f t="shared" si="18"/>
        <v>3898547.9208602086</v>
      </c>
      <c r="FI7" s="134">
        <f t="shared" si="18"/>
        <v>3898547.9208602086</v>
      </c>
      <c r="FJ7" s="134">
        <f t="shared" si="18"/>
        <v>3898547.9208602086</v>
      </c>
      <c r="FK7" s="134">
        <f t="shared" si="18"/>
        <v>3898547.9208602086</v>
      </c>
      <c r="FL7" s="134">
        <f t="shared" si="18"/>
        <v>3898547.9208602086</v>
      </c>
      <c r="FM7" s="134">
        <f t="shared" si="18"/>
        <v>3898547.9208602086</v>
      </c>
      <c r="FN7" s="134">
        <f t="shared" si="18"/>
        <v>3898547.9208602086</v>
      </c>
      <c r="FO7" s="134">
        <f t="shared" si="18"/>
        <v>3898547.9208602086</v>
      </c>
      <c r="FP7" s="134">
        <f t="shared" si="18"/>
        <v>3898547.9208602086</v>
      </c>
      <c r="FQ7" s="134">
        <f t="shared" si="18"/>
        <v>3898547.9208602086</v>
      </c>
      <c r="FR7" s="134">
        <f t="shared" si="18"/>
        <v>3898547.9208602086</v>
      </c>
      <c r="FS7" s="134">
        <f t="shared" si="18"/>
        <v>3898547.9208602086</v>
      </c>
      <c r="FT7" s="134">
        <f t="shared" si="18"/>
        <v>3898547.9208602086</v>
      </c>
      <c r="FU7" s="134">
        <f t="shared" si="18"/>
        <v>3898547.9208602086</v>
      </c>
      <c r="FV7" s="134">
        <f t="shared" si="18"/>
        <v>3898547.9208602086</v>
      </c>
      <c r="FW7" s="134">
        <f t="shared" si="18"/>
        <v>3898547.9208602086</v>
      </c>
      <c r="FX7" s="134">
        <f t="shared" si="18"/>
        <v>3898547.9208602086</v>
      </c>
      <c r="FY7" s="134">
        <f t="shared" si="18"/>
        <v>3898547.9208602086</v>
      </c>
      <c r="FZ7" s="134">
        <f t="shared" si="18"/>
        <v>3898547.9208602086</v>
      </c>
      <c r="GA7" s="134">
        <f t="shared" si="18"/>
        <v>3898547.9208602086</v>
      </c>
      <c r="GB7" s="134">
        <f t="shared" si="18"/>
        <v>3898547.9208602086</v>
      </c>
      <c r="GC7" s="134">
        <f t="shared" si="18"/>
        <v>3898547.9208602086</v>
      </c>
      <c r="GD7" s="134">
        <f t="shared" si="18"/>
        <v>3898547.9208602086</v>
      </c>
      <c r="GE7" s="134">
        <f t="shared" si="18"/>
        <v>3898547.9208602086</v>
      </c>
      <c r="GF7" s="134">
        <f t="shared" si="18"/>
        <v>3898547.9208602086</v>
      </c>
      <c r="GG7" s="134">
        <f t="shared" si="18"/>
        <v>3898547.9208602086</v>
      </c>
      <c r="GH7" s="134">
        <f t="shared" si="18"/>
        <v>3898547.9208602086</v>
      </c>
      <c r="GI7" s="134">
        <f t="shared" si="18"/>
        <v>3898547.9208602086</v>
      </c>
      <c r="GJ7" s="134">
        <f t="shared" si="18"/>
        <v>3898547.9208602086</v>
      </c>
      <c r="GK7" s="134">
        <f t="shared" si="18"/>
        <v>3898547.9208602086</v>
      </c>
      <c r="GL7" s="134">
        <f t="shared" si="18"/>
        <v>3898547.9208602086</v>
      </c>
      <c r="GM7" s="134">
        <f t="shared" si="18"/>
        <v>3898547.9208602086</v>
      </c>
      <c r="GN7" s="134">
        <f t="shared" si="18"/>
        <v>3898547.9208602086</v>
      </c>
      <c r="GO7" s="134">
        <f t="shared" si="18"/>
        <v>3898547.9208602086</v>
      </c>
      <c r="GP7" s="134">
        <f t="shared" si="18"/>
        <v>3898547.9208602086</v>
      </c>
      <c r="GQ7" s="134">
        <f t="shared" si="18"/>
        <v>3898547.9208602086</v>
      </c>
      <c r="GR7" s="134">
        <f t="shared" si="18"/>
        <v>3898547.9208602086</v>
      </c>
      <c r="GS7" s="134">
        <f t="shared" ref="GS7:JD7" si="19">GS4-GS6</f>
        <v>3898547.9208602086</v>
      </c>
      <c r="GT7" s="134">
        <f t="shared" si="19"/>
        <v>3898547.9208602086</v>
      </c>
      <c r="GU7" s="134">
        <f t="shared" si="19"/>
        <v>3898547.9208602086</v>
      </c>
      <c r="GV7" s="134">
        <f t="shared" si="19"/>
        <v>3898547.9208602086</v>
      </c>
      <c r="GW7" s="134">
        <f t="shared" si="19"/>
        <v>3898547.9208602086</v>
      </c>
      <c r="GX7" s="134">
        <f t="shared" si="19"/>
        <v>3898547.9208602086</v>
      </c>
      <c r="GY7" s="134">
        <f t="shared" si="19"/>
        <v>3898547.9208602086</v>
      </c>
      <c r="GZ7" s="134">
        <f t="shared" si="19"/>
        <v>3898547.9208602086</v>
      </c>
      <c r="HA7" s="134">
        <f t="shared" si="19"/>
        <v>3898547.9208602086</v>
      </c>
      <c r="HB7" s="134">
        <f t="shared" si="19"/>
        <v>3898547.9208602086</v>
      </c>
      <c r="HC7" s="134">
        <f t="shared" si="19"/>
        <v>3898547.9208602086</v>
      </c>
      <c r="HD7" s="134">
        <f t="shared" si="19"/>
        <v>3898547.9208602086</v>
      </c>
      <c r="HE7" s="134">
        <f t="shared" si="19"/>
        <v>3898547.9208602086</v>
      </c>
      <c r="HF7" s="134">
        <f t="shared" si="19"/>
        <v>3898547.9208602086</v>
      </c>
      <c r="HG7" s="134">
        <f t="shared" si="19"/>
        <v>3898547.9208602086</v>
      </c>
      <c r="HH7" s="134">
        <f t="shared" si="19"/>
        <v>3898547.9208602086</v>
      </c>
      <c r="HI7" s="134">
        <f t="shared" si="19"/>
        <v>3898547.9208602086</v>
      </c>
      <c r="HJ7" s="134">
        <f t="shared" si="19"/>
        <v>3898547.9208602086</v>
      </c>
      <c r="HK7" s="134">
        <f t="shared" si="19"/>
        <v>3898547.9208602086</v>
      </c>
      <c r="HL7" s="134">
        <f t="shared" si="19"/>
        <v>3898547.9208602086</v>
      </c>
      <c r="HM7" s="134">
        <f t="shared" si="19"/>
        <v>3898547.9208602086</v>
      </c>
      <c r="HN7" s="134">
        <f t="shared" si="19"/>
        <v>3898547.9208602086</v>
      </c>
      <c r="HO7" s="134">
        <f t="shared" si="19"/>
        <v>3898547.9208602086</v>
      </c>
      <c r="HP7" s="134">
        <f t="shared" si="19"/>
        <v>3898547.9208602086</v>
      </c>
      <c r="HQ7" s="134">
        <f t="shared" si="19"/>
        <v>3898547.9208602086</v>
      </c>
      <c r="HR7" s="134">
        <f t="shared" si="19"/>
        <v>3898547.9208602086</v>
      </c>
      <c r="HS7" s="134">
        <f t="shared" si="19"/>
        <v>3898547.9208602086</v>
      </c>
      <c r="HT7" s="134">
        <f t="shared" si="19"/>
        <v>3898547.9208602086</v>
      </c>
      <c r="HU7" s="134">
        <f t="shared" si="19"/>
        <v>3898547.9208602086</v>
      </c>
      <c r="HV7" s="134">
        <f t="shared" si="19"/>
        <v>3898547.9208602086</v>
      </c>
      <c r="HW7" s="134">
        <f t="shared" si="19"/>
        <v>3898547.9208602086</v>
      </c>
      <c r="HX7" s="134">
        <f t="shared" si="19"/>
        <v>3898547.9208602086</v>
      </c>
      <c r="HY7" s="134">
        <f t="shared" si="19"/>
        <v>3898547.9208602086</v>
      </c>
      <c r="HZ7" s="134">
        <f t="shared" si="19"/>
        <v>3898547.9208602086</v>
      </c>
      <c r="IA7" s="134">
        <f t="shared" si="19"/>
        <v>3898547.9208602086</v>
      </c>
      <c r="IB7" s="134">
        <f t="shared" si="19"/>
        <v>3898547.9208602086</v>
      </c>
      <c r="IC7" s="134">
        <f t="shared" si="19"/>
        <v>3898547.9208602086</v>
      </c>
      <c r="ID7" s="134">
        <f t="shared" si="19"/>
        <v>3898547.9208602086</v>
      </c>
      <c r="IE7" s="134">
        <f t="shared" si="19"/>
        <v>3898547.9208602086</v>
      </c>
      <c r="IF7" s="134">
        <f t="shared" si="19"/>
        <v>3898547.9208602086</v>
      </c>
      <c r="IG7" s="134">
        <f t="shared" si="19"/>
        <v>3898547.9208602086</v>
      </c>
      <c r="IH7" s="134">
        <f t="shared" si="19"/>
        <v>3898547.9208602086</v>
      </c>
      <c r="II7" s="134">
        <f t="shared" si="19"/>
        <v>3898547.9208602086</v>
      </c>
      <c r="IJ7" s="134">
        <f t="shared" si="19"/>
        <v>3898547.9208602086</v>
      </c>
      <c r="IK7" s="134">
        <f t="shared" si="19"/>
        <v>3898547.9208602086</v>
      </c>
      <c r="IL7" s="134">
        <f t="shared" si="19"/>
        <v>3898547.9208602086</v>
      </c>
      <c r="IM7" s="134">
        <f t="shared" si="19"/>
        <v>3898547.9208602086</v>
      </c>
      <c r="IN7" s="134">
        <f t="shared" si="19"/>
        <v>3898547.9208602086</v>
      </c>
      <c r="IO7" s="134">
        <f t="shared" si="19"/>
        <v>3898547.9208602086</v>
      </c>
      <c r="IP7" s="134">
        <f t="shared" si="19"/>
        <v>3898547.9208602086</v>
      </c>
      <c r="IQ7" s="134">
        <f t="shared" si="19"/>
        <v>3898547.9208602086</v>
      </c>
      <c r="IR7" s="134">
        <f t="shared" si="19"/>
        <v>3898547.9208602086</v>
      </c>
      <c r="IS7" s="134">
        <f t="shared" si="19"/>
        <v>3898547.9208602086</v>
      </c>
      <c r="IT7" s="134">
        <f t="shared" si="19"/>
        <v>3898547.9208602086</v>
      </c>
      <c r="IU7" s="134">
        <f t="shared" si="19"/>
        <v>3898547.9208602086</v>
      </c>
      <c r="IV7" s="134">
        <f t="shared" si="19"/>
        <v>3898547.9208602086</v>
      </c>
      <c r="IW7" s="134">
        <f t="shared" si="19"/>
        <v>3898547.9208602086</v>
      </c>
      <c r="IX7" s="134">
        <f t="shared" si="19"/>
        <v>3898547.9208602086</v>
      </c>
      <c r="IY7" s="134">
        <f t="shared" si="19"/>
        <v>3898547.9208602086</v>
      </c>
      <c r="IZ7" s="134">
        <f t="shared" si="19"/>
        <v>3898547.9208602086</v>
      </c>
      <c r="JA7" s="134">
        <f t="shared" si="19"/>
        <v>3898547.9208602086</v>
      </c>
      <c r="JB7" s="134">
        <f t="shared" si="19"/>
        <v>3898547.9208602086</v>
      </c>
      <c r="JC7" s="134">
        <f t="shared" si="19"/>
        <v>3898547.9208602086</v>
      </c>
      <c r="JD7" s="134">
        <f t="shared" si="19"/>
        <v>3898547.9208602086</v>
      </c>
      <c r="JE7" s="134">
        <f t="shared" ref="JE7:LD7" si="20">JE4-JE6</f>
        <v>3898547.9208602086</v>
      </c>
      <c r="JF7" s="134">
        <f t="shared" si="20"/>
        <v>3898547.9208602086</v>
      </c>
      <c r="JG7" s="134">
        <f t="shared" si="20"/>
        <v>3898547.9208602086</v>
      </c>
      <c r="JH7" s="134">
        <f t="shared" si="20"/>
        <v>3898547.9208602086</v>
      </c>
      <c r="JI7" s="134">
        <f t="shared" si="20"/>
        <v>3898547.9208602086</v>
      </c>
      <c r="JJ7" s="134">
        <f t="shared" si="20"/>
        <v>3898547.9208602086</v>
      </c>
      <c r="JK7" s="134">
        <f t="shared" si="20"/>
        <v>3898547.9208602086</v>
      </c>
      <c r="JL7" s="134">
        <f t="shared" si="20"/>
        <v>3898547.9208602086</v>
      </c>
      <c r="JM7" s="134">
        <f t="shared" si="20"/>
        <v>3898547.9208602086</v>
      </c>
      <c r="JN7" s="134">
        <f t="shared" si="20"/>
        <v>3898547.9208602086</v>
      </c>
      <c r="JO7" s="134">
        <f t="shared" si="20"/>
        <v>3898547.9208602086</v>
      </c>
      <c r="JP7" s="134">
        <f t="shared" si="20"/>
        <v>3898547.9208602086</v>
      </c>
      <c r="JQ7" s="134">
        <f t="shared" si="20"/>
        <v>3898547.9208602086</v>
      </c>
      <c r="JR7" s="134">
        <f t="shared" si="20"/>
        <v>3898547.9208602086</v>
      </c>
      <c r="JS7" s="134">
        <f t="shared" si="20"/>
        <v>3898547.9208602086</v>
      </c>
      <c r="JT7" s="134">
        <f t="shared" si="20"/>
        <v>3898547.9208602086</v>
      </c>
      <c r="JU7" s="134">
        <f t="shared" si="20"/>
        <v>3898547.9208602086</v>
      </c>
      <c r="JV7" s="134">
        <f t="shared" si="20"/>
        <v>3898547.9208602086</v>
      </c>
      <c r="JW7" s="134">
        <f t="shared" si="20"/>
        <v>3898547.9208602086</v>
      </c>
      <c r="JX7" s="134">
        <f t="shared" si="20"/>
        <v>3898547.9208602086</v>
      </c>
      <c r="JY7" s="134">
        <f t="shared" si="20"/>
        <v>3898547.9208602086</v>
      </c>
      <c r="JZ7" s="134">
        <f t="shared" si="20"/>
        <v>3898547.9208602086</v>
      </c>
      <c r="KA7" s="134">
        <f t="shared" si="20"/>
        <v>3898547.9208602086</v>
      </c>
      <c r="KB7" s="134">
        <f t="shared" si="20"/>
        <v>3898547.9208602086</v>
      </c>
      <c r="KC7" s="134">
        <f t="shared" si="20"/>
        <v>3898547.9208602086</v>
      </c>
      <c r="KD7" s="134">
        <f t="shared" si="20"/>
        <v>3898547.9208602086</v>
      </c>
      <c r="KE7" s="134">
        <f t="shared" si="20"/>
        <v>3898547.9208602086</v>
      </c>
      <c r="KF7" s="134">
        <f t="shared" si="20"/>
        <v>3898547.9208602086</v>
      </c>
      <c r="KG7" s="134">
        <f t="shared" si="20"/>
        <v>3898547.9208602086</v>
      </c>
      <c r="KH7" s="134">
        <f t="shared" si="20"/>
        <v>3898547.9208602086</v>
      </c>
      <c r="KI7" s="134">
        <f t="shared" si="20"/>
        <v>3898547.9208602086</v>
      </c>
      <c r="KJ7" s="134">
        <f t="shared" si="20"/>
        <v>3898547.9208602086</v>
      </c>
      <c r="KK7" s="134">
        <f t="shared" si="20"/>
        <v>3898547.9208602086</v>
      </c>
      <c r="KL7" s="134">
        <f t="shared" si="20"/>
        <v>3898547.9208602086</v>
      </c>
      <c r="KM7" s="134">
        <f t="shared" si="20"/>
        <v>3898547.9208602086</v>
      </c>
      <c r="KN7" s="134">
        <f t="shared" si="20"/>
        <v>3898547.9208602086</v>
      </c>
      <c r="KO7" s="134">
        <f t="shared" si="20"/>
        <v>3898547.9208602086</v>
      </c>
      <c r="KP7" s="134">
        <f t="shared" si="20"/>
        <v>3898547.9208602086</v>
      </c>
      <c r="KQ7" s="134">
        <f t="shared" si="20"/>
        <v>3898547.9208602086</v>
      </c>
      <c r="KR7" s="134">
        <f t="shared" si="20"/>
        <v>3898547.9208602086</v>
      </c>
      <c r="KS7" s="134">
        <f t="shared" si="20"/>
        <v>3898547.9208602086</v>
      </c>
      <c r="KT7" s="134">
        <f t="shared" si="20"/>
        <v>3898547.9208602086</v>
      </c>
      <c r="KU7" s="134">
        <f t="shared" si="20"/>
        <v>3898547.9208602086</v>
      </c>
      <c r="KV7" s="134">
        <f t="shared" si="20"/>
        <v>3898547.9208602086</v>
      </c>
      <c r="KW7" s="134">
        <f t="shared" si="20"/>
        <v>3898547.9208602086</v>
      </c>
      <c r="KX7" s="134">
        <f t="shared" si="20"/>
        <v>3898547.9208602086</v>
      </c>
      <c r="KY7" s="134">
        <f t="shared" si="20"/>
        <v>3898547.9208602086</v>
      </c>
      <c r="KZ7" s="134">
        <f t="shared" si="20"/>
        <v>3898547.9208602086</v>
      </c>
      <c r="LA7" s="134">
        <f t="shared" si="20"/>
        <v>3898547.9208602086</v>
      </c>
      <c r="LB7" s="134">
        <f t="shared" si="20"/>
        <v>3898547.9208602086</v>
      </c>
      <c r="LC7" s="134">
        <f t="shared" si="20"/>
        <v>3898547.9208602086</v>
      </c>
      <c r="LD7" s="134">
        <f t="shared" si="20"/>
        <v>3898547.9208602086</v>
      </c>
    </row>
    <row r="8" spans="1:794" s="118" customFormat="1">
      <c r="A8" s="909" t="s">
        <v>2</v>
      </c>
      <c r="B8" s="119"/>
      <c r="C8" s="120" t="s">
        <v>265</v>
      </c>
      <c r="D8" s="120" t="s">
        <v>265</v>
      </c>
      <c r="E8" s="120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/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35"/>
      <c r="DE8" s="135"/>
      <c r="DF8" s="135"/>
      <c r="DG8" s="135"/>
      <c r="DH8" s="135"/>
      <c r="DI8" s="135"/>
      <c r="DJ8" s="135"/>
      <c r="DK8" s="135"/>
      <c r="DL8" s="135"/>
      <c r="DM8" s="135"/>
      <c r="DN8" s="135"/>
      <c r="DO8" s="135"/>
      <c r="DP8" s="135"/>
      <c r="DQ8" s="135"/>
      <c r="DR8" s="135"/>
      <c r="DS8" s="135"/>
      <c r="DT8" s="135"/>
      <c r="DU8" s="135"/>
      <c r="DV8" s="135"/>
      <c r="DW8" s="135"/>
      <c r="DX8" s="135"/>
      <c r="DY8" s="135"/>
      <c r="DZ8" s="135"/>
      <c r="EA8" s="135"/>
      <c r="EB8" s="135"/>
      <c r="EC8" s="135"/>
      <c r="ED8" s="135"/>
      <c r="EE8" s="135"/>
      <c r="EF8" s="135"/>
      <c r="EG8" s="135"/>
      <c r="EH8" s="135"/>
      <c r="EI8" s="135"/>
      <c r="EJ8" s="135"/>
      <c r="EK8" s="135"/>
      <c r="EL8" s="135"/>
      <c r="EM8" s="135"/>
      <c r="EN8" s="135"/>
      <c r="EO8" s="135"/>
      <c r="EP8" s="135"/>
      <c r="EQ8" s="135"/>
      <c r="ER8" s="135"/>
      <c r="ES8" s="135"/>
      <c r="ET8" s="135"/>
      <c r="EU8" s="135"/>
      <c r="EV8" s="135"/>
      <c r="EW8" s="135"/>
      <c r="EX8" s="135"/>
      <c r="EY8" s="135"/>
      <c r="EZ8" s="135"/>
      <c r="FA8" s="135"/>
      <c r="FB8" s="135"/>
      <c r="FC8" s="135"/>
      <c r="FD8" s="135"/>
      <c r="FE8" s="135"/>
      <c r="FF8" s="135"/>
      <c r="FG8" s="135"/>
      <c r="FH8" s="135"/>
      <c r="FI8" s="135"/>
      <c r="FJ8" s="135"/>
      <c r="FK8" s="135"/>
      <c r="FL8" s="135"/>
      <c r="FM8" s="135"/>
      <c r="FN8" s="135"/>
      <c r="FO8" s="135"/>
      <c r="FP8" s="135"/>
      <c r="FQ8" s="135"/>
      <c r="FR8" s="135"/>
      <c r="FS8" s="135"/>
      <c r="FT8" s="135"/>
      <c r="FU8" s="135"/>
      <c r="FV8" s="135"/>
      <c r="FW8" s="135"/>
      <c r="FX8" s="135"/>
      <c r="FY8" s="135"/>
      <c r="FZ8" s="135"/>
      <c r="GA8" s="135"/>
      <c r="GB8" s="135"/>
      <c r="GC8" s="135"/>
      <c r="GD8" s="135"/>
      <c r="GE8" s="135"/>
      <c r="GF8" s="135"/>
      <c r="GG8" s="135"/>
      <c r="GH8" s="135"/>
      <c r="GI8" s="135"/>
      <c r="GJ8" s="135"/>
      <c r="GK8" s="135"/>
      <c r="GL8" s="135"/>
      <c r="GM8" s="135"/>
      <c r="GN8" s="135"/>
      <c r="GO8" s="135"/>
      <c r="GP8" s="135"/>
      <c r="GQ8" s="135"/>
      <c r="GR8" s="135"/>
      <c r="GS8" s="135"/>
      <c r="GT8" s="135"/>
      <c r="GU8" s="135"/>
      <c r="GV8" s="135"/>
      <c r="GW8" s="135"/>
      <c r="GX8" s="135"/>
      <c r="GY8" s="135"/>
      <c r="GZ8" s="135"/>
      <c r="HA8" s="135"/>
      <c r="HB8" s="135"/>
      <c r="HC8" s="135"/>
      <c r="HD8" s="135"/>
      <c r="HE8" s="135"/>
      <c r="HF8" s="135"/>
      <c r="HG8" s="135"/>
      <c r="HH8" s="135"/>
      <c r="HI8" s="135"/>
      <c r="HJ8" s="135"/>
      <c r="HK8" s="135"/>
      <c r="HL8" s="135"/>
      <c r="HM8" s="135"/>
      <c r="HN8" s="135"/>
      <c r="HO8" s="135"/>
      <c r="HP8" s="135"/>
      <c r="HQ8" s="135"/>
      <c r="HR8" s="135"/>
      <c r="HS8" s="135"/>
      <c r="HT8" s="135"/>
      <c r="HU8" s="135"/>
      <c r="HV8" s="135"/>
      <c r="HW8" s="135"/>
      <c r="HX8" s="135"/>
      <c r="HY8" s="135"/>
      <c r="HZ8" s="135"/>
      <c r="IA8" s="135"/>
      <c r="IB8" s="135"/>
      <c r="IC8" s="135"/>
      <c r="ID8" s="135"/>
      <c r="IE8" s="135"/>
      <c r="IF8" s="135"/>
      <c r="IG8" s="135"/>
      <c r="IH8" s="135"/>
      <c r="II8" s="135"/>
      <c r="IJ8" s="135"/>
      <c r="IK8" s="135"/>
      <c r="IL8" s="135"/>
      <c r="IM8" s="135"/>
      <c r="IN8" s="135"/>
      <c r="IO8" s="135"/>
      <c r="IP8" s="135"/>
      <c r="IQ8" s="135"/>
      <c r="IR8" s="135"/>
      <c r="IS8" s="135"/>
      <c r="IT8" s="135"/>
      <c r="IU8" s="135"/>
      <c r="IV8" s="135"/>
      <c r="IW8" s="135"/>
      <c r="IX8" s="135"/>
      <c r="IY8" s="135"/>
      <c r="IZ8" s="135"/>
      <c r="JA8" s="135"/>
      <c r="JB8" s="135"/>
      <c r="JC8" s="135"/>
      <c r="JD8" s="135"/>
      <c r="JE8" s="135"/>
      <c r="JF8" s="135"/>
      <c r="JG8" s="135"/>
      <c r="JH8" s="135"/>
      <c r="JI8" s="135"/>
      <c r="JJ8" s="135"/>
      <c r="JK8" s="135"/>
      <c r="JL8" s="135"/>
      <c r="JM8" s="135"/>
      <c r="JN8" s="135"/>
      <c r="JO8" s="135"/>
      <c r="JP8" s="135"/>
      <c r="JQ8" s="135"/>
      <c r="JR8" s="135"/>
      <c r="JS8" s="135"/>
      <c r="JT8" s="135"/>
      <c r="JU8" s="135"/>
      <c r="JV8" s="135"/>
      <c r="JW8" s="135"/>
      <c r="JX8" s="135"/>
      <c r="JY8" s="135"/>
      <c r="JZ8" s="135"/>
      <c r="KA8" s="135"/>
      <c r="KB8" s="135"/>
      <c r="KC8" s="135"/>
      <c r="KD8" s="135"/>
      <c r="KE8" s="135"/>
      <c r="KF8" s="135"/>
      <c r="KG8" s="135"/>
      <c r="KH8" s="135"/>
      <c r="KI8" s="135"/>
      <c r="KJ8" s="135"/>
      <c r="KK8" s="135"/>
      <c r="KL8" s="135"/>
      <c r="KM8" s="135"/>
      <c r="KN8" s="135"/>
      <c r="KO8" s="135"/>
      <c r="KP8" s="135"/>
      <c r="KQ8" s="135"/>
      <c r="KR8" s="135"/>
      <c r="KS8" s="135"/>
      <c r="KT8" s="135"/>
      <c r="KU8" s="135"/>
      <c r="KV8" s="135"/>
      <c r="KW8" s="135"/>
      <c r="KX8" s="135"/>
      <c r="KY8" s="135"/>
      <c r="KZ8" s="135"/>
      <c r="LA8" s="135"/>
      <c r="LB8" s="135"/>
      <c r="LC8" s="135"/>
      <c r="LD8" s="13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10"/>
      <c r="B9" s="136" t="s">
        <v>777</v>
      </c>
      <c r="C9" s="137">
        <f>'Revenue Tracking'!F4</f>
        <v>59995000</v>
      </c>
      <c r="D9" s="137">
        <f>SUM(F9:LD9)</f>
        <v>59995000</v>
      </c>
      <c r="E9" s="124"/>
      <c r="F9" s="138">
        <f>SUMIFS('Revenue Tracking'!$F$13:$F$21, 'Revenue Tracking'!$P$13:$P$21, "&gt;="&amp;F1,'Revenue Tracking'!$P$13:$P$21, "&lt;"&amp;G1)</f>
        <v>0</v>
      </c>
      <c r="G9" s="138">
        <f>SUMIFS('Revenue Tracking'!$F$13:$F$21, 'Revenue Tracking'!$P$13:$P$21, "&gt;="&amp;G1,'Revenue Tracking'!$P$13:$P$21, "&lt;"&amp;H1)</f>
        <v>0</v>
      </c>
      <c r="H9" s="138">
        <f>SUMIFS('Revenue Tracking'!$F$13:$F$21, 'Revenue Tracking'!$P$13:$P$21, "&gt;="&amp;H1,'Revenue Tracking'!$P$13:$P$21, "&lt;"&amp;I1)</f>
        <v>0</v>
      </c>
      <c r="I9" s="138">
        <f>SUMIFS('Revenue Tracking'!$F$13:$F$21, 'Revenue Tracking'!$P$13:$P$21, "&gt;="&amp;I1,'Revenue Tracking'!$P$13:$P$21, "&lt;"&amp;J1)</f>
        <v>0</v>
      </c>
      <c r="J9" s="138">
        <f>SUMIFS('Revenue Tracking'!$F$13:$F$21, 'Revenue Tracking'!$P$13:$P$21, "&gt;="&amp;J1,'Revenue Tracking'!$P$13:$P$21, "&lt;"&amp;K1)</f>
        <v>0</v>
      </c>
      <c r="K9" s="138">
        <f>SUMIFS('Revenue Tracking'!$F$13:$F$21, 'Revenue Tracking'!$P$13:$P$21, "&gt;="&amp;K1,'Revenue Tracking'!$P$13:$P$21, "&lt;"&amp;L1)</f>
        <v>0</v>
      </c>
      <c r="L9" s="138">
        <f>SUMIFS('Revenue Tracking'!$F$13:$F$21, 'Revenue Tracking'!$P$13:$P$21, "&gt;="&amp;L1,'Revenue Tracking'!$P$13:$P$21, "&lt;"&amp;M1)</f>
        <v>0</v>
      </c>
      <c r="M9" s="138">
        <f>SUMIFS('Revenue Tracking'!$F$13:$F$21, 'Revenue Tracking'!$P$13:$P$21, "&gt;="&amp;M1,'Revenue Tracking'!$P$13:$P$21, "&lt;"&amp;N1)</f>
        <v>0</v>
      </c>
      <c r="N9" s="138">
        <f>SUMIFS('Revenue Tracking'!$F$13:$F$21, 'Revenue Tracking'!$P$13:$P$21, "&gt;="&amp;N1,'Revenue Tracking'!$P$13:$P$21, "&lt;"&amp;O1)</f>
        <v>0</v>
      </c>
      <c r="O9" s="138">
        <f>SUMIFS('Revenue Tracking'!$F$13:$F$21, 'Revenue Tracking'!$P$13:$P$21, "&gt;="&amp;O1,'Revenue Tracking'!$P$13:$P$21, "&lt;"&amp;P1)</f>
        <v>0</v>
      </c>
      <c r="P9" s="138">
        <f>SUMIFS('Revenue Tracking'!$F$13:$F$21, 'Revenue Tracking'!$P$13:$P$21, "&gt;="&amp;P1,'Revenue Tracking'!$P$13:$P$21, "&lt;"&amp;Q1)</f>
        <v>0</v>
      </c>
      <c r="Q9" s="138">
        <f>SUMIFS('Revenue Tracking'!$F$13:$F$21, 'Revenue Tracking'!$P$13:$P$21, "&gt;="&amp;Q1,'Revenue Tracking'!$P$13:$P$21, "&lt;"&amp;R1)</f>
        <v>0</v>
      </c>
      <c r="R9" s="138">
        <f>SUMIFS('Revenue Tracking'!$F$13:$F$21, 'Revenue Tracking'!$P$13:$P$21, "&gt;="&amp;R1,'Revenue Tracking'!$P$13:$P$21, "&lt;"&amp;S1)</f>
        <v>0</v>
      </c>
      <c r="S9" s="138">
        <f>SUMIFS('Revenue Tracking'!$F$13:$F$21, 'Revenue Tracking'!$P$13:$P$21, "&gt;="&amp;S1,'Revenue Tracking'!$P$13:$P$21, "&lt;"&amp;T1)</f>
        <v>0</v>
      </c>
      <c r="T9" s="138">
        <f>SUMIFS('Revenue Tracking'!$F$13:$F$21, 'Revenue Tracking'!$P$13:$P$21, "&gt;="&amp;T1,'Revenue Tracking'!$P$13:$P$21, "&lt;"&amp;U1)</f>
        <v>0</v>
      </c>
      <c r="U9" s="138">
        <f>SUMIFS('Revenue Tracking'!$F$13:$F$21, 'Revenue Tracking'!$P$13:$P$21, "&gt;="&amp;U1,'Revenue Tracking'!$P$13:$P$21, "&lt;"&amp;V1)</f>
        <v>0</v>
      </c>
      <c r="V9" s="138">
        <f>SUMIFS('Revenue Tracking'!$F$13:$F$21, 'Revenue Tracking'!$P$13:$P$21, "&gt;="&amp;V1,'Revenue Tracking'!$P$13:$P$21, "&lt;"&amp;W1)</f>
        <v>0</v>
      </c>
      <c r="W9" s="138">
        <f>SUMIFS('Revenue Tracking'!$F$13:$F$21, 'Revenue Tracking'!$P$13:$P$21, "&gt;="&amp;W1,'Revenue Tracking'!$P$13:$P$21, "&lt;"&amp;X1)</f>
        <v>0</v>
      </c>
      <c r="X9" s="138">
        <f>SUMIFS('Revenue Tracking'!$F$13:$F$21, 'Revenue Tracking'!$P$13:$P$21, "&gt;="&amp;X1,'Revenue Tracking'!$P$13:$P$21, "&lt;"&amp;Y1)</f>
        <v>0</v>
      </c>
      <c r="Y9" s="138">
        <f>SUMIFS('Revenue Tracking'!$F$13:$F$21, 'Revenue Tracking'!$P$13:$P$21, "&gt;="&amp;Y1,'Revenue Tracking'!$P$13:$P$21, "&lt;"&amp;Z1)</f>
        <v>0</v>
      </c>
      <c r="Z9" s="138">
        <f>SUMIFS('Revenue Tracking'!$F$13:$F$21, 'Revenue Tracking'!$P$13:$P$21, "&gt;="&amp;Z1,'Revenue Tracking'!$P$13:$P$21, "&lt;"&amp;AA1)</f>
        <v>0</v>
      </c>
      <c r="AA9" s="138">
        <f>SUMIFS('Revenue Tracking'!$F$13:$F$21, 'Revenue Tracking'!$P$13:$P$21, "&gt;="&amp;AA1,'Revenue Tracking'!$P$13:$P$21, "&lt;"&amp;AB1)</f>
        <v>15000000</v>
      </c>
      <c r="AB9" s="138">
        <f>SUMIFS('Revenue Tracking'!$F$13:$F$21, 'Revenue Tracking'!$P$13:$P$21, "&gt;="&amp;AB1,'Revenue Tracking'!$P$13:$P$21, "&lt;"&amp;AC1)</f>
        <v>0</v>
      </c>
      <c r="AC9" s="138">
        <f>SUMIFS('Revenue Tracking'!$F$13:$F$21, 'Revenue Tracking'!$P$13:$P$21, "&gt;="&amp;AC1,'Revenue Tracking'!$P$13:$P$21, "&lt;"&amp;AD1)</f>
        <v>0</v>
      </c>
      <c r="AD9" s="138">
        <f>SUMIFS('Revenue Tracking'!$F$13:$F$21, 'Revenue Tracking'!$P$13:$P$21, "&gt;="&amp;AD1,'Revenue Tracking'!$P$13:$P$21, "&lt;"&amp;AE1)</f>
        <v>0</v>
      </c>
      <c r="AE9" s="138">
        <f>SUMIFS('Revenue Tracking'!$F$13:$F$21, 'Revenue Tracking'!$P$13:$P$21, "&gt;="&amp;AE1,'Revenue Tracking'!$P$13:$P$21, "&lt;"&amp;AF1)</f>
        <v>0</v>
      </c>
      <c r="AF9" s="138">
        <f>SUMIFS('Revenue Tracking'!$F$13:$F$21, 'Revenue Tracking'!$P$13:$P$21, "&gt;="&amp;AF1,'Revenue Tracking'!$P$13:$P$21, "&lt;"&amp;AG1)</f>
        <v>17998500</v>
      </c>
      <c r="AG9" s="138">
        <f>SUMIFS('Revenue Tracking'!$F$13:$F$21, 'Revenue Tracking'!$P$13:$P$21, "&gt;="&amp;AG1,'Revenue Tracking'!$P$13:$P$21, "&lt;"&amp;AH1)</f>
        <v>0</v>
      </c>
      <c r="AH9" s="138">
        <f>SUMIFS('Revenue Tracking'!$F$13:$F$21, 'Revenue Tracking'!$P$13:$P$21, "&gt;="&amp;AH1,'Revenue Tracking'!$P$13:$P$21, "&lt;"&amp;AI1)</f>
        <v>0</v>
      </c>
      <c r="AI9" s="138">
        <f>SUMIFS('Revenue Tracking'!$F$13:$F$21, 'Revenue Tracking'!$P$13:$P$21, "&gt;="&amp;AI1,'Revenue Tracking'!$P$13:$P$21, "&lt;"&amp;AJ1)</f>
        <v>0</v>
      </c>
      <c r="AJ9" s="138">
        <f>SUMIFS('Revenue Tracking'!$F$13:$F$21, 'Revenue Tracking'!$P$13:$P$21, "&gt;="&amp;AJ1,'Revenue Tracking'!$P$13:$P$21, "&lt;"&amp;AK1)</f>
        <v>0</v>
      </c>
      <c r="AK9" s="138">
        <f>SUMIFS('Revenue Tracking'!$F$13:$F$21, 'Revenue Tracking'!$P$13:$P$21, "&gt;="&amp;AK1,'Revenue Tracking'!$P$13:$P$21, "&lt;"&amp;AL1)</f>
        <v>8998000</v>
      </c>
      <c r="AL9" s="138">
        <f>SUMIFS('Revenue Tracking'!$F$13:$F$21, 'Revenue Tracking'!$P$13:$P$21, "&gt;="&amp;AL1,'Revenue Tracking'!$P$13:$P$21, "&lt;"&amp;AM1)</f>
        <v>0</v>
      </c>
      <c r="AM9" s="138">
        <f>SUMIFS('Revenue Tracking'!$F$13:$F$21, 'Revenue Tracking'!$P$13:$P$21, "&gt;="&amp;AM1,'Revenue Tracking'!$P$13:$P$21, "&lt;"&amp;AN1)</f>
        <v>0</v>
      </c>
      <c r="AN9" s="138">
        <f>SUMIFS('Revenue Tracking'!$F$13:$F$21, 'Revenue Tracking'!$P$13:$P$21, "&gt;="&amp;AN1,'Revenue Tracking'!$P$13:$P$21, "&lt;"&amp;AO1)</f>
        <v>8999250</v>
      </c>
      <c r="AO9" s="138">
        <f>SUMIFS('Revenue Tracking'!$F$13:$F$21, 'Revenue Tracking'!$P$13:$P$21, "&gt;="&amp;AO1,'Revenue Tracking'!$P$13:$P$21, "&lt;"&amp;AP1)</f>
        <v>0</v>
      </c>
      <c r="AP9" s="138">
        <f>SUMIFS('Revenue Tracking'!$F$13:$F$21, 'Revenue Tracking'!$P$13:$P$21, "&gt;="&amp;AP1,'Revenue Tracking'!$P$13:$P$21, "&lt;"&amp;AQ1)</f>
        <v>0</v>
      </c>
      <c r="AQ9" s="138">
        <f>SUMIFS('Revenue Tracking'!$F$13:$F$21, 'Revenue Tracking'!$P$13:$P$21, "&gt;="&amp;AQ1,'Revenue Tracking'!$P$13:$P$21, "&lt;"&amp;AR1)</f>
        <v>0</v>
      </c>
      <c r="AR9" s="138">
        <f>SUMIFS('Revenue Tracking'!$F$13:$F$21, 'Revenue Tracking'!$P$13:$P$21, "&gt;="&amp;AR1,'Revenue Tracking'!$P$13:$P$21, "&lt;"&amp;AS1)</f>
        <v>0</v>
      </c>
      <c r="AS9" s="138">
        <f>SUMIFS('Revenue Tracking'!$F$13:$F$21, 'Revenue Tracking'!$P$13:$P$21, "&gt;="&amp;AS1,'Revenue Tracking'!$P$13:$P$21, "&lt;"&amp;AT1)</f>
        <v>0</v>
      </c>
      <c r="AT9" s="138">
        <f>SUMIFS('Revenue Tracking'!$F$13:$F$21, 'Revenue Tracking'!$P$13:$P$21, "&gt;="&amp;AT1,'Revenue Tracking'!$P$13:$P$21, "&lt;"&amp;AU1)</f>
        <v>0</v>
      </c>
      <c r="AU9" s="138">
        <f>SUMIFS('Revenue Tracking'!$F$13:$F$21, 'Revenue Tracking'!$P$13:$P$21, "&gt;="&amp;AU1,'Revenue Tracking'!$P$13:$P$21, "&lt;"&amp;AV1)</f>
        <v>0</v>
      </c>
      <c r="AV9" s="138">
        <f>SUMIFS('Revenue Tracking'!$F$13:$F$21, 'Revenue Tracking'!$P$13:$P$21, "&gt;="&amp;AV1,'Revenue Tracking'!$P$13:$P$21, "&lt;"&amp;AW1)</f>
        <v>0</v>
      </c>
      <c r="AW9" s="138">
        <f>SUMIFS('Revenue Tracking'!$F$13:$F$21, 'Revenue Tracking'!$P$13:$P$21, "&gt;="&amp;AW1,'Revenue Tracking'!$P$13:$P$21, "&lt;"&amp;AX1)</f>
        <v>0</v>
      </c>
      <c r="AX9" s="138">
        <f>SUMIFS('Revenue Tracking'!$F$13:$F$21, 'Revenue Tracking'!$P$13:$P$21, "&gt;="&amp;AX1,'Revenue Tracking'!$P$13:$P$21, "&lt;"&amp;AY1)</f>
        <v>0</v>
      </c>
      <c r="AY9" s="138">
        <f>SUMIFS('Revenue Tracking'!$F$13:$F$21, 'Revenue Tracking'!$P$13:$P$21, "&gt;="&amp;AY1,'Revenue Tracking'!$P$13:$P$21, "&lt;"&amp;AZ1)</f>
        <v>0</v>
      </c>
      <c r="AZ9" s="138">
        <f>SUMIFS('Revenue Tracking'!$F$13:$F$21, 'Revenue Tracking'!$P$13:$P$21, "&gt;="&amp;AZ1,'Revenue Tracking'!$P$13:$P$21, "&lt;"&amp;BA1)</f>
        <v>49840.730434782614</v>
      </c>
      <c r="BA9" s="138">
        <f>SUMIFS('Revenue Tracking'!$F$13:$F$21, 'Revenue Tracking'!$P$13:$P$21, "&gt;="&amp;BA1,'Revenue Tracking'!$P$13:$P$21, "&lt;"&amp;BB1)</f>
        <v>0</v>
      </c>
      <c r="BB9" s="138">
        <f>SUMIFS('Revenue Tracking'!$F$13:$F$21, 'Revenue Tracking'!$P$13:$P$21, "&gt;="&amp;BB1,'Revenue Tracking'!$P$13:$P$21, "&lt;"&amp;BC1)</f>
        <v>0</v>
      </c>
      <c r="BC9" s="138">
        <f>SUMIFS('Revenue Tracking'!$F$13:$F$21, 'Revenue Tracking'!$P$13:$P$21, "&gt;="&amp;BC1,'Revenue Tracking'!$P$13:$P$21, "&lt;"&amp;BD1)</f>
        <v>0</v>
      </c>
      <c r="BD9" s="138">
        <f>SUMIFS('Revenue Tracking'!$F$13:$F$21, 'Revenue Tracking'!$P$13:$P$21, "&gt;="&amp;BD1,'Revenue Tracking'!$P$13:$P$21, "&lt;"&amp;BE1)</f>
        <v>0</v>
      </c>
      <c r="BE9" s="138">
        <f>SUMIFS('Revenue Tracking'!$F$13:$F$21, 'Revenue Tracking'!$P$13:$P$21, "&gt;="&amp;BE1,'Revenue Tracking'!$P$13:$P$21, "&lt;"&amp;BF1)</f>
        <v>0</v>
      </c>
      <c r="BF9" s="138">
        <f>SUMIFS('Revenue Tracking'!$F$13:$F$21, 'Revenue Tracking'!$P$13:$P$21, "&gt;="&amp;BF1,'Revenue Tracking'!$P$13:$P$21, "&lt;"&amp;BG1)</f>
        <v>0</v>
      </c>
      <c r="BG9" s="138">
        <f>SUMIFS('Revenue Tracking'!$F$13:$F$21, 'Revenue Tracking'!$P$13:$P$21, "&gt;="&amp;BG1,'Revenue Tracking'!$P$13:$P$21, "&lt;"&amp;BH1)</f>
        <v>0</v>
      </c>
      <c r="BH9" s="138">
        <f>SUMIFS('Revenue Tracking'!$F$13:$F$21, 'Revenue Tracking'!$P$13:$P$21, "&gt;="&amp;BH1,'Revenue Tracking'!$P$13:$P$21, "&lt;"&amp;BI1)</f>
        <v>0</v>
      </c>
      <c r="BI9" s="138">
        <f>SUMIFS('Revenue Tracking'!$F$13:$F$21, 'Revenue Tracking'!$P$13:$P$21, "&gt;="&amp;BI1,'Revenue Tracking'!$P$13:$P$21, "&lt;"&amp;BJ1)</f>
        <v>5949659.2695652172</v>
      </c>
      <c r="BJ9" s="138">
        <f>SUMIFS('Revenue Tracking'!$F$13:$F$21, 'Revenue Tracking'!$P$13:$P$21, "&gt;="&amp;BJ1,'Revenue Tracking'!$P$13:$P$21, "&lt;"&amp;BK1)</f>
        <v>0</v>
      </c>
      <c r="BK9" s="138">
        <f>SUMIFS('Revenue Tracking'!$F$13:$F$21, 'Revenue Tracking'!$P$13:$P$21, "&gt;="&amp;BK1,'Revenue Tracking'!$P$13:$P$21, "&lt;"&amp;BL1)</f>
        <v>0</v>
      </c>
      <c r="BL9" s="138">
        <f>SUMIFS('Revenue Tracking'!$F$13:$F$21, 'Revenue Tracking'!$P$13:$P$21, "&gt;="&amp;BL1,'Revenue Tracking'!$P$13:$P$21, "&lt;"&amp;BM1)</f>
        <v>0</v>
      </c>
      <c r="BM9" s="138">
        <f>SUMIFS('Revenue Tracking'!$F$13:$F$21, 'Revenue Tracking'!$P$13:$P$21, "&gt;="&amp;BM1,'Revenue Tracking'!$P$13:$P$21, "&lt;"&amp;BN1)</f>
        <v>0</v>
      </c>
      <c r="BN9" s="138">
        <f>SUMIFS('Revenue Tracking'!$F$13:$F$21, 'Revenue Tracking'!$P$13:$P$21, "&gt;="&amp;BN1,'Revenue Tracking'!$P$13:$P$21, "&lt;"&amp;BO1)</f>
        <v>0</v>
      </c>
      <c r="BO9" s="138">
        <f>SUMIFS('Revenue Tracking'!$F$13:$F$21, 'Revenue Tracking'!$P$13:$P$21, "&gt;="&amp;BO1,'Revenue Tracking'!$P$13:$P$21, "&lt;"&amp;BP1)</f>
        <v>2999750</v>
      </c>
      <c r="BP9" s="138">
        <f>SUMIFS('Revenue Tracking'!$F$13:$F$21, 'Revenue Tracking'!$P$13:$P$21, "&gt;="&amp;BP1,'Revenue Tracking'!$P$13:$P$21, "&lt;"&amp;BQ1)</f>
        <v>0</v>
      </c>
      <c r="BQ9" s="138">
        <f>SUMIFS('Revenue Tracking'!$F$13:$F$21, 'Revenue Tracking'!$P$13:$P$21, "&gt;="&amp;BQ1,'Revenue Tracking'!$P$13:$P$21, "&lt;"&amp;BR1)</f>
        <v>0</v>
      </c>
      <c r="BR9" s="138">
        <f>SUMIFS('Revenue Tracking'!$F$13:$F$21, 'Revenue Tracking'!$P$13:$P$21, "&gt;="&amp;BR1,'Revenue Tracking'!$P$13:$P$21, "&lt;"&amp;BS1)</f>
        <v>0</v>
      </c>
      <c r="BS9" s="138">
        <f>SUMIFS('Revenue Tracking'!$F$13:$F$21, 'Revenue Tracking'!$P$13:$P$21, "&gt;="&amp;BS1,'Revenue Tracking'!$P$13:$P$21, "&lt;"&amp;BT1)</f>
        <v>0</v>
      </c>
      <c r="BT9" s="138">
        <f>SUMIFS('Revenue Tracking'!$F$13:$F$21, 'Revenue Tracking'!$P$13:$P$21, "&gt;="&amp;BT1,'Revenue Tracking'!$P$13:$P$21, "&lt;"&amp;BU1)</f>
        <v>0</v>
      </c>
      <c r="BU9" s="138">
        <f>SUMIFS('Revenue Tracking'!$F$13:$F$21, 'Revenue Tracking'!$P$13:$P$21, "&gt;="&amp;BU1,'Revenue Tracking'!$P$13:$P$21, "&lt;"&amp;BV1)</f>
        <v>0</v>
      </c>
      <c r="BV9" s="138">
        <f>SUMIFS('Revenue Tracking'!$F$13:$F$21, 'Revenue Tracking'!$P$13:$P$21, "&gt;="&amp;BV1,'Revenue Tracking'!$P$13:$P$21, "&lt;"&amp;BW1)</f>
        <v>0</v>
      </c>
      <c r="BW9" s="138">
        <f>SUMIFS('Revenue Tracking'!$F$13:$F$21, 'Revenue Tracking'!$P$13:$P$21, "&gt;="&amp;BW1,'Revenue Tracking'!$P$13:$P$21, "&lt;"&amp;BX1)</f>
        <v>0</v>
      </c>
      <c r="BX9" s="138">
        <f>SUMIFS('Revenue Tracking'!$F$13:$F$21, 'Revenue Tracking'!$P$13:$P$21, "&gt;="&amp;BX1,'Revenue Tracking'!$P$13:$P$21, "&lt;"&amp;BY1)</f>
        <v>0</v>
      </c>
      <c r="BY9" s="138">
        <f>SUMIFS('Revenue Tracking'!$F$13:$F$21, 'Revenue Tracking'!$P$13:$P$21, "&gt;="&amp;BY1,'Revenue Tracking'!$P$13:$P$21, "&lt;"&amp;BZ1)</f>
        <v>0</v>
      </c>
      <c r="BZ9" s="138">
        <f>SUMIFS('Revenue Tracking'!$F$13:$F$21, 'Revenue Tracking'!$P$13:$P$21, "&gt;="&amp;BZ1,'Revenue Tracking'!$P$13:$P$21, "&lt;"&amp;CA1)</f>
        <v>0</v>
      </c>
      <c r="CA9" s="138">
        <f>SUMIFS('Revenue Tracking'!$F$13:$F$21, 'Revenue Tracking'!$P$13:$P$21, "&gt;="&amp;CA1,'Revenue Tracking'!$P$13:$P$21, "&lt;"&amp;CB1)</f>
        <v>0</v>
      </c>
      <c r="CB9" s="138">
        <f>SUMIFS('Revenue Tracking'!$F$13:$F$21, 'Revenue Tracking'!$P$13:$P$21, "&gt;="&amp;CB1,'Revenue Tracking'!$P$13:$P$21, "&lt;"&amp;CC1)</f>
        <v>0</v>
      </c>
      <c r="CC9" s="138">
        <f>SUMIFS('Revenue Tracking'!$F$13:$F$21, 'Revenue Tracking'!$P$13:$P$21, "&gt;="&amp;CC1,'Revenue Tracking'!$P$13:$P$21, "&lt;"&amp;CD1)</f>
        <v>0</v>
      </c>
      <c r="CD9" s="138">
        <f>SUMIFS('Revenue Tracking'!$F$13:$F$21, 'Revenue Tracking'!$P$13:$P$21, "&gt;="&amp;CD1,'Revenue Tracking'!$P$13:$P$21, "&lt;"&amp;CE1)</f>
        <v>0</v>
      </c>
      <c r="CE9" s="138">
        <f>SUMIFS('Revenue Tracking'!$F$13:$F$21, 'Revenue Tracking'!$P$13:$P$21, "&gt;="&amp;CE1,'Revenue Tracking'!$P$13:$P$21, "&lt;"&amp;CF1)</f>
        <v>0</v>
      </c>
      <c r="CF9" s="138">
        <f>SUMIFS('Revenue Tracking'!$F$13:$F$21, 'Revenue Tracking'!$P$13:$P$21, "&gt;="&amp;CF1,'Revenue Tracking'!$P$13:$P$21, "&lt;"&amp;CG1)</f>
        <v>0</v>
      </c>
      <c r="CG9" s="138">
        <f>SUMIFS('Revenue Tracking'!$F$13:$F$21, 'Revenue Tracking'!$P$13:$P$21, "&gt;="&amp;CG1,'Revenue Tracking'!$P$13:$P$21, "&lt;"&amp;CH1)</f>
        <v>0</v>
      </c>
      <c r="CH9" s="138">
        <f>SUMIFS('Revenue Tracking'!$F$13:$F$21, 'Revenue Tracking'!$P$13:$P$21, "&gt;="&amp;CH1,'Revenue Tracking'!$P$13:$P$21, "&lt;"&amp;CI1)</f>
        <v>0</v>
      </c>
      <c r="CI9" s="138">
        <f>SUMIFS('Revenue Tracking'!$F$13:$F$21, 'Revenue Tracking'!$P$13:$P$21, "&gt;="&amp;CI1,'Revenue Tracking'!$P$13:$P$21, "&lt;"&amp;CJ1)</f>
        <v>0</v>
      </c>
      <c r="CJ9" s="138">
        <f>SUMIFS('Revenue Tracking'!$F$13:$F$21, 'Revenue Tracking'!$P$13:$P$21, "&gt;="&amp;CJ1,'Revenue Tracking'!$P$13:$P$21, "&lt;"&amp;CK1)</f>
        <v>0</v>
      </c>
      <c r="CK9" s="138">
        <f>SUMIFS('Revenue Tracking'!$F$13:$F$21, 'Revenue Tracking'!$P$13:$P$21, "&gt;="&amp;CK1,'Revenue Tracking'!$P$13:$P$21, "&lt;"&amp;CL1)</f>
        <v>0</v>
      </c>
      <c r="CL9" s="138">
        <f>SUMIFS('Revenue Tracking'!$F$13:$F$21, 'Revenue Tracking'!$P$13:$P$21, "&gt;="&amp;CL1,'Revenue Tracking'!$P$13:$P$21, "&lt;"&amp;CM1)</f>
        <v>0</v>
      </c>
      <c r="CM9" s="138">
        <f>SUMIFS('Revenue Tracking'!$F$13:$F$21, 'Revenue Tracking'!$P$13:$P$21, "&gt;="&amp;CM1,'Revenue Tracking'!$P$13:$P$21, "&lt;"&amp;CN1)</f>
        <v>0</v>
      </c>
      <c r="CN9" s="138">
        <f>SUMIFS('Revenue Tracking'!$F$13:$F$21, 'Revenue Tracking'!$P$13:$P$21, "&gt;="&amp;CN1,'Revenue Tracking'!$P$13:$P$21, "&lt;"&amp;CO1)</f>
        <v>0</v>
      </c>
      <c r="CO9" s="138">
        <f>SUMIFS('Revenue Tracking'!$F$13:$F$21, 'Revenue Tracking'!$P$13:$P$21, "&gt;="&amp;CO1,'Revenue Tracking'!$P$13:$P$21, "&lt;"&amp;CP1)</f>
        <v>0</v>
      </c>
      <c r="CP9" s="138">
        <f>SUMIFS('Revenue Tracking'!$F$13:$F$21, 'Revenue Tracking'!$P$13:$P$21, "&gt;="&amp;CP1,'Revenue Tracking'!$P$13:$P$21, "&lt;"&amp;CQ1)</f>
        <v>0</v>
      </c>
      <c r="CQ9" s="138">
        <f>SUMIFS('Revenue Tracking'!$F$13:$F$21, 'Revenue Tracking'!$P$13:$P$21, "&gt;="&amp;CQ1,'Revenue Tracking'!$P$13:$P$21, "&lt;"&amp;CR1)</f>
        <v>0</v>
      </c>
      <c r="CR9" s="138">
        <f>SUMIFS('Revenue Tracking'!$F$13:$F$21, 'Revenue Tracking'!$P$13:$P$21, "&gt;="&amp;CR1,'Revenue Tracking'!$P$13:$P$21, "&lt;"&amp;CS1)</f>
        <v>0</v>
      </c>
      <c r="CS9" s="138">
        <f>SUMIFS('Revenue Tracking'!$F$13:$F$21, 'Revenue Tracking'!$P$13:$P$21, "&gt;="&amp;CS1,'Revenue Tracking'!$P$13:$P$21, "&lt;"&amp;CT1)</f>
        <v>0</v>
      </c>
      <c r="CT9" s="138">
        <f>SUMIFS('Revenue Tracking'!$F$13:$F$21, 'Revenue Tracking'!$P$13:$P$21, "&gt;="&amp;CT1,'Revenue Tracking'!$P$13:$P$21, "&lt;"&amp;CU1)</f>
        <v>0</v>
      </c>
      <c r="CU9" s="138">
        <f>SUMIFS('Revenue Tracking'!$F$13:$F$21, 'Revenue Tracking'!$P$13:$P$21, "&gt;="&amp;CU1,'Revenue Tracking'!$P$13:$P$21, "&lt;"&amp;CV1)</f>
        <v>0</v>
      </c>
      <c r="CV9" s="138">
        <f>SUMIFS('Revenue Tracking'!$F$13:$F$21, 'Revenue Tracking'!$P$13:$P$21, "&gt;="&amp;CV1,'Revenue Tracking'!$P$13:$P$21, "&lt;"&amp;CW1)</f>
        <v>0</v>
      </c>
      <c r="CW9" s="138">
        <f>SUMIFS('Revenue Tracking'!$F$13:$F$21, 'Revenue Tracking'!$P$13:$P$21, "&gt;="&amp;CW1,'Revenue Tracking'!$P$13:$P$21, "&lt;"&amp;CX1)</f>
        <v>0</v>
      </c>
      <c r="CX9" s="138">
        <f>SUMIFS('Revenue Tracking'!$F$13:$F$21, 'Revenue Tracking'!$P$13:$P$21, "&gt;="&amp;CX1,'Revenue Tracking'!$P$13:$P$21, "&lt;"&amp;CY1)</f>
        <v>0</v>
      </c>
      <c r="CY9" s="138">
        <f>SUMIFS('Revenue Tracking'!$F$13:$F$21, 'Revenue Tracking'!$P$13:$P$21, "&gt;="&amp;CY1,'Revenue Tracking'!$P$13:$P$21, "&lt;"&amp;CZ1)</f>
        <v>0</v>
      </c>
      <c r="CZ9" s="138">
        <f>SUMIFS('Revenue Tracking'!$F$13:$F$21, 'Revenue Tracking'!$P$13:$P$21, "&gt;="&amp;CZ1,'Revenue Tracking'!$P$13:$P$21, "&lt;"&amp;DA1)</f>
        <v>0</v>
      </c>
      <c r="DA9" s="138">
        <f>SUMIFS('Revenue Tracking'!$F$13:$F$21, 'Revenue Tracking'!$P$13:$P$21, "&gt;="&amp;DA1,'Revenue Tracking'!$P$13:$P$21, "&lt;"&amp;DB1)</f>
        <v>0</v>
      </c>
      <c r="DB9" s="138">
        <f>SUMIFS('Revenue Tracking'!$F$13:$F$21, 'Revenue Tracking'!$P$13:$P$21, "&gt;="&amp;DB1,'Revenue Tracking'!$P$13:$P$21, "&lt;"&amp;DC1)</f>
        <v>0</v>
      </c>
      <c r="DC9" s="138">
        <f>SUMIFS('Revenue Tracking'!$F$13:$F$21, 'Revenue Tracking'!$P$13:$P$21, "&gt;="&amp;DC1,'Revenue Tracking'!$P$13:$P$21, "&lt;"&amp;DD1)</f>
        <v>0</v>
      </c>
      <c r="DD9" s="138">
        <f>SUMIFS('Revenue Tracking'!$F$13:$F$21, 'Revenue Tracking'!$P$13:$P$21, "&gt;="&amp;DD1,'Revenue Tracking'!$P$13:$P$21, "&lt;"&amp;DE1)</f>
        <v>0</v>
      </c>
      <c r="DE9" s="138">
        <f>SUMIFS('Revenue Tracking'!$F$13:$F$21, 'Revenue Tracking'!$P$13:$P$21, "&gt;="&amp;DE1,'Revenue Tracking'!$P$13:$P$21, "&lt;"&amp;DF1)</f>
        <v>0</v>
      </c>
      <c r="DF9" s="138">
        <f>SUMIFS('Revenue Tracking'!$F$13:$F$21, 'Revenue Tracking'!$P$13:$P$21, "&gt;="&amp;DF1,'Revenue Tracking'!$P$13:$P$21, "&lt;"&amp;DG1)</f>
        <v>0</v>
      </c>
      <c r="DG9" s="138">
        <f>SUMIFS('Revenue Tracking'!$F$13:$F$21, 'Revenue Tracking'!$P$13:$P$21, "&gt;="&amp;DG1,'Revenue Tracking'!$P$13:$P$21, "&lt;"&amp;DH1)</f>
        <v>0</v>
      </c>
      <c r="DH9" s="138">
        <f>SUMIFS('Revenue Tracking'!$F$13:$F$21, 'Revenue Tracking'!$P$13:$P$21, "&gt;="&amp;DH1,'Revenue Tracking'!$P$13:$P$21, "&lt;"&amp;DI1)</f>
        <v>0</v>
      </c>
      <c r="DI9" s="138">
        <f>SUMIFS('Revenue Tracking'!$F$13:$F$21, 'Revenue Tracking'!$P$13:$P$21, "&gt;="&amp;DI1,'Revenue Tracking'!$P$13:$P$21, "&lt;"&amp;DJ1)</f>
        <v>0</v>
      </c>
      <c r="DJ9" s="138">
        <f>SUMIFS('Revenue Tracking'!$F$13:$F$21, 'Revenue Tracking'!$P$13:$P$21, "&gt;="&amp;DJ1,'Revenue Tracking'!$P$13:$P$21, "&lt;"&amp;DK1)</f>
        <v>0</v>
      </c>
      <c r="DK9" s="138">
        <f>SUMIFS('Revenue Tracking'!$F$13:$F$21, 'Revenue Tracking'!$P$13:$P$21, "&gt;="&amp;DK1,'Revenue Tracking'!$P$13:$P$21, "&lt;"&amp;DL1)</f>
        <v>0</v>
      </c>
      <c r="DL9" s="138">
        <f>SUMIFS('Revenue Tracking'!$F$13:$F$21, 'Revenue Tracking'!$P$13:$P$21, "&gt;="&amp;DL1,'Revenue Tracking'!$P$13:$P$21, "&lt;"&amp;DM1)</f>
        <v>0</v>
      </c>
      <c r="DM9" s="138">
        <f>SUMIFS('Revenue Tracking'!$F$13:$F$21, 'Revenue Tracking'!$P$13:$P$21, "&gt;="&amp;DM1,'Revenue Tracking'!$P$13:$P$21, "&lt;"&amp;DN1)</f>
        <v>0</v>
      </c>
      <c r="DN9" s="138">
        <f>SUMIFS('Revenue Tracking'!$F$13:$F$21, 'Revenue Tracking'!$P$13:$P$21, "&gt;="&amp;DN1,'Revenue Tracking'!$P$13:$P$21, "&lt;"&amp;DO1)</f>
        <v>0</v>
      </c>
      <c r="DO9" s="138">
        <f>SUMIFS('Revenue Tracking'!$F$13:$F$21, 'Revenue Tracking'!$P$13:$P$21, "&gt;="&amp;DO1,'Revenue Tracking'!$P$13:$P$21, "&lt;"&amp;DP1)</f>
        <v>0</v>
      </c>
      <c r="DP9" s="138">
        <f>SUMIFS('Revenue Tracking'!$F$13:$F$21, 'Revenue Tracking'!$P$13:$P$21, "&gt;="&amp;DP1,'Revenue Tracking'!$P$13:$P$21, "&lt;"&amp;DQ1)</f>
        <v>0</v>
      </c>
      <c r="DQ9" s="138">
        <f>SUMIFS('Revenue Tracking'!$F$13:$F$21, 'Revenue Tracking'!$P$13:$P$21, "&gt;="&amp;DQ1,'Revenue Tracking'!$P$13:$P$21, "&lt;"&amp;DR1)</f>
        <v>0</v>
      </c>
      <c r="DR9" s="138">
        <f>SUMIFS('Revenue Tracking'!$F$13:$F$21, 'Revenue Tracking'!$P$13:$P$21, "&gt;="&amp;DR1,'Revenue Tracking'!$P$13:$P$21, "&lt;"&amp;DS1)</f>
        <v>0</v>
      </c>
      <c r="DS9" s="138">
        <f>SUMIFS('Revenue Tracking'!$F$13:$F$21, 'Revenue Tracking'!$P$13:$P$21, "&gt;="&amp;DS1,'Revenue Tracking'!$P$13:$P$21, "&lt;"&amp;DT1)</f>
        <v>0</v>
      </c>
      <c r="DT9" s="138">
        <f>SUMIFS('Revenue Tracking'!$F$13:$F$21, 'Revenue Tracking'!$P$13:$P$21, "&gt;="&amp;DT1,'Revenue Tracking'!$P$13:$P$21, "&lt;"&amp;DU1)</f>
        <v>0</v>
      </c>
      <c r="DU9" s="138">
        <f>SUMIFS('Revenue Tracking'!$F$13:$F$21, 'Revenue Tracking'!$P$13:$P$21, "&gt;="&amp;DU1,'Revenue Tracking'!$P$13:$P$21, "&lt;"&amp;DV1)</f>
        <v>0</v>
      </c>
      <c r="DV9" s="138">
        <f>SUMIFS('Revenue Tracking'!$F$13:$F$21, 'Revenue Tracking'!$P$13:$P$21, "&gt;="&amp;DV1,'Revenue Tracking'!$P$13:$P$21, "&lt;"&amp;DW1)</f>
        <v>0</v>
      </c>
      <c r="DW9" s="138">
        <f>SUMIFS('Revenue Tracking'!$F$13:$F$21, 'Revenue Tracking'!$P$13:$P$21, "&gt;="&amp;DW1,'Revenue Tracking'!$P$13:$P$21, "&lt;"&amp;DX1)</f>
        <v>0</v>
      </c>
      <c r="DX9" s="138">
        <f>SUMIFS('Revenue Tracking'!$F$13:$F$21, 'Revenue Tracking'!$P$13:$P$21, "&gt;="&amp;DX1,'Revenue Tracking'!$P$13:$P$21, "&lt;"&amp;DY1)</f>
        <v>0</v>
      </c>
      <c r="DY9" s="138">
        <f>SUMIFS('Revenue Tracking'!$F$13:$F$21, 'Revenue Tracking'!$P$13:$P$21, "&gt;="&amp;DY1,'Revenue Tracking'!$P$13:$P$21, "&lt;"&amp;DZ1)</f>
        <v>0</v>
      </c>
      <c r="DZ9" s="138">
        <f>SUMIFS('Revenue Tracking'!$F$13:$F$21, 'Revenue Tracking'!$P$13:$P$21, "&gt;="&amp;DZ1,'Revenue Tracking'!$P$13:$P$21, "&lt;"&amp;EA1)</f>
        <v>0</v>
      </c>
      <c r="EA9" s="138">
        <f>SUMIFS('Revenue Tracking'!$F$13:$F$21, 'Revenue Tracking'!$P$13:$P$21, "&gt;="&amp;EA1,'Revenue Tracking'!$P$13:$P$21, "&lt;"&amp;EB1)</f>
        <v>0</v>
      </c>
      <c r="EB9" s="138">
        <f>SUMIFS('Revenue Tracking'!$F$13:$F$21, 'Revenue Tracking'!$P$13:$P$21, "&gt;="&amp;EB1,'Revenue Tracking'!$P$13:$P$21, "&lt;"&amp;EC1)</f>
        <v>0</v>
      </c>
      <c r="EC9" s="138">
        <f>SUMIFS('Revenue Tracking'!$F$13:$F$21, 'Revenue Tracking'!$P$13:$P$21, "&gt;="&amp;EC1,'Revenue Tracking'!$P$13:$P$21, "&lt;"&amp;ED1)</f>
        <v>0</v>
      </c>
      <c r="ED9" s="138">
        <f>SUMIFS('Revenue Tracking'!$F$13:$F$21, 'Revenue Tracking'!$P$13:$P$21, "&gt;="&amp;ED1,'Revenue Tracking'!$P$13:$P$21, "&lt;"&amp;EE1)</f>
        <v>0</v>
      </c>
      <c r="EE9" s="138">
        <f>SUMIFS('Revenue Tracking'!$F$13:$F$21, 'Revenue Tracking'!$P$13:$P$21, "&gt;="&amp;EE1,'Revenue Tracking'!$P$13:$P$21, "&lt;"&amp;EF1)</f>
        <v>0</v>
      </c>
      <c r="EF9" s="138">
        <f>SUMIFS('Revenue Tracking'!$F$13:$F$21, 'Revenue Tracking'!$P$13:$P$21, "&gt;="&amp;EF1,'Revenue Tracking'!$P$13:$P$21, "&lt;"&amp;EG1)</f>
        <v>0</v>
      </c>
      <c r="EG9" s="138">
        <f>SUMIFS('Revenue Tracking'!$F$13:$F$21, 'Revenue Tracking'!$P$13:$P$21, "&gt;="&amp;EG1,'Revenue Tracking'!$P$13:$P$21, "&lt;"&amp;EH1)</f>
        <v>0</v>
      </c>
      <c r="EH9" s="138">
        <f>SUMIFS('Revenue Tracking'!$F$13:$F$21, 'Revenue Tracking'!$P$13:$P$21, "&gt;="&amp;EH1,'Revenue Tracking'!$P$13:$P$21, "&lt;"&amp;EI1)</f>
        <v>0</v>
      </c>
      <c r="EI9" s="138">
        <f>SUMIFS('Revenue Tracking'!$F$13:$F$21, 'Revenue Tracking'!$P$13:$P$21, "&gt;="&amp;EI1,'Revenue Tracking'!$P$13:$P$21, "&lt;"&amp;EJ1)</f>
        <v>0</v>
      </c>
      <c r="EJ9" s="138">
        <f>SUMIFS('Revenue Tracking'!$F$13:$F$21, 'Revenue Tracking'!$P$13:$P$21, "&gt;="&amp;EJ1,'Revenue Tracking'!$P$13:$P$21, "&lt;"&amp;EK1)</f>
        <v>0</v>
      </c>
      <c r="EK9" s="138">
        <f>SUMIFS('Revenue Tracking'!$F$13:$F$21, 'Revenue Tracking'!$P$13:$P$21, "&gt;="&amp;EK1,'Revenue Tracking'!$P$13:$P$21, "&lt;"&amp;EL1)</f>
        <v>0</v>
      </c>
      <c r="EL9" s="138">
        <f>SUMIFS('Revenue Tracking'!$F$13:$F$21, 'Revenue Tracking'!$P$13:$P$21, "&gt;="&amp;EL1,'Revenue Tracking'!$P$13:$P$21, "&lt;"&amp;EM1)</f>
        <v>0</v>
      </c>
      <c r="EM9" s="138">
        <f>SUMIFS('Revenue Tracking'!$F$13:$F$21, 'Revenue Tracking'!$P$13:$P$21, "&gt;="&amp;EM1,'Revenue Tracking'!$P$13:$P$21, "&lt;"&amp;EN1)</f>
        <v>0</v>
      </c>
      <c r="EN9" s="138">
        <f>SUMIFS('Revenue Tracking'!$F$13:$F$21, 'Revenue Tracking'!$P$13:$P$21, "&gt;="&amp;EN1,'Revenue Tracking'!$P$13:$P$21, "&lt;"&amp;EO1)</f>
        <v>0</v>
      </c>
      <c r="EO9" s="138">
        <f>SUMIFS('Revenue Tracking'!$F$13:$F$21, 'Revenue Tracking'!$P$13:$P$21, "&gt;="&amp;EO1,'Revenue Tracking'!$P$13:$P$21, "&lt;"&amp;EP1)</f>
        <v>0</v>
      </c>
      <c r="EP9" s="138">
        <f>SUMIFS('Revenue Tracking'!$F$13:$F$21, 'Revenue Tracking'!$P$13:$P$21, "&gt;="&amp;EP1,'Revenue Tracking'!$P$13:$P$21, "&lt;"&amp;EQ1)</f>
        <v>0</v>
      </c>
      <c r="EQ9" s="138">
        <f>SUMIFS('Revenue Tracking'!$F$13:$F$21, 'Revenue Tracking'!$P$13:$P$21, "&gt;="&amp;EQ1,'Revenue Tracking'!$P$13:$P$21, "&lt;"&amp;ER1)</f>
        <v>0</v>
      </c>
      <c r="ER9" s="138">
        <f>SUMIFS('Revenue Tracking'!$F$13:$F$21, 'Revenue Tracking'!$P$13:$P$21, "&gt;="&amp;ER1,'Revenue Tracking'!$P$13:$P$21, "&lt;"&amp;ES1)</f>
        <v>0</v>
      </c>
      <c r="ES9" s="138">
        <f>SUMIFS('Revenue Tracking'!$F$13:$F$21, 'Revenue Tracking'!$P$13:$P$21, "&gt;="&amp;ES1,'Revenue Tracking'!$P$13:$P$21, "&lt;"&amp;ET1)</f>
        <v>0</v>
      </c>
      <c r="ET9" s="138">
        <f>SUMIFS('Revenue Tracking'!$F$13:$F$21, 'Revenue Tracking'!$P$13:$P$21, "&gt;="&amp;ET1,'Revenue Tracking'!$P$13:$P$21, "&lt;"&amp;EU1)</f>
        <v>0</v>
      </c>
      <c r="EU9" s="138">
        <f>SUMIFS('Revenue Tracking'!$F$13:$F$21, 'Revenue Tracking'!$P$13:$P$21, "&gt;="&amp;EU1,'Revenue Tracking'!$P$13:$P$21, "&lt;"&amp;EV1)</f>
        <v>0</v>
      </c>
      <c r="EV9" s="138">
        <f>SUMIFS('Revenue Tracking'!$F$13:$F$21, 'Revenue Tracking'!$P$13:$P$21, "&gt;="&amp;EV1,'Revenue Tracking'!$P$13:$P$21, "&lt;"&amp;EW1)</f>
        <v>0</v>
      </c>
      <c r="EW9" s="138">
        <f>SUMIFS('Revenue Tracking'!$F$13:$F$21, 'Revenue Tracking'!$P$13:$P$21, "&gt;="&amp;EW1,'Revenue Tracking'!$P$13:$P$21, "&lt;"&amp;EX1)</f>
        <v>0</v>
      </c>
      <c r="EX9" s="138">
        <f>SUMIFS('Revenue Tracking'!$F$13:$F$21, 'Revenue Tracking'!$P$13:$P$21, "&gt;="&amp;EX1,'Revenue Tracking'!$P$13:$P$21, "&lt;"&amp;EY1)</f>
        <v>0</v>
      </c>
      <c r="EY9" s="138">
        <f>SUMIFS('Revenue Tracking'!$F$13:$F$21, 'Revenue Tracking'!$P$13:$P$21, "&gt;="&amp;EY1,'Revenue Tracking'!$P$13:$P$21, "&lt;"&amp;EZ1)</f>
        <v>0</v>
      </c>
      <c r="EZ9" s="138">
        <f>SUMIFS('Revenue Tracking'!$F$13:$F$21, 'Revenue Tracking'!$P$13:$P$21, "&gt;="&amp;EZ1,'Revenue Tracking'!$P$13:$P$21, "&lt;"&amp;FA1)</f>
        <v>0</v>
      </c>
      <c r="FA9" s="138">
        <f>SUMIFS('Revenue Tracking'!$F$13:$F$21, 'Revenue Tracking'!$P$13:$P$21, "&gt;="&amp;FA1,'Revenue Tracking'!$P$13:$P$21, "&lt;"&amp;FB1)</f>
        <v>0</v>
      </c>
      <c r="FB9" s="138">
        <f>SUMIFS('Revenue Tracking'!$F$13:$F$21, 'Revenue Tracking'!$P$13:$P$21, "&gt;="&amp;FB1,'Revenue Tracking'!$P$13:$P$21, "&lt;"&amp;FC1)</f>
        <v>0</v>
      </c>
      <c r="FC9" s="138">
        <f>SUMIFS('Revenue Tracking'!$F$13:$F$21, 'Revenue Tracking'!$P$13:$P$21, "&gt;="&amp;FC1,'Revenue Tracking'!$P$13:$P$21, "&lt;"&amp;FD1)</f>
        <v>0</v>
      </c>
      <c r="FD9" s="138">
        <f>SUMIFS('Revenue Tracking'!$F$13:$F$21, 'Revenue Tracking'!$P$13:$P$21, "&gt;="&amp;FD1,'Revenue Tracking'!$P$13:$P$21, "&lt;"&amp;FE1)</f>
        <v>0</v>
      </c>
      <c r="FE9" s="138">
        <f>SUMIFS('Revenue Tracking'!$F$13:$F$21, 'Revenue Tracking'!$P$13:$P$21, "&gt;="&amp;FE1,'Revenue Tracking'!$P$13:$P$21, "&lt;"&amp;FF1)</f>
        <v>0</v>
      </c>
      <c r="FF9" s="138">
        <f>SUMIFS('Revenue Tracking'!$F$13:$F$21, 'Revenue Tracking'!$P$13:$P$21, "&gt;="&amp;FF1,'Revenue Tracking'!$P$13:$P$21, "&lt;"&amp;FG1)</f>
        <v>0</v>
      </c>
      <c r="FG9" s="138">
        <f>SUMIFS('Revenue Tracking'!$F$13:$F$21, 'Revenue Tracking'!$P$13:$P$21, "&gt;="&amp;FG1,'Revenue Tracking'!$P$13:$P$21, "&lt;"&amp;FH1)</f>
        <v>0</v>
      </c>
      <c r="FH9" s="138">
        <f>SUMIFS('Revenue Tracking'!$F$13:$F$21, 'Revenue Tracking'!$P$13:$P$21, "&gt;="&amp;FH1,'Revenue Tracking'!$P$13:$P$21, "&lt;"&amp;FI1)</f>
        <v>0</v>
      </c>
      <c r="FI9" s="138">
        <f>SUMIFS('Revenue Tracking'!$F$13:$F$21, 'Revenue Tracking'!$P$13:$P$21, "&gt;="&amp;FI1,'Revenue Tracking'!$P$13:$P$21, "&lt;"&amp;FJ1)</f>
        <v>0</v>
      </c>
      <c r="FJ9" s="138">
        <f>SUMIFS('Revenue Tracking'!$F$13:$F$21, 'Revenue Tracking'!$P$13:$P$21, "&gt;="&amp;FJ1,'Revenue Tracking'!$P$13:$P$21, "&lt;"&amp;FK1)</f>
        <v>0</v>
      </c>
      <c r="FK9" s="138">
        <f>SUMIFS('Revenue Tracking'!$F$13:$F$21, 'Revenue Tracking'!$P$13:$P$21, "&gt;="&amp;FK1,'Revenue Tracking'!$P$13:$P$21, "&lt;"&amp;FL1)</f>
        <v>0</v>
      </c>
      <c r="FL9" s="138">
        <f>SUMIFS('Revenue Tracking'!$F$13:$F$21, 'Revenue Tracking'!$P$13:$P$21, "&gt;="&amp;FL1,'Revenue Tracking'!$P$13:$P$21, "&lt;"&amp;FM1)</f>
        <v>0</v>
      </c>
      <c r="FM9" s="138">
        <f>SUMIFS('Revenue Tracking'!$F$13:$F$21, 'Revenue Tracking'!$P$13:$P$21, "&gt;="&amp;FM1,'Revenue Tracking'!$P$13:$P$21, "&lt;"&amp;FN1)</f>
        <v>0</v>
      </c>
      <c r="FN9" s="138">
        <f>SUMIFS('Revenue Tracking'!$F$13:$F$21, 'Revenue Tracking'!$P$13:$P$21, "&gt;="&amp;FN1,'Revenue Tracking'!$P$13:$P$21, "&lt;"&amp;FO1)</f>
        <v>0</v>
      </c>
      <c r="FO9" s="138">
        <f>SUMIFS('Revenue Tracking'!$F$13:$F$21, 'Revenue Tracking'!$P$13:$P$21, "&gt;="&amp;FO1,'Revenue Tracking'!$P$13:$P$21, "&lt;"&amp;FP1)</f>
        <v>0</v>
      </c>
      <c r="FP9" s="138">
        <f>SUMIFS('Revenue Tracking'!$F$13:$F$21, 'Revenue Tracking'!$P$13:$P$21, "&gt;="&amp;FP1,'Revenue Tracking'!$P$13:$P$21, "&lt;"&amp;FQ1)</f>
        <v>0</v>
      </c>
      <c r="FQ9" s="138">
        <f>SUMIFS('Revenue Tracking'!$F$13:$F$21, 'Revenue Tracking'!$P$13:$P$21, "&gt;="&amp;FQ1,'Revenue Tracking'!$P$13:$P$21, "&lt;"&amp;FR1)</f>
        <v>0</v>
      </c>
      <c r="FR9" s="138">
        <f>SUMIFS('Revenue Tracking'!$F$13:$F$21, 'Revenue Tracking'!$P$13:$P$21, "&gt;="&amp;FR1,'Revenue Tracking'!$P$13:$P$21, "&lt;"&amp;FS1)</f>
        <v>0</v>
      </c>
      <c r="FS9" s="138">
        <f>SUMIFS('Revenue Tracking'!$F$13:$F$21, 'Revenue Tracking'!$P$13:$P$21, "&gt;="&amp;FS1,'Revenue Tracking'!$P$13:$P$21, "&lt;"&amp;FT1)</f>
        <v>0</v>
      </c>
      <c r="FT9" s="138">
        <f>SUMIFS('Revenue Tracking'!$F$13:$F$21, 'Revenue Tracking'!$P$13:$P$21, "&gt;="&amp;FT1,'Revenue Tracking'!$P$13:$P$21, "&lt;"&amp;FU1)</f>
        <v>0</v>
      </c>
      <c r="FU9" s="138">
        <f>SUMIFS('Revenue Tracking'!$F$13:$F$21, 'Revenue Tracking'!$P$13:$P$21, "&gt;="&amp;FU1,'Revenue Tracking'!$P$13:$P$21, "&lt;"&amp;FV1)</f>
        <v>0</v>
      </c>
      <c r="FV9" s="138">
        <f>SUMIFS('Revenue Tracking'!$F$13:$F$21, 'Revenue Tracking'!$P$13:$P$21, "&gt;="&amp;FV1,'Revenue Tracking'!$P$13:$P$21, "&lt;"&amp;FW1)</f>
        <v>0</v>
      </c>
      <c r="FW9" s="138">
        <f>SUMIFS('Revenue Tracking'!$F$13:$F$21, 'Revenue Tracking'!$P$13:$P$21, "&gt;="&amp;FW1,'Revenue Tracking'!$P$13:$P$21, "&lt;"&amp;FX1)</f>
        <v>0</v>
      </c>
      <c r="FX9" s="138">
        <f>SUMIFS('Revenue Tracking'!$F$13:$F$21, 'Revenue Tracking'!$P$13:$P$21, "&gt;="&amp;FX1,'Revenue Tracking'!$P$13:$P$21, "&lt;"&amp;FY1)</f>
        <v>0</v>
      </c>
      <c r="FY9" s="138">
        <f>SUMIFS('Revenue Tracking'!$F$13:$F$21, 'Revenue Tracking'!$P$13:$P$21, "&gt;="&amp;FY1,'Revenue Tracking'!$P$13:$P$21, "&lt;"&amp;FZ1)</f>
        <v>0</v>
      </c>
      <c r="FZ9" s="138">
        <f>SUMIFS('Revenue Tracking'!$F$13:$F$21, 'Revenue Tracking'!$P$13:$P$21, "&gt;="&amp;FZ1,'Revenue Tracking'!$P$13:$P$21, "&lt;"&amp;GA1)</f>
        <v>0</v>
      </c>
      <c r="GA9" s="138">
        <f>SUMIFS('Revenue Tracking'!$F$13:$F$21, 'Revenue Tracking'!$P$13:$P$21, "&gt;="&amp;GA1,'Revenue Tracking'!$P$13:$P$21, "&lt;"&amp;GB1)</f>
        <v>0</v>
      </c>
      <c r="GB9" s="138">
        <f>SUMIFS('Revenue Tracking'!$F$13:$F$21, 'Revenue Tracking'!$P$13:$P$21, "&gt;="&amp;GB1,'Revenue Tracking'!$P$13:$P$21, "&lt;"&amp;GC1)</f>
        <v>0</v>
      </c>
      <c r="GC9" s="138">
        <f>SUMIFS('Revenue Tracking'!$F$13:$F$21, 'Revenue Tracking'!$P$13:$P$21, "&gt;="&amp;GC1,'Revenue Tracking'!$P$13:$P$21, "&lt;"&amp;GD1)</f>
        <v>0</v>
      </c>
      <c r="GD9" s="138">
        <f>SUMIFS('Revenue Tracking'!$F$13:$F$21, 'Revenue Tracking'!$P$13:$P$21, "&gt;="&amp;GD1,'Revenue Tracking'!$P$13:$P$21, "&lt;"&amp;GE1)</f>
        <v>0</v>
      </c>
      <c r="GE9" s="138">
        <f>SUMIFS('Revenue Tracking'!$F$13:$F$21, 'Revenue Tracking'!$P$13:$P$21, "&gt;="&amp;GE1,'Revenue Tracking'!$P$13:$P$21, "&lt;"&amp;GF1)</f>
        <v>0</v>
      </c>
      <c r="GF9" s="138">
        <f>SUMIFS('Revenue Tracking'!$F$13:$F$21, 'Revenue Tracking'!$P$13:$P$21, "&gt;="&amp;GF1,'Revenue Tracking'!$P$13:$P$21, "&lt;"&amp;GG1)</f>
        <v>0</v>
      </c>
      <c r="GG9" s="138">
        <f>SUMIFS('Revenue Tracking'!$F$13:$F$21, 'Revenue Tracking'!$P$13:$P$21, "&gt;="&amp;GG1,'Revenue Tracking'!$P$13:$P$21, "&lt;"&amp;GH1)</f>
        <v>0</v>
      </c>
      <c r="GH9" s="138">
        <f>SUMIFS('Revenue Tracking'!$F$13:$F$21, 'Revenue Tracking'!$P$13:$P$21, "&gt;="&amp;GH1,'Revenue Tracking'!$P$13:$P$21, "&lt;"&amp;GI1)</f>
        <v>0</v>
      </c>
      <c r="GI9" s="138">
        <f>SUMIFS('Revenue Tracking'!$F$13:$F$21, 'Revenue Tracking'!$P$13:$P$21, "&gt;="&amp;GI1,'Revenue Tracking'!$P$13:$P$21, "&lt;"&amp;GJ1)</f>
        <v>0</v>
      </c>
      <c r="GJ9" s="138">
        <f>SUMIFS('Revenue Tracking'!$F$13:$F$21, 'Revenue Tracking'!$P$13:$P$21, "&gt;="&amp;GJ1,'Revenue Tracking'!$P$13:$P$21, "&lt;"&amp;GK1)</f>
        <v>0</v>
      </c>
      <c r="GK9" s="138">
        <f>SUMIFS('Revenue Tracking'!$F$13:$F$21, 'Revenue Tracking'!$P$13:$P$21, "&gt;="&amp;GK1,'Revenue Tracking'!$P$13:$P$21, "&lt;"&amp;GL1)</f>
        <v>0</v>
      </c>
      <c r="GL9" s="138">
        <f>SUMIFS('Revenue Tracking'!$F$13:$F$21, 'Revenue Tracking'!$P$13:$P$21, "&gt;="&amp;GL1,'Revenue Tracking'!$P$13:$P$21, "&lt;"&amp;GM1)</f>
        <v>0</v>
      </c>
      <c r="GM9" s="138">
        <f>SUMIFS('Revenue Tracking'!$F$13:$F$21, 'Revenue Tracking'!$P$13:$P$21, "&gt;="&amp;GM1,'Revenue Tracking'!$P$13:$P$21, "&lt;"&amp;GN1)</f>
        <v>0</v>
      </c>
      <c r="GN9" s="138">
        <f>SUMIFS('Revenue Tracking'!$F$13:$F$21, 'Revenue Tracking'!$P$13:$P$21, "&gt;="&amp;GN1,'Revenue Tracking'!$P$13:$P$21, "&lt;"&amp;GO1)</f>
        <v>0</v>
      </c>
      <c r="GO9" s="138">
        <f>SUMIFS('Revenue Tracking'!$F$13:$F$21, 'Revenue Tracking'!$P$13:$P$21, "&gt;="&amp;GO1,'Revenue Tracking'!$P$13:$P$21, "&lt;"&amp;GP1)</f>
        <v>0</v>
      </c>
      <c r="GP9" s="138">
        <f>SUMIFS('Revenue Tracking'!$F$13:$F$21, 'Revenue Tracking'!$P$13:$P$21, "&gt;="&amp;GP1,'Revenue Tracking'!$P$13:$P$21, "&lt;"&amp;GQ1)</f>
        <v>0</v>
      </c>
      <c r="GQ9" s="138">
        <f>SUMIFS('Revenue Tracking'!$F$13:$F$21, 'Revenue Tracking'!$P$13:$P$21, "&gt;="&amp;GQ1,'Revenue Tracking'!$P$13:$P$21, "&lt;"&amp;GR1)</f>
        <v>0</v>
      </c>
      <c r="GR9" s="138">
        <f>SUMIFS('Revenue Tracking'!$F$13:$F$21, 'Revenue Tracking'!$P$13:$P$21, "&gt;="&amp;GR1,'Revenue Tracking'!$P$13:$P$21, "&lt;"&amp;GS1)</f>
        <v>0</v>
      </c>
      <c r="GS9" s="138">
        <f>SUMIFS('Revenue Tracking'!$F$13:$F$21, 'Revenue Tracking'!$P$13:$P$21, "&gt;="&amp;GS1,'Revenue Tracking'!$P$13:$P$21, "&lt;"&amp;GT1)</f>
        <v>0</v>
      </c>
      <c r="GT9" s="138">
        <f>SUMIFS('Revenue Tracking'!$F$13:$F$21, 'Revenue Tracking'!$P$13:$P$21, "&gt;="&amp;GT1,'Revenue Tracking'!$P$13:$P$21, "&lt;"&amp;GU1)</f>
        <v>0</v>
      </c>
      <c r="GU9" s="138">
        <f>SUMIFS('Revenue Tracking'!$F$13:$F$21, 'Revenue Tracking'!$P$13:$P$21, "&gt;="&amp;GU1,'Revenue Tracking'!$P$13:$P$21, "&lt;"&amp;GV1)</f>
        <v>0</v>
      </c>
      <c r="GV9" s="138">
        <f>SUMIFS('Revenue Tracking'!$F$13:$F$21, 'Revenue Tracking'!$P$13:$P$21, "&gt;="&amp;GV1,'Revenue Tracking'!$P$13:$P$21, "&lt;"&amp;GW1)</f>
        <v>0</v>
      </c>
      <c r="GW9" s="138">
        <f>SUMIFS('Revenue Tracking'!$F$13:$F$21, 'Revenue Tracking'!$P$13:$P$21, "&gt;="&amp;GW1,'Revenue Tracking'!$P$13:$P$21, "&lt;"&amp;GX1)</f>
        <v>0</v>
      </c>
      <c r="GX9" s="138">
        <f>SUMIFS('Revenue Tracking'!$F$13:$F$21, 'Revenue Tracking'!$P$13:$P$21, "&gt;="&amp;GX1,'Revenue Tracking'!$P$13:$P$21, "&lt;"&amp;GY1)</f>
        <v>0</v>
      </c>
      <c r="GY9" s="138">
        <f>SUMIFS('Revenue Tracking'!$F$13:$F$21, 'Revenue Tracking'!$P$13:$P$21, "&gt;="&amp;GY1,'Revenue Tracking'!$P$13:$P$21, "&lt;"&amp;GZ1)</f>
        <v>0</v>
      </c>
      <c r="GZ9" s="138">
        <f>SUMIFS('Revenue Tracking'!$F$13:$F$21, 'Revenue Tracking'!$P$13:$P$21, "&gt;="&amp;GZ1,'Revenue Tracking'!$P$13:$P$21, "&lt;"&amp;HA1)</f>
        <v>0</v>
      </c>
      <c r="HA9" s="138">
        <f>SUMIFS('Revenue Tracking'!$F$13:$F$21, 'Revenue Tracking'!$P$13:$P$21, "&gt;="&amp;HA1,'Revenue Tracking'!$P$13:$P$21, "&lt;"&amp;HB1)</f>
        <v>0</v>
      </c>
      <c r="HB9" s="138">
        <f>SUMIFS('Revenue Tracking'!$F$13:$F$21, 'Revenue Tracking'!$P$13:$P$21, "&gt;="&amp;HB1,'Revenue Tracking'!$P$13:$P$21, "&lt;"&amp;HC1)</f>
        <v>0</v>
      </c>
      <c r="HC9" s="138">
        <f>SUMIFS('Revenue Tracking'!$F$13:$F$21, 'Revenue Tracking'!$P$13:$P$21, "&gt;="&amp;HC1,'Revenue Tracking'!$P$13:$P$21, "&lt;"&amp;HD1)</f>
        <v>0</v>
      </c>
      <c r="HD9" s="138">
        <f>SUMIFS('Revenue Tracking'!$F$13:$F$21, 'Revenue Tracking'!$P$13:$P$21, "&gt;="&amp;HD1,'Revenue Tracking'!$P$13:$P$21, "&lt;"&amp;HE1)</f>
        <v>0</v>
      </c>
      <c r="HE9" s="138">
        <f>SUMIFS('Revenue Tracking'!$F$13:$F$21, 'Revenue Tracking'!$P$13:$P$21, "&gt;="&amp;HE1,'Revenue Tracking'!$P$13:$P$21, "&lt;"&amp;HF1)</f>
        <v>0</v>
      </c>
      <c r="HF9" s="138">
        <f>SUMIFS('Revenue Tracking'!$F$13:$F$21, 'Revenue Tracking'!$P$13:$P$21, "&gt;="&amp;HF1,'Revenue Tracking'!$P$13:$P$21, "&lt;"&amp;HG1)</f>
        <v>0</v>
      </c>
      <c r="HG9" s="138">
        <f>SUMIFS('Revenue Tracking'!$F$13:$F$21, 'Revenue Tracking'!$P$13:$P$21, "&gt;="&amp;HG1,'Revenue Tracking'!$P$13:$P$21, "&lt;"&amp;HH1)</f>
        <v>0</v>
      </c>
      <c r="HH9" s="138">
        <f>SUMIFS('Revenue Tracking'!$F$13:$F$21, 'Revenue Tracking'!$P$13:$P$21, "&gt;="&amp;HH1,'Revenue Tracking'!$P$13:$P$21, "&lt;"&amp;HI1)</f>
        <v>0</v>
      </c>
      <c r="HI9" s="138">
        <f>SUMIFS('Revenue Tracking'!$F$13:$F$21, 'Revenue Tracking'!$P$13:$P$21, "&gt;="&amp;HI1,'Revenue Tracking'!$P$13:$P$21, "&lt;"&amp;HJ1)</f>
        <v>0</v>
      </c>
      <c r="HJ9" s="138">
        <f>SUMIFS('Revenue Tracking'!$F$13:$F$21, 'Revenue Tracking'!$P$13:$P$21, "&gt;="&amp;HJ1,'Revenue Tracking'!$P$13:$P$21, "&lt;"&amp;HK1)</f>
        <v>0</v>
      </c>
      <c r="HK9" s="138">
        <f>SUMIFS('Revenue Tracking'!$F$13:$F$21, 'Revenue Tracking'!$P$13:$P$21, "&gt;="&amp;HK1,'Revenue Tracking'!$P$13:$P$21, "&lt;"&amp;HL1)</f>
        <v>0</v>
      </c>
      <c r="HL9" s="138">
        <f>SUMIFS('Revenue Tracking'!$F$13:$F$21, 'Revenue Tracking'!$P$13:$P$21, "&gt;="&amp;HL1,'Revenue Tracking'!$P$13:$P$21, "&lt;"&amp;HM1)</f>
        <v>0</v>
      </c>
      <c r="HM9" s="138">
        <f>SUMIFS('Revenue Tracking'!$F$13:$F$21, 'Revenue Tracking'!$P$13:$P$21, "&gt;="&amp;HM1,'Revenue Tracking'!$P$13:$P$21, "&lt;"&amp;HN1)</f>
        <v>0</v>
      </c>
      <c r="HN9" s="138">
        <f>SUMIFS('Revenue Tracking'!$F$13:$F$21, 'Revenue Tracking'!$P$13:$P$21, "&gt;="&amp;HN1,'Revenue Tracking'!$P$13:$P$21, "&lt;"&amp;HO1)</f>
        <v>0</v>
      </c>
      <c r="HO9" s="138">
        <f>SUMIFS('Revenue Tracking'!$F$13:$F$21, 'Revenue Tracking'!$P$13:$P$21, "&gt;="&amp;HO1,'Revenue Tracking'!$P$13:$P$21, "&lt;"&amp;HP1)</f>
        <v>0</v>
      </c>
      <c r="HP9" s="138">
        <f>SUMIFS('Revenue Tracking'!$F$13:$F$21, 'Revenue Tracking'!$P$13:$P$21, "&gt;="&amp;HP1,'Revenue Tracking'!$P$13:$P$21, "&lt;"&amp;HQ1)</f>
        <v>0</v>
      </c>
      <c r="HQ9" s="138">
        <f>SUMIFS('Revenue Tracking'!$F$13:$F$21, 'Revenue Tracking'!$P$13:$P$21, "&gt;="&amp;HQ1,'Revenue Tracking'!$P$13:$P$21, "&lt;"&amp;HR1)</f>
        <v>0</v>
      </c>
      <c r="HR9" s="138">
        <f>SUMIFS('Revenue Tracking'!$F$13:$F$21, 'Revenue Tracking'!$P$13:$P$21, "&gt;="&amp;HR1,'Revenue Tracking'!$P$13:$P$21, "&lt;"&amp;HS1)</f>
        <v>0</v>
      </c>
      <c r="HS9" s="138">
        <f>SUMIFS('Revenue Tracking'!$F$13:$F$21, 'Revenue Tracking'!$P$13:$P$21, "&gt;="&amp;HS1,'Revenue Tracking'!$P$13:$P$21, "&lt;"&amp;HT1)</f>
        <v>0</v>
      </c>
      <c r="HT9" s="138">
        <f>SUMIFS('Revenue Tracking'!$F$13:$F$21, 'Revenue Tracking'!$P$13:$P$21, "&gt;="&amp;HT1,'Revenue Tracking'!$P$13:$P$21, "&lt;"&amp;HU1)</f>
        <v>0</v>
      </c>
      <c r="HU9" s="138">
        <f>SUMIFS('Revenue Tracking'!$F$13:$F$21, 'Revenue Tracking'!$P$13:$P$21, "&gt;="&amp;HU1,'Revenue Tracking'!$P$13:$P$21, "&lt;"&amp;HV1)</f>
        <v>0</v>
      </c>
      <c r="HV9" s="138">
        <f>SUMIFS('Revenue Tracking'!$F$13:$F$21, 'Revenue Tracking'!$P$13:$P$21, "&gt;="&amp;HV1,'Revenue Tracking'!$P$13:$P$21, "&lt;"&amp;HW1)</f>
        <v>0</v>
      </c>
      <c r="HW9" s="138">
        <f>SUMIFS('Revenue Tracking'!$F$13:$F$21, 'Revenue Tracking'!$P$13:$P$21, "&gt;="&amp;HW1,'Revenue Tracking'!$P$13:$P$21, "&lt;"&amp;HX1)</f>
        <v>0</v>
      </c>
      <c r="HX9" s="138">
        <f>SUMIFS('Revenue Tracking'!$F$13:$F$21, 'Revenue Tracking'!$P$13:$P$21, "&gt;="&amp;HX1,'Revenue Tracking'!$P$13:$P$21, "&lt;"&amp;HY1)</f>
        <v>0</v>
      </c>
      <c r="HY9" s="138">
        <f>SUMIFS('Revenue Tracking'!$F$13:$F$21, 'Revenue Tracking'!$P$13:$P$21, "&gt;="&amp;HY1,'Revenue Tracking'!$P$13:$P$21, "&lt;"&amp;HZ1)</f>
        <v>0</v>
      </c>
      <c r="HZ9" s="138">
        <f>SUMIFS('Revenue Tracking'!$F$13:$F$21, 'Revenue Tracking'!$P$13:$P$21, "&gt;="&amp;HZ1,'Revenue Tracking'!$P$13:$P$21, "&lt;"&amp;IA1)</f>
        <v>0</v>
      </c>
      <c r="IA9" s="138">
        <f>SUMIFS('Revenue Tracking'!$F$13:$F$21, 'Revenue Tracking'!$P$13:$P$21, "&gt;="&amp;IA1,'Revenue Tracking'!$P$13:$P$21, "&lt;"&amp;IB1)</f>
        <v>0</v>
      </c>
      <c r="IB9" s="138">
        <f>SUMIFS('Revenue Tracking'!$F$13:$F$21, 'Revenue Tracking'!$P$13:$P$21, "&gt;="&amp;IB1,'Revenue Tracking'!$P$13:$P$21, "&lt;"&amp;IC1)</f>
        <v>0</v>
      </c>
      <c r="IC9" s="138">
        <f>SUMIFS('Revenue Tracking'!$F$13:$F$21, 'Revenue Tracking'!$P$13:$P$21, "&gt;="&amp;IC1,'Revenue Tracking'!$P$13:$P$21, "&lt;"&amp;ID1)</f>
        <v>0</v>
      </c>
      <c r="ID9" s="138">
        <f>SUMIFS('Revenue Tracking'!$F$13:$F$21, 'Revenue Tracking'!$P$13:$P$21, "&gt;="&amp;ID1,'Revenue Tracking'!$P$13:$P$21, "&lt;"&amp;IE1)</f>
        <v>0</v>
      </c>
      <c r="IE9" s="138">
        <f>SUMIFS('Revenue Tracking'!$F$13:$F$21, 'Revenue Tracking'!$P$13:$P$21, "&gt;="&amp;IE1,'Revenue Tracking'!$P$13:$P$21, "&lt;"&amp;IF1)</f>
        <v>0</v>
      </c>
      <c r="IF9" s="138">
        <f>SUMIFS('Revenue Tracking'!$F$13:$F$21, 'Revenue Tracking'!$P$13:$P$21, "&gt;="&amp;IF1,'Revenue Tracking'!$P$13:$P$21, "&lt;"&amp;IG1)</f>
        <v>0</v>
      </c>
      <c r="IG9" s="138">
        <f>SUMIFS('Revenue Tracking'!$F$13:$F$21, 'Revenue Tracking'!$P$13:$P$21, "&gt;="&amp;IG1,'Revenue Tracking'!$P$13:$P$21, "&lt;"&amp;IH1)</f>
        <v>0</v>
      </c>
      <c r="IH9" s="138">
        <f>SUMIFS('Revenue Tracking'!$F$13:$F$21, 'Revenue Tracking'!$P$13:$P$21, "&gt;="&amp;IH1,'Revenue Tracking'!$P$13:$P$21, "&lt;"&amp;II1)</f>
        <v>0</v>
      </c>
      <c r="II9" s="138">
        <f>SUMIFS('Revenue Tracking'!$F$13:$F$21, 'Revenue Tracking'!$P$13:$P$21, "&gt;="&amp;II1,'Revenue Tracking'!$P$13:$P$21, "&lt;"&amp;IJ1)</f>
        <v>0</v>
      </c>
      <c r="IJ9" s="138">
        <f>SUMIFS('Revenue Tracking'!$F$13:$F$21, 'Revenue Tracking'!$P$13:$P$21, "&gt;="&amp;IJ1,'Revenue Tracking'!$P$13:$P$21, "&lt;"&amp;IK1)</f>
        <v>0</v>
      </c>
      <c r="IK9" s="138">
        <f>SUMIFS('Revenue Tracking'!$F$13:$F$21, 'Revenue Tracking'!$P$13:$P$21, "&gt;="&amp;IK1,'Revenue Tracking'!$P$13:$P$21, "&lt;"&amp;IL1)</f>
        <v>0</v>
      </c>
      <c r="IL9" s="138">
        <f>SUMIFS('Revenue Tracking'!$F$13:$F$21, 'Revenue Tracking'!$P$13:$P$21, "&gt;="&amp;IL1,'Revenue Tracking'!$P$13:$P$21, "&lt;"&amp;IM1)</f>
        <v>0</v>
      </c>
      <c r="IM9" s="138">
        <f>SUMIFS('Revenue Tracking'!$F$13:$F$21, 'Revenue Tracking'!$P$13:$P$21, "&gt;="&amp;IM1,'Revenue Tracking'!$P$13:$P$21, "&lt;"&amp;IN1)</f>
        <v>0</v>
      </c>
      <c r="IN9" s="138">
        <f>SUMIFS('Revenue Tracking'!$F$13:$F$21, 'Revenue Tracking'!$P$13:$P$21, "&gt;="&amp;IN1,'Revenue Tracking'!$P$13:$P$21, "&lt;"&amp;IO1)</f>
        <v>0</v>
      </c>
      <c r="IO9" s="138">
        <f>SUMIFS('Revenue Tracking'!$F$13:$F$21, 'Revenue Tracking'!$P$13:$P$21, "&gt;="&amp;IO1,'Revenue Tracking'!$P$13:$P$21, "&lt;"&amp;IP1)</f>
        <v>0</v>
      </c>
      <c r="IP9" s="138">
        <f>SUMIFS('Revenue Tracking'!$F$13:$F$21, 'Revenue Tracking'!$P$13:$P$21, "&gt;="&amp;IP1,'Revenue Tracking'!$P$13:$P$21, "&lt;"&amp;IQ1)</f>
        <v>0</v>
      </c>
      <c r="IQ9" s="138">
        <f>SUMIFS('Revenue Tracking'!$F$13:$F$21, 'Revenue Tracking'!$P$13:$P$21, "&gt;="&amp;IQ1,'Revenue Tracking'!$P$13:$P$21, "&lt;"&amp;IR1)</f>
        <v>0</v>
      </c>
      <c r="IR9" s="138">
        <f>SUMIFS('Revenue Tracking'!$F$13:$F$21, 'Revenue Tracking'!$P$13:$P$21, "&gt;="&amp;IR1,'Revenue Tracking'!$P$13:$P$21, "&lt;"&amp;IS1)</f>
        <v>0</v>
      </c>
      <c r="IS9" s="138">
        <f>SUMIFS('Revenue Tracking'!$F$13:$F$21, 'Revenue Tracking'!$P$13:$P$21, "&gt;="&amp;IS1,'Revenue Tracking'!$P$13:$P$21, "&lt;"&amp;IT1)</f>
        <v>0</v>
      </c>
      <c r="IT9" s="138">
        <f>SUMIFS('Revenue Tracking'!$F$13:$F$21, 'Revenue Tracking'!$P$13:$P$21, "&gt;="&amp;IT1,'Revenue Tracking'!$P$13:$P$21, "&lt;"&amp;IU1)</f>
        <v>0</v>
      </c>
      <c r="IU9" s="138">
        <f>SUMIFS('Revenue Tracking'!$F$13:$F$21, 'Revenue Tracking'!$P$13:$P$21, "&gt;="&amp;IU1,'Revenue Tracking'!$P$13:$P$21, "&lt;"&amp;IV1)</f>
        <v>0</v>
      </c>
      <c r="IV9" s="138">
        <f>SUMIFS('Revenue Tracking'!$F$13:$F$21, 'Revenue Tracking'!$P$13:$P$21, "&gt;="&amp;IV1,'Revenue Tracking'!$P$13:$P$21, "&lt;"&amp;IW1)</f>
        <v>0</v>
      </c>
      <c r="IW9" s="138">
        <f>SUMIFS('Revenue Tracking'!$F$13:$F$21, 'Revenue Tracking'!$P$13:$P$21, "&gt;="&amp;IW1,'Revenue Tracking'!$P$13:$P$21, "&lt;"&amp;IX1)</f>
        <v>0</v>
      </c>
      <c r="IX9" s="138">
        <f>SUMIFS('Revenue Tracking'!$F$13:$F$21, 'Revenue Tracking'!$P$13:$P$21, "&gt;="&amp;IX1,'Revenue Tracking'!$P$13:$P$21, "&lt;"&amp;IY1)</f>
        <v>0</v>
      </c>
      <c r="IY9" s="138">
        <f>SUMIFS('Revenue Tracking'!$F$13:$F$21, 'Revenue Tracking'!$P$13:$P$21, "&gt;="&amp;IY1,'Revenue Tracking'!$P$13:$P$21, "&lt;"&amp;IZ1)</f>
        <v>0</v>
      </c>
      <c r="IZ9" s="138">
        <f>SUMIFS('Revenue Tracking'!$F$13:$F$21, 'Revenue Tracking'!$P$13:$P$21, "&gt;="&amp;IZ1,'Revenue Tracking'!$P$13:$P$21, "&lt;"&amp;JA1)</f>
        <v>0</v>
      </c>
      <c r="JA9" s="138">
        <f>SUMIFS('Revenue Tracking'!$F$13:$F$21, 'Revenue Tracking'!$P$13:$P$21, "&gt;="&amp;JA1,'Revenue Tracking'!$P$13:$P$21, "&lt;"&amp;JB1)</f>
        <v>0</v>
      </c>
      <c r="JB9" s="138">
        <f>SUMIFS('Revenue Tracking'!$F$13:$F$21, 'Revenue Tracking'!$P$13:$P$21, "&gt;="&amp;JB1,'Revenue Tracking'!$P$13:$P$21, "&lt;"&amp;JC1)</f>
        <v>0</v>
      </c>
      <c r="JC9" s="138">
        <f>SUMIFS('Revenue Tracking'!$F$13:$F$21, 'Revenue Tracking'!$P$13:$P$21, "&gt;="&amp;JC1,'Revenue Tracking'!$P$13:$P$21, "&lt;"&amp;JD1)</f>
        <v>0</v>
      </c>
      <c r="JD9" s="138">
        <f>SUMIFS('Revenue Tracking'!$F$13:$F$21, 'Revenue Tracking'!$P$13:$P$21, "&gt;="&amp;JD1,'Revenue Tracking'!$P$13:$P$21, "&lt;"&amp;JE1)</f>
        <v>0</v>
      </c>
      <c r="JE9" s="138">
        <f>SUMIFS('Revenue Tracking'!$F$13:$F$21, 'Revenue Tracking'!$P$13:$P$21, "&gt;="&amp;JE1,'Revenue Tracking'!$P$13:$P$21, "&lt;"&amp;JF1)</f>
        <v>0</v>
      </c>
      <c r="JF9" s="138">
        <f>SUMIFS('Revenue Tracking'!$F$13:$F$21, 'Revenue Tracking'!$P$13:$P$21, "&gt;="&amp;JF1,'Revenue Tracking'!$P$13:$P$21, "&lt;"&amp;JG1)</f>
        <v>0</v>
      </c>
      <c r="JG9" s="138">
        <f>SUMIFS('Revenue Tracking'!$F$13:$F$21, 'Revenue Tracking'!$P$13:$P$21, "&gt;="&amp;JG1,'Revenue Tracking'!$P$13:$P$21, "&lt;"&amp;JH1)</f>
        <v>0</v>
      </c>
      <c r="JH9" s="138">
        <f>SUMIFS('Revenue Tracking'!$F$13:$F$21, 'Revenue Tracking'!$P$13:$P$21, "&gt;="&amp;JH1,'Revenue Tracking'!$P$13:$P$21, "&lt;"&amp;JI1)</f>
        <v>0</v>
      </c>
      <c r="JI9" s="138">
        <f>SUMIFS('Revenue Tracking'!$F$13:$F$21, 'Revenue Tracking'!$P$13:$P$21, "&gt;="&amp;JI1,'Revenue Tracking'!$P$13:$P$21, "&lt;"&amp;JJ1)</f>
        <v>0</v>
      </c>
      <c r="JJ9" s="138">
        <f>SUMIFS('Revenue Tracking'!$F$13:$F$21, 'Revenue Tracking'!$P$13:$P$21, "&gt;="&amp;JJ1,'Revenue Tracking'!$P$13:$P$21, "&lt;"&amp;JK1)</f>
        <v>0</v>
      </c>
      <c r="JK9" s="138">
        <f>SUMIFS('Revenue Tracking'!$F$13:$F$21, 'Revenue Tracking'!$P$13:$P$21, "&gt;="&amp;JK1,'Revenue Tracking'!$P$13:$P$21, "&lt;"&amp;JL1)</f>
        <v>0</v>
      </c>
      <c r="JL9" s="138">
        <f>SUMIFS('Revenue Tracking'!$F$13:$F$21, 'Revenue Tracking'!$P$13:$P$21, "&gt;="&amp;JL1,'Revenue Tracking'!$P$13:$P$21, "&lt;"&amp;JM1)</f>
        <v>0</v>
      </c>
      <c r="JM9" s="138">
        <f>SUMIFS('Revenue Tracking'!$F$13:$F$21, 'Revenue Tracking'!$P$13:$P$21, "&gt;="&amp;JM1,'Revenue Tracking'!$P$13:$P$21, "&lt;"&amp;JN1)</f>
        <v>0</v>
      </c>
      <c r="JN9" s="138">
        <f>SUMIFS('Revenue Tracking'!$F$13:$F$21, 'Revenue Tracking'!$P$13:$P$21, "&gt;="&amp;JN1,'Revenue Tracking'!$P$13:$P$21, "&lt;"&amp;JO1)</f>
        <v>0</v>
      </c>
      <c r="JO9" s="138">
        <f>SUMIFS('Revenue Tracking'!$F$13:$F$21, 'Revenue Tracking'!$P$13:$P$21, "&gt;="&amp;JO1,'Revenue Tracking'!$P$13:$P$21, "&lt;"&amp;JP1)</f>
        <v>0</v>
      </c>
      <c r="JP9" s="138">
        <f>SUMIFS('Revenue Tracking'!$F$13:$F$21, 'Revenue Tracking'!$P$13:$P$21, "&gt;="&amp;JP1,'Revenue Tracking'!$P$13:$P$21, "&lt;"&amp;JQ1)</f>
        <v>0</v>
      </c>
      <c r="JQ9" s="138">
        <f>SUMIFS('Revenue Tracking'!$F$13:$F$21, 'Revenue Tracking'!$P$13:$P$21, "&gt;="&amp;JQ1,'Revenue Tracking'!$P$13:$P$21, "&lt;"&amp;JR1)</f>
        <v>0</v>
      </c>
      <c r="JR9" s="138">
        <f>SUMIFS('Revenue Tracking'!$F$13:$F$21, 'Revenue Tracking'!$P$13:$P$21, "&gt;="&amp;JR1,'Revenue Tracking'!$P$13:$P$21, "&lt;"&amp;JS1)</f>
        <v>0</v>
      </c>
      <c r="JS9" s="138">
        <f>SUMIFS('Revenue Tracking'!$F$13:$F$21, 'Revenue Tracking'!$P$13:$P$21, "&gt;="&amp;JS1,'Revenue Tracking'!$P$13:$P$21, "&lt;"&amp;JT1)</f>
        <v>0</v>
      </c>
      <c r="JT9" s="138">
        <f>SUMIFS('Revenue Tracking'!$F$13:$F$21, 'Revenue Tracking'!$P$13:$P$21, "&gt;="&amp;JT1,'Revenue Tracking'!$P$13:$P$21, "&lt;"&amp;JU1)</f>
        <v>0</v>
      </c>
      <c r="JU9" s="138">
        <f>SUMIFS('Revenue Tracking'!$F$13:$F$21, 'Revenue Tracking'!$P$13:$P$21, "&gt;="&amp;JU1,'Revenue Tracking'!$P$13:$P$21, "&lt;"&amp;JV1)</f>
        <v>0</v>
      </c>
      <c r="JV9" s="138">
        <f>SUMIFS('Revenue Tracking'!$F$13:$F$21, 'Revenue Tracking'!$P$13:$P$21, "&gt;="&amp;JV1,'Revenue Tracking'!$P$13:$P$21, "&lt;"&amp;JW1)</f>
        <v>0</v>
      </c>
      <c r="JW9" s="138">
        <f>SUMIFS('Revenue Tracking'!$F$13:$F$21, 'Revenue Tracking'!$P$13:$P$21, "&gt;="&amp;JW1,'Revenue Tracking'!$P$13:$P$21, "&lt;"&amp;JX1)</f>
        <v>0</v>
      </c>
      <c r="JX9" s="138">
        <f>SUMIFS('Revenue Tracking'!$F$13:$F$21, 'Revenue Tracking'!$P$13:$P$21, "&gt;="&amp;JX1,'Revenue Tracking'!$P$13:$P$21, "&lt;"&amp;JY1)</f>
        <v>0</v>
      </c>
      <c r="JY9" s="138">
        <f>SUMIFS('Revenue Tracking'!$F$13:$F$21, 'Revenue Tracking'!$P$13:$P$21, "&gt;="&amp;JY1,'Revenue Tracking'!$P$13:$P$21, "&lt;"&amp;JZ1)</f>
        <v>0</v>
      </c>
      <c r="JZ9" s="138">
        <f>SUMIFS('Revenue Tracking'!$F$13:$F$21, 'Revenue Tracking'!$P$13:$P$21, "&gt;="&amp;JZ1,'Revenue Tracking'!$P$13:$P$21, "&lt;"&amp;KA1)</f>
        <v>0</v>
      </c>
      <c r="KA9" s="138">
        <f>SUMIFS('Revenue Tracking'!$F$13:$F$21, 'Revenue Tracking'!$P$13:$P$21, "&gt;="&amp;KA1,'Revenue Tracking'!$P$13:$P$21, "&lt;"&amp;KB1)</f>
        <v>0</v>
      </c>
      <c r="KB9" s="138">
        <f>SUMIFS('Revenue Tracking'!$F$13:$F$21, 'Revenue Tracking'!$P$13:$P$21, "&gt;="&amp;KB1,'Revenue Tracking'!$P$13:$P$21, "&lt;"&amp;KC1)</f>
        <v>0</v>
      </c>
      <c r="KC9" s="138">
        <f>SUMIFS('Revenue Tracking'!$F$13:$F$21, 'Revenue Tracking'!$P$13:$P$21, "&gt;="&amp;KC1,'Revenue Tracking'!$P$13:$P$21, "&lt;"&amp;KD1)</f>
        <v>0</v>
      </c>
      <c r="KD9" s="138">
        <f>SUMIFS('Revenue Tracking'!$F$13:$F$21, 'Revenue Tracking'!$P$13:$P$21, "&gt;="&amp;KD1,'Revenue Tracking'!$P$13:$P$21, "&lt;"&amp;KE1)</f>
        <v>0</v>
      </c>
      <c r="KE9" s="138">
        <f>SUMIFS('Revenue Tracking'!$F$13:$F$21, 'Revenue Tracking'!$P$13:$P$21, "&gt;="&amp;KE1,'Revenue Tracking'!$P$13:$P$21, "&lt;"&amp;KF1)</f>
        <v>0</v>
      </c>
      <c r="KF9" s="138">
        <f>SUMIFS('Revenue Tracking'!$F$13:$F$21, 'Revenue Tracking'!$P$13:$P$21, "&gt;="&amp;KF1,'Revenue Tracking'!$P$13:$P$21, "&lt;"&amp;KG1)</f>
        <v>0</v>
      </c>
      <c r="KG9" s="138">
        <f>SUMIFS('Revenue Tracking'!$F$13:$F$21, 'Revenue Tracking'!$P$13:$P$21, "&gt;="&amp;KG1,'Revenue Tracking'!$P$13:$P$21, "&lt;"&amp;KH1)</f>
        <v>0</v>
      </c>
      <c r="KH9" s="138">
        <f>SUMIFS('Revenue Tracking'!$F$13:$F$21, 'Revenue Tracking'!$P$13:$P$21, "&gt;="&amp;KH1,'Revenue Tracking'!$P$13:$P$21, "&lt;"&amp;KI1)</f>
        <v>0</v>
      </c>
      <c r="KI9" s="138">
        <f>SUMIFS('Revenue Tracking'!$F$13:$F$21, 'Revenue Tracking'!$P$13:$P$21, "&gt;="&amp;KI1,'Revenue Tracking'!$P$13:$P$21, "&lt;"&amp;KJ1)</f>
        <v>0</v>
      </c>
      <c r="KJ9" s="138">
        <f>SUMIFS('Revenue Tracking'!$F$13:$F$21, 'Revenue Tracking'!$P$13:$P$21, "&gt;="&amp;KJ1,'Revenue Tracking'!$P$13:$P$21, "&lt;"&amp;KK1)</f>
        <v>0</v>
      </c>
      <c r="KK9" s="138">
        <f>SUMIFS('Revenue Tracking'!$F$13:$F$21, 'Revenue Tracking'!$P$13:$P$21, "&gt;="&amp;KK1,'Revenue Tracking'!$P$13:$P$21, "&lt;"&amp;KL1)</f>
        <v>0</v>
      </c>
      <c r="KL9" s="138">
        <f>SUMIFS('Revenue Tracking'!$F$13:$F$21, 'Revenue Tracking'!$P$13:$P$21, "&gt;="&amp;KL1,'Revenue Tracking'!$P$13:$P$21, "&lt;"&amp;KM1)</f>
        <v>0</v>
      </c>
      <c r="KM9" s="138">
        <f>SUMIFS('Revenue Tracking'!$F$13:$F$21, 'Revenue Tracking'!$P$13:$P$21, "&gt;="&amp;KM1,'Revenue Tracking'!$P$13:$P$21, "&lt;"&amp;KN1)</f>
        <v>0</v>
      </c>
      <c r="KN9" s="138">
        <f>SUMIFS('Revenue Tracking'!$F$13:$F$21, 'Revenue Tracking'!$P$13:$P$21, "&gt;="&amp;KN1,'Revenue Tracking'!$P$13:$P$21, "&lt;"&amp;KO1)</f>
        <v>0</v>
      </c>
      <c r="KO9" s="138">
        <f>SUMIFS('Revenue Tracking'!$F$13:$F$21, 'Revenue Tracking'!$P$13:$P$21, "&gt;="&amp;KO1,'Revenue Tracking'!$P$13:$P$21, "&lt;"&amp;KP1)</f>
        <v>0</v>
      </c>
      <c r="KP9" s="138">
        <f>SUMIFS('Revenue Tracking'!$F$13:$F$21, 'Revenue Tracking'!$P$13:$P$21, "&gt;="&amp;KP1,'Revenue Tracking'!$P$13:$P$21, "&lt;"&amp;KQ1)</f>
        <v>0</v>
      </c>
      <c r="KQ9" s="138">
        <f>SUMIFS('Revenue Tracking'!$F$13:$F$21, 'Revenue Tracking'!$P$13:$P$21, "&gt;="&amp;KQ1,'Revenue Tracking'!$P$13:$P$21, "&lt;"&amp;KR1)</f>
        <v>0</v>
      </c>
      <c r="KR9" s="138">
        <f>SUMIFS('Revenue Tracking'!$F$13:$F$21, 'Revenue Tracking'!$P$13:$P$21, "&gt;="&amp;KR1,'Revenue Tracking'!$P$13:$P$21, "&lt;"&amp;KS1)</f>
        <v>0</v>
      </c>
      <c r="KS9" s="138">
        <f>SUMIFS('Revenue Tracking'!$F$13:$F$21, 'Revenue Tracking'!$P$13:$P$21, "&gt;="&amp;KS1,'Revenue Tracking'!$P$13:$P$21, "&lt;"&amp;KT1)</f>
        <v>0</v>
      </c>
      <c r="KT9" s="138">
        <f>SUMIFS('Revenue Tracking'!$F$13:$F$21, 'Revenue Tracking'!$P$13:$P$21, "&gt;="&amp;KT1,'Revenue Tracking'!$P$13:$P$21, "&lt;"&amp;KU1)</f>
        <v>0</v>
      </c>
      <c r="KU9" s="138">
        <f>SUMIFS('Revenue Tracking'!$F$13:$F$21, 'Revenue Tracking'!$P$13:$P$21, "&gt;="&amp;KU1,'Revenue Tracking'!$P$13:$P$21, "&lt;"&amp;KV1)</f>
        <v>0</v>
      </c>
      <c r="KV9" s="138">
        <f>SUMIFS('Revenue Tracking'!$F$13:$F$21, 'Revenue Tracking'!$P$13:$P$21, "&gt;="&amp;KV1,'Revenue Tracking'!$P$13:$P$21, "&lt;"&amp;KW1)</f>
        <v>0</v>
      </c>
      <c r="KW9" s="138">
        <f>SUMIFS('Revenue Tracking'!$F$13:$F$21, 'Revenue Tracking'!$P$13:$P$21, "&gt;="&amp;KW1,'Revenue Tracking'!$P$13:$P$21, "&lt;"&amp;KX1)</f>
        <v>0</v>
      </c>
      <c r="KX9" s="138">
        <f>SUMIFS('Revenue Tracking'!$F$13:$F$21, 'Revenue Tracking'!$P$13:$P$21, "&gt;="&amp;KX1,'Revenue Tracking'!$P$13:$P$21, "&lt;"&amp;KY1)</f>
        <v>0</v>
      </c>
      <c r="KY9" s="138">
        <f>SUMIFS('Revenue Tracking'!$F$13:$F$21, 'Revenue Tracking'!$P$13:$P$21, "&gt;="&amp;KY1,'Revenue Tracking'!$P$13:$P$21, "&lt;"&amp;KZ1)</f>
        <v>0</v>
      </c>
      <c r="KZ9" s="138">
        <f>SUMIFS('Revenue Tracking'!$F$13:$F$21, 'Revenue Tracking'!$P$13:$P$21, "&gt;="&amp;KZ1,'Revenue Tracking'!$P$13:$P$21, "&lt;"&amp;LA1)</f>
        <v>0</v>
      </c>
      <c r="LA9" s="138">
        <f>SUMIFS('Revenue Tracking'!$F$13:$F$21, 'Revenue Tracking'!$P$13:$P$21, "&gt;="&amp;LA1,'Revenue Tracking'!$P$13:$P$21, "&lt;"&amp;LB1)</f>
        <v>0</v>
      </c>
      <c r="LB9" s="138">
        <f>SUMIFS('Revenue Tracking'!$F$13:$F$21, 'Revenue Tracking'!$P$13:$P$21, "&gt;="&amp;LB1,'Revenue Tracking'!$P$13:$P$21, "&lt;"&amp;LC1)</f>
        <v>0</v>
      </c>
      <c r="LC9" s="138">
        <f>SUMIFS('Revenue Tracking'!$F$13:$F$21, 'Revenue Tracking'!$P$13:$P$21, "&gt;="&amp;LC1,'Revenue Tracking'!$P$13:$P$21, "&lt;"&amp;LD1)</f>
        <v>0</v>
      </c>
      <c r="LD9" s="138">
        <f>SUMIFS('Revenue Tracking'!$F$13:$F$21, 'Revenue Tracking'!$P$13:$P$21, "&gt;="&amp;LD1,'Revenue Tracking'!$P$13:$P$21, "&lt;"&amp;#REF!)</f>
        <v>0</v>
      </c>
    </row>
    <row r="10" spans="1:794">
      <c r="A10" s="910"/>
      <c r="B10" s="136" t="s">
        <v>778</v>
      </c>
      <c r="C10" s="137"/>
      <c r="D10" s="137"/>
      <c r="E10" s="124"/>
      <c r="F10" s="138">
        <f>F9</f>
        <v>0</v>
      </c>
      <c r="G10" s="138">
        <f>F10+G9</f>
        <v>0</v>
      </c>
      <c r="H10" s="138">
        <f>G10+H9</f>
        <v>0</v>
      </c>
      <c r="I10" s="138">
        <f t="shared" ref="I10:BT10" si="21">H10+I9</f>
        <v>0</v>
      </c>
      <c r="J10" s="138">
        <f t="shared" si="21"/>
        <v>0</v>
      </c>
      <c r="K10" s="138">
        <f t="shared" si="21"/>
        <v>0</v>
      </c>
      <c r="L10" s="138">
        <f t="shared" si="21"/>
        <v>0</v>
      </c>
      <c r="M10" s="138">
        <f t="shared" si="21"/>
        <v>0</v>
      </c>
      <c r="N10" s="138">
        <f t="shared" si="21"/>
        <v>0</v>
      </c>
      <c r="O10" s="138">
        <f t="shared" si="21"/>
        <v>0</v>
      </c>
      <c r="P10" s="138">
        <f t="shared" si="21"/>
        <v>0</v>
      </c>
      <c r="Q10" s="138">
        <f t="shared" si="21"/>
        <v>0</v>
      </c>
      <c r="R10" s="138">
        <f t="shared" si="21"/>
        <v>0</v>
      </c>
      <c r="S10" s="138">
        <f t="shared" si="21"/>
        <v>0</v>
      </c>
      <c r="T10" s="138">
        <f t="shared" si="21"/>
        <v>0</v>
      </c>
      <c r="U10" s="138">
        <f t="shared" si="21"/>
        <v>0</v>
      </c>
      <c r="V10" s="138">
        <f t="shared" si="21"/>
        <v>0</v>
      </c>
      <c r="W10" s="138">
        <f t="shared" si="21"/>
        <v>0</v>
      </c>
      <c r="X10" s="138">
        <f t="shared" si="21"/>
        <v>0</v>
      </c>
      <c r="Y10" s="138">
        <f t="shared" si="21"/>
        <v>0</v>
      </c>
      <c r="Z10" s="138">
        <f t="shared" si="21"/>
        <v>0</v>
      </c>
      <c r="AA10" s="138">
        <f t="shared" si="21"/>
        <v>15000000</v>
      </c>
      <c r="AB10" s="138">
        <f t="shared" si="21"/>
        <v>15000000</v>
      </c>
      <c r="AC10" s="138">
        <f t="shared" si="21"/>
        <v>15000000</v>
      </c>
      <c r="AD10" s="138">
        <f t="shared" si="21"/>
        <v>15000000</v>
      </c>
      <c r="AE10" s="138">
        <f t="shared" si="21"/>
        <v>15000000</v>
      </c>
      <c r="AF10" s="138">
        <f t="shared" si="21"/>
        <v>32998500</v>
      </c>
      <c r="AG10" s="138">
        <f t="shared" si="21"/>
        <v>32998500</v>
      </c>
      <c r="AH10" s="138">
        <f t="shared" si="21"/>
        <v>32998500</v>
      </c>
      <c r="AI10" s="138">
        <f t="shared" si="21"/>
        <v>32998500</v>
      </c>
      <c r="AJ10" s="138">
        <f t="shared" si="21"/>
        <v>32998500</v>
      </c>
      <c r="AK10" s="138">
        <f t="shared" si="21"/>
        <v>41996500</v>
      </c>
      <c r="AL10" s="138">
        <f t="shared" si="21"/>
        <v>41996500</v>
      </c>
      <c r="AM10" s="138">
        <f t="shared" si="21"/>
        <v>41996500</v>
      </c>
      <c r="AN10" s="138">
        <f t="shared" si="21"/>
        <v>50995750</v>
      </c>
      <c r="AO10" s="138">
        <f t="shared" si="21"/>
        <v>50995750</v>
      </c>
      <c r="AP10" s="138">
        <f t="shared" si="21"/>
        <v>50995750</v>
      </c>
      <c r="AQ10" s="138">
        <f t="shared" si="21"/>
        <v>50995750</v>
      </c>
      <c r="AR10" s="138">
        <f t="shared" si="21"/>
        <v>50995750</v>
      </c>
      <c r="AS10" s="138">
        <f t="shared" si="21"/>
        <v>50995750</v>
      </c>
      <c r="AT10" s="138">
        <f t="shared" si="21"/>
        <v>50995750</v>
      </c>
      <c r="AU10" s="138">
        <f t="shared" si="21"/>
        <v>50995750</v>
      </c>
      <c r="AV10" s="138">
        <f t="shared" si="21"/>
        <v>50995750</v>
      </c>
      <c r="AW10" s="138">
        <f t="shared" si="21"/>
        <v>50995750</v>
      </c>
      <c r="AX10" s="138">
        <f t="shared" si="21"/>
        <v>50995750</v>
      </c>
      <c r="AY10" s="138">
        <f t="shared" si="21"/>
        <v>50995750</v>
      </c>
      <c r="AZ10" s="138">
        <f t="shared" si="21"/>
        <v>51045590.730434783</v>
      </c>
      <c r="BA10" s="138">
        <f t="shared" si="21"/>
        <v>51045590.730434783</v>
      </c>
      <c r="BB10" s="138">
        <f t="shared" si="21"/>
        <v>51045590.730434783</v>
      </c>
      <c r="BC10" s="138">
        <f t="shared" si="21"/>
        <v>51045590.730434783</v>
      </c>
      <c r="BD10" s="138">
        <f t="shared" si="21"/>
        <v>51045590.730434783</v>
      </c>
      <c r="BE10" s="138">
        <f t="shared" si="21"/>
        <v>51045590.730434783</v>
      </c>
      <c r="BF10" s="138">
        <f t="shared" si="21"/>
        <v>51045590.730434783</v>
      </c>
      <c r="BG10" s="138">
        <f t="shared" si="21"/>
        <v>51045590.730434783</v>
      </c>
      <c r="BH10" s="138">
        <f t="shared" si="21"/>
        <v>51045590.730434783</v>
      </c>
      <c r="BI10" s="138">
        <f t="shared" si="21"/>
        <v>56995250</v>
      </c>
      <c r="BJ10" s="138">
        <f t="shared" si="21"/>
        <v>56995250</v>
      </c>
      <c r="BK10" s="138">
        <f t="shared" si="21"/>
        <v>56995250</v>
      </c>
      <c r="BL10" s="138">
        <f t="shared" si="21"/>
        <v>56995250</v>
      </c>
      <c r="BM10" s="138">
        <f t="shared" si="21"/>
        <v>56995250</v>
      </c>
      <c r="BN10" s="138">
        <f t="shared" si="21"/>
        <v>56995250</v>
      </c>
      <c r="BO10" s="138">
        <f t="shared" si="21"/>
        <v>59995000</v>
      </c>
      <c r="BP10" s="138">
        <f t="shared" si="21"/>
        <v>59995000</v>
      </c>
      <c r="BQ10" s="138">
        <f t="shared" si="21"/>
        <v>59995000</v>
      </c>
      <c r="BR10" s="138">
        <f t="shared" si="21"/>
        <v>59995000</v>
      </c>
      <c r="BS10" s="138">
        <f t="shared" si="21"/>
        <v>59995000</v>
      </c>
      <c r="BT10" s="138">
        <f t="shared" si="21"/>
        <v>59995000</v>
      </c>
      <c r="BU10" s="138">
        <f t="shared" ref="BU10:EF10" si="22">BT10+BU9</f>
        <v>59995000</v>
      </c>
      <c r="BV10" s="138">
        <f t="shared" si="22"/>
        <v>59995000</v>
      </c>
      <c r="BW10" s="138">
        <f t="shared" si="22"/>
        <v>59995000</v>
      </c>
      <c r="BX10" s="138">
        <f t="shared" si="22"/>
        <v>59995000</v>
      </c>
      <c r="BY10" s="138">
        <f t="shared" si="22"/>
        <v>59995000</v>
      </c>
      <c r="BZ10" s="138">
        <f t="shared" si="22"/>
        <v>59995000</v>
      </c>
      <c r="CA10" s="138">
        <f t="shared" si="22"/>
        <v>59995000</v>
      </c>
      <c r="CB10" s="138">
        <f t="shared" si="22"/>
        <v>59995000</v>
      </c>
      <c r="CC10" s="138">
        <f t="shared" si="22"/>
        <v>59995000</v>
      </c>
      <c r="CD10" s="138">
        <f t="shared" si="22"/>
        <v>59995000</v>
      </c>
      <c r="CE10" s="138">
        <f t="shared" si="22"/>
        <v>59995000</v>
      </c>
      <c r="CF10" s="138">
        <f t="shared" si="22"/>
        <v>59995000</v>
      </c>
      <c r="CG10" s="138">
        <f t="shared" si="22"/>
        <v>59995000</v>
      </c>
      <c r="CH10" s="138">
        <f t="shared" si="22"/>
        <v>59995000</v>
      </c>
      <c r="CI10" s="138">
        <f t="shared" si="22"/>
        <v>59995000</v>
      </c>
      <c r="CJ10" s="138">
        <f t="shared" si="22"/>
        <v>59995000</v>
      </c>
      <c r="CK10" s="138">
        <f t="shared" si="22"/>
        <v>59995000</v>
      </c>
      <c r="CL10" s="138">
        <f t="shared" si="22"/>
        <v>59995000</v>
      </c>
      <c r="CM10" s="138">
        <f t="shared" si="22"/>
        <v>59995000</v>
      </c>
      <c r="CN10" s="138">
        <f t="shared" si="22"/>
        <v>59995000</v>
      </c>
      <c r="CO10" s="138">
        <f t="shared" si="22"/>
        <v>59995000</v>
      </c>
      <c r="CP10" s="138">
        <f t="shared" si="22"/>
        <v>59995000</v>
      </c>
      <c r="CQ10" s="138">
        <f t="shared" si="22"/>
        <v>59995000</v>
      </c>
      <c r="CR10" s="138">
        <f t="shared" si="22"/>
        <v>59995000</v>
      </c>
      <c r="CS10" s="138">
        <f t="shared" si="22"/>
        <v>59995000</v>
      </c>
      <c r="CT10" s="138">
        <f t="shared" si="22"/>
        <v>59995000</v>
      </c>
      <c r="CU10" s="138">
        <f t="shared" si="22"/>
        <v>59995000</v>
      </c>
      <c r="CV10" s="138">
        <f t="shared" si="22"/>
        <v>59995000</v>
      </c>
      <c r="CW10" s="138">
        <f t="shared" si="22"/>
        <v>59995000</v>
      </c>
      <c r="CX10" s="138">
        <f t="shared" si="22"/>
        <v>59995000</v>
      </c>
      <c r="CY10" s="138">
        <f t="shared" si="22"/>
        <v>59995000</v>
      </c>
      <c r="CZ10" s="138">
        <f t="shared" si="22"/>
        <v>59995000</v>
      </c>
      <c r="DA10" s="138">
        <f t="shared" si="22"/>
        <v>59995000</v>
      </c>
      <c r="DB10" s="138">
        <f t="shared" si="22"/>
        <v>59995000</v>
      </c>
      <c r="DC10" s="138">
        <f t="shared" si="22"/>
        <v>59995000</v>
      </c>
      <c r="DD10" s="138">
        <f t="shared" si="22"/>
        <v>59995000</v>
      </c>
      <c r="DE10" s="138">
        <f t="shared" si="22"/>
        <v>59995000</v>
      </c>
      <c r="DF10" s="138">
        <f t="shared" si="22"/>
        <v>59995000</v>
      </c>
      <c r="DG10" s="138">
        <f t="shared" si="22"/>
        <v>59995000</v>
      </c>
      <c r="DH10" s="138">
        <f t="shared" si="22"/>
        <v>59995000</v>
      </c>
      <c r="DI10" s="138">
        <f t="shared" si="22"/>
        <v>59995000</v>
      </c>
      <c r="DJ10" s="138">
        <f t="shared" si="22"/>
        <v>59995000</v>
      </c>
      <c r="DK10" s="138">
        <f t="shared" si="22"/>
        <v>59995000</v>
      </c>
      <c r="DL10" s="138">
        <f t="shared" si="22"/>
        <v>59995000</v>
      </c>
      <c r="DM10" s="138">
        <f t="shared" si="22"/>
        <v>59995000</v>
      </c>
      <c r="DN10" s="138">
        <f t="shared" si="22"/>
        <v>59995000</v>
      </c>
      <c r="DO10" s="138">
        <f t="shared" si="22"/>
        <v>59995000</v>
      </c>
      <c r="DP10" s="138">
        <f t="shared" si="22"/>
        <v>59995000</v>
      </c>
      <c r="DQ10" s="138">
        <f t="shared" si="22"/>
        <v>59995000</v>
      </c>
      <c r="DR10" s="138">
        <f t="shared" si="22"/>
        <v>59995000</v>
      </c>
      <c r="DS10" s="138">
        <f t="shared" si="22"/>
        <v>59995000</v>
      </c>
      <c r="DT10" s="138">
        <f t="shared" si="22"/>
        <v>59995000</v>
      </c>
      <c r="DU10" s="138">
        <f t="shared" si="22"/>
        <v>59995000</v>
      </c>
      <c r="DV10" s="138">
        <f t="shared" si="22"/>
        <v>59995000</v>
      </c>
      <c r="DW10" s="138">
        <f t="shared" si="22"/>
        <v>59995000</v>
      </c>
      <c r="DX10" s="138">
        <f t="shared" si="22"/>
        <v>59995000</v>
      </c>
      <c r="DY10" s="138">
        <f t="shared" si="22"/>
        <v>59995000</v>
      </c>
      <c r="DZ10" s="138">
        <f t="shared" si="22"/>
        <v>59995000</v>
      </c>
      <c r="EA10" s="138">
        <f t="shared" si="22"/>
        <v>59995000</v>
      </c>
      <c r="EB10" s="138">
        <f t="shared" si="22"/>
        <v>59995000</v>
      </c>
      <c r="EC10" s="138">
        <f t="shared" si="22"/>
        <v>59995000</v>
      </c>
      <c r="ED10" s="138">
        <f t="shared" si="22"/>
        <v>59995000</v>
      </c>
      <c r="EE10" s="138">
        <f t="shared" si="22"/>
        <v>59995000</v>
      </c>
      <c r="EF10" s="138">
        <f t="shared" si="22"/>
        <v>59995000</v>
      </c>
      <c r="EG10" s="138">
        <f t="shared" ref="EG10:GR10" si="23">EF10+EG9</f>
        <v>59995000</v>
      </c>
      <c r="EH10" s="138">
        <f t="shared" si="23"/>
        <v>59995000</v>
      </c>
      <c r="EI10" s="138">
        <f t="shared" si="23"/>
        <v>59995000</v>
      </c>
      <c r="EJ10" s="138">
        <f t="shared" si="23"/>
        <v>59995000</v>
      </c>
      <c r="EK10" s="138">
        <f t="shared" si="23"/>
        <v>59995000</v>
      </c>
      <c r="EL10" s="138">
        <f t="shared" si="23"/>
        <v>59995000</v>
      </c>
      <c r="EM10" s="138">
        <f t="shared" si="23"/>
        <v>59995000</v>
      </c>
      <c r="EN10" s="138">
        <f t="shared" si="23"/>
        <v>59995000</v>
      </c>
      <c r="EO10" s="138">
        <f t="shared" si="23"/>
        <v>59995000</v>
      </c>
      <c r="EP10" s="138">
        <f t="shared" si="23"/>
        <v>59995000</v>
      </c>
      <c r="EQ10" s="138">
        <f t="shared" si="23"/>
        <v>59995000</v>
      </c>
      <c r="ER10" s="138">
        <f t="shared" si="23"/>
        <v>59995000</v>
      </c>
      <c r="ES10" s="138">
        <f t="shared" si="23"/>
        <v>59995000</v>
      </c>
      <c r="ET10" s="138">
        <f t="shared" si="23"/>
        <v>59995000</v>
      </c>
      <c r="EU10" s="138">
        <f t="shared" si="23"/>
        <v>59995000</v>
      </c>
      <c r="EV10" s="138">
        <f t="shared" si="23"/>
        <v>59995000</v>
      </c>
      <c r="EW10" s="138">
        <f t="shared" si="23"/>
        <v>59995000</v>
      </c>
      <c r="EX10" s="138">
        <f t="shared" si="23"/>
        <v>59995000</v>
      </c>
      <c r="EY10" s="138">
        <f t="shared" si="23"/>
        <v>59995000</v>
      </c>
      <c r="EZ10" s="138">
        <f t="shared" si="23"/>
        <v>59995000</v>
      </c>
      <c r="FA10" s="138">
        <f t="shared" si="23"/>
        <v>59995000</v>
      </c>
      <c r="FB10" s="138">
        <f t="shared" si="23"/>
        <v>59995000</v>
      </c>
      <c r="FC10" s="138">
        <f t="shared" si="23"/>
        <v>59995000</v>
      </c>
      <c r="FD10" s="138">
        <f t="shared" si="23"/>
        <v>59995000</v>
      </c>
      <c r="FE10" s="138">
        <f t="shared" si="23"/>
        <v>59995000</v>
      </c>
      <c r="FF10" s="138">
        <f t="shared" si="23"/>
        <v>59995000</v>
      </c>
      <c r="FG10" s="138">
        <f t="shared" si="23"/>
        <v>59995000</v>
      </c>
      <c r="FH10" s="138">
        <f t="shared" si="23"/>
        <v>59995000</v>
      </c>
      <c r="FI10" s="138">
        <f t="shared" si="23"/>
        <v>59995000</v>
      </c>
      <c r="FJ10" s="138">
        <f t="shared" si="23"/>
        <v>59995000</v>
      </c>
      <c r="FK10" s="138">
        <f t="shared" si="23"/>
        <v>59995000</v>
      </c>
      <c r="FL10" s="138">
        <f t="shared" si="23"/>
        <v>59995000</v>
      </c>
      <c r="FM10" s="138">
        <f t="shared" si="23"/>
        <v>59995000</v>
      </c>
      <c r="FN10" s="138">
        <f t="shared" si="23"/>
        <v>59995000</v>
      </c>
      <c r="FO10" s="138">
        <f t="shared" si="23"/>
        <v>59995000</v>
      </c>
      <c r="FP10" s="138">
        <f t="shared" si="23"/>
        <v>59995000</v>
      </c>
      <c r="FQ10" s="138">
        <f t="shared" si="23"/>
        <v>59995000</v>
      </c>
      <c r="FR10" s="138">
        <f t="shared" si="23"/>
        <v>59995000</v>
      </c>
      <c r="FS10" s="138">
        <f t="shared" si="23"/>
        <v>59995000</v>
      </c>
      <c r="FT10" s="138">
        <f t="shared" si="23"/>
        <v>59995000</v>
      </c>
      <c r="FU10" s="138">
        <f t="shared" si="23"/>
        <v>59995000</v>
      </c>
      <c r="FV10" s="138">
        <f t="shared" si="23"/>
        <v>59995000</v>
      </c>
      <c r="FW10" s="138">
        <f t="shared" si="23"/>
        <v>59995000</v>
      </c>
      <c r="FX10" s="138">
        <f t="shared" si="23"/>
        <v>59995000</v>
      </c>
      <c r="FY10" s="138">
        <f t="shared" si="23"/>
        <v>59995000</v>
      </c>
      <c r="FZ10" s="138">
        <f t="shared" si="23"/>
        <v>59995000</v>
      </c>
      <c r="GA10" s="138">
        <f t="shared" si="23"/>
        <v>59995000</v>
      </c>
      <c r="GB10" s="138">
        <f t="shared" si="23"/>
        <v>59995000</v>
      </c>
      <c r="GC10" s="138">
        <f t="shared" si="23"/>
        <v>59995000</v>
      </c>
      <c r="GD10" s="138">
        <f t="shared" si="23"/>
        <v>59995000</v>
      </c>
      <c r="GE10" s="138">
        <f t="shared" si="23"/>
        <v>59995000</v>
      </c>
      <c r="GF10" s="138">
        <f t="shared" si="23"/>
        <v>59995000</v>
      </c>
      <c r="GG10" s="138">
        <f t="shared" si="23"/>
        <v>59995000</v>
      </c>
      <c r="GH10" s="138">
        <f t="shared" si="23"/>
        <v>59995000</v>
      </c>
      <c r="GI10" s="138">
        <f t="shared" si="23"/>
        <v>59995000</v>
      </c>
      <c r="GJ10" s="138">
        <f t="shared" si="23"/>
        <v>59995000</v>
      </c>
      <c r="GK10" s="138">
        <f t="shared" si="23"/>
        <v>59995000</v>
      </c>
      <c r="GL10" s="138">
        <f t="shared" si="23"/>
        <v>59995000</v>
      </c>
      <c r="GM10" s="138">
        <f t="shared" si="23"/>
        <v>59995000</v>
      </c>
      <c r="GN10" s="138">
        <f t="shared" si="23"/>
        <v>59995000</v>
      </c>
      <c r="GO10" s="138">
        <f t="shared" si="23"/>
        <v>59995000</v>
      </c>
      <c r="GP10" s="138">
        <f t="shared" si="23"/>
        <v>59995000</v>
      </c>
      <c r="GQ10" s="138">
        <f t="shared" si="23"/>
        <v>59995000</v>
      </c>
      <c r="GR10" s="138">
        <f t="shared" si="23"/>
        <v>59995000</v>
      </c>
      <c r="GS10" s="138">
        <f t="shared" ref="GS10:JD10" si="24">GR10+GS9</f>
        <v>59995000</v>
      </c>
      <c r="GT10" s="138">
        <f t="shared" si="24"/>
        <v>59995000</v>
      </c>
      <c r="GU10" s="138">
        <f t="shared" si="24"/>
        <v>59995000</v>
      </c>
      <c r="GV10" s="138">
        <f t="shared" si="24"/>
        <v>59995000</v>
      </c>
      <c r="GW10" s="138">
        <f t="shared" si="24"/>
        <v>59995000</v>
      </c>
      <c r="GX10" s="138">
        <f t="shared" si="24"/>
        <v>59995000</v>
      </c>
      <c r="GY10" s="138">
        <f t="shared" si="24"/>
        <v>59995000</v>
      </c>
      <c r="GZ10" s="138">
        <f t="shared" si="24"/>
        <v>59995000</v>
      </c>
      <c r="HA10" s="138">
        <f t="shared" si="24"/>
        <v>59995000</v>
      </c>
      <c r="HB10" s="138">
        <f t="shared" si="24"/>
        <v>59995000</v>
      </c>
      <c r="HC10" s="138">
        <f t="shared" si="24"/>
        <v>59995000</v>
      </c>
      <c r="HD10" s="138">
        <f t="shared" si="24"/>
        <v>59995000</v>
      </c>
      <c r="HE10" s="138">
        <f t="shared" si="24"/>
        <v>59995000</v>
      </c>
      <c r="HF10" s="138">
        <f t="shared" si="24"/>
        <v>59995000</v>
      </c>
      <c r="HG10" s="138">
        <f t="shared" si="24"/>
        <v>59995000</v>
      </c>
      <c r="HH10" s="138">
        <f t="shared" si="24"/>
        <v>59995000</v>
      </c>
      <c r="HI10" s="138">
        <f t="shared" si="24"/>
        <v>59995000</v>
      </c>
      <c r="HJ10" s="138">
        <f t="shared" si="24"/>
        <v>59995000</v>
      </c>
      <c r="HK10" s="138">
        <f t="shared" si="24"/>
        <v>59995000</v>
      </c>
      <c r="HL10" s="138">
        <f t="shared" si="24"/>
        <v>59995000</v>
      </c>
      <c r="HM10" s="138">
        <f t="shared" si="24"/>
        <v>59995000</v>
      </c>
      <c r="HN10" s="138">
        <f t="shared" si="24"/>
        <v>59995000</v>
      </c>
      <c r="HO10" s="138">
        <f t="shared" si="24"/>
        <v>59995000</v>
      </c>
      <c r="HP10" s="138">
        <f t="shared" si="24"/>
        <v>59995000</v>
      </c>
      <c r="HQ10" s="138">
        <f t="shared" si="24"/>
        <v>59995000</v>
      </c>
      <c r="HR10" s="138">
        <f t="shared" si="24"/>
        <v>59995000</v>
      </c>
      <c r="HS10" s="138">
        <f t="shared" si="24"/>
        <v>59995000</v>
      </c>
      <c r="HT10" s="138">
        <f t="shared" si="24"/>
        <v>59995000</v>
      </c>
      <c r="HU10" s="138">
        <f t="shared" si="24"/>
        <v>59995000</v>
      </c>
      <c r="HV10" s="138">
        <f t="shared" si="24"/>
        <v>59995000</v>
      </c>
      <c r="HW10" s="138">
        <f t="shared" si="24"/>
        <v>59995000</v>
      </c>
      <c r="HX10" s="138">
        <f t="shared" si="24"/>
        <v>59995000</v>
      </c>
      <c r="HY10" s="138">
        <f t="shared" si="24"/>
        <v>59995000</v>
      </c>
      <c r="HZ10" s="138">
        <f t="shared" si="24"/>
        <v>59995000</v>
      </c>
      <c r="IA10" s="138">
        <f t="shared" si="24"/>
        <v>59995000</v>
      </c>
      <c r="IB10" s="138">
        <f t="shared" si="24"/>
        <v>59995000</v>
      </c>
      <c r="IC10" s="138">
        <f t="shared" si="24"/>
        <v>59995000</v>
      </c>
      <c r="ID10" s="138">
        <f t="shared" si="24"/>
        <v>59995000</v>
      </c>
      <c r="IE10" s="138">
        <f t="shared" si="24"/>
        <v>59995000</v>
      </c>
      <c r="IF10" s="138">
        <f t="shared" si="24"/>
        <v>59995000</v>
      </c>
      <c r="IG10" s="138">
        <f t="shared" si="24"/>
        <v>59995000</v>
      </c>
      <c r="IH10" s="138">
        <f t="shared" si="24"/>
        <v>59995000</v>
      </c>
      <c r="II10" s="138">
        <f t="shared" si="24"/>
        <v>59995000</v>
      </c>
      <c r="IJ10" s="138">
        <f t="shared" si="24"/>
        <v>59995000</v>
      </c>
      <c r="IK10" s="138">
        <f t="shared" si="24"/>
        <v>59995000</v>
      </c>
      <c r="IL10" s="138">
        <f t="shared" si="24"/>
        <v>59995000</v>
      </c>
      <c r="IM10" s="138">
        <f t="shared" si="24"/>
        <v>59995000</v>
      </c>
      <c r="IN10" s="138">
        <f t="shared" si="24"/>
        <v>59995000</v>
      </c>
      <c r="IO10" s="138">
        <f t="shared" si="24"/>
        <v>59995000</v>
      </c>
      <c r="IP10" s="138">
        <f t="shared" si="24"/>
        <v>59995000</v>
      </c>
      <c r="IQ10" s="138">
        <f t="shared" si="24"/>
        <v>59995000</v>
      </c>
      <c r="IR10" s="138">
        <f t="shared" si="24"/>
        <v>59995000</v>
      </c>
      <c r="IS10" s="138">
        <f t="shared" si="24"/>
        <v>59995000</v>
      </c>
      <c r="IT10" s="138">
        <f t="shared" si="24"/>
        <v>59995000</v>
      </c>
      <c r="IU10" s="138">
        <f t="shared" si="24"/>
        <v>59995000</v>
      </c>
      <c r="IV10" s="138">
        <f t="shared" si="24"/>
        <v>59995000</v>
      </c>
      <c r="IW10" s="138">
        <f t="shared" si="24"/>
        <v>59995000</v>
      </c>
      <c r="IX10" s="138">
        <f t="shared" si="24"/>
        <v>59995000</v>
      </c>
      <c r="IY10" s="138">
        <f t="shared" si="24"/>
        <v>59995000</v>
      </c>
      <c r="IZ10" s="138">
        <f t="shared" si="24"/>
        <v>59995000</v>
      </c>
      <c r="JA10" s="138">
        <f t="shared" si="24"/>
        <v>59995000</v>
      </c>
      <c r="JB10" s="138">
        <f t="shared" si="24"/>
        <v>59995000</v>
      </c>
      <c r="JC10" s="138">
        <f t="shared" si="24"/>
        <v>59995000</v>
      </c>
      <c r="JD10" s="138">
        <f t="shared" si="24"/>
        <v>59995000</v>
      </c>
      <c r="JE10" s="138">
        <f t="shared" ref="JE10:LD10" si="25">JD10+JE9</f>
        <v>59995000</v>
      </c>
      <c r="JF10" s="138">
        <f t="shared" si="25"/>
        <v>59995000</v>
      </c>
      <c r="JG10" s="138">
        <f t="shared" si="25"/>
        <v>59995000</v>
      </c>
      <c r="JH10" s="138">
        <f t="shared" si="25"/>
        <v>59995000</v>
      </c>
      <c r="JI10" s="138">
        <f t="shared" si="25"/>
        <v>59995000</v>
      </c>
      <c r="JJ10" s="138">
        <f t="shared" si="25"/>
        <v>59995000</v>
      </c>
      <c r="JK10" s="138">
        <f t="shared" si="25"/>
        <v>59995000</v>
      </c>
      <c r="JL10" s="138">
        <f t="shared" si="25"/>
        <v>59995000</v>
      </c>
      <c r="JM10" s="138">
        <f t="shared" si="25"/>
        <v>59995000</v>
      </c>
      <c r="JN10" s="138">
        <f t="shared" si="25"/>
        <v>59995000</v>
      </c>
      <c r="JO10" s="138">
        <f t="shared" si="25"/>
        <v>59995000</v>
      </c>
      <c r="JP10" s="138">
        <f t="shared" si="25"/>
        <v>59995000</v>
      </c>
      <c r="JQ10" s="138">
        <f t="shared" si="25"/>
        <v>59995000</v>
      </c>
      <c r="JR10" s="138">
        <f t="shared" si="25"/>
        <v>59995000</v>
      </c>
      <c r="JS10" s="138">
        <f t="shared" si="25"/>
        <v>59995000</v>
      </c>
      <c r="JT10" s="138">
        <f t="shared" si="25"/>
        <v>59995000</v>
      </c>
      <c r="JU10" s="138">
        <f t="shared" si="25"/>
        <v>59995000</v>
      </c>
      <c r="JV10" s="138">
        <f t="shared" si="25"/>
        <v>59995000</v>
      </c>
      <c r="JW10" s="138">
        <f t="shared" si="25"/>
        <v>59995000</v>
      </c>
      <c r="JX10" s="138">
        <f t="shared" si="25"/>
        <v>59995000</v>
      </c>
      <c r="JY10" s="138">
        <f t="shared" si="25"/>
        <v>59995000</v>
      </c>
      <c r="JZ10" s="138">
        <f t="shared" si="25"/>
        <v>59995000</v>
      </c>
      <c r="KA10" s="138">
        <f t="shared" si="25"/>
        <v>59995000</v>
      </c>
      <c r="KB10" s="138">
        <f t="shared" si="25"/>
        <v>59995000</v>
      </c>
      <c r="KC10" s="138">
        <f t="shared" si="25"/>
        <v>59995000</v>
      </c>
      <c r="KD10" s="138">
        <f t="shared" si="25"/>
        <v>59995000</v>
      </c>
      <c r="KE10" s="138">
        <f t="shared" si="25"/>
        <v>59995000</v>
      </c>
      <c r="KF10" s="138">
        <f t="shared" si="25"/>
        <v>59995000</v>
      </c>
      <c r="KG10" s="138">
        <f t="shared" si="25"/>
        <v>59995000</v>
      </c>
      <c r="KH10" s="138">
        <f t="shared" si="25"/>
        <v>59995000</v>
      </c>
      <c r="KI10" s="138">
        <f t="shared" si="25"/>
        <v>59995000</v>
      </c>
      <c r="KJ10" s="138">
        <f t="shared" si="25"/>
        <v>59995000</v>
      </c>
      <c r="KK10" s="138">
        <f t="shared" si="25"/>
        <v>59995000</v>
      </c>
      <c r="KL10" s="138">
        <f t="shared" si="25"/>
        <v>59995000</v>
      </c>
      <c r="KM10" s="138">
        <f t="shared" si="25"/>
        <v>59995000</v>
      </c>
      <c r="KN10" s="138">
        <f t="shared" si="25"/>
        <v>59995000</v>
      </c>
      <c r="KO10" s="138">
        <f t="shared" si="25"/>
        <v>59995000</v>
      </c>
      <c r="KP10" s="138">
        <f t="shared" si="25"/>
        <v>59995000</v>
      </c>
      <c r="KQ10" s="138">
        <f t="shared" si="25"/>
        <v>59995000</v>
      </c>
      <c r="KR10" s="138">
        <f t="shared" si="25"/>
        <v>59995000</v>
      </c>
      <c r="KS10" s="138">
        <f t="shared" si="25"/>
        <v>59995000</v>
      </c>
      <c r="KT10" s="138">
        <f t="shared" si="25"/>
        <v>59995000</v>
      </c>
      <c r="KU10" s="138">
        <f t="shared" si="25"/>
        <v>59995000</v>
      </c>
      <c r="KV10" s="138">
        <f t="shared" si="25"/>
        <v>59995000</v>
      </c>
      <c r="KW10" s="138">
        <f t="shared" si="25"/>
        <v>59995000</v>
      </c>
      <c r="KX10" s="138">
        <f t="shared" si="25"/>
        <v>59995000</v>
      </c>
      <c r="KY10" s="138">
        <f t="shared" si="25"/>
        <v>59995000</v>
      </c>
      <c r="KZ10" s="138">
        <f t="shared" si="25"/>
        <v>59995000</v>
      </c>
      <c r="LA10" s="138">
        <f t="shared" si="25"/>
        <v>59995000</v>
      </c>
      <c r="LB10" s="138">
        <f t="shared" si="25"/>
        <v>59995000</v>
      </c>
      <c r="LC10" s="138">
        <f t="shared" si="25"/>
        <v>59995000</v>
      </c>
      <c r="LD10" s="138">
        <f t="shared" si="25"/>
        <v>59995000</v>
      </c>
    </row>
    <row r="11" spans="1:794" s="130" customFormat="1">
      <c r="A11" s="910"/>
      <c r="B11" s="139" t="s">
        <v>779</v>
      </c>
      <c r="C11" s="140">
        <f>'Revenue Tracking'!F5</f>
        <v>48292163.206446104</v>
      </c>
      <c r="D11" s="140">
        <f>SUM(F11:LD11)</f>
        <v>48292163.206446074</v>
      </c>
      <c r="E11" s="124"/>
      <c r="F11" s="141">
        <f>SUMIFS('Expenditure Breakdown'!$Q$6:$Q$447, 'Expenditure Breakdown'!$W$6:$W$447, "&gt;="&amp;F1,'Expenditure Breakdown'!$W$6:$W$447, "&lt;"&amp;G1)</f>
        <v>0</v>
      </c>
      <c r="G11" s="141">
        <f>SUMIFS('Expenditure Breakdown'!$Q$6:$Q$447, 'Expenditure Breakdown'!$W$6:$W$447, "&gt;="&amp;G1,'Expenditure Breakdown'!$W$6:$W$447, "&lt;"&amp;H1)</f>
        <v>0</v>
      </c>
      <c r="H11" s="141">
        <f>SUMIFS('Expenditure Breakdown'!$Q$6:$Q$447, 'Expenditure Breakdown'!$W$6:$W$447, "&gt;="&amp;H1,'Expenditure Breakdown'!$W$6:$W$447, "&lt;"&amp;I1)</f>
        <v>0</v>
      </c>
      <c r="I11" s="141">
        <f>SUMIFS('Expenditure Breakdown'!$Q$6:$Q$447, 'Expenditure Breakdown'!$W$6:$W$447, "&gt;="&amp;I1,'Expenditure Breakdown'!$W$6:$W$447, "&lt;"&amp;J1)</f>
        <v>0</v>
      </c>
      <c r="J11" s="141">
        <f>SUMIFS('Expenditure Breakdown'!$Q$6:$Q$447, 'Expenditure Breakdown'!$W$6:$W$447, "&gt;="&amp;J1,'Expenditure Breakdown'!$W$6:$W$447, "&lt;"&amp;K1)</f>
        <v>0</v>
      </c>
      <c r="K11" s="141">
        <f>SUMIFS('Expenditure Breakdown'!$Q$6:$Q$447, 'Expenditure Breakdown'!$W$6:$W$447, "&gt;="&amp;K1,'Expenditure Breakdown'!$W$6:$W$447, "&lt;"&amp;L1)</f>
        <v>0</v>
      </c>
      <c r="L11" s="141">
        <f>SUMIFS('Expenditure Breakdown'!$Q$6:$Q$447, 'Expenditure Breakdown'!$W$6:$W$447, "&gt;="&amp;L1,'Expenditure Breakdown'!$W$6:$W$447, "&lt;"&amp;M1)</f>
        <v>0</v>
      </c>
      <c r="M11" s="141">
        <f>SUMIFS('Expenditure Breakdown'!$Q$6:$Q$447, 'Expenditure Breakdown'!$W$6:$W$447, "&gt;="&amp;M1,'Expenditure Breakdown'!$W$6:$W$447, "&lt;"&amp;N1)</f>
        <v>0</v>
      </c>
      <c r="N11" s="141">
        <f>SUMIFS('Expenditure Breakdown'!$Q$6:$Q$447, 'Expenditure Breakdown'!$W$6:$W$447, "&gt;="&amp;N1,'Expenditure Breakdown'!$W$6:$W$447, "&lt;"&amp;O1)</f>
        <v>0</v>
      </c>
      <c r="O11" s="141">
        <f>SUMIFS('Expenditure Breakdown'!$Q$6:$Q$447, 'Expenditure Breakdown'!$W$6:$W$447, "&gt;="&amp;O1,'Expenditure Breakdown'!$W$6:$W$447, "&lt;"&amp;P1)</f>
        <v>0</v>
      </c>
      <c r="P11" s="141">
        <f>SUMIFS('Expenditure Breakdown'!$Q$6:$Q$447, 'Expenditure Breakdown'!$W$6:$W$447, "&gt;="&amp;P1,'Expenditure Breakdown'!$W$6:$W$447, "&lt;"&amp;Q1)</f>
        <v>0</v>
      </c>
      <c r="Q11" s="141">
        <f>SUMIFS('Expenditure Breakdown'!$Q$6:$Q$447, 'Expenditure Breakdown'!$W$6:$W$447, "&gt;="&amp;Q1,'Expenditure Breakdown'!$W$6:$W$447, "&lt;"&amp;R1)</f>
        <v>0</v>
      </c>
      <c r="R11" s="141">
        <f>SUMIFS('Expenditure Breakdown'!$Q$6:$Q$447, 'Expenditure Breakdown'!$W$6:$W$447, "&gt;="&amp;R1,'Expenditure Breakdown'!$W$6:$W$447, "&lt;"&amp;S1)</f>
        <v>0</v>
      </c>
      <c r="S11" s="141">
        <f>SUMIFS('Expenditure Breakdown'!$Q$6:$Q$447, 'Expenditure Breakdown'!$W$6:$W$447, "&gt;="&amp;S1,'Expenditure Breakdown'!$W$6:$W$447, "&lt;"&amp;T1)</f>
        <v>0</v>
      </c>
      <c r="T11" s="141">
        <f>SUMIFS('Expenditure Breakdown'!$Q$6:$Q$447, 'Expenditure Breakdown'!$W$6:$W$447, "&gt;="&amp;T1,'Expenditure Breakdown'!$W$6:$W$447, "&lt;"&amp;U1)</f>
        <v>0</v>
      </c>
      <c r="U11" s="141">
        <f>SUMIFS('Expenditure Breakdown'!$Q$6:$Q$447, 'Expenditure Breakdown'!$W$6:$W$447, "&gt;="&amp;U1,'Expenditure Breakdown'!$W$6:$W$447, "&lt;"&amp;V1)</f>
        <v>0</v>
      </c>
      <c r="V11" s="141">
        <f>SUMIFS('Expenditure Breakdown'!$Q$6:$Q$447, 'Expenditure Breakdown'!$W$6:$W$447, "&gt;="&amp;V1,'Expenditure Breakdown'!$W$6:$W$447, "&lt;"&amp;W1)</f>
        <v>0</v>
      </c>
      <c r="W11" s="141">
        <f>SUMIFS('Expenditure Breakdown'!$Q$6:$Q$447, 'Expenditure Breakdown'!$W$6:$W$447, "&gt;="&amp;W1,'Expenditure Breakdown'!$W$6:$W$447, "&lt;"&amp;X1)</f>
        <v>0</v>
      </c>
      <c r="X11" s="141">
        <f>SUMIFS('Expenditure Breakdown'!$Q$6:$Q$447, 'Expenditure Breakdown'!$W$6:$W$447, "&gt;="&amp;X1,'Expenditure Breakdown'!$W$6:$W$447, "&lt;"&amp;Y1)</f>
        <v>0</v>
      </c>
      <c r="Y11" s="141">
        <f>SUMIFS('Expenditure Breakdown'!$Q$6:$Q$447, 'Expenditure Breakdown'!$W$6:$W$447, "&gt;="&amp;Y1,'Expenditure Breakdown'!$W$6:$W$447, "&lt;"&amp;Z1)</f>
        <v>0</v>
      </c>
      <c r="Z11" s="141">
        <f>SUMIFS('Expenditure Breakdown'!$Q$6:$Q$447, 'Expenditure Breakdown'!$W$6:$W$447, "&gt;="&amp;Z1,'Expenditure Breakdown'!$W$6:$W$447, "&lt;"&amp;AA1)</f>
        <v>2875421.9278117996</v>
      </c>
      <c r="AA11" s="141">
        <f>SUMIFS('Expenditure Breakdown'!$Q$6:$Q$447, 'Expenditure Breakdown'!$W$6:$W$447, "&gt;="&amp;AA1,'Expenditure Breakdown'!$W$6:$W$447, "&lt;"&amp;AB1)</f>
        <v>2950967.6</v>
      </c>
      <c r="AB11" s="141">
        <f>SUMIFS('Expenditure Breakdown'!$Q$6:$Q$447, 'Expenditure Breakdown'!$W$6:$W$447, "&gt;="&amp;AB1,'Expenditure Breakdown'!$W$6:$W$447, "&lt;"&amp;AC1)</f>
        <v>2203305.94</v>
      </c>
      <c r="AC11" s="141">
        <f>SUMIFS('Expenditure Breakdown'!$Q$6:$Q$447, 'Expenditure Breakdown'!$W$6:$W$447, "&gt;="&amp;AC1,'Expenditure Breakdown'!$W$6:$W$447, "&lt;"&amp;AD1)</f>
        <v>16170.84</v>
      </c>
      <c r="AD11" s="141">
        <f>SUMIFS('Expenditure Breakdown'!$Q$6:$Q$447, 'Expenditure Breakdown'!$W$6:$W$447, "&gt;="&amp;AD1,'Expenditure Breakdown'!$W$6:$W$447, "&lt;"&amp;AE1)</f>
        <v>10400</v>
      </c>
      <c r="AE11" s="141">
        <f>SUMIFS('Expenditure Breakdown'!$Q$6:$Q$447, 'Expenditure Breakdown'!$W$6:$W$447, "&gt;="&amp;AE1,'Expenditure Breakdown'!$W$6:$W$447, "&lt;"&amp;AF1)</f>
        <v>1891236.5</v>
      </c>
      <c r="AF11" s="141">
        <f>SUMIFS('Expenditure Breakdown'!$Q$6:$Q$447, 'Expenditure Breakdown'!$W$6:$W$447, "&gt;="&amp;AF1,'Expenditure Breakdown'!$W$6:$W$447, "&lt;"&amp;AG1)</f>
        <v>19205.5</v>
      </c>
      <c r="AG11" s="141">
        <f>SUMIFS('Expenditure Breakdown'!$Q$6:$Q$447, 'Expenditure Breakdown'!$W$6:$W$447, "&gt;="&amp;AG1,'Expenditure Breakdown'!$W$6:$W$447, "&lt;"&amp;AH1)</f>
        <v>990304.26</v>
      </c>
      <c r="AH11" s="141">
        <f>SUMIFS('Expenditure Breakdown'!$Q$6:$Q$447, 'Expenditure Breakdown'!$W$6:$W$447, "&gt;="&amp;AH1,'Expenditure Breakdown'!$W$6:$W$447, "&lt;"&amp;AI1)</f>
        <v>21545.980000000003</v>
      </c>
      <c r="AI11" s="141">
        <f>SUMIFS('Expenditure Breakdown'!$Q$6:$Q$447, 'Expenditure Breakdown'!$W$6:$W$447, "&gt;="&amp;AI1,'Expenditure Breakdown'!$W$6:$W$447, "&lt;"&amp;AJ1)</f>
        <v>3127.77</v>
      </c>
      <c r="AJ11" s="141">
        <f>SUMIFS('Expenditure Breakdown'!$Q$6:$Q$447, 'Expenditure Breakdown'!$W$6:$W$447, "&gt;="&amp;AJ1,'Expenditure Breakdown'!$W$6:$W$447, "&lt;"&amp;AK1)</f>
        <v>13753.859999999999</v>
      </c>
      <c r="AK11" s="141">
        <f>SUMIFS('Expenditure Breakdown'!$Q$6:$Q$447, 'Expenditure Breakdown'!$W$6:$W$447, "&gt;="&amp;AK1,'Expenditure Breakdown'!$W$6:$W$447, "&lt;"&amp;AL1)</f>
        <v>1798952.82</v>
      </c>
      <c r="AL11" s="141">
        <f>SUMIFS('Expenditure Breakdown'!$Q$6:$Q$447, 'Expenditure Breakdown'!$W$6:$W$447, "&gt;="&amp;AL1,'Expenditure Breakdown'!$W$6:$W$447, "&lt;"&amp;AM1)</f>
        <v>5230583.5299999993</v>
      </c>
      <c r="AM11" s="141">
        <f>SUMIFS('Expenditure Breakdown'!$Q$6:$Q$447, 'Expenditure Breakdown'!$W$6:$W$447, "&gt;="&amp;AM1,'Expenditure Breakdown'!$W$6:$W$447, "&lt;"&amp;AN1)</f>
        <v>141520.99</v>
      </c>
      <c r="AN11" s="141">
        <f>SUMIFS('Expenditure Breakdown'!$Q$6:$Q$447, 'Expenditure Breakdown'!$W$6:$W$447, "&gt;="&amp;AN1,'Expenditure Breakdown'!$W$6:$W$447, "&lt;"&amp;AO1)</f>
        <v>0</v>
      </c>
      <c r="AO11" s="141">
        <f>SUMIFS('Expenditure Breakdown'!$Q$6:$Q$447, 'Expenditure Breakdown'!$W$6:$W$447, "&gt;="&amp;AO1,'Expenditure Breakdown'!$W$6:$W$447, "&lt;"&amp;AP1)</f>
        <v>1513895.8521739133</v>
      </c>
      <c r="AP11" s="141">
        <f>SUMIFS('Expenditure Breakdown'!$Q$6:$Q$447, 'Expenditure Breakdown'!$W$6:$W$447, "&gt;="&amp;AP1,'Expenditure Breakdown'!$W$6:$W$447, "&lt;"&amp;AQ1)</f>
        <v>3431787.11</v>
      </c>
      <c r="AQ11" s="141">
        <f>SUMIFS('Expenditure Breakdown'!$Q$6:$Q$447, 'Expenditure Breakdown'!$W$6:$W$447, "&gt;="&amp;AQ1,'Expenditure Breakdown'!$W$6:$W$447, "&lt;"&amp;AR1)</f>
        <v>35705.15</v>
      </c>
      <c r="AR11" s="141">
        <f>SUMIFS('Expenditure Breakdown'!$Q$6:$Q$447, 'Expenditure Breakdown'!$W$6:$W$447, "&gt;="&amp;AR1,'Expenditure Breakdown'!$W$6:$W$447, "&lt;"&amp;AS1)</f>
        <v>3941564.8800000008</v>
      </c>
      <c r="AS11" s="141">
        <f>SUMIFS('Expenditure Breakdown'!$Q$6:$Q$447, 'Expenditure Breakdown'!$W$6:$W$447, "&gt;="&amp;AS1,'Expenditure Breakdown'!$W$6:$W$447, "&lt;"&amp;AT1)</f>
        <v>0</v>
      </c>
      <c r="AT11" s="141">
        <f>SUMIFS('Expenditure Breakdown'!$Q$6:$Q$447, 'Expenditure Breakdown'!$W$6:$W$447, "&gt;="&amp;AT1,'Expenditure Breakdown'!$W$6:$W$447, "&lt;"&amp;AU1)</f>
        <v>420768.77</v>
      </c>
      <c r="AU11" s="141">
        <f>SUMIFS('Expenditure Breakdown'!$Q$6:$Q$447, 'Expenditure Breakdown'!$W$6:$W$447, "&gt;="&amp;AU1,'Expenditure Breakdown'!$W$6:$W$447, "&lt;"&amp;AV1)</f>
        <v>64726.880000000005</v>
      </c>
      <c r="AV11" s="141">
        <f>SUMIFS('Expenditure Breakdown'!$Q$6:$Q$447, 'Expenditure Breakdown'!$W$6:$W$447, "&gt;="&amp;AV1,'Expenditure Breakdown'!$W$6:$W$447, "&lt;"&amp;AW1)</f>
        <v>16719</v>
      </c>
      <c r="AW11" s="141">
        <f>SUMIFS('Expenditure Breakdown'!$Q$6:$Q$447, 'Expenditure Breakdown'!$W$6:$W$447, "&gt;="&amp;AW1,'Expenditure Breakdown'!$W$6:$W$447, "&lt;"&amp;AX1)</f>
        <v>0</v>
      </c>
      <c r="AX11" s="141">
        <f>SUMIFS('Expenditure Breakdown'!$Q$6:$Q$447, 'Expenditure Breakdown'!$W$6:$W$447, "&gt;="&amp;AX1,'Expenditure Breakdown'!$W$6:$W$447, "&lt;"&amp;AY1)</f>
        <v>4895141.928634299</v>
      </c>
      <c r="AY11" s="141">
        <f>SUMIFS('Expenditure Breakdown'!$Q$6:$Q$447, 'Expenditure Breakdown'!$W$6:$W$447, "&gt;="&amp;AY1,'Expenditure Breakdown'!$W$6:$W$447, "&lt;"&amp;AZ1)</f>
        <v>450963.72</v>
      </c>
      <c r="AZ11" s="141">
        <f>SUMIFS('Expenditure Breakdown'!$Q$6:$Q$447, 'Expenditure Breakdown'!$W$6:$W$447, "&gt;="&amp;AZ1,'Expenditure Breakdown'!$W$6:$W$447, "&lt;"&amp;BA1)</f>
        <v>161410.04999999999</v>
      </c>
      <c r="BA11" s="141">
        <f>SUMIFS('Expenditure Breakdown'!$Q$6:$Q$447, 'Expenditure Breakdown'!$W$6:$W$447, "&gt;="&amp;BA1,'Expenditure Breakdown'!$W$6:$W$447, "&lt;"&amp;BB1)</f>
        <v>931767.9</v>
      </c>
      <c r="BB11" s="141">
        <f>SUMIFS('Expenditure Breakdown'!$Q$6:$Q$447, 'Expenditure Breakdown'!$W$6:$W$447, "&gt;="&amp;BB1,'Expenditure Breakdown'!$W$6:$W$447, "&lt;"&amp;BC1)</f>
        <v>509318</v>
      </c>
      <c r="BC11" s="141">
        <f>SUMIFS('Expenditure Breakdown'!$Q$6:$Q$447, 'Expenditure Breakdown'!$W$6:$W$447, "&gt;="&amp;BC1,'Expenditure Breakdown'!$W$6:$W$447, "&lt;"&amp;BD1)</f>
        <v>223411</v>
      </c>
      <c r="BD11" s="141">
        <f>SUMIFS('Expenditure Breakdown'!$Q$6:$Q$447, 'Expenditure Breakdown'!$W$6:$W$447, "&gt;="&amp;BD1,'Expenditure Breakdown'!$W$6:$W$447, "&lt;"&amp;BE1)</f>
        <v>2146674.1078260848</v>
      </c>
      <c r="BE11" s="141">
        <f>SUMIFS('Expenditure Breakdown'!$Q$6:$Q$447, 'Expenditure Breakdown'!$W$6:$W$447, "&gt;="&amp;BE1,'Expenditure Breakdown'!$W$6:$W$447, "&lt;"&amp;BF1)</f>
        <v>1131449.1304347827</v>
      </c>
      <c r="BF11" s="141">
        <f>SUMIFS('Expenditure Breakdown'!$Q$6:$Q$447, 'Expenditure Breakdown'!$W$6:$W$447, "&gt;="&amp;BF1,'Expenditure Breakdown'!$W$6:$W$447, "&lt;"&amp;BG1)</f>
        <v>1877737.959</v>
      </c>
      <c r="BG11" s="141">
        <f>SUMIFS('Expenditure Breakdown'!$Q$6:$Q$447, 'Expenditure Breakdown'!$W$6:$W$447, "&gt;="&amp;BG1,'Expenditure Breakdown'!$W$6:$W$447, "&lt;"&amp;BH1)</f>
        <v>3715734.2205652175</v>
      </c>
      <c r="BH11" s="141">
        <f>SUMIFS('Expenditure Breakdown'!$Q$6:$Q$447, 'Expenditure Breakdown'!$W$6:$W$447, "&gt;="&amp;BH1,'Expenditure Breakdown'!$W$6:$W$447, "&lt;"&amp;BI1)</f>
        <v>36574.85</v>
      </c>
      <c r="BI11" s="141">
        <f>SUMIFS('Expenditure Breakdown'!$Q$6:$Q$447, 'Expenditure Breakdown'!$W$6:$W$447, "&gt;="&amp;BI1,'Expenditure Breakdown'!$W$6:$W$447, "&lt;"&amp;BJ1)</f>
        <v>0</v>
      </c>
      <c r="BJ11" s="141">
        <f>SUMIFS('Expenditure Breakdown'!$Q$6:$Q$447, 'Expenditure Breakdown'!$W$6:$W$447, "&gt;="&amp;BJ1,'Expenditure Breakdown'!$W$6:$W$447, "&lt;"&amp;BK1)</f>
        <v>0</v>
      </c>
      <c r="BK11" s="141">
        <f>SUMIFS('Expenditure Breakdown'!$Q$6:$Q$447, 'Expenditure Breakdown'!$W$6:$W$447, "&gt;="&amp;BK1,'Expenditure Breakdown'!$W$6:$W$447, "&lt;"&amp;BL1)</f>
        <v>147133.47999999998</v>
      </c>
      <c r="BL11" s="141">
        <f>SUMIFS('Expenditure Breakdown'!$Q$6:$Q$447, 'Expenditure Breakdown'!$W$6:$W$447, "&gt;="&amp;BL1,'Expenditure Breakdown'!$W$6:$W$447, "&lt;"&amp;BM1)</f>
        <v>71535.34</v>
      </c>
      <c r="BM11" s="141">
        <f>SUMIFS('Expenditure Breakdown'!$Q$6:$Q$447, 'Expenditure Breakdown'!$W$6:$W$447, "&gt;="&amp;BM1,'Expenditure Breakdown'!$W$6:$W$447, "&lt;"&amp;BN1)</f>
        <v>125215.61</v>
      </c>
      <c r="BN11" s="141">
        <f>SUMIFS('Expenditure Breakdown'!$Q$6:$Q$447, 'Expenditure Breakdown'!$W$6:$W$447, "&gt;="&amp;BN1,'Expenditure Breakdown'!$W$6:$W$447, "&lt;"&amp;BO1)</f>
        <v>0</v>
      </c>
      <c r="BO11" s="141">
        <f>SUMIFS('Expenditure Breakdown'!$Q$6:$Q$447, 'Expenditure Breakdown'!$W$6:$W$447, "&gt;="&amp;BO1,'Expenditure Breakdown'!$W$6:$W$447, "&lt;"&amp;BP1)</f>
        <v>104983.66666666667</v>
      </c>
      <c r="BP11" s="141">
        <f>SUMIFS('Expenditure Breakdown'!$Q$6:$Q$447, 'Expenditure Breakdown'!$W$6:$W$447, "&gt;="&amp;BP1,'Expenditure Breakdown'!$W$6:$W$447, "&lt;"&amp;BQ1)</f>
        <v>431321.95</v>
      </c>
      <c r="BQ11" s="141">
        <f>SUMIFS('Expenditure Breakdown'!$Q$6:$Q$447, 'Expenditure Breakdown'!$W$6:$W$447, "&gt;="&amp;BQ1,'Expenditure Breakdown'!$W$6:$W$447, "&lt;"&amp;BR1)</f>
        <v>0</v>
      </c>
      <c r="BR11" s="141">
        <f>SUMIFS('Expenditure Breakdown'!$Q$6:$Q$447, 'Expenditure Breakdown'!$W$6:$W$447, "&gt;="&amp;BR1,'Expenditure Breakdown'!$W$6:$W$447, "&lt;"&amp;BS1)</f>
        <v>200000</v>
      </c>
      <c r="BS11" s="141">
        <f>SUMIFS('Expenditure Breakdown'!$Q$6:$Q$447, 'Expenditure Breakdown'!$W$6:$W$447, "&gt;="&amp;BS1,'Expenditure Breakdown'!$W$6:$W$447, "&lt;"&amp;BT1)</f>
        <v>155157.08695652173</v>
      </c>
      <c r="BT11" s="141">
        <f>SUMIFS('Expenditure Breakdown'!$Q$6:$Q$447, 'Expenditure Breakdown'!$W$6:$W$447, "&gt;="&amp;BT1,'Expenditure Breakdown'!$W$6:$W$447, "&lt;"&amp;BU1)</f>
        <v>574640</v>
      </c>
      <c r="BU11" s="141">
        <f>SUMIFS('Expenditure Breakdown'!$Q$6:$Q$447, 'Expenditure Breakdown'!$W$6:$W$447, "&gt;="&amp;BU1,'Expenditure Breakdown'!$W$6:$W$447, "&lt;"&amp;BV1)</f>
        <v>98286.516666666677</v>
      </c>
      <c r="BV11" s="141">
        <f>SUMIFS('Expenditure Breakdown'!$Q$6:$Q$447, 'Expenditure Breakdown'!$W$6:$W$447, "&gt;="&amp;BV1,'Expenditure Breakdown'!$W$6:$W$447, "&lt;"&amp;BW1)</f>
        <v>0</v>
      </c>
      <c r="BW11" s="141">
        <f>SUMIFS('Expenditure Breakdown'!$Q$6:$Q$447, 'Expenditure Breakdown'!$W$6:$W$447, "&gt;="&amp;BW1,'Expenditure Breakdown'!$W$6:$W$447, "&lt;"&amp;BX1)</f>
        <v>215726.59304347826</v>
      </c>
      <c r="BX11" s="141">
        <f>SUMIFS('Expenditure Breakdown'!$Q$6:$Q$447, 'Expenditure Breakdown'!$W$6:$W$447, "&gt;="&amp;BX1,'Expenditure Breakdown'!$W$6:$W$447, "&lt;"&amp;BY1)</f>
        <v>604826.85666666657</v>
      </c>
      <c r="BY11" s="141">
        <f>SUMIFS('Expenditure Breakdown'!$Q$6:$Q$447, 'Expenditure Breakdown'!$W$6:$W$447, "&gt;="&amp;BY1,'Expenditure Breakdown'!$W$6:$W$447, "&lt;"&amp;BZ1)</f>
        <v>700</v>
      </c>
      <c r="BZ11" s="141">
        <f>SUMIFS('Expenditure Breakdown'!$Q$6:$Q$447, 'Expenditure Breakdown'!$W$6:$W$447, "&gt;="&amp;BZ1,'Expenditure Breakdown'!$W$6:$W$447, "&lt;"&amp;CA1)</f>
        <v>0</v>
      </c>
      <c r="CA11" s="141">
        <f>SUMIFS('Expenditure Breakdown'!$Q$6:$Q$447, 'Expenditure Breakdown'!$W$6:$W$447, "&gt;="&amp;CA1,'Expenditure Breakdown'!$W$6:$W$447, "&lt;"&amp;CB1)</f>
        <v>0</v>
      </c>
      <c r="CB11" s="141">
        <f>SUMIFS('Expenditure Breakdown'!$Q$6:$Q$447, 'Expenditure Breakdown'!$W$6:$W$447, "&gt;="&amp;CB1,'Expenditure Breakdown'!$W$6:$W$447, "&lt;"&amp;CC1)</f>
        <v>0</v>
      </c>
      <c r="CC11" s="141">
        <f>SUMIFS('Expenditure Breakdown'!$Q$6:$Q$447, 'Expenditure Breakdown'!$W$6:$W$447, "&gt;="&amp;CC1,'Expenditure Breakdown'!$W$6:$W$447, "&lt;"&amp;CD1)</f>
        <v>338262.14666666667</v>
      </c>
      <c r="CD11" s="141">
        <f>SUMIFS('Expenditure Breakdown'!$Q$6:$Q$447, 'Expenditure Breakdown'!$W$6:$W$447, "&gt;="&amp;CD1,'Expenditure Breakdown'!$W$6:$W$447, "&lt;"&amp;CE1)</f>
        <v>700</v>
      </c>
      <c r="CE11" s="141">
        <f>SUMIFS('Expenditure Breakdown'!$Q$6:$Q$447, 'Expenditure Breakdown'!$W$6:$W$447, "&gt;="&amp;CE1,'Expenditure Breakdown'!$W$6:$W$447, "&lt;"&amp;CF1)</f>
        <v>0</v>
      </c>
      <c r="CF11" s="141">
        <f>SUMIFS('Expenditure Breakdown'!$Q$6:$Q$447, 'Expenditure Breakdown'!$W$6:$W$447, "&gt;="&amp;CF1,'Expenditure Breakdown'!$W$6:$W$447, "&lt;"&amp;CG1)</f>
        <v>0</v>
      </c>
      <c r="CG11" s="141">
        <f>SUMIFS('Expenditure Breakdown'!$Q$6:$Q$447, 'Expenditure Breakdown'!$W$6:$W$447, "&gt;="&amp;CG1,'Expenditure Breakdown'!$W$6:$W$447, "&lt;"&amp;CH1)</f>
        <v>604245.66666666663</v>
      </c>
      <c r="CH11" s="141">
        <f>SUMIFS('Expenditure Breakdown'!$Q$6:$Q$447, 'Expenditure Breakdown'!$W$6:$W$447, "&gt;="&amp;CH1,'Expenditure Breakdown'!$W$6:$W$447, "&lt;"&amp;CI1)</f>
        <v>700</v>
      </c>
      <c r="CI11" s="141">
        <f>SUMIFS('Expenditure Breakdown'!$Q$6:$Q$447, 'Expenditure Breakdown'!$W$6:$W$447, "&gt;="&amp;CI1,'Expenditure Breakdown'!$W$6:$W$447, "&lt;"&amp;CJ1)</f>
        <v>0</v>
      </c>
      <c r="CJ11" s="141">
        <f>SUMIFS('Expenditure Breakdown'!$Q$6:$Q$447, 'Expenditure Breakdown'!$W$6:$W$447, "&gt;="&amp;CJ1,'Expenditure Breakdown'!$W$6:$W$447, "&lt;"&amp;CK1)</f>
        <v>0</v>
      </c>
      <c r="CK11" s="141">
        <f>SUMIFS('Expenditure Breakdown'!$Q$6:$Q$447, 'Expenditure Breakdown'!$W$6:$W$447, "&gt;="&amp;CK1,'Expenditure Breakdown'!$W$6:$W$447, "&lt;"&amp;CL1)</f>
        <v>0</v>
      </c>
      <c r="CL11" s="141">
        <f>SUMIFS('Expenditure Breakdown'!$Q$6:$Q$447, 'Expenditure Breakdown'!$W$6:$W$447, "&gt;="&amp;CL1,'Expenditure Breakdown'!$W$6:$W$447, "&lt;"&amp;CM1)</f>
        <v>82140.666666666672</v>
      </c>
      <c r="CM11" s="141">
        <f>SUMIFS('Expenditure Breakdown'!$Q$6:$Q$447, 'Expenditure Breakdown'!$W$6:$W$447, "&gt;="&amp;CM1,'Expenditure Breakdown'!$W$6:$W$447, "&lt;"&amp;CN1)</f>
        <v>71895.600000000006</v>
      </c>
      <c r="CN11" s="141">
        <f>SUMIFS('Expenditure Breakdown'!$Q$6:$Q$447, 'Expenditure Breakdown'!$W$6:$W$447, "&gt;="&amp;CN1,'Expenditure Breakdown'!$W$6:$W$447, "&lt;"&amp;CO1)</f>
        <v>0</v>
      </c>
      <c r="CO11" s="141">
        <f>SUMIFS('Expenditure Breakdown'!$Q$6:$Q$447, 'Expenditure Breakdown'!$W$6:$W$447, "&gt;="&amp;CO1,'Expenditure Breakdown'!$W$6:$W$447, "&lt;"&amp;CP1)</f>
        <v>0</v>
      </c>
      <c r="CP11" s="141">
        <f>SUMIFS('Expenditure Breakdown'!$Q$6:$Q$447, 'Expenditure Breakdown'!$W$6:$W$447, "&gt;="&amp;CP1,'Expenditure Breakdown'!$W$6:$W$447, "&lt;"&amp;CQ1)</f>
        <v>82140.666666666672</v>
      </c>
      <c r="CQ11" s="141">
        <f>SUMIFS('Expenditure Breakdown'!$Q$6:$Q$447, 'Expenditure Breakdown'!$W$6:$W$447, "&gt;="&amp;CQ1,'Expenditure Breakdown'!$W$6:$W$447, "&lt;"&amp;CR1)</f>
        <v>0</v>
      </c>
      <c r="CR11" s="141">
        <f>SUMIFS('Expenditure Breakdown'!$Q$6:$Q$447, 'Expenditure Breakdown'!$W$6:$W$447, "&gt;="&amp;CR1,'Expenditure Breakdown'!$W$6:$W$447, "&lt;"&amp;CS1)</f>
        <v>0</v>
      </c>
      <c r="CS11" s="141">
        <f>SUMIFS('Expenditure Breakdown'!$Q$6:$Q$447, 'Expenditure Breakdown'!$W$6:$W$447, "&gt;="&amp;CS1,'Expenditure Breakdown'!$W$6:$W$447, "&lt;"&amp;CT1)</f>
        <v>0</v>
      </c>
      <c r="CT11" s="141">
        <f>SUMIFS('Expenditure Breakdown'!$Q$6:$Q$447, 'Expenditure Breakdown'!$W$6:$W$447, "&gt;="&amp;CT1,'Expenditure Breakdown'!$W$6:$W$447, "&lt;"&amp;CU1)</f>
        <v>82140.666666666672</v>
      </c>
      <c r="CU11" s="141">
        <f>SUMIFS('Expenditure Breakdown'!$Q$6:$Q$447, 'Expenditure Breakdown'!$W$6:$W$447, "&gt;="&amp;CU1,'Expenditure Breakdown'!$W$6:$W$447, "&lt;"&amp;CV1)</f>
        <v>0</v>
      </c>
      <c r="CV11" s="141">
        <f>SUMIFS('Expenditure Breakdown'!$Q$6:$Q$447, 'Expenditure Breakdown'!$W$6:$W$447, "&gt;="&amp;CV1,'Expenditure Breakdown'!$W$6:$W$447, "&lt;"&amp;CW1)</f>
        <v>0</v>
      </c>
      <c r="CW11" s="141">
        <f>SUMIFS('Expenditure Breakdown'!$Q$6:$Q$447, 'Expenditure Breakdown'!$W$6:$W$447, "&gt;="&amp;CW1,'Expenditure Breakdown'!$W$6:$W$447, "&lt;"&amp;CX1)</f>
        <v>0</v>
      </c>
      <c r="CX11" s="141">
        <f>SUMIFS('Expenditure Breakdown'!$Q$6:$Q$447, 'Expenditure Breakdown'!$W$6:$W$447, "&gt;="&amp;CX1,'Expenditure Breakdown'!$W$6:$W$447, "&lt;"&amp;CY1)</f>
        <v>0</v>
      </c>
      <c r="CY11" s="141">
        <f>SUMIFS('Expenditure Breakdown'!$Q$6:$Q$447, 'Expenditure Breakdown'!$W$6:$W$447, "&gt;="&amp;CY1,'Expenditure Breakdown'!$W$6:$W$447, "&lt;"&amp;CZ1)</f>
        <v>382140.66666666669</v>
      </c>
      <c r="CZ11" s="141">
        <f>SUMIFS('Expenditure Breakdown'!$Q$6:$Q$447, 'Expenditure Breakdown'!$W$6:$W$447, "&gt;="&amp;CZ1,'Expenditure Breakdown'!$W$6:$W$447, "&lt;"&amp;DA1)</f>
        <v>0</v>
      </c>
      <c r="DA11" s="141">
        <f>SUMIFS('Expenditure Breakdown'!$Q$6:$Q$447, 'Expenditure Breakdown'!$W$6:$W$447, "&gt;="&amp;DA1,'Expenditure Breakdown'!$W$6:$W$447, "&lt;"&amp;DB1)</f>
        <v>0</v>
      </c>
      <c r="DB11" s="141">
        <f>SUMIFS('Expenditure Breakdown'!$Q$6:$Q$447, 'Expenditure Breakdown'!$W$6:$W$447, "&gt;="&amp;DB1,'Expenditure Breakdown'!$W$6:$W$447, "&lt;"&amp;DC1)</f>
        <v>0</v>
      </c>
      <c r="DC11" s="141">
        <f>SUMIFS('Expenditure Breakdown'!$Q$6:$Q$447, 'Expenditure Breakdown'!$W$6:$W$447, "&gt;="&amp;DC1,'Expenditure Breakdown'!$W$6:$W$447, "&lt;"&amp;DD1)</f>
        <v>82140.666666666672</v>
      </c>
      <c r="DD11" s="141">
        <f>SUMIFS('Expenditure Breakdown'!$Q$6:$Q$447, 'Expenditure Breakdown'!$W$6:$W$447, "&gt;="&amp;DD1,'Expenditure Breakdown'!$W$6:$W$447, "&lt;"&amp;DE1)</f>
        <v>0</v>
      </c>
      <c r="DE11" s="141">
        <f>SUMIFS('Expenditure Breakdown'!$Q$6:$Q$447, 'Expenditure Breakdown'!$W$6:$W$447, "&gt;="&amp;DE1,'Expenditure Breakdown'!$W$6:$W$447, "&lt;"&amp;DF1)</f>
        <v>0</v>
      </c>
      <c r="DF11" s="141">
        <f>SUMIFS('Expenditure Breakdown'!$Q$6:$Q$447, 'Expenditure Breakdown'!$W$6:$W$447, "&gt;="&amp;DF1,'Expenditure Breakdown'!$W$6:$W$447, "&lt;"&amp;DG1)</f>
        <v>0</v>
      </c>
      <c r="DG11" s="141">
        <f>SUMIFS('Expenditure Breakdown'!$Q$6:$Q$447, 'Expenditure Breakdown'!$W$6:$W$447, "&gt;="&amp;DG1,'Expenditure Breakdown'!$W$6:$W$447, "&lt;"&amp;DH1)</f>
        <v>82140.666666666672</v>
      </c>
      <c r="DH11" s="141">
        <f>SUMIFS('Expenditure Breakdown'!$Q$6:$Q$447, 'Expenditure Breakdown'!$W$6:$W$447, "&gt;="&amp;DH1,'Expenditure Breakdown'!$W$6:$W$447, "&lt;"&amp;DI1)</f>
        <v>0</v>
      </c>
      <c r="DI11" s="141">
        <f>SUMIFS('Expenditure Breakdown'!$Q$6:$Q$447, 'Expenditure Breakdown'!$W$6:$W$447, "&gt;="&amp;DI1,'Expenditure Breakdown'!$W$6:$W$447, "&lt;"&amp;DJ1)</f>
        <v>0</v>
      </c>
      <c r="DJ11" s="141">
        <f>SUMIFS('Expenditure Breakdown'!$Q$6:$Q$447, 'Expenditure Breakdown'!$W$6:$W$447, "&gt;="&amp;DJ1,'Expenditure Breakdown'!$W$6:$W$447, "&lt;"&amp;DK1)</f>
        <v>0</v>
      </c>
      <c r="DK11" s="141">
        <f>SUMIFS('Expenditure Breakdown'!$Q$6:$Q$447, 'Expenditure Breakdown'!$W$6:$W$447, "&gt;="&amp;DK1,'Expenditure Breakdown'!$W$6:$W$447, "&lt;"&amp;DL1)</f>
        <v>82140.666666666672</v>
      </c>
      <c r="DL11" s="141">
        <f>SUMIFS('Expenditure Breakdown'!$Q$6:$Q$447, 'Expenditure Breakdown'!$W$6:$W$447, "&gt;="&amp;DL1,'Expenditure Breakdown'!$W$6:$W$447, "&lt;"&amp;DM1)</f>
        <v>0</v>
      </c>
      <c r="DM11" s="141">
        <f>SUMIFS('Expenditure Breakdown'!$Q$6:$Q$447, 'Expenditure Breakdown'!$W$6:$W$447, "&gt;="&amp;DM1,'Expenditure Breakdown'!$W$6:$W$447, "&lt;"&amp;DN1)</f>
        <v>0</v>
      </c>
      <c r="DN11" s="141">
        <f>SUMIFS('Expenditure Breakdown'!$Q$6:$Q$447, 'Expenditure Breakdown'!$W$6:$W$447, "&gt;="&amp;DN1,'Expenditure Breakdown'!$W$6:$W$447, "&lt;"&amp;DO1)</f>
        <v>0</v>
      </c>
      <c r="DO11" s="141">
        <f>SUMIFS('Expenditure Breakdown'!$Q$6:$Q$447, 'Expenditure Breakdown'!$W$6:$W$447, "&gt;="&amp;DO1,'Expenditure Breakdown'!$W$6:$W$447, "&lt;"&amp;DP1)</f>
        <v>0</v>
      </c>
      <c r="DP11" s="141">
        <f>SUMIFS('Expenditure Breakdown'!$Q$6:$Q$447, 'Expenditure Breakdown'!$W$6:$W$447, "&gt;="&amp;DP1,'Expenditure Breakdown'!$W$6:$W$447, "&lt;"&amp;DQ1)</f>
        <v>0</v>
      </c>
      <c r="DQ11" s="141">
        <f>SUMIFS('Expenditure Breakdown'!$Q$6:$Q$447, 'Expenditure Breakdown'!$W$6:$W$447, "&gt;="&amp;DQ1,'Expenditure Breakdown'!$W$6:$W$447, "&lt;"&amp;DR1)</f>
        <v>0</v>
      </c>
      <c r="DR11" s="141">
        <f>SUMIFS('Expenditure Breakdown'!$Q$6:$Q$447, 'Expenditure Breakdown'!$W$6:$W$447, "&gt;="&amp;DR1,'Expenditure Breakdown'!$W$6:$W$447, "&lt;"&amp;DS1)</f>
        <v>0</v>
      </c>
      <c r="DS11" s="141">
        <f>SUMIFS('Expenditure Breakdown'!$Q$6:$Q$447, 'Expenditure Breakdown'!$W$6:$W$447, "&gt;="&amp;DS1,'Expenditure Breakdown'!$W$6:$W$447, "&lt;"&amp;DT1)</f>
        <v>0</v>
      </c>
      <c r="DT11" s="141">
        <f>SUMIFS('Expenditure Breakdown'!$Q$6:$Q$447, 'Expenditure Breakdown'!$W$6:$W$447, "&gt;="&amp;DT1,'Expenditure Breakdown'!$W$6:$W$447, "&lt;"&amp;DU1)</f>
        <v>0</v>
      </c>
      <c r="DU11" s="141">
        <f>SUMIFS('Expenditure Breakdown'!$Q$6:$Q$447, 'Expenditure Breakdown'!$W$6:$W$447, "&gt;="&amp;DU1,'Expenditure Breakdown'!$W$6:$W$447, "&lt;"&amp;DV1)</f>
        <v>0</v>
      </c>
      <c r="DV11" s="141">
        <f>SUMIFS('Expenditure Breakdown'!$Q$6:$Q$447, 'Expenditure Breakdown'!$W$6:$W$447, "&gt;="&amp;DV1,'Expenditure Breakdown'!$W$6:$W$447, "&lt;"&amp;DW1)</f>
        <v>0</v>
      </c>
      <c r="DW11" s="141">
        <f>SUMIFS('Expenditure Breakdown'!$Q$6:$Q$447, 'Expenditure Breakdown'!$W$6:$W$447, "&gt;="&amp;DW1,'Expenditure Breakdown'!$W$6:$W$447, "&lt;"&amp;DX1)</f>
        <v>0</v>
      </c>
      <c r="DX11" s="141">
        <f>SUMIFS('Expenditure Breakdown'!$Q$6:$Q$447, 'Expenditure Breakdown'!$W$6:$W$447, "&gt;="&amp;DX1,'Expenditure Breakdown'!$W$6:$W$447, "&lt;"&amp;DY1)</f>
        <v>0</v>
      </c>
      <c r="DY11" s="141">
        <f>SUMIFS('Expenditure Breakdown'!$Q$6:$Q$447, 'Expenditure Breakdown'!$W$6:$W$447, "&gt;="&amp;DY1,'Expenditure Breakdown'!$W$6:$W$447, "&lt;"&amp;DZ1)</f>
        <v>0</v>
      </c>
      <c r="DZ11" s="141">
        <f>SUMIFS('Expenditure Breakdown'!$Q$6:$Q$447, 'Expenditure Breakdown'!$W$6:$W$447, "&gt;="&amp;DZ1,'Expenditure Breakdown'!$W$6:$W$447, "&lt;"&amp;EA1)</f>
        <v>0</v>
      </c>
      <c r="EA11" s="141">
        <f>SUMIFS('Expenditure Breakdown'!$Q$6:$Q$447, 'Expenditure Breakdown'!$W$6:$W$447, "&gt;="&amp;EA1,'Expenditure Breakdown'!$W$6:$W$447, "&lt;"&amp;EB1)</f>
        <v>0</v>
      </c>
      <c r="EB11" s="141">
        <f>SUMIFS('Expenditure Breakdown'!$Q$6:$Q$447, 'Expenditure Breakdown'!$W$6:$W$447, "&gt;="&amp;EB1,'Expenditure Breakdown'!$W$6:$W$447, "&lt;"&amp;EC1)</f>
        <v>0</v>
      </c>
      <c r="EC11" s="141">
        <f>SUMIFS('Expenditure Breakdown'!$Q$6:$Q$447, 'Expenditure Breakdown'!$W$6:$W$447, "&gt;="&amp;EC1,'Expenditure Breakdown'!$W$6:$W$447, "&lt;"&amp;ED1)</f>
        <v>0</v>
      </c>
      <c r="ED11" s="141">
        <f>SUMIFS('Expenditure Breakdown'!$Q$6:$Q$447, 'Expenditure Breakdown'!$W$6:$W$447, "&gt;="&amp;ED1,'Expenditure Breakdown'!$W$6:$W$447, "&lt;"&amp;EE1)</f>
        <v>0</v>
      </c>
      <c r="EE11" s="141">
        <f>SUMIFS('Expenditure Breakdown'!$Q$6:$Q$447, 'Expenditure Breakdown'!$W$6:$W$447, "&gt;="&amp;EE1,'Expenditure Breakdown'!$W$6:$W$447, "&lt;"&amp;EF1)</f>
        <v>0</v>
      </c>
      <c r="EF11" s="141">
        <f>SUMIFS('Expenditure Breakdown'!$Q$6:$Q$447, 'Expenditure Breakdown'!$W$6:$W$447, "&gt;="&amp;EF1,'Expenditure Breakdown'!$W$6:$W$447, "&lt;"&amp;EG1)</f>
        <v>0</v>
      </c>
      <c r="EG11" s="141">
        <f>SUMIFS('Expenditure Breakdown'!$Q$6:$Q$447, 'Expenditure Breakdown'!$W$6:$W$447, "&gt;="&amp;EG1,'Expenditure Breakdown'!$W$6:$W$447, "&lt;"&amp;EH1)</f>
        <v>0</v>
      </c>
      <c r="EH11" s="141">
        <f>SUMIFS('Expenditure Breakdown'!$Q$6:$Q$447, 'Expenditure Breakdown'!$W$6:$W$447, "&gt;="&amp;EH1,'Expenditure Breakdown'!$W$6:$W$447, "&lt;"&amp;EI1)</f>
        <v>0</v>
      </c>
      <c r="EI11" s="141">
        <f>SUMIFS('Expenditure Breakdown'!$Q$6:$Q$447, 'Expenditure Breakdown'!$W$6:$W$447, "&gt;="&amp;EI1,'Expenditure Breakdown'!$W$6:$W$447, "&lt;"&amp;EJ1)</f>
        <v>0</v>
      </c>
      <c r="EJ11" s="141">
        <f>SUMIFS('Expenditure Breakdown'!$Q$6:$Q$447, 'Expenditure Breakdown'!$W$6:$W$447, "&gt;="&amp;EJ1,'Expenditure Breakdown'!$W$6:$W$447, "&lt;"&amp;EK1)</f>
        <v>0</v>
      </c>
      <c r="EK11" s="141">
        <f>SUMIFS('Expenditure Breakdown'!$Q$6:$Q$447, 'Expenditure Breakdown'!$W$6:$W$447, "&gt;="&amp;EK1,'Expenditure Breakdown'!$W$6:$W$447, "&lt;"&amp;EL1)</f>
        <v>0</v>
      </c>
      <c r="EL11" s="141">
        <f>SUMIFS('Expenditure Breakdown'!$Q$6:$Q$447, 'Expenditure Breakdown'!$W$6:$W$447, "&gt;="&amp;EL1,'Expenditure Breakdown'!$W$6:$W$447, "&lt;"&amp;EM1)</f>
        <v>0</v>
      </c>
      <c r="EM11" s="141">
        <f>SUMIFS('Expenditure Breakdown'!$Q$6:$Q$447, 'Expenditure Breakdown'!$W$6:$W$447, "&gt;="&amp;EM1,'Expenditure Breakdown'!$W$6:$W$447, "&lt;"&amp;EN1)</f>
        <v>0</v>
      </c>
      <c r="EN11" s="141">
        <f>SUMIFS('Expenditure Breakdown'!$Q$6:$Q$447, 'Expenditure Breakdown'!$W$6:$W$447, "&gt;="&amp;EN1,'Expenditure Breakdown'!$W$6:$W$447, "&lt;"&amp;EO1)</f>
        <v>0</v>
      </c>
      <c r="EO11" s="141">
        <f>SUMIFS('Expenditure Breakdown'!$Q$6:$Q$447, 'Expenditure Breakdown'!$W$6:$W$447, "&gt;="&amp;EO1,'Expenditure Breakdown'!$W$6:$W$447, "&lt;"&amp;EP1)</f>
        <v>0</v>
      </c>
      <c r="EP11" s="141">
        <f>SUMIFS('Expenditure Breakdown'!$Q$6:$Q$447, 'Expenditure Breakdown'!$W$6:$W$447, "&gt;="&amp;EP1,'Expenditure Breakdown'!$W$6:$W$447, "&lt;"&amp;EQ1)</f>
        <v>0</v>
      </c>
      <c r="EQ11" s="141">
        <f>SUMIFS('Expenditure Breakdown'!$Q$6:$Q$447, 'Expenditure Breakdown'!$W$6:$W$447, "&gt;="&amp;EQ1,'Expenditure Breakdown'!$W$6:$W$447, "&lt;"&amp;ER1)</f>
        <v>0</v>
      </c>
      <c r="ER11" s="141">
        <f>SUMIFS('Expenditure Breakdown'!$Q$6:$Q$447, 'Expenditure Breakdown'!$W$6:$W$447, "&gt;="&amp;ER1,'Expenditure Breakdown'!$W$6:$W$447, "&lt;"&amp;ES1)</f>
        <v>0</v>
      </c>
      <c r="ES11" s="141">
        <f>SUMIFS('Expenditure Breakdown'!$Q$6:$Q$447, 'Expenditure Breakdown'!$W$6:$W$447, "&gt;="&amp;ES1,'Expenditure Breakdown'!$W$6:$W$447, "&lt;"&amp;ET1)</f>
        <v>0</v>
      </c>
      <c r="ET11" s="141">
        <f>SUMIFS('Expenditure Breakdown'!$Q$6:$Q$447, 'Expenditure Breakdown'!$W$6:$W$447, "&gt;="&amp;ET1,'Expenditure Breakdown'!$W$6:$W$447, "&lt;"&amp;EU1)</f>
        <v>0</v>
      </c>
      <c r="EU11" s="141">
        <f>SUMIFS('Expenditure Breakdown'!$Q$6:$Q$447, 'Expenditure Breakdown'!$W$6:$W$447, "&gt;="&amp;EU1,'Expenditure Breakdown'!$W$6:$W$447, "&lt;"&amp;EV1)</f>
        <v>0</v>
      </c>
      <c r="EV11" s="141">
        <f>SUMIFS('Expenditure Breakdown'!$Q$6:$Q$447, 'Expenditure Breakdown'!$W$6:$W$447, "&gt;="&amp;EV1,'Expenditure Breakdown'!$W$6:$W$447, "&lt;"&amp;EW1)</f>
        <v>0</v>
      </c>
      <c r="EW11" s="141">
        <f>SUMIFS('Expenditure Breakdown'!$Q$6:$Q$447, 'Expenditure Breakdown'!$W$6:$W$447, "&gt;="&amp;EW1,'Expenditure Breakdown'!$W$6:$W$447, "&lt;"&amp;EX1)</f>
        <v>0</v>
      </c>
      <c r="EX11" s="141">
        <f>SUMIFS('Expenditure Breakdown'!$Q$6:$Q$447, 'Expenditure Breakdown'!$W$6:$W$447, "&gt;="&amp;EX1,'Expenditure Breakdown'!$W$6:$W$447, "&lt;"&amp;EY1)</f>
        <v>0</v>
      </c>
      <c r="EY11" s="141">
        <f>SUMIFS('Expenditure Breakdown'!$Q$6:$Q$447, 'Expenditure Breakdown'!$W$6:$W$447, "&gt;="&amp;EY1,'Expenditure Breakdown'!$W$6:$W$447, "&lt;"&amp;EZ1)</f>
        <v>0</v>
      </c>
      <c r="EZ11" s="141">
        <f>SUMIFS('Expenditure Breakdown'!$Q$6:$Q$447, 'Expenditure Breakdown'!$W$6:$W$447, "&gt;="&amp;EZ1,'Expenditure Breakdown'!$W$6:$W$447, "&lt;"&amp;FA1)</f>
        <v>0</v>
      </c>
      <c r="FA11" s="141">
        <f>SUMIFS('Expenditure Breakdown'!$Q$6:$Q$447, 'Expenditure Breakdown'!$W$6:$W$447, "&gt;="&amp;FA1,'Expenditure Breakdown'!$W$6:$W$447, "&lt;"&amp;FB1)</f>
        <v>0</v>
      </c>
      <c r="FB11" s="141">
        <f>SUMIFS('Expenditure Breakdown'!$Q$6:$Q$447, 'Expenditure Breakdown'!$W$6:$W$447, "&gt;="&amp;FB1,'Expenditure Breakdown'!$W$6:$W$447, "&lt;"&amp;FC1)</f>
        <v>0</v>
      </c>
      <c r="FC11" s="141">
        <f>SUMIFS('Expenditure Breakdown'!$Q$6:$Q$447, 'Expenditure Breakdown'!$W$6:$W$447, "&gt;="&amp;FC1,'Expenditure Breakdown'!$W$6:$W$447, "&lt;"&amp;FD1)</f>
        <v>0</v>
      </c>
      <c r="FD11" s="141">
        <f>SUMIFS('Expenditure Breakdown'!$Q$6:$Q$447, 'Expenditure Breakdown'!$W$6:$W$447, "&gt;="&amp;FD1,'Expenditure Breakdown'!$W$6:$W$447, "&lt;"&amp;FE1)</f>
        <v>0</v>
      </c>
      <c r="FE11" s="141">
        <f>SUMIFS('Expenditure Breakdown'!$Q$6:$Q$447, 'Expenditure Breakdown'!$W$6:$W$447, "&gt;="&amp;FE1,'Expenditure Breakdown'!$W$6:$W$447, "&lt;"&amp;FF1)</f>
        <v>0</v>
      </c>
      <c r="FF11" s="141">
        <f>SUMIFS('Expenditure Breakdown'!$Q$6:$Q$447, 'Expenditure Breakdown'!$W$6:$W$447, "&gt;="&amp;FF1,'Expenditure Breakdown'!$W$6:$W$447, "&lt;"&amp;FG1)</f>
        <v>0</v>
      </c>
      <c r="FG11" s="141">
        <f>SUMIFS('Expenditure Breakdown'!$Q$6:$Q$447, 'Expenditure Breakdown'!$W$6:$W$447, "&gt;="&amp;FG1,'Expenditure Breakdown'!$W$6:$W$447, "&lt;"&amp;FH1)</f>
        <v>0</v>
      </c>
      <c r="FH11" s="141">
        <f>SUMIFS('Expenditure Breakdown'!$Q$6:$Q$447, 'Expenditure Breakdown'!$W$6:$W$447, "&gt;="&amp;FH1,'Expenditure Breakdown'!$W$6:$W$447, "&lt;"&amp;FI1)</f>
        <v>0</v>
      </c>
      <c r="FI11" s="141">
        <f>SUMIFS('Expenditure Breakdown'!$Q$6:$Q$447, 'Expenditure Breakdown'!$W$6:$W$447, "&gt;="&amp;FI1,'Expenditure Breakdown'!$W$6:$W$447, "&lt;"&amp;FJ1)</f>
        <v>0</v>
      </c>
      <c r="FJ11" s="141">
        <f>SUMIFS('Expenditure Breakdown'!$Q$6:$Q$447, 'Expenditure Breakdown'!$W$6:$W$447, "&gt;="&amp;FJ1,'Expenditure Breakdown'!$W$6:$W$447, "&lt;"&amp;FK1)</f>
        <v>0</v>
      </c>
      <c r="FK11" s="141">
        <f>SUMIFS('Expenditure Breakdown'!$Q$6:$Q$447, 'Expenditure Breakdown'!$W$6:$W$447, "&gt;="&amp;FK1,'Expenditure Breakdown'!$W$6:$W$447, "&lt;"&amp;FL1)</f>
        <v>0</v>
      </c>
      <c r="FL11" s="141">
        <f>SUMIFS('Expenditure Breakdown'!$Q$6:$Q$447, 'Expenditure Breakdown'!$W$6:$W$447, "&gt;="&amp;FL1,'Expenditure Breakdown'!$W$6:$W$447, "&lt;"&amp;FM1)</f>
        <v>0</v>
      </c>
      <c r="FM11" s="141">
        <f>SUMIFS('Expenditure Breakdown'!$Q$6:$Q$447, 'Expenditure Breakdown'!$W$6:$W$447, "&gt;="&amp;FM1,'Expenditure Breakdown'!$W$6:$W$447, "&lt;"&amp;FN1)</f>
        <v>0</v>
      </c>
      <c r="FN11" s="141">
        <f>SUMIFS('Expenditure Breakdown'!$Q$6:$Q$447, 'Expenditure Breakdown'!$W$6:$W$447, "&gt;="&amp;FN1,'Expenditure Breakdown'!$W$6:$W$447, "&lt;"&amp;FO1)</f>
        <v>0</v>
      </c>
      <c r="FO11" s="141">
        <f>SUMIFS('Expenditure Breakdown'!$Q$6:$Q$447, 'Expenditure Breakdown'!$W$6:$W$447, "&gt;="&amp;FO1,'Expenditure Breakdown'!$W$6:$W$447, "&lt;"&amp;FP1)</f>
        <v>0</v>
      </c>
      <c r="FP11" s="141">
        <f>SUMIFS('Expenditure Breakdown'!$Q$6:$Q$447, 'Expenditure Breakdown'!$W$6:$W$447, "&gt;="&amp;FP1,'Expenditure Breakdown'!$W$6:$W$447, "&lt;"&amp;FQ1)</f>
        <v>0</v>
      </c>
      <c r="FQ11" s="141">
        <f>SUMIFS('Expenditure Breakdown'!$Q$6:$Q$447, 'Expenditure Breakdown'!$W$6:$W$447, "&gt;="&amp;FQ1,'Expenditure Breakdown'!$W$6:$W$447, "&lt;"&amp;FR1)</f>
        <v>0</v>
      </c>
      <c r="FR11" s="141">
        <f>SUMIFS('Expenditure Breakdown'!$Q$6:$Q$447, 'Expenditure Breakdown'!$W$6:$W$447, "&gt;="&amp;FR1,'Expenditure Breakdown'!$W$6:$W$447, "&lt;"&amp;FS1)</f>
        <v>0</v>
      </c>
      <c r="FS11" s="141">
        <f>SUMIFS('Expenditure Breakdown'!$Q$6:$Q$447, 'Expenditure Breakdown'!$W$6:$W$447, "&gt;="&amp;FS1,'Expenditure Breakdown'!$W$6:$W$447, "&lt;"&amp;FT1)</f>
        <v>0</v>
      </c>
      <c r="FT11" s="141">
        <f>SUMIFS('Expenditure Breakdown'!$Q$6:$Q$447, 'Expenditure Breakdown'!$W$6:$W$447, "&gt;="&amp;FT1,'Expenditure Breakdown'!$W$6:$W$447, "&lt;"&amp;FU1)</f>
        <v>0</v>
      </c>
      <c r="FU11" s="141">
        <f>SUMIFS('Expenditure Breakdown'!$Q$6:$Q$447, 'Expenditure Breakdown'!$W$6:$W$447, "&gt;="&amp;FU1,'Expenditure Breakdown'!$W$6:$W$447, "&lt;"&amp;FV1)</f>
        <v>0</v>
      </c>
      <c r="FV11" s="141">
        <f>SUMIFS('Expenditure Breakdown'!$Q$6:$Q$447, 'Expenditure Breakdown'!$W$6:$W$447, "&gt;="&amp;FV1,'Expenditure Breakdown'!$W$6:$W$447, "&lt;"&amp;FW1)</f>
        <v>0</v>
      </c>
      <c r="FW11" s="141">
        <f>SUMIFS('Expenditure Breakdown'!$Q$6:$Q$447, 'Expenditure Breakdown'!$W$6:$W$447, "&gt;="&amp;FW1,'Expenditure Breakdown'!$W$6:$W$447, "&lt;"&amp;FX1)</f>
        <v>0</v>
      </c>
      <c r="FX11" s="141">
        <f>SUMIFS('Expenditure Breakdown'!$Q$6:$Q$447, 'Expenditure Breakdown'!$W$6:$W$447, "&gt;="&amp;FX1,'Expenditure Breakdown'!$W$6:$W$447, "&lt;"&amp;FY1)</f>
        <v>0</v>
      </c>
      <c r="FY11" s="141">
        <f>SUMIFS('Expenditure Breakdown'!$Q$6:$Q$447, 'Expenditure Breakdown'!$W$6:$W$447, "&gt;="&amp;FY1,'Expenditure Breakdown'!$W$6:$W$447, "&lt;"&amp;FZ1)</f>
        <v>0</v>
      </c>
      <c r="FZ11" s="141">
        <f>SUMIFS('Expenditure Breakdown'!$Q$6:$Q$447, 'Expenditure Breakdown'!$W$6:$W$447, "&gt;="&amp;FZ1,'Expenditure Breakdown'!$W$6:$W$447, "&lt;"&amp;GA1)</f>
        <v>0</v>
      </c>
      <c r="GA11" s="141">
        <f>SUMIFS('Expenditure Breakdown'!$Q$6:$Q$447, 'Expenditure Breakdown'!$W$6:$W$447, "&gt;="&amp;GA1,'Expenditure Breakdown'!$W$6:$W$447, "&lt;"&amp;GB1)</f>
        <v>0</v>
      </c>
      <c r="GB11" s="141">
        <f>SUMIFS('Expenditure Breakdown'!$Q$6:$Q$447, 'Expenditure Breakdown'!$W$6:$W$447, "&gt;="&amp;GB1,'Expenditure Breakdown'!$W$6:$W$447, "&lt;"&amp;GC1)</f>
        <v>0</v>
      </c>
      <c r="GC11" s="141">
        <f>SUMIFS('Expenditure Breakdown'!$Q$6:$Q$447, 'Expenditure Breakdown'!$W$6:$W$447, "&gt;="&amp;GC1,'Expenditure Breakdown'!$W$6:$W$447, "&lt;"&amp;GD1)</f>
        <v>0</v>
      </c>
      <c r="GD11" s="141">
        <f>SUMIFS('Expenditure Breakdown'!$Q$6:$Q$447, 'Expenditure Breakdown'!$W$6:$W$447, "&gt;="&amp;GD1,'Expenditure Breakdown'!$W$6:$W$447, "&lt;"&amp;GE1)</f>
        <v>0</v>
      </c>
      <c r="GE11" s="141">
        <f>SUMIFS('Expenditure Breakdown'!$Q$6:$Q$447, 'Expenditure Breakdown'!$W$6:$W$447, "&gt;="&amp;GE1,'Expenditure Breakdown'!$W$6:$W$447, "&lt;"&amp;GF1)</f>
        <v>0</v>
      </c>
      <c r="GF11" s="141">
        <f>SUMIFS('Expenditure Breakdown'!$Q$6:$Q$447, 'Expenditure Breakdown'!$W$6:$W$447, "&gt;="&amp;GF1,'Expenditure Breakdown'!$W$6:$W$447, "&lt;"&amp;GG1)</f>
        <v>0</v>
      </c>
      <c r="GG11" s="141">
        <f>SUMIFS('Expenditure Breakdown'!$Q$6:$Q$447, 'Expenditure Breakdown'!$W$6:$W$447, "&gt;="&amp;GG1,'Expenditure Breakdown'!$W$6:$W$447, "&lt;"&amp;GH1)</f>
        <v>0</v>
      </c>
      <c r="GH11" s="141">
        <f>SUMIFS('Expenditure Breakdown'!$Q$6:$Q$447, 'Expenditure Breakdown'!$W$6:$W$447, "&gt;="&amp;GH1,'Expenditure Breakdown'!$W$6:$W$447, "&lt;"&amp;GI1)</f>
        <v>0</v>
      </c>
      <c r="GI11" s="141">
        <f>SUMIFS('Expenditure Breakdown'!$Q$6:$Q$447, 'Expenditure Breakdown'!$W$6:$W$447, "&gt;="&amp;GI1,'Expenditure Breakdown'!$W$6:$W$447, "&lt;"&amp;GJ1)</f>
        <v>0</v>
      </c>
      <c r="GJ11" s="141">
        <f>SUMIFS('Expenditure Breakdown'!$Q$6:$Q$447, 'Expenditure Breakdown'!$W$6:$W$447, "&gt;="&amp;GJ1,'Expenditure Breakdown'!$W$6:$W$447, "&lt;"&amp;GK1)</f>
        <v>0</v>
      </c>
      <c r="GK11" s="141">
        <f>SUMIFS('Expenditure Breakdown'!$Q$6:$Q$447, 'Expenditure Breakdown'!$W$6:$W$447, "&gt;="&amp;GK1,'Expenditure Breakdown'!$W$6:$W$447, "&lt;"&amp;GL1)</f>
        <v>0</v>
      </c>
      <c r="GL11" s="141">
        <f>SUMIFS('Expenditure Breakdown'!$Q$6:$Q$447, 'Expenditure Breakdown'!$W$6:$W$447, "&gt;="&amp;GL1,'Expenditure Breakdown'!$W$6:$W$447, "&lt;"&amp;GM1)</f>
        <v>0</v>
      </c>
      <c r="GM11" s="141">
        <f>SUMIFS('Expenditure Breakdown'!$Q$6:$Q$447, 'Expenditure Breakdown'!$W$6:$W$447, "&gt;="&amp;GM1,'Expenditure Breakdown'!$W$6:$W$447, "&lt;"&amp;GN1)</f>
        <v>0</v>
      </c>
      <c r="GN11" s="141">
        <f>SUMIFS('Expenditure Breakdown'!$Q$6:$Q$447, 'Expenditure Breakdown'!$W$6:$W$447, "&gt;="&amp;GN1,'Expenditure Breakdown'!$W$6:$W$447, "&lt;"&amp;GO1)</f>
        <v>0</v>
      </c>
      <c r="GO11" s="141">
        <f>SUMIFS('Expenditure Breakdown'!$Q$6:$Q$447, 'Expenditure Breakdown'!$W$6:$W$447, "&gt;="&amp;GO1,'Expenditure Breakdown'!$W$6:$W$447, "&lt;"&amp;GP1)</f>
        <v>0</v>
      </c>
      <c r="GP11" s="141">
        <f>SUMIFS('Expenditure Breakdown'!$Q$6:$Q$447, 'Expenditure Breakdown'!$W$6:$W$447, "&gt;="&amp;GP1,'Expenditure Breakdown'!$W$6:$W$447, "&lt;"&amp;GQ1)</f>
        <v>0</v>
      </c>
      <c r="GQ11" s="141">
        <f>SUMIFS('Expenditure Breakdown'!$Q$6:$Q$447, 'Expenditure Breakdown'!$W$6:$W$447, "&gt;="&amp;GQ1,'Expenditure Breakdown'!$W$6:$W$447, "&lt;"&amp;GR1)</f>
        <v>0</v>
      </c>
      <c r="GR11" s="141">
        <f>SUMIFS('Expenditure Breakdown'!$Q$6:$Q$447, 'Expenditure Breakdown'!$W$6:$W$447, "&gt;="&amp;GR1,'Expenditure Breakdown'!$W$6:$W$447, "&lt;"&amp;GS1)</f>
        <v>0</v>
      </c>
      <c r="GS11" s="141">
        <f>SUMIFS('Expenditure Breakdown'!$Q$6:$Q$447, 'Expenditure Breakdown'!$W$6:$W$447, "&gt;="&amp;GS1,'Expenditure Breakdown'!$W$6:$W$447, "&lt;"&amp;GT1)</f>
        <v>0</v>
      </c>
      <c r="GT11" s="141">
        <f>SUMIFS('Expenditure Breakdown'!$Q$6:$Q$447, 'Expenditure Breakdown'!$W$6:$W$447, "&gt;="&amp;GT1,'Expenditure Breakdown'!$W$6:$W$447, "&lt;"&amp;GU1)</f>
        <v>0</v>
      </c>
      <c r="GU11" s="141">
        <f>SUMIFS('Expenditure Breakdown'!$Q$6:$Q$447, 'Expenditure Breakdown'!$W$6:$W$447, "&gt;="&amp;GU1,'Expenditure Breakdown'!$W$6:$W$447, "&lt;"&amp;GV1)</f>
        <v>0</v>
      </c>
      <c r="GV11" s="141">
        <f>SUMIFS('Expenditure Breakdown'!$Q$6:$Q$447, 'Expenditure Breakdown'!$W$6:$W$447, "&gt;="&amp;GV1,'Expenditure Breakdown'!$W$6:$W$447, "&lt;"&amp;GW1)</f>
        <v>0</v>
      </c>
      <c r="GW11" s="141">
        <f>SUMIFS('Expenditure Breakdown'!$Q$6:$Q$447, 'Expenditure Breakdown'!$W$6:$W$447, "&gt;="&amp;GW1,'Expenditure Breakdown'!$W$6:$W$447, "&lt;"&amp;GX1)</f>
        <v>0</v>
      </c>
      <c r="GX11" s="141">
        <f>SUMIFS('Expenditure Breakdown'!$Q$6:$Q$447, 'Expenditure Breakdown'!$W$6:$W$447, "&gt;="&amp;GX1,'Expenditure Breakdown'!$W$6:$W$447, "&lt;"&amp;GY1)</f>
        <v>0</v>
      </c>
      <c r="GY11" s="141">
        <f>SUMIFS('Expenditure Breakdown'!$Q$6:$Q$447, 'Expenditure Breakdown'!$W$6:$W$447, "&gt;="&amp;GY1,'Expenditure Breakdown'!$W$6:$W$447, "&lt;"&amp;GZ1)</f>
        <v>0</v>
      </c>
      <c r="GZ11" s="141">
        <f>SUMIFS('Expenditure Breakdown'!$Q$6:$Q$447, 'Expenditure Breakdown'!$W$6:$W$447, "&gt;="&amp;GZ1,'Expenditure Breakdown'!$W$6:$W$447, "&lt;"&amp;HA1)</f>
        <v>0</v>
      </c>
      <c r="HA11" s="141">
        <f>SUMIFS('Expenditure Breakdown'!$Q$6:$Q$447, 'Expenditure Breakdown'!$W$6:$W$447, "&gt;="&amp;HA1,'Expenditure Breakdown'!$W$6:$W$447, "&lt;"&amp;HB1)</f>
        <v>0</v>
      </c>
      <c r="HB11" s="141">
        <f>SUMIFS('Expenditure Breakdown'!$Q$6:$Q$447, 'Expenditure Breakdown'!$W$6:$W$447, "&gt;="&amp;HB1,'Expenditure Breakdown'!$W$6:$W$447, "&lt;"&amp;HC1)</f>
        <v>0</v>
      </c>
      <c r="HC11" s="141">
        <f>SUMIFS('Expenditure Breakdown'!$Q$6:$Q$447, 'Expenditure Breakdown'!$W$6:$W$447, "&gt;="&amp;HC1,'Expenditure Breakdown'!$W$6:$W$447, "&lt;"&amp;HD1)</f>
        <v>0</v>
      </c>
      <c r="HD11" s="141">
        <f>SUMIFS('Expenditure Breakdown'!$Q$6:$Q$447, 'Expenditure Breakdown'!$W$6:$W$447, "&gt;="&amp;HD1,'Expenditure Breakdown'!$W$6:$W$447, "&lt;"&amp;HE1)</f>
        <v>0</v>
      </c>
      <c r="HE11" s="141">
        <f>SUMIFS('Expenditure Breakdown'!$Q$6:$Q$447, 'Expenditure Breakdown'!$W$6:$W$447, "&gt;="&amp;HE1,'Expenditure Breakdown'!$W$6:$W$447, "&lt;"&amp;HF1)</f>
        <v>0</v>
      </c>
      <c r="HF11" s="141">
        <f>SUMIFS('Expenditure Breakdown'!$Q$6:$Q$447, 'Expenditure Breakdown'!$W$6:$W$447, "&gt;="&amp;HF1,'Expenditure Breakdown'!$W$6:$W$447, "&lt;"&amp;HG1)</f>
        <v>0</v>
      </c>
      <c r="HG11" s="141">
        <f>SUMIFS('Expenditure Breakdown'!$Q$6:$Q$447, 'Expenditure Breakdown'!$W$6:$W$447, "&gt;="&amp;HG1,'Expenditure Breakdown'!$W$6:$W$447, "&lt;"&amp;HH1)</f>
        <v>0</v>
      </c>
      <c r="HH11" s="141">
        <f>SUMIFS('Expenditure Breakdown'!$Q$6:$Q$447, 'Expenditure Breakdown'!$W$6:$W$447, "&gt;="&amp;HH1,'Expenditure Breakdown'!$W$6:$W$447, "&lt;"&amp;HI1)</f>
        <v>0</v>
      </c>
      <c r="HI11" s="141">
        <f>SUMIFS('Expenditure Breakdown'!$Q$6:$Q$447, 'Expenditure Breakdown'!$W$6:$W$447, "&gt;="&amp;HI1,'Expenditure Breakdown'!$W$6:$W$447, "&lt;"&amp;HJ1)</f>
        <v>0</v>
      </c>
      <c r="HJ11" s="141">
        <f>SUMIFS('Expenditure Breakdown'!$Q$6:$Q$447, 'Expenditure Breakdown'!$W$6:$W$447, "&gt;="&amp;HJ1,'Expenditure Breakdown'!$W$6:$W$447, "&lt;"&amp;HK1)</f>
        <v>0</v>
      </c>
      <c r="HK11" s="141">
        <f>SUMIFS('Expenditure Breakdown'!$Q$6:$Q$447, 'Expenditure Breakdown'!$W$6:$W$447, "&gt;="&amp;HK1,'Expenditure Breakdown'!$W$6:$W$447, "&lt;"&amp;HL1)</f>
        <v>0</v>
      </c>
      <c r="HL11" s="141">
        <f>SUMIFS('Expenditure Breakdown'!$Q$6:$Q$447, 'Expenditure Breakdown'!$W$6:$W$447, "&gt;="&amp;HL1,'Expenditure Breakdown'!$W$6:$W$447, "&lt;"&amp;HM1)</f>
        <v>0</v>
      </c>
      <c r="HM11" s="141">
        <f>SUMIFS('Expenditure Breakdown'!$Q$6:$Q$447, 'Expenditure Breakdown'!$W$6:$W$447, "&gt;="&amp;HM1,'Expenditure Breakdown'!$W$6:$W$447, "&lt;"&amp;HN1)</f>
        <v>0</v>
      </c>
      <c r="HN11" s="141">
        <f>SUMIFS('Expenditure Breakdown'!$Q$6:$Q$447, 'Expenditure Breakdown'!$W$6:$W$447, "&gt;="&amp;HN1,'Expenditure Breakdown'!$W$6:$W$447, "&lt;"&amp;HO1)</f>
        <v>0</v>
      </c>
      <c r="HO11" s="141">
        <f>SUMIFS('Expenditure Breakdown'!$Q$6:$Q$447, 'Expenditure Breakdown'!$W$6:$W$447, "&gt;="&amp;HO1,'Expenditure Breakdown'!$W$6:$W$447, "&lt;"&amp;HP1)</f>
        <v>0</v>
      </c>
      <c r="HP11" s="141">
        <f>SUMIFS('Expenditure Breakdown'!$Q$6:$Q$447, 'Expenditure Breakdown'!$W$6:$W$447, "&gt;="&amp;HP1,'Expenditure Breakdown'!$W$6:$W$447, "&lt;"&amp;HQ1)</f>
        <v>0</v>
      </c>
      <c r="HQ11" s="141">
        <f>SUMIFS('Expenditure Breakdown'!$Q$6:$Q$447, 'Expenditure Breakdown'!$W$6:$W$447, "&gt;="&amp;HQ1,'Expenditure Breakdown'!$W$6:$W$447, "&lt;"&amp;HR1)</f>
        <v>0</v>
      </c>
      <c r="HR11" s="141">
        <f>SUMIFS('Expenditure Breakdown'!$Q$6:$Q$447, 'Expenditure Breakdown'!$W$6:$W$447, "&gt;="&amp;HR1,'Expenditure Breakdown'!$W$6:$W$447, "&lt;"&amp;HS1)</f>
        <v>0</v>
      </c>
      <c r="HS11" s="141">
        <f>SUMIFS('Expenditure Breakdown'!$Q$6:$Q$447, 'Expenditure Breakdown'!$W$6:$W$447, "&gt;="&amp;HS1,'Expenditure Breakdown'!$W$6:$W$447, "&lt;"&amp;HT1)</f>
        <v>0</v>
      </c>
      <c r="HT11" s="141">
        <f>SUMIFS('Expenditure Breakdown'!$Q$6:$Q$447, 'Expenditure Breakdown'!$W$6:$W$447, "&gt;="&amp;HT1,'Expenditure Breakdown'!$W$6:$W$447, "&lt;"&amp;HU1)</f>
        <v>0</v>
      </c>
      <c r="HU11" s="141">
        <f>SUMIFS('Expenditure Breakdown'!$Q$6:$Q$447, 'Expenditure Breakdown'!$W$6:$W$447, "&gt;="&amp;HU1,'Expenditure Breakdown'!$W$6:$W$447, "&lt;"&amp;HV1)</f>
        <v>0</v>
      </c>
      <c r="HV11" s="141">
        <f>SUMIFS('Expenditure Breakdown'!$Q$6:$Q$447, 'Expenditure Breakdown'!$W$6:$W$447, "&gt;="&amp;HV1,'Expenditure Breakdown'!$W$6:$W$447, "&lt;"&amp;HW1)</f>
        <v>0</v>
      </c>
      <c r="HW11" s="141">
        <f>SUMIFS('Expenditure Breakdown'!$Q$6:$Q$447, 'Expenditure Breakdown'!$W$6:$W$447, "&gt;="&amp;HW1,'Expenditure Breakdown'!$W$6:$W$447, "&lt;"&amp;HX1)</f>
        <v>0</v>
      </c>
      <c r="HX11" s="141">
        <f>SUMIFS('Expenditure Breakdown'!$Q$6:$Q$447, 'Expenditure Breakdown'!$W$6:$W$447, "&gt;="&amp;HX1,'Expenditure Breakdown'!$W$6:$W$447, "&lt;"&amp;HY1)</f>
        <v>0</v>
      </c>
      <c r="HY11" s="141">
        <f>SUMIFS('Expenditure Breakdown'!$Q$6:$Q$447, 'Expenditure Breakdown'!$W$6:$W$447, "&gt;="&amp;HY1,'Expenditure Breakdown'!$W$6:$W$447, "&lt;"&amp;HZ1)</f>
        <v>0</v>
      </c>
      <c r="HZ11" s="141">
        <f>SUMIFS('Expenditure Breakdown'!$Q$6:$Q$447, 'Expenditure Breakdown'!$W$6:$W$447, "&gt;="&amp;HZ1,'Expenditure Breakdown'!$W$6:$W$447, "&lt;"&amp;IA1)</f>
        <v>0</v>
      </c>
      <c r="IA11" s="141">
        <f>SUMIFS('Expenditure Breakdown'!$Q$6:$Q$447, 'Expenditure Breakdown'!$W$6:$W$447, "&gt;="&amp;IA1,'Expenditure Breakdown'!$W$6:$W$447, "&lt;"&amp;IB1)</f>
        <v>0</v>
      </c>
      <c r="IB11" s="141">
        <f>SUMIFS('Expenditure Breakdown'!$Q$6:$Q$447, 'Expenditure Breakdown'!$W$6:$W$447, "&gt;="&amp;IB1,'Expenditure Breakdown'!$W$6:$W$447, "&lt;"&amp;IC1)</f>
        <v>0</v>
      </c>
      <c r="IC11" s="141">
        <f>SUMIFS('Expenditure Breakdown'!$Q$6:$Q$447, 'Expenditure Breakdown'!$W$6:$W$447, "&gt;="&amp;IC1,'Expenditure Breakdown'!$W$6:$W$447, "&lt;"&amp;ID1)</f>
        <v>0</v>
      </c>
      <c r="ID11" s="141">
        <f>SUMIFS('Expenditure Breakdown'!$Q$6:$Q$447, 'Expenditure Breakdown'!$W$6:$W$447, "&gt;="&amp;ID1,'Expenditure Breakdown'!$W$6:$W$447, "&lt;"&amp;IE1)</f>
        <v>0</v>
      </c>
      <c r="IE11" s="141">
        <f>SUMIFS('Expenditure Breakdown'!$Q$6:$Q$447, 'Expenditure Breakdown'!$W$6:$W$447, "&gt;="&amp;IE1,'Expenditure Breakdown'!$W$6:$W$447, "&lt;"&amp;IF1)</f>
        <v>0</v>
      </c>
      <c r="IF11" s="141">
        <f>SUMIFS('Expenditure Breakdown'!$Q$6:$Q$447, 'Expenditure Breakdown'!$W$6:$W$447, "&gt;="&amp;IF1,'Expenditure Breakdown'!$W$6:$W$447, "&lt;"&amp;IG1)</f>
        <v>0</v>
      </c>
      <c r="IG11" s="141">
        <f>SUMIFS('Expenditure Breakdown'!$Q$6:$Q$447, 'Expenditure Breakdown'!$W$6:$W$447, "&gt;="&amp;IG1,'Expenditure Breakdown'!$W$6:$W$447, "&lt;"&amp;IH1)</f>
        <v>0</v>
      </c>
      <c r="IH11" s="141">
        <f>SUMIFS('Expenditure Breakdown'!$Q$6:$Q$447, 'Expenditure Breakdown'!$W$6:$W$447, "&gt;="&amp;IH1,'Expenditure Breakdown'!$W$6:$W$447, "&lt;"&amp;II1)</f>
        <v>0</v>
      </c>
      <c r="II11" s="141">
        <f>SUMIFS('Expenditure Breakdown'!$Q$6:$Q$447, 'Expenditure Breakdown'!$W$6:$W$447, "&gt;="&amp;II1,'Expenditure Breakdown'!$W$6:$W$447, "&lt;"&amp;IJ1)</f>
        <v>0</v>
      </c>
      <c r="IJ11" s="141">
        <f>SUMIFS('Expenditure Breakdown'!$Q$6:$Q$447, 'Expenditure Breakdown'!$W$6:$W$447, "&gt;="&amp;IJ1,'Expenditure Breakdown'!$W$6:$W$447, "&lt;"&amp;IK1)</f>
        <v>0</v>
      </c>
      <c r="IK11" s="141">
        <f>SUMIFS('Expenditure Breakdown'!$Q$6:$Q$447, 'Expenditure Breakdown'!$W$6:$W$447, "&gt;="&amp;IK1,'Expenditure Breakdown'!$W$6:$W$447, "&lt;"&amp;IL1)</f>
        <v>0</v>
      </c>
      <c r="IL11" s="141">
        <f>SUMIFS('Expenditure Breakdown'!$Q$6:$Q$447, 'Expenditure Breakdown'!$W$6:$W$447, "&gt;="&amp;IL1,'Expenditure Breakdown'!$W$6:$W$447, "&lt;"&amp;IM1)</f>
        <v>0</v>
      </c>
      <c r="IM11" s="141">
        <f>SUMIFS('Expenditure Breakdown'!$Q$6:$Q$447, 'Expenditure Breakdown'!$W$6:$W$447, "&gt;="&amp;IM1,'Expenditure Breakdown'!$W$6:$W$447, "&lt;"&amp;IN1)</f>
        <v>0</v>
      </c>
      <c r="IN11" s="141">
        <f>SUMIFS('Expenditure Breakdown'!$Q$6:$Q$447, 'Expenditure Breakdown'!$W$6:$W$447, "&gt;="&amp;IN1,'Expenditure Breakdown'!$W$6:$W$447, "&lt;"&amp;IO1)</f>
        <v>0</v>
      </c>
      <c r="IO11" s="141">
        <f>SUMIFS('Expenditure Breakdown'!$Q$6:$Q$447, 'Expenditure Breakdown'!$W$6:$W$447, "&gt;="&amp;IO1,'Expenditure Breakdown'!$W$6:$W$447, "&lt;"&amp;IP1)</f>
        <v>0</v>
      </c>
      <c r="IP11" s="141">
        <f>SUMIFS('Expenditure Breakdown'!$Q$6:$Q$447, 'Expenditure Breakdown'!$W$6:$W$447, "&gt;="&amp;IP1,'Expenditure Breakdown'!$W$6:$W$447, "&lt;"&amp;IQ1)</f>
        <v>0</v>
      </c>
      <c r="IQ11" s="141">
        <f>SUMIFS('Expenditure Breakdown'!$Q$6:$Q$447, 'Expenditure Breakdown'!$W$6:$W$447, "&gt;="&amp;IQ1,'Expenditure Breakdown'!$W$6:$W$447, "&lt;"&amp;IR1)</f>
        <v>0</v>
      </c>
      <c r="IR11" s="141">
        <f>SUMIFS('Expenditure Breakdown'!$Q$6:$Q$447, 'Expenditure Breakdown'!$W$6:$W$447, "&gt;="&amp;IR1,'Expenditure Breakdown'!$W$6:$W$447, "&lt;"&amp;IS1)</f>
        <v>0</v>
      </c>
      <c r="IS11" s="141">
        <f>SUMIFS('Expenditure Breakdown'!$Q$6:$Q$447, 'Expenditure Breakdown'!$W$6:$W$447, "&gt;="&amp;IS1,'Expenditure Breakdown'!$W$6:$W$447, "&lt;"&amp;IT1)</f>
        <v>0</v>
      </c>
      <c r="IT11" s="141">
        <f>SUMIFS('Expenditure Breakdown'!$Q$6:$Q$447, 'Expenditure Breakdown'!$W$6:$W$447, "&gt;="&amp;IT1,'Expenditure Breakdown'!$W$6:$W$447, "&lt;"&amp;IU1)</f>
        <v>0</v>
      </c>
      <c r="IU11" s="141">
        <f>SUMIFS('Expenditure Breakdown'!$Q$6:$Q$447, 'Expenditure Breakdown'!$W$6:$W$447, "&gt;="&amp;IU1,'Expenditure Breakdown'!$W$6:$W$447, "&lt;"&amp;IV1)</f>
        <v>0</v>
      </c>
      <c r="IV11" s="141">
        <f>SUMIFS('Expenditure Breakdown'!$Q$6:$Q$447, 'Expenditure Breakdown'!$W$6:$W$447, "&gt;="&amp;IV1,'Expenditure Breakdown'!$W$6:$W$447, "&lt;"&amp;IW1)</f>
        <v>0</v>
      </c>
      <c r="IW11" s="141">
        <f>SUMIFS('Expenditure Breakdown'!$Q$6:$Q$447, 'Expenditure Breakdown'!$W$6:$W$447, "&gt;="&amp;IW1,'Expenditure Breakdown'!$W$6:$W$447, "&lt;"&amp;IX1)</f>
        <v>0</v>
      </c>
      <c r="IX11" s="141">
        <f>SUMIFS('Expenditure Breakdown'!$Q$6:$Q$447, 'Expenditure Breakdown'!$W$6:$W$447, "&gt;="&amp;IX1,'Expenditure Breakdown'!$W$6:$W$447, "&lt;"&amp;IY1)</f>
        <v>0</v>
      </c>
      <c r="IY11" s="141">
        <f>SUMIFS('Expenditure Breakdown'!$Q$6:$Q$447, 'Expenditure Breakdown'!$W$6:$W$447, "&gt;="&amp;IY1,'Expenditure Breakdown'!$W$6:$W$447, "&lt;"&amp;IZ1)</f>
        <v>0</v>
      </c>
      <c r="IZ11" s="141">
        <f>SUMIFS('Expenditure Breakdown'!$Q$6:$Q$447, 'Expenditure Breakdown'!$W$6:$W$447, "&gt;="&amp;IZ1,'Expenditure Breakdown'!$W$6:$W$447, "&lt;"&amp;JA1)</f>
        <v>0</v>
      </c>
      <c r="JA11" s="141">
        <f>SUMIFS('Expenditure Breakdown'!$Q$6:$Q$447, 'Expenditure Breakdown'!$W$6:$W$447, "&gt;="&amp;JA1,'Expenditure Breakdown'!$W$6:$W$447, "&lt;"&amp;JB1)</f>
        <v>0</v>
      </c>
      <c r="JB11" s="141">
        <f>SUMIFS('Expenditure Breakdown'!$Q$6:$Q$447, 'Expenditure Breakdown'!$W$6:$W$447, "&gt;="&amp;JB1,'Expenditure Breakdown'!$W$6:$W$447, "&lt;"&amp;JC1)</f>
        <v>0</v>
      </c>
      <c r="JC11" s="141">
        <f>SUMIFS('Expenditure Breakdown'!$Q$6:$Q$447, 'Expenditure Breakdown'!$W$6:$W$447, "&gt;="&amp;JC1,'Expenditure Breakdown'!$W$6:$W$447, "&lt;"&amp;JD1)</f>
        <v>0</v>
      </c>
      <c r="JD11" s="141">
        <f>SUMIFS('Expenditure Breakdown'!$Q$6:$Q$447, 'Expenditure Breakdown'!$W$6:$W$447, "&gt;="&amp;JD1,'Expenditure Breakdown'!$W$6:$W$447, "&lt;"&amp;JE1)</f>
        <v>0</v>
      </c>
      <c r="JE11" s="141">
        <f>SUMIFS('Expenditure Breakdown'!$Q$6:$Q$447, 'Expenditure Breakdown'!$W$6:$W$447, "&gt;="&amp;JE1,'Expenditure Breakdown'!$W$6:$W$447, "&lt;"&amp;JF1)</f>
        <v>0</v>
      </c>
      <c r="JF11" s="141">
        <f>SUMIFS('Expenditure Breakdown'!$Q$6:$Q$447, 'Expenditure Breakdown'!$W$6:$W$447, "&gt;="&amp;JF1,'Expenditure Breakdown'!$W$6:$W$447, "&lt;"&amp;JG1)</f>
        <v>0</v>
      </c>
      <c r="JG11" s="141">
        <f>SUMIFS('Expenditure Breakdown'!$Q$6:$Q$447, 'Expenditure Breakdown'!$W$6:$W$447, "&gt;="&amp;JG1,'Expenditure Breakdown'!$W$6:$W$447, "&lt;"&amp;JH1)</f>
        <v>0</v>
      </c>
      <c r="JH11" s="141">
        <f>SUMIFS('Expenditure Breakdown'!$Q$6:$Q$447, 'Expenditure Breakdown'!$W$6:$W$447, "&gt;="&amp;JH1,'Expenditure Breakdown'!$W$6:$W$447, "&lt;"&amp;JI1)</f>
        <v>0</v>
      </c>
      <c r="JI11" s="141">
        <f>SUMIFS('Expenditure Breakdown'!$Q$6:$Q$447, 'Expenditure Breakdown'!$W$6:$W$447, "&gt;="&amp;JI1,'Expenditure Breakdown'!$W$6:$W$447, "&lt;"&amp;JJ1)</f>
        <v>0</v>
      </c>
      <c r="JJ11" s="141">
        <f>SUMIFS('Expenditure Breakdown'!$Q$6:$Q$447, 'Expenditure Breakdown'!$W$6:$W$447, "&gt;="&amp;JJ1,'Expenditure Breakdown'!$W$6:$W$447, "&lt;"&amp;JK1)</f>
        <v>0</v>
      </c>
      <c r="JK11" s="141">
        <f>SUMIFS('Expenditure Breakdown'!$Q$6:$Q$447, 'Expenditure Breakdown'!$W$6:$W$447, "&gt;="&amp;JK1,'Expenditure Breakdown'!$W$6:$W$447, "&lt;"&amp;JL1)</f>
        <v>0</v>
      </c>
      <c r="JL11" s="141">
        <f>SUMIFS('Expenditure Breakdown'!$Q$6:$Q$447, 'Expenditure Breakdown'!$W$6:$W$447, "&gt;="&amp;JL1,'Expenditure Breakdown'!$W$6:$W$447, "&lt;"&amp;JM1)</f>
        <v>0</v>
      </c>
      <c r="JM11" s="141">
        <f>SUMIFS('Expenditure Breakdown'!$Q$6:$Q$447, 'Expenditure Breakdown'!$W$6:$W$447, "&gt;="&amp;JM1,'Expenditure Breakdown'!$W$6:$W$447, "&lt;"&amp;JN1)</f>
        <v>0</v>
      </c>
      <c r="JN11" s="141">
        <f>SUMIFS('Expenditure Breakdown'!$Q$6:$Q$447, 'Expenditure Breakdown'!$W$6:$W$447, "&gt;="&amp;JN1,'Expenditure Breakdown'!$W$6:$W$447, "&lt;"&amp;JO1)</f>
        <v>0</v>
      </c>
      <c r="JO11" s="141">
        <f>SUMIFS('Expenditure Breakdown'!$Q$6:$Q$447, 'Expenditure Breakdown'!$W$6:$W$447, "&gt;="&amp;JO1,'Expenditure Breakdown'!$W$6:$W$447, "&lt;"&amp;JP1)</f>
        <v>0</v>
      </c>
      <c r="JP11" s="141">
        <f>SUMIFS('Expenditure Breakdown'!$Q$6:$Q$447, 'Expenditure Breakdown'!$W$6:$W$447, "&gt;="&amp;JP1,'Expenditure Breakdown'!$W$6:$W$447, "&lt;"&amp;JQ1)</f>
        <v>0</v>
      </c>
      <c r="JQ11" s="141">
        <f>SUMIFS('Expenditure Breakdown'!$Q$6:$Q$447, 'Expenditure Breakdown'!$W$6:$W$447, "&gt;="&amp;JQ1,'Expenditure Breakdown'!$W$6:$W$447, "&lt;"&amp;JR1)</f>
        <v>0</v>
      </c>
      <c r="JR11" s="141">
        <f>SUMIFS('Expenditure Breakdown'!$Q$6:$Q$447, 'Expenditure Breakdown'!$W$6:$W$447, "&gt;="&amp;JR1,'Expenditure Breakdown'!$W$6:$W$447, "&lt;"&amp;JS1)</f>
        <v>0</v>
      </c>
      <c r="JS11" s="141">
        <f>SUMIFS('Expenditure Breakdown'!$Q$6:$Q$447, 'Expenditure Breakdown'!$W$6:$W$447, "&gt;="&amp;JS1,'Expenditure Breakdown'!$W$6:$W$447, "&lt;"&amp;JT1)</f>
        <v>0</v>
      </c>
      <c r="JT11" s="141">
        <f>SUMIFS('Expenditure Breakdown'!$Q$6:$Q$447, 'Expenditure Breakdown'!$W$6:$W$447, "&gt;="&amp;JT1,'Expenditure Breakdown'!$W$6:$W$447, "&lt;"&amp;JU1)</f>
        <v>0</v>
      </c>
      <c r="JU11" s="141">
        <f>SUMIFS('Expenditure Breakdown'!$Q$6:$Q$447, 'Expenditure Breakdown'!$W$6:$W$447, "&gt;="&amp;JU1,'Expenditure Breakdown'!$W$6:$W$447, "&lt;"&amp;JV1)</f>
        <v>0</v>
      </c>
      <c r="JV11" s="141">
        <f>SUMIFS('Expenditure Breakdown'!$Q$6:$Q$447, 'Expenditure Breakdown'!$W$6:$W$447, "&gt;="&amp;JV1,'Expenditure Breakdown'!$W$6:$W$447, "&lt;"&amp;JW1)</f>
        <v>0</v>
      </c>
      <c r="JW11" s="141">
        <f>SUMIFS('Expenditure Breakdown'!$Q$6:$Q$447, 'Expenditure Breakdown'!$W$6:$W$447, "&gt;="&amp;JW1,'Expenditure Breakdown'!$W$6:$W$447, "&lt;"&amp;JX1)</f>
        <v>0</v>
      </c>
      <c r="JX11" s="141">
        <f>SUMIFS('Expenditure Breakdown'!$Q$6:$Q$447, 'Expenditure Breakdown'!$W$6:$W$447, "&gt;="&amp;JX1,'Expenditure Breakdown'!$W$6:$W$447, "&lt;"&amp;JY1)</f>
        <v>0</v>
      </c>
      <c r="JY11" s="141">
        <f>SUMIFS('Expenditure Breakdown'!$Q$6:$Q$447, 'Expenditure Breakdown'!$W$6:$W$447, "&gt;="&amp;JY1,'Expenditure Breakdown'!$W$6:$W$447, "&lt;"&amp;JZ1)</f>
        <v>0</v>
      </c>
      <c r="JZ11" s="141">
        <f>SUMIFS('Expenditure Breakdown'!$Q$6:$Q$447, 'Expenditure Breakdown'!$W$6:$W$447, "&gt;="&amp;JZ1,'Expenditure Breakdown'!$W$6:$W$447, "&lt;"&amp;KA1)</f>
        <v>0</v>
      </c>
      <c r="KA11" s="141">
        <f>SUMIFS('Expenditure Breakdown'!$Q$6:$Q$447, 'Expenditure Breakdown'!$W$6:$W$447, "&gt;="&amp;KA1,'Expenditure Breakdown'!$W$6:$W$447, "&lt;"&amp;KB1)</f>
        <v>0</v>
      </c>
      <c r="KB11" s="141">
        <f>SUMIFS('Expenditure Breakdown'!$Q$6:$Q$447, 'Expenditure Breakdown'!$W$6:$W$447, "&gt;="&amp;KB1,'Expenditure Breakdown'!$W$6:$W$447, "&lt;"&amp;KC1)</f>
        <v>0</v>
      </c>
      <c r="KC11" s="141">
        <f>SUMIFS('Expenditure Breakdown'!$Q$6:$Q$447, 'Expenditure Breakdown'!$W$6:$W$447, "&gt;="&amp;KC1,'Expenditure Breakdown'!$W$6:$W$447, "&lt;"&amp;KD1)</f>
        <v>0</v>
      </c>
      <c r="KD11" s="141">
        <f>SUMIFS('Expenditure Breakdown'!$Q$6:$Q$447, 'Expenditure Breakdown'!$W$6:$W$447, "&gt;="&amp;KD1,'Expenditure Breakdown'!$W$6:$W$447, "&lt;"&amp;KE1)</f>
        <v>0</v>
      </c>
      <c r="KE11" s="141">
        <f>SUMIFS('Expenditure Breakdown'!$Q$6:$Q$447, 'Expenditure Breakdown'!$W$6:$W$447, "&gt;="&amp;KE1,'Expenditure Breakdown'!$W$6:$W$447, "&lt;"&amp;KF1)</f>
        <v>0</v>
      </c>
      <c r="KF11" s="141">
        <f>SUMIFS('Expenditure Breakdown'!$Q$6:$Q$447, 'Expenditure Breakdown'!$W$6:$W$447, "&gt;="&amp;KF1,'Expenditure Breakdown'!$W$6:$W$447, "&lt;"&amp;KG1)</f>
        <v>0</v>
      </c>
      <c r="KG11" s="141">
        <f>SUMIFS('Expenditure Breakdown'!$Q$6:$Q$447, 'Expenditure Breakdown'!$W$6:$W$447, "&gt;="&amp;KG1,'Expenditure Breakdown'!$W$6:$W$447, "&lt;"&amp;KH1)</f>
        <v>0</v>
      </c>
      <c r="KH11" s="141">
        <f>SUMIFS('Expenditure Breakdown'!$Q$6:$Q$447, 'Expenditure Breakdown'!$W$6:$W$447, "&gt;="&amp;KH1,'Expenditure Breakdown'!$W$6:$W$447, "&lt;"&amp;KI1)</f>
        <v>0</v>
      </c>
      <c r="KI11" s="141">
        <f>SUMIFS('Expenditure Breakdown'!$Q$6:$Q$447, 'Expenditure Breakdown'!$W$6:$W$447, "&gt;="&amp;KI1,'Expenditure Breakdown'!$W$6:$W$447, "&lt;"&amp;KJ1)</f>
        <v>0</v>
      </c>
      <c r="KJ11" s="141">
        <f>SUMIFS('Expenditure Breakdown'!$Q$6:$Q$447, 'Expenditure Breakdown'!$W$6:$W$447, "&gt;="&amp;KJ1,'Expenditure Breakdown'!$W$6:$W$447, "&lt;"&amp;KK1)</f>
        <v>0</v>
      </c>
      <c r="KK11" s="141">
        <f>SUMIFS('Expenditure Breakdown'!$Q$6:$Q$447, 'Expenditure Breakdown'!$W$6:$W$447, "&gt;="&amp;KK1,'Expenditure Breakdown'!$W$6:$W$447, "&lt;"&amp;KL1)</f>
        <v>0</v>
      </c>
      <c r="KL11" s="141">
        <f>SUMIFS('Expenditure Breakdown'!$Q$6:$Q$447, 'Expenditure Breakdown'!$W$6:$W$447, "&gt;="&amp;KL1,'Expenditure Breakdown'!$W$6:$W$447, "&lt;"&amp;KM1)</f>
        <v>0</v>
      </c>
      <c r="KM11" s="141">
        <f>SUMIFS('Expenditure Breakdown'!$Q$6:$Q$447, 'Expenditure Breakdown'!$W$6:$W$447, "&gt;="&amp;KM1,'Expenditure Breakdown'!$W$6:$W$447, "&lt;"&amp;KN1)</f>
        <v>0</v>
      </c>
      <c r="KN11" s="141">
        <f>SUMIFS('Expenditure Breakdown'!$Q$6:$Q$447, 'Expenditure Breakdown'!$W$6:$W$447, "&gt;="&amp;KN1,'Expenditure Breakdown'!$W$6:$W$447, "&lt;"&amp;KO1)</f>
        <v>0</v>
      </c>
      <c r="KO11" s="141">
        <f>SUMIFS('Expenditure Breakdown'!$Q$6:$Q$447, 'Expenditure Breakdown'!$W$6:$W$447, "&gt;="&amp;KO1,'Expenditure Breakdown'!$W$6:$W$447, "&lt;"&amp;KP1)</f>
        <v>0</v>
      </c>
      <c r="KP11" s="141">
        <f>SUMIFS('Expenditure Breakdown'!$Q$6:$Q$447, 'Expenditure Breakdown'!$W$6:$W$447, "&gt;="&amp;KP1,'Expenditure Breakdown'!$W$6:$W$447, "&lt;"&amp;KQ1)</f>
        <v>0</v>
      </c>
      <c r="KQ11" s="141">
        <f>SUMIFS('Expenditure Breakdown'!$Q$6:$Q$447, 'Expenditure Breakdown'!$W$6:$W$447, "&gt;="&amp;KQ1,'Expenditure Breakdown'!$W$6:$W$447, "&lt;"&amp;KR1)</f>
        <v>0</v>
      </c>
      <c r="KR11" s="141">
        <f>SUMIFS('Expenditure Breakdown'!$Q$6:$Q$447, 'Expenditure Breakdown'!$W$6:$W$447, "&gt;="&amp;KR1,'Expenditure Breakdown'!$W$6:$W$447, "&lt;"&amp;KS1)</f>
        <v>0</v>
      </c>
      <c r="KS11" s="141">
        <f>SUMIFS('Expenditure Breakdown'!$Q$6:$Q$447, 'Expenditure Breakdown'!$W$6:$W$447, "&gt;="&amp;KS1,'Expenditure Breakdown'!$W$6:$W$447, "&lt;"&amp;KT1)</f>
        <v>0</v>
      </c>
      <c r="KT11" s="141">
        <f>SUMIFS('Expenditure Breakdown'!$Q$6:$Q$447, 'Expenditure Breakdown'!$W$6:$W$447, "&gt;="&amp;KT1,'Expenditure Breakdown'!$W$6:$W$447, "&lt;"&amp;KU1)</f>
        <v>0</v>
      </c>
      <c r="KU11" s="141">
        <f>SUMIFS('Expenditure Breakdown'!$Q$6:$Q$447, 'Expenditure Breakdown'!$W$6:$W$447, "&gt;="&amp;KU1,'Expenditure Breakdown'!$W$6:$W$447, "&lt;"&amp;KV1)</f>
        <v>0</v>
      </c>
      <c r="KV11" s="141">
        <f>SUMIFS('Expenditure Breakdown'!$Q$6:$Q$447, 'Expenditure Breakdown'!$W$6:$W$447, "&gt;="&amp;KV1,'Expenditure Breakdown'!$W$6:$W$447, "&lt;"&amp;KW1)</f>
        <v>0</v>
      </c>
      <c r="KW11" s="141">
        <f>SUMIFS('Expenditure Breakdown'!$Q$6:$Q$447, 'Expenditure Breakdown'!$W$6:$W$447, "&gt;="&amp;KW1,'Expenditure Breakdown'!$W$6:$W$447, "&lt;"&amp;KX1)</f>
        <v>0</v>
      </c>
      <c r="KX11" s="141">
        <f>SUMIFS('Expenditure Breakdown'!$Q$6:$Q$447, 'Expenditure Breakdown'!$W$6:$W$447, "&gt;="&amp;KX1,'Expenditure Breakdown'!$W$6:$W$447, "&lt;"&amp;KY1)</f>
        <v>0</v>
      </c>
      <c r="KY11" s="141">
        <f>SUMIFS('Expenditure Breakdown'!$Q$6:$Q$447, 'Expenditure Breakdown'!$W$6:$W$447, "&gt;="&amp;KY1,'Expenditure Breakdown'!$W$6:$W$447, "&lt;"&amp;KZ1)</f>
        <v>0</v>
      </c>
      <c r="KZ11" s="141">
        <f>SUMIFS('Expenditure Breakdown'!$Q$6:$Q$447, 'Expenditure Breakdown'!$W$6:$W$447, "&gt;="&amp;KZ1,'Expenditure Breakdown'!$W$6:$W$447, "&lt;"&amp;LA1)</f>
        <v>0</v>
      </c>
      <c r="LA11" s="141">
        <f>SUMIFS('Expenditure Breakdown'!$Q$6:$Q$447, 'Expenditure Breakdown'!$W$6:$W$447, "&gt;="&amp;LA1,'Expenditure Breakdown'!$W$6:$W$447, "&lt;"&amp;LB1)</f>
        <v>0</v>
      </c>
      <c r="LB11" s="141">
        <f>SUMIFS('Expenditure Breakdown'!$Q$6:$Q$447, 'Expenditure Breakdown'!$W$6:$W$447, "&gt;="&amp;LB1,'Expenditure Breakdown'!$W$6:$W$447, "&lt;"&amp;LC1)</f>
        <v>0</v>
      </c>
      <c r="LC11" s="141">
        <f>SUMIFS('Expenditure Breakdown'!$Q$6:$Q$447, 'Expenditure Breakdown'!$W$6:$W$447, "&gt;="&amp;LC1,'Expenditure Breakdown'!$W$6:$W$447, "&lt;"&amp;LD1)</f>
        <v>0</v>
      </c>
      <c r="LD11" s="141">
        <f>SUMIFS('Expenditure Breakdown'!$Q$6:$Q$447, 'Expenditure Breakdown'!$W$6:$W$447, "&gt;="&amp;LD1,'Expenditure Breakdown'!$W$6:$W$447, "&lt;"&amp;LE1)</f>
        <v>0</v>
      </c>
      <c r="LE11" s="118"/>
      <c r="LF11" s="129"/>
      <c r="LG11" s="129"/>
    </row>
    <row r="12" spans="1:794" s="130" customFormat="1">
      <c r="A12" s="910"/>
      <c r="B12" s="139" t="s">
        <v>780</v>
      </c>
      <c r="C12" s="140"/>
      <c r="D12" s="140"/>
      <c r="E12" s="124"/>
      <c r="F12" s="141">
        <f>F11</f>
        <v>0</v>
      </c>
      <c r="G12" s="141">
        <f>F12+G11</f>
        <v>0</v>
      </c>
      <c r="H12" s="141">
        <f>G12+H11</f>
        <v>0</v>
      </c>
      <c r="I12" s="141">
        <f t="shared" ref="I12:BT12" si="26">H12+I11</f>
        <v>0</v>
      </c>
      <c r="J12" s="141">
        <f t="shared" si="26"/>
        <v>0</v>
      </c>
      <c r="K12" s="141">
        <f t="shared" si="26"/>
        <v>0</v>
      </c>
      <c r="L12" s="141">
        <f t="shared" si="26"/>
        <v>0</v>
      </c>
      <c r="M12" s="141">
        <f t="shared" si="26"/>
        <v>0</v>
      </c>
      <c r="N12" s="141">
        <f t="shared" si="26"/>
        <v>0</v>
      </c>
      <c r="O12" s="141">
        <f t="shared" si="26"/>
        <v>0</v>
      </c>
      <c r="P12" s="141">
        <f t="shared" si="26"/>
        <v>0</v>
      </c>
      <c r="Q12" s="141">
        <f t="shared" si="26"/>
        <v>0</v>
      </c>
      <c r="R12" s="141">
        <f t="shared" si="26"/>
        <v>0</v>
      </c>
      <c r="S12" s="141">
        <f t="shared" si="26"/>
        <v>0</v>
      </c>
      <c r="T12" s="141">
        <f t="shared" si="26"/>
        <v>0</v>
      </c>
      <c r="U12" s="141">
        <f t="shared" si="26"/>
        <v>0</v>
      </c>
      <c r="V12" s="141">
        <f t="shared" si="26"/>
        <v>0</v>
      </c>
      <c r="W12" s="141">
        <f t="shared" si="26"/>
        <v>0</v>
      </c>
      <c r="X12" s="141">
        <f t="shared" si="26"/>
        <v>0</v>
      </c>
      <c r="Y12" s="141">
        <f t="shared" si="26"/>
        <v>0</v>
      </c>
      <c r="Z12" s="141">
        <f t="shared" si="26"/>
        <v>2875421.9278117996</v>
      </c>
      <c r="AA12" s="141">
        <f t="shared" si="26"/>
        <v>5826389.5278117992</v>
      </c>
      <c r="AB12" s="141">
        <f t="shared" si="26"/>
        <v>8029695.4678117987</v>
      </c>
      <c r="AC12" s="141">
        <f t="shared" si="26"/>
        <v>8045866.3078117985</v>
      </c>
      <c r="AD12" s="141">
        <f t="shared" si="26"/>
        <v>8056266.3078117985</v>
      </c>
      <c r="AE12" s="141">
        <f t="shared" si="26"/>
        <v>9947502.8078117985</v>
      </c>
      <c r="AF12" s="141">
        <f t="shared" si="26"/>
        <v>9966708.3078117985</v>
      </c>
      <c r="AG12" s="141">
        <f t="shared" si="26"/>
        <v>10957012.567811798</v>
      </c>
      <c r="AH12" s="141">
        <f t="shared" si="26"/>
        <v>10978558.547811799</v>
      </c>
      <c r="AI12" s="141">
        <f t="shared" si="26"/>
        <v>10981686.317811798</v>
      </c>
      <c r="AJ12" s="141">
        <f t="shared" si="26"/>
        <v>10995440.177811798</v>
      </c>
      <c r="AK12" s="141">
        <f t="shared" si="26"/>
        <v>12794392.997811798</v>
      </c>
      <c r="AL12" s="141">
        <f t="shared" si="26"/>
        <v>18024976.527811795</v>
      </c>
      <c r="AM12" s="141">
        <f t="shared" si="26"/>
        <v>18166497.517811794</v>
      </c>
      <c r="AN12" s="141">
        <f t="shared" si="26"/>
        <v>18166497.517811794</v>
      </c>
      <c r="AO12" s="141">
        <f t="shared" si="26"/>
        <v>19680393.369985707</v>
      </c>
      <c r="AP12" s="141">
        <f t="shared" si="26"/>
        <v>23112180.479985707</v>
      </c>
      <c r="AQ12" s="141">
        <f t="shared" si="26"/>
        <v>23147885.629985705</v>
      </c>
      <c r="AR12" s="141">
        <f t="shared" si="26"/>
        <v>27089450.509985708</v>
      </c>
      <c r="AS12" s="141">
        <f t="shared" si="26"/>
        <v>27089450.509985708</v>
      </c>
      <c r="AT12" s="141">
        <f t="shared" si="26"/>
        <v>27510219.279985707</v>
      </c>
      <c r="AU12" s="141">
        <f t="shared" si="26"/>
        <v>27574946.159985706</v>
      </c>
      <c r="AV12" s="141">
        <f t="shared" si="26"/>
        <v>27591665.159985706</v>
      </c>
      <c r="AW12" s="141">
        <f t="shared" si="26"/>
        <v>27591665.159985706</v>
      </c>
      <c r="AX12" s="141">
        <f t="shared" si="26"/>
        <v>32486807.088620007</v>
      </c>
      <c r="AY12" s="141">
        <f t="shared" si="26"/>
        <v>32937770.808620006</v>
      </c>
      <c r="AZ12" s="141">
        <f t="shared" si="26"/>
        <v>33099180.858620007</v>
      </c>
      <c r="BA12" s="141">
        <f t="shared" si="26"/>
        <v>34030948.758620009</v>
      </c>
      <c r="BB12" s="141">
        <f t="shared" si="26"/>
        <v>34540266.758620009</v>
      </c>
      <c r="BC12" s="141">
        <f t="shared" si="26"/>
        <v>34763677.758620009</v>
      </c>
      <c r="BD12" s="141">
        <f t="shared" si="26"/>
        <v>36910351.866446093</v>
      </c>
      <c r="BE12" s="141">
        <f t="shared" si="26"/>
        <v>38041800.996880874</v>
      </c>
      <c r="BF12" s="141">
        <f t="shared" si="26"/>
        <v>39919538.955880873</v>
      </c>
      <c r="BG12" s="141">
        <f t="shared" si="26"/>
        <v>43635273.176446088</v>
      </c>
      <c r="BH12" s="141">
        <f t="shared" si="26"/>
        <v>43671848.026446089</v>
      </c>
      <c r="BI12" s="141">
        <f t="shared" si="26"/>
        <v>43671848.026446089</v>
      </c>
      <c r="BJ12" s="141">
        <f t="shared" si="26"/>
        <v>43671848.026446089</v>
      </c>
      <c r="BK12" s="141">
        <f t="shared" si="26"/>
        <v>43818981.506446086</v>
      </c>
      <c r="BL12" s="141">
        <f t="shared" si="26"/>
        <v>43890516.846446089</v>
      </c>
      <c r="BM12" s="141">
        <f t="shared" si="26"/>
        <v>44015732.456446089</v>
      </c>
      <c r="BN12" s="141">
        <f t="shared" si="26"/>
        <v>44015732.456446089</v>
      </c>
      <c r="BO12" s="141">
        <f t="shared" si="26"/>
        <v>44120716.123112753</v>
      </c>
      <c r="BP12" s="141">
        <f t="shared" si="26"/>
        <v>44552038.073112756</v>
      </c>
      <c r="BQ12" s="141">
        <f t="shared" si="26"/>
        <v>44552038.073112756</v>
      </c>
      <c r="BR12" s="141">
        <f t="shared" si="26"/>
        <v>44752038.073112756</v>
      </c>
      <c r="BS12" s="141">
        <f t="shared" si="26"/>
        <v>44907195.160069279</v>
      </c>
      <c r="BT12" s="141">
        <f t="shared" si="26"/>
        <v>45481835.160069279</v>
      </c>
      <c r="BU12" s="141">
        <f t="shared" ref="BU12:EF12" si="27">BT12+BU11</f>
        <v>45580121.676735945</v>
      </c>
      <c r="BV12" s="141">
        <f t="shared" si="27"/>
        <v>45580121.676735945</v>
      </c>
      <c r="BW12" s="141">
        <f t="shared" si="27"/>
        <v>45795848.269779421</v>
      </c>
      <c r="BX12" s="141">
        <f t="shared" si="27"/>
        <v>46400675.126446091</v>
      </c>
      <c r="BY12" s="141">
        <f t="shared" si="27"/>
        <v>46401375.126446091</v>
      </c>
      <c r="BZ12" s="141">
        <f t="shared" si="27"/>
        <v>46401375.126446091</v>
      </c>
      <c r="CA12" s="141">
        <f t="shared" si="27"/>
        <v>46401375.126446091</v>
      </c>
      <c r="CB12" s="141">
        <f t="shared" si="27"/>
        <v>46401375.126446091</v>
      </c>
      <c r="CC12" s="141">
        <f t="shared" si="27"/>
        <v>46739637.273112759</v>
      </c>
      <c r="CD12" s="141">
        <f t="shared" si="27"/>
        <v>46740337.273112759</v>
      </c>
      <c r="CE12" s="141">
        <f t="shared" si="27"/>
        <v>46740337.273112759</v>
      </c>
      <c r="CF12" s="141">
        <f t="shared" si="27"/>
        <v>46740337.273112759</v>
      </c>
      <c r="CG12" s="141">
        <f t="shared" si="27"/>
        <v>47344582.939779423</v>
      </c>
      <c r="CH12" s="141">
        <f t="shared" si="27"/>
        <v>47345282.939779423</v>
      </c>
      <c r="CI12" s="141">
        <f t="shared" si="27"/>
        <v>47345282.939779423</v>
      </c>
      <c r="CJ12" s="141">
        <f t="shared" si="27"/>
        <v>47345282.939779423</v>
      </c>
      <c r="CK12" s="141">
        <f t="shared" si="27"/>
        <v>47345282.939779423</v>
      </c>
      <c r="CL12" s="141">
        <f t="shared" si="27"/>
        <v>47427423.606446087</v>
      </c>
      <c r="CM12" s="141">
        <f t="shared" si="27"/>
        <v>47499319.206446089</v>
      </c>
      <c r="CN12" s="141">
        <f t="shared" si="27"/>
        <v>47499319.206446089</v>
      </c>
      <c r="CO12" s="141">
        <f t="shared" si="27"/>
        <v>47499319.206446089</v>
      </c>
      <c r="CP12" s="141">
        <f t="shared" si="27"/>
        <v>47581459.873112753</v>
      </c>
      <c r="CQ12" s="141">
        <f t="shared" si="27"/>
        <v>47581459.873112753</v>
      </c>
      <c r="CR12" s="141">
        <f t="shared" si="27"/>
        <v>47581459.873112753</v>
      </c>
      <c r="CS12" s="141">
        <f t="shared" si="27"/>
        <v>47581459.873112753</v>
      </c>
      <c r="CT12" s="141">
        <f t="shared" si="27"/>
        <v>47663600.539779417</v>
      </c>
      <c r="CU12" s="141">
        <f t="shared" si="27"/>
        <v>47663600.539779417</v>
      </c>
      <c r="CV12" s="141">
        <f t="shared" si="27"/>
        <v>47663600.539779417</v>
      </c>
      <c r="CW12" s="141">
        <f t="shared" si="27"/>
        <v>47663600.539779417</v>
      </c>
      <c r="CX12" s="141">
        <f t="shared" si="27"/>
        <v>47663600.539779417</v>
      </c>
      <c r="CY12" s="141">
        <f t="shared" si="27"/>
        <v>48045741.206446081</v>
      </c>
      <c r="CZ12" s="141">
        <f t="shared" si="27"/>
        <v>48045741.206446081</v>
      </c>
      <c r="DA12" s="141">
        <f t="shared" si="27"/>
        <v>48045741.206446081</v>
      </c>
      <c r="DB12" s="141">
        <f t="shared" si="27"/>
        <v>48045741.206446081</v>
      </c>
      <c r="DC12" s="141">
        <f t="shared" si="27"/>
        <v>48127881.873112746</v>
      </c>
      <c r="DD12" s="141">
        <f t="shared" si="27"/>
        <v>48127881.873112746</v>
      </c>
      <c r="DE12" s="141">
        <f t="shared" si="27"/>
        <v>48127881.873112746</v>
      </c>
      <c r="DF12" s="141">
        <f t="shared" si="27"/>
        <v>48127881.873112746</v>
      </c>
      <c r="DG12" s="141">
        <f t="shared" si="27"/>
        <v>48210022.53977941</v>
      </c>
      <c r="DH12" s="141">
        <f t="shared" si="27"/>
        <v>48210022.53977941</v>
      </c>
      <c r="DI12" s="141">
        <f t="shared" si="27"/>
        <v>48210022.53977941</v>
      </c>
      <c r="DJ12" s="141">
        <f t="shared" si="27"/>
        <v>48210022.53977941</v>
      </c>
      <c r="DK12" s="141">
        <f t="shared" si="27"/>
        <v>48292163.206446074</v>
      </c>
      <c r="DL12" s="141">
        <f t="shared" si="27"/>
        <v>48292163.206446074</v>
      </c>
      <c r="DM12" s="141">
        <f t="shared" si="27"/>
        <v>48292163.206446074</v>
      </c>
      <c r="DN12" s="141">
        <f t="shared" si="27"/>
        <v>48292163.206446074</v>
      </c>
      <c r="DO12" s="141">
        <f t="shared" si="27"/>
        <v>48292163.206446074</v>
      </c>
      <c r="DP12" s="141">
        <f t="shared" si="27"/>
        <v>48292163.206446074</v>
      </c>
      <c r="DQ12" s="141">
        <f t="shared" si="27"/>
        <v>48292163.206446074</v>
      </c>
      <c r="DR12" s="141">
        <f t="shared" si="27"/>
        <v>48292163.206446074</v>
      </c>
      <c r="DS12" s="141">
        <f t="shared" si="27"/>
        <v>48292163.206446074</v>
      </c>
      <c r="DT12" s="141">
        <f t="shared" si="27"/>
        <v>48292163.206446074</v>
      </c>
      <c r="DU12" s="141">
        <f t="shared" si="27"/>
        <v>48292163.206446074</v>
      </c>
      <c r="DV12" s="141">
        <f t="shared" si="27"/>
        <v>48292163.206446074</v>
      </c>
      <c r="DW12" s="141">
        <f t="shared" si="27"/>
        <v>48292163.206446074</v>
      </c>
      <c r="DX12" s="141">
        <f t="shared" si="27"/>
        <v>48292163.206446074</v>
      </c>
      <c r="DY12" s="141">
        <f t="shared" si="27"/>
        <v>48292163.206446074</v>
      </c>
      <c r="DZ12" s="141">
        <f t="shared" si="27"/>
        <v>48292163.206446074</v>
      </c>
      <c r="EA12" s="141">
        <f t="shared" si="27"/>
        <v>48292163.206446074</v>
      </c>
      <c r="EB12" s="141">
        <f t="shared" si="27"/>
        <v>48292163.206446074</v>
      </c>
      <c r="EC12" s="141">
        <f t="shared" si="27"/>
        <v>48292163.206446074</v>
      </c>
      <c r="ED12" s="141">
        <f t="shared" si="27"/>
        <v>48292163.206446074</v>
      </c>
      <c r="EE12" s="141">
        <f t="shared" si="27"/>
        <v>48292163.206446074</v>
      </c>
      <c r="EF12" s="141">
        <f t="shared" si="27"/>
        <v>48292163.206446074</v>
      </c>
      <c r="EG12" s="141">
        <f t="shared" ref="EG12:GR12" si="28">EF12+EG11</f>
        <v>48292163.206446074</v>
      </c>
      <c r="EH12" s="141">
        <f t="shared" si="28"/>
        <v>48292163.206446074</v>
      </c>
      <c r="EI12" s="141">
        <f t="shared" si="28"/>
        <v>48292163.206446074</v>
      </c>
      <c r="EJ12" s="141">
        <f t="shared" si="28"/>
        <v>48292163.206446074</v>
      </c>
      <c r="EK12" s="141">
        <f t="shared" si="28"/>
        <v>48292163.206446074</v>
      </c>
      <c r="EL12" s="141">
        <f t="shared" si="28"/>
        <v>48292163.206446074</v>
      </c>
      <c r="EM12" s="141">
        <f t="shared" si="28"/>
        <v>48292163.206446074</v>
      </c>
      <c r="EN12" s="141">
        <f t="shared" si="28"/>
        <v>48292163.206446074</v>
      </c>
      <c r="EO12" s="141">
        <f t="shared" si="28"/>
        <v>48292163.206446074</v>
      </c>
      <c r="EP12" s="141">
        <f t="shared" si="28"/>
        <v>48292163.206446074</v>
      </c>
      <c r="EQ12" s="141">
        <f t="shared" si="28"/>
        <v>48292163.206446074</v>
      </c>
      <c r="ER12" s="141">
        <f t="shared" si="28"/>
        <v>48292163.206446074</v>
      </c>
      <c r="ES12" s="141">
        <f t="shared" si="28"/>
        <v>48292163.206446074</v>
      </c>
      <c r="ET12" s="141">
        <f t="shared" si="28"/>
        <v>48292163.206446074</v>
      </c>
      <c r="EU12" s="141">
        <f t="shared" si="28"/>
        <v>48292163.206446074</v>
      </c>
      <c r="EV12" s="141">
        <f t="shared" si="28"/>
        <v>48292163.206446074</v>
      </c>
      <c r="EW12" s="141">
        <f t="shared" si="28"/>
        <v>48292163.206446074</v>
      </c>
      <c r="EX12" s="141">
        <f t="shared" si="28"/>
        <v>48292163.206446074</v>
      </c>
      <c r="EY12" s="141">
        <f t="shared" si="28"/>
        <v>48292163.206446074</v>
      </c>
      <c r="EZ12" s="141">
        <f t="shared" si="28"/>
        <v>48292163.206446074</v>
      </c>
      <c r="FA12" s="141">
        <f t="shared" si="28"/>
        <v>48292163.206446074</v>
      </c>
      <c r="FB12" s="141">
        <f t="shared" si="28"/>
        <v>48292163.206446074</v>
      </c>
      <c r="FC12" s="141">
        <f t="shared" si="28"/>
        <v>48292163.206446074</v>
      </c>
      <c r="FD12" s="141">
        <f t="shared" si="28"/>
        <v>48292163.206446074</v>
      </c>
      <c r="FE12" s="141">
        <f t="shared" si="28"/>
        <v>48292163.206446074</v>
      </c>
      <c r="FF12" s="141">
        <f t="shared" si="28"/>
        <v>48292163.206446074</v>
      </c>
      <c r="FG12" s="141">
        <f t="shared" si="28"/>
        <v>48292163.206446074</v>
      </c>
      <c r="FH12" s="141">
        <f t="shared" si="28"/>
        <v>48292163.206446074</v>
      </c>
      <c r="FI12" s="141">
        <f t="shared" si="28"/>
        <v>48292163.206446074</v>
      </c>
      <c r="FJ12" s="141">
        <f t="shared" si="28"/>
        <v>48292163.206446074</v>
      </c>
      <c r="FK12" s="141">
        <f t="shared" si="28"/>
        <v>48292163.206446074</v>
      </c>
      <c r="FL12" s="141">
        <f t="shared" si="28"/>
        <v>48292163.206446074</v>
      </c>
      <c r="FM12" s="141">
        <f t="shared" si="28"/>
        <v>48292163.206446074</v>
      </c>
      <c r="FN12" s="141">
        <f t="shared" si="28"/>
        <v>48292163.206446074</v>
      </c>
      <c r="FO12" s="141">
        <f t="shared" si="28"/>
        <v>48292163.206446074</v>
      </c>
      <c r="FP12" s="141">
        <f t="shared" si="28"/>
        <v>48292163.206446074</v>
      </c>
      <c r="FQ12" s="141">
        <f t="shared" si="28"/>
        <v>48292163.206446074</v>
      </c>
      <c r="FR12" s="141">
        <f t="shared" si="28"/>
        <v>48292163.206446074</v>
      </c>
      <c r="FS12" s="141">
        <f t="shared" si="28"/>
        <v>48292163.206446074</v>
      </c>
      <c r="FT12" s="141">
        <f t="shared" si="28"/>
        <v>48292163.206446074</v>
      </c>
      <c r="FU12" s="141">
        <f t="shared" si="28"/>
        <v>48292163.206446074</v>
      </c>
      <c r="FV12" s="141">
        <f t="shared" si="28"/>
        <v>48292163.206446074</v>
      </c>
      <c r="FW12" s="141">
        <f t="shared" si="28"/>
        <v>48292163.206446074</v>
      </c>
      <c r="FX12" s="141">
        <f t="shared" si="28"/>
        <v>48292163.206446074</v>
      </c>
      <c r="FY12" s="141">
        <f t="shared" si="28"/>
        <v>48292163.206446074</v>
      </c>
      <c r="FZ12" s="141">
        <f t="shared" si="28"/>
        <v>48292163.206446074</v>
      </c>
      <c r="GA12" s="141">
        <f t="shared" si="28"/>
        <v>48292163.206446074</v>
      </c>
      <c r="GB12" s="141">
        <f t="shared" si="28"/>
        <v>48292163.206446074</v>
      </c>
      <c r="GC12" s="141">
        <f t="shared" si="28"/>
        <v>48292163.206446074</v>
      </c>
      <c r="GD12" s="141">
        <f t="shared" si="28"/>
        <v>48292163.206446074</v>
      </c>
      <c r="GE12" s="141">
        <f t="shared" si="28"/>
        <v>48292163.206446074</v>
      </c>
      <c r="GF12" s="141">
        <f t="shared" si="28"/>
        <v>48292163.206446074</v>
      </c>
      <c r="GG12" s="141">
        <f t="shared" si="28"/>
        <v>48292163.206446074</v>
      </c>
      <c r="GH12" s="141">
        <f t="shared" si="28"/>
        <v>48292163.206446074</v>
      </c>
      <c r="GI12" s="141">
        <f t="shared" si="28"/>
        <v>48292163.206446074</v>
      </c>
      <c r="GJ12" s="141">
        <f t="shared" si="28"/>
        <v>48292163.206446074</v>
      </c>
      <c r="GK12" s="141">
        <f t="shared" si="28"/>
        <v>48292163.206446074</v>
      </c>
      <c r="GL12" s="141">
        <f t="shared" si="28"/>
        <v>48292163.206446074</v>
      </c>
      <c r="GM12" s="141">
        <f t="shared" si="28"/>
        <v>48292163.206446074</v>
      </c>
      <c r="GN12" s="141">
        <f t="shared" si="28"/>
        <v>48292163.206446074</v>
      </c>
      <c r="GO12" s="141">
        <f t="shared" si="28"/>
        <v>48292163.206446074</v>
      </c>
      <c r="GP12" s="141">
        <f t="shared" si="28"/>
        <v>48292163.206446074</v>
      </c>
      <c r="GQ12" s="141">
        <f t="shared" si="28"/>
        <v>48292163.206446074</v>
      </c>
      <c r="GR12" s="141">
        <f t="shared" si="28"/>
        <v>48292163.206446074</v>
      </c>
      <c r="GS12" s="141">
        <f t="shared" ref="GS12:JD12" si="29">GR12+GS11</f>
        <v>48292163.206446074</v>
      </c>
      <c r="GT12" s="141">
        <f t="shared" si="29"/>
        <v>48292163.206446074</v>
      </c>
      <c r="GU12" s="141">
        <f t="shared" si="29"/>
        <v>48292163.206446074</v>
      </c>
      <c r="GV12" s="141">
        <f t="shared" si="29"/>
        <v>48292163.206446074</v>
      </c>
      <c r="GW12" s="141">
        <f t="shared" si="29"/>
        <v>48292163.206446074</v>
      </c>
      <c r="GX12" s="141">
        <f t="shared" si="29"/>
        <v>48292163.206446074</v>
      </c>
      <c r="GY12" s="141">
        <f t="shared" si="29"/>
        <v>48292163.206446074</v>
      </c>
      <c r="GZ12" s="141">
        <f t="shared" si="29"/>
        <v>48292163.206446074</v>
      </c>
      <c r="HA12" s="141">
        <f t="shared" si="29"/>
        <v>48292163.206446074</v>
      </c>
      <c r="HB12" s="141">
        <f t="shared" si="29"/>
        <v>48292163.206446074</v>
      </c>
      <c r="HC12" s="141">
        <f t="shared" si="29"/>
        <v>48292163.206446074</v>
      </c>
      <c r="HD12" s="141">
        <f t="shared" si="29"/>
        <v>48292163.206446074</v>
      </c>
      <c r="HE12" s="141">
        <f t="shared" si="29"/>
        <v>48292163.206446074</v>
      </c>
      <c r="HF12" s="141">
        <f t="shared" si="29"/>
        <v>48292163.206446074</v>
      </c>
      <c r="HG12" s="141">
        <f t="shared" si="29"/>
        <v>48292163.206446074</v>
      </c>
      <c r="HH12" s="141">
        <f t="shared" si="29"/>
        <v>48292163.206446074</v>
      </c>
      <c r="HI12" s="141">
        <f t="shared" si="29"/>
        <v>48292163.206446074</v>
      </c>
      <c r="HJ12" s="141">
        <f t="shared" si="29"/>
        <v>48292163.206446074</v>
      </c>
      <c r="HK12" s="141">
        <f t="shared" si="29"/>
        <v>48292163.206446074</v>
      </c>
      <c r="HL12" s="141">
        <f t="shared" si="29"/>
        <v>48292163.206446074</v>
      </c>
      <c r="HM12" s="141">
        <f t="shared" si="29"/>
        <v>48292163.206446074</v>
      </c>
      <c r="HN12" s="141">
        <f t="shared" si="29"/>
        <v>48292163.206446074</v>
      </c>
      <c r="HO12" s="141">
        <f t="shared" si="29"/>
        <v>48292163.206446074</v>
      </c>
      <c r="HP12" s="141">
        <f t="shared" si="29"/>
        <v>48292163.206446074</v>
      </c>
      <c r="HQ12" s="141">
        <f t="shared" si="29"/>
        <v>48292163.206446074</v>
      </c>
      <c r="HR12" s="141">
        <f t="shared" si="29"/>
        <v>48292163.206446074</v>
      </c>
      <c r="HS12" s="141">
        <f t="shared" si="29"/>
        <v>48292163.206446074</v>
      </c>
      <c r="HT12" s="141">
        <f t="shared" si="29"/>
        <v>48292163.206446074</v>
      </c>
      <c r="HU12" s="141">
        <f t="shared" si="29"/>
        <v>48292163.206446074</v>
      </c>
      <c r="HV12" s="141">
        <f t="shared" si="29"/>
        <v>48292163.206446074</v>
      </c>
      <c r="HW12" s="141">
        <f t="shared" si="29"/>
        <v>48292163.206446074</v>
      </c>
      <c r="HX12" s="141">
        <f t="shared" si="29"/>
        <v>48292163.206446074</v>
      </c>
      <c r="HY12" s="141">
        <f t="shared" si="29"/>
        <v>48292163.206446074</v>
      </c>
      <c r="HZ12" s="141">
        <f t="shared" si="29"/>
        <v>48292163.206446074</v>
      </c>
      <c r="IA12" s="141">
        <f t="shared" si="29"/>
        <v>48292163.206446074</v>
      </c>
      <c r="IB12" s="141">
        <f t="shared" si="29"/>
        <v>48292163.206446074</v>
      </c>
      <c r="IC12" s="141">
        <f t="shared" si="29"/>
        <v>48292163.206446074</v>
      </c>
      <c r="ID12" s="141">
        <f t="shared" si="29"/>
        <v>48292163.206446074</v>
      </c>
      <c r="IE12" s="141">
        <f t="shared" si="29"/>
        <v>48292163.206446074</v>
      </c>
      <c r="IF12" s="141">
        <f t="shared" si="29"/>
        <v>48292163.206446074</v>
      </c>
      <c r="IG12" s="141">
        <f t="shared" si="29"/>
        <v>48292163.206446074</v>
      </c>
      <c r="IH12" s="141">
        <f t="shared" si="29"/>
        <v>48292163.206446074</v>
      </c>
      <c r="II12" s="141">
        <f t="shared" si="29"/>
        <v>48292163.206446074</v>
      </c>
      <c r="IJ12" s="141">
        <f t="shared" si="29"/>
        <v>48292163.206446074</v>
      </c>
      <c r="IK12" s="141">
        <f t="shared" si="29"/>
        <v>48292163.206446074</v>
      </c>
      <c r="IL12" s="141">
        <f t="shared" si="29"/>
        <v>48292163.206446074</v>
      </c>
      <c r="IM12" s="141">
        <f t="shared" si="29"/>
        <v>48292163.206446074</v>
      </c>
      <c r="IN12" s="141">
        <f t="shared" si="29"/>
        <v>48292163.206446074</v>
      </c>
      <c r="IO12" s="141">
        <f t="shared" si="29"/>
        <v>48292163.206446074</v>
      </c>
      <c r="IP12" s="141">
        <f t="shared" si="29"/>
        <v>48292163.206446074</v>
      </c>
      <c r="IQ12" s="141">
        <f t="shared" si="29"/>
        <v>48292163.206446074</v>
      </c>
      <c r="IR12" s="141">
        <f t="shared" si="29"/>
        <v>48292163.206446074</v>
      </c>
      <c r="IS12" s="141">
        <f t="shared" si="29"/>
        <v>48292163.206446074</v>
      </c>
      <c r="IT12" s="141">
        <f t="shared" si="29"/>
        <v>48292163.206446074</v>
      </c>
      <c r="IU12" s="141">
        <f t="shared" si="29"/>
        <v>48292163.206446074</v>
      </c>
      <c r="IV12" s="141">
        <f t="shared" si="29"/>
        <v>48292163.206446074</v>
      </c>
      <c r="IW12" s="141">
        <f t="shared" si="29"/>
        <v>48292163.206446074</v>
      </c>
      <c r="IX12" s="141">
        <f t="shared" si="29"/>
        <v>48292163.206446074</v>
      </c>
      <c r="IY12" s="141">
        <f t="shared" si="29"/>
        <v>48292163.206446074</v>
      </c>
      <c r="IZ12" s="141">
        <f t="shared" si="29"/>
        <v>48292163.206446074</v>
      </c>
      <c r="JA12" s="141">
        <f t="shared" si="29"/>
        <v>48292163.206446074</v>
      </c>
      <c r="JB12" s="141">
        <f t="shared" si="29"/>
        <v>48292163.206446074</v>
      </c>
      <c r="JC12" s="141">
        <f t="shared" si="29"/>
        <v>48292163.206446074</v>
      </c>
      <c r="JD12" s="141">
        <f t="shared" si="29"/>
        <v>48292163.206446074</v>
      </c>
      <c r="JE12" s="141">
        <f t="shared" ref="JE12:LD12" si="30">JD12+JE11</f>
        <v>48292163.206446074</v>
      </c>
      <c r="JF12" s="141">
        <f t="shared" si="30"/>
        <v>48292163.206446074</v>
      </c>
      <c r="JG12" s="141">
        <f t="shared" si="30"/>
        <v>48292163.206446074</v>
      </c>
      <c r="JH12" s="141">
        <f t="shared" si="30"/>
        <v>48292163.206446074</v>
      </c>
      <c r="JI12" s="141">
        <f t="shared" si="30"/>
        <v>48292163.206446074</v>
      </c>
      <c r="JJ12" s="141">
        <f t="shared" si="30"/>
        <v>48292163.206446074</v>
      </c>
      <c r="JK12" s="141">
        <f t="shared" si="30"/>
        <v>48292163.206446074</v>
      </c>
      <c r="JL12" s="141">
        <f t="shared" si="30"/>
        <v>48292163.206446074</v>
      </c>
      <c r="JM12" s="141">
        <f t="shared" si="30"/>
        <v>48292163.206446074</v>
      </c>
      <c r="JN12" s="141">
        <f t="shared" si="30"/>
        <v>48292163.206446074</v>
      </c>
      <c r="JO12" s="141">
        <f t="shared" si="30"/>
        <v>48292163.206446074</v>
      </c>
      <c r="JP12" s="141">
        <f t="shared" si="30"/>
        <v>48292163.206446074</v>
      </c>
      <c r="JQ12" s="141">
        <f t="shared" si="30"/>
        <v>48292163.206446074</v>
      </c>
      <c r="JR12" s="141">
        <f t="shared" si="30"/>
        <v>48292163.206446074</v>
      </c>
      <c r="JS12" s="141">
        <f t="shared" si="30"/>
        <v>48292163.206446074</v>
      </c>
      <c r="JT12" s="141">
        <f t="shared" si="30"/>
        <v>48292163.206446074</v>
      </c>
      <c r="JU12" s="141">
        <f t="shared" si="30"/>
        <v>48292163.206446074</v>
      </c>
      <c r="JV12" s="141">
        <f t="shared" si="30"/>
        <v>48292163.206446074</v>
      </c>
      <c r="JW12" s="141">
        <f t="shared" si="30"/>
        <v>48292163.206446074</v>
      </c>
      <c r="JX12" s="141">
        <f t="shared" si="30"/>
        <v>48292163.206446074</v>
      </c>
      <c r="JY12" s="141">
        <f t="shared" si="30"/>
        <v>48292163.206446074</v>
      </c>
      <c r="JZ12" s="141">
        <f t="shared" si="30"/>
        <v>48292163.206446074</v>
      </c>
      <c r="KA12" s="141">
        <f t="shared" si="30"/>
        <v>48292163.206446074</v>
      </c>
      <c r="KB12" s="141">
        <f t="shared" si="30"/>
        <v>48292163.206446074</v>
      </c>
      <c r="KC12" s="141">
        <f t="shared" si="30"/>
        <v>48292163.206446074</v>
      </c>
      <c r="KD12" s="141">
        <f t="shared" si="30"/>
        <v>48292163.206446074</v>
      </c>
      <c r="KE12" s="141">
        <f t="shared" si="30"/>
        <v>48292163.206446074</v>
      </c>
      <c r="KF12" s="141">
        <f t="shared" si="30"/>
        <v>48292163.206446074</v>
      </c>
      <c r="KG12" s="141">
        <f t="shared" si="30"/>
        <v>48292163.206446074</v>
      </c>
      <c r="KH12" s="141">
        <f t="shared" si="30"/>
        <v>48292163.206446074</v>
      </c>
      <c r="KI12" s="141">
        <f t="shared" si="30"/>
        <v>48292163.206446074</v>
      </c>
      <c r="KJ12" s="141">
        <f t="shared" si="30"/>
        <v>48292163.206446074</v>
      </c>
      <c r="KK12" s="141">
        <f t="shared" si="30"/>
        <v>48292163.206446074</v>
      </c>
      <c r="KL12" s="141">
        <f t="shared" si="30"/>
        <v>48292163.206446074</v>
      </c>
      <c r="KM12" s="141">
        <f t="shared" si="30"/>
        <v>48292163.206446074</v>
      </c>
      <c r="KN12" s="141">
        <f t="shared" si="30"/>
        <v>48292163.206446074</v>
      </c>
      <c r="KO12" s="141">
        <f t="shared" si="30"/>
        <v>48292163.206446074</v>
      </c>
      <c r="KP12" s="141">
        <f t="shared" si="30"/>
        <v>48292163.206446074</v>
      </c>
      <c r="KQ12" s="141">
        <f t="shared" si="30"/>
        <v>48292163.206446074</v>
      </c>
      <c r="KR12" s="141">
        <f t="shared" si="30"/>
        <v>48292163.206446074</v>
      </c>
      <c r="KS12" s="141">
        <f t="shared" si="30"/>
        <v>48292163.206446074</v>
      </c>
      <c r="KT12" s="141">
        <f t="shared" si="30"/>
        <v>48292163.206446074</v>
      </c>
      <c r="KU12" s="141">
        <f t="shared" si="30"/>
        <v>48292163.206446074</v>
      </c>
      <c r="KV12" s="141">
        <f t="shared" si="30"/>
        <v>48292163.206446074</v>
      </c>
      <c r="KW12" s="141">
        <f t="shared" si="30"/>
        <v>48292163.206446074</v>
      </c>
      <c r="KX12" s="141">
        <f t="shared" si="30"/>
        <v>48292163.206446074</v>
      </c>
      <c r="KY12" s="141">
        <f t="shared" si="30"/>
        <v>48292163.206446074</v>
      </c>
      <c r="KZ12" s="141">
        <f t="shared" si="30"/>
        <v>48292163.206446074</v>
      </c>
      <c r="LA12" s="141">
        <f t="shared" si="30"/>
        <v>48292163.206446074</v>
      </c>
      <c r="LB12" s="141">
        <f t="shared" si="30"/>
        <v>48292163.206446074</v>
      </c>
      <c r="LC12" s="141">
        <f t="shared" si="30"/>
        <v>48292163.206446074</v>
      </c>
      <c r="LD12" s="141">
        <f t="shared" si="30"/>
        <v>48292163.206446074</v>
      </c>
      <c r="LE12" s="118"/>
      <c r="LF12" s="129"/>
    </row>
    <row r="13" spans="1:794" s="118" customFormat="1">
      <c r="A13" s="910"/>
      <c r="E13" s="124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  <c r="IU13" s="135"/>
      <c r="IV13" s="135"/>
      <c r="IW13" s="135"/>
      <c r="IX13" s="135"/>
      <c r="IY13" s="135"/>
      <c r="IZ13" s="135"/>
      <c r="JA13" s="135"/>
      <c r="JB13" s="135"/>
      <c r="JC13" s="135"/>
      <c r="JD13" s="135"/>
      <c r="JE13" s="135"/>
      <c r="JF13" s="135"/>
      <c r="JG13" s="135"/>
      <c r="JH13" s="135"/>
      <c r="JI13" s="135"/>
      <c r="JJ13" s="135"/>
      <c r="JK13" s="135"/>
      <c r="JL13" s="135"/>
      <c r="JM13" s="135"/>
      <c r="JN13" s="135"/>
      <c r="JO13" s="135"/>
      <c r="JP13" s="135"/>
      <c r="JQ13" s="135"/>
      <c r="JR13" s="135"/>
      <c r="JS13" s="135"/>
      <c r="JT13" s="135"/>
      <c r="JU13" s="135"/>
      <c r="JV13" s="135"/>
      <c r="JW13" s="135"/>
      <c r="JX13" s="135"/>
      <c r="JY13" s="135"/>
      <c r="JZ13" s="135"/>
      <c r="KA13" s="135"/>
      <c r="KB13" s="135"/>
      <c r="KC13" s="135"/>
      <c r="KD13" s="135"/>
      <c r="KE13" s="135"/>
      <c r="KF13" s="135"/>
      <c r="KG13" s="135"/>
      <c r="KH13" s="135"/>
      <c r="KI13" s="135"/>
      <c r="KJ13" s="135"/>
      <c r="KK13" s="135"/>
      <c r="KL13" s="135"/>
      <c r="KM13" s="135"/>
      <c r="KN13" s="135"/>
      <c r="KO13" s="135"/>
      <c r="KP13" s="135"/>
      <c r="KQ13" s="135"/>
      <c r="KR13" s="135"/>
      <c r="KS13" s="135"/>
      <c r="KT13" s="135"/>
      <c r="KU13" s="135"/>
      <c r="KV13" s="135"/>
      <c r="KW13" s="135"/>
      <c r="KX13" s="135"/>
      <c r="KY13" s="135"/>
      <c r="KZ13" s="135"/>
      <c r="LA13" s="135"/>
      <c r="LB13" s="135"/>
      <c r="LC13" s="135"/>
      <c r="LD13" s="13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10"/>
      <c r="B14" s="131" t="s">
        <v>781</v>
      </c>
      <c r="C14" s="132"/>
      <c r="D14" s="132"/>
      <c r="E14" s="133"/>
      <c r="F14" s="134">
        <f t="shared" ref="F14:H14" si="31">F10-F12</f>
        <v>0</v>
      </c>
      <c r="G14" s="134">
        <f t="shared" si="31"/>
        <v>0</v>
      </c>
      <c r="H14" s="134">
        <f t="shared" si="31"/>
        <v>0</v>
      </c>
      <c r="I14" s="134">
        <f t="shared" ref="I14:BT14" si="32">I10-I12</f>
        <v>0</v>
      </c>
      <c r="J14" s="134">
        <f t="shared" si="32"/>
        <v>0</v>
      </c>
      <c r="K14" s="134">
        <f t="shared" si="32"/>
        <v>0</v>
      </c>
      <c r="L14" s="134">
        <f t="shared" si="32"/>
        <v>0</v>
      </c>
      <c r="M14" s="134">
        <f t="shared" si="32"/>
        <v>0</v>
      </c>
      <c r="N14" s="134">
        <f t="shared" si="32"/>
        <v>0</v>
      </c>
      <c r="O14" s="134">
        <f t="shared" si="32"/>
        <v>0</v>
      </c>
      <c r="P14" s="134">
        <f t="shared" si="32"/>
        <v>0</v>
      </c>
      <c r="Q14" s="134">
        <f t="shared" si="32"/>
        <v>0</v>
      </c>
      <c r="R14" s="134">
        <f t="shared" si="32"/>
        <v>0</v>
      </c>
      <c r="S14" s="134">
        <f t="shared" si="32"/>
        <v>0</v>
      </c>
      <c r="T14" s="134">
        <f t="shared" si="32"/>
        <v>0</v>
      </c>
      <c r="U14" s="134">
        <f t="shared" si="32"/>
        <v>0</v>
      </c>
      <c r="V14" s="134">
        <f t="shared" si="32"/>
        <v>0</v>
      </c>
      <c r="W14" s="134">
        <f t="shared" si="32"/>
        <v>0</v>
      </c>
      <c r="X14" s="134">
        <f t="shared" si="32"/>
        <v>0</v>
      </c>
      <c r="Y14" s="134">
        <f t="shared" si="32"/>
        <v>0</v>
      </c>
      <c r="Z14" s="134">
        <f t="shared" si="32"/>
        <v>-2875421.9278117996</v>
      </c>
      <c r="AA14" s="134">
        <f t="shared" si="32"/>
        <v>9173610.4721882008</v>
      </c>
      <c r="AB14" s="134">
        <f t="shared" si="32"/>
        <v>6970304.5321882013</v>
      </c>
      <c r="AC14" s="134">
        <f t="shared" si="32"/>
        <v>6954133.6921882015</v>
      </c>
      <c r="AD14" s="134">
        <f t="shared" si="32"/>
        <v>6943733.6921882015</v>
      </c>
      <c r="AE14" s="134">
        <f t="shared" si="32"/>
        <v>5052497.1921882015</v>
      </c>
      <c r="AF14" s="134">
        <f t="shared" si="32"/>
        <v>23031791.692188203</v>
      </c>
      <c r="AG14" s="134">
        <f t="shared" si="32"/>
        <v>22041487.432188202</v>
      </c>
      <c r="AH14" s="134">
        <f t="shared" si="32"/>
        <v>22019941.452188201</v>
      </c>
      <c r="AI14" s="134">
        <f t="shared" si="32"/>
        <v>22016813.682188202</v>
      </c>
      <c r="AJ14" s="134">
        <f t="shared" si="32"/>
        <v>22003059.822188202</v>
      </c>
      <c r="AK14" s="134">
        <f t="shared" si="32"/>
        <v>29202107.002188202</v>
      </c>
      <c r="AL14" s="134">
        <f t="shared" si="32"/>
        <v>23971523.472188205</v>
      </c>
      <c r="AM14" s="134">
        <f t="shared" si="32"/>
        <v>23830002.482188206</v>
      </c>
      <c r="AN14" s="134">
        <f t="shared" si="32"/>
        <v>32829252.482188206</v>
      </c>
      <c r="AO14" s="134">
        <f t="shared" si="32"/>
        <v>31315356.630014293</v>
      </c>
      <c r="AP14" s="134">
        <f t="shared" si="32"/>
        <v>27883569.520014293</v>
      </c>
      <c r="AQ14" s="134">
        <f t="shared" si="32"/>
        <v>27847864.370014295</v>
      </c>
      <c r="AR14" s="134">
        <f t="shared" si="32"/>
        <v>23906299.490014292</v>
      </c>
      <c r="AS14" s="134">
        <f t="shared" si="32"/>
        <v>23906299.490014292</v>
      </c>
      <c r="AT14" s="134">
        <f t="shared" si="32"/>
        <v>23485530.720014293</v>
      </c>
      <c r="AU14" s="134">
        <f t="shared" si="32"/>
        <v>23420803.840014294</v>
      </c>
      <c r="AV14" s="134">
        <f t="shared" si="32"/>
        <v>23404084.840014294</v>
      </c>
      <c r="AW14" s="134">
        <f t="shared" si="32"/>
        <v>23404084.840014294</v>
      </c>
      <c r="AX14" s="134">
        <f t="shared" si="32"/>
        <v>18508942.911379993</v>
      </c>
      <c r="AY14" s="134">
        <f t="shared" si="32"/>
        <v>18057979.191379994</v>
      </c>
      <c r="AZ14" s="134">
        <f t="shared" si="32"/>
        <v>17946409.871814776</v>
      </c>
      <c r="BA14" s="134">
        <f t="shared" si="32"/>
        <v>17014641.971814774</v>
      </c>
      <c r="BB14" s="134">
        <f t="shared" si="32"/>
        <v>16505323.971814774</v>
      </c>
      <c r="BC14" s="134">
        <f t="shared" si="32"/>
        <v>16281912.971814774</v>
      </c>
      <c r="BD14" s="134">
        <f t="shared" si="32"/>
        <v>14135238.86398869</v>
      </c>
      <c r="BE14" s="134">
        <f t="shared" si="32"/>
        <v>13003789.733553909</v>
      </c>
      <c r="BF14" s="134">
        <f t="shared" si="32"/>
        <v>11126051.77455391</v>
      </c>
      <c r="BG14" s="134">
        <f t="shared" si="32"/>
        <v>7410317.5539886951</v>
      </c>
      <c r="BH14" s="134">
        <f t="shared" si="32"/>
        <v>7373742.7039886937</v>
      </c>
      <c r="BI14" s="134">
        <f t="shared" si="32"/>
        <v>13323401.973553911</v>
      </c>
      <c r="BJ14" s="134">
        <f t="shared" si="32"/>
        <v>13323401.973553911</v>
      </c>
      <c r="BK14" s="134">
        <f t="shared" si="32"/>
        <v>13176268.493553914</v>
      </c>
      <c r="BL14" s="134">
        <f t="shared" si="32"/>
        <v>13104733.153553911</v>
      </c>
      <c r="BM14" s="134">
        <f t="shared" si="32"/>
        <v>12979517.543553911</v>
      </c>
      <c r="BN14" s="134">
        <f t="shared" si="32"/>
        <v>12979517.543553911</v>
      </c>
      <c r="BO14" s="134">
        <f t="shared" si="32"/>
        <v>15874283.876887247</v>
      </c>
      <c r="BP14" s="134">
        <f t="shared" si="32"/>
        <v>15442961.926887244</v>
      </c>
      <c r="BQ14" s="134">
        <f t="shared" si="32"/>
        <v>15442961.926887244</v>
      </c>
      <c r="BR14" s="134">
        <f t="shared" si="32"/>
        <v>15242961.926887244</v>
      </c>
      <c r="BS14" s="134">
        <f t="shared" si="32"/>
        <v>15087804.839930721</v>
      </c>
      <c r="BT14" s="134">
        <f t="shared" si="32"/>
        <v>14513164.839930721</v>
      </c>
      <c r="BU14" s="134">
        <f t="shared" ref="BU14:EF14" si="33">BU10-BU12</f>
        <v>14414878.323264055</v>
      </c>
      <c r="BV14" s="134">
        <f t="shared" si="33"/>
        <v>14414878.323264055</v>
      </c>
      <c r="BW14" s="134">
        <f t="shared" si="33"/>
        <v>14199151.730220579</v>
      </c>
      <c r="BX14" s="134">
        <f t="shared" si="33"/>
        <v>13594324.873553909</v>
      </c>
      <c r="BY14" s="134">
        <f t="shared" si="33"/>
        <v>13593624.873553909</v>
      </c>
      <c r="BZ14" s="134">
        <f t="shared" si="33"/>
        <v>13593624.873553909</v>
      </c>
      <c r="CA14" s="134">
        <f t="shared" si="33"/>
        <v>13593624.873553909</v>
      </c>
      <c r="CB14" s="134">
        <f t="shared" si="33"/>
        <v>13593624.873553909</v>
      </c>
      <c r="CC14" s="134">
        <f t="shared" si="33"/>
        <v>13255362.726887241</v>
      </c>
      <c r="CD14" s="134">
        <f t="shared" si="33"/>
        <v>13254662.726887241</v>
      </c>
      <c r="CE14" s="134">
        <f t="shared" si="33"/>
        <v>13254662.726887241</v>
      </c>
      <c r="CF14" s="134">
        <f t="shared" si="33"/>
        <v>13254662.726887241</v>
      </c>
      <c r="CG14" s="134">
        <f t="shared" si="33"/>
        <v>12650417.060220577</v>
      </c>
      <c r="CH14" s="134">
        <f t="shared" si="33"/>
        <v>12649717.060220577</v>
      </c>
      <c r="CI14" s="134">
        <f t="shared" si="33"/>
        <v>12649717.060220577</v>
      </c>
      <c r="CJ14" s="134">
        <f t="shared" si="33"/>
        <v>12649717.060220577</v>
      </c>
      <c r="CK14" s="134">
        <f t="shared" si="33"/>
        <v>12649717.060220577</v>
      </c>
      <c r="CL14" s="134">
        <f t="shared" si="33"/>
        <v>12567576.393553913</v>
      </c>
      <c r="CM14" s="134">
        <f t="shared" si="33"/>
        <v>12495680.793553911</v>
      </c>
      <c r="CN14" s="134">
        <f t="shared" si="33"/>
        <v>12495680.793553911</v>
      </c>
      <c r="CO14" s="134">
        <f t="shared" si="33"/>
        <v>12495680.793553911</v>
      </c>
      <c r="CP14" s="134">
        <f t="shared" si="33"/>
        <v>12413540.126887247</v>
      </c>
      <c r="CQ14" s="134">
        <f t="shared" si="33"/>
        <v>12413540.126887247</v>
      </c>
      <c r="CR14" s="134">
        <f t="shared" si="33"/>
        <v>12413540.126887247</v>
      </c>
      <c r="CS14" s="134">
        <f t="shared" si="33"/>
        <v>12413540.126887247</v>
      </c>
      <c r="CT14" s="134">
        <f t="shared" si="33"/>
        <v>12331399.460220583</v>
      </c>
      <c r="CU14" s="134">
        <f t="shared" si="33"/>
        <v>12331399.460220583</v>
      </c>
      <c r="CV14" s="134">
        <f t="shared" si="33"/>
        <v>12331399.460220583</v>
      </c>
      <c r="CW14" s="134">
        <f t="shared" si="33"/>
        <v>12331399.460220583</v>
      </c>
      <c r="CX14" s="134">
        <f t="shared" si="33"/>
        <v>12331399.460220583</v>
      </c>
      <c r="CY14" s="134">
        <f t="shared" si="33"/>
        <v>11949258.793553919</v>
      </c>
      <c r="CZ14" s="134">
        <f t="shared" si="33"/>
        <v>11949258.793553919</v>
      </c>
      <c r="DA14" s="134">
        <f t="shared" si="33"/>
        <v>11949258.793553919</v>
      </c>
      <c r="DB14" s="134">
        <f t="shared" si="33"/>
        <v>11949258.793553919</v>
      </c>
      <c r="DC14" s="134">
        <f t="shared" si="33"/>
        <v>11867118.126887254</v>
      </c>
      <c r="DD14" s="134">
        <f t="shared" si="33"/>
        <v>11867118.126887254</v>
      </c>
      <c r="DE14" s="134">
        <f t="shared" si="33"/>
        <v>11867118.126887254</v>
      </c>
      <c r="DF14" s="134">
        <f t="shared" si="33"/>
        <v>11867118.126887254</v>
      </c>
      <c r="DG14" s="134">
        <f t="shared" si="33"/>
        <v>11784977.46022059</v>
      </c>
      <c r="DH14" s="134">
        <f t="shared" si="33"/>
        <v>11784977.46022059</v>
      </c>
      <c r="DI14" s="134">
        <f t="shared" si="33"/>
        <v>11784977.46022059</v>
      </c>
      <c r="DJ14" s="134">
        <f t="shared" si="33"/>
        <v>11784977.46022059</v>
      </c>
      <c r="DK14" s="134">
        <f t="shared" si="33"/>
        <v>11702836.793553926</v>
      </c>
      <c r="DL14" s="134">
        <f t="shared" si="33"/>
        <v>11702836.793553926</v>
      </c>
      <c r="DM14" s="134">
        <f t="shared" si="33"/>
        <v>11702836.793553926</v>
      </c>
      <c r="DN14" s="134">
        <f t="shared" si="33"/>
        <v>11702836.793553926</v>
      </c>
      <c r="DO14" s="134">
        <f t="shared" si="33"/>
        <v>11702836.793553926</v>
      </c>
      <c r="DP14" s="134">
        <f t="shared" si="33"/>
        <v>11702836.793553926</v>
      </c>
      <c r="DQ14" s="134">
        <f t="shared" si="33"/>
        <v>11702836.793553926</v>
      </c>
      <c r="DR14" s="134">
        <f t="shared" si="33"/>
        <v>11702836.793553926</v>
      </c>
      <c r="DS14" s="134">
        <f t="shared" si="33"/>
        <v>11702836.793553926</v>
      </c>
      <c r="DT14" s="134">
        <f t="shared" si="33"/>
        <v>11702836.793553926</v>
      </c>
      <c r="DU14" s="134">
        <f t="shared" si="33"/>
        <v>11702836.793553926</v>
      </c>
      <c r="DV14" s="134">
        <f t="shared" si="33"/>
        <v>11702836.793553926</v>
      </c>
      <c r="DW14" s="134">
        <f t="shared" si="33"/>
        <v>11702836.793553926</v>
      </c>
      <c r="DX14" s="134">
        <f t="shared" si="33"/>
        <v>11702836.793553926</v>
      </c>
      <c r="DY14" s="134">
        <f t="shared" si="33"/>
        <v>11702836.793553926</v>
      </c>
      <c r="DZ14" s="134">
        <f t="shared" si="33"/>
        <v>11702836.793553926</v>
      </c>
      <c r="EA14" s="134">
        <f t="shared" si="33"/>
        <v>11702836.793553926</v>
      </c>
      <c r="EB14" s="134">
        <f t="shared" si="33"/>
        <v>11702836.793553926</v>
      </c>
      <c r="EC14" s="134">
        <f t="shared" si="33"/>
        <v>11702836.793553926</v>
      </c>
      <c r="ED14" s="134">
        <f t="shared" si="33"/>
        <v>11702836.793553926</v>
      </c>
      <c r="EE14" s="134">
        <f t="shared" si="33"/>
        <v>11702836.793553926</v>
      </c>
      <c r="EF14" s="134">
        <f t="shared" si="33"/>
        <v>11702836.793553926</v>
      </c>
      <c r="EG14" s="134">
        <f t="shared" ref="EG14:GR14" si="34">EG10-EG12</f>
        <v>11702836.793553926</v>
      </c>
      <c r="EH14" s="134">
        <f t="shared" si="34"/>
        <v>11702836.793553926</v>
      </c>
      <c r="EI14" s="134">
        <f t="shared" si="34"/>
        <v>11702836.793553926</v>
      </c>
      <c r="EJ14" s="134">
        <f t="shared" si="34"/>
        <v>11702836.793553926</v>
      </c>
      <c r="EK14" s="134">
        <f t="shared" si="34"/>
        <v>11702836.793553926</v>
      </c>
      <c r="EL14" s="134">
        <f t="shared" si="34"/>
        <v>11702836.793553926</v>
      </c>
      <c r="EM14" s="134">
        <f t="shared" si="34"/>
        <v>11702836.793553926</v>
      </c>
      <c r="EN14" s="134">
        <f t="shared" si="34"/>
        <v>11702836.793553926</v>
      </c>
      <c r="EO14" s="134">
        <f t="shared" si="34"/>
        <v>11702836.793553926</v>
      </c>
      <c r="EP14" s="134">
        <f t="shared" si="34"/>
        <v>11702836.793553926</v>
      </c>
      <c r="EQ14" s="134">
        <f t="shared" si="34"/>
        <v>11702836.793553926</v>
      </c>
      <c r="ER14" s="134">
        <f t="shared" si="34"/>
        <v>11702836.793553926</v>
      </c>
      <c r="ES14" s="134">
        <f t="shared" si="34"/>
        <v>11702836.793553926</v>
      </c>
      <c r="ET14" s="134">
        <f t="shared" si="34"/>
        <v>11702836.793553926</v>
      </c>
      <c r="EU14" s="134">
        <f t="shared" si="34"/>
        <v>11702836.793553926</v>
      </c>
      <c r="EV14" s="134">
        <f t="shared" si="34"/>
        <v>11702836.793553926</v>
      </c>
      <c r="EW14" s="134">
        <f t="shared" si="34"/>
        <v>11702836.793553926</v>
      </c>
      <c r="EX14" s="134">
        <f t="shared" si="34"/>
        <v>11702836.793553926</v>
      </c>
      <c r="EY14" s="134">
        <f t="shared" si="34"/>
        <v>11702836.793553926</v>
      </c>
      <c r="EZ14" s="134">
        <f t="shared" si="34"/>
        <v>11702836.793553926</v>
      </c>
      <c r="FA14" s="134">
        <f t="shared" si="34"/>
        <v>11702836.793553926</v>
      </c>
      <c r="FB14" s="134">
        <f t="shared" si="34"/>
        <v>11702836.793553926</v>
      </c>
      <c r="FC14" s="134">
        <f t="shared" si="34"/>
        <v>11702836.793553926</v>
      </c>
      <c r="FD14" s="134">
        <f t="shared" si="34"/>
        <v>11702836.793553926</v>
      </c>
      <c r="FE14" s="134">
        <f t="shared" si="34"/>
        <v>11702836.793553926</v>
      </c>
      <c r="FF14" s="134">
        <f t="shared" si="34"/>
        <v>11702836.793553926</v>
      </c>
      <c r="FG14" s="134">
        <f t="shared" si="34"/>
        <v>11702836.793553926</v>
      </c>
      <c r="FH14" s="134">
        <f t="shared" si="34"/>
        <v>11702836.793553926</v>
      </c>
      <c r="FI14" s="134">
        <f t="shared" si="34"/>
        <v>11702836.793553926</v>
      </c>
      <c r="FJ14" s="134">
        <f t="shared" si="34"/>
        <v>11702836.793553926</v>
      </c>
      <c r="FK14" s="134">
        <f t="shared" si="34"/>
        <v>11702836.793553926</v>
      </c>
      <c r="FL14" s="134">
        <f t="shared" si="34"/>
        <v>11702836.793553926</v>
      </c>
      <c r="FM14" s="134">
        <f t="shared" si="34"/>
        <v>11702836.793553926</v>
      </c>
      <c r="FN14" s="134">
        <f t="shared" si="34"/>
        <v>11702836.793553926</v>
      </c>
      <c r="FO14" s="134">
        <f t="shared" si="34"/>
        <v>11702836.793553926</v>
      </c>
      <c r="FP14" s="134">
        <f t="shared" si="34"/>
        <v>11702836.793553926</v>
      </c>
      <c r="FQ14" s="134">
        <f t="shared" si="34"/>
        <v>11702836.793553926</v>
      </c>
      <c r="FR14" s="134">
        <f t="shared" si="34"/>
        <v>11702836.793553926</v>
      </c>
      <c r="FS14" s="134">
        <f t="shared" si="34"/>
        <v>11702836.793553926</v>
      </c>
      <c r="FT14" s="134">
        <f t="shared" si="34"/>
        <v>11702836.793553926</v>
      </c>
      <c r="FU14" s="134">
        <f t="shared" si="34"/>
        <v>11702836.793553926</v>
      </c>
      <c r="FV14" s="134">
        <f t="shared" si="34"/>
        <v>11702836.793553926</v>
      </c>
      <c r="FW14" s="134">
        <f t="shared" si="34"/>
        <v>11702836.793553926</v>
      </c>
      <c r="FX14" s="134">
        <f t="shared" si="34"/>
        <v>11702836.793553926</v>
      </c>
      <c r="FY14" s="134">
        <f t="shared" si="34"/>
        <v>11702836.793553926</v>
      </c>
      <c r="FZ14" s="134">
        <f t="shared" si="34"/>
        <v>11702836.793553926</v>
      </c>
      <c r="GA14" s="134">
        <f t="shared" si="34"/>
        <v>11702836.793553926</v>
      </c>
      <c r="GB14" s="134">
        <f t="shared" si="34"/>
        <v>11702836.793553926</v>
      </c>
      <c r="GC14" s="134">
        <f t="shared" si="34"/>
        <v>11702836.793553926</v>
      </c>
      <c r="GD14" s="134">
        <f t="shared" si="34"/>
        <v>11702836.793553926</v>
      </c>
      <c r="GE14" s="134">
        <f t="shared" si="34"/>
        <v>11702836.793553926</v>
      </c>
      <c r="GF14" s="134">
        <f t="shared" si="34"/>
        <v>11702836.793553926</v>
      </c>
      <c r="GG14" s="134">
        <f t="shared" si="34"/>
        <v>11702836.793553926</v>
      </c>
      <c r="GH14" s="134">
        <f t="shared" si="34"/>
        <v>11702836.793553926</v>
      </c>
      <c r="GI14" s="134">
        <f t="shared" si="34"/>
        <v>11702836.793553926</v>
      </c>
      <c r="GJ14" s="134">
        <f t="shared" si="34"/>
        <v>11702836.793553926</v>
      </c>
      <c r="GK14" s="134">
        <f t="shared" si="34"/>
        <v>11702836.793553926</v>
      </c>
      <c r="GL14" s="134">
        <f t="shared" si="34"/>
        <v>11702836.793553926</v>
      </c>
      <c r="GM14" s="134">
        <f t="shared" si="34"/>
        <v>11702836.793553926</v>
      </c>
      <c r="GN14" s="134">
        <f t="shared" si="34"/>
        <v>11702836.793553926</v>
      </c>
      <c r="GO14" s="134">
        <f t="shared" si="34"/>
        <v>11702836.793553926</v>
      </c>
      <c r="GP14" s="134">
        <f t="shared" si="34"/>
        <v>11702836.793553926</v>
      </c>
      <c r="GQ14" s="134">
        <f t="shared" si="34"/>
        <v>11702836.793553926</v>
      </c>
      <c r="GR14" s="134">
        <f t="shared" si="34"/>
        <v>11702836.793553926</v>
      </c>
      <c r="GS14" s="134">
        <f t="shared" ref="GS14:JD14" si="35">GS10-GS12</f>
        <v>11702836.793553926</v>
      </c>
      <c r="GT14" s="134">
        <f t="shared" si="35"/>
        <v>11702836.793553926</v>
      </c>
      <c r="GU14" s="134">
        <f t="shared" si="35"/>
        <v>11702836.793553926</v>
      </c>
      <c r="GV14" s="134">
        <f t="shared" si="35"/>
        <v>11702836.793553926</v>
      </c>
      <c r="GW14" s="134">
        <f t="shared" si="35"/>
        <v>11702836.793553926</v>
      </c>
      <c r="GX14" s="134">
        <f t="shared" si="35"/>
        <v>11702836.793553926</v>
      </c>
      <c r="GY14" s="134">
        <f t="shared" si="35"/>
        <v>11702836.793553926</v>
      </c>
      <c r="GZ14" s="134">
        <f t="shared" si="35"/>
        <v>11702836.793553926</v>
      </c>
      <c r="HA14" s="134">
        <f t="shared" si="35"/>
        <v>11702836.793553926</v>
      </c>
      <c r="HB14" s="134">
        <f t="shared" si="35"/>
        <v>11702836.793553926</v>
      </c>
      <c r="HC14" s="134">
        <f t="shared" si="35"/>
        <v>11702836.793553926</v>
      </c>
      <c r="HD14" s="134">
        <f t="shared" si="35"/>
        <v>11702836.793553926</v>
      </c>
      <c r="HE14" s="134">
        <f t="shared" si="35"/>
        <v>11702836.793553926</v>
      </c>
      <c r="HF14" s="134">
        <f t="shared" si="35"/>
        <v>11702836.793553926</v>
      </c>
      <c r="HG14" s="134">
        <f t="shared" si="35"/>
        <v>11702836.793553926</v>
      </c>
      <c r="HH14" s="134">
        <f t="shared" si="35"/>
        <v>11702836.793553926</v>
      </c>
      <c r="HI14" s="134">
        <f t="shared" si="35"/>
        <v>11702836.793553926</v>
      </c>
      <c r="HJ14" s="134">
        <f t="shared" si="35"/>
        <v>11702836.793553926</v>
      </c>
      <c r="HK14" s="134">
        <f t="shared" si="35"/>
        <v>11702836.793553926</v>
      </c>
      <c r="HL14" s="134">
        <f t="shared" si="35"/>
        <v>11702836.793553926</v>
      </c>
      <c r="HM14" s="134">
        <f t="shared" si="35"/>
        <v>11702836.793553926</v>
      </c>
      <c r="HN14" s="134">
        <f t="shared" si="35"/>
        <v>11702836.793553926</v>
      </c>
      <c r="HO14" s="134">
        <f t="shared" si="35"/>
        <v>11702836.793553926</v>
      </c>
      <c r="HP14" s="134">
        <f t="shared" si="35"/>
        <v>11702836.793553926</v>
      </c>
      <c r="HQ14" s="134">
        <f t="shared" si="35"/>
        <v>11702836.793553926</v>
      </c>
      <c r="HR14" s="134">
        <f t="shared" si="35"/>
        <v>11702836.793553926</v>
      </c>
      <c r="HS14" s="134">
        <f t="shared" si="35"/>
        <v>11702836.793553926</v>
      </c>
      <c r="HT14" s="134">
        <f t="shared" si="35"/>
        <v>11702836.793553926</v>
      </c>
      <c r="HU14" s="134">
        <f t="shared" si="35"/>
        <v>11702836.793553926</v>
      </c>
      <c r="HV14" s="134">
        <f t="shared" si="35"/>
        <v>11702836.793553926</v>
      </c>
      <c r="HW14" s="134">
        <f t="shared" si="35"/>
        <v>11702836.793553926</v>
      </c>
      <c r="HX14" s="134">
        <f t="shared" si="35"/>
        <v>11702836.793553926</v>
      </c>
      <c r="HY14" s="134">
        <f t="shared" si="35"/>
        <v>11702836.793553926</v>
      </c>
      <c r="HZ14" s="134">
        <f t="shared" si="35"/>
        <v>11702836.793553926</v>
      </c>
      <c r="IA14" s="134">
        <f t="shared" si="35"/>
        <v>11702836.793553926</v>
      </c>
      <c r="IB14" s="134">
        <f t="shared" si="35"/>
        <v>11702836.793553926</v>
      </c>
      <c r="IC14" s="134">
        <f t="shared" si="35"/>
        <v>11702836.793553926</v>
      </c>
      <c r="ID14" s="134">
        <f t="shared" si="35"/>
        <v>11702836.793553926</v>
      </c>
      <c r="IE14" s="134">
        <f t="shared" si="35"/>
        <v>11702836.793553926</v>
      </c>
      <c r="IF14" s="134">
        <f t="shared" si="35"/>
        <v>11702836.793553926</v>
      </c>
      <c r="IG14" s="134">
        <f t="shared" si="35"/>
        <v>11702836.793553926</v>
      </c>
      <c r="IH14" s="134">
        <f t="shared" si="35"/>
        <v>11702836.793553926</v>
      </c>
      <c r="II14" s="134">
        <f t="shared" si="35"/>
        <v>11702836.793553926</v>
      </c>
      <c r="IJ14" s="134">
        <f t="shared" si="35"/>
        <v>11702836.793553926</v>
      </c>
      <c r="IK14" s="134">
        <f t="shared" si="35"/>
        <v>11702836.793553926</v>
      </c>
      <c r="IL14" s="134">
        <f t="shared" si="35"/>
        <v>11702836.793553926</v>
      </c>
      <c r="IM14" s="134">
        <f t="shared" si="35"/>
        <v>11702836.793553926</v>
      </c>
      <c r="IN14" s="134">
        <f t="shared" si="35"/>
        <v>11702836.793553926</v>
      </c>
      <c r="IO14" s="134">
        <f t="shared" si="35"/>
        <v>11702836.793553926</v>
      </c>
      <c r="IP14" s="134">
        <f t="shared" si="35"/>
        <v>11702836.793553926</v>
      </c>
      <c r="IQ14" s="134">
        <f t="shared" si="35"/>
        <v>11702836.793553926</v>
      </c>
      <c r="IR14" s="134">
        <f t="shared" si="35"/>
        <v>11702836.793553926</v>
      </c>
      <c r="IS14" s="134">
        <f t="shared" si="35"/>
        <v>11702836.793553926</v>
      </c>
      <c r="IT14" s="134">
        <f t="shared" si="35"/>
        <v>11702836.793553926</v>
      </c>
      <c r="IU14" s="134">
        <f t="shared" si="35"/>
        <v>11702836.793553926</v>
      </c>
      <c r="IV14" s="134">
        <f t="shared" si="35"/>
        <v>11702836.793553926</v>
      </c>
      <c r="IW14" s="134">
        <f t="shared" si="35"/>
        <v>11702836.793553926</v>
      </c>
      <c r="IX14" s="134">
        <f t="shared" si="35"/>
        <v>11702836.793553926</v>
      </c>
      <c r="IY14" s="134">
        <f t="shared" si="35"/>
        <v>11702836.793553926</v>
      </c>
      <c r="IZ14" s="134">
        <f t="shared" si="35"/>
        <v>11702836.793553926</v>
      </c>
      <c r="JA14" s="134">
        <f t="shared" si="35"/>
        <v>11702836.793553926</v>
      </c>
      <c r="JB14" s="134">
        <f t="shared" si="35"/>
        <v>11702836.793553926</v>
      </c>
      <c r="JC14" s="134">
        <f t="shared" si="35"/>
        <v>11702836.793553926</v>
      </c>
      <c r="JD14" s="134">
        <f t="shared" si="35"/>
        <v>11702836.793553926</v>
      </c>
      <c r="JE14" s="134">
        <f t="shared" ref="JE14:LD14" si="36">JE10-JE12</f>
        <v>11702836.793553926</v>
      </c>
      <c r="JF14" s="134">
        <f t="shared" si="36"/>
        <v>11702836.793553926</v>
      </c>
      <c r="JG14" s="134">
        <f t="shared" si="36"/>
        <v>11702836.793553926</v>
      </c>
      <c r="JH14" s="134">
        <f t="shared" si="36"/>
        <v>11702836.793553926</v>
      </c>
      <c r="JI14" s="134">
        <f t="shared" si="36"/>
        <v>11702836.793553926</v>
      </c>
      <c r="JJ14" s="134">
        <f t="shared" si="36"/>
        <v>11702836.793553926</v>
      </c>
      <c r="JK14" s="134">
        <f t="shared" si="36"/>
        <v>11702836.793553926</v>
      </c>
      <c r="JL14" s="134">
        <f t="shared" si="36"/>
        <v>11702836.793553926</v>
      </c>
      <c r="JM14" s="134">
        <f t="shared" si="36"/>
        <v>11702836.793553926</v>
      </c>
      <c r="JN14" s="134">
        <f t="shared" si="36"/>
        <v>11702836.793553926</v>
      </c>
      <c r="JO14" s="134">
        <f t="shared" si="36"/>
        <v>11702836.793553926</v>
      </c>
      <c r="JP14" s="134">
        <f t="shared" si="36"/>
        <v>11702836.793553926</v>
      </c>
      <c r="JQ14" s="134">
        <f t="shared" si="36"/>
        <v>11702836.793553926</v>
      </c>
      <c r="JR14" s="134">
        <f t="shared" si="36"/>
        <v>11702836.793553926</v>
      </c>
      <c r="JS14" s="134">
        <f t="shared" si="36"/>
        <v>11702836.793553926</v>
      </c>
      <c r="JT14" s="134">
        <f t="shared" si="36"/>
        <v>11702836.793553926</v>
      </c>
      <c r="JU14" s="134">
        <f t="shared" si="36"/>
        <v>11702836.793553926</v>
      </c>
      <c r="JV14" s="134">
        <f t="shared" si="36"/>
        <v>11702836.793553926</v>
      </c>
      <c r="JW14" s="134">
        <f t="shared" si="36"/>
        <v>11702836.793553926</v>
      </c>
      <c r="JX14" s="134">
        <f t="shared" si="36"/>
        <v>11702836.793553926</v>
      </c>
      <c r="JY14" s="134">
        <f t="shared" si="36"/>
        <v>11702836.793553926</v>
      </c>
      <c r="JZ14" s="134">
        <f t="shared" si="36"/>
        <v>11702836.793553926</v>
      </c>
      <c r="KA14" s="134">
        <f t="shared" si="36"/>
        <v>11702836.793553926</v>
      </c>
      <c r="KB14" s="134">
        <f t="shared" si="36"/>
        <v>11702836.793553926</v>
      </c>
      <c r="KC14" s="134">
        <f t="shared" si="36"/>
        <v>11702836.793553926</v>
      </c>
      <c r="KD14" s="134">
        <f t="shared" si="36"/>
        <v>11702836.793553926</v>
      </c>
      <c r="KE14" s="134">
        <f t="shared" si="36"/>
        <v>11702836.793553926</v>
      </c>
      <c r="KF14" s="134">
        <f t="shared" si="36"/>
        <v>11702836.793553926</v>
      </c>
      <c r="KG14" s="134">
        <f t="shared" si="36"/>
        <v>11702836.793553926</v>
      </c>
      <c r="KH14" s="134">
        <f t="shared" si="36"/>
        <v>11702836.793553926</v>
      </c>
      <c r="KI14" s="134">
        <f t="shared" si="36"/>
        <v>11702836.793553926</v>
      </c>
      <c r="KJ14" s="134">
        <f t="shared" si="36"/>
        <v>11702836.793553926</v>
      </c>
      <c r="KK14" s="134">
        <f t="shared" si="36"/>
        <v>11702836.793553926</v>
      </c>
      <c r="KL14" s="134">
        <f t="shared" si="36"/>
        <v>11702836.793553926</v>
      </c>
      <c r="KM14" s="134">
        <f t="shared" si="36"/>
        <v>11702836.793553926</v>
      </c>
      <c r="KN14" s="134">
        <f t="shared" si="36"/>
        <v>11702836.793553926</v>
      </c>
      <c r="KO14" s="134">
        <f t="shared" si="36"/>
        <v>11702836.793553926</v>
      </c>
      <c r="KP14" s="134">
        <f t="shared" si="36"/>
        <v>11702836.793553926</v>
      </c>
      <c r="KQ14" s="134">
        <f t="shared" si="36"/>
        <v>11702836.793553926</v>
      </c>
      <c r="KR14" s="134">
        <f t="shared" si="36"/>
        <v>11702836.793553926</v>
      </c>
      <c r="KS14" s="134">
        <f t="shared" si="36"/>
        <v>11702836.793553926</v>
      </c>
      <c r="KT14" s="134">
        <f t="shared" si="36"/>
        <v>11702836.793553926</v>
      </c>
      <c r="KU14" s="134">
        <f t="shared" si="36"/>
        <v>11702836.793553926</v>
      </c>
      <c r="KV14" s="134">
        <f t="shared" si="36"/>
        <v>11702836.793553926</v>
      </c>
      <c r="KW14" s="134">
        <f t="shared" si="36"/>
        <v>11702836.793553926</v>
      </c>
      <c r="KX14" s="134">
        <f t="shared" si="36"/>
        <v>11702836.793553926</v>
      </c>
      <c r="KY14" s="134">
        <f t="shared" si="36"/>
        <v>11702836.793553926</v>
      </c>
      <c r="KZ14" s="134">
        <f t="shared" si="36"/>
        <v>11702836.793553926</v>
      </c>
      <c r="LA14" s="134">
        <f t="shared" si="36"/>
        <v>11702836.793553926</v>
      </c>
      <c r="LB14" s="134">
        <f t="shared" si="36"/>
        <v>11702836.793553926</v>
      </c>
      <c r="LC14" s="134">
        <f t="shared" si="36"/>
        <v>11702836.793553926</v>
      </c>
      <c r="LD14" s="134">
        <f t="shared" si="36"/>
        <v>11702836.793553926</v>
      </c>
    </row>
    <row r="15" spans="1:794" s="118" customFormat="1"/>
    <row r="16" spans="1:794" s="118" customFormat="1">
      <c r="C16" s="120" t="s">
        <v>265</v>
      </c>
      <c r="D16" s="120" t="s">
        <v>265</v>
      </c>
    </row>
    <row r="17" spans="1:316">
      <c r="A17" s="911"/>
      <c r="B17" s="122" t="s">
        <v>782</v>
      </c>
      <c r="C17" s="300">
        <f>C3-D17</f>
        <v>-5000.0029437839985</v>
      </c>
      <c r="D17" s="123">
        <f>SUM(F17:LD17)</f>
        <v>60000000.002943784</v>
      </c>
      <c r="E17" s="133"/>
      <c r="F17" s="141">
        <f>SUMIFS('Expenditure Breakdown'!$U$6:$U$447, 'Expenditure Breakdown'!$T$6:$T$447, "&gt;="&amp;F1,'Expenditure Breakdown'!$T$6:$T$447, "&lt;"&amp;G1)</f>
        <v>0</v>
      </c>
      <c r="G17" s="141">
        <f>SUMIFS('Expenditure Breakdown'!$U$6:$U$447, 'Expenditure Breakdown'!$T$6:$T$447, "&gt;="&amp;G1,'Expenditure Breakdown'!$T$6:$T$447, "&lt;"&amp;H1)</f>
        <v>0</v>
      </c>
      <c r="H17" s="141">
        <f>SUMIFS('Expenditure Breakdown'!$U$6:$U$447, 'Expenditure Breakdown'!$T$6:$T$447, "&gt;="&amp;H1,'Expenditure Breakdown'!$T$6:$T$447, "&lt;"&amp;I1)</f>
        <v>0</v>
      </c>
      <c r="I17" s="141">
        <f>SUMIFS('Expenditure Breakdown'!$U$6:$U$447, 'Expenditure Breakdown'!$T$6:$T$447, "&gt;="&amp;I1,'Expenditure Breakdown'!$T$6:$T$447, "&lt;"&amp;J1)</f>
        <v>0</v>
      </c>
      <c r="J17" s="141">
        <f>SUMIFS('Expenditure Breakdown'!$U$6:$U$447, 'Expenditure Breakdown'!$T$6:$T$447, "&gt;="&amp;J1,'Expenditure Breakdown'!$T$6:$T$447, "&lt;"&amp;K1)</f>
        <v>0</v>
      </c>
      <c r="K17" s="141">
        <f>SUMIFS('Expenditure Breakdown'!$U$6:$U$447, 'Expenditure Breakdown'!$T$6:$T$447, "&gt;="&amp;K1,'Expenditure Breakdown'!$T$6:$T$447, "&lt;"&amp;L1)</f>
        <v>0</v>
      </c>
      <c r="L17" s="141">
        <f>SUMIFS('Expenditure Breakdown'!$U$6:$U$447, 'Expenditure Breakdown'!$T$6:$T$447, "&gt;="&amp;L1,'Expenditure Breakdown'!$T$6:$T$447, "&lt;"&amp;M1)</f>
        <v>0</v>
      </c>
      <c r="M17" s="141">
        <f>SUMIFS('Expenditure Breakdown'!$U$6:$U$447, 'Expenditure Breakdown'!$T$6:$T$447, "&gt;="&amp;M1,'Expenditure Breakdown'!$T$6:$T$447, "&lt;"&amp;N1)</f>
        <v>0</v>
      </c>
      <c r="N17" s="141">
        <f>SUMIFS('Expenditure Breakdown'!$U$6:$U$447, 'Expenditure Breakdown'!$T$6:$T$447, "&gt;="&amp;N1,'Expenditure Breakdown'!$T$6:$T$447, "&lt;"&amp;O1)</f>
        <v>0</v>
      </c>
      <c r="O17" s="141">
        <f>SUMIFS('Expenditure Breakdown'!$U$6:$U$447, 'Expenditure Breakdown'!$T$6:$T$447, "&gt;="&amp;O1,'Expenditure Breakdown'!$T$6:$T$447, "&lt;"&amp;P1)</f>
        <v>0</v>
      </c>
      <c r="P17" s="141">
        <f>SUMIFS('Expenditure Breakdown'!$U$6:$U$447, 'Expenditure Breakdown'!$T$6:$T$447, "&gt;="&amp;P1,'Expenditure Breakdown'!$T$6:$T$447, "&lt;"&amp;Q1)</f>
        <v>0</v>
      </c>
      <c r="Q17" s="141">
        <f>SUMIFS('Expenditure Breakdown'!$U$6:$U$447, 'Expenditure Breakdown'!$T$6:$T$447, "&gt;="&amp;Q1,'Expenditure Breakdown'!$T$6:$T$447, "&lt;"&amp;R1)</f>
        <v>0</v>
      </c>
      <c r="R17" s="141">
        <f>SUMIFS('Expenditure Breakdown'!$U$6:$U$447, 'Expenditure Breakdown'!$T$6:$T$447, "&gt;="&amp;R1,'Expenditure Breakdown'!$T$6:$T$447, "&lt;"&amp;S1)</f>
        <v>0</v>
      </c>
      <c r="S17" s="141">
        <f>SUMIFS('Expenditure Breakdown'!$U$6:$U$447, 'Expenditure Breakdown'!$T$6:$T$447, "&gt;="&amp;S1,'Expenditure Breakdown'!$T$6:$T$447, "&lt;"&amp;T1)</f>
        <v>0</v>
      </c>
      <c r="T17" s="141">
        <f>SUMIFS('Expenditure Breakdown'!$U$6:$U$447, 'Expenditure Breakdown'!$T$6:$T$447, "&gt;="&amp;T1,'Expenditure Breakdown'!$T$6:$T$447, "&lt;"&amp;U1)</f>
        <v>0</v>
      </c>
      <c r="U17" s="141">
        <f>SUMIFS('Expenditure Breakdown'!$U$6:$U$447, 'Expenditure Breakdown'!$T$6:$T$447, "&gt;="&amp;U1,'Expenditure Breakdown'!$T$6:$T$447, "&lt;"&amp;V1)</f>
        <v>0</v>
      </c>
      <c r="V17" s="141">
        <f>SUMIFS('Expenditure Breakdown'!$U$6:$U$447, 'Expenditure Breakdown'!$T$6:$T$447, "&gt;="&amp;V1,'Expenditure Breakdown'!$T$6:$T$447, "&lt;"&amp;W1)</f>
        <v>0</v>
      </c>
      <c r="W17" s="141">
        <f>SUMIFS('Expenditure Breakdown'!$U$6:$U$447, 'Expenditure Breakdown'!$T$6:$T$447, "&gt;="&amp;W1,'Expenditure Breakdown'!$T$6:$T$447, "&lt;"&amp;X1)</f>
        <v>0</v>
      </c>
      <c r="X17" s="141">
        <f>SUMIFS('Expenditure Breakdown'!$U$6:$U$447, 'Expenditure Breakdown'!$T$6:$T$447, "&gt;="&amp;X1,'Expenditure Breakdown'!$T$6:$T$447, "&lt;"&amp;Y1)</f>
        <v>0</v>
      </c>
      <c r="Y17" s="141">
        <f>SUMIFS('Expenditure Breakdown'!$U$6:$U$447, 'Expenditure Breakdown'!$T$6:$T$447, "&gt;="&amp;Y1,'Expenditure Breakdown'!$T$6:$T$447, "&lt;"&amp;Z1)</f>
        <v>0</v>
      </c>
      <c r="Z17" s="141">
        <f>SUMIFS('Expenditure Breakdown'!$U$6:$U$447, 'Expenditure Breakdown'!$T$6:$T$447, "&gt;="&amp;Z1,'Expenditure Breakdown'!$T$6:$T$447, "&lt;"&amp;AA1)</f>
        <v>0</v>
      </c>
      <c r="AA17" s="141">
        <f>SUMIFS('Expenditure Breakdown'!$U$6:$U$447, 'Expenditure Breakdown'!$T$6:$T$447, "&gt;="&amp;AA1,'Expenditure Breakdown'!$T$6:$T$447, "&lt;"&amp;AB1)</f>
        <v>0</v>
      </c>
      <c r="AB17" s="141">
        <f>SUMIFS('Expenditure Breakdown'!$U$6:$U$447, 'Expenditure Breakdown'!$T$6:$T$447, "&gt;="&amp;AB1,'Expenditure Breakdown'!$T$6:$T$447, "&lt;"&amp;AC1)</f>
        <v>0</v>
      </c>
      <c r="AC17" s="141">
        <f>SUMIFS('Expenditure Breakdown'!$U$6:$U$447, 'Expenditure Breakdown'!$T$6:$T$447, "&gt;="&amp;AC1,'Expenditure Breakdown'!$T$6:$T$447, "&lt;"&amp;AD1)</f>
        <v>8815197.7094932552</v>
      </c>
      <c r="AD17" s="141">
        <f>SUMIFS('Expenditure Breakdown'!$U$6:$U$447, 'Expenditure Breakdown'!$T$6:$T$447, "&gt;="&amp;AD1,'Expenditure Breakdown'!$T$6:$T$447, "&lt;"&amp;AE1)</f>
        <v>0</v>
      </c>
      <c r="AE17" s="141">
        <f>SUMIFS('Expenditure Breakdown'!$U$6:$U$447, 'Expenditure Breakdown'!$T$6:$T$447, "&gt;="&amp;AE1,'Expenditure Breakdown'!$T$6:$T$447, "&lt;"&amp;AF1)</f>
        <v>0</v>
      </c>
      <c r="AF17" s="141">
        <f>SUMIFS('Expenditure Breakdown'!$U$6:$U$447, 'Expenditure Breakdown'!$T$6:$T$447, "&gt;="&amp;AF1,'Expenditure Breakdown'!$T$6:$T$447, "&lt;"&amp;AG1)</f>
        <v>0</v>
      </c>
      <c r="AG17" s="141">
        <f>SUMIFS('Expenditure Breakdown'!$U$6:$U$447, 'Expenditure Breakdown'!$T$6:$T$447, "&gt;="&amp;AG1,'Expenditure Breakdown'!$T$6:$T$447, "&lt;"&amp;AH1)</f>
        <v>25270274.790430568</v>
      </c>
      <c r="AH17" s="141">
        <f>SUMIFS('Expenditure Breakdown'!$U$6:$U$447, 'Expenditure Breakdown'!$T$6:$T$447, "&gt;="&amp;AH1,'Expenditure Breakdown'!$T$6:$T$447, "&lt;"&amp;AI1)</f>
        <v>0</v>
      </c>
      <c r="AI17" s="141">
        <f>SUMIFS('Expenditure Breakdown'!$U$6:$U$447, 'Expenditure Breakdown'!$T$6:$T$447, "&gt;="&amp;AI1,'Expenditure Breakdown'!$T$6:$T$447, "&lt;"&amp;AJ1)</f>
        <v>0</v>
      </c>
      <c r="AJ17" s="141">
        <f>SUMIFS('Expenditure Breakdown'!$U$6:$U$447, 'Expenditure Breakdown'!$T$6:$T$447, "&gt;="&amp;AJ1,'Expenditure Breakdown'!$T$6:$T$447, "&lt;"&amp;AK1)</f>
        <v>0</v>
      </c>
      <c r="AK17" s="141">
        <f>SUMIFS('Expenditure Breakdown'!$U$6:$U$447, 'Expenditure Breakdown'!$T$6:$T$447, "&gt;="&amp;AK1,'Expenditure Breakdown'!$T$6:$T$447, "&lt;"&amp;AL1)</f>
        <v>12183550.850430239</v>
      </c>
      <c r="AL17" s="141">
        <f>SUMIFS('Expenditure Breakdown'!$U$6:$U$447, 'Expenditure Breakdown'!$T$6:$T$447, "&gt;="&amp;AL1,'Expenditure Breakdown'!$T$6:$T$447, "&lt;"&amp;AM1)</f>
        <v>0</v>
      </c>
      <c r="AM17" s="141">
        <f>SUMIFS('Expenditure Breakdown'!$U$6:$U$447, 'Expenditure Breakdown'!$T$6:$T$447, "&gt;="&amp;AM1,'Expenditure Breakdown'!$T$6:$T$447, "&lt;"&amp;AN1)</f>
        <v>0</v>
      </c>
      <c r="AN17" s="141">
        <f>SUMIFS('Expenditure Breakdown'!$U$6:$U$447, 'Expenditure Breakdown'!$T$6:$T$447, "&gt;="&amp;AN1,'Expenditure Breakdown'!$T$6:$T$447, "&lt;"&amp;AO1)</f>
        <v>0</v>
      </c>
      <c r="AO17" s="141">
        <f>SUMIFS('Expenditure Breakdown'!$U$6:$U$447, 'Expenditure Breakdown'!$T$6:$T$447, "&gt;="&amp;AO1,'Expenditure Breakdown'!$T$6:$T$447, "&lt;"&amp;AP1)</f>
        <v>0</v>
      </c>
      <c r="AP17" s="141">
        <f>SUMIFS('Expenditure Breakdown'!$U$6:$U$447, 'Expenditure Breakdown'!$T$6:$T$447, "&gt;="&amp;AP1,'Expenditure Breakdown'!$T$6:$T$447, "&lt;"&amp;AQ1)</f>
        <v>4759.0838001852389</v>
      </c>
      <c r="AQ17" s="141">
        <f>SUMIFS('Expenditure Breakdown'!$U$6:$U$447, 'Expenditure Breakdown'!$T$6:$T$447, "&gt;="&amp;AQ1,'Expenditure Breakdown'!$T$6:$T$447, "&lt;"&amp;AR1)</f>
        <v>0</v>
      </c>
      <c r="AR17" s="141">
        <f>SUMIFS('Expenditure Breakdown'!$U$6:$U$447, 'Expenditure Breakdown'!$T$6:$T$447, "&gt;="&amp;AR1,'Expenditure Breakdown'!$T$6:$T$447, "&lt;"&amp;AS1)</f>
        <v>0</v>
      </c>
      <c r="AS17" s="141">
        <f>SUMIFS('Expenditure Breakdown'!$U$6:$U$447, 'Expenditure Breakdown'!$T$6:$T$447, "&gt;="&amp;AS1,'Expenditure Breakdown'!$T$6:$T$447, "&lt;"&amp;AT1)</f>
        <v>0</v>
      </c>
      <c r="AT17" s="141">
        <f>SUMIFS('Expenditure Breakdown'!$U$6:$U$447, 'Expenditure Breakdown'!$T$6:$T$447, "&gt;="&amp;AT1,'Expenditure Breakdown'!$T$6:$T$447, "&lt;"&amp;AU1)</f>
        <v>71787.336561695745</v>
      </c>
      <c r="AU17" s="141">
        <f>SUMIFS('Expenditure Breakdown'!$U$6:$U$447, 'Expenditure Breakdown'!$T$6:$T$447, "&gt;="&amp;AU1,'Expenditure Breakdown'!$T$6:$T$447, "&lt;"&amp;AV1)</f>
        <v>0</v>
      </c>
      <c r="AV17" s="141">
        <f>SUMIFS('Expenditure Breakdown'!$U$6:$U$447, 'Expenditure Breakdown'!$T$6:$T$447, "&gt;="&amp;AV1,'Expenditure Breakdown'!$T$6:$T$447, "&lt;"&amp;AW1)</f>
        <v>0</v>
      </c>
      <c r="AW17" s="141">
        <f>SUMIFS('Expenditure Breakdown'!$U$6:$U$447, 'Expenditure Breakdown'!$T$6:$T$447, "&gt;="&amp;AW1,'Expenditure Breakdown'!$T$6:$T$447, "&lt;"&amp;AX1)</f>
        <v>0</v>
      </c>
      <c r="AX17" s="141">
        <f>SUMIFS('Expenditure Breakdown'!$U$6:$U$447, 'Expenditure Breakdown'!$T$6:$T$447, "&gt;="&amp;AX1,'Expenditure Breakdown'!$T$6:$T$447, "&lt;"&amp;AY1)</f>
        <v>11651405.675580088</v>
      </c>
      <c r="AY17" s="141">
        <f>SUMIFS('Expenditure Breakdown'!$U$6:$U$447, 'Expenditure Breakdown'!$T$6:$T$447, "&gt;="&amp;AY1,'Expenditure Breakdown'!$T$6:$T$447, "&lt;"&amp;AZ1)</f>
        <v>0</v>
      </c>
      <c r="AZ17" s="141">
        <f>SUMIFS('Expenditure Breakdown'!$U$6:$U$447, 'Expenditure Breakdown'!$T$6:$T$447, "&gt;="&amp;AZ1,'Expenditure Breakdown'!$T$6:$T$447, "&lt;"&amp;BA1)</f>
        <v>0</v>
      </c>
      <c r="BA17" s="141">
        <f>SUMIFS('Expenditure Breakdown'!$U$6:$U$447, 'Expenditure Breakdown'!$T$6:$T$447, "&gt;="&amp;BA1,'Expenditure Breakdown'!$T$6:$T$447, "&lt;"&amp;BB1)</f>
        <v>0</v>
      </c>
      <c r="BB17" s="141">
        <f>SUMIFS('Expenditure Breakdown'!$U$6:$U$447, 'Expenditure Breakdown'!$T$6:$T$447, "&gt;="&amp;BB1,'Expenditure Breakdown'!$T$6:$T$447, "&lt;"&amp;BC1)</f>
        <v>0</v>
      </c>
      <c r="BC17" s="141">
        <f>SUMIFS('Expenditure Breakdown'!$U$6:$U$447, 'Expenditure Breakdown'!$T$6:$T$447, "&gt;="&amp;BC1,'Expenditure Breakdown'!$T$6:$T$447, "&lt;"&amp;BD1)</f>
        <v>22058.315908169272</v>
      </c>
      <c r="BD17" s="141">
        <f>SUMIFS('Expenditure Breakdown'!$U$6:$U$447, 'Expenditure Breakdown'!$T$6:$T$447, "&gt;="&amp;BD1,'Expenditure Breakdown'!$T$6:$T$447, "&lt;"&amp;BE1)</f>
        <v>0</v>
      </c>
      <c r="BE17" s="141">
        <f>SUMIFS('Expenditure Breakdown'!$U$6:$U$447, 'Expenditure Breakdown'!$T$6:$T$447, "&gt;="&amp;BE1,'Expenditure Breakdown'!$T$6:$T$447, "&lt;"&amp;BF1)</f>
        <v>0</v>
      </c>
      <c r="BF17" s="141">
        <f>SUMIFS('Expenditure Breakdown'!$U$6:$U$447, 'Expenditure Breakdown'!$T$6:$T$447, "&gt;="&amp;BF1,'Expenditure Breakdown'!$T$6:$T$447, "&lt;"&amp;BG1)</f>
        <v>0</v>
      </c>
      <c r="BG17" s="141">
        <f>SUMIFS('Expenditure Breakdown'!$U$6:$U$447, 'Expenditure Breakdown'!$T$6:$T$447, "&gt;="&amp;BG1,'Expenditure Breakdown'!$T$6:$T$447, "&lt;"&amp;BH1)</f>
        <v>673630.87507434597</v>
      </c>
      <c r="BH17" s="141">
        <f>SUMIFS('Expenditure Breakdown'!$U$6:$U$447, 'Expenditure Breakdown'!$T$6:$T$447, "&gt;="&amp;BH1,'Expenditure Breakdown'!$T$6:$T$447, "&lt;"&amp;BI1)</f>
        <v>0</v>
      </c>
      <c r="BI17" s="141">
        <f>SUMIFS('Expenditure Breakdown'!$U$6:$U$447, 'Expenditure Breakdown'!$T$6:$T$447, "&gt;="&amp;BI1,'Expenditure Breakdown'!$T$6:$T$447, "&lt;"&amp;BJ1)</f>
        <v>0</v>
      </c>
      <c r="BJ17" s="141">
        <f>SUMIFS('Expenditure Breakdown'!$U$6:$U$447, 'Expenditure Breakdown'!$T$6:$T$447, "&gt;="&amp;BJ1,'Expenditure Breakdown'!$T$6:$T$447, "&lt;"&amp;BK1)</f>
        <v>0</v>
      </c>
      <c r="BK17" s="141">
        <f>SUMIFS('Expenditure Breakdown'!$U$6:$U$447, 'Expenditure Breakdown'!$T$6:$T$447, "&gt;="&amp;BK1,'Expenditure Breakdown'!$T$6:$T$447, "&lt;"&amp;BL1)</f>
        <v>1307335.3656652446</v>
      </c>
      <c r="BL17" s="141">
        <f>SUMIFS('Expenditure Breakdown'!$U$6:$U$447, 'Expenditure Breakdown'!$T$6:$T$447, "&gt;="&amp;BL1,'Expenditure Breakdown'!$T$6:$T$447, "&lt;"&amp;BM1)</f>
        <v>0</v>
      </c>
      <c r="BM17" s="141">
        <f>SUMIFS('Expenditure Breakdown'!$U$6:$U$447, 'Expenditure Breakdown'!$T$6:$T$447, "&gt;="&amp;BM1,'Expenditure Breakdown'!$T$6:$T$447, "&lt;"&amp;BN1)</f>
        <v>0</v>
      </c>
      <c r="BN17" s="141">
        <f>SUMIFS('Expenditure Breakdown'!$U$6:$U$447, 'Expenditure Breakdown'!$T$6:$T$447, "&gt;="&amp;BN1,'Expenditure Breakdown'!$T$6:$T$447, "&lt;"&amp;BO1)</f>
        <v>0</v>
      </c>
      <c r="BO17" s="141">
        <f>SUMIFS('Expenditure Breakdown'!$U$6:$U$447, 'Expenditure Breakdown'!$T$6:$T$447, "&gt;="&amp;BO1,'Expenditure Breakdown'!$T$6:$T$447, "&lt;"&amp;BP1)</f>
        <v>0</v>
      </c>
      <c r="BP17" s="141">
        <f>SUMIFS('Expenditure Breakdown'!$U$6:$U$447, 'Expenditure Breakdown'!$T$6:$T$447, "&gt;="&amp;BP1,'Expenditure Breakdown'!$T$6:$T$447, "&lt;"&amp;BQ1)</f>
        <v>0</v>
      </c>
      <c r="BQ17" s="141">
        <f>SUMIFS('Expenditure Breakdown'!$U$6:$U$447, 'Expenditure Breakdown'!$T$6:$T$447, "&gt;="&amp;BQ1,'Expenditure Breakdown'!$T$6:$T$447, "&lt;"&amp;BR1)</f>
        <v>0</v>
      </c>
      <c r="BR17" s="141">
        <f>SUMIFS('Expenditure Breakdown'!$U$6:$U$447, 'Expenditure Breakdown'!$T$6:$T$447, "&gt;="&amp;BR1,'Expenditure Breakdown'!$T$6:$T$447, "&lt;"&amp;BS1)</f>
        <v>0</v>
      </c>
      <c r="BS17" s="141">
        <f>SUMIFS('Expenditure Breakdown'!$U$6:$U$447, 'Expenditure Breakdown'!$T$6:$T$447, "&gt;="&amp;BS1,'Expenditure Breakdown'!$T$6:$T$447, "&lt;"&amp;BT1)</f>
        <v>0</v>
      </c>
      <c r="BT17" s="141">
        <f>SUMIFS('Expenditure Breakdown'!$U$6:$U$447, 'Expenditure Breakdown'!$T$6:$T$447, "&gt;="&amp;BT1,'Expenditure Breakdown'!$T$6:$T$447, "&lt;"&amp;BU1)</f>
        <v>0</v>
      </c>
      <c r="BU17" s="141">
        <f>SUMIFS('Expenditure Breakdown'!$U$6:$U$447, 'Expenditure Breakdown'!$T$6:$T$447, "&gt;="&amp;BU1,'Expenditure Breakdown'!$T$6:$T$447, "&lt;"&amp;BV1)</f>
        <v>0</v>
      </c>
      <c r="BV17" s="141">
        <f>SUMIFS('Expenditure Breakdown'!$U$6:$U$447, 'Expenditure Breakdown'!$T$6:$T$447, "&gt;="&amp;BV1,'Expenditure Breakdown'!$T$6:$T$447, "&lt;"&amp;BW1)</f>
        <v>0</v>
      </c>
      <c r="BW17" s="141">
        <f>SUMIFS('Expenditure Breakdown'!$U$6:$U$447, 'Expenditure Breakdown'!$T$6:$T$447, "&gt;="&amp;BW1,'Expenditure Breakdown'!$T$6:$T$447, "&lt;"&amp;BX1)</f>
        <v>0</v>
      </c>
      <c r="BX17" s="141">
        <f>SUMIFS('Expenditure Breakdown'!$U$6:$U$447, 'Expenditure Breakdown'!$T$6:$T$447, "&gt;="&amp;BX1,'Expenditure Breakdown'!$T$6:$T$447, "&lt;"&amp;BY1)</f>
        <v>0</v>
      </c>
      <c r="BY17" s="141">
        <f>SUMIFS('Expenditure Breakdown'!$U$6:$U$447, 'Expenditure Breakdown'!$T$6:$T$447, "&gt;="&amp;BY1,'Expenditure Breakdown'!$T$6:$T$447, "&lt;"&amp;BZ1)</f>
        <v>0</v>
      </c>
      <c r="BZ17" s="141">
        <f>SUMIFS('Expenditure Breakdown'!$U$6:$U$447, 'Expenditure Breakdown'!$T$6:$T$447, "&gt;="&amp;BZ1,'Expenditure Breakdown'!$T$6:$T$447, "&lt;"&amp;CA1)</f>
        <v>0</v>
      </c>
      <c r="CA17" s="141">
        <f>SUMIFS('Expenditure Breakdown'!$U$6:$U$447, 'Expenditure Breakdown'!$T$6:$T$447, "&gt;="&amp;CA1,'Expenditure Breakdown'!$T$6:$T$447, "&lt;"&amp;CB1)</f>
        <v>0</v>
      </c>
      <c r="CB17" s="141">
        <f>SUMIFS('Expenditure Breakdown'!$U$6:$U$447, 'Expenditure Breakdown'!$T$6:$T$447, "&gt;="&amp;CB1,'Expenditure Breakdown'!$T$6:$T$447, "&lt;"&amp;CC1)</f>
        <v>0</v>
      </c>
      <c r="CC17" s="141">
        <f>SUMIFS('Expenditure Breakdown'!$U$6:$U$447, 'Expenditure Breakdown'!$T$6:$T$447, "&gt;="&amp;CC1,'Expenditure Breakdown'!$T$6:$T$447, "&lt;"&amp;CD1)</f>
        <v>0</v>
      </c>
      <c r="CD17" s="141">
        <f>SUMIFS('Expenditure Breakdown'!$U$6:$U$447, 'Expenditure Breakdown'!$T$6:$T$447, "&gt;="&amp;CD1,'Expenditure Breakdown'!$T$6:$T$447, "&lt;"&amp;CE1)</f>
        <v>0</v>
      </c>
      <c r="CE17" s="141">
        <f>SUMIFS('Expenditure Breakdown'!$U$6:$U$447, 'Expenditure Breakdown'!$T$6:$T$447, "&gt;="&amp;CE1,'Expenditure Breakdown'!$T$6:$T$447, "&lt;"&amp;CF1)</f>
        <v>0</v>
      </c>
      <c r="CF17" s="141">
        <f>SUMIFS('Expenditure Breakdown'!$U$6:$U$447, 'Expenditure Breakdown'!$T$6:$T$447, "&gt;="&amp;CF1,'Expenditure Breakdown'!$T$6:$T$447, "&lt;"&amp;CG1)</f>
        <v>0</v>
      </c>
      <c r="CG17" s="141">
        <f>SUMIFS('Expenditure Breakdown'!$U$6:$U$447, 'Expenditure Breakdown'!$T$6:$T$447, "&gt;="&amp;CG1,'Expenditure Breakdown'!$T$6:$T$447, "&lt;"&amp;CH1)</f>
        <v>0</v>
      </c>
      <c r="CH17" s="141">
        <f>SUMIFS('Expenditure Breakdown'!$U$6:$U$447, 'Expenditure Breakdown'!$T$6:$T$447, "&gt;="&amp;CH1,'Expenditure Breakdown'!$T$6:$T$447, "&lt;"&amp;CI1)</f>
        <v>0</v>
      </c>
      <c r="CI17" s="141">
        <f>SUMIFS('Expenditure Breakdown'!$U$6:$U$447, 'Expenditure Breakdown'!$T$6:$T$447, "&gt;="&amp;CI1,'Expenditure Breakdown'!$T$6:$T$447, "&lt;"&amp;CJ1)</f>
        <v>0</v>
      </c>
      <c r="CJ17" s="141">
        <f>SUMIFS('Expenditure Breakdown'!$U$6:$U$447, 'Expenditure Breakdown'!$T$6:$T$447, "&gt;="&amp;CJ1,'Expenditure Breakdown'!$T$6:$T$447, "&lt;"&amp;CK1)</f>
        <v>0</v>
      </c>
      <c r="CK17" s="141">
        <f>SUMIFS('Expenditure Breakdown'!$U$6:$U$447, 'Expenditure Breakdown'!$T$6:$T$447, "&gt;="&amp;CK1,'Expenditure Breakdown'!$T$6:$T$447, "&lt;"&amp;CL1)</f>
        <v>0</v>
      </c>
      <c r="CL17" s="141">
        <f>SUMIFS('Expenditure Breakdown'!$U$6:$U$447, 'Expenditure Breakdown'!$T$6:$T$447, "&gt;="&amp;CL1,'Expenditure Breakdown'!$T$6:$T$447, "&lt;"&amp;CM1)</f>
        <v>0</v>
      </c>
      <c r="CM17" s="141">
        <f>SUMIFS('Expenditure Breakdown'!$U$6:$U$447, 'Expenditure Breakdown'!$T$6:$T$447, "&gt;="&amp;CM1,'Expenditure Breakdown'!$T$6:$T$447, "&lt;"&amp;CN1)</f>
        <v>0</v>
      </c>
      <c r="CN17" s="141">
        <f>SUMIFS('Expenditure Breakdown'!$U$6:$U$447, 'Expenditure Breakdown'!$T$6:$T$447, "&gt;="&amp;CN1,'Expenditure Breakdown'!$T$6:$T$447, "&lt;"&amp;CO1)</f>
        <v>0</v>
      </c>
      <c r="CO17" s="141">
        <f>SUMIFS('Expenditure Breakdown'!$U$6:$U$447, 'Expenditure Breakdown'!$T$6:$T$447, "&gt;="&amp;CO1,'Expenditure Breakdown'!$T$6:$T$447, "&lt;"&amp;CP1)</f>
        <v>0</v>
      </c>
      <c r="CP17" s="141">
        <f>SUMIFS('Expenditure Breakdown'!$U$6:$U$447, 'Expenditure Breakdown'!$T$6:$T$447, "&gt;="&amp;CP1,'Expenditure Breakdown'!$T$6:$T$447, "&lt;"&amp;CQ1)</f>
        <v>0</v>
      </c>
      <c r="CQ17" s="141">
        <f>SUMIFS('Expenditure Breakdown'!$U$6:$U$447, 'Expenditure Breakdown'!$T$6:$T$447, "&gt;="&amp;CQ1,'Expenditure Breakdown'!$T$6:$T$447, "&lt;"&amp;CR1)</f>
        <v>0</v>
      </c>
      <c r="CR17" s="141">
        <f>SUMIFS('Expenditure Breakdown'!$U$6:$U$447, 'Expenditure Breakdown'!$T$6:$T$447, "&gt;="&amp;CR1,'Expenditure Breakdown'!$T$6:$T$447, "&lt;"&amp;CS1)</f>
        <v>0</v>
      </c>
      <c r="CS17" s="141">
        <f>SUMIFS('Expenditure Breakdown'!$U$6:$U$447, 'Expenditure Breakdown'!$T$6:$T$447, "&gt;="&amp;CS1,'Expenditure Breakdown'!$T$6:$T$447, "&lt;"&amp;CT1)</f>
        <v>0</v>
      </c>
      <c r="CT17" s="141">
        <f>SUMIFS('Expenditure Breakdown'!$U$6:$U$447, 'Expenditure Breakdown'!$T$6:$T$447, "&gt;="&amp;CT1,'Expenditure Breakdown'!$T$6:$T$447, "&lt;"&amp;CU1)</f>
        <v>0</v>
      </c>
      <c r="CU17" s="141">
        <f>SUMIFS('Expenditure Breakdown'!$U$6:$U$447, 'Expenditure Breakdown'!$T$6:$T$447, "&gt;="&amp;CU1,'Expenditure Breakdown'!$T$6:$T$447, "&lt;"&amp;CV1)</f>
        <v>0</v>
      </c>
      <c r="CV17" s="141">
        <f>SUMIFS('Expenditure Breakdown'!$U$6:$U$447, 'Expenditure Breakdown'!$T$6:$T$447, "&gt;="&amp;CV1,'Expenditure Breakdown'!$T$6:$T$447, "&lt;"&amp;CW1)</f>
        <v>0</v>
      </c>
      <c r="CW17" s="141">
        <f>SUMIFS('Expenditure Breakdown'!$U$6:$U$447, 'Expenditure Breakdown'!$T$6:$T$447, "&gt;="&amp;CW1,'Expenditure Breakdown'!$T$6:$T$447, "&lt;"&amp;CX1)</f>
        <v>0</v>
      </c>
      <c r="CX17" s="141">
        <f>SUMIFS('Expenditure Breakdown'!$U$6:$U$447, 'Expenditure Breakdown'!$T$6:$T$447, "&gt;="&amp;CX1,'Expenditure Breakdown'!$T$6:$T$447, "&lt;"&amp;CY1)</f>
        <v>0</v>
      </c>
      <c r="CY17" s="141">
        <f>SUMIFS('Expenditure Breakdown'!$U$6:$U$447, 'Expenditure Breakdown'!$T$6:$T$447, "&gt;="&amp;CY1,'Expenditure Breakdown'!$T$6:$T$447, "&lt;"&amp;CZ1)</f>
        <v>0</v>
      </c>
      <c r="CZ17" s="141">
        <f>SUMIFS('Expenditure Breakdown'!$U$6:$U$447, 'Expenditure Breakdown'!$T$6:$T$447, "&gt;="&amp;CZ1,'Expenditure Breakdown'!$T$6:$T$447, "&lt;"&amp;DA1)</f>
        <v>0</v>
      </c>
      <c r="DA17" s="141">
        <f>SUMIFS('Expenditure Breakdown'!$U$6:$U$447, 'Expenditure Breakdown'!$T$6:$T$447, "&gt;="&amp;DA1,'Expenditure Breakdown'!$T$6:$T$447, "&lt;"&amp;DB1)</f>
        <v>0</v>
      </c>
      <c r="DB17" s="141">
        <f>SUMIFS('Expenditure Breakdown'!$U$6:$U$447, 'Expenditure Breakdown'!$T$6:$T$447, "&gt;="&amp;DB1,'Expenditure Breakdown'!$T$6:$T$447, "&lt;"&amp;DC1)</f>
        <v>0</v>
      </c>
      <c r="DC17" s="141">
        <f>SUMIFS('Expenditure Breakdown'!$U$6:$U$447, 'Expenditure Breakdown'!$T$6:$T$447, "&gt;="&amp;DC1,'Expenditure Breakdown'!$T$6:$T$447, "&lt;"&amp;DD1)</f>
        <v>0</v>
      </c>
      <c r="DD17" s="141">
        <f>SUMIFS('Expenditure Breakdown'!$U$6:$U$447, 'Expenditure Breakdown'!$T$6:$T$447, "&gt;="&amp;DD1,'Expenditure Breakdown'!$T$6:$T$447, "&lt;"&amp;DE1)</f>
        <v>0</v>
      </c>
      <c r="DE17" s="141">
        <f>SUMIFS('Expenditure Breakdown'!$U$6:$U$447, 'Expenditure Breakdown'!$T$6:$T$447, "&gt;="&amp;DE1,'Expenditure Breakdown'!$T$6:$T$447, "&lt;"&amp;DF1)</f>
        <v>0</v>
      </c>
      <c r="DF17" s="141">
        <f>SUMIFS('Expenditure Breakdown'!$U$6:$U$447, 'Expenditure Breakdown'!$T$6:$T$447, "&gt;="&amp;DF1,'Expenditure Breakdown'!$T$6:$T$447, "&lt;"&amp;DG1)</f>
        <v>0</v>
      </c>
      <c r="DG17" s="141">
        <f>SUMIFS('Expenditure Breakdown'!$U$6:$U$447, 'Expenditure Breakdown'!$T$6:$T$447, "&gt;="&amp;DG1,'Expenditure Breakdown'!$T$6:$T$447, "&lt;"&amp;DH1)</f>
        <v>0</v>
      </c>
      <c r="DH17" s="141">
        <f>SUMIFS('Expenditure Breakdown'!$U$6:$U$447, 'Expenditure Breakdown'!$T$6:$T$447, "&gt;="&amp;DH1,'Expenditure Breakdown'!$T$6:$T$447, "&lt;"&amp;DI1)</f>
        <v>0</v>
      </c>
      <c r="DI17" s="141">
        <f>SUMIFS('Expenditure Breakdown'!$U$6:$U$447, 'Expenditure Breakdown'!$T$6:$T$447, "&gt;="&amp;DI1,'Expenditure Breakdown'!$T$6:$T$447, "&lt;"&amp;DJ1)</f>
        <v>0</v>
      </c>
      <c r="DJ17" s="141">
        <f>SUMIFS('Expenditure Breakdown'!$U$6:$U$447, 'Expenditure Breakdown'!$T$6:$T$447, "&gt;="&amp;DJ1,'Expenditure Breakdown'!$T$6:$T$447, "&lt;"&amp;DK1)</f>
        <v>0</v>
      </c>
      <c r="DK17" s="141">
        <f>SUMIFS('Expenditure Breakdown'!$U$6:$U$447, 'Expenditure Breakdown'!$T$6:$T$447, "&gt;="&amp;DK1,'Expenditure Breakdown'!$T$6:$T$447, "&lt;"&amp;DL1)</f>
        <v>0</v>
      </c>
      <c r="DL17" s="141">
        <f>SUMIFS('Expenditure Breakdown'!$U$6:$U$447, 'Expenditure Breakdown'!$T$6:$T$447, "&gt;="&amp;DL1,'Expenditure Breakdown'!$T$6:$T$447, "&lt;"&amp;DM1)</f>
        <v>0</v>
      </c>
      <c r="DM17" s="141">
        <f>SUMIFS('Expenditure Breakdown'!$U$6:$U$447, 'Expenditure Breakdown'!$T$6:$T$447, "&gt;="&amp;DM1,'Expenditure Breakdown'!$T$6:$T$447, "&lt;"&amp;DN1)</f>
        <v>0</v>
      </c>
      <c r="DN17" s="141">
        <f>SUMIFS('Expenditure Breakdown'!$U$6:$U$447, 'Expenditure Breakdown'!$T$6:$T$447, "&gt;="&amp;DN1,'Expenditure Breakdown'!$T$6:$T$447, "&lt;"&amp;DO1)</f>
        <v>0</v>
      </c>
      <c r="DO17" s="141">
        <f>SUMIFS('Expenditure Breakdown'!$U$6:$U$447, 'Expenditure Breakdown'!$T$6:$T$447, "&gt;="&amp;DO1,'Expenditure Breakdown'!$T$6:$T$447, "&lt;"&amp;DP1)</f>
        <v>0</v>
      </c>
      <c r="DP17" s="141">
        <f>SUMIFS('Expenditure Breakdown'!$U$6:$U$447, 'Expenditure Breakdown'!$T$6:$T$447, "&gt;="&amp;DP1,'Expenditure Breakdown'!$T$6:$T$447, "&lt;"&amp;DQ1)</f>
        <v>0</v>
      </c>
      <c r="DQ17" s="141">
        <f>SUMIFS('Expenditure Breakdown'!$U$6:$U$447, 'Expenditure Breakdown'!$T$6:$T$447, "&gt;="&amp;DQ1,'Expenditure Breakdown'!$T$6:$T$447, "&lt;"&amp;DR1)</f>
        <v>0</v>
      </c>
      <c r="DR17" s="141">
        <f>SUMIFS('Expenditure Breakdown'!$U$6:$U$447, 'Expenditure Breakdown'!$T$6:$T$447, "&gt;="&amp;DR1,'Expenditure Breakdown'!$T$6:$T$447, "&lt;"&amp;DS1)</f>
        <v>0</v>
      </c>
      <c r="DS17" s="141">
        <f>SUMIFS('Expenditure Breakdown'!$U$6:$U$447, 'Expenditure Breakdown'!$T$6:$T$447, "&gt;="&amp;DS1,'Expenditure Breakdown'!$T$6:$T$447, "&lt;"&amp;DT1)</f>
        <v>0</v>
      </c>
      <c r="DT17" s="141">
        <f>SUMIFS('Expenditure Breakdown'!$U$6:$U$447, 'Expenditure Breakdown'!$T$6:$T$447, "&gt;="&amp;DT1,'Expenditure Breakdown'!$T$6:$T$447, "&lt;"&amp;DU1)</f>
        <v>0</v>
      </c>
      <c r="DU17" s="141">
        <f>SUMIFS('Expenditure Breakdown'!$U$6:$U$447, 'Expenditure Breakdown'!$T$6:$T$447, "&gt;="&amp;DU1,'Expenditure Breakdown'!$T$6:$T$447, "&lt;"&amp;DV1)</f>
        <v>0</v>
      </c>
      <c r="DV17" s="141">
        <f>SUMIFS('Expenditure Breakdown'!$U$6:$U$447, 'Expenditure Breakdown'!$T$6:$T$447, "&gt;="&amp;DV1,'Expenditure Breakdown'!$T$6:$T$447, "&lt;"&amp;DW1)</f>
        <v>0</v>
      </c>
      <c r="DW17" s="141">
        <f>SUMIFS('Expenditure Breakdown'!$U$6:$U$447, 'Expenditure Breakdown'!$T$6:$T$447, "&gt;="&amp;DW1,'Expenditure Breakdown'!$T$6:$T$447, "&lt;"&amp;DX1)</f>
        <v>0</v>
      </c>
      <c r="DX17" s="141">
        <f>SUMIFS('Expenditure Breakdown'!$U$6:$U$447, 'Expenditure Breakdown'!$T$6:$T$447, "&gt;="&amp;DX1,'Expenditure Breakdown'!$T$6:$T$447, "&lt;"&amp;DY1)</f>
        <v>0</v>
      </c>
      <c r="DY17" s="141">
        <f>SUMIFS('Expenditure Breakdown'!$U$6:$U$447, 'Expenditure Breakdown'!$T$6:$T$447, "&gt;="&amp;DY1,'Expenditure Breakdown'!$T$6:$T$447, "&lt;"&amp;DZ1)</f>
        <v>0</v>
      </c>
      <c r="DZ17" s="141">
        <f>SUMIFS('Expenditure Breakdown'!$U$6:$U$447, 'Expenditure Breakdown'!$T$6:$T$447, "&gt;="&amp;DZ1,'Expenditure Breakdown'!$T$6:$T$447, "&lt;"&amp;EA1)</f>
        <v>0</v>
      </c>
      <c r="EA17" s="141">
        <f>SUMIFS('Expenditure Breakdown'!$U$6:$U$447, 'Expenditure Breakdown'!$T$6:$T$447, "&gt;="&amp;EA1,'Expenditure Breakdown'!$T$6:$T$447, "&lt;"&amp;EB1)</f>
        <v>0</v>
      </c>
      <c r="EB17" s="141">
        <f>SUMIFS('Expenditure Breakdown'!$U$6:$U$447, 'Expenditure Breakdown'!$T$6:$T$447, "&gt;="&amp;EB1,'Expenditure Breakdown'!$T$6:$T$447, "&lt;"&amp;EC1)</f>
        <v>0</v>
      </c>
      <c r="EC17" s="141">
        <f>SUMIFS('Expenditure Breakdown'!$U$6:$U$447, 'Expenditure Breakdown'!$T$6:$T$447, "&gt;="&amp;EC1,'Expenditure Breakdown'!$T$6:$T$447, "&lt;"&amp;ED1)</f>
        <v>0</v>
      </c>
      <c r="ED17" s="141">
        <f>SUMIFS('Expenditure Breakdown'!$U$6:$U$447, 'Expenditure Breakdown'!$T$6:$T$447, "&gt;="&amp;ED1,'Expenditure Breakdown'!$T$6:$T$447, "&lt;"&amp;EE1)</f>
        <v>0</v>
      </c>
      <c r="EE17" s="141">
        <f>SUMIFS('Expenditure Breakdown'!$U$6:$U$447, 'Expenditure Breakdown'!$T$6:$T$447, "&gt;="&amp;EE1,'Expenditure Breakdown'!$T$6:$T$447, "&lt;"&amp;EF1)</f>
        <v>0</v>
      </c>
      <c r="EF17" s="141">
        <f>SUMIFS('Expenditure Breakdown'!$U$6:$U$447, 'Expenditure Breakdown'!$T$6:$T$447, "&gt;="&amp;EF1,'Expenditure Breakdown'!$T$6:$T$447, "&lt;"&amp;EG1)</f>
        <v>0</v>
      </c>
      <c r="EG17" s="141">
        <f>SUMIFS('Expenditure Breakdown'!$U$6:$U$447, 'Expenditure Breakdown'!$T$6:$T$447, "&gt;="&amp;EG1,'Expenditure Breakdown'!$T$6:$T$447, "&lt;"&amp;EH1)</f>
        <v>0</v>
      </c>
      <c r="EH17" s="141">
        <f>SUMIFS('Expenditure Breakdown'!$U$6:$U$447, 'Expenditure Breakdown'!$T$6:$T$447, "&gt;="&amp;EH1,'Expenditure Breakdown'!$T$6:$T$447, "&lt;"&amp;EI1)</f>
        <v>0</v>
      </c>
      <c r="EI17" s="141">
        <f>SUMIFS('Expenditure Breakdown'!$U$6:$U$447, 'Expenditure Breakdown'!$T$6:$T$447, "&gt;="&amp;EI1,'Expenditure Breakdown'!$T$6:$T$447, "&lt;"&amp;EJ1)</f>
        <v>0</v>
      </c>
      <c r="EJ17" s="141">
        <f>SUMIFS('Expenditure Breakdown'!$U$6:$U$447, 'Expenditure Breakdown'!$T$6:$T$447, "&gt;="&amp;EJ1,'Expenditure Breakdown'!$T$6:$T$447, "&lt;"&amp;EK1)</f>
        <v>0</v>
      </c>
      <c r="EK17" s="141">
        <f>SUMIFS('Expenditure Breakdown'!$U$6:$U$447, 'Expenditure Breakdown'!$T$6:$T$447, "&gt;="&amp;EK1,'Expenditure Breakdown'!$T$6:$T$447, "&lt;"&amp;EL1)</f>
        <v>0</v>
      </c>
      <c r="EL17" s="141">
        <f>SUMIFS('Expenditure Breakdown'!$U$6:$U$447, 'Expenditure Breakdown'!$T$6:$T$447, "&gt;="&amp;EL1,'Expenditure Breakdown'!$T$6:$T$447, "&lt;"&amp;EM1)</f>
        <v>0</v>
      </c>
      <c r="EM17" s="141">
        <f>SUMIFS('Expenditure Breakdown'!$U$6:$U$447, 'Expenditure Breakdown'!$T$6:$T$447, "&gt;="&amp;EM1,'Expenditure Breakdown'!$T$6:$T$447, "&lt;"&amp;EN1)</f>
        <v>0</v>
      </c>
      <c r="EN17" s="141">
        <f>SUMIFS('Expenditure Breakdown'!$U$6:$U$447, 'Expenditure Breakdown'!$T$6:$T$447, "&gt;="&amp;EN1,'Expenditure Breakdown'!$T$6:$T$447, "&lt;"&amp;EO1)</f>
        <v>0</v>
      </c>
      <c r="EO17" s="141">
        <f>SUMIFS('Expenditure Breakdown'!$U$6:$U$447, 'Expenditure Breakdown'!$T$6:$T$447, "&gt;="&amp;EO1,'Expenditure Breakdown'!$T$6:$T$447, "&lt;"&amp;EP1)</f>
        <v>0</v>
      </c>
      <c r="EP17" s="141">
        <f>SUMIFS('Expenditure Breakdown'!$U$6:$U$447, 'Expenditure Breakdown'!$T$6:$T$447, "&gt;="&amp;EP1,'Expenditure Breakdown'!$T$6:$T$447, "&lt;"&amp;EQ1)</f>
        <v>0</v>
      </c>
      <c r="EQ17" s="141">
        <f>SUMIFS('Expenditure Breakdown'!$U$6:$U$447, 'Expenditure Breakdown'!$T$6:$T$447, "&gt;="&amp;EQ1,'Expenditure Breakdown'!$T$6:$T$447, "&lt;"&amp;ER1)</f>
        <v>0</v>
      </c>
      <c r="ER17" s="141">
        <f>SUMIFS('Expenditure Breakdown'!$U$6:$U$447, 'Expenditure Breakdown'!$T$6:$T$447, "&gt;="&amp;ER1,'Expenditure Breakdown'!$T$6:$T$447, "&lt;"&amp;ES1)</f>
        <v>0</v>
      </c>
      <c r="ES17" s="141">
        <f>SUMIFS('Expenditure Breakdown'!$U$6:$U$447, 'Expenditure Breakdown'!$T$6:$T$447, "&gt;="&amp;ES1,'Expenditure Breakdown'!$T$6:$T$447, "&lt;"&amp;ET1)</f>
        <v>0</v>
      </c>
      <c r="ET17" s="141">
        <f>SUMIFS('Expenditure Breakdown'!$U$6:$U$447, 'Expenditure Breakdown'!$T$6:$T$447, "&gt;="&amp;ET1,'Expenditure Breakdown'!$T$6:$T$447, "&lt;"&amp;EU1)</f>
        <v>0</v>
      </c>
      <c r="EU17" s="141">
        <f>SUMIFS('Expenditure Breakdown'!$U$6:$U$447, 'Expenditure Breakdown'!$T$6:$T$447, "&gt;="&amp;EU1,'Expenditure Breakdown'!$T$6:$T$447, "&lt;"&amp;EV1)</f>
        <v>0</v>
      </c>
      <c r="EV17" s="141">
        <f>SUMIFS('Expenditure Breakdown'!$U$6:$U$447, 'Expenditure Breakdown'!$T$6:$T$447, "&gt;="&amp;EV1,'Expenditure Breakdown'!$T$6:$T$447, "&lt;"&amp;EW1)</f>
        <v>0</v>
      </c>
      <c r="EW17" s="141">
        <f>SUMIFS('Expenditure Breakdown'!$U$6:$U$447, 'Expenditure Breakdown'!$T$6:$T$447, "&gt;="&amp;EW1,'Expenditure Breakdown'!$T$6:$T$447, "&lt;"&amp;EX1)</f>
        <v>0</v>
      </c>
      <c r="EX17" s="141">
        <f>SUMIFS('Expenditure Breakdown'!$U$6:$U$447, 'Expenditure Breakdown'!$T$6:$T$447, "&gt;="&amp;EX1,'Expenditure Breakdown'!$T$6:$T$447, "&lt;"&amp;EY1)</f>
        <v>0</v>
      </c>
      <c r="EY17" s="141">
        <f>SUMIFS('Expenditure Breakdown'!$U$6:$U$447, 'Expenditure Breakdown'!$T$6:$T$447, "&gt;="&amp;EY1,'Expenditure Breakdown'!$T$6:$T$447, "&lt;"&amp;EZ1)</f>
        <v>0</v>
      </c>
      <c r="EZ17" s="141">
        <f>SUMIFS('Expenditure Breakdown'!$U$6:$U$447, 'Expenditure Breakdown'!$T$6:$T$447, "&gt;="&amp;EZ1,'Expenditure Breakdown'!$T$6:$T$447, "&lt;"&amp;FA1)</f>
        <v>0</v>
      </c>
      <c r="FA17" s="141">
        <f>SUMIFS('Expenditure Breakdown'!$U$6:$U$447, 'Expenditure Breakdown'!$T$6:$T$447, "&gt;="&amp;FA1,'Expenditure Breakdown'!$T$6:$T$447, "&lt;"&amp;FB1)</f>
        <v>0</v>
      </c>
      <c r="FB17" s="141">
        <f>SUMIFS('Expenditure Breakdown'!$U$6:$U$447, 'Expenditure Breakdown'!$T$6:$T$447, "&gt;="&amp;FB1,'Expenditure Breakdown'!$T$6:$T$447, "&lt;"&amp;FC1)</f>
        <v>0</v>
      </c>
      <c r="FC17" s="141">
        <f>SUMIFS('Expenditure Breakdown'!$U$6:$U$447, 'Expenditure Breakdown'!$T$6:$T$447, "&gt;="&amp;FC1,'Expenditure Breakdown'!$T$6:$T$447, "&lt;"&amp;FD1)</f>
        <v>0</v>
      </c>
      <c r="FD17" s="141">
        <f>SUMIFS('Expenditure Breakdown'!$U$6:$U$447, 'Expenditure Breakdown'!$T$6:$T$447, "&gt;="&amp;FD1,'Expenditure Breakdown'!$T$6:$T$447, "&lt;"&amp;FE1)</f>
        <v>0</v>
      </c>
      <c r="FE17" s="141">
        <f>SUMIFS('Expenditure Breakdown'!$U$6:$U$447, 'Expenditure Breakdown'!$T$6:$T$447, "&gt;="&amp;FE1,'Expenditure Breakdown'!$T$6:$T$447, "&lt;"&amp;FF1)</f>
        <v>0</v>
      </c>
      <c r="FF17" s="141">
        <f>SUMIFS('Expenditure Breakdown'!$U$6:$U$447, 'Expenditure Breakdown'!$T$6:$T$447, "&gt;="&amp;FF1,'Expenditure Breakdown'!$T$6:$T$447, "&lt;"&amp;FG1)</f>
        <v>0</v>
      </c>
      <c r="FG17" s="141">
        <f>SUMIFS('Expenditure Breakdown'!$U$6:$U$447, 'Expenditure Breakdown'!$T$6:$T$447, "&gt;="&amp;FG1,'Expenditure Breakdown'!$T$6:$T$447, "&lt;"&amp;FH1)</f>
        <v>0</v>
      </c>
      <c r="FH17" s="141">
        <f>SUMIFS('Expenditure Breakdown'!$U$6:$U$447, 'Expenditure Breakdown'!$T$6:$T$447, "&gt;="&amp;FH1,'Expenditure Breakdown'!$T$6:$T$447, "&lt;"&amp;FI1)</f>
        <v>0</v>
      </c>
      <c r="FI17" s="141">
        <f>SUMIFS('Expenditure Breakdown'!$U$6:$U$447, 'Expenditure Breakdown'!$T$6:$T$447, "&gt;="&amp;FI1,'Expenditure Breakdown'!$T$6:$T$447, "&lt;"&amp;FJ1)</f>
        <v>0</v>
      </c>
      <c r="FJ17" s="141">
        <f>SUMIFS('Expenditure Breakdown'!$U$6:$U$447, 'Expenditure Breakdown'!$T$6:$T$447, "&gt;="&amp;FJ1,'Expenditure Breakdown'!$T$6:$T$447, "&lt;"&amp;FK1)</f>
        <v>0</v>
      </c>
      <c r="FK17" s="141">
        <f>SUMIFS('Expenditure Breakdown'!$U$6:$U$447, 'Expenditure Breakdown'!$T$6:$T$447, "&gt;="&amp;FK1,'Expenditure Breakdown'!$T$6:$T$447, "&lt;"&amp;FL1)</f>
        <v>0</v>
      </c>
      <c r="FL17" s="141">
        <f>SUMIFS('Expenditure Breakdown'!$U$6:$U$447, 'Expenditure Breakdown'!$T$6:$T$447, "&gt;="&amp;FL1,'Expenditure Breakdown'!$T$6:$T$447, "&lt;"&amp;FM1)</f>
        <v>0</v>
      </c>
      <c r="FM17" s="141">
        <f>SUMIFS('Expenditure Breakdown'!$U$6:$U$447, 'Expenditure Breakdown'!$T$6:$T$447, "&gt;="&amp;FM1,'Expenditure Breakdown'!$T$6:$T$447, "&lt;"&amp;FN1)</f>
        <v>0</v>
      </c>
      <c r="FN17" s="141">
        <f>SUMIFS('Expenditure Breakdown'!$U$6:$U$447, 'Expenditure Breakdown'!$T$6:$T$447, "&gt;="&amp;FN1,'Expenditure Breakdown'!$T$6:$T$447, "&lt;"&amp;FO1)</f>
        <v>0</v>
      </c>
      <c r="FO17" s="141">
        <f>SUMIFS('Expenditure Breakdown'!$U$6:$U$447, 'Expenditure Breakdown'!$T$6:$T$447, "&gt;="&amp;FO1,'Expenditure Breakdown'!$T$6:$T$447, "&lt;"&amp;FP1)</f>
        <v>0</v>
      </c>
      <c r="FP17" s="141">
        <f>SUMIFS('Expenditure Breakdown'!$U$6:$U$447, 'Expenditure Breakdown'!$T$6:$T$447, "&gt;="&amp;FP1,'Expenditure Breakdown'!$T$6:$T$447, "&lt;"&amp;FQ1)</f>
        <v>0</v>
      </c>
      <c r="FQ17" s="141">
        <f>SUMIFS('Expenditure Breakdown'!$U$6:$U$447, 'Expenditure Breakdown'!$T$6:$T$447, "&gt;="&amp;FQ1,'Expenditure Breakdown'!$T$6:$T$447, "&lt;"&amp;FR1)</f>
        <v>0</v>
      </c>
      <c r="FR17" s="141">
        <f>SUMIFS('Expenditure Breakdown'!$U$6:$U$447, 'Expenditure Breakdown'!$T$6:$T$447, "&gt;="&amp;FR1,'Expenditure Breakdown'!$T$6:$T$447, "&lt;"&amp;FS1)</f>
        <v>0</v>
      </c>
      <c r="FS17" s="141">
        <f>SUMIFS('Expenditure Breakdown'!$U$6:$U$447, 'Expenditure Breakdown'!$T$6:$T$447, "&gt;="&amp;FS1,'Expenditure Breakdown'!$T$6:$T$447, "&lt;"&amp;FT1)</f>
        <v>0</v>
      </c>
      <c r="FT17" s="141">
        <f>SUMIFS('Expenditure Breakdown'!$U$6:$U$447, 'Expenditure Breakdown'!$T$6:$T$447, "&gt;="&amp;FT1,'Expenditure Breakdown'!$T$6:$T$447, "&lt;"&amp;FU1)</f>
        <v>0</v>
      </c>
      <c r="FU17" s="141">
        <f>SUMIFS('Expenditure Breakdown'!$U$6:$U$447, 'Expenditure Breakdown'!$T$6:$T$447, "&gt;="&amp;FU1,'Expenditure Breakdown'!$T$6:$T$447, "&lt;"&amp;FV1)</f>
        <v>0</v>
      </c>
      <c r="FV17" s="141">
        <f>SUMIFS('Expenditure Breakdown'!$U$6:$U$447, 'Expenditure Breakdown'!$T$6:$T$447, "&gt;="&amp;FV1,'Expenditure Breakdown'!$T$6:$T$447, "&lt;"&amp;FW1)</f>
        <v>0</v>
      </c>
      <c r="FW17" s="141">
        <f>SUMIFS('Expenditure Breakdown'!$U$6:$U$447, 'Expenditure Breakdown'!$T$6:$T$447, "&gt;="&amp;FW1,'Expenditure Breakdown'!$T$6:$T$447, "&lt;"&amp;FX1)</f>
        <v>0</v>
      </c>
      <c r="FX17" s="141">
        <f>SUMIFS('Expenditure Breakdown'!$U$6:$U$447, 'Expenditure Breakdown'!$T$6:$T$447, "&gt;="&amp;FX1,'Expenditure Breakdown'!$T$6:$T$447, "&lt;"&amp;FY1)</f>
        <v>0</v>
      </c>
      <c r="FY17" s="141">
        <f>SUMIFS('Expenditure Breakdown'!$U$6:$U$447, 'Expenditure Breakdown'!$T$6:$T$447, "&gt;="&amp;FY1,'Expenditure Breakdown'!$T$6:$T$447, "&lt;"&amp;FZ1)</f>
        <v>0</v>
      </c>
      <c r="FZ17" s="141">
        <f>SUMIFS('Expenditure Breakdown'!$U$6:$U$447, 'Expenditure Breakdown'!$T$6:$T$447, "&gt;="&amp;FZ1,'Expenditure Breakdown'!$T$6:$T$447, "&lt;"&amp;GA1)</f>
        <v>0</v>
      </c>
      <c r="GA17" s="141">
        <f>SUMIFS('Expenditure Breakdown'!$U$6:$U$447, 'Expenditure Breakdown'!$T$6:$T$447, "&gt;="&amp;GA1,'Expenditure Breakdown'!$T$6:$T$447, "&lt;"&amp;GB1)</f>
        <v>0</v>
      </c>
      <c r="GB17" s="141">
        <f>SUMIFS('Expenditure Breakdown'!$U$6:$U$447, 'Expenditure Breakdown'!$T$6:$T$447, "&gt;="&amp;GB1,'Expenditure Breakdown'!$T$6:$T$447, "&lt;"&amp;GC1)</f>
        <v>0</v>
      </c>
      <c r="GC17" s="141">
        <f>SUMIFS('Expenditure Breakdown'!$U$6:$U$447, 'Expenditure Breakdown'!$T$6:$T$447, "&gt;="&amp;GC1,'Expenditure Breakdown'!$T$6:$T$447, "&lt;"&amp;GD1)</f>
        <v>0</v>
      </c>
      <c r="GD17" s="141">
        <f>SUMIFS('Expenditure Breakdown'!$U$6:$U$447, 'Expenditure Breakdown'!$T$6:$T$447, "&gt;="&amp;GD1,'Expenditure Breakdown'!$T$6:$T$447, "&lt;"&amp;GE1)</f>
        <v>0</v>
      </c>
      <c r="GE17" s="141">
        <f>SUMIFS('Expenditure Breakdown'!$U$6:$U$447, 'Expenditure Breakdown'!$T$6:$T$447, "&gt;="&amp;GE1,'Expenditure Breakdown'!$T$6:$T$447, "&lt;"&amp;GF1)</f>
        <v>0</v>
      </c>
      <c r="GF17" s="141">
        <f>SUMIFS('Expenditure Breakdown'!$U$6:$U$447, 'Expenditure Breakdown'!$T$6:$T$447, "&gt;="&amp;GF1,'Expenditure Breakdown'!$T$6:$T$447, "&lt;"&amp;GG1)</f>
        <v>0</v>
      </c>
      <c r="GG17" s="141">
        <f>SUMIFS('Expenditure Breakdown'!$U$6:$U$447, 'Expenditure Breakdown'!$T$6:$T$447, "&gt;="&amp;GG1,'Expenditure Breakdown'!$T$6:$T$447, "&lt;"&amp;GH1)</f>
        <v>0</v>
      </c>
      <c r="GH17" s="141">
        <f>SUMIFS('Expenditure Breakdown'!$U$6:$U$447, 'Expenditure Breakdown'!$T$6:$T$447, "&gt;="&amp;GH1,'Expenditure Breakdown'!$T$6:$T$447, "&lt;"&amp;GI1)</f>
        <v>0</v>
      </c>
      <c r="GI17" s="141">
        <f>SUMIFS('Expenditure Breakdown'!$U$6:$U$447, 'Expenditure Breakdown'!$T$6:$T$447, "&gt;="&amp;GI1,'Expenditure Breakdown'!$T$6:$T$447, "&lt;"&amp;GJ1)</f>
        <v>0</v>
      </c>
      <c r="GJ17" s="141">
        <f>SUMIFS('Expenditure Breakdown'!$U$6:$U$447, 'Expenditure Breakdown'!$T$6:$T$447, "&gt;="&amp;GJ1,'Expenditure Breakdown'!$T$6:$T$447, "&lt;"&amp;GK1)</f>
        <v>0</v>
      </c>
      <c r="GK17" s="141">
        <f>SUMIFS('Expenditure Breakdown'!$U$6:$U$447, 'Expenditure Breakdown'!$T$6:$T$447, "&gt;="&amp;GK1,'Expenditure Breakdown'!$T$6:$T$447, "&lt;"&amp;GL1)</f>
        <v>0</v>
      </c>
      <c r="GL17" s="141">
        <f>SUMIFS('Expenditure Breakdown'!$U$6:$U$447, 'Expenditure Breakdown'!$T$6:$T$447, "&gt;="&amp;GL1,'Expenditure Breakdown'!$T$6:$T$447, "&lt;"&amp;GM1)</f>
        <v>0</v>
      </c>
      <c r="GM17" s="141">
        <f>SUMIFS('Expenditure Breakdown'!$U$6:$U$447, 'Expenditure Breakdown'!$T$6:$T$447, "&gt;="&amp;GM1,'Expenditure Breakdown'!$T$6:$T$447, "&lt;"&amp;GN1)</f>
        <v>0</v>
      </c>
      <c r="GN17" s="141">
        <f>SUMIFS('Expenditure Breakdown'!$U$6:$U$447, 'Expenditure Breakdown'!$T$6:$T$447, "&gt;="&amp;GN1,'Expenditure Breakdown'!$T$6:$T$447, "&lt;"&amp;GO1)</f>
        <v>0</v>
      </c>
      <c r="GO17" s="141">
        <f>SUMIFS('Expenditure Breakdown'!$U$6:$U$447, 'Expenditure Breakdown'!$T$6:$T$447, "&gt;="&amp;GO1,'Expenditure Breakdown'!$T$6:$T$447, "&lt;"&amp;GP1)</f>
        <v>0</v>
      </c>
      <c r="GP17" s="141">
        <f>SUMIFS('Expenditure Breakdown'!$U$6:$U$447, 'Expenditure Breakdown'!$T$6:$T$447, "&gt;="&amp;GP1,'Expenditure Breakdown'!$T$6:$T$447, "&lt;"&amp;GQ1)</f>
        <v>0</v>
      </c>
      <c r="GQ17" s="141">
        <f>SUMIFS('Expenditure Breakdown'!$U$6:$U$447, 'Expenditure Breakdown'!$T$6:$T$447, "&gt;="&amp;GQ1,'Expenditure Breakdown'!$T$6:$T$447, "&lt;"&amp;GR1)</f>
        <v>0</v>
      </c>
      <c r="GR17" s="141">
        <f>SUMIFS('Expenditure Breakdown'!$U$6:$U$447, 'Expenditure Breakdown'!$T$6:$T$447, "&gt;="&amp;GR1,'Expenditure Breakdown'!$T$6:$T$447, "&lt;"&amp;GS1)</f>
        <v>0</v>
      </c>
      <c r="GS17" s="141">
        <f>SUMIFS('Expenditure Breakdown'!$U$6:$U$447, 'Expenditure Breakdown'!$T$6:$T$447, "&gt;="&amp;GS1,'Expenditure Breakdown'!$T$6:$T$447, "&lt;"&amp;GT1)</f>
        <v>0</v>
      </c>
      <c r="GT17" s="141">
        <f>SUMIFS('Expenditure Breakdown'!$U$6:$U$447, 'Expenditure Breakdown'!$T$6:$T$447, "&gt;="&amp;GT1,'Expenditure Breakdown'!$T$6:$T$447, "&lt;"&amp;GU1)</f>
        <v>0</v>
      </c>
      <c r="GU17" s="141">
        <f>SUMIFS('Expenditure Breakdown'!$U$6:$U$447, 'Expenditure Breakdown'!$T$6:$T$447, "&gt;="&amp;GU1,'Expenditure Breakdown'!$T$6:$T$447, "&lt;"&amp;GV1)</f>
        <v>0</v>
      </c>
      <c r="GV17" s="141">
        <f>SUMIFS('Expenditure Breakdown'!$U$6:$U$447, 'Expenditure Breakdown'!$T$6:$T$447, "&gt;="&amp;GV1,'Expenditure Breakdown'!$T$6:$T$447, "&lt;"&amp;GW1)</f>
        <v>0</v>
      </c>
      <c r="GW17" s="141">
        <f>SUMIFS('Expenditure Breakdown'!$U$6:$U$447, 'Expenditure Breakdown'!$T$6:$T$447, "&gt;="&amp;GW1,'Expenditure Breakdown'!$T$6:$T$447, "&lt;"&amp;GX1)</f>
        <v>0</v>
      </c>
      <c r="GX17" s="141">
        <f>SUMIFS('Expenditure Breakdown'!$U$6:$U$447, 'Expenditure Breakdown'!$T$6:$T$447, "&gt;="&amp;GX1,'Expenditure Breakdown'!$T$6:$T$447, "&lt;"&amp;GY1)</f>
        <v>0</v>
      </c>
      <c r="GY17" s="141">
        <f>SUMIFS('Expenditure Breakdown'!$U$6:$U$447, 'Expenditure Breakdown'!$T$6:$T$447, "&gt;="&amp;GY1,'Expenditure Breakdown'!$T$6:$T$447, "&lt;"&amp;GZ1)</f>
        <v>0</v>
      </c>
      <c r="GZ17" s="141">
        <f>SUMIFS('Expenditure Breakdown'!$U$6:$U$447, 'Expenditure Breakdown'!$T$6:$T$447, "&gt;="&amp;GZ1,'Expenditure Breakdown'!$T$6:$T$447, "&lt;"&amp;HA1)</f>
        <v>0</v>
      </c>
      <c r="HA17" s="141">
        <f>SUMIFS('Expenditure Breakdown'!$U$6:$U$447, 'Expenditure Breakdown'!$T$6:$T$447, "&gt;="&amp;HA1,'Expenditure Breakdown'!$T$6:$T$447, "&lt;"&amp;HB1)</f>
        <v>0</v>
      </c>
      <c r="HB17" s="141">
        <f>SUMIFS('Expenditure Breakdown'!$U$6:$U$447, 'Expenditure Breakdown'!$T$6:$T$447, "&gt;="&amp;HB1,'Expenditure Breakdown'!$T$6:$T$447, "&lt;"&amp;HC1)</f>
        <v>0</v>
      </c>
      <c r="HC17" s="141">
        <f>SUMIFS('Expenditure Breakdown'!$U$6:$U$447, 'Expenditure Breakdown'!$T$6:$T$447, "&gt;="&amp;HC1,'Expenditure Breakdown'!$T$6:$T$447, "&lt;"&amp;HD1)</f>
        <v>0</v>
      </c>
      <c r="HD17" s="141">
        <f>SUMIFS('Expenditure Breakdown'!$U$6:$U$447, 'Expenditure Breakdown'!$T$6:$T$447, "&gt;="&amp;HD1,'Expenditure Breakdown'!$T$6:$T$447, "&lt;"&amp;HE1)</f>
        <v>0</v>
      </c>
      <c r="HE17" s="141">
        <f>SUMIFS('Expenditure Breakdown'!$U$6:$U$447, 'Expenditure Breakdown'!$T$6:$T$447, "&gt;="&amp;HE1,'Expenditure Breakdown'!$T$6:$T$447, "&lt;"&amp;HF1)</f>
        <v>0</v>
      </c>
      <c r="HF17" s="141">
        <f>SUMIFS('Expenditure Breakdown'!$U$6:$U$447, 'Expenditure Breakdown'!$T$6:$T$447, "&gt;="&amp;HF1,'Expenditure Breakdown'!$T$6:$T$447, "&lt;"&amp;HG1)</f>
        <v>0</v>
      </c>
      <c r="HG17" s="141">
        <f>SUMIFS('Expenditure Breakdown'!$U$6:$U$447, 'Expenditure Breakdown'!$T$6:$T$447, "&gt;="&amp;HG1,'Expenditure Breakdown'!$T$6:$T$447, "&lt;"&amp;HH1)</f>
        <v>0</v>
      </c>
      <c r="HH17" s="141">
        <f>SUMIFS('Expenditure Breakdown'!$U$6:$U$447, 'Expenditure Breakdown'!$T$6:$T$447, "&gt;="&amp;HH1,'Expenditure Breakdown'!$T$6:$T$447, "&lt;"&amp;HI1)</f>
        <v>0</v>
      </c>
      <c r="HI17" s="141">
        <f>SUMIFS('Expenditure Breakdown'!$U$6:$U$447, 'Expenditure Breakdown'!$T$6:$T$447, "&gt;="&amp;HI1,'Expenditure Breakdown'!$T$6:$T$447, "&lt;"&amp;HJ1)</f>
        <v>0</v>
      </c>
      <c r="HJ17" s="141">
        <f>SUMIFS('Expenditure Breakdown'!$U$6:$U$447, 'Expenditure Breakdown'!$T$6:$T$447, "&gt;="&amp;HJ1,'Expenditure Breakdown'!$T$6:$T$447, "&lt;"&amp;HK1)</f>
        <v>0</v>
      </c>
      <c r="HK17" s="141">
        <f>SUMIFS('Expenditure Breakdown'!$U$6:$U$447, 'Expenditure Breakdown'!$T$6:$T$447, "&gt;="&amp;HK1,'Expenditure Breakdown'!$T$6:$T$447, "&lt;"&amp;HL1)</f>
        <v>0</v>
      </c>
      <c r="HL17" s="141">
        <f>SUMIFS('Expenditure Breakdown'!$U$6:$U$447, 'Expenditure Breakdown'!$T$6:$T$447, "&gt;="&amp;HL1,'Expenditure Breakdown'!$T$6:$T$447, "&lt;"&amp;HM1)</f>
        <v>0</v>
      </c>
      <c r="HM17" s="141">
        <f>SUMIFS('Expenditure Breakdown'!$U$6:$U$447, 'Expenditure Breakdown'!$T$6:$T$447, "&gt;="&amp;HM1,'Expenditure Breakdown'!$T$6:$T$447, "&lt;"&amp;HN1)</f>
        <v>0</v>
      </c>
      <c r="HN17" s="141">
        <f>SUMIFS('Expenditure Breakdown'!$U$6:$U$447, 'Expenditure Breakdown'!$T$6:$T$447, "&gt;="&amp;HN1,'Expenditure Breakdown'!$T$6:$T$447, "&lt;"&amp;HO1)</f>
        <v>0</v>
      </c>
      <c r="HO17" s="141">
        <f>SUMIFS('Expenditure Breakdown'!$U$6:$U$447, 'Expenditure Breakdown'!$T$6:$T$447, "&gt;="&amp;HO1,'Expenditure Breakdown'!$T$6:$T$447, "&lt;"&amp;HP1)</f>
        <v>0</v>
      </c>
      <c r="HP17" s="141">
        <f>SUMIFS('Expenditure Breakdown'!$U$6:$U$447, 'Expenditure Breakdown'!$T$6:$T$447, "&gt;="&amp;HP1,'Expenditure Breakdown'!$T$6:$T$447, "&lt;"&amp;HQ1)</f>
        <v>0</v>
      </c>
      <c r="HQ17" s="141">
        <f>SUMIFS('Expenditure Breakdown'!$U$6:$U$447, 'Expenditure Breakdown'!$T$6:$T$447, "&gt;="&amp;HQ1,'Expenditure Breakdown'!$T$6:$T$447, "&lt;"&amp;HR1)</f>
        <v>0</v>
      </c>
      <c r="HR17" s="141">
        <f>SUMIFS('Expenditure Breakdown'!$U$6:$U$447, 'Expenditure Breakdown'!$T$6:$T$447, "&gt;="&amp;HR1,'Expenditure Breakdown'!$T$6:$T$447, "&lt;"&amp;HS1)</f>
        <v>0</v>
      </c>
      <c r="HS17" s="141">
        <f>SUMIFS('Expenditure Breakdown'!$U$6:$U$447, 'Expenditure Breakdown'!$T$6:$T$447, "&gt;="&amp;HS1,'Expenditure Breakdown'!$T$6:$T$447, "&lt;"&amp;HT1)</f>
        <v>0</v>
      </c>
      <c r="HT17" s="141">
        <f>SUMIFS('Expenditure Breakdown'!$U$6:$U$447, 'Expenditure Breakdown'!$T$6:$T$447, "&gt;="&amp;HT1,'Expenditure Breakdown'!$T$6:$T$447, "&lt;"&amp;HU1)</f>
        <v>0</v>
      </c>
      <c r="HU17" s="141">
        <f>SUMIFS('Expenditure Breakdown'!$U$6:$U$447, 'Expenditure Breakdown'!$T$6:$T$447, "&gt;="&amp;HU1,'Expenditure Breakdown'!$T$6:$T$447, "&lt;"&amp;HV1)</f>
        <v>0</v>
      </c>
      <c r="HV17" s="141">
        <f>SUMIFS('Expenditure Breakdown'!$U$6:$U$447, 'Expenditure Breakdown'!$T$6:$T$447, "&gt;="&amp;HV1,'Expenditure Breakdown'!$T$6:$T$447, "&lt;"&amp;HW1)</f>
        <v>0</v>
      </c>
      <c r="HW17" s="141">
        <f>SUMIFS('Expenditure Breakdown'!$U$6:$U$447, 'Expenditure Breakdown'!$T$6:$T$447, "&gt;="&amp;HW1,'Expenditure Breakdown'!$T$6:$T$447, "&lt;"&amp;HX1)</f>
        <v>0</v>
      </c>
      <c r="HX17" s="141">
        <f>SUMIFS('Expenditure Breakdown'!$U$6:$U$447, 'Expenditure Breakdown'!$T$6:$T$447, "&gt;="&amp;HX1,'Expenditure Breakdown'!$T$6:$T$447, "&lt;"&amp;HY1)</f>
        <v>0</v>
      </c>
      <c r="HY17" s="141">
        <f>SUMIFS('Expenditure Breakdown'!$U$6:$U$447, 'Expenditure Breakdown'!$T$6:$T$447, "&gt;="&amp;HY1,'Expenditure Breakdown'!$T$6:$T$447, "&lt;"&amp;HZ1)</f>
        <v>0</v>
      </c>
      <c r="HZ17" s="141">
        <f>SUMIFS('Expenditure Breakdown'!$U$6:$U$447, 'Expenditure Breakdown'!$T$6:$T$447, "&gt;="&amp;HZ1,'Expenditure Breakdown'!$T$6:$T$447, "&lt;"&amp;IA1)</f>
        <v>0</v>
      </c>
      <c r="IA17" s="141">
        <f>SUMIFS('Expenditure Breakdown'!$U$6:$U$447, 'Expenditure Breakdown'!$T$6:$T$447, "&gt;="&amp;IA1,'Expenditure Breakdown'!$T$6:$T$447, "&lt;"&amp;IB1)</f>
        <v>0</v>
      </c>
      <c r="IB17" s="141">
        <f>SUMIFS('Expenditure Breakdown'!$U$6:$U$447, 'Expenditure Breakdown'!$T$6:$T$447, "&gt;="&amp;IB1,'Expenditure Breakdown'!$T$6:$T$447, "&lt;"&amp;IC1)</f>
        <v>0</v>
      </c>
      <c r="IC17" s="141">
        <f>SUMIFS('Expenditure Breakdown'!$U$6:$U$447, 'Expenditure Breakdown'!$T$6:$T$447, "&gt;="&amp;IC1,'Expenditure Breakdown'!$T$6:$T$447, "&lt;"&amp;ID1)</f>
        <v>0</v>
      </c>
      <c r="ID17" s="141">
        <f>SUMIFS('Expenditure Breakdown'!$U$6:$U$447, 'Expenditure Breakdown'!$T$6:$T$447, "&gt;="&amp;ID1,'Expenditure Breakdown'!$T$6:$T$447, "&lt;"&amp;IE1)</f>
        <v>0</v>
      </c>
      <c r="IE17" s="141">
        <f>SUMIFS('Expenditure Breakdown'!$U$6:$U$447, 'Expenditure Breakdown'!$T$6:$T$447, "&gt;="&amp;IE1,'Expenditure Breakdown'!$T$6:$T$447, "&lt;"&amp;IF1)</f>
        <v>0</v>
      </c>
      <c r="IF17" s="141">
        <f>SUMIFS('Expenditure Breakdown'!$U$6:$U$447, 'Expenditure Breakdown'!$T$6:$T$447, "&gt;="&amp;IF1,'Expenditure Breakdown'!$T$6:$T$447, "&lt;"&amp;IG1)</f>
        <v>0</v>
      </c>
      <c r="IG17" s="141">
        <f>SUMIFS('Expenditure Breakdown'!$U$6:$U$447, 'Expenditure Breakdown'!$T$6:$T$447, "&gt;="&amp;IG1,'Expenditure Breakdown'!$T$6:$T$447, "&lt;"&amp;IH1)</f>
        <v>0</v>
      </c>
      <c r="IH17" s="141">
        <f>SUMIFS('Expenditure Breakdown'!$U$6:$U$447, 'Expenditure Breakdown'!$T$6:$T$447, "&gt;="&amp;IH1,'Expenditure Breakdown'!$T$6:$T$447, "&lt;"&amp;II1)</f>
        <v>0</v>
      </c>
      <c r="II17" s="141">
        <f>SUMIFS('Expenditure Breakdown'!$U$6:$U$447, 'Expenditure Breakdown'!$T$6:$T$447, "&gt;="&amp;II1,'Expenditure Breakdown'!$T$6:$T$447, "&lt;"&amp;IJ1)</f>
        <v>0</v>
      </c>
      <c r="IJ17" s="141">
        <f>SUMIFS('Expenditure Breakdown'!$U$6:$U$447, 'Expenditure Breakdown'!$T$6:$T$447, "&gt;="&amp;IJ1,'Expenditure Breakdown'!$T$6:$T$447, "&lt;"&amp;IK1)</f>
        <v>0</v>
      </c>
      <c r="IK17" s="141">
        <f>SUMIFS('Expenditure Breakdown'!$U$6:$U$447, 'Expenditure Breakdown'!$T$6:$T$447, "&gt;="&amp;IK1,'Expenditure Breakdown'!$T$6:$T$447, "&lt;"&amp;IL1)</f>
        <v>0</v>
      </c>
      <c r="IL17" s="141">
        <f>SUMIFS('Expenditure Breakdown'!$U$6:$U$447, 'Expenditure Breakdown'!$T$6:$T$447, "&gt;="&amp;IL1,'Expenditure Breakdown'!$T$6:$T$447, "&lt;"&amp;IM1)</f>
        <v>0</v>
      </c>
      <c r="IM17" s="141">
        <f>SUMIFS('Expenditure Breakdown'!$U$6:$U$447, 'Expenditure Breakdown'!$T$6:$T$447, "&gt;="&amp;IM1,'Expenditure Breakdown'!$T$6:$T$447, "&lt;"&amp;IN1)</f>
        <v>0</v>
      </c>
      <c r="IN17" s="141">
        <f>SUMIFS('Expenditure Breakdown'!$U$6:$U$447, 'Expenditure Breakdown'!$T$6:$T$447, "&gt;="&amp;IN1,'Expenditure Breakdown'!$T$6:$T$447, "&lt;"&amp;IO1)</f>
        <v>0</v>
      </c>
      <c r="IO17" s="141">
        <f>SUMIFS('Expenditure Breakdown'!$U$6:$U$447, 'Expenditure Breakdown'!$T$6:$T$447, "&gt;="&amp;IO1,'Expenditure Breakdown'!$T$6:$T$447, "&lt;"&amp;IP1)</f>
        <v>0</v>
      </c>
      <c r="IP17" s="141">
        <f>SUMIFS('Expenditure Breakdown'!$U$6:$U$447, 'Expenditure Breakdown'!$T$6:$T$447, "&gt;="&amp;IP1,'Expenditure Breakdown'!$T$6:$T$447, "&lt;"&amp;IQ1)</f>
        <v>0</v>
      </c>
      <c r="IQ17" s="141">
        <f>SUMIFS('Expenditure Breakdown'!$U$6:$U$447, 'Expenditure Breakdown'!$T$6:$T$447, "&gt;="&amp;IQ1,'Expenditure Breakdown'!$T$6:$T$447, "&lt;"&amp;IR1)</f>
        <v>0</v>
      </c>
      <c r="IR17" s="141">
        <f>SUMIFS('Expenditure Breakdown'!$U$6:$U$447, 'Expenditure Breakdown'!$T$6:$T$447, "&gt;="&amp;IR1,'Expenditure Breakdown'!$T$6:$T$447, "&lt;"&amp;IS1)</f>
        <v>0</v>
      </c>
      <c r="IS17" s="141">
        <f>SUMIFS('Expenditure Breakdown'!$U$6:$U$447, 'Expenditure Breakdown'!$T$6:$T$447, "&gt;="&amp;IS1,'Expenditure Breakdown'!$T$6:$T$447, "&lt;"&amp;IT1)</f>
        <v>0</v>
      </c>
      <c r="IT17" s="141">
        <f>SUMIFS('Expenditure Breakdown'!$U$6:$U$447, 'Expenditure Breakdown'!$T$6:$T$447, "&gt;="&amp;IT1,'Expenditure Breakdown'!$T$6:$T$447, "&lt;"&amp;IU1)</f>
        <v>0</v>
      </c>
      <c r="IU17" s="141">
        <f>SUMIFS('Expenditure Breakdown'!$U$6:$U$447, 'Expenditure Breakdown'!$T$6:$T$447, "&gt;="&amp;IU1,'Expenditure Breakdown'!$T$6:$T$447, "&lt;"&amp;IV1)</f>
        <v>0</v>
      </c>
      <c r="IV17" s="141">
        <f>SUMIFS('Expenditure Breakdown'!$U$6:$U$447, 'Expenditure Breakdown'!$T$6:$T$447, "&gt;="&amp;IV1,'Expenditure Breakdown'!$T$6:$T$447, "&lt;"&amp;IW1)</f>
        <v>0</v>
      </c>
      <c r="IW17" s="141">
        <f>SUMIFS('Expenditure Breakdown'!$U$6:$U$447, 'Expenditure Breakdown'!$T$6:$T$447, "&gt;="&amp;IW1,'Expenditure Breakdown'!$T$6:$T$447, "&lt;"&amp;IX1)</f>
        <v>0</v>
      </c>
      <c r="IX17" s="141">
        <f>SUMIFS('Expenditure Breakdown'!$U$6:$U$447, 'Expenditure Breakdown'!$T$6:$T$447, "&gt;="&amp;IX1,'Expenditure Breakdown'!$T$6:$T$447, "&lt;"&amp;IY1)</f>
        <v>0</v>
      </c>
      <c r="IY17" s="141">
        <f>SUMIFS('Expenditure Breakdown'!$U$6:$U$447, 'Expenditure Breakdown'!$T$6:$T$447, "&gt;="&amp;IY1,'Expenditure Breakdown'!$T$6:$T$447, "&lt;"&amp;IZ1)</f>
        <v>0</v>
      </c>
      <c r="IZ17" s="141">
        <f>SUMIFS('Expenditure Breakdown'!$U$6:$U$447, 'Expenditure Breakdown'!$T$6:$T$447, "&gt;="&amp;IZ1,'Expenditure Breakdown'!$T$6:$T$447, "&lt;"&amp;JA1)</f>
        <v>0</v>
      </c>
      <c r="JA17" s="141">
        <f>SUMIFS('Expenditure Breakdown'!$U$6:$U$447, 'Expenditure Breakdown'!$T$6:$T$447, "&gt;="&amp;JA1,'Expenditure Breakdown'!$T$6:$T$447, "&lt;"&amp;JB1)</f>
        <v>0</v>
      </c>
      <c r="JB17" s="141">
        <f>SUMIFS('Expenditure Breakdown'!$U$6:$U$447, 'Expenditure Breakdown'!$T$6:$T$447, "&gt;="&amp;JB1,'Expenditure Breakdown'!$T$6:$T$447, "&lt;"&amp;JC1)</f>
        <v>0</v>
      </c>
      <c r="JC17" s="141">
        <f>SUMIFS('Expenditure Breakdown'!$U$6:$U$447, 'Expenditure Breakdown'!$T$6:$T$447, "&gt;="&amp;JC1,'Expenditure Breakdown'!$T$6:$T$447, "&lt;"&amp;JD1)</f>
        <v>0</v>
      </c>
      <c r="JD17" s="141">
        <f>SUMIFS('Expenditure Breakdown'!$U$6:$U$447, 'Expenditure Breakdown'!$T$6:$T$447, "&gt;="&amp;JD1,'Expenditure Breakdown'!$T$6:$T$447, "&lt;"&amp;JE1)</f>
        <v>0</v>
      </c>
      <c r="JE17" s="141">
        <f>SUMIFS('Expenditure Breakdown'!$U$6:$U$447, 'Expenditure Breakdown'!$T$6:$T$447, "&gt;="&amp;JE1,'Expenditure Breakdown'!$T$6:$T$447, "&lt;"&amp;JF1)</f>
        <v>0</v>
      </c>
      <c r="JF17" s="141">
        <f>SUMIFS('Expenditure Breakdown'!$U$6:$U$447, 'Expenditure Breakdown'!$T$6:$T$447, "&gt;="&amp;JF1,'Expenditure Breakdown'!$T$6:$T$447, "&lt;"&amp;JG1)</f>
        <v>0</v>
      </c>
      <c r="JG17" s="141">
        <f>SUMIFS('Expenditure Breakdown'!$U$6:$U$447, 'Expenditure Breakdown'!$T$6:$T$447, "&gt;="&amp;JG1,'Expenditure Breakdown'!$T$6:$T$447, "&lt;"&amp;JH1)</f>
        <v>0</v>
      </c>
      <c r="JH17" s="141">
        <f>SUMIFS('Expenditure Breakdown'!$U$6:$U$447, 'Expenditure Breakdown'!$T$6:$T$447, "&gt;="&amp;JH1,'Expenditure Breakdown'!$T$6:$T$447, "&lt;"&amp;JI1)</f>
        <v>0</v>
      </c>
      <c r="JI17" s="141">
        <f>SUMIFS('Expenditure Breakdown'!$U$6:$U$447, 'Expenditure Breakdown'!$T$6:$T$447, "&gt;="&amp;JI1,'Expenditure Breakdown'!$T$6:$T$447, "&lt;"&amp;JJ1)</f>
        <v>0</v>
      </c>
      <c r="JJ17" s="141">
        <f>SUMIFS('Expenditure Breakdown'!$U$6:$U$447, 'Expenditure Breakdown'!$T$6:$T$447, "&gt;="&amp;JJ1,'Expenditure Breakdown'!$T$6:$T$447, "&lt;"&amp;JK1)</f>
        <v>0</v>
      </c>
      <c r="JK17" s="141">
        <f>SUMIFS('Expenditure Breakdown'!$U$6:$U$447, 'Expenditure Breakdown'!$T$6:$T$447, "&gt;="&amp;JK1,'Expenditure Breakdown'!$T$6:$T$447, "&lt;"&amp;JL1)</f>
        <v>0</v>
      </c>
      <c r="JL17" s="141">
        <f>SUMIFS('Expenditure Breakdown'!$U$6:$U$447, 'Expenditure Breakdown'!$T$6:$T$447, "&gt;="&amp;JL1,'Expenditure Breakdown'!$T$6:$T$447, "&lt;"&amp;JM1)</f>
        <v>0</v>
      </c>
      <c r="JM17" s="141">
        <f>SUMIFS('Expenditure Breakdown'!$U$6:$U$447, 'Expenditure Breakdown'!$T$6:$T$447, "&gt;="&amp;JM1,'Expenditure Breakdown'!$T$6:$T$447, "&lt;"&amp;JN1)</f>
        <v>0</v>
      </c>
      <c r="JN17" s="141">
        <f>SUMIFS('Expenditure Breakdown'!$U$6:$U$447, 'Expenditure Breakdown'!$T$6:$T$447, "&gt;="&amp;JN1,'Expenditure Breakdown'!$T$6:$T$447, "&lt;"&amp;JO1)</f>
        <v>0</v>
      </c>
      <c r="JO17" s="141">
        <f>SUMIFS('Expenditure Breakdown'!$U$6:$U$447, 'Expenditure Breakdown'!$T$6:$T$447, "&gt;="&amp;JO1,'Expenditure Breakdown'!$T$6:$T$447, "&lt;"&amp;JP1)</f>
        <v>0</v>
      </c>
      <c r="JP17" s="141">
        <f>SUMIFS('Expenditure Breakdown'!$U$6:$U$447, 'Expenditure Breakdown'!$T$6:$T$447, "&gt;="&amp;JP1,'Expenditure Breakdown'!$T$6:$T$447, "&lt;"&amp;JQ1)</f>
        <v>0</v>
      </c>
      <c r="JQ17" s="141">
        <f>SUMIFS('Expenditure Breakdown'!$U$6:$U$447, 'Expenditure Breakdown'!$T$6:$T$447, "&gt;="&amp;JQ1,'Expenditure Breakdown'!$T$6:$T$447, "&lt;"&amp;JR1)</f>
        <v>0</v>
      </c>
      <c r="JR17" s="141">
        <f>SUMIFS('Expenditure Breakdown'!$U$6:$U$447, 'Expenditure Breakdown'!$T$6:$T$447, "&gt;="&amp;JR1,'Expenditure Breakdown'!$T$6:$T$447, "&lt;"&amp;JS1)</f>
        <v>0</v>
      </c>
      <c r="JS17" s="141">
        <f>SUMIFS('Expenditure Breakdown'!$U$6:$U$447, 'Expenditure Breakdown'!$T$6:$T$447, "&gt;="&amp;JS1,'Expenditure Breakdown'!$T$6:$T$447, "&lt;"&amp;JT1)</f>
        <v>0</v>
      </c>
      <c r="JT17" s="141">
        <f>SUMIFS('Expenditure Breakdown'!$U$6:$U$447, 'Expenditure Breakdown'!$T$6:$T$447, "&gt;="&amp;JT1,'Expenditure Breakdown'!$T$6:$T$447, "&lt;"&amp;JU1)</f>
        <v>0</v>
      </c>
      <c r="JU17" s="141">
        <f>SUMIFS('Expenditure Breakdown'!$U$6:$U$447, 'Expenditure Breakdown'!$T$6:$T$447, "&gt;="&amp;JU1,'Expenditure Breakdown'!$T$6:$T$447, "&lt;"&amp;JV1)</f>
        <v>0</v>
      </c>
      <c r="JV17" s="141">
        <f>SUMIFS('Expenditure Breakdown'!$U$6:$U$447, 'Expenditure Breakdown'!$T$6:$T$447, "&gt;="&amp;JV1,'Expenditure Breakdown'!$T$6:$T$447, "&lt;"&amp;JW1)</f>
        <v>0</v>
      </c>
      <c r="JW17" s="141">
        <f>SUMIFS('Expenditure Breakdown'!$U$6:$U$447, 'Expenditure Breakdown'!$T$6:$T$447, "&gt;="&amp;JW1,'Expenditure Breakdown'!$T$6:$T$447, "&lt;"&amp;JX1)</f>
        <v>0</v>
      </c>
      <c r="JX17" s="141">
        <f>SUMIFS('Expenditure Breakdown'!$U$6:$U$447, 'Expenditure Breakdown'!$T$6:$T$447, "&gt;="&amp;JX1,'Expenditure Breakdown'!$T$6:$T$447, "&lt;"&amp;JY1)</f>
        <v>0</v>
      </c>
      <c r="JY17" s="141">
        <f>SUMIFS('Expenditure Breakdown'!$U$6:$U$447, 'Expenditure Breakdown'!$T$6:$T$447, "&gt;="&amp;JY1,'Expenditure Breakdown'!$T$6:$T$447, "&lt;"&amp;JZ1)</f>
        <v>0</v>
      </c>
      <c r="JZ17" s="141">
        <f>SUMIFS('Expenditure Breakdown'!$U$6:$U$447, 'Expenditure Breakdown'!$T$6:$T$447, "&gt;="&amp;JZ1,'Expenditure Breakdown'!$T$6:$T$447, "&lt;"&amp;KA1)</f>
        <v>0</v>
      </c>
      <c r="KA17" s="141">
        <f>SUMIFS('Expenditure Breakdown'!$U$6:$U$447, 'Expenditure Breakdown'!$T$6:$T$447, "&gt;="&amp;KA1,'Expenditure Breakdown'!$T$6:$T$447, "&lt;"&amp;KB1)</f>
        <v>0</v>
      </c>
      <c r="KB17" s="141">
        <f>SUMIFS('Expenditure Breakdown'!$U$6:$U$447, 'Expenditure Breakdown'!$T$6:$T$447, "&gt;="&amp;KB1,'Expenditure Breakdown'!$T$6:$T$447, "&lt;"&amp;KC1)</f>
        <v>0</v>
      </c>
      <c r="KC17" s="141">
        <f>SUMIFS('Expenditure Breakdown'!$U$6:$U$447, 'Expenditure Breakdown'!$T$6:$T$447, "&gt;="&amp;KC1,'Expenditure Breakdown'!$T$6:$T$447, "&lt;"&amp;KD1)</f>
        <v>0</v>
      </c>
      <c r="KD17" s="141">
        <f>SUMIFS('Expenditure Breakdown'!$U$6:$U$447, 'Expenditure Breakdown'!$T$6:$T$447, "&gt;="&amp;KD1,'Expenditure Breakdown'!$T$6:$T$447, "&lt;"&amp;KE1)</f>
        <v>0</v>
      </c>
      <c r="KE17" s="141">
        <f>SUMIFS('Expenditure Breakdown'!$U$6:$U$447, 'Expenditure Breakdown'!$T$6:$T$447, "&gt;="&amp;KE1,'Expenditure Breakdown'!$T$6:$T$447, "&lt;"&amp;KF1)</f>
        <v>0</v>
      </c>
      <c r="KF17" s="141">
        <f>SUMIFS('Expenditure Breakdown'!$U$6:$U$447, 'Expenditure Breakdown'!$T$6:$T$447, "&gt;="&amp;KF1,'Expenditure Breakdown'!$T$6:$T$447, "&lt;"&amp;KG1)</f>
        <v>0</v>
      </c>
      <c r="KG17" s="141">
        <f>SUMIFS('Expenditure Breakdown'!$U$6:$U$447, 'Expenditure Breakdown'!$T$6:$T$447, "&gt;="&amp;KG1,'Expenditure Breakdown'!$T$6:$T$447, "&lt;"&amp;KH1)</f>
        <v>0</v>
      </c>
      <c r="KH17" s="141">
        <f>SUMIFS('Expenditure Breakdown'!$U$6:$U$447, 'Expenditure Breakdown'!$T$6:$T$447, "&gt;="&amp;KH1,'Expenditure Breakdown'!$T$6:$T$447, "&lt;"&amp;KI1)</f>
        <v>0</v>
      </c>
      <c r="KI17" s="141">
        <f>SUMIFS('Expenditure Breakdown'!$U$6:$U$447, 'Expenditure Breakdown'!$T$6:$T$447, "&gt;="&amp;KI1,'Expenditure Breakdown'!$T$6:$T$447, "&lt;"&amp;KJ1)</f>
        <v>0</v>
      </c>
      <c r="KJ17" s="141">
        <f>SUMIFS('Expenditure Breakdown'!$U$6:$U$447, 'Expenditure Breakdown'!$T$6:$T$447, "&gt;="&amp;KJ1,'Expenditure Breakdown'!$T$6:$T$447, "&lt;"&amp;KK1)</f>
        <v>0</v>
      </c>
      <c r="KK17" s="141">
        <f>SUMIFS('Expenditure Breakdown'!$U$6:$U$447, 'Expenditure Breakdown'!$T$6:$T$447, "&gt;="&amp;KK1,'Expenditure Breakdown'!$T$6:$T$447, "&lt;"&amp;KL1)</f>
        <v>0</v>
      </c>
      <c r="KL17" s="141">
        <f>SUMIFS('Expenditure Breakdown'!$U$6:$U$447, 'Expenditure Breakdown'!$T$6:$T$447, "&gt;="&amp;KL1,'Expenditure Breakdown'!$T$6:$T$447, "&lt;"&amp;KM1)</f>
        <v>0</v>
      </c>
      <c r="KM17" s="141">
        <f>SUMIFS('Expenditure Breakdown'!$U$6:$U$447, 'Expenditure Breakdown'!$T$6:$T$447, "&gt;="&amp;KM1,'Expenditure Breakdown'!$T$6:$T$447, "&lt;"&amp;KN1)</f>
        <v>0</v>
      </c>
      <c r="KN17" s="141">
        <f>SUMIFS('Expenditure Breakdown'!$U$6:$U$447, 'Expenditure Breakdown'!$T$6:$T$447, "&gt;="&amp;KN1,'Expenditure Breakdown'!$T$6:$T$447, "&lt;"&amp;KO1)</f>
        <v>0</v>
      </c>
      <c r="KO17" s="141">
        <f>SUMIFS('Expenditure Breakdown'!$U$6:$U$447, 'Expenditure Breakdown'!$T$6:$T$447, "&gt;="&amp;KO1,'Expenditure Breakdown'!$T$6:$T$447, "&lt;"&amp;KP1)</f>
        <v>0</v>
      </c>
      <c r="KP17" s="141">
        <f>SUMIFS('Expenditure Breakdown'!$U$6:$U$447, 'Expenditure Breakdown'!$T$6:$T$447, "&gt;="&amp;KP1,'Expenditure Breakdown'!$T$6:$T$447, "&lt;"&amp;KQ1)</f>
        <v>0</v>
      </c>
      <c r="KQ17" s="141">
        <f>SUMIFS('Expenditure Breakdown'!$U$6:$U$447, 'Expenditure Breakdown'!$T$6:$T$447, "&gt;="&amp;KQ1,'Expenditure Breakdown'!$T$6:$T$447, "&lt;"&amp;KR1)</f>
        <v>0</v>
      </c>
      <c r="KR17" s="141">
        <f>SUMIFS('Expenditure Breakdown'!$U$6:$U$447, 'Expenditure Breakdown'!$T$6:$T$447, "&gt;="&amp;KR1,'Expenditure Breakdown'!$T$6:$T$447, "&lt;"&amp;KS1)</f>
        <v>0</v>
      </c>
      <c r="KS17" s="141">
        <f>SUMIFS('Expenditure Breakdown'!$U$6:$U$447, 'Expenditure Breakdown'!$T$6:$T$447, "&gt;="&amp;KS1,'Expenditure Breakdown'!$T$6:$T$447, "&lt;"&amp;KT1)</f>
        <v>0</v>
      </c>
      <c r="KT17" s="141">
        <f>SUMIFS('Expenditure Breakdown'!$U$6:$U$447, 'Expenditure Breakdown'!$T$6:$T$447, "&gt;="&amp;KT1,'Expenditure Breakdown'!$T$6:$T$447, "&lt;"&amp;KU1)</f>
        <v>0</v>
      </c>
      <c r="KU17" s="141">
        <f>SUMIFS('Expenditure Breakdown'!$U$6:$U$447, 'Expenditure Breakdown'!$T$6:$T$447, "&gt;="&amp;KU1,'Expenditure Breakdown'!$T$6:$T$447, "&lt;"&amp;KV1)</f>
        <v>0</v>
      </c>
      <c r="KV17" s="141">
        <f>SUMIFS('Expenditure Breakdown'!$U$6:$U$447, 'Expenditure Breakdown'!$T$6:$T$447, "&gt;="&amp;KV1,'Expenditure Breakdown'!$T$6:$T$447, "&lt;"&amp;KW1)</f>
        <v>0</v>
      </c>
      <c r="KW17" s="141">
        <f>SUMIFS('Expenditure Breakdown'!$U$6:$U$447, 'Expenditure Breakdown'!$T$6:$T$447, "&gt;="&amp;KW1,'Expenditure Breakdown'!$T$6:$T$447, "&lt;"&amp;KX1)</f>
        <v>0</v>
      </c>
      <c r="KX17" s="141">
        <f>SUMIFS('Expenditure Breakdown'!$U$6:$U$447, 'Expenditure Breakdown'!$T$6:$T$447, "&gt;="&amp;KX1,'Expenditure Breakdown'!$T$6:$T$447, "&lt;"&amp;KY1)</f>
        <v>0</v>
      </c>
      <c r="KY17" s="141">
        <f>SUMIFS('Expenditure Breakdown'!$U$6:$U$447, 'Expenditure Breakdown'!$T$6:$T$447, "&gt;="&amp;KY1,'Expenditure Breakdown'!$T$6:$T$447, "&lt;"&amp;KZ1)</f>
        <v>0</v>
      </c>
      <c r="KZ17" s="141">
        <f>SUMIFS('Expenditure Breakdown'!$U$6:$U$447, 'Expenditure Breakdown'!$T$6:$T$447, "&gt;="&amp;KZ1,'Expenditure Breakdown'!$T$6:$T$447, "&lt;"&amp;LA1)</f>
        <v>0</v>
      </c>
      <c r="LA17" s="141">
        <f>SUMIFS('Expenditure Breakdown'!$U$6:$U$447, 'Expenditure Breakdown'!$T$6:$T$447, "&gt;="&amp;LA1,'Expenditure Breakdown'!$T$6:$T$447, "&lt;"&amp;LB1)</f>
        <v>0</v>
      </c>
      <c r="LB17" s="141">
        <f>SUMIFS('Expenditure Breakdown'!$U$6:$U$447, 'Expenditure Breakdown'!$T$6:$T$447, "&gt;="&amp;LB1,'Expenditure Breakdown'!$T$6:$T$447, "&lt;"&amp;LC1)</f>
        <v>0</v>
      </c>
      <c r="LC17" s="141">
        <f>SUMIFS('Expenditure Breakdown'!$U$6:$U$447, 'Expenditure Breakdown'!$T$6:$T$447, "&gt;="&amp;LC1,'Expenditure Breakdown'!$T$6:$T$447, "&lt;"&amp;LD1)</f>
        <v>0</v>
      </c>
      <c r="LD17" s="141">
        <f>SUMIFS('Expenditure Breakdown'!$U$6:$U$447, 'Expenditure Breakdown'!$T$6:$T$447, "&gt;="&amp;LD1,'Expenditure Breakdown'!$T$6:$T$447, "&lt;"&amp;#REF!)</f>
        <v>0</v>
      </c>
    </row>
    <row r="18" spans="1:316">
      <c r="A18" s="911"/>
      <c r="B18" s="122" t="s">
        <v>783</v>
      </c>
      <c r="C18" s="300">
        <f>D17-D18</f>
        <v>0</v>
      </c>
      <c r="D18" s="123">
        <f>MAX(F18:LD18)</f>
        <v>60000000.002943784</v>
      </c>
      <c r="E18" s="133"/>
      <c r="F18" s="141">
        <f>F17</f>
        <v>0</v>
      </c>
      <c r="G18" s="141">
        <f>F18+G17</f>
        <v>0</v>
      </c>
      <c r="H18" s="141">
        <f>G18+H17</f>
        <v>0</v>
      </c>
      <c r="I18" s="141">
        <f t="shared" ref="I18:BT18" si="37">H18+I17</f>
        <v>0</v>
      </c>
      <c r="J18" s="141">
        <f t="shared" si="37"/>
        <v>0</v>
      </c>
      <c r="K18" s="141">
        <f t="shared" si="37"/>
        <v>0</v>
      </c>
      <c r="L18" s="141">
        <f t="shared" si="37"/>
        <v>0</v>
      </c>
      <c r="M18" s="141">
        <f t="shared" si="37"/>
        <v>0</v>
      </c>
      <c r="N18" s="141">
        <f t="shared" si="37"/>
        <v>0</v>
      </c>
      <c r="O18" s="141">
        <f t="shared" si="37"/>
        <v>0</v>
      </c>
      <c r="P18" s="141">
        <f t="shared" si="37"/>
        <v>0</v>
      </c>
      <c r="Q18" s="141">
        <f t="shared" si="37"/>
        <v>0</v>
      </c>
      <c r="R18" s="141">
        <f t="shared" si="37"/>
        <v>0</v>
      </c>
      <c r="S18" s="141">
        <f t="shared" si="37"/>
        <v>0</v>
      </c>
      <c r="T18" s="141">
        <f t="shared" si="37"/>
        <v>0</v>
      </c>
      <c r="U18" s="141">
        <f t="shared" si="37"/>
        <v>0</v>
      </c>
      <c r="V18" s="141">
        <f t="shared" si="37"/>
        <v>0</v>
      </c>
      <c r="W18" s="141">
        <f t="shared" si="37"/>
        <v>0</v>
      </c>
      <c r="X18" s="141">
        <f t="shared" si="37"/>
        <v>0</v>
      </c>
      <c r="Y18" s="141">
        <f t="shared" si="37"/>
        <v>0</v>
      </c>
      <c r="Z18" s="141">
        <f t="shared" si="37"/>
        <v>0</v>
      </c>
      <c r="AA18" s="141">
        <f t="shared" si="37"/>
        <v>0</v>
      </c>
      <c r="AB18" s="141">
        <f t="shared" si="37"/>
        <v>0</v>
      </c>
      <c r="AC18" s="141">
        <f t="shared" si="37"/>
        <v>8815197.7094932552</v>
      </c>
      <c r="AD18" s="141">
        <f t="shared" si="37"/>
        <v>8815197.7094932552</v>
      </c>
      <c r="AE18" s="141">
        <f t="shared" si="37"/>
        <v>8815197.7094932552</v>
      </c>
      <c r="AF18" s="141">
        <f t="shared" si="37"/>
        <v>8815197.7094932552</v>
      </c>
      <c r="AG18" s="141">
        <f t="shared" si="37"/>
        <v>34085472.499923825</v>
      </c>
      <c r="AH18" s="141">
        <f t="shared" si="37"/>
        <v>34085472.499923825</v>
      </c>
      <c r="AI18" s="141">
        <f t="shared" si="37"/>
        <v>34085472.499923825</v>
      </c>
      <c r="AJ18" s="141">
        <f t="shared" si="37"/>
        <v>34085472.499923825</v>
      </c>
      <c r="AK18" s="141">
        <f t="shared" si="37"/>
        <v>46269023.350354061</v>
      </c>
      <c r="AL18" s="141">
        <f t="shared" si="37"/>
        <v>46269023.350354061</v>
      </c>
      <c r="AM18" s="141">
        <f t="shared" si="37"/>
        <v>46269023.350354061</v>
      </c>
      <c r="AN18" s="141">
        <f t="shared" si="37"/>
        <v>46269023.350354061</v>
      </c>
      <c r="AO18" s="141">
        <f t="shared" si="37"/>
        <v>46269023.350354061</v>
      </c>
      <c r="AP18" s="141">
        <f t="shared" si="37"/>
        <v>46273782.434154242</v>
      </c>
      <c r="AQ18" s="141">
        <f t="shared" si="37"/>
        <v>46273782.434154242</v>
      </c>
      <c r="AR18" s="141">
        <f t="shared" si="37"/>
        <v>46273782.434154242</v>
      </c>
      <c r="AS18" s="141">
        <f t="shared" si="37"/>
        <v>46273782.434154242</v>
      </c>
      <c r="AT18" s="141">
        <f t="shared" si="37"/>
        <v>46345569.770715937</v>
      </c>
      <c r="AU18" s="141">
        <f t="shared" si="37"/>
        <v>46345569.770715937</v>
      </c>
      <c r="AV18" s="141">
        <f t="shared" si="37"/>
        <v>46345569.770715937</v>
      </c>
      <c r="AW18" s="141">
        <f t="shared" si="37"/>
        <v>46345569.770715937</v>
      </c>
      <c r="AX18" s="141">
        <f t="shared" si="37"/>
        <v>57996975.446296021</v>
      </c>
      <c r="AY18" s="141">
        <f t="shared" si="37"/>
        <v>57996975.446296021</v>
      </c>
      <c r="AZ18" s="141">
        <f t="shared" si="37"/>
        <v>57996975.446296021</v>
      </c>
      <c r="BA18" s="141">
        <f t="shared" si="37"/>
        <v>57996975.446296021</v>
      </c>
      <c r="BB18" s="141">
        <f t="shared" si="37"/>
        <v>57996975.446296021</v>
      </c>
      <c r="BC18" s="141">
        <f t="shared" si="37"/>
        <v>58019033.762204193</v>
      </c>
      <c r="BD18" s="141">
        <f t="shared" si="37"/>
        <v>58019033.762204193</v>
      </c>
      <c r="BE18" s="141">
        <f t="shared" si="37"/>
        <v>58019033.762204193</v>
      </c>
      <c r="BF18" s="141">
        <f t="shared" si="37"/>
        <v>58019033.762204193</v>
      </c>
      <c r="BG18" s="141">
        <f t="shared" si="37"/>
        <v>58692664.637278542</v>
      </c>
      <c r="BH18" s="141">
        <f t="shared" si="37"/>
        <v>58692664.637278542</v>
      </c>
      <c r="BI18" s="141">
        <f t="shared" si="37"/>
        <v>58692664.637278542</v>
      </c>
      <c r="BJ18" s="141">
        <f t="shared" si="37"/>
        <v>58692664.637278542</v>
      </c>
      <c r="BK18" s="141">
        <f t="shared" si="37"/>
        <v>60000000.002943784</v>
      </c>
      <c r="BL18" s="141">
        <f t="shared" si="37"/>
        <v>60000000.002943784</v>
      </c>
      <c r="BM18" s="141">
        <f t="shared" si="37"/>
        <v>60000000.002943784</v>
      </c>
      <c r="BN18" s="141">
        <f t="shared" si="37"/>
        <v>60000000.002943784</v>
      </c>
      <c r="BO18" s="141">
        <f t="shared" si="37"/>
        <v>60000000.002943784</v>
      </c>
      <c r="BP18" s="141">
        <f t="shared" si="37"/>
        <v>60000000.002943784</v>
      </c>
      <c r="BQ18" s="141">
        <f t="shared" si="37"/>
        <v>60000000.002943784</v>
      </c>
      <c r="BR18" s="141">
        <f t="shared" si="37"/>
        <v>60000000.002943784</v>
      </c>
      <c r="BS18" s="141">
        <f t="shared" si="37"/>
        <v>60000000.002943784</v>
      </c>
      <c r="BT18" s="141">
        <f t="shared" si="37"/>
        <v>60000000.002943784</v>
      </c>
      <c r="BU18" s="141">
        <f t="shared" ref="BU18:EF18" si="38">BT18+BU17</f>
        <v>60000000.002943784</v>
      </c>
      <c r="BV18" s="141">
        <f t="shared" si="38"/>
        <v>60000000.002943784</v>
      </c>
      <c r="BW18" s="141">
        <f t="shared" si="38"/>
        <v>60000000.002943784</v>
      </c>
      <c r="BX18" s="141">
        <f t="shared" si="38"/>
        <v>60000000.002943784</v>
      </c>
      <c r="BY18" s="141">
        <f t="shared" si="38"/>
        <v>60000000.002943784</v>
      </c>
      <c r="BZ18" s="141">
        <f t="shared" si="38"/>
        <v>60000000.002943784</v>
      </c>
      <c r="CA18" s="141">
        <f t="shared" si="38"/>
        <v>60000000.002943784</v>
      </c>
      <c r="CB18" s="141">
        <f t="shared" si="38"/>
        <v>60000000.002943784</v>
      </c>
      <c r="CC18" s="141">
        <f t="shared" si="38"/>
        <v>60000000.002943784</v>
      </c>
      <c r="CD18" s="141">
        <f t="shared" si="38"/>
        <v>60000000.002943784</v>
      </c>
      <c r="CE18" s="141">
        <f t="shared" si="38"/>
        <v>60000000.002943784</v>
      </c>
      <c r="CF18" s="141">
        <f t="shared" si="38"/>
        <v>60000000.002943784</v>
      </c>
      <c r="CG18" s="141">
        <f t="shared" si="38"/>
        <v>60000000.002943784</v>
      </c>
      <c r="CH18" s="141">
        <f t="shared" si="38"/>
        <v>60000000.002943784</v>
      </c>
      <c r="CI18" s="141">
        <f t="shared" si="38"/>
        <v>60000000.002943784</v>
      </c>
      <c r="CJ18" s="141">
        <f t="shared" si="38"/>
        <v>60000000.002943784</v>
      </c>
      <c r="CK18" s="141">
        <f t="shared" si="38"/>
        <v>60000000.002943784</v>
      </c>
      <c r="CL18" s="141">
        <f t="shared" si="38"/>
        <v>60000000.002943784</v>
      </c>
      <c r="CM18" s="141">
        <f t="shared" si="38"/>
        <v>60000000.002943784</v>
      </c>
      <c r="CN18" s="141">
        <f t="shared" si="38"/>
        <v>60000000.002943784</v>
      </c>
      <c r="CO18" s="141">
        <f t="shared" si="38"/>
        <v>60000000.002943784</v>
      </c>
      <c r="CP18" s="141">
        <f t="shared" si="38"/>
        <v>60000000.002943784</v>
      </c>
      <c r="CQ18" s="141">
        <f t="shared" si="38"/>
        <v>60000000.002943784</v>
      </c>
      <c r="CR18" s="141">
        <f t="shared" si="38"/>
        <v>60000000.002943784</v>
      </c>
      <c r="CS18" s="141">
        <f t="shared" si="38"/>
        <v>60000000.002943784</v>
      </c>
      <c r="CT18" s="141">
        <f t="shared" si="38"/>
        <v>60000000.002943784</v>
      </c>
      <c r="CU18" s="141">
        <f t="shared" si="38"/>
        <v>60000000.002943784</v>
      </c>
      <c r="CV18" s="141">
        <f t="shared" si="38"/>
        <v>60000000.002943784</v>
      </c>
      <c r="CW18" s="141">
        <f t="shared" si="38"/>
        <v>60000000.002943784</v>
      </c>
      <c r="CX18" s="141">
        <f t="shared" si="38"/>
        <v>60000000.002943784</v>
      </c>
      <c r="CY18" s="141">
        <f t="shared" si="38"/>
        <v>60000000.002943784</v>
      </c>
      <c r="CZ18" s="141">
        <f t="shared" si="38"/>
        <v>60000000.002943784</v>
      </c>
      <c r="DA18" s="141">
        <f t="shared" si="38"/>
        <v>60000000.002943784</v>
      </c>
      <c r="DB18" s="141">
        <f t="shared" si="38"/>
        <v>60000000.002943784</v>
      </c>
      <c r="DC18" s="141">
        <f t="shared" si="38"/>
        <v>60000000.002943784</v>
      </c>
      <c r="DD18" s="141">
        <f t="shared" si="38"/>
        <v>60000000.002943784</v>
      </c>
      <c r="DE18" s="141">
        <f t="shared" si="38"/>
        <v>60000000.002943784</v>
      </c>
      <c r="DF18" s="141">
        <f t="shared" si="38"/>
        <v>60000000.002943784</v>
      </c>
      <c r="DG18" s="141">
        <f t="shared" si="38"/>
        <v>60000000.002943784</v>
      </c>
      <c r="DH18" s="141">
        <f t="shared" si="38"/>
        <v>60000000.002943784</v>
      </c>
      <c r="DI18" s="141">
        <f t="shared" si="38"/>
        <v>60000000.002943784</v>
      </c>
      <c r="DJ18" s="141">
        <f t="shared" si="38"/>
        <v>60000000.002943784</v>
      </c>
      <c r="DK18" s="141">
        <f t="shared" si="38"/>
        <v>60000000.002943784</v>
      </c>
      <c r="DL18" s="141">
        <f t="shared" si="38"/>
        <v>60000000.002943784</v>
      </c>
      <c r="DM18" s="141">
        <f t="shared" si="38"/>
        <v>60000000.002943784</v>
      </c>
      <c r="DN18" s="141">
        <f t="shared" si="38"/>
        <v>60000000.002943784</v>
      </c>
      <c r="DO18" s="141">
        <f t="shared" si="38"/>
        <v>60000000.002943784</v>
      </c>
      <c r="DP18" s="141">
        <f t="shared" si="38"/>
        <v>60000000.002943784</v>
      </c>
      <c r="DQ18" s="141">
        <f t="shared" si="38"/>
        <v>60000000.002943784</v>
      </c>
      <c r="DR18" s="141">
        <f t="shared" si="38"/>
        <v>60000000.002943784</v>
      </c>
      <c r="DS18" s="141">
        <f t="shared" si="38"/>
        <v>60000000.002943784</v>
      </c>
      <c r="DT18" s="141">
        <f t="shared" si="38"/>
        <v>60000000.002943784</v>
      </c>
      <c r="DU18" s="141">
        <f t="shared" si="38"/>
        <v>60000000.002943784</v>
      </c>
      <c r="DV18" s="141">
        <f t="shared" si="38"/>
        <v>60000000.002943784</v>
      </c>
      <c r="DW18" s="141">
        <f t="shared" si="38"/>
        <v>60000000.002943784</v>
      </c>
      <c r="DX18" s="141">
        <f t="shared" si="38"/>
        <v>60000000.002943784</v>
      </c>
      <c r="DY18" s="141">
        <f t="shared" si="38"/>
        <v>60000000.002943784</v>
      </c>
      <c r="DZ18" s="141">
        <f t="shared" si="38"/>
        <v>60000000.002943784</v>
      </c>
      <c r="EA18" s="141">
        <f t="shared" si="38"/>
        <v>60000000.002943784</v>
      </c>
      <c r="EB18" s="141">
        <f t="shared" si="38"/>
        <v>60000000.002943784</v>
      </c>
      <c r="EC18" s="141">
        <f t="shared" si="38"/>
        <v>60000000.002943784</v>
      </c>
      <c r="ED18" s="141">
        <f t="shared" si="38"/>
        <v>60000000.002943784</v>
      </c>
      <c r="EE18" s="141">
        <f t="shared" si="38"/>
        <v>60000000.002943784</v>
      </c>
      <c r="EF18" s="141">
        <f t="shared" si="38"/>
        <v>60000000.002943784</v>
      </c>
      <c r="EG18" s="141">
        <f t="shared" ref="EG18:GR18" si="39">EF18+EG17</f>
        <v>60000000.002943784</v>
      </c>
      <c r="EH18" s="141">
        <f t="shared" si="39"/>
        <v>60000000.002943784</v>
      </c>
      <c r="EI18" s="141">
        <f t="shared" si="39"/>
        <v>60000000.002943784</v>
      </c>
      <c r="EJ18" s="141">
        <f t="shared" si="39"/>
        <v>60000000.002943784</v>
      </c>
      <c r="EK18" s="141">
        <f t="shared" si="39"/>
        <v>60000000.002943784</v>
      </c>
      <c r="EL18" s="141">
        <f t="shared" si="39"/>
        <v>60000000.002943784</v>
      </c>
      <c r="EM18" s="141">
        <f t="shared" si="39"/>
        <v>60000000.002943784</v>
      </c>
      <c r="EN18" s="141">
        <f t="shared" si="39"/>
        <v>60000000.002943784</v>
      </c>
      <c r="EO18" s="141">
        <f t="shared" si="39"/>
        <v>60000000.002943784</v>
      </c>
      <c r="EP18" s="141">
        <f t="shared" si="39"/>
        <v>60000000.002943784</v>
      </c>
      <c r="EQ18" s="141">
        <f t="shared" si="39"/>
        <v>60000000.002943784</v>
      </c>
      <c r="ER18" s="141">
        <f t="shared" si="39"/>
        <v>60000000.002943784</v>
      </c>
      <c r="ES18" s="141">
        <f t="shared" si="39"/>
        <v>60000000.002943784</v>
      </c>
      <c r="ET18" s="141">
        <f t="shared" si="39"/>
        <v>60000000.002943784</v>
      </c>
      <c r="EU18" s="141">
        <f t="shared" si="39"/>
        <v>60000000.002943784</v>
      </c>
      <c r="EV18" s="141">
        <f t="shared" si="39"/>
        <v>60000000.002943784</v>
      </c>
      <c r="EW18" s="141">
        <f t="shared" si="39"/>
        <v>60000000.002943784</v>
      </c>
      <c r="EX18" s="141">
        <f t="shared" si="39"/>
        <v>60000000.002943784</v>
      </c>
      <c r="EY18" s="141">
        <f t="shared" si="39"/>
        <v>60000000.002943784</v>
      </c>
      <c r="EZ18" s="141">
        <f t="shared" si="39"/>
        <v>60000000.002943784</v>
      </c>
      <c r="FA18" s="141">
        <f t="shared" si="39"/>
        <v>60000000.002943784</v>
      </c>
      <c r="FB18" s="141">
        <f t="shared" si="39"/>
        <v>60000000.002943784</v>
      </c>
      <c r="FC18" s="141">
        <f t="shared" si="39"/>
        <v>60000000.002943784</v>
      </c>
      <c r="FD18" s="141">
        <f t="shared" si="39"/>
        <v>60000000.002943784</v>
      </c>
      <c r="FE18" s="141">
        <f t="shared" si="39"/>
        <v>60000000.002943784</v>
      </c>
      <c r="FF18" s="141">
        <f t="shared" si="39"/>
        <v>60000000.002943784</v>
      </c>
      <c r="FG18" s="141">
        <f t="shared" si="39"/>
        <v>60000000.002943784</v>
      </c>
      <c r="FH18" s="141">
        <f t="shared" si="39"/>
        <v>60000000.002943784</v>
      </c>
      <c r="FI18" s="141">
        <f t="shared" si="39"/>
        <v>60000000.002943784</v>
      </c>
      <c r="FJ18" s="141">
        <f t="shared" si="39"/>
        <v>60000000.002943784</v>
      </c>
      <c r="FK18" s="141">
        <f t="shared" si="39"/>
        <v>60000000.002943784</v>
      </c>
      <c r="FL18" s="141">
        <f t="shared" si="39"/>
        <v>60000000.002943784</v>
      </c>
      <c r="FM18" s="141">
        <f t="shared" si="39"/>
        <v>60000000.002943784</v>
      </c>
      <c r="FN18" s="141">
        <f t="shared" si="39"/>
        <v>60000000.002943784</v>
      </c>
      <c r="FO18" s="141">
        <f t="shared" si="39"/>
        <v>60000000.002943784</v>
      </c>
      <c r="FP18" s="141">
        <f t="shared" si="39"/>
        <v>60000000.002943784</v>
      </c>
      <c r="FQ18" s="141">
        <f t="shared" si="39"/>
        <v>60000000.002943784</v>
      </c>
      <c r="FR18" s="141">
        <f t="shared" si="39"/>
        <v>60000000.002943784</v>
      </c>
      <c r="FS18" s="141">
        <f t="shared" si="39"/>
        <v>60000000.002943784</v>
      </c>
      <c r="FT18" s="141">
        <f t="shared" si="39"/>
        <v>60000000.002943784</v>
      </c>
      <c r="FU18" s="141">
        <f t="shared" si="39"/>
        <v>60000000.002943784</v>
      </c>
      <c r="FV18" s="141">
        <f t="shared" si="39"/>
        <v>60000000.002943784</v>
      </c>
      <c r="FW18" s="141">
        <f t="shared" si="39"/>
        <v>60000000.002943784</v>
      </c>
      <c r="FX18" s="141">
        <f t="shared" si="39"/>
        <v>60000000.002943784</v>
      </c>
      <c r="FY18" s="141">
        <f t="shared" si="39"/>
        <v>60000000.002943784</v>
      </c>
      <c r="FZ18" s="141">
        <f t="shared" si="39"/>
        <v>60000000.002943784</v>
      </c>
      <c r="GA18" s="141">
        <f t="shared" si="39"/>
        <v>60000000.002943784</v>
      </c>
      <c r="GB18" s="141">
        <f t="shared" si="39"/>
        <v>60000000.002943784</v>
      </c>
      <c r="GC18" s="141">
        <f t="shared" si="39"/>
        <v>60000000.002943784</v>
      </c>
      <c r="GD18" s="141">
        <f t="shared" si="39"/>
        <v>60000000.002943784</v>
      </c>
      <c r="GE18" s="141">
        <f t="shared" si="39"/>
        <v>60000000.002943784</v>
      </c>
      <c r="GF18" s="141">
        <f t="shared" si="39"/>
        <v>60000000.002943784</v>
      </c>
      <c r="GG18" s="141">
        <f t="shared" si="39"/>
        <v>60000000.002943784</v>
      </c>
      <c r="GH18" s="141">
        <f t="shared" si="39"/>
        <v>60000000.002943784</v>
      </c>
      <c r="GI18" s="141">
        <f t="shared" si="39"/>
        <v>60000000.002943784</v>
      </c>
      <c r="GJ18" s="141">
        <f t="shared" si="39"/>
        <v>60000000.002943784</v>
      </c>
      <c r="GK18" s="141">
        <f t="shared" si="39"/>
        <v>60000000.002943784</v>
      </c>
      <c r="GL18" s="141">
        <f t="shared" si="39"/>
        <v>60000000.002943784</v>
      </c>
      <c r="GM18" s="141">
        <f t="shared" si="39"/>
        <v>60000000.002943784</v>
      </c>
      <c r="GN18" s="141">
        <f t="shared" si="39"/>
        <v>60000000.002943784</v>
      </c>
      <c r="GO18" s="141">
        <f t="shared" si="39"/>
        <v>60000000.002943784</v>
      </c>
      <c r="GP18" s="141">
        <f t="shared" si="39"/>
        <v>60000000.002943784</v>
      </c>
      <c r="GQ18" s="141">
        <f t="shared" si="39"/>
        <v>60000000.002943784</v>
      </c>
      <c r="GR18" s="141">
        <f t="shared" si="39"/>
        <v>60000000.002943784</v>
      </c>
      <c r="GS18" s="141">
        <f t="shared" ref="GS18:JD18" si="40">GR18+GS17</f>
        <v>60000000.002943784</v>
      </c>
      <c r="GT18" s="141">
        <f t="shared" si="40"/>
        <v>60000000.002943784</v>
      </c>
      <c r="GU18" s="141">
        <f t="shared" si="40"/>
        <v>60000000.002943784</v>
      </c>
      <c r="GV18" s="141">
        <f t="shared" si="40"/>
        <v>60000000.002943784</v>
      </c>
      <c r="GW18" s="141">
        <f t="shared" si="40"/>
        <v>60000000.002943784</v>
      </c>
      <c r="GX18" s="141">
        <f t="shared" si="40"/>
        <v>60000000.002943784</v>
      </c>
      <c r="GY18" s="141">
        <f t="shared" si="40"/>
        <v>60000000.002943784</v>
      </c>
      <c r="GZ18" s="141">
        <f t="shared" si="40"/>
        <v>60000000.002943784</v>
      </c>
      <c r="HA18" s="141">
        <f t="shared" si="40"/>
        <v>60000000.002943784</v>
      </c>
      <c r="HB18" s="141">
        <f t="shared" si="40"/>
        <v>60000000.002943784</v>
      </c>
      <c r="HC18" s="141">
        <f t="shared" si="40"/>
        <v>60000000.002943784</v>
      </c>
      <c r="HD18" s="141">
        <f t="shared" si="40"/>
        <v>60000000.002943784</v>
      </c>
      <c r="HE18" s="141">
        <f t="shared" si="40"/>
        <v>60000000.002943784</v>
      </c>
      <c r="HF18" s="141">
        <f t="shared" si="40"/>
        <v>60000000.002943784</v>
      </c>
      <c r="HG18" s="141">
        <f t="shared" si="40"/>
        <v>60000000.002943784</v>
      </c>
      <c r="HH18" s="141">
        <f t="shared" si="40"/>
        <v>60000000.002943784</v>
      </c>
      <c r="HI18" s="141">
        <f t="shared" si="40"/>
        <v>60000000.002943784</v>
      </c>
      <c r="HJ18" s="141">
        <f t="shared" si="40"/>
        <v>60000000.002943784</v>
      </c>
      <c r="HK18" s="141">
        <f t="shared" si="40"/>
        <v>60000000.002943784</v>
      </c>
      <c r="HL18" s="141">
        <f t="shared" si="40"/>
        <v>60000000.002943784</v>
      </c>
      <c r="HM18" s="141">
        <f t="shared" si="40"/>
        <v>60000000.002943784</v>
      </c>
      <c r="HN18" s="141">
        <f t="shared" si="40"/>
        <v>60000000.002943784</v>
      </c>
      <c r="HO18" s="141">
        <f t="shared" si="40"/>
        <v>60000000.002943784</v>
      </c>
      <c r="HP18" s="141">
        <f t="shared" si="40"/>
        <v>60000000.002943784</v>
      </c>
      <c r="HQ18" s="141">
        <f t="shared" si="40"/>
        <v>60000000.002943784</v>
      </c>
      <c r="HR18" s="141">
        <f t="shared" si="40"/>
        <v>60000000.002943784</v>
      </c>
      <c r="HS18" s="141">
        <f t="shared" si="40"/>
        <v>60000000.002943784</v>
      </c>
      <c r="HT18" s="141">
        <f t="shared" si="40"/>
        <v>60000000.002943784</v>
      </c>
      <c r="HU18" s="141">
        <f t="shared" si="40"/>
        <v>60000000.002943784</v>
      </c>
      <c r="HV18" s="141">
        <f t="shared" si="40"/>
        <v>60000000.002943784</v>
      </c>
      <c r="HW18" s="141">
        <f t="shared" si="40"/>
        <v>60000000.002943784</v>
      </c>
      <c r="HX18" s="141">
        <f t="shared" si="40"/>
        <v>60000000.002943784</v>
      </c>
      <c r="HY18" s="141">
        <f t="shared" si="40"/>
        <v>60000000.002943784</v>
      </c>
      <c r="HZ18" s="141">
        <f t="shared" si="40"/>
        <v>60000000.002943784</v>
      </c>
      <c r="IA18" s="141">
        <f t="shared" si="40"/>
        <v>60000000.002943784</v>
      </c>
      <c r="IB18" s="141">
        <f t="shared" si="40"/>
        <v>60000000.002943784</v>
      </c>
      <c r="IC18" s="141">
        <f t="shared" si="40"/>
        <v>60000000.002943784</v>
      </c>
      <c r="ID18" s="141">
        <f t="shared" si="40"/>
        <v>60000000.002943784</v>
      </c>
      <c r="IE18" s="141">
        <f t="shared" si="40"/>
        <v>60000000.002943784</v>
      </c>
      <c r="IF18" s="141">
        <f t="shared" si="40"/>
        <v>60000000.002943784</v>
      </c>
      <c r="IG18" s="141">
        <f t="shared" si="40"/>
        <v>60000000.002943784</v>
      </c>
      <c r="IH18" s="141">
        <f t="shared" si="40"/>
        <v>60000000.002943784</v>
      </c>
      <c r="II18" s="141">
        <f t="shared" si="40"/>
        <v>60000000.002943784</v>
      </c>
      <c r="IJ18" s="141">
        <f t="shared" si="40"/>
        <v>60000000.002943784</v>
      </c>
      <c r="IK18" s="141">
        <f t="shared" si="40"/>
        <v>60000000.002943784</v>
      </c>
      <c r="IL18" s="141">
        <f t="shared" si="40"/>
        <v>60000000.002943784</v>
      </c>
      <c r="IM18" s="141">
        <f t="shared" si="40"/>
        <v>60000000.002943784</v>
      </c>
      <c r="IN18" s="141">
        <f t="shared" si="40"/>
        <v>60000000.002943784</v>
      </c>
      <c r="IO18" s="141">
        <f t="shared" si="40"/>
        <v>60000000.002943784</v>
      </c>
      <c r="IP18" s="141">
        <f t="shared" si="40"/>
        <v>60000000.002943784</v>
      </c>
      <c r="IQ18" s="141">
        <f t="shared" si="40"/>
        <v>60000000.002943784</v>
      </c>
      <c r="IR18" s="141">
        <f t="shared" si="40"/>
        <v>60000000.002943784</v>
      </c>
      <c r="IS18" s="141">
        <f t="shared" si="40"/>
        <v>60000000.002943784</v>
      </c>
      <c r="IT18" s="141">
        <f t="shared" si="40"/>
        <v>60000000.002943784</v>
      </c>
      <c r="IU18" s="141">
        <f t="shared" si="40"/>
        <v>60000000.002943784</v>
      </c>
      <c r="IV18" s="141">
        <f t="shared" si="40"/>
        <v>60000000.002943784</v>
      </c>
      <c r="IW18" s="141">
        <f t="shared" si="40"/>
        <v>60000000.002943784</v>
      </c>
      <c r="IX18" s="141">
        <f t="shared" si="40"/>
        <v>60000000.002943784</v>
      </c>
      <c r="IY18" s="141">
        <f t="shared" si="40"/>
        <v>60000000.002943784</v>
      </c>
      <c r="IZ18" s="141">
        <f t="shared" si="40"/>
        <v>60000000.002943784</v>
      </c>
      <c r="JA18" s="141">
        <f t="shared" si="40"/>
        <v>60000000.002943784</v>
      </c>
      <c r="JB18" s="141">
        <f t="shared" si="40"/>
        <v>60000000.002943784</v>
      </c>
      <c r="JC18" s="141">
        <f t="shared" si="40"/>
        <v>60000000.002943784</v>
      </c>
      <c r="JD18" s="141">
        <f t="shared" si="40"/>
        <v>60000000.002943784</v>
      </c>
      <c r="JE18" s="141">
        <f t="shared" ref="JE18:LD18" si="41">JD18+JE17</f>
        <v>60000000.002943784</v>
      </c>
      <c r="JF18" s="141">
        <f t="shared" si="41"/>
        <v>60000000.002943784</v>
      </c>
      <c r="JG18" s="141">
        <f t="shared" si="41"/>
        <v>60000000.002943784</v>
      </c>
      <c r="JH18" s="141">
        <f t="shared" si="41"/>
        <v>60000000.002943784</v>
      </c>
      <c r="JI18" s="141">
        <f t="shared" si="41"/>
        <v>60000000.002943784</v>
      </c>
      <c r="JJ18" s="141">
        <f t="shared" si="41"/>
        <v>60000000.002943784</v>
      </c>
      <c r="JK18" s="141">
        <f t="shared" si="41"/>
        <v>60000000.002943784</v>
      </c>
      <c r="JL18" s="141">
        <f t="shared" si="41"/>
        <v>60000000.002943784</v>
      </c>
      <c r="JM18" s="141">
        <f t="shared" si="41"/>
        <v>60000000.002943784</v>
      </c>
      <c r="JN18" s="141">
        <f t="shared" si="41"/>
        <v>60000000.002943784</v>
      </c>
      <c r="JO18" s="141">
        <f t="shared" si="41"/>
        <v>60000000.002943784</v>
      </c>
      <c r="JP18" s="141">
        <f t="shared" si="41"/>
        <v>60000000.002943784</v>
      </c>
      <c r="JQ18" s="141">
        <f t="shared" si="41"/>
        <v>60000000.002943784</v>
      </c>
      <c r="JR18" s="141">
        <f t="shared" si="41"/>
        <v>60000000.002943784</v>
      </c>
      <c r="JS18" s="141">
        <f t="shared" si="41"/>
        <v>60000000.002943784</v>
      </c>
      <c r="JT18" s="141">
        <f t="shared" si="41"/>
        <v>60000000.002943784</v>
      </c>
      <c r="JU18" s="141">
        <f t="shared" si="41"/>
        <v>60000000.002943784</v>
      </c>
      <c r="JV18" s="141">
        <f t="shared" si="41"/>
        <v>60000000.002943784</v>
      </c>
      <c r="JW18" s="141">
        <f t="shared" si="41"/>
        <v>60000000.002943784</v>
      </c>
      <c r="JX18" s="141">
        <f t="shared" si="41"/>
        <v>60000000.002943784</v>
      </c>
      <c r="JY18" s="141">
        <f t="shared" si="41"/>
        <v>60000000.002943784</v>
      </c>
      <c r="JZ18" s="141">
        <f t="shared" si="41"/>
        <v>60000000.002943784</v>
      </c>
      <c r="KA18" s="141">
        <f t="shared" si="41"/>
        <v>60000000.002943784</v>
      </c>
      <c r="KB18" s="141">
        <f t="shared" si="41"/>
        <v>60000000.002943784</v>
      </c>
      <c r="KC18" s="141">
        <f t="shared" si="41"/>
        <v>60000000.002943784</v>
      </c>
      <c r="KD18" s="141">
        <f t="shared" si="41"/>
        <v>60000000.002943784</v>
      </c>
      <c r="KE18" s="141">
        <f t="shared" si="41"/>
        <v>60000000.002943784</v>
      </c>
      <c r="KF18" s="141">
        <f t="shared" si="41"/>
        <v>60000000.002943784</v>
      </c>
      <c r="KG18" s="141">
        <f t="shared" si="41"/>
        <v>60000000.002943784</v>
      </c>
      <c r="KH18" s="141">
        <f t="shared" si="41"/>
        <v>60000000.002943784</v>
      </c>
      <c r="KI18" s="141">
        <f t="shared" si="41"/>
        <v>60000000.002943784</v>
      </c>
      <c r="KJ18" s="141">
        <f t="shared" si="41"/>
        <v>60000000.002943784</v>
      </c>
      <c r="KK18" s="141">
        <f t="shared" si="41"/>
        <v>60000000.002943784</v>
      </c>
      <c r="KL18" s="141">
        <f t="shared" si="41"/>
        <v>60000000.002943784</v>
      </c>
      <c r="KM18" s="141">
        <f t="shared" si="41"/>
        <v>60000000.002943784</v>
      </c>
      <c r="KN18" s="141">
        <f t="shared" si="41"/>
        <v>60000000.002943784</v>
      </c>
      <c r="KO18" s="141">
        <f t="shared" si="41"/>
        <v>60000000.002943784</v>
      </c>
      <c r="KP18" s="141">
        <f t="shared" si="41"/>
        <v>60000000.002943784</v>
      </c>
      <c r="KQ18" s="141">
        <f t="shared" si="41"/>
        <v>60000000.002943784</v>
      </c>
      <c r="KR18" s="141">
        <f t="shared" si="41"/>
        <v>60000000.002943784</v>
      </c>
      <c r="KS18" s="141">
        <f t="shared" si="41"/>
        <v>60000000.002943784</v>
      </c>
      <c r="KT18" s="141">
        <f t="shared" si="41"/>
        <v>60000000.002943784</v>
      </c>
      <c r="KU18" s="141">
        <f t="shared" si="41"/>
        <v>60000000.002943784</v>
      </c>
      <c r="KV18" s="141">
        <f t="shared" si="41"/>
        <v>60000000.002943784</v>
      </c>
      <c r="KW18" s="141">
        <f t="shared" si="41"/>
        <v>60000000.002943784</v>
      </c>
      <c r="KX18" s="141">
        <f t="shared" si="41"/>
        <v>60000000.002943784</v>
      </c>
      <c r="KY18" s="141">
        <f t="shared" si="41"/>
        <v>60000000.002943784</v>
      </c>
      <c r="KZ18" s="141">
        <f t="shared" si="41"/>
        <v>60000000.002943784</v>
      </c>
      <c r="LA18" s="141">
        <f t="shared" si="41"/>
        <v>60000000.002943784</v>
      </c>
      <c r="LB18" s="141">
        <f t="shared" si="41"/>
        <v>60000000.002943784</v>
      </c>
      <c r="LC18" s="141">
        <f t="shared" si="41"/>
        <v>60000000.002943784</v>
      </c>
      <c r="LD18" s="141">
        <f t="shared" si="41"/>
        <v>60000000.002943784</v>
      </c>
    </row>
    <row r="19" spans="1:316" s="11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F1" zoomScale="90" zoomScaleNormal="90" workbookViewId="0">
      <selection activeCell="O16" sqref="O16"/>
    </sheetView>
  </sheetViews>
  <sheetFormatPr defaultColWidth="12.265625" defaultRowHeight="14.25"/>
  <cols>
    <col min="1" max="1" width="39.3984375" style="291" bestFit="1" customWidth="1"/>
    <col min="2" max="2" width="17.265625" style="292" bestFit="1" customWidth="1"/>
    <col min="3" max="3" width="10.59765625" style="291" bestFit="1" customWidth="1"/>
    <col min="4" max="4" width="14.86328125" style="291" bestFit="1" customWidth="1"/>
    <col min="5" max="6" width="16" style="291" bestFit="1" customWidth="1"/>
    <col min="7" max="7" width="11" style="291" bestFit="1" customWidth="1"/>
    <col min="8" max="8" width="12" style="291" bestFit="1" customWidth="1"/>
    <col min="9" max="9" width="16" style="291" bestFit="1" customWidth="1"/>
    <col min="10" max="10" width="12" style="291" bestFit="1" customWidth="1"/>
    <col min="11" max="11" width="4.86328125" style="291" bestFit="1" customWidth="1"/>
    <col min="12" max="12" width="13.265625" style="291" bestFit="1" customWidth="1"/>
    <col min="13" max="13" width="14.86328125" style="291" bestFit="1" customWidth="1"/>
    <col min="14" max="17" width="10.59765625" style="291" bestFit="1" customWidth="1"/>
    <col min="18" max="18" width="16" style="291" bestFit="1" customWidth="1"/>
    <col min="19" max="19" width="13.265625" style="291" bestFit="1" customWidth="1"/>
    <col min="20" max="16384" width="12.265625" style="29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370" t="s">
        <v>784</v>
      </c>
      <c r="B3" s="370" t="s">
        <v>785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370" t="s">
        <v>786</v>
      </c>
      <c r="B4" t="s">
        <v>787</v>
      </c>
      <c r="C4" s="372">
        <v>45808</v>
      </c>
      <c r="D4" s="372">
        <v>45838</v>
      </c>
      <c r="E4" s="372">
        <v>45869</v>
      </c>
      <c r="F4" s="372">
        <v>45900</v>
      </c>
      <c r="G4" s="372">
        <v>45930</v>
      </c>
      <c r="H4" s="372">
        <v>45961</v>
      </c>
      <c r="I4" s="372">
        <v>45991</v>
      </c>
      <c r="J4" s="372">
        <v>46022</v>
      </c>
      <c r="K4"/>
      <c r="L4" s="372">
        <v>46053</v>
      </c>
      <c r="M4" s="372">
        <v>46081</v>
      </c>
      <c r="N4" s="372">
        <v>46112</v>
      </c>
      <c r="O4" s="372">
        <v>46142</v>
      </c>
      <c r="P4" s="372">
        <v>46173</v>
      </c>
      <c r="Q4" s="372">
        <v>46265</v>
      </c>
      <c r="R4" t="s">
        <v>788</v>
      </c>
      <c r="S4"/>
      <c r="T4"/>
    </row>
    <row r="5" spans="1:20">
      <c r="A5" s="371" t="s">
        <v>787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/>
      <c r="T5"/>
    </row>
    <row r="6" spans="1:20">
      <c r="A6" s="371" t="s">
        <v>268</v>
      </c>
      <c r="B6" s="296"/>
      <c r="C6" s="296"/>
      <c r="D6" s="296"/>
      <c r="E6" s="296">
        <v>15101045.605359133</v>
      </c>
      <c r="F6" s="296">
        <v>0</v>
      </c>
      <c r="G6" s="296"/>
      <c r="H6" s="296"/>
      <c r="I6" s="296">
        <v>0</v>
      </c>
      <c r="J6" s="296"/>
      <c r="K6" s="296">
        <v>0</v>
      </c>
      <c r="L6" s="296"/>
      <c r="M6" s="296"/>
      <c r="N6" s="296"/>
      <c r="O6" s="296"/>
      <c r="P6" s="296"/>
      <c r="Q6" s="296"/>
      <c r="R6" s="296">
        <v>15101045.605359133</v>
      </c>
      <c r="S6"/>
      <c r="T6"/>
    </row>
    <row r="7" spans="1:20">
      <c r="A7" s="371" t="s">
        <v>292</v>
      </c>
      <c r="B7" s="296"/>
      <c r="C7" s="296"/>
      <c r="D7" s="296"/>
      <c r="E7" s="296">
        <v>2967553.5203461624</v>
      </c>
      <c r="F7" s="296">
        <v>14917.189999999999</v>
      </c>
      <c r="G7" s="296"/>
      <c r="H7" s="296"/>
      <c r="I7" s="296"/>
      <c r="J7" s="296">
        <v>0</v>
      </c>
      <c r="K7" s="296">
        <v>0</v>
      </c>
      <c r="L7" s="296">
        <v>0</v>
      </c>
      <c r="M7" s="296"/>
      <c r="N7" s="296"/>
      <c r="O7" s="296"/>
      <c r="P7" s="296"/>
      <c r="Q7" s="296"/>
      <c r="R7" s="296">
        <v>2982470.7103461623</v>
      </c>
      <c r="S7"/>
      <c r="T7"/>
    </row>
    <row r="8" spans="1:20">
      <c r="A8" s="371" t="s">
        <v>314</v>
      </c>
      <c r="B8" s="296">
        <v>0</v>
      </c>
      <c r="C8" s="296"/>
      <c r="D8" s="296">
        <v>1970802.8886232045</v>
      </c>
      <c r="E8" s="296"/>
      <c r="F8" s="296">
        <v>5981140.3857861068</v>
      </c>
      <c r="G8" s="296">
        <v>0</v>
      </c>
      <c r="H8" s="296"/>
      <c r="I8" s="296"/>
      <c r="J8" s="296"/>
      <c r="K8" s="296">
        <v>0</v>
      </c>
      <c r="L8" s="296"/>
      <c r="M8" s="296"/>
      <c r="N8" s="296"/>
      <c r="O8" s="296"/>
      <c r="P8" s="296"/>
      <c r="Q8" s="296"/>
      <c r="R8" s="296">
        <v>7951943.2744093109</v>
      </c>
      <c r="S8"/>
      <c r="T8"/>
    </row>
    <row r="9" spans="1:20">
      <c r="A9" s="371" t="s">
        <v>345</v>
      </c>
      <c r="B9" s="296">
        <v>0</v>
      </c>
      <c r="C9" s="296"/>
      <c r="D9" s="296">
        <v>5211505.9702025289</v>
      </c>
      <c r="E9" s="296">
        <v>2229348.0004344918</v>
      </c>
      <c r="F9" s="296">
        <v>1266601.1059804969</v>
      </c>
      <c r="G9" s="296"/>
      <c r="H9" s="296"/>
      <c r="I9" s="296"/>
      <c r="J9" s="296"/>
      <c r="K9" s="296">
        <v>0</v>
      </c>
      <c r="L9" s="296"/>
      <c r="M9" s="296">
        <v>0</v>
      </c>
      <c r="N9" s="296"/>
      <c r="O9" s="296"/>
      <c r="P9" s="296"/>
      <c r="Q9" s="296"/>
      <c r="R9" s="296">
        <v>8707455.0766175166</v>
      </c>
      <c r="S9"/>
      <c r="T9"/>
    </row>
    <row r="10" spans="1:20">
      <c r="A10" s="371" t="s">
        <v>383</v>
      </c>
      <c r="B10" s="296">
        <v>0</v>
      </c>
      <c r="C10" s="296"/>
      <c r="D10" s="296"/>
      <c r="E10" s="296">
        <v>20500.23516551439</v>
      </c>
      <c r="F10" s="296">
        <v>26948.87</v>
      </c>
      <c r="G10" s="296">
        <v>335.81690215918718</v>
      </c>
      <c r="H10" s="296">
        <v>3567.0708764070309</v>
      </c>
      <c r="I10" s="296"/>
      <c r="J10" s="296">
        <v>17237.103282812757</v>
      </c>
      <c r="K10" s="296">
        <v>0</v>
      </c>
      <c r="L10" s="296">
        <v>569.64433163430317</v>
      </c>
      <c r="M10" s="296"/>
      <c r="N10" s="296"/>
      <c r="O10" s="296"/>
      <c r="P10" s="296"/>
      <c r="Q10" s="296"/>
      <c r="R10" s="296">
        <v>69158.740558527672</v>
      </c>
      <c r="S10"/>
      <c r="T10"/>
    </row>
    <row r="11" spans="1:20">
      <c r="A11" s="371" t="s">
        <v>416</v>
      </c>
      <c r="B11" s="296">
        <v>0</v>
      </c>
      <c r="C11" s="296"/>
      <c r="D11" s="296">
        <v>283072.80856824515</v>
      </c>
      <c r="E11" s="296">
        <v>2094714.5936931067</v>
      </c>
      <c r="F11" s="296">
        <v>801209.64625095401</v>
      </c>
      <c r="G11" s="296"/>
      <c r="H11" s="296"/>
      <c r="I11" s="296">
        <v>0</v>
      </c>
      <c r="J11" s="296"/>
      <c r="K11" s="296">
        <v>0</v>
      </c>
      <c r="L11" s="296"/>
      <c r="M11" s="296">
        <v>0</v>
      </c>
      <c r="N11" s="296"/>
      <c r="O11" s="296">
        <v>0</v>
      </c>
      <c r="P11" s="296"/>
      <c r="Q11" s="296"/>
      <c r="R11" s="296">
        <v>3178997.0485123056</v>
      </c>
      <c r="S11"/>
      <c r="T11"/>
    </row>
    <row r="12" spans="1:20">
      <c r="A12" s="371" t="s">
        <v>468</v>
      </c>
      <c r="B12" s="296">
        <v>0</v>
      </c>
      <c r="C12" s="296"/>
      <c r="D12" s="296">
        <v>322824.34516148886</v>
      </c>
      <c r="E12" s="296">
        <v>1106461.3785903002</v>
      </c>
      <c r="F12" s="296">
        <v>698976.59657529683</v>
      </c>
      <c r="G12" s="296"/>
      <c r="H12" s="296">
        <v>1352.2371916952748</v>
      </c>
      <c r="I12" s="296"/>
      <c r="J12" s="296"/>
      <c r="K12" s="296">
        <v>0</v>
      </c>
      <c r="L12" s="296"/>
      <c r="M12" s="296">
        <v>47805.18</v>
      </c>
      <c r="N12" s="296"/>
      <c r="O12" s="296"/>
      <c r="P12" s="296"/>
      <c r="Q12" s="296"/>
      <c r="R12" s="296">
        <v>2177419.7375187813</v>
      </c>
      <c r="S12"/>
      <c r="T12"/>
    </row>
    <row r="13" spans="1:20">
      <c r="A13" s="371" t="s">
        <v>505</v>
      </c>
      <c r="B13" s="296">
        <v>0</v>
      </c>
      <c r="C13" s="296"/>
      <c r="D13" s="296">
        <v>795716.75648462563</v>
      </c>
      <c r="E13" s="296">
        <v>1384002.1482482452</v>
      </c>
      <c r="F13" s="296">
        <v>2288695.6949871862</v>
      </c>
      <c r="G13" s="296"/>
      <c r="H13" s="296"/>
      <c r="I13" s="296"/>
      <c r="J13" s="296"/>
      <c r="K13" s="296">
        <v>0</v>
      </c>
      <c r="L13" s="296">
        <v>661480.97074271168</v>
      </c>
      <c r="M13" s="296"/>
      <c r="N13" s="296"/>
      <c r="O13" s="296"/>
      <c r="P13" s="296"/>
      <c r="Q13" s="296"/>
      <c r="R13" s="296">
        <v>5129895.5704627689</v>
      </c>
      <c r="S13"/>
      <c r="T13"/>
    </row>
    <row r="14" spans="1:20">
      <c r="A14" s="371" t="s">
        <v>532</v>
      </c>
      <c r="B14" s="296">
        <v>0</v>
      </c>
      <c r="C14" s="296"/>
      <c r="D14" s="296">
        <v>219100.51844555454</v>
      </c>
      <c r="E14" s="296">
        <v>182063.64668089949</v>
      </c>
      <c r="F14" s="296">
        <v>48905.674164962671</v>
      </c>
      <c r="G14" s="296">
        <v>1258.8741122956246</v>
      </c>
      <c r="H14" s="296">
        <v>4983.0803574711108</v>
      </c>
      <c r="I14" s="296">
        <v>5872.3514336117778</v>
      </c>
      <c r="J14" s="296">
        <v>1703.1875476522168</v>
      </c>
      <c r="K14" s="296">
        <v>0</v>
      </c>
      <c r="L14" s="296">
        <v>0</v>
      </c>
      <c r="M14" s="296">
        <v>0</v>
      </c>
      <c r="N14" s="296">
        <v>0</v>
      </c>
      <c r="O14" s="296"/>
      <c r="P14" s="296"/>
      <c r="Q14" s="296"/>
      <c r="R14" s="296">
        <v>463887.33274244744</v>
      </c>
      <c r="S14"/>
      <c r="T14"/>
    </row>
    <row r="15" spans="1:20">
      <c r="A15" s="371" t="s">
        <v>615</v>
      </c>
      <c r="B15" s="296">
        <v>0</v>
      </c>
      <c r="C15" s="296"/>
      <c r="D15" s="296">
        <v>12174.422007609013</v>
      </c>
      <c r="E15" s="296">
        <v>184585.6619127203</v>
      </c>
      <c r="F15" s="296"/>
      <c r="G15" s="296"/>
      <c r="H15" s="296">
        <v>58776.043794679215</v>
      </c>
      <c r="I15" s="296">
        <v>21812.49766334868</v>
      </c>
      <c r="J15" s="296"/>
      <c r="K15" s="296"/>
      <c r="L15" s="296">
        <v>0</v>
      </c>
      <c r="M15" s="296">
        <v>216769.02566524458</v>
      </c>
      <c r="N15" s="296"/>
      <c r="O15" s="296"/>
      <c r="P15" s="296"/>
      <c r="Q15" s="296"/>
      <c r="R15" s="296">
        <v>494117.6510436018</v>
      </c>
      <c r="S15"/>
      <c r="T15"/>
    </row>
    <row r="16" spans="1:20">
      <c r="A16" s="371" t="s">
        <v>639</v>
      </c>
      <c r="B16" s="296">
        <v>0</v>
      </c>
      <c r="C16" s="296"/>
      <c r="D16" s="296"/>
      <c r="E16" s="296"/>
      <c r="F16" s="296">
        <v>12657.57114292171</v>
      </c>
      <c r="G16" s="296">
        <v>3164.3927857304275</v>
      </c>
      <c r="H16" s="296">
        <v>3108.9043414431007</v>
      </c>
      <c r="I16" s="296">
        <v>3155.1443414431005</v>
      </c>
      <c r="J16" s="296">
        <v>3118.0250777042997</v>
      </c>
      <c r="K16" s="296">
        <v>0</v>
      </c>
      <c r="L16" s="296">
        <v>11580.26</v>
      </c>
      <c r="M16" s="296">
        <v>1042761.16</v>
      </c>
      <c r="N16" s="296"/>
      <c r="O16" s="296"/>
      <c r="P16" s="296"/>
      <c r="Q16" s="296"/>
      <c r="R16" s="296">
        <v>1079545.4576892427</v>
      </c>
      <c r="S16"/>
      <c r="T16"/>
    </row>
    <row r="17" spans="1:20">
      <c r="A17" s="371" t="s">
        <v>659</v>
      </c>
      <c r="B17" s="296"/>
      <c r="C17" s="296">
        <v>0</v>
      </c>
      <c r="D17" s="296">
        <v>0</v>
      </c>
      <c r="E17" s="296">
        <v>0</v>
      </c>
      <c r="F17" s="296">
        <v>0</v>
      </c>
      <c r="G17" s="296">
        <v>0</v>
      </c>
      <c r="H17" s="296">
        <v>0</v>
      </c>
      <c r="I17" s="296">
        <v>0</v>
      </c>
      <c r="J17" s="296">
        <v>0</v>
      </c>
      <c r="K17" s="296">
        <v>0</v>
      </c>
      <c r="L17" s="296">
        <v>0</v>
      </c>
      <c r="M17" s="296">
        <v>0</v>
      </c>
      <c r="N17" s="296">
        <v>0</v>
      </c>
      <c r="O17" s="296">
        <v>0</v>
      </c>
      <c r="P17" s="296">
        <v>0</v>
      </c>
      <c r="Q17" s="296"/>
      <c r="R17" s="296">
        <v>0</v>
      </c>
      <c r="S17"/>
      <c r="T17"/>
    </row>
    <row r="18" spans="1:20">
      <c r="A18" s="371" t="s">
        <v>663</v>
      </c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/>
      <c r="T18"/>
    </row>
    <row r="19" spans="1:20">
      <c r="A19" s="371" t="s">
        <v>635</v>
      </c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/>
      <c r="T19"/>
    </row>
    <row r="20" spans="1:20">
      <c r="A20" s="371" t="s">
        <v>444</v>
      </c>
      <c r="B20" s="296">
        <v>0</v>
      </c>
      <c r="C20" s="296"/>
      <c r="D20" s="296"/>
      <c r="E20" s="296"/>
      <c r="F20" s="296">
        <v>1043498.115542314</v>
      </c>
      <c r="G20" s="296"/>
      <c r="H20" s="296"/>
      <c r="I20" s="296">
        <v>11620565.682141686</v>
      </c>
      <c r="J20" s="296"/>
      <c r="K20" s="296">
        <v>0</v>
      </c>
      <c r="L20" s="296"/>
      <c r="M20" s="296"/>
      <c r="N20" s="296"/>
      <c r="O20" s="296"/>
      <c r="P20" s="296"/>
      <c r="Q20" s="296"/>
      <c r="R20" s="296">
        <v>12664063.797683999</v>
      </c>
      <c r="S20"/>
      <c r="T20"/>
    </row>
    <row r="21" spans="1:20">
      <c r="A21" s="371" t="s">
        <v>788</v>
      </c>
      <c r="B21" s="296">
        <v>0</v>
      </c>
      <c r="C21" s="296">
        <v>0</v>
      </c>
      <c r="D21" s="296">
        <v>8815197.7094932571</v>
      </c>
      <c r="E21" s="296">
        <v>25270274.790430572</v>
      </c>
      <c r="F21" s="296">
        <v>12183550.850430239</v>
      </c>
      <c r="G21" s="296">
        <v>4759.0838001852389</v>
      </c>
      <c r="H21" s="296">
        <v>71787.336561695745</v>
      </c>
      <c r="I21" s="296">
        <v>11651405.67558009</v>
      </c>
      <c r="J21" s="296">
        <v>22058.315908169276</v>
      </c>
      <c r="K21" s="296">
        <v>0</v>
      </c>
      <c r="L21" s="296">
        <v>673630.87507434597</v>
      </c>
      <c r="M21" s="296">
        <v>1307335.3656652446</v>
      </c>
      <c r="N21" s="296">
        <v>0</v>
      </c>
      <c r="O21" s="296">
        <v>0</v>
      </c>
      <c r="P21" s="296">
        <v>0</v>
      </c>
      <c r="Q21" s="296"/>
      <c r="R21" s="296">
        <v>60000000.002943791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33">
        <f>GETPIVOTDATA("REVENUE RECOGNITION AMOUNT",$A$3,"INVOICE RAISED DATE",DATE(2025,6,30))-D23</f>
        <v>-5.0674378871917725E-4</v>
      </c>
      <c r="E24" s="333">
        <f>GETPIVOTDATA("REVENUE RECOGNITION AMOUNT",$A$3,"INVOICE RAISED DATE",DATE(2025,7,31))-E23</f>
        <v>4.3057277798652649E-4</v>
      </c>
      <c r="F24" s="333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90" zoomScaleNormal="90" workbookViewId="0">
      <selection activeCell="O17" sqref="O17"/>
    </sheetView>
  </sheetViews>
  <sheetFormatPr defaultColWidth="8.265625" defaultRowHeight="14.25"/>
  <cols>
    <col min="1" max="1" width="21.73046875" bestFit="1" customWidth="1"/>
    <col min="2" max="2" width="17.265625" style="333" bestFit="1" customWidth="1"/>
    <col min="3" max="3" width="10.86328125" style="333" bestFit="1" customWidth="1"/>
    <col min="4" max="4" width="14.86328125" style="333" bestFit="1" customWidth="1"/>
    <col min="5" max="5" width="16" style="333" bestFit="1" customWidth="1"/>
    <col min="6" max="6" width="14.86328125" style="333" bestFit="1" customWidth="1"/>
    <col min="7" max="7" width="12.1328125" style="333" bestFit="1" customWidth="1"/>
    <col min="8" max="8" width="13.265625" style="333" bestFit="1" customWidth="1"/>
    <col min="9" max="9" width="14.86328125" style="333" bestFit="1" customWidth="1"/>
    <col min="10" max="10" width="13.265625" bestFit="1" customWidth="1"/>
    <col min="11" max="11" width="4.86328125" bestFit="1" customWidth="1"/>
    <col min="12" max="13" width="14.86328125" bestFit="1" customWidth="1"/>
    <col min="14" max="14" width="12" bestFit="1" customWidth="1"/>
    <col min="15" max="16" width="13.265625" bestFit="1" customWidth="1"/>
    <col min="17" max="17" width="12" bestFit="1" customWidth="1"/>
    <col min="18" max="18" width="16" bestFit="1" customWidth="1"/>
    <col min="19" max="19" width="13.265625" bestFit="1" customWidth="1"/>
  </cols>
  <sheetData>
    <row r="3" spans="1:18">
      <c r="A3" s="370" t="s">
        <v>789</v>
      </c>
      <c r="B3" s="370" t="s">
        <v>785</v>
      </c>
      <c r="C3"/>
      <c r="D3"/>
      <c r="E3"/>
      <c r="F3"/>
      <c r="G3"/>
      <c r="H3"/>
      <c r="I3"/>
    </row>
    <row r="4" spans="1:18">
      <c r="A4" s="370" t="s">
        <v>786</v>
      </c>
      <c r="B4" t="s">
        <v>787</v>
      </c>
      <c r="C4" s="372">
        <v>45808</v>
      </c>
      <c r="D4" s="372">
        <v>45838</v>
      </c>
      <c r="E4" s="372">
        <v>45869</v>
      </c>
      <c r="F4" s="372">
        <v>45900</v>
      </c>
      <c r="G4" s="372">
        <v>45930</v>
      </c>
      <c r="H4" s="372">
        <v>45961</v>
      </c>
      <c r="I4" s="372">
        <v>45991</v>
      </c>
      <c r="J4" s="372">
        <v>46022</v>
      </c>
      <c r="L4" s="372">
        <v>46053</v>
      </c>
      <c r="M4" s="372">
        <v>46081</v>
      </c>
      <c r="N4" s="372">
        <v>46112</v>
      </c>
      <c r="O4" s="372">
        <v>46142</v>
      </c>
      <c r="P4" s="372">
        <v>46173</v>
      </c>
      <c r="Q4" s="372">
        <v>46265</v>
      </c>
      <c r="R4" t="s">
        <v>788</v>
      </c>
    </row>
    <row r="5" spans="1:18">
      <c r="A5" s="371" t="s">
        <v>787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</row>
    <row r="6" spans="1:18">
      <c r="A6" s="371" t="s">
        <v>268</v>
      </c>
      <c r="B6" s="373"/>
      <c r="C6" s="373"/>
      <c r="D6" s="373"/>
      <c r="E6" s="373">
        <v>13735976</v>
      </c>
      <c r="F6" s="373">
        <v>43292.88</v>
      </c>
      <c r="G6" s="373"/>
      <c r="H6" s="373"/>
      <c r="I6" s="373">
        <v>-43292.88</v>
      </c>
      <c r="J6" s="373"/>
      <c r="K6" s="373"/>
      <c r="L6" s="373"/>
      <c r="M6" s="373"/>
      <c r="N6" s="373">
        <v>15240</v>
      </c>
      <c r="O6" s="373"/>
      <c r="P6" s="373"/>
      <c r="Q6" s="373"/>
      <c r="R6" s="373">
        <v>13751216</v>
      </c>
    </row>
    <row r="7" spans="1:18">
      <c r="A7" s="371" t="s">
        <v>292</v>
      </c>
      <c r="B7" s="373"/>
      <c r="C7" s="373"/>
      <c r="D7" s="373"/>
      <c r="E7" s="373">
        <v>2495176.22371</v>
      </c>
      <c r="F7" s="373"/>
      <c r="G7" s="373"/>
      <c r="H7" s="373"/>
      <c r="I7" s="373"/>
      <c r="J7" s="373">
        <v>899.72</v>
      </c>
      <c r="K7" s="373"/>
      <c r="L7" s="373">
        <v>-899.72</v>
      </c>
      <c r="M7" s="373"/>
      <c r="N7" s="373"/>
      <c r="O7" s="373"/>
      <c r="P7" s="373"/>
      <c r="Q7" s="373"/>
      <c r="R7" s="373">
        <v>2495176.22371</v>
      </c>
    </row>
    <row r="8" spans="1:18">
      <c r="A8" s="371" t="s">
        <v>314</v>
      </c>
      <c r="B8" s="373"/>
      <c r="C8" s="373"/>
      <c r="D8" s="373">
        <v>1027304.26</v>
      </c>
      <c r="E8" s="373"/>
      <c r="F8" s="373">
        <v>3117740</v>
      </c>
      <c r="G8" s="373">
        <v>-74000</v>
      </c>
      <c r="H8" s="373"/>
      <c r="I8" s="373"/>
      <c r="J8" s="373"/>
      <c r="K8" s="373"/>
      <c r="L8" s="373"/>
      <c r="M8" s="373">
        <v>-10034.4</v>
      </c>
      <c r="N8" s="373"/>
      <c r="O8" s="373"/>
      <c r="P8" s="373"/>
      <c r="Q8" s="373"/>
      <c r="R8" s="373">
        <v>4061009.86</v>
      </c>
    </row>
    <row r="9" spans="1:18">
      <c r="A9" s="371" t="s">
        <v>345</v>
      </c>
      <c r="B9" s="373">
        <v>0</v>
      </c>
      <c r="C9" s="373"/>
      <c r="D9" s="373">
        <v>2661000</v>
      </c>
      <c r="E9" s="373">
        <v>611187</v>
      </c>
      <c r="F9" s="373">
        <v>57000</v>
      </c>
      <c r="G9" s="373"/>
      <c r="H9" s="373"/>
      <c r="I9" s="373"/>
      <c r="J9" s="373"/>
      <c r="K9" s="373"/>
      <c r="L9" s="373"/>
      <c r="M9" s="373">
        <v>-136013</v>
      </c>
      <c r="N9" s="373"/>
      <c r="O9" s="373"/>
      <c r="P9" s="373"/>
      <c r="Q9" s="373"/>
      <c r="R9" s="373">
        <v>3193174</v>
      </c>
    </row>
    <row r="10" spans="1:18">
      <c r="A10" s="371" t="s">
        <v>383</v>
      </c>
      <c r="B10" s="373"/>
      <c r="C10" s="373"/>
      <c r="D10" s="373"/>
      <c r="E10" s="373">
        <v>130940.32</v>
      </c>
      <c r="F10" s="373">
        <v>11169</v>
      </c>
      <c r="G10" s="373">
        <v>1060</v>
      </c>
      <c r="H10" s="373">
        <v>11477.98</v>
      </c>
      <c r="I10" s="373"/>
      <c r="J10" s="373">
        <v>83760</v>
      </c>
      <c r="K10" s="373"/>
      <c r="L10" s="373">
        <v>3170</v>
      </c>
      <c r="M10" s="373"/>
      <c r="N10" s="373"/>
      <c r="O10" s="373"/>
      <c r="P10" s="373"/>
      <c r="Q10" s="373"/>
      <c r="R10" s="373">
        <v>241577.30000000002</v>
      </c>
    </row>
    <row r="11" spans="1:18">
      <c r="A11" s="371" t="s">
        <v>416</v>
      </c>
      <c r="B11" s="373"/>
      <c r="C11" s="373"/>
      <c r="D11" s="373">
        <v>285000</v>
      </c>
      <c r="E11" s="373">
        <v>1896843</v>
      </c>
      <c r="F11" s="373">
        <v>57000</v>
      </c>
      <c r="G11" s="373"/>
      <c r="H11" s="373"/>
      <c r="I11" s="373">
        <v>51044</v>
      </c>
      <c r="J11" s="373">
        <v>111600</v>
      </c>
      <c r="K11" s="373"/>
      <c r="L11" s="373"/>
      <c r="M11" s="373">
        <v>-392334.65</v>
      </c>
      <c r="N11" s="373"/>
      <c r="O11" s="373">
        <v>249390</v>
      </c>
      <c r="P11" s="373"/>
      <c r="Q11" s="373"/>
      <c r="R11" s="373">
        <v>2258542.35</v>
      </c>
    </row>
    <row r="12" spans="1:18">
      <c r="A12" s="371" t="s">
        <v>468</v>
      </c>
      <c r="B12" s="373"/>
      <c r="C12" s="373"/>
      <c r="D12" s="373">
        <v>274155.94</v>
      </c>
      <c r="E12" s="373">
        <v>1142236</v>
      </c>
      <c r="F12" s="373">
        <v>748350</v>
      </c>
      <c r="G12" s="373"/>
      <c r="H12" s="373">
        <v>1376.27</v>
      </c>
      <c r="I12" s="373"/>
      <c r="J12" s="373"/>
      <c r="K12" s="373"/>
      <c r="L12" s="373"/>
      <c r="M12" s="373">
        <v>9531.6</v>
      </c>
      <c r="N12" s="373"/>
      <c r="O12" s="373"/>
      <c r="P12" s="373"/>
      <c r="Q12" s="373"/>
      <c r="R12" s="373">
        <v>2175649.81</v>
      </c>
    </row>
    <row r="13" spans="1:18">
      <c r="A13" s="371" t="s">
        <v>505</v>
      </c>
      <c r="B13" s="373"/>
      <c r="C13" s="373"/>
      <c r="D13" s="373">
        <v>1023750</v>
      </c>
      <c r="E13" s="373">
        <v>2272840</v>
      </c>
      <c r="F13" s="373">
        <v>3720340</v>
      </c>
      <c r="G13" s="373"/>
      <c r="H13" s="373"/>
      <c r="I13" s="373"/>
      <c r="J13" s="373"/>
      <c r="K13" s="373"/>
      <c r="L13" s="373">
        <v>1038750</v>
      </c>
      <c r="M13" s="373"/>
      <c r="N13" s="373"/>
      <c r="O13" s="373"/>
      <c r="P13" s="373"/>
      <c r="Q13" s="373"/>
      <c r="R13" s="373">
        <v>8055680</v>
      </c>
    </row>
    <row r="14" spans="1:18">
      <c r="A14" s="371" t="s">
        <v>532</v>
      </c>
      <c r="B14" s="373">
        <v>0</v>
      </c>
      <c r="C14" s="373"/>
      <c r="D14" s="373">
        <v>335650</v>
      </c>
      <c r="E14" s="373">
        <v>271950</v>
      </c>
      <c r="F14" s="373">
        <v>164367.17000000001</v>
      </c>
      <c r="G14" s="373">
        <v>7908.92</v>
      </c>
      <c r="H14" s="373">
        <v>8636.9700000000012</v>
      </c>
      <c r="I14" s="373">
        <v>49179.8</v>
      </c>
      <c r="J14" s="373">
        <v>90501.099999999991</v>
      </c>
      <c r="K14" s="373"/>
      <c r="L14" s="373">
        <v>7919.1500000000005</v>
      </c>
      <c r="M14" s="373">
        <v>50857.17</v>
      </c>
      <c r="N14" s="373">
        <v>2910.1899999999996</v>
      </c>
      <c r="O14" s="373"/>
      <c r="P14" s="373"/>
      <c r="Q14" s="373"/>
      <c r="R14" s="373">
        <v>989880.47000000009</v>
      </c>
    </row>
    <row r="15" spans="1:18">
      <c r="A15" s="371" t="s">
        <v>615</v>
      </c>
      <c r="B15" s="373"/>
      <c r="C15" s="373"/>
      <c r="D15" s="373">
        <v>10400</v>
      </c>
      <c r="E15" s="373">
        <v>252556</v>
      </c>
      <c r="F15" s="373"/>
      <c r="G15" s="373"/>
      <c r="H15" s="373">
        <v>79700</v>
      </c>
      <c r="I15" s="373">
        <v>28400</v>
      </c>
      <c r="J15" s="373"/>
      <c r="K15" s="373"/>
      <c r="L15" s="373"/>
      <c r="M15" s="373">
        <v>55600</v>
      </c>
      <c r="N15" s="373"/>
      <c r="O15" s="373"/>
      <c r="P15" s="373"/>
      <c r="Q15" s="373"/>
      <c r="R15" s="373">
        <v>426656</v>
      </c>
    </row>
    <row r="16" spans="1:18">
      <c r="A16" s="371" t="s">
        <v>639</v>
      </c>
      <c r="B16" s="373"/>
      <c r="C16" s="373"/>
      <c r="D16" s="373"/>
      <c r="E16" s="373"/>
      <c r="F16" s="373">
        <v>11372</v>
      </c>
      <c r="G16" s="373">
        <v>2843</v>
      </c>
      <c r="H16" s="373">
        <v>2843</v>
      </c>
      <c r="I16" s="373">
        <v>2843</v>
      </c>
      <c r="J16" s="373">
        <v>2843</v>
      </c>
      <c r="K16" s="373"/>
      <c r="L16" s="373">
        <v>11580.26</v>
      </c>
      <c r="M16" s="373">
        <v>976950.73999999987</v>
      </c>
      <c r="N16" s="373"/>
      <c r="O16" s="373"/>
      <c r="P16" s="373"/>
      <c r="Q16" s="373"/>
      <c r="R16" s="373">
        <v>1011274.9999999999</v>
      </c>
    </row>
    <row r="17" spans="1:18">
      <c r="A17" s="371" t="s">
        <v>659</v>
      </c>
      <c r="B17" s="373"/>
      <c r="C17" s="373">
        <v>6509.8599999999988</v>
      </c>
      <c r="D17" s="373">
        <v>5770.84</v>
      </c>
      <c r="E17" s="373">
        <v>21295.980000000003</v>
      </c>
      <c r="F17" s="373">
        <v>50534.6</v>
      </c>
      <c r="G17" s="373">
        <v>32154.959999999999</v>
      </c>
      <c r="H17" s="373">
        <v>20629.91</v>
      </c>
      <c r="I17" s="373">
        <v>15266.94</v>
      </c>
      <c r="J17" s="373">
        <v>59700.29</v>
      </c>
      <c r="K17" s="373"/>
      <c r="L17" s="373">
        <v>28655.7</v>
      </c>
      <c r="M17" s="373">
        <v>52616.57</v>
      </c>
      <c r="N17" s="373">
        <v>14045.67</v>
      </c>
      <c r="O17" s="373">
        <v>905.85</v>
      </c>
      <c r="P17" s="373">
        <v>700</v>
      </c>
      <c r="Q17" s="373"/>
      <c r="R17" s="373">
        <v>308787.17</v>
      </c>
    </row>
    <row r="18" spans="1:18">
      <c r="A18" s="371" t="s">
        <v>663</v>
      </c>
      <c r="B18" s="373">
        <v>0</v>
      </c>
      <c r="C18" s="373"/>
      <c r="D18" s="373"/>
      <c r="E18" s="373"/>
      <c r="F18" s="373">
        <v>5983.56</v>
      </c>
      <c r="G18" s="373">
        <v>3399.75</v>
      </c>
      <c r="H18" s="373">
        <v>14194.43</v>
      </c>
      <c r="I18" s="373">
        <v>183718.93</v>
      </c>
      <c r="J18" s="373">
        <v>1519.09</v>
      </c>
      <c r="K18" s="373"/>
      <c r="L18" s="373">
        <v>274402.47000000003</v>
      </c>
      <c r="M18" s="373">
        <v>509012.42000000004</v>
      </c>
      <c r="N18" s="373"/>
      <c r="O18" s="373">
        <v>433158.68000000005</v>
      </c>
      <c r="P18" s="373">
        <v>728226.48</v>
      </c>
      <c r="Q18" s="373">
        <v>71895.600000000006</v>
      </c>
      <c r="R18" s="373">
        <v>2225511.41</v>
      </c>
    </row>
    <row r="19" spans="1:18">
      <c r="A19" s="371" t="s">
        <v>635</v>
      </c>
      <c r="B19" s="373"/>
      <c r="C19" s="373"/>
      <c r="D19" s="373"/>
      <c r="E19" s="373"/>
      <c r="F19" s="373"/>
      <c r="G19" s="373"/>
      <c r="H19" s="373"/>
      <c r="I19" s="373"/>
      <c r="J19" s="373"/>
      <c r="K19" s="373">
        <v>0</v>
      </c>
      <c r="L19" s="373"/>
      <c r="M19" s="373"/>
      <c r="N19" s="373"/>
      <c r="O19" s="373"/>
      <c r="P19" s="373"/>
      <c r="Q19" s="373"/>
      <c r="R19" s="373">
        <v>0</v>
      </c>
    </row>
    <row r="20" spans="1:18">
      <c r="A20" s="371" t="s">
        <v>444</v>
      </c>
      <c r="B20" s="373"/>
      <c r="C20" s="373"/>
      <c r="D20" s="373"/>
      <c r="E20" s="373"/>
      <c r="F20" s="373">
        <v>582344.79834840004</v>
      </c>
      <c r="G20" s="373"/>
      <c r="H20" s="373"/>
      <c r="I20" s="373">
        <v>6464282.8143877005</v>
      </c>
      <c r="J20" s="373"/>
      <c r="K20" s="373"/>
      <c r="L20" s="373"/>
      <c r="M20" s="373"/>
      <c r="N20" s="373"/>
      <c r="O20" s="373"/>
      <c r="P20" s="373"/>
      <c r="Q20" s="373"/>
      <c r="R20" s="373">
        <v>7046627.6127361003</v>
      </c>
    </row>
    <row r="21" spans="1:18">
      <c r="A21" s="371" t="s">
        <v>788</v>
      </c>
      <c r="B21" s="373">
        <v>0</v>
      </c>
      <c r="C21" s="373">
        <v>6509.8599999999988</v>
      </c>
      <c r="D21" s="373">
        <v>5623031.04</v>
      </c>
      <c r="E21" s="373">
        <v>22831000.523710001</v>
      </c>
      <c r="F21" s="373">
        <v>8569494.0083483998</v>
      </c>
      <c r="G21" s="373">
        <v>-26633.370000000003</v>
      </c>
      <c r="H21" s="373">
        <v>138858.56</v>
      </c>
      <c r="I21" s="373">
        <v>6751442.6043877006</v>
      </c>
      <c r="J21" s="373">
        <v>350823.2</v>
      </c>
      <c r="K21" s="373">
        <v>0</v>
      </c>
      <c r="L21" s="373">
        <v>1363577.8599999999</v>
      </c>
      <c r="M21" s="373">
        <v>1116186.4499999997</v>
      </c>
      <c r="N21" s="373">
        <v>32195.86</v>
      </c>
      <c r="O21" s="373">
        <v>683454.53</v>
      </c>
      <c r="P21" s="373">
        <v>728926.48</v>
      </c>
      <c r="Q21" s="373">
        <v>71895.600000000006</v>
      </c>
      <c r="R21" s="373">
        <v>48240763.206446104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 s="333">
        <v>4704545</v>
      </c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 s="591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ColWidth="8.73046875" defaultRowHeight="14.25"/>
  <cols>
    <col min="1" max="1" width="6.265625" customWidth="1"/>
    <col min="2" max="2" width="21" customWidth="1"/>
    <col min="3" max="3" width="29.265625" customWidth="1"/>
    <col min="4" max="4" width="15.3984375" customWidth="1"/>
    <col min="5" max="5" width="16.265625" customWidth="1"/>
    <col min="6" max="6" width="6.265625" customWidth="1"/>
  </cols>
  <sheetData>
    <row r="1" spans="2:15" ht="14.65" thickBot="1"/>
    <row r="2" spans="2:15" ht="18">
      <c r="B2" s="914" t="s">
        <v>790</v>
      </c>
      <c r="C2" s="914"/>
      <c r="D2" s="914"/>
      <c r="E2" s="914"/>
      <c r="H2" s="915" t="s">
        <v>791</v>
      </c>
      <c r="I2" s="916"/>
      <c r="J2" s="916"/>
      <c r="K2" s="916"/>
      <c r="L2" s="916"/>
      <c r="M2" s="916"/>
      <c r="N2" s="916"/>
      <c r="O2" s="917"/>
    </row>
    <row r="3" spans="2:15">
      <c r="B3" s="704"/>
      <c r="H3" s="918"/>
      <c r="I3" s="919"/>
      <c r="J3" s="919"/>
      <c r="K3" s="919"/>
      <c r="L3" s="919"/>
      <c r="M3" s="919"/>
      <c r="N3" s="919"/>
      <c r="O3" s="920"/>
    </row>
    <row r="4" spans="2:15">
      <c r="B4" s="705" t="s">
        <v>792</v>
      </c>
      <c r="C4" s="706" t="str">
        <f>'Project Plan'!E2</f>
        <v>Coega Steels Phase 2</v>
      </c>
      <c r="H4" s="918"/>
      <c r="I4" s="919"/>
      <c r="J4" s="919"/>
      <c r="K4" s="919"/>
      <c r="L4" s="919"/>
      <c r="M4" s="919"/>
      <c r="N4" s="919"/>
      <c r="O4" s="920"/>
    </row>
    <row r="5" spans="2:15">
      <c r="B5" s="705" t="s">
        <v>793</v>
      </c>
      <c r="C5" s="706" t="s">
        <v>794</v>
      </c>
      <c r="H5" s="918"/>
      <c r="I5" s="919"/>
      <c r="J5" s="919"/>
      <c r="K5" s="919"/>
      <c r="L5" s="919"/>
      <c r="M5" s="919"/>
      <c r="N5" s="919"/>
      <c r="O5" s="920"/>
    </row>
    <row r="6" spans="2:15">
      <c r="B6" s="705" t="s">
        <v>795</v>
      </c>
      <c r="C6" s="706" t="s">
        <v>796</v>
      </c>
      <c r="H6" s="918"/>
      <c r="I6" s="919"/>
      <c r="J6" s="919"/>
      <c r="K6" s="919"/>
      <c r="L6" s="919"/>
      <c r="M6" s="919"/>
      <c r="N6" s="919"/>
      <c r="O6" s="920"/>
    </row>
    <row r="7" spans="2:15">
      <c r="B7" s="705" t="s">
        <v>797</v>
      </c>
      <c r="C7" s="706" t="s">
        <v>798</v>
      </c>
      <c r="H7" s="918"/>
      <c r="I7" s="919"/>
      <c r="J7" s="919"/>
      <c r="K7" s="919"/>
      <c r="L7" s="919"/>
      <c r="M7" s="919"/>
      <c r="N7" s="919"/>
      <c r="O7" s="920"/>
    </row>
    <row r="8" spans="2:15">
      <c r="B8" s="704"/>
      <c r="H8" s="918"/>
      <c r="I8" s="919"/>
      <c r="J8" s="919"/>
      <c r="K8" s="919"/>
      <c r="L8" s="919"/>
      <c r="M8" s="919"/>
      <c r="N8" s="919"/>
      <c r="O8" s="920"/>
    </row>
    <row r="9" spans="2:15">
      <c r="B9" s="924" t="s">
        <v>799</v>
      </c>
      <c r="C9" s="924"/>
      <c r="D9" s="924"/>
      <c r="E9" s="924"/>
      <c r="H9" s="918"/>
      <c r="I9" s="919"/>
      <c r="J9" s="919"/>
      <c r="K9" s="919"/>
      <c r="L9" s="919"/>
      <c r="M9" s="919"/>
      <c r="N9" s="919"/>
      <c r="O9" s="920"/>
    </row>
    <row r="10" spans="2:15" ht="14.65" thickBot="1">
      <c r="B10" s="924" t="s">
        <v>800</v>
      </c>
      <c r="C10" s="924"/>
      <c r="D10" s="924"/>
      <c r="E10" s="924"/>
      <c r="H10" s="921"/>
      <c r="I10" s="922"/>
      <c r="J10" s="922"/>
      <c r="K10" s="922"/>
      <c r="L10" s="922"/>
      <c r="M10" s="922"/>
      <c r="N10" s="922"/>
      <c r="O10" s="923"/>
    </row>
    <row r="11" spans="2:15">
      <c r="B11" s="707" t="s">
        <v>801</v>
      </c>
      <c r="C11" s="912" t="s">
        <v>802</v>
      </c>
      <c r="D11" s="912"/>
      <c r="E11" s="912"/>
    </row>
    <row r="12" spans="2:15">
      <c r="B12" s="707" t="s">
        <v>803</v>
      </c>
      <c r="C12" s="912" t="s">
        <v>802</v>
      </c>
      <c r="D12" s="912"/>
      <c r="E12" s="912"/>
    </row>
    <row r="13" spans="2:15">
      <c r="B13" s="707" t="s">
        <v>804</v>
      </c>
      <c r="C13" s="912" t="s">
        <v>802</v>
      </c>
      <c r="D13" s="912"/>
      <c r="E13" s="912"/>
    </row>
    <row r="14" spans="2:15">
      <c r="B14" s="707" t="s">
        <v>805</v>
      </c>
      <c r="C14" s="912" t="s">
        <v>806</v>
      </c>
      <c r="D14" s="912"/>
      <c r="E14" s="912"/>
    </row>
    <row r="15" spans="2:15">
      <c r="B15" s="707" t="s">
        <v>807</v>
      </c>
      <c r="C15" s="912" t="s">
        <v>808</v>
      </c>
      <c r="D15" s="912"/>
      <c r="E15" s="912"/>
    </row>
    <row r="16" spans="2:15" ht="15" customHeight="1">
      <c r="B16" s="707" t="s">
        <v>809</v>
      </c>
      <c r="C16" s="912" t="s">
        <v>810</v>
      </c>
      <c r="D16" s="912"/>
      <c r="E16" s="912"/>
    </row>
    <row r="17" spans="2:5">
      <c r="B17" s="704"/>
    </row>
    <row r="18" spans="2:5">
      <c r="B18" s="913" t="s">
        <v>811</v>
      </c>
      <c r="C18" s="913"/>
      <c r="D18" s="913"/>
      <c r="E18" s="913"/>
    </row>
    <row r="19" spans="2:5">
      <c r="B19" s="707" t="s">
        <v>812</v>
      </c>
      <c r="C19" s="707" t="s">
        <v>813</v>
      </c>
      <c r="D19" s="707" t="s">
        <v>814</v>
      </c>
      <c r="E19" s="707" t="s">
        <v>815</v>
      </c>
    </row>
    <row r="20" spans="2:5" ht="15" customHeight="1">
      <c r="B20" s="707" t="s">
        <v>816</v>
      </c>
      <c r="C20" s="707" t="s">
        <v>817</v>
      </c>
      <c r="D20" s="708" t="s">
        <v>818</v>
      </c>
      <c r="E20" s="709">
        <v>45953</v>
      </c>
    </row>
    <row r="21" spans="2:5">
      <c r="B21" s="707"/>
      <c r="C21" s="707"/>
      <c r="D21" s="707"/>
      <c r="E21" s="707"/>
    </row>
    <row r="22" spans="2:5">
      <c r="B22" s="707"/>
      <c r="C22" s="707"/>
      <c r="D22" s="707"/>
      <c r="E22" s="707"/>
    </row>
    <row r="23" spans="2:5">
      <c r="B23" s="707"/>
      <c r="C23" s="707"/>
      <c r="D23" s="707"/>
      <c r="E23" s="707"/>
    </row>
    <row r="24" spans="2:5">
      <c r="B24" s="707"/>
      <c r="C24" s="707"/>
      <c r="D24" s="707"/>
      <c r="E24" s="707"/>
    </row>
    <row r="25" spans="2:5">
      <c r="B25" s="707"/>
      <c r="C25" s="707"/>
      <c r="D25" s="707"/>
      <c r="E25" s="707"/>
    </row>
    <row r="26" spans="2:5">
      <c r="B26" s="70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47" t="s">
        <v>819</v>
      </c>
    </row>
    <row r="2" spans="1:4">
      <c r="A2" s="926"/>
      <c r="B2" s="926"/>
      <c r="C2" s="926"/>
      <c r="D2" s="8"/>
    </row>
    <row r="3" spans="1:4">
      <c r="A3" s="925" t="s">
        <v>820</v>
      </c>
      <c r="B3" s="925"/>
      <c r="C3" s="925"/>
      <c r="D3" s="48">
        <v>0.32</v>
      </c>
    </row>
    <row r="4" spans="1:4">
      <c r="A4" s="925" t="s">
        <v>745</v>
      </c>
      <c r="B4" s="925"/>
      <c r="C4" s="925"/>
      <c r="D4" s="48">
        <v>0.5</v>
      </c>
    </row>
    <row r="5" spans="1:4">
      <c r="A5" s="925" t="s">
        <v>757</v>
      </c>
      <c r="B5" s="925"/>
      <c r="C5" s="925"/>
      <c r="D5" s="48">
        <v>0.15</v>
      </c>
    </row>
    <row r="6" spans="1:4">
      <c r="A6" s="925" t="s">
        <v>821</v>
      </c>
      <c r="B6" s="925"/>
      <c r="C6" s="925"/>
      <c r="D6" s="48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25"/>
    <col min="2" max="2" width="22.3984375" style="25" customWidth="1"/>
    <col min="3" max="3" width="4.265625" style="25" customWidth="1"/>
    <col min="4" max="4" width="14" style="25" bestFit="1" customWidth="1"/>
    <col min="5" max="5" width="3" style="25" customWidth="1"/>
    <col min="6" max="6" width="15.3984375" style="25" customWidth="1"/>
    <col min="7" max="7" width="2.265625" style="25" customWidth="1"/>
    <col min="8" max="8" width="16" style="25" bestFit="1" customWidth="1"/>
    <col min="9" max="9" width="6.265625" style="25" customWidth="1"/>
    <col min="10" max="10" width="13.265625" style="25" bestFit="1" customWidth="1"/>
    <col min="11" max="11" width="2.265625" style="25" customWidth="1"/>
    <col min="12" max="12" width="14" style="25" bestFit="1" customWidth="1"/>
    <col min="13" max="13" width="3" style="25" customWidth="1"/>
    <col min="14" max="14" width="45.3984375" style="25" customWidth="1"/>
    <col min="15" max="16384" width="9.265625" style="25"/>
  </cols>
  <sheetData>
    <row r="2" spans="2:14" s="31" customFormat="1" ht="17.649999999999999">
      <c r="B2" s="927" t="s">
        <v>822</v>
      </c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</row>
    <row r="4" spans="2:14" ht="13.15">
      <c r="B4" s="29" t="s">
        <v>823</v>
      </c>
      <c r="C4" s="23"/>
      <c r="D4" s="27" t="s">
        <v>824</v>
      </c>
      <c r="E4" s="32"/>
      <c r="F4" s="27" t="s">
        <v>825</v>
      </c>
      <c r="H4" s="27" t="s">
        <v>826</v>
      </c>
      <c r="I4" s="32"/>
      <c r="J4" s="27" t="s">
        <v>827</v>
      </c>
      <c r="L4" s="27" t="s">
        <v>826</v>
      </c>
      <c r="M4" s="27"/>
      <c r="N4" s="27" t="s">
        <v>828</v>
      </c>
    </row>
    <row r="5" spans="2:14" ht="4.5" customHeight="1">
      <c r="B5" s="34"/>
      <c r="C5" s="23"/>
      <c r="D5" s="34"/>
      <c r="E5" s="35"/>
      <c r="F5" s="34"/>
      <c r="H5" s="34"/>
      <c r="I5" s="35"/>
      <c r="J5" s="34"/>
      <c r="L5" s="34"/>
      <c r="M5" s="23"/>
      <c r="N5" s="34"/>
    </row>
    <row r="6" spans="2:14" ht="6.75" customHeight="1">
      <c r="B6" s="23"/>
      <c r="C6" s="23"/>
      <c r="D6" s="26"/>
      <c r="E6" s="32"/>
      <c r="F6" s="26"/>
      <c r="H6" s="36"/>
      <c r="I6" s="32"/>
      <c r="J6" s="26"/>
      <c r="L6" s="36"/>
      <c r="M6" s="36"/>
    </row>
    <row r="7" spans="2:14" ht="13.15">
      <c r="B7" s="23"/>
      <c r="C7" s="23"/>
      <c r="D7" s="26"/>
      <c r="E7" s="32"/>
      <c r="F7" s="44" t="s">
        <v>829</v>
      </c>
      <c r="H7" s="36"/>
      <c r="I7" s="32"/>
      <c r="J7" s="44" t="s">
        <v>829</v>
      </c>
      <c r="L7" s="36"/>
      <c r="M7" s="36"/>
    </row>
    <row r="8" spans="2:14" ht="6" customHeight="1">
      <c r="B8" s="23"/>
      <c r="C8" s="23"/>
      <c r="D8" s="26"/>
      <c r="E8" s="32"/>
      <c r="F8" s="26"/>
      <c r="H8" s="36"/>
      <c r="I8" s="32"/>
      <c r="J8" s="26"/>
      <c r="L8" s="36"/>
      <c r="M8" s="36"/>
    </row>
    <row r="9" spans="2:14" s="42" customFormat="1" ht="13.15">
      <c r="B9" s="29" t="s">
        <v>290</v>
      </c>
      <c r="C9" s="29"/>
      <c r="D9" s="27" t="e">
        <f>SUM(D10:D11)</f>
        <v>#REF!</v>
      </c>
      <c r="E9" s="32"/>
      <c r="F9" s="27">
        <f>SUM(F10:F13)</f>
        <v>0</v>
      </c>
      <c r="H9" s="43" t="e">
        <f>$D$9-F9</f>
        <v>#REF!</v>
      </c>
      <c r="I9" s="32"/>
      <c r="J9" s="27">
        <f>SUM(J10:J13)</f>
        <v>0</v>
      </c>
      <c r="L9" s="43" t="e">
        <f>$D$9-J9</f>
        <v>#REF!</v>
      </c>
      <c r="M9" s="43"/>
    </row>
    <row r="10" spans="2:14" ht="13.15">
      <c r="B10" s="45" t="s">
        <v>290</v>
      </c>
      <c r="C10" s="23"/>
      <c r="D10" s="26" t="e">
        <f>#REF!</f>
        <v>#REF!</v>
      </c>
      <c r="E10" s="32"/>
      <c r="F10" s="26"/>
      <c r="H10" s="36"/>
      <c r="I10" s="32"/>
      <c r="J10" s="26"/>
      <c r="L10" s="36"/>
      <c r="M10" s="36"/>
    </row>
    <row r="11" spans="2:14" ht="13.15">
      <c r="B11" s="45" t="s">
        <v>830</v>
      </c>
      <c r="C11" s="23"/>
      <c r="D11" s="26" t="e">
        <f>#REF!</f>
        <v>#REF!</v>
      </c>
      <c r="E11" s="32"/>
      <c r="F11" s="26"/>
      <c r="H11" s="36"/>
      <c r="I11" s="32"/>
      <c r="J11" s="26"/>
      <c r="L11" s="36"/>
      <c r="M11" s="36"/>
    </row>
    <row r="12" spans="2:14" ht="13.15">
      <c r="B12" s="45" t="s">
        <v>831</v>
      </c>
      <c r="C12" s="23"/>
      <c r="D12" s="26"/>
      <c r="E12" s="32"/>
      <c r="F12" s="26"/>
      <c r="H12" s="36"/>
      <c r="I12" s="32"/>
      <c r="J12" s="26"/>
      <c r="L12" s="36"/>
      <c r="M12" s="36"/>
    </row>
    <row r="13" spans="2:14" ht="13.15">
      <c r="B13" s="45" t="s">
        <v>832</v>
      </c>
      <c r="C13" s="23"/>
      <c r="D13" s="26"/>
      <c r="E13" s="32"/>
      <c r="F13" s="26"/>
      <c r="H13" s="36"/>
      <c r="I13" s="32"/>
      <c r="J13" s="26"/>
      <c r="L13" s="36"/>
      <c r="M13" s="36"/>
    </row>
    <row r="14" spans="2:14" ht="13.15">
      <c r="B14" s="23"/>
      <c r="C14" s="23"/>
      <c r="D14" s="26"/>
      <c r="E14" s="32"/>
      <c r="F14" s="26"/>
      <c r="H14" s="36"/>
      <c r="I14" s="32"/>
      <c r="J14" s="26"/>
      <c r="L14" s="36"/>
      <c r="M14" s="36"/>
    </row>
    <row r="15" spans="2:14" ht="13.15">
      <c r="B15" s="23"/>
      <c r="C15" s="23"/>
      <c r="D15" s="26"/>
      <c r="E15" s="32"/>
      <c r="F15" s="44" t="s">
        <v>829</v>
      </c>
      <c r="H15" s="36"/>
      <c r="I15" s="32"/>
      <c r="J15" s="44" t="s">
        <v>829</v>
      </c>
      <c r="L15" s="36"/>
      <c r="M15" s="36"/>
    </row>
    <row r="16" spans="2:14" ht="6" customHeight="1">
      <c r="B16" s="23"/>
      <c r="C16" s="23"/>
      <c r="D16" s="26"/>
      <c r="E16" s="32"/>
      <c r="F16" s="26"/>
      <c r="H16" s="36"/>
      <c r="I16" s="32"/>
      <c r="J16" s="26"/>
      <c r="L16" s="36"/>
      <c r="M16" s="36"/>
    </row>
    <row r="17" spans="2:13" s="42" customFormat="1" ht="13.15">
      <c r="B17" s="29" t="s">
        <v>833</v>
      </c>
      <c r="C17" s="29"/>
      <c r="D17" s="27" t="e">
        <f>SUM(D18:D19)</f>
        <v>#REF!</v>
      </c>
      <c r="E17" s="32"/>
      <c r="F17" s="27">
        <f>SUM(F18:F20)</f>
        <v>0</v>
      </c>
      <c r="H17" s="43" t="e">
        <f>$D$17- F17</f>
        <v>#REF!</v>
      </c>
      <c r="I17" s="32"/>
      <c r="J17" s="27">
        <f>SUM(J18:J20)</f>
        <v>0</v>
      </c>
      <c r="L17" s="43" t="e">
        <f>$D$17- J17</f>
        <v>#REF!</v>
      </c>
      <c r="M17" s="43"/>
    </row>
    <row r="18" spans="2:13">
      <c r="B18" s="45" t="s">
        <v>833</v>
      </c>
      <c r="C18" s="23"/>
      <c r="D18" s="26" t="e">
        <f>#REF!</f>
        <v>#REF!</v>
      </c>
      <c r="E18" s="35"/>
      <c r="F18" s="26"/>
      <c r="H18" s="36"/>
      <c r="I18" s="35"/>
      <c r="J18" s="26"/>
      <c r="L18" s="36"/>
      <c r="M18" s="36"/>
    </row>
    <row r="19" spans="2:13">
      <c r="B19" s="45" t="s">
        <v>832</v>
      </c>
      <c r="C19" s="23"/>
      <c r="D19" s="26"/>
      <c r="E19" s="35"/>
      <c r="F19" s="26"/>
      <c r="H19" s="36"/>
      <c r="I19" s="35"/>
      <c r="J19" s="26"/>
      <c r="L19" s="36"/>
      <c r="M19" s="36"/>
    </row>
    <row r="20" spans="2:13">
      <c r="B20" s="23"/>
      <c r="C20" s="23"/>
      <c r="D20" s="26"/>
      <c r="E20" s="35"/>
      <c r="F20" s="26"/>
      <c r="H20" s="36"/>
      <c r="I20" s="35"/>
      <c r="J20" s="26"/>
      <c r="L20" s="36"/>
      <c r="M20" s="36"/>
    </row>
    <row r="21" spans="2:13" ht="13.15">
      <c r="B21" s="23"/>
      <c r="C21" s="23"/>
      <c r="D21" s="26"/>
      <c r="E21" s="32"/>
      <c r="F21" s="44" t="s">
        <v>829</v>
      </c>
      <c r="H21" s="36"/>
      <c r="I21" s="32"/>
      <c r="J21" s="44" t="s">
        <v>829</v>
      </c>
      <c r="L21" s="36"/>
      <c r="M21" s="36"/>
    </row>
    <row r="22" spans="2:13" ht="6" customHeight="1">
      <c r="B22" s="23"/>
      <c r="C22" s="23"/>
      <c r="D22" s="26"/>
      <c r="E22" s="32"/>
      <c r="F22" s="26"/>
      <c r="H22" s="36"/>
      <c r="I22" s="32"/>
      <c r="J22" s="26"/>
      <c r="L22" s="36"/>
      <c r="M22" s="36"/>
    </row>
    <row r="23" spans="2:13" s="42" customFormat="1" ht="13.15">
      <c r="B23" s="29" t="s">
        <v>131</v>
      </c>
      <c r="C23" s="29"/>
      <c r="D23" s="27" t="e">
        <f>SUM(D24:D25)</f>
        <v>#REF!</v>
      </c>
      <c r="E23" s="32"/>
      <c r="F23" s="27">
        <f>SUM(F24:F25)</f>
        <v>0</v>
      </c>
      <c r="H23" s="43" t="e">
        <f>$D$23- F23</f>
        <v>#REF!</v>
      </c>
      <c r="I23" s="32"/>
      <c r="J23" s="27">
        <f>SUM(J24:J25)</f>
        <v>0</v>
      </c>
      <c r="L23" s="43" t="e">
        <f>$D$23- J23</f>
        <v>#REF!</v>
      </c>
      <c r="M23" s="43"/>
    </row>
    <row r="24" spans="2:13">
      <c r="B24" s="45" t="s">
        <v>131</v>
      </c>
      <c r="C24" s="23"/>
      <c r="D24" s="26" t="e">
        <f>#REF!</f>
        <v>#REF!</v>
      </c>
      <c r="E24" s="35"/>
      <c r="F24" s="26"/>
      <c r="H24" s="36"/>
      <c r="I24" s="35"/>
      <c r="J24" s="26"/>
      <c r="L24" s="36"/>
      <c r="M24" s="36"/>
    </row>
    <row r="25" spans="2:13" s="42" customFormat="1" ht="13.15">
      <c r="B25" s="45" t="s">
        <v>832</v>
      </c>
      <c r="C25" s="29"/>
      <c r="D25" s="27"/>
      <c r="E25" s="32"/>
      <c r="F25" s="27"/>
      <c r="H25" s="43"/>
      <c r="I25" s="32"/>
      <c r="J25" s="27"/>
      <c r="L25" s="43"/>
      <c r="M25" s="43"/>
    </row>
    <row r="26" spans="2:13">
      <c r="B26" s="23"/>
      <c r="C26" s="23"/>
      <c r="D26" s="26"/>
      <c r="E26" s="35"/>
      <c r="F26" s="26"/>
      <c r="H26" s="36"/>
      <c r="I26" s="35"/>
      <c r="J26" s="26"/>
      <c r="L26" s="36"/>
      <c r="M26" s="36"/>
    </row>
    <row r="27" spans="2:13" ht="13.15">
      <c r="B27" s="23"/>
      <c r="C27" s="23"/>
      <c r="D27" s="26"/>
      <c r="E27" s="35"/>
      <c r="F27" s="44" t="s">
        <v>829</v>
      </c>
      <c r="H27" s="36"/>
      <c r="I27" s="32"/>
      <c r="J27" s="44" t="s">
        <v>829</v>
      </c>
      <c r="L27" s="36"/>
      <c r="M27" s="36"/>
    </row>
    <row r="28" spans="2:13" ht="6" customHeight="1">
      <c r="B28" s="23"/>
      <c r="C28" s="23"/>
      <c r="D28" s="26"/>
      <c r="E28" s="32"/>
      <c r="F28" s="26"/>
      <c r="H28" s="36"/>
      <c r="I28" s="32"/>
      <c r="J28" s="26"/>
      <c r="L28" s="36"/>
      <c r="M28" s="36"/>
    </row>
    <row r="29" spans="2:13" s="42" customFormat="1" ht="13.15">
      <c r="B29" s="29" t="s">
        <v>834</v>
      </c>
      <c r="C29" s="29"/>
      <c r="D29" s="27" t="e">
        <f>SUM(D30:D32)</f>
        <v>#REF!</v>
      </c>
      <c r="E29" s="32"/>
      <c r="F29" s="27">
        <f>SUM(F30:F42)</f>
        <v>0</v>
      </c>
      <c r="H29" s="43" t="e">
        <f>$D$29-F29</f>
        <v>#REF!</v>
      </c>
      <c r="I29" s="32"/>
      <c r="J29" s="27">
        <f>SUM(J30:J32)</f>
        <v>0</v>
      </c>
      <c r="L29" s="43" t="e">
        <f>$D$29-J29</f>
        <v>#REF!</v>
      </c>
      <c r="M29" s="43"/>
    </row>
    <row r="30" spans="2:13">
      <c r="B30" s="45" t="e">
        <f>#REF!</f>
        <v>#REF!</v>
      </c>
      <c r="C30" s="23"/>
      <c r="D30" s="26" t="e">
        <f>#REF!</f>
        <v>#REF!</v>
      </c>
      <c r="E30" s="35"/>
      <c r="F30" s="26"/>
      <c r="H30" s="36"/>
      <c r="I30" s="35"/>
      <c r="J30" s="26"/>
      <c r="L30" s="36"/>
      <c r="M30" s="36"/>
    </row>
    <row r="31" spans="2:13">
      <c r="B31" s="45" t="e">
        <f>#REF!</f>
        <v>#REF!</v>
      </c>
      <c r="C31" s="23"/>
      <c r="D31" s="26" t="e">
        <f>#REF!</f>
        <v>#REF!</v>
      </c>
      <c r="E31" s="35"/>
      <c r="F31" s="26"/>
      <c r="H31" s="36"/>
      <c r="I31" s="35"/>
      <c r="J31" s="26"/>
      <c r="L31" s="36"/>
      <c r="M31" s="36"/>
    </row>
    <row r="32" spans="2:13">
      <c r="B32" s="45" t="s">
        <v>832</v>
      </c>
      <c r="C32" s="23"/>
      <c r="D32" s="26"/>
      <c r="E32" s="35"/>
      <c r="F32" s="26"/>
      <c r="H32" s="36"/>
      <c r="I32" s="35"/>
      <c r="J32" s="26"/>
      <c r="L32" s="36"/>
      <c r="M32" s="36"/>
    </row>
    <row r="33" spans="2:13">
      <c r="B33" s="45"/>
      <c r="C33" s="23"/>
      <c r="D33" s="26"/>
      <c r="E33" s="35"/>
      <c r="F33" s="26"/>
      <c r="H33" s="36"/>
      <c r="I33" s="35"/>
      <c r="J33" s="26"/>
      <c r="L33" s="36"/>
      <c r="M33" s="36"/>
    </row>
    <row r="34" spans="2:13" ht="13.15">
      <c r="B34" s="23"/>
      <c r="C34" s="23"/>
      <c r="D34" s="26"/>
      <c r="E34" s="35"/>
      <c r="F34" s="44" t="s">
        <v>829</v>
      </c>
      <c r="H34" s="36"/>
      <c r="I34" s="32"/>
      <c r="J34" s="44" t="s">
        <v>829</v>
      </c>
      <c r="L34" s="36"/>
      <c r="M34" s="36"/>
    </row>
    <row r="35" spans="2:13" ht="13.15">
      <c r="B35" s="23"/>
      <c r="C35" s="23"/>
      <c r="D35" s="26"/>
      <c r="E35" s="32"/>
      <c r="F35" s="26"/>
      <c r="H35" s="36"/>
      <c r="I35" s="32"/>
      <c r="J35" s="26"/>
      <c r="L35" s="36"/>
      <c r="M35" s="36"/>
    </row>
    <row r="36" spans="2:13" s="42" customFormat="1" ht="13.15">
      <c r="B36" s="29" t="s">
        <v>835</v>
      </c>
      <c r="C36" s="29"/>
      <c r="D36" s="27" t="e">
        <f>SUM(D37:D41)</f>
        <v>#REF!</v>
      </c>
      <c r="E36" s="32"/>
      <c r="F36" s="27">
        <f>SUM(F37:F41)</f>
        <v>0</v>
      </c>
      <c r="H36" s="43" t="e">
        <f>$D$29-F36</f>
        <v>#REF!</v>
      </c>
      <c r="I36" s="32"/>
      <c r="J36" s="27">
        <f>SUM(J37:J41)</f>
        <v>0</v>
      </c>
      <c r="L36" s="43" t="e">
        <f>$D$29-J36</f>
        <v>#REF!</v>
      </c>
      <c r="M36" s="43"/>
    </row>
    <row r="37" spans="2:13">
      <c r="B37" s="45" t="s">
        <v>836</v>
      </c>
      <c r="C37" s="23"/>
      <c r="D37" s="26" t="e">
        <f>#REF!</f>
        <v>#REF!</v>
      </c>
      <c r="E37" s="35"/>
      <c r="F37" s="26"/>
      <c r="H37" s="36"/>
      <c r="I37" s="35"/>
      <c r="J37" s="26"/>
      <c r="L37" s="36"/>
      <c r="M37" s="36"/>
    </row>
    <row r="38" spans="2:13">
      <c r="B38" s="45" t="s">
        <v>837</v>
      </c>
      <c r="C38" s="23"/>
      <c r="D38" s="26"/>
      <c r="E38" s="35"/>
      <c r="F38" s="26"/>
      <c r="H38" s="36"/>
      <c r="I38" s="35"/>
      <c r="J38" s="26"/>
      <c r="L38" s="36"/>
      <c r="M38" s="36"/>
    </row>
    <row r="39" spans="2:13">
      <c r="B39" s="45" t="s">
        <v>838</v>
      </c>
      <c r="C39" s="23"/>
      <c r="D39" s="26"/>
      <c r="E39" s="35"/>
      <c r="F39" s="26"/>
      <c r="H39" s="36"/>
      <c r="I39" s="35"/>
      <c r="J39" s="26"/>
      <c r="L39" s="36"/>
      <c r="M39" s="36"/>
    </row>
    <row r="40" spans="2:13">
      <c r="B40" s="45" t="s">
        <v>839</v>
      </c>
      <c r="C40" s="23"/>
      <c r="D40" s="26"/>
      <c r="E40" s="35"/>
      <c r="F40" s="26"/>
      <c r="H40" s="36"/>
      <c r="I40" s="35"/>
      <c r="J40" s="26"/>
      <c r="L40" s="36"/>
      <c r="M40" s="36"/>
    </row>
    <row r="41" spans="2:13">
      <c r="B41" s="45" t="s">
        <v>840</v>
      </c>
      <c r="C41" s="23"/>
      <c r="D41" s="26"/>
      <c r="E41" s="35"/>
      <c r="F41" s="26"/>
      <c r="H41" s="36"/>
      <c r="I41" s="35"/>
      <c r="J41" s="26"/>
      <c r="L41" s="36"/>
      <c r="M41" s="36"/>
    </row>
    <row r="42" spans="2:13" ht="13.15">
      <c r="B42" s="37"/>
      <c r="C42" s="23"/>
      <c r="D42" s="34"/>
      <c r="E42" s="35"/>
      <c r="F42" s="34"/>
      <c r="I42" s="35"/>
      <c r="J42" s="34"/>
    </row>
    <row r="43" spans="2:13" ht="13.15">
      <c r="B43" s="29" t="s">
        <v>841</v>
      </c>
      <c r="C43" s="29"/>
      <c r="D43" s="27" t="e">
        <f>D36+D29+D23+D17+D9</f>
        <v>#REF!</v>
      </c>
      <c r="E43" s="32"/>
      <c r="F43" s="27"/>
      <c r="H43" s="38" t="e">
        <f>SUM(H7:H42)</f>
        <v>#REF!</v>
      </c>
      <c r="I43" s="32"/>
      <c r="J43" s="27"/>
      <c r="L43" s="38" t="e">
        <f>SUM(L7:L42)</f>
        <v>#REF!</v>
      </c>
      <c r="M43" s="27"/>
    </row>
    <row r="47" spans="2:13">
      <c r="B47" s="23" t="s">
        <v>842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25"/>
    <col min="2" max="2" width="22.3984375" style="25" customWidth="1"/>
    <col min="3" max="3" width="4.265625" style="25" customWidth="1"/>
    <col min="4" max="4" width="14" style="25" bestFit="1" customWidth="1"/>
    <col min="5" max="5" width="7" style="25" customWidth="1"/>
    <col min="6" max="6" width="3" style="25" customWidth="1"/>
    <col min="7" max="7" width="18.265625" style="25" customWidth="1"/>
    <col min="8" max="8" width="9.265625" style="25" bestFit="1" customWidth="1"/>
    <col min="9" max="9" width="2" style="25" customWidth="1"/>
    <col min="10" max="10" width="14" style="25" bestFit="1" customWidth="1"/>
    <col min="11" max="11" width="2.265625" style="25" customWidth="1"/>
    <col min="12" max="12" width="20.265625" style="25" customWidth="1"/>
    <col min="13" max="13" width="9.265625" style="25" bestFit="1" customWidth="1"/>
    <col min="14" max="14" width="0.73046875" style="25" customWidth="1"/>
    <col min="15" max="15" width="14" style="25" bestFit="1" customWidth="1"/>
    <col min="16" max="16384" width="9.265625" style="25"/>
  </cols>
  <sheetData>
    <row r="2" spans="2:15" s="31" customFormat="1" ht="17.649999999999999">
      <c r="B2" s="927" t="s">
        <v>843</v>
      </c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  <c r="O2" s="927"/>
    </row>
    <row r="4" spans="2:15" ht="13.15">
      <c r="B4" s="29" t="s">
        <v>823</v>
      </c>
      <c r="C4" s="23"/>
      <c r="D4" s="27" t="s">
        <v>824</v>
      </c>
      <c r="E4" s="32"/>
      <c r="F4" s="32"/>
      <c r="G4" s="27" t="s">
        <v>844</v>
      </c>
      <c r="H4" s="33"/>
      <c r="J4" s="27" t="s">
        <v>826</v>
      </c>
      <c r="L4" s="27" t="s">
        <v>845</v>
      </c>
      <c r="M4" s="33"/>
      <c r="O4" s="27" t="s">
        <v>826</v>
      </c>
    </row>
    <row r="5" spans="2:15" ht="5.25" customHeight="1">
      <c r="B5" s="34"/>
      <c r="C5" s="23"/>
      <c r="D5" s="34"/>
      <c r="E5" s="35"/>
      <c r="F5" s="35"/>
      <c r="G5" s="34"/>
      <c r="H5" s="24"/>
      <c r="J5" s="34"/>
      <c r="L5" s="34"/>
      <c r="M5" s="24"/>
      <c r="O5" s="34"/>
    </row>
    <row r="6" spans="2:15" ht="13.15">
      <c r="B6" s="23" t="s">
        <v>287</v>
      </c>
      <c r="C6" s="23"/>
      <c r="D6" s="26" t="e">
        <f>#REF!</f>
        <v>#REF!</v>
      </c>
      <c r="E6" s="32" t="e">
        <f>D6/(1000*'Project Plan'!$E$3)</f>
        <v>#REF!</v>
      </c>
      <c r="F6" s="32"/>
      <c r="G6" s="26">
        <v>277892.90999999997</v>
      </c>
      <c r="H6" s="33">
        <f>G6/('Project Plan'!$E$3*1000)</f>
        <v>3.9250411016949149E-2</v>
      </c>
      <c r="J6" s="36" t="e">
        <f>D6-G6</f>
        <v>#REF!</v>
      </c>
      <c r="L6" s="26"/>
      <c r="M6" s="33">
        <f>L6/('Project Plan'!$E$3*1000)</f>
        <v>0</v>
      </c>
      <c r="O6" s="36" t="e">
        <f>D6-L6</f>
        <v>#REF!</v>
      </c>
    </row>
    <row r="7" spans="2:15" ht="13.15">
      <c r="B7" s="23" t="s">
        <v>296</v>
      </c>
      <c r="C7" s="23"/>
      <c r="D7" s="26" t="e">
        <f>#REF!</f>
        <v>#REF!</v>
      </c>
      <c r="E7" s="32" t="e">
        <f>D7/(1000*'Project Plan'!$E$3)</f>
        <v>#REF!</v>
      </c>
      <c r="F7" s="32"/>
      <c r="G7" s="26">
        <v>142158.25</v>
      </c>
      <c r="H7" s="33">
        <f>G7/('Project Plan'!$E$3*1000)</f>
        <v>2.0078848870056499E-2</v>
      </c>
      <c r="J7" s="36" t="e">
        <f t="shared" ref="J7:J12" si="0">D7-G7</f>
        <v>#REF!</v>
      </c>
      <c r="L7" s="26"/>
      <c r="M7" s="33">
        <f>L7/('Project Plan'!$E$3*1000)</f>
        <v>0</v>
      </c>
      <c r="O7" s="36" t="e">
        <f t="shared" ref="O7:O12" si="1">D7-L7</f>
        <v>#REF!</v>
      </c>
    </row>
    <row r="8" spans="2:15" ht="13.15">
      <c r="B8" s="23" t="s">
        <v>299</v>
      </c>
      <c r="C8" s="23"/>
      <c r="D8" s="26" t="e">
        <f>#REF!</f>
        <v>#REF!</v>
      </c>
      <c r="E8" s="32" t="e">
        <f>D8/(1000*'Project Plan'!$E$3)</f>
        <v>#REF!</v>
      </c>
      <c r="F8" s="32"/>
      <c r="G8" s="26">
        <v>96174</v>
      </c>
      <c r="H8" s="33">
        <f>G8/('Project Plan'!$E$3*1000)</f>
        <v>1.3583898305084746E-2</v>
      </c>
      <c r="J8" s="36" t="e">
        <f t="shared" si="0"/>
        <v>#REF!</v>
      </c>
      <c r="L8" s="26"/>
      <c r="M8" s="33">
        <f>L8/('Project Plan'!$E$3*1000)</f>
        <v>0</v>
      </c>
      <c r="O8" s="36" t="e">
        <f t="shared" si="1"/>
        <v>#REF!</v>
      </c>
    </row>
    <row r="9" spans="2:15" ht="13.15">
      <c r="B9" s="23" t="s">
        <v>301</v>
      </c>
      <c r="C9" s="23"/>
      <c r="D9" s="26" t="e">
        <f>#REF!</f>
        <v>#REF!</v>
      </c>
      <c r="E9" s="32" t="e">
        <f>D9/(1000*'Project Plan'!$E$3)</f>
        <v>#REF!</v>
      </c>
      <c r="F9" s="32"/>
      <c r="G9" s="26">
        <v>230160</v>
      </c>
      <c r="H9" s="33">
        <f>G9/('Project Plan'!$E$3*1000)</f>
        <v>3.2508474576271186E-2</v>
      </c>
      <c r="J9" s="36" t="e">
        <f t="shared" si="0"/>
        <v>#REF!</v>
      </c>
      <c r="L9" s="26"/>
      <c r="M9" s="33">
        <f>L9/('Project Plan'!$E$3*1000)</f>
        <v>0</v>
      </c>
      <c r="O9" s="36" t="e">
        <f t="shared" si="1"/>
        <v>#REF!</v>
      </c>
    </row>
    <row r="10" spans="2:15">
      <c r="B10" s="23" t="s">
        <v>303</v>
      </c>
      <c r="C10" s="23"/>
      <c r="D10" s="26" t="e">
        <f>#REF!</f>
        <v>#REF!</v>
      </c>
      <c r="E10" s="35"/>
      <c r="F10" s="35"/>
      <c r="G10" s="26">
        <v>0</v>
      </c>
      <c r="H10" s="28"/>
      <c r="J10" s="36" t="e">
        <f t="shared" si="0"/>
        <v>#REF!</v>
      </c>
      <c r="L10" s="26"/>
      <c r="M10" s="28"/>
      <c r="O10" s="36" t="e">
        <f t="shared" si="1"/>
        <v>#REF!</v>
      </c>
    </row>
    <row r="11" spans="2:15">
      <c r="B11" s="23" t="s">
        <v>846</v>
      </c>
      <c r="C11" s="23"/>
      <c r="D11" s="26" t="e">
        <f>#REF!</f>
        <v>#REF!</v>
      </c>
      <c r="E11" s="35"/>
      <c r="F11" s="35"/>
      <c r="G11" s="26">
        <v>29257.61</v>
      </c>
      <c r="H11" s="28"/>
      <c r="J11" s="36" t="e">
        <f t="shared" si="0"/>
        <v>#REF!</v>
      </c>
      <c r="L11" s="26"/>
      <c r="M11" s="28"/>
      <c r="O11" s="36" t="e">
        <f t="shared" si="1"/>
        <v>#REF!</v>
      </c>
    </row>
    <row r="12" spans="2:15">
      <c r="B12" s="23" t="s">
        <v>308</v>
      </c>
      <c r="C12" s="23"/>
      <c r="D12" s="26" t="e">
        <f>#REF!</f>
        <v>#REF!</v>
      </c>
      <c r="E12" s="35"/>
      <c r="F12" s="35"/>
      <c r="G12" s="26"/>
      <c r="H12" s="28"/>
      <c r="J12" s="36" t="e">
        <f t="shared" si="0"/>
        <v>#REF!</v>
      </c>
      <c r="L12" s="26"/>
      <c r="M12" s="28"/>
      <c r="O12" s="36" t="e">
        <f t="shared" si="1"/>
        <v>#REF!</v>
      </c>
    </row>
    <row r="13" spans="2:15">
      <c r="B13" s="23" t="s">
        <v>309</v>
      </c>
      <c r="C13" s="23"/>
      <c r="D13" s="26" t="e">
        <f>#REF!</f>
        <v>#REF!</v>
      </c>
      <c r="E13" s="35"/>
      <c r="F13" s="35"/>
      <c r="G13" s="26"/>
      <c r="H13" s="28"/>
      <c r="J13" s="36"/>
      <c r="L13" s="26"/>
      <c r="M13" s="28"/>
      <c r="O13" s="36"/>
    </row>
    <row r="14" spans="2:15">
      <c r="B14" s="34" t="s">
        <v>342</v>
      </c>
      <c r="C14" s="23"/>
      <c r="D14" s="34">
        <v>0</v>
      </c>
      <c r="E14" s="35"/>
      <c r="F14" s="35"/>
      <c r="G14" s="34"/>
      <c r="H14" s="24"/>
      <c r="L14" s="34"/>
      <c r="M14" s="24"/>
    </row>
    <row r="15" spans="2:15" ht="13.15">
      <c r="B15" s="29" t="s">
        <v>841</v>
      </c>
      <c r="C15" s="29"/>
      <c r="D15" s="27" t="e">
        <f>SUM(D6:D13)</f>
        <v>#REF!</v>
      </c>
      <c r="E15" s="32"/>
      <c r="F15" s="32"/>
      <c r="G15" s="27">
        <f>SUM(G6:G13)</f>
        <v>775642.7699999999</v>
      </c>
      <c r="H15" s="33"/>
      <c r="J15" s="38" t="e">
        <f>SUM(J6:J14)</f>
        <v>#REF!</v>
      </c>
      <c r="L15" s="27">
        <f>SUM(L6:L13)</f>
        <v>0</v>
      </c>
      <c r="M15" s="33"/>
      <c r="O15" s="38" t="e">
        <f>SUM(O6:O14)</f>
        <v>#REF!</v>
      </c>
    </row>
    <row r="16" spans="2:15" ht="13.15">
      <c r="B16" s="29"/>
      <c r="C16" s="29"/>
      <c r="D16" s="27"/>
      <c r="E16" s="32"/>
      <c r="F16" s="32"/>
      <c r="G16" s="27"/>
      <c r="H16" s="33"/>
      <c r="J16" s="27"/>
      <c r="L16" s="27"/>
      <c r="M16" s="33"/>
      <c r="O16" s="27"/>
    </row>
    <row r="17" spans="2:15" ht="13.15">
      <c r="B17" s="29"/>
      <c r="C17" s="29"/>
      <c r="D17" s="27"/>
      <c r="E17" s="32"/>
      <c r="F17" s="32"/>
      <c r="G17" s="27"/>
      <c r="H17" s="33"/>
      <c r="J17" s="27"/>
      <c r="L17" s="27"/>
      <c r="M17" s="33"/>
      <c r="O17" s="27"/>
    </row>
    <row r="18" spans="2:15" ht="13.15">
      <c r="B18" s="29" t="s">
        <v>823</v>
      </c>
      <c r="C18" s="23"/>
      <c r="D18" s="27" t="s">
        <v>824</v>
      </c>
      <c r="E18" s="32"/>
      <c r="F18" s="32"/>
      <c r="G18" s="27" t="s">
        <v>847</v>
      </c>
      <c r="H18" s="33"/>
      <c r="J18" s="27" t="s">
        <v>826</v>
      </c>
      <c r="L18" s="27" t="s">
        <v>848</v>
      </c>
      <c r="M18" s="33"/>
      <c r="O18" s="27" t="s">
        <v>826</v>
      </c>
    </row>
    <row r="19" spans="2:15" ht="7.5" customHeight="1">
      <c r="B19" s="34"/>
      <c r="C19" s="23"/>
      <c r="D19" s="34"/>
      <c r="E19" s="35"/>
      <c r="F19" s="35"/>
      <c r="G19" s="34"/>
      <c r="H19" s="24"/>
      <c r="J19" s="34"/>
      <c r="L19" s="34"/>
      <c r="M19" s="24"/>
      <c r="O19" s="34"/>
    </row>
    <row r="20" spans="2:15" ht="13.15">
      <c r="B20" s="23" t="s">
        <v>849</v>
      </c>
      <c r="C20" s="23"/>
      <c r="D20" s="26" t="e">
        <f>#REF!</f>
        <v>#REF!</v>
      </c>
      <c r="E20" s="32" t="e">
        <f>D20/(1000*'Project Plan'!$E$3)</f>
        <v>#REF!</v>
      </c>
      <c r="F20" s="32"/>
      <c r="G20" s="26"/>
      <c r="H20" s="33">
        <f>G20/(1000*'Project Plan'!$E$3)</f>
        <v>0</v>
      </c>
      <c r="J20" s="36" t="e">
        <f>D20-G20</f>
        <v>#REF!</v>
      </c>
      <c r="L20" s="26"/>
      <c r="M20" s="33">
        <f>L20/(1000*'Project Plan'!$E$3)</f>
        <v>0</v>
      </c>
      <c r="O20" s="36" t="e">
        <f>D6-L20</f>
        <v>#REF!</v>
      </c>
    </row>
    <row r="21" spans="2:15" ht="13.15">
      <c r="B21" s="23" t="s">
        <v>850</v>
      </c>
      <c r="C21" s="23"/>
      <c r="D21" s="26" t="e">
        <f>#REF!</f>
        <v>#REF!</v>
      </c>
      <c r="E21" s="32" t="e">
        <f>D21/(1000*'Project Plan'!$E$3)</f>
        <v>#REF!</v>
      </c>
      <c r="F21" s="32"/>
      <c r="G21" s="26"/>
      <c r="H21" s="33"/>
      <c r="J21" s="36" t="e">
        <f t="shared" ref="J21:J26" si="2">D21-G21</f>
        <v>#REF!</v>
      </c>
      <c r="L21" s="26"/>
      <c r="M21" s="33">
        <f>L21/(1000*'Project Plan'!$E$3)</f>
        <v>0</v>
      </c>
      <c r="O21" s="36" t="e">
        <f t="shared" ref="O21:O26" si="3">D7-L21</f>
        <v>#REF!</v>
      </c>
    </row>
    <row r="22" spans="2:15" ht="13.15">
      <c r="B22" s="23" t="s">
        <v>851</v>
      </c>
      <c r="C22" s="23"/>
      <c r="D22" s="26" t="e">
        <f>#REF!</f>
        <v>#REF!</v>
      </c>
      <c r="E22" s="32" t="e">
        <f>D22/(1000*'Project Plan'!$E$3)</f>
        <v>#REF!</v>
      </c>
      <c r="F22" s="32"/>
      <c r="G22" s="26"/>
      <c r="H22" s="33">
        <f>G22/(1000*'Project Plan'!$E$3)</f>
        <v>0</v>
      </c>
      <c r="J22" s="36" t="e">
        <f t="shared" si="2"/>
        <v>#REF!</v>
      </c>
      <c r="L22" s="26"/>
      <c r="M22" s="33">
        <f>L22/(1000*'Project Plan'!$E$3)</f>
        <v>0</v>
      </c>
      <c r="O22" s="36" t="e">
        <f t="shared" si="3"/>
        <v>#REF!</v>
      </c>
    </row>
    <row r="23" spans="2:15" ht="13.15">
      <c r="B23" s="23" t="s">
        <v>852</v>
      </c>
      <c r="C23" s="23"/>
      <c r="D23" s="26" t="e">
        <f>SUM(#REF!)</f>
        <v>#REF!</v>
      </c>
      <c r="E23" s="32" t="e">
        <f>D23/(1000*'Project Plan'!$E$3)</f>
        <v>#REF!</v>
      </c>
      <c r="F23" s="32"/>
      <c r="G23" s="26"/>
      <c r="H23" s="33"/>
      <c r="J23" s="36" t="e">
        <f t="shared" si="2"/>
        <v>#REF!</v>
      </c>
      <c r="L23" s="26"/>
      <c r="M23" s="33"/>
      <c r="O23" s="36" t="e">
        <f t="shared" si="3"/>
        <v>#REF!</v>
      </c>
    </row>
    <row r="24" spans="2:15">
      <c r="B24" s="23" t="s">
        <v>308</v>
      </c>
      <c r="C24" s="23"/>
      <c r="D24" s="26" t="e">
        <f>#REF!</f>
        <v>#REF!</v>
      </c>
      <c r="E24" s="35"/>
      <c r="F24" s="35"/>
      <c r="G24" s="26"/>
      <c r="H24" s="28"/>
      <c r="J24" s="36" t="e">
        <f t="shared" si="2"/>
        <v>#REF!</v>
      </c>
      <c r="L24" s="26"/>
      <c r="M24" s="28"/>
      <c r="O24" s="36" t="e">
        <f t="shared" si="3"/>
        <v>#REF!</v>
      </c>
    </row>
    <row r="25" spans="2:15">
      <c r="B25" s="23" t="s">
        <v>853</v>
      </c>
      <c r="C25" s="23"/>
      <c r="D25" s="26" t="e">
        <f>SUM(#REF!)</f>
        <v>#REF!</v>
      </c>
      <c r="E25" s="35"/>
      <c r="F25" s="35"/>
      <c r="G25" s="26"/>
      <c r="H25" s="28"/>
      <c r="J25" s="36" t="e">
        <f t="shared" si="2"/>
        <v>#REF!</v>
      </c>
      <c r="L25" s="26"/>
      <c r="M25" s="28"/>
      <c r="O25" s="36" t="e">
        <f t="shared" si="3"/>
        <v>#REF!</v>
      </c>
    </row>
    <row r="26" spans="2:15">
      <c r="B26" s="23" t="s">
        <v>303</v>
      </c>
      <c r="C26" s="23"/>
      <c r="D26" s="26" t="e">
        <f>#REF!</f>
        <v>#REF!</v>
      </c>
      <c r="E26" s="35"/>
      <c r="F26" s="35"/>
      <c r="G26" s="26"/>
      <c r="H26" s="28"/>
      <c r="J26" s="36" t="e">
        <f t="shared" si="2"/>
        <v>#REF!</v>
      </c>
      <c r="L26" s="26"/>
      <c r="M26" s="28"/>
      <c r="O26" s="36" t="e">
        <f t="shared" si="3"/>
        <v>#REF!</v>
      </c>
    </row>
    <row r="27" spans="2:15">
      <c r="B27" s="23"/>
      <c r="C27" s="23"/>
      <c r="D27" s="26"/>
      <c r="E27" s="35"/>
      <c r="F27" s="35"/>
      <c r="G27" s="26"/>
      <c r="H27" s="28"/>
      <c r="J27" s="36"/>
      <c r="L27" s="26"/>
      <c r="M27" s="28"/>
      <c r="O27" s="36"/>
    </row>
    <row r="28" spans="2:15" ht="13.15">
      <c r="B28" s="37"/>
      <c r="C28" s="23"/>
      <c r="D28" s="34"/>
      <c r="E28" s="35"/>
      <c r="F28" s="35"/>
      <c r="G28" s="34"/>
      <c r="H28" s="24"/>
      <c r="L28" s="34"/>
      <c r="M28" s="24"/>
    </row>
    <row r="29" spans="2:15" ht="13.15">
      <c r="B29" s="29" t="s">
        <v>841</v>
      </c>
      <c r="C29" s="29"/>
      <c r="D29" s="27" t="e">
        <f>SUM(D20:D27)</f>
        <v>#REF!</v>
      </c>
      <c r="E29" s="32"/>
      <c r="F29" s="32"/>
      <c r="G29" s="27">
        <f>SUM(G20:G27)</f>
        <v>0</v>
      </c>
      <c r="H29" s="33"/>
      <c r="J29" s="38" t="e">
        <f>SUM(J20:J28)</f>
        <v>#REF!</v>
      </c>
      <c r="L29" s="27">
        <f>SUM(L20:L27)</f>
        <v>0</v>
      </c>
      <c r="M29" s="33"/>
      <c r="O29" s="38" t="e">
        <f>SUM(O20:O28)</f>
        <v>#REF!</v>
      </c>
    </row>
    <row r="32" spans="2:15" ht="13.5" thickBot="1">
      <c r="B32" s="39" t="s">
        <v>854</v>
      </c>
      <c r="C32" s="40"/>
      <c r="D32" s="40"/>
    </row>
    <row r="33" spans="2:4" ht="13.15" thickTop="1"/>
    <row r="34" spans="2:4">
      <c r="B34" s="25" t="s">
        <v>824</v>
      </c>
      <c r="D34" s="36" t="e">
        <f>D15</f>
        <v>#REF!</v>
      </c>
    </row>
    <row r="35" spans="2:4">
      <c r="B35" s="36" t="str">
        <f>G4</f>
        <v>Cosmic Sun</v>
      </c>
      <c r="D35" s="36">
        <f>G15</f>
        <v>775642.7699999999</v>
      </c>
    </row>
    <row r="36" spans="2:4">
      <c r="B36" s="36" t="str">
        <f>L4</f>
        <v>Matthews Group</v>
      </c>
      <c r="D36" s="36">
        <f>L15</f>
        <v>0</v>
      </c>
    </row>
    <row r="37" spans="2:4">
      <c r="B37" s="36" t="str">
        <f>G18</f>
        <v>&gt;Installer Name 3&lt;</v>
      </c>
      <c r="D37" s="36">
        <f>G29</f>
        <v>0</v>
      </c>
    </row>
    <row r="38" spans="2:4">
      <c r="B38" s="36" t="str">
        <f>L18</f>
        <v>&gt;Installer Name 4&lt;</v>
      </c>
      <c r="D38" s="36">
        <f>L29</f>
        <v>0</v>
      </c>
    </row>
    <row r="39" spans="2:4" ht="13.15" thickBot="1">
      <c r="B39" s="41"/>
      <c r="C39" s="40"/>
      <c r="D39" s="40"/>
    </row>
    <row r="40" spans="2:4" ht="13.5" thickTop="1">
      <c r="B40" s="42" t="e">
        <f>IF(D40&lt;D34,"Saving","Loss")</f>
        <v>#REF!</v>
      </c>
      <c r="C40" s="42"/>
      <c r="D40" s="43" t="e">
        <f>D34-MIN(D35:D38)</f>
        <v>#REF!</v>
      </c>
    </row>
    <row r="41" spans="2:4" ht="13.15">
      <c r="B41" s="42"/>
      <c r="C41" s="42"/>
      <c r="D41" s="43"/>
    </row>
    <row r="42" spans="2:4">
      <c r="B42" s="23" t="s">
        <v>855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265625" customWidth="1"/>
    <col min="4" max="4" width="34.265625" customWidth="1"/>
    <col min="5" max="5" width="15.3984375" customWidth="1"/>
    <col min="6" max="6" width="12" bestFit="1" customWidth="1"/>
    <col min="7" max="7" width="9.265625" bestFit="1" customWidth="1"/>
    <col min="8" max="8" width="12.265625" bestFit="1" customWidth="1"/>
    <col min="9" max="9" width="9.73046875" customWidth="1"/>
    <col min="10" max="10" width="19.265625" bestFit="1" customWidth="1"/>
  </cols>
  <sheetData>
    <row r="1" spans="2:14">
      <c r="B1" s="929" t="str">
        <f>D15</f>
        <v>Coega Steels Phase 2</v>
      </c>
      <c r="C1" s="929"/>
      <c r="D1" s="929"/>
      <c r="E1" s="928" t="s">
        <v>856</v>
      </c>
      <c r="F1" s="928"/>
      <c r="G1" s="928"/>
      <c r="H1" s="928"/>
      <c r="I1" s="928"/>
      <c r="J1" s="928"/>
      <c r="K1" s="14"/>
      <c r="L1" s="14"/>
      <c r="M1" s="14"/>
      <c r="N1" s="14"/>
    </row>
    <row r="2" spans="2:14" ht="6.75" customHeight="1"/>
    <row r="3" spans="2:14">
      <c r="B3" s="9" t="s">
        <v>857</v>
      </c>
      <c r="C3" s="9" t="s">
        <v>858</v>
      </c>
      <c r="D3" s="9" t="s">
        <v>859</v>
      </c>
      <c r="E3" s="15" t="s">
        <v>860</v>
      </c>
      <c r="F3" s="15" t="s">
        <v>861</v>
      </c>
      <c r="G3" s="15" t="s">
        <v>93</v>
      </c>
      <c r="H3" s="15" t="s">
        <v>862</v>
      </c>
      <c r="I3" s="15" t="s">
        <v>815</v>
      </c>
      <c r="J3" s="15" t="s">
        <v>863</v>
      </c>
    </row>
    <row r="4" spans="2:14">
      <c r="B4" s="13" t="s">
        <v>864</v>
      </c>
      <c r="C4" s="11"/>
      <c r="D4" s="11"/>
      <c r="E4" s="11"/>
      <c r="F4" s="11"/>
      <c r="G4" s="13"/>
      <c r="H4" s="13"/>
      <c r="I4" s="13"/>
      <c r="J4" s="8"/>
    </row>
    <row r="5" spans="2:14">
      <c r="B5" s="13" t="s">
        <v>865</v>
      </c>
      <c r="C5" s="11"/>
      <c r="D5" s="11"/>
      <c r="E5" s="11"/>
      <c r="F5" s="11"/>
      <c r="G5" s="13"/>
      <c r="H5" s="13"/>
      <c r="I5" s="13"/>
      <c r="J5" s="8"/>
    </row>
    <row r="6" spans="2:14">
      <c r="B6" s="13" t="s">
        <v>866</v>
      </c>
      <c r="C6" s="11"/>
      <c r="D6" s="11"/>
      <c r="E6" s="11"/>
      <c r="F6" s="11"/>
      <c r="G6" s="13"/>
      <c r="H6" s="13"/>
      <c r="I6" s="13"/>
      <c r="J6" s="8"/>
    </row>
    <row r="7" spans="2:14">
      <c r="B7" s="13" t="s">
        <v>867</v>
      </c>
      <c r="C7" s="11"/>
      <c r="D7" s="11"/>
      <c r="E7" s="11"/>
      <c r="F7" s="11"/>
      <c r="G7" s="13"/>
      <c r="H7" s="13"/>
      <c r="I7" s="13"/>
      <c r="J7" s="8"/>
    </row>
    <row r="8" spans="2:14">
      <c r="B8" s="13" t="s">
        <v>868</v>
      </c>
      <c r="C8" s="12"/>
      <c r="D8" s="12"/>
      <c r="E8" s="12"/>
      <c r="F8" s="12"/>
      <c r="G8" s="12"/>
      <c r="H8" s="12"/>
      <c r="I8" s="12"/>
      <c r="J8" s="8"/>
    </row>
    <row r="9" spans="2:14">
      <c r="B9" s="13" t="s">
        <v>869</v>
      </c>
      <c r="C9" s="12"/>
      <c r="D9" s="12"/>
      <c r="E9" s="12"/>
      <c r="F9" s="12"/>
      <c r="G9" s="12"/>
      <c r="H9" s="12"/>
      <c r="I9" s="12"/>
      <c r="J9" s="8"/>
    </row>
    <row r="10" spans="2:14">
      <c r="B10" s="13" t="s">
        <v>870</v>
      </c>
      <c r="C10" s="12"/>
      <c r="D10" s="12"/>
      <c r="E10" s="12"/>
      <c r="F10" s="12"/>
      <c r="G10" s="12"/>
      <c r="H10" s="12"/>
      <c r="I10" s="12"/>
      <c r="J10" s="8"/>
    </row>
    <row r="11" spans="2:14">
      <c r="B11" s="13" t="s">
        <v>871</v>
      </c>
      <c r="C11" s="12"/>
      <c r="D11" s="12"/>
      <c r="E11" s="12"/>
      <c r="F11" s="12"/>
      <c r="G11" s="12"/>
      <c r="H11" s="12"/>
      <c r="I11" s="12"/>
      <c r="J11" s="8"/>
    </row>
    <row r="12" spans="2:14">
      <c r="B12" s="13" t="s">
        <v>872</v>
      </c>
      <c r="C12" s="12"/>
      <c r="D12" s="12"/>
      <c r="E12" s="12"/>
      <c r="F12" s="12"/>
      <c r="G12" s="12"/>
      <c r="H12" s="12"/>
      <c r="I12" s="12"/>
      <c r="J12" s="8"/>
    </row>
    <row r="13" spans="2:14">
      <c r="B13" s="13" t="s">
        <v>873</v>
      </c>
      <c r="C13" s="12"/>
      <c r="D13" s="12"/>
      <c r="E13" s="12"/>
      <c r="F13" s="12"/>
      <c r="G13" s="12"/>
      <c r="H13" s="12"/>
      <c r="I13" s="12"/>
      <c r="J13" s="8"/>
    </row>
    <row r="15" spans="2:14">
      <c r="D15" s="21" t="str" cm="1">
        <f t="array" ref="D15:G15">'Project Plan'!E2:H2</f>
        <v>Coega Steels Phase 2</v>
      </c>
      <c r="E15" s="21">
        <v>0</v>
      </c>
      <c r="F15" s="21">
        <v>0</v>
      </c>
      <c r="G15" s="21">
        <v>0</v>
      </c>
      <c r="H15" s="21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Revenue Tracking</vt:lpstr>
      <vt:lpstr>Data</vt:lpstr>
      <vt:lpstr>Project Plan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2026-05-18T12:20:36Z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