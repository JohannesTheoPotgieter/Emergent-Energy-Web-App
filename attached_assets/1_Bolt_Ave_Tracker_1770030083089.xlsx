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42" documentId="13_ncr:1_{B3D11D9D-ACDC-4ADD-A33B-74D9022BB6CF}" xr6:coauthVersionLast="47" xr6:coauthVersionMax="47" xr10:uidLastSave="{DBC1EAF3-ECCF-4BFA-8BD7-6E0255309BF3}"/>
  <bookViews>
    <workbookView xWindow="-108" yWindow="-108" windowWidth="23256" windowHeight="12456" tabRatio="661" firstSheet="10" activeTab="6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74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H6" i="5"/>
  <c r="G6" i="5"/>
  <c r="X4" i="5" l="1"/>
  <c r="V4" i="5"/>
  <c r="W97" i="18" l="1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2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BP3" i="6" s="1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Q65" i="18"/>
  <c r="Q59" i="18"/>
  <c r="Q63" i="18"/>
  <c r="W129" i="18"/>
  <c r="W108" i="18"/>
  <c r="W32" i="18"/>
  <c r="N30" i="2"/>
  <c r="E11" i="2"/>
  <c r="K32" i="2"/>
  <c r="N32" i="2"/>
  <c r="F11" i="2"/>
  <c r="K31" i="2"/>
  <c r="H15" i="5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W120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AHY3" i="6"/>
  <c r="ANX3" i="6"/>
  <c r="AWS3" i="6"/>
  <c r="ZS3" i="6"/>
  <c r="EI3" i="6"/>
  <c r="XW3" i="6"/>
  <c r="AEB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M9" i="2" l="1"/>
  <c r="JP3" i="6"/>
  <c r="SD3" i="6"/>
  <c r="ST3" i="6"/>
  <c r="OV3" i="6"/>
  <c r="AXU3" i="6"/>
  <c r="MG3" i="6"/>
  <c r="AYX3" i="6"/>
  <c r="H3" i="6"/>
  <c r="I104" i="18"/>
  <c r="F18" i="3" s="1"/>
  <c r="Q64" i="18"/>
  <c r="U141" i="18"/>
  <c r="U140" i="18"/>
  <c r="Q38" i="18"/>
  <c r="Q60" i="18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X6" i="18" s="1"/>
  <c r="H9" i="3" s="1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W4" i="5" s="1"/>
  <c r="U120" i="18"/>
  <c r="U4" i="5" s="1"/>
  <c r="U122" i="18"/>
  <c r="U143" i="18"/>
  <c r="J15" i="3"/>
  <c r="U124" i="18"/>
  <c r="T109" i="18"/>
  <c r="T60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53" i="18" l="1"/>
  <c r="U3" i="6"/>
  <c r="F21" i="5"/>
  <c r="O3" i="6"/>
  <c r="AA3" i="6"/>
  <c r="F4" i="6"/>
  <c r="G4" i="6" s="1"/>
  <c r="H4" i="6" s="1"/>
  <c r="I4" i="6" s="1"/>
  <c r="J4" i="6" s="1"/>
  <c r="K4" i="6" s="1"/>
  <c r="L4" i="6" s="1"/>
  <c r="M4" i="6" s="1"/>
  <c r="N4" i="6" s="1"/>
  <c r="ASJ17" i="6"/>
  <c r="AAA17" i="6"/>
  <c r="RW17" i="6"/>
  <c r="IP17" i="6"/>
  <c r="NK17" i="6"/>
  <c r="ADZ17" i="6"/>
  <c r="AMP17" i="6"/>
  <c r="F5" i="3"/>
  <c r="D5" i="5" s="1"/>
  <c r="D6" i="5" s="1"/>
  <c r="D7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F25" i="3" s="1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X91" i="18"/>
  <c r="H29" i="18"/>
  <c r="W99" i="18"/>
  <c r="J39" i="2"/>
  <c r="U18" i="2" s="1"/>
  <c r="I49" i="2"/>
  <c r="V18" i="2"/>
  <c r="D3" i="6" l="1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C5" i="6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 s="1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F14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 l="1"/>
  <c r="J7" i="6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<sst xmlns="http://schemas.openxmlformats.org/spreadsheetml/2006/main" count="933" uniqueCount="537">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</sst>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2136489.9939999999</c:v>
                </c:pt>
                <c:pt idx="31">
                  <c:v>2136489.9939999999</c:v>
                </c:pt>
                <c:pt idx="32">
                  <c:v>2136489.9939999999</c:v>
                </c:pt>
                <c:pt idx="33">
                  <c:v>2136489.9939999999</c:v>
                </c:pt>
                <c:pt idx="34">
                  <c:v>2136989.9939999999</c:v>
                </c:pt>
                <c:pt idx="35">
                  <c:v>2136989.9939999999</c:v>
                </c:pt>
                <c:pt idx="36">
                  <c:v>2136989.9939999999</c:v>
                </c:pt>
                <c:pt idx="37">
                  <c:v>2170914.54</c:v>
                </c:pt>
                <c:pt idx="38">
                  <c:v>2217962.171875</c:v>
                </c:pt>
                <c:pt idx="39">
                  <c:v>2217962.171875</c:v>
                </c:pt>
                <c:pt idx="40">
                  <c:v>2217962.171875</c:v>
                </c:pt>
                <c:pt idx="41">
                  <c:v>2217962.171875</c:v>
                </c:pt>
                <c:pt idx="42">
                  <c:v>2217962.171875</c:v>
                </c:pt>
                <c:pt idx="43">
                  <c:v>2217962.171875</c:v>
                </c:pt>
                <c:pt idx="44">
                  <c:v>2217962.171875</c:v>
                </c:pt>
                <c:pt idx="45">
                  <c:v>2217962.171875</c:v>
                </c:pt>
                <c:pt idx="46">
                  <c:v>2217962.171875</c:v>
                </c:pt>
                <c:pt idx="47">
                  <c:v>2217962.171875</c:v>
                </c:pt>
                <c:pt idx="48">
                  <c:v>2217962.171875</c:v>
                </c:pt>
                <c:pt idx="49">
                  <c:v>2217962.171875</c:v>
                </c:pt>
                <c:pt idx="50">
                  <c:v>2217962.171875</c:v>
                </c:pt>
                <c:pt idx="51">
                  <c:v>2217962.171875</c:v>
                </c:pt>
                <c:pt idx="52">
                  <c:v>2217962.171875</c:v>
                </c:pt>
                <c:pt idx="53">
                  <c:v>2217962.171875</c:v>
                </c:pt>
                <c:pt idx="54">
                  <c:v>2217962.171875</c:v>
                </c:pt>
                <c:pt idx="55">
                  <c:v>2217962.171875</c:v>
                </c:pt>
                <c:pt idx="56">
                  <c:v>2217962.171875</c:v>
                </c:pt>
                <c:pt idx="57">
                  <c:v>2217962.171875</c:v>
                </c:pt>
                <c:pt idx="58">
                  <c:v>2217962.171875</c:v>
                </c:pt>
                <c:pt idx="59">
                  <c:v>2217962.171875</c:v>
                </c:pt>
                <c:pt idx="60">
                  <c:v>2217962.171875</c:v>
                </c:pt>
                <c:pt idx="61">
                  <c:v>2217962.171875</c:v>
                </c:pt>
                <c:pt idx="62">
                  <c:v>2217962.171875</c:v>
                </c:pt>
                <c:pt idx="63">
                  <c:v>2217962.171875</c:v>
                </c:pt>
                <c:pt idx="64">
                  <c:v>2217962.171875</c:v>
                </c:pt>
                <c:pt idx="65">
                  <c:v>2217962.171875</c:v>
                </c:pt>
                <c:pt idx="66">
                  <c:v>2217962.171875</c:v>
                </c:pt>
                <c:pt idx="67">
                  <c:v>2217962.171875</c:v>
                </c:pt>
                <c:pt idx="68">
                  <c:v>2217962.171875</c:v>
                </c:pt>
                <c:pt idx="69">
                  <c:v>2217962.171875</c:v>
                </c:pt>
                <c:pt idx="70">
                  <c:v>2217962.171875</c:v>
                </c:pt>
                <c:pt idx="71">
                  <c:v>2217962.171875</c:v>
                </c:pt>
                <c:pt idx="72">
                  <c:v>2217962.171875</c:v>
                </c:pt>
                <c:pt idx="73">
                  <c:v>2217962.171875</c:v>
                </c:pt>
                <c:pt idx="74">
                  <c:v>2217962.171875</c:v>
                </c:pt>
                <c:pt idx="75">
                  <c:v>2217962.171875</c:v>
                </c:pt>
                <c:pt idx="76">
                  <c:v>2217962.171875</c:v>
                </c:pt>
                <c:pt idx="77">
                  <c:v>2217962.171875</c:v>
                </c:pt>
                <c:pt idx="78">
                  <c:v>2217962.171875</c:v>
                </c:pt>
                <c:pt idx="79">
                  <c:v>2217962.171875</c:v>
                </c:pt>
                <c:pt idx="80">
                  <c:v>2217962.171875</c:v>
                </c:pt>
                <c:pt idx="81">
                  <c:v>2217962.171875</c:v>
                </c:pt>
                <c:pt idx="82">
                  <c:v>2217962.171875</c:v>
                </c:pt>
                <c:pt idx="83">
                  <c:v>2217962.171875</c:v>
                </c:pt>
                <c:pt idx="84">
                  <c:v>2217962.171875</c:v>
                </c:pt>
                <c:pt idx="85">
                  <c:v>2217962.171875</c:v>
                </c:pt>
                <c:pt idx="86">
                  <c:v>2217962.171875</c:v>
                </c:pt>
                <c:pt idx="87">
                  <c:v>2217962.171875</c:v>
                </c:pt>
                <c:pt idx="88">
                  <c:v>2217962.171875</c:v>
                </c:pt>
                <c:pt idx="89">
                  <c:v>2217962.171875</c:v>
                </c:pt>
                <c:pt idx="90">
                  <c:v>2217962.171875</c:v>
                </c:pt>
                <c:pt idx="91">
                  <c:v>2217962.171875</c:v>
                </c:pt>
                <c:pt idx="92">
                  <c:v>2217962.171875</c:v>
                </c:pt>
                <c:pt idx="93">
                  <c:v>2217962.171875</c:v>
                </c:pt>
                <c:pt idx="94">
                  <c:v>2217962.171875</c:v>
                </c:pt>
                <c:pt idx="95">
                  <c:v>2217962.171875</c:v>
                </c:pt>
                <c:pt idx="96">
                  <c:v>2217962.171875</c:v>
                </c:pt>
                <c:pt idx="97">
                  <c:v>2217962.171875</c:v>
                </c:pt>
                <c:pt idx="98">
                  <c:v>2217962.171875</c:v>
                </c:pt>
                <c:pt idx="99">
                  <c:v>2217962.171875</c:v>
                </c:pt>
                <c:pt idx="100">
                  <c:v>2217962.171875</c:v>
                </c:pt>
                <c:pt idx="101">
                  <c:v>2217962.171875</c:v>
                </c:pt>
                <c:pt idx="102">
                  <c:v>2217962.171875</c:v>
                </c:pt>
                <c:pt idx="103">
                  <c:v>2217962.171875</c:v>
                </c:pt>
                <c:pt idx="104">
                  <c:v>2217962.171875</c:v>
                </c:pt>
                <c:pt idx="105">
                  <c:v>2217962.171875</c:v>
                </c:pt>
                <c:pt idx="106">
                  <c:v>2217962.171875</c:v>
                </c:pt>
                <c:pt idx="107">
                  <c:v>2217962.171875</c:v>
                </c:pt>
                <c:pt idx="108">
                  <c:v>2217962.171875</c:v>
                </c:pt>
                <c:pt idx="109">
                  <c:v>2217962.171875</c:v>
                </c:pt>
                <c:pt idx="110">
                  <c:v>2217962.171875</c:v>
                </c:pt>
                <c:pt idx="111">
                  <c:v>2217962.171875</c:v>
                </c:pt>
                <c:pt idx="112">
                  <c:v>2217962.171875</c:v>
                </c:pt>
                <c:pt idx="113">
                  <c:v>2217962.171875</c:v>
                </c:pt>
                <c:pt idx="114">
                  <c:v>2217962.171875</c:v>
                </c:pt>
                <c:pt idx="115">
                  <c:v>2217962.171875</c:v>
                </c:pt>
                <c:pt idx="116">
                  <c:v>2217962.171875</c:v>
                </c:pt>
                <c:pt idx="117">
                  <c:v>2217962.171875</c:v>
                </c:pt>
                <c:pt idx="118">
                  <c:v>2217962.171875</c:v>
                </c:pt>
                <c:pt idx="119">
                  <c:v>2217962.171875</c:v>
                </c:pt>
                <c:pt idx="120">
                  <c:v>2217962.171875</c:v>
                </c:pt>
                <c:pt idx="121">
                  <c:v>2217962.171875</c:v>
                </c:pt>
                <c:pt idx="122">
                  <c:v>2217962.171875</c:v>
                </c:pt>
                <c:pt idx="123">
                  <c:v>2217962.171875</c:v>
                </c:pt>
                <c:pt idx="124">
                  <c:v>2217962.171875</c:v>
                </c:pt>
                <c:pt idx="125">
                  <c:v>2217962.171875</c:v>
                </c:pt>
                <c:pt idx="126">
                  <c:v>2217962.171875</c:v>
                </c:pt>
                <c:pt idx="127">
                  <c:v>2217962.171875</c:v>
                </c:pt>
                <c:pt idx="128">
                  <c:v>2217962.171875</c:v>
                </c:pt>
                <c:pt idx="129">
                  <c:v>2217962.171875</c:v>
                </c:pt>
                <c:pt idx="130">
                  <c:v>2217962.171875</c:v>
                </c:pt>
                <c:pt idx="131">
                  <c:v>2217962.171875</c:v>
                </c:pt>
                <c:pt idx="132">
                  <c:v>2217962.171875</c:v>
                </c:pt>
                <c:pt idx="133">
                  <c:v>2217962.171875</c:v>
                </c:pt>
                <c:pt idx="134">
                  <c:v>2217962.171875</c:v>
                </c:pt>
                <c:pt idx="135">
                  <c:v>2217962.171875</c:v>
                </c:pt>
                <c:pt idx="136">
                  <c:v>2217962.171875</c:v>
                </c:pt>
                <c:pt idx="137">
                  <c:v>2217962.171875</c:v>
                </c:pt>
                <c:pt idx="138">
                  <c:v>2217962.171875</c:v>
                </c:pt>
                <c:pt idx="139">
                  <c:v>2217962.171875</c:v>
                </c:pt>
                <c:pt idx="140">
                  <c:v>2217962.171875</c:v>
                </c:pt>
                <c:pt idx="141">
                  <c:v>2217962.171875</c:v>
                </c:pt>
                <c:pt idx="142">
                  <c:v>2217962.171875</c:v>
                </c:pt>
                <c:pt idx="143">
                  <c:v>2217962.171875</c:v>
                </c:pt>
                <c:pt idx="144">
                  <c:v>2217962.171875</c:v>
                </c:pt>
                <c:pt idx="145">
                  <c:v>2217962.171875</c:v>
                </c:pt>
                <c:pt idx="146">
                  <c:v>2217962.171875</c:v>
                </c:pt>
                <c:pt idx="147">
                  <c:v>2217962.171875</c:v>
                </c:pt>
                <c:pt idx="148">
                  <c:v>2217962.171875</c:v>
                </c:pt>
                <c:pt idx="149">
                  <c:v>2217962.171875</c:v>
                </c:pt>
                <c:pt idx="150">
                  <c:v>2217962.171875</c:v>
                </c:pt>
                <c:pt idx="151">
                  <c:v>2217962.171875</c:v>
                </c:pt>
                <c:pt idx="152">
                  <c:v>2217962.171875</c:v>
                </c:pt>
                <c:pt idx="153">
                  <c:v>2217962.171875</c:v>
                </c:pt>
                <c:pt idx="154">
                  <c:v>2217962.171875</c:v>
                </c:pt>
                <c:pt idx="155">
                  <c:v>2217962.171875</c:v>
                </c:pt>
                <c:pt idx="156">
                  <c:v>2217962.171875</c:v>
                </c:pt>
                <c:pt idx="157">
                  <c:v>2217962.171875</c:v>
                </c:pt>
                <c:pt idx="158">
                  <c:v>2217962.171875</c:v>
                </c:pt>
                <c:pt idx="159">
                  <c:v>2217962.171875</c:v>
                </c:pt>
                <c:pt idx="160">
                  <c:v>2217962.171875</c:v>
                </c:pt>
                <c:pt idx="161">
                  <c:v>2217962.171875</c:v>
                </c:pt>
                <c:pt idx="162">
                  <c:v>2217962.171875</c:v>
                </c:pt>
                <c:pt idx="163">
                  <c:v>2217962.171875</c:v>
                </c:pt>
                <c:pt idx="164">
                  <c:v>2217962.171875</c:v>
                </c:pt>
                <c:pt idx="165">
                  <c:v>2217962.171875</c:v>
                </c:pt>
                <c:pt idx="166">
                  <c:v>2217962.171875</c:v>
                </c:pt>
                <c:pt idx="167">
                  <c:v>2217962.171875</c:v>
                </c:pt>
                <c:pt idx="168">
                  <c:v>2217962.171875</c:v>
                </c:pt>
                <c:pt idx="169">
                  <c:v>2217962.171875</c:v>
                </c:pt>
                <c:pt idx="170">
                  <c:v>2217962.171875</c:v>
                </c:pt>
                <c:pt idx="171">
                  <c:v>2217962.171875</c:v>
                </c:pt>
                <c:pt idx="172">
                  <c:v>2217962.171875</c:v>
                </c:pt>
                <c:pt idx="173">
                  <c:v>2217962.171875</c:v>
                </c:pt>
                <c:pt idx="174">
                  <c:v>2217962.171875</c:v>
                </c:pt>
                <c:pt idx="175">
                  <c:v>2217962.171875</c:v>
                </c:pt>
                <c:pt idx="176">
                  <c:v>2217962.171875</c:v>
                </c:pt>
                <c:pt idx="177">
                  <c:v>2217962.171875</c:v>
                </c:pt>
                <c:pt idx="178">
                  <c:v>2217962.171875</c:v>
                </c:pt>
                <c:pt idx="179">
                  <c:v>2217962.171875</c:v>
                </c:pt>
                <c:pt idx="180">
                  <c:v>2217962.171875</c:v>
                </c:pt>
                <c:pt idx="181">
                  <c:v>2217962.171875</c:v>
                </c:pt>
                <c:pt idx="182">
                  <c:v>2217962.171875</c:v>
                </c:pt>
                <c:pt idx="183">
                  <c:v>2217962.171875</c:v>
                </c:pt>
                <c:pt idx="184">
                  <c:v>2217962.171875</c:v>
                </c:pt>
                <c:pt idx="185">
                  <c:v>2217962.171875</c:v>
                </c:pt>
                <c:pt idx="186">
                  <c:v>2217962.171875</c:v>
                </c:pt>
                <c:pt idx="187">
                  <c:v>2217962.171875</c:v>
                </c:pt>
                <c:pt idx="188">
                  <c:v>2217962.171875</c:v>
                </c:pt>
                <c:pt idx="189">
                  <c:v>2217962.171875</c:v>
                </c:pt>
                <c:pt idx="190">
                  <c:v>2217962.171875</c:v>
                </c:pt>
                <c:pt idx="191">
                  <c:v>2217962.171875</c:v>
                </c:pt>
                <c:pt idx="192">
                  <c:v>2217962.171875</c:v>
                </c:pt>
                <c:pt idx="193">
                  <c:v>2217962.171875</c:v>
                </c:pt>
                <c:pt idx="194">
                  <c:v>2217962.171875</c:v>
                </c:pt>
                <c:pt idx="195">
                  <c:v>2217962.171875</c:v>
                </c:pt>
                <c:pt idx="196">
                  <c:v>2217962.171875</c:v>
                </c:pt>
                <c:pt idx="197">
                  <c:v>2217962.171875</c:v>
                </c:pt>
                <c:pt idx="198">
                  <c:v>2217962.171875</c:v>
                </c:pt>
                <c:pt idx="199">
                  <c:v>2217962.171875</c:v>
                </c:pt>
                <c:pt idx="200">
                  <c:v>2217962.171875</c:v>
                </c:pt>
                <c:pt idx="201">
                  <c:v>2217962.171875</c:v>
                </c:pt>
                <c:pt idx="202">
                  <c:v>2217962.171875</c:v>
                </c:pt>
                <c:pt idx="203">
                  <c:v>2217962.171875</c:v>
                </c:pt>
                <c:pt idx="204">
                  <c:v>2217962.171875</c:v>
                </c:pt>
                <c:pt idx="205">
                  <c:v>2217962.171875</c:v>
                </c:pt>
                <c:pt idx="206">
                  <c:v>2217962.171875</c:v>
                </c:pt>
                <c:pt idx="207">
                  <c:v>2217962.171875</c:v>
                </c:pt>
                <c:pt idx="208">
                  <c:v>2217962.171875</c:v>
                </c:pt>
                <c:pt idx="209">
                  <c:v>2217962.171875</c:v>
                </c:pt>
                <c:pt idx="210">
                  <c:v>2217962.171875</c:v>
                </c:pt>
                <c:pt idx="211">
                  <c:v>2217962.171875</c:v>
                </c:pt>
                <c:pt idx="212">
                  <c:v>2217962.171875</c:v>
                </c:pt>
                <c:pt idx="213">
                  <c:v>2217962.171875</c:v>
                </c:pt>
                <c:pt idx="214">
                  <c:v>2217962.171875</c:v>
                </c:pt>
                <c:pt idx="215">
                  <c:v>2217962.171875</c:v>
                </c:pt>
                <c:pt idx="216">
                  <c:v>2217962.171875</c:v>
                </c:pt>
                <c:pt idx="217">
                  <c:v>2217962.171875</c:v>
                </c:pt>
                <c:pt idx="218">
                  <c:v>2217962.171875</c:v>
                </c:pt>
                <c:pt idx="219">
                  <c:v>2217962.171875</c:v>
                </c:pt>
                <c:pt idx="220">
                  <c:v>2217962.171875</c:v>
                </c:pt>
                <c:pt idx="221">
                  <c:v>2217962.171875</c:v>
                </c:pt>
                <c:pt idx="222">
                  <c:v>2217962.171875</c:v>
                </c:pt>
                <c:pt idx="223">
                  <c:v>2217962.171875</c:v>
                </c:pt>
                <c:pt idx="224">
                  <c:v>2217962.171875</c:v>
                </c:pt>
                <c:pt idx="225">
                  <c:v>2217962.171875</c:v>
                </c:pt>
                <c:pt idx="226">
                  <c:v>2217962.171875</c:v>
                </c:pt>
                <c:pt idx="227">
                  <c:v>2217962.171875</c:v>
                </c:pt>
                <c:pt idx="228">
                  <c:v>2217962.171875</c:v>
                </c:pt>
                <c:pt idx="229">
                  <c:v>2217962.171875</c:v>
                </c:pt>
                <c:pt idx="230">
                  <c:v>2217962.171875</c:v>
                </c:pt>
                <c:pt idx="231">
                  <c:v>2217962.171875</c:v>
                </c:pt>
                <c:pt idx="232">
                  <c:v>2217962.171875</c:v>
                </c:pt>
                <c:pt idx="233">
                  <c:v>2217962.171875</c:v>
                </c:pt>
                <c:pt idx="234">
                  <c:v>2217962.171875</c:v>
                </c:pt>
                <c:pt idx="235">
                  <c:v>2217962.171875</c:v>
                </c:pt>
                <c:pt idx="236">
                  <c:v>2217962.171875</c:v>
                </c:pt>
                <c:pt idx="237">
                  <c:v>2217962.171875</c:v>
                </c:pt>
                <c:pt idx="238">
                  <c:v>2217962.171875</c:v>
                </c:pt>
                <c:pt idx="239">
                  <c:v>2217962.171875</c:v>
                </c:pt>
                <c:pt idx="240">
                  <c:v>2217962.171875</c:v>
                </c:pt>
                <c:pt idx="241">
                  <c:v>2217962.171875</c:v>
                </c:pt>
                <c:pt idx="242">
                  <c:v>2217962.171875</c:v>
                </c:pt>
                <c:pt idx="243">
                  <c:v>2217962.171875</c:v>
                </c:pt>
                <c:pt idx="244">
                  <c:v>2217962.171875</c:v>
                </c:pt>
                <c:pt idx="245">
                  <c:v>2217962.171875</c:v>
                </c:pt>
                <c:pt idx="246">
                  <c:v>2217962.171875</c:v>
                </c:pt>
                <c:pt idx="247">
                  <c:v>2217962.171875</c:v>
                </c:pt>
                <c:pt idx="248">
                  <c:v>2217962.171875</c:v>
                </c:pt>
                <c:pt idx="249">
                  <c:v>2217962.171875</c:v>
                </c:pt>
                <c:pt idx="250">
                  <c:v>2217962.171875</c:v>
                </c:pt>
                <c:pt idx="251">
                  <c:v>2217962.171875</c:v>
                </c:pt>
                <c:pt idx="252">
                  <c:v>2217962.171875</c:v>
                </c:pt>
                <c:pt idx="253">
                  <c:v>2217962.171875</c:v>
                </c:pt>
                <c:pt idx="254">
                  <c:v>2217962.171875</c:v>
                </c:pt>
                <c:pt idx="255">
                  <c:v>2217962.171875</c:v>
                </c:pt>
                <c:pt idx="256">
                  <c:v>2217962.171875</c:v>
                </c:pt>
                <c:pt idx="257">
                  <c:v>2217962.171875</c:v>
                </c:pt>
                <c:pt idx="258">
                  <c:v>2217962.171875</c:v>
                </c:pt>
                <c:pt idx="259">
                  <c:v>2217962.171875</c:v>
                </c:pt>
                <c:pt idx="260">
                  <c:v>2217962.171875</c:v>
                </c:pt>
                <c:pt idx="261">
                  <c:v>2217962.171875</c:v>
                </c:pt>
                <c:pt idx="262">
                  <c:v>2217962.171875</c:v>
                </c:pt>
                <c:pt idx="263">
                  <c:v>2217962.171875</c:v>
                </c:pt>
                <c:pt idx="264">
                  <c:v>2217962.171875</c:v>
                </c:pt>
                <c:pt idx="265">
                  <c:v>2217962.171875</c:v>
                </c:pt>
                <c:pt idx="266">
                  <c:v>2217962.171875</c:v>
                </c:pt>
                <c:pt idx="267">
                  <c:v>2217962.171875</c:v>
                </c:pt>
                <c:pt idx="268">
                  <c:v>2217962.171875</c:v>
                </c:pt>
                <c:pt idx="269">
                  <c:v>2217962.171875</c:v>
                </c:pt>
                <c:pt idx="270">
                  <c:v>2217962.171875</c:v>
                </c:pt>
                <c:pt idx="271">
                  <c:v>2217962.171875</c:v>
                </c:pt>
                <c:pt idx="272">
                  <c:v>2217962.171875</c:v>
                </c:pt>
                <c:pt idx="273">
                  <c:v>2217962.171875</c:v>
                </c:pt>
                <c:pt idx="274">
                  <c:v>2217962.171875</c:v>
                </c:pt>
                <c:pt idx="275">
                  <c:v>2217962.171875</c:v>
                </c:pt>
                <c:pt idx="276">
                  <c:v>2217962.171875</c:v>
                </c:pt>
                <c:pt idx="277">
                  <c:v>2217962.171875</c:v>
                </c:pt>
                <c:pt idx="278">
                  <c:v>2217962.171875</c:v>
                </c:pt>
                <c:pt idx="279">
                  <c:v>2217962.171875</c:v>
                </c:pt>
                <c:pt idx="280">
                  <c:v>2217962.171875</c:v>
                </c:pt>
                <c:pt idx="281">
                  <c:v>2217962.171875</c:v>
                </c:pt>
                <c:pt idx="282">
                  <c:v>2217962.171875</c:v>
                </c:pt>
                <c:pt idx="283">
                  <c:v>2217962.171875</c:v>
                </c:pt>
                <c:pt idx="284">
                  <c:v>2217962.171875</c:v>
                </c:pt>
                <c:pt idx="285">
                  <c:v>2217962.171875</c:v>
                </c:pt>
                <c:pt idx="286">
                  <c:v>2217962.171875</c:v>
                </c:pt>
                <c:pt idx="287">
                  <c:v>2217962.171875</c:v>
                </c:pt>
                <c:pt idx="288">
                  <c:v>2217962.171875</c:v>
                </c:pt>
                <c:pt idx="289">
                  <c:v>2217962.171875</c:v>
                </c:pt>
                <c:pt idx="290">
                  <c:v>2217962.171875</c:v>
                </c:pt>
                <c:pt idx="291">
                  <c:v>2217962.171875</c:v>
                </c:pt>
                <c:pt idx="292">
                  <c:v>2217962.171875</c:v>
                </c:pt>
                <c:pt idx="293">
                  <c:v>2217962.171875</c:v>
                </c:pt>
                <c:pt idx="294">
                  <c:v>2217962.171875</c:v>
                </c:pt>
                <c:pt idx="295">
                  <c:v>2217962.171875</c:v>
                </c:pt>
                <c:pt idx="296">
                  <c:v>2217962.171875</c:v>
                </c:pt>
                <c:pt idx="297">
                  <c:v>2217962.171875</c:v>
                </c:pt>
                <c:pt idx="298">
                  <c:v>2217962.171875</c:v>
                </c:pt>
                <c:pt idx="299">
                  <c:v>2217962.171875</c:v>
                </c:pt>
                <c:pt idx="300">
                  <c:v>2217962.171875</c:v>
                </c:pt>
                <c:pt idx="301">
                  <c:v>2217962.171875</c:v>
                </c:pt>
                <c:pt idx="302">
                  <c:v>2217962.171875</c:v>
                </c:pt>
                <c:pt idx="303">
                  <c:v>2217962.171875</c:v>
                </c:pt>
                <c:pt idx="304">
                  <c:v>2217962.171875</c:v>
                </c:pt>
                <c:pt idx="305">
                  <c:v>2217962.171875</c:v>
                </c:pt>
                <c:pt idx="306">
                  <c:v>2217962.171875</c:v>
                </c:pt>
                <c:pt idx="307">
                  <c:v>2217962.171875</c:v>
                </c:pt>
                <c:pt idx="308">
                  <c:v>2217962.171875</c:v>
                </c:pt>
                <c:pt idx="309">
                  <c:v>2217962.171875</c:v>
                </c:pt>
                <c:pt idx="310">
                  <c:v>2217962.171875</c:v>
                </c:pt>
                <c:pt idx="311">
                  <c:v>2217962.171875</c:v>
                </c:pt>
                <c:pt idx="312">
                  <c:v>2217962.171875</c:v>
                </c:pt>
                <c:pt idx="313">
                  <c:v>2217962.171875</c:v>
                </c:pt>
                <c:pt idx="314">
                  <c:v>2217962.171875</c:v>
                </c:pt>
                <c:pt idx="315">
                  <c:v>2217962.171875</c:v>
                </c:pt>
                <c:pt idx="316">
                  <c:v>2217962.171875</c:v>
                </c:pt>
                <c:pt idx="317">
                  <c:v>2217962.171875</c:v>
                </c:pt>
                <c:pt idx="318">
                  <c:v>2217962.171875</c:v>
                </c:pt>
                <c:pt idx="319">
                  <c:v>2217962.171875</c:v>
                </c:pt>
                <c:pt idx="320">
                  <c:v>2217962.171875</c:v>
                </c:pt>
                <c:pt idx="321">
                  <c:v>2217962.171875</c:v>
                </c:pt>
                <c:pt idx="322">
                  <c:v>2217962.171875</c:v>
                </c:pt>
                <c:pt idx="323">
                  <c:v>2217962.171875</c:v>
                </c:pt>
                <c:pt idx="324">
                  <c:v>2217962.171875</c:v>
                </c:pt>
                <c:pt idx="325">
                  <c:v>2217962.171875</c:v>
                </c:pt>
                <c:pt idx="326">
                  <c:v>2217962.171875</c:v>
                </c:pt>
                <c:pt idx="327">
                  <c:v>2217962.171875</c:v>
                </c:pt>
                <c:pt idx="328">
                  <c:v>2217962.171875</c:v>
                </c:pt>
                <c:pt idx="329">
                  <c:v>2217962.171875</c:v>
                </c:pt>
                <c:pt idx="330">
                  <c:v>2217962.171875</c:v>
                </c:pt>
                <c:pt idx="331">
                  <c:v>2217962.171875</c:v>
                </c:pt>
                <c:pt idx="332">
                  <c:v>2217962.171875</c:v>
                </c:pt>
                <c:pt idx="333">
                  <c:v>2217962.171875</c:v>
                </c:pt>
                <c:pt idx="334">
                  <c:v>2217962.171875</c:v>
                </c:pt>
                <c:pt idx="335">
                  <c:v>2217962.171875</c:v>
                </c:pt>
                <c:pt idx="336">
                  <c:v>2217962.171875</c:v>
                </c:pt>
                <c:pt idx="337">
                  <c:v>2217962.171875</c:v>
                </c:pt>
                <c:pt idx="338">
                  <c:v>2217962.171875</c:v>
                </c:pt>
                <c:pt idx="339">
                  <c:v>2217962.171875</c:v>
                </c:pt>
                <c:pt idx="340">
                  <c:v>2217962.171875</c:v>
                </c:pt>
                <c:pt idx="341">
                  <c:v>2217962.171875</c:v>
                </c:pt>
                <c:pt idx="342">
                  <c:v>2217962.171875</c:v>
                </c:pt>
                <c:pt idx="343">
                  <c:v>2217962.171875</c:v>
                </c:pt>
                <c:pt idx="344">
                  <c:v>2217962.171875</c:v>
                </c:pt>
                <c:pt idx="345">
                  <c:v>2217962.171875</c:v>
                </c:pt>
                <c:pt idx="346">
                  <c:v>2217962.171875</c:v>
                </c:pt>
                <c:pt idx="347">
                  <c:v>2217962.171875</c:v>
                </c:pt>
                <c:pt idx="348">
                  <c:v>2217962.171875</c:v>
                </c:pt>
                <c:pt idx="349">
                  <c:v>2217962.171875</c:v>
                </c:pt>
                <c:pt idx="350">
                  <c:v>2217962.171875</c:v>
                </c:pt>
                <c:pt idx="351">
                  <c:v>2217962.171875</c:v>
                </c:pt>
                <c:pt idx="352">
                  <c:v>2217962.171875</c:v>
                </c:pt>
                <c:pt idx="353">
                  <c:v>2217962.171875</c:v>
                </c:pt>
                <c:pt idx="354">
                  <c:v>2217962.171875</c:v>
                </c:pt>
                <c:pt idx="355">
                  <c:v>2217962.171875</c:v>
                </c:pt>
                <c:pt idx="356">
                  <c:v>2217962.171875</c:v>
                </c:pt>
                <c:pt idx="357">
                  <c:v>2217962.171875</c:v>
                </c:pt>
                <c:pt idx="358">
                  <c:v>2217962.171875</c:v>
                </c:pt>
                <c:pt idx="359">
                  <c:v>2217962.171875</c:v>
                </c:pt>
                <c:pt idx="360">
                  <c:v>2217962.171875</c:v>
                </c:pt>
                <c:pt idx="361">
                  <c:v>2217962.171875</c:v>
                </c:pt>
                <c:pt idx="362">
                  <c:v>2217962.171875</c:v>
                </c:pt>
                <c:pt idx="363">
                  <c:v>2217962.171875</c:v>
                </c:pt>
                <c:pt idx="364">
                  <c:v>2217962.171875</c:v>
                </c:pt>
                <c:pt idx="365">
                  <c:v>2217962.171875</c:v>
                </c:pt>
                <c:pt idx="366">
                  <c:v>2217962.171875</c:v>
                </c:pt>
                <c:pt idx="367">
                  <c:v>2217962.171875</c:v>
                </c:pt>
                <c:pt idx="368">
                  <c:v>2217962.171875</c:v>
                </c:pt>
                <c:pt idx="369">
                  <c:v>2217962.171875</c:v>
                </c:pt>
                <c:pt idx="370">
                  <c:v>2217962.171875</c:v>
                </c:pt>
                <c:pt idx="371">
                  <c:v>2217962.171875</c:v>
                </c:pt>
                <c:pt idx="372">
                  <c:v>2217962.171875</c:v>
                </c:pt>
                <c:pt idx="373">
                  <c:v>2217962.171875</c:v>
                </c:pt>
                <c:pt idx="374">
                  <c:v>2217962.171875</c:v>
                </c:pt>
                <c:pt idx="375">
                  <c:v>2217962.171875</c:v>
                </c:pt>
                <c:pt idx="376">
                  <c:v>2217962.171875</c:v>
                </c:pt>
                <c:pt idx="377">
                  <c:v>2217962.171875</c:v>
                </c:pt>
                <c:pt idx="378">
                  <c:v>2217962.171875</c:v>
                </c:pt>
                <c:pt idx="379">
                  <c:v>2217962.171875</c:v>
                </c:pt>
                <c:pt idx="380">
                  <c:v>2217962.171875</c:v>
                </c:pt>
                <c:pt idx="381">
                  <c:v>2217962.171875</c:v>
                </c:pt>
                <c:pt idx="382">
                  <c:v>2217962.171875</c:v>
                </c:pt>
                <c:pt idx="383">
                  <c:v>2217962.171875</c:v>
                </c:pt>
                <c:pt idx="384">
                  <c:v>2217962.171875</c:v>
                </c:pt>
                <c:pt idx="385">
                  <c:v>2217962.171875</c:v>
                </c:pt>
                <c:pt idx="386">
                  <c:v>2217962.171875</c:v>
                </c:pt>
                <c:pt idx="387">
                  <c:v>2217962.171875</c:v>
                </c:pt>
                <c:pt idx="388">
                  <c:v>2217962.171875</c:v>
                </c:pt>
                <c:pt idx="389">
                  <c:v>2217962.171875</c:v>
                </c:pt>
                <c:pt idx="390">
                  <c:v>2217962.171875</c:v>
                </c:pt>
                <c:pt idx="391">
                  <c:v>2217962.171875</c:v>
                </c:pt>
                <c:pt idx="392">
                  <c:v>2217962.171875</c:v>
                </c:pt>
                <c:pt idx="393">
                  <c:v>2217962.171875</c:v>
                </c:pt>
                <c:pt idx="394">
                  <c:v>2217962.171875</c:v>
                </c:pt>
                <c:pt idx="395">
                  <c:v>2217962.171875</c:v>
                </c:pt>
                <c:pt idx="396">
                  <c:v>2217962.171875</c:v>
                </c:pt>
                <c:pt idx="397">
                  <c:v>2217962.171875</c:v>
                </c:pt>
                <c:pt idx="398">
                  <c:v>2217962.171875</c:v>
                </c:pt>
                <c:pt idx="399">
                  <c:v>2217962.171875</c:v>
                </c:pt>
                <c:pt idx="400">
                  <c:v>2217962.171875</c:v>
                </c:pt>
                <c:pt idx="401">
                  <c:v>2217962.171875</c:v>
                </c:pt>
                <c:pt idx="402">
                  <c:v>2217962.171875</c:v>
                </c:pt>
                <c:pt idx="403">
                  <c:v>2217962.171875</c:v>
                </c:pt>
                <c:pt idx="404">
                  <c:v>2217962.171875</c:v>
                </c:pt>
                <c:pt idx="405">
                  <c:v>2217962.171875</c:v>
                </c:pt>
                <c:pt idx="406">
                  <c:v>2217962.171875</c:v>
                </c:pt>
                <c:pt idx="407">
                  <c:v>2217962.171875</c:v>
                </c:pt>
                <c:pt idx="408">
                  <c:v>2217962.171875</c:v>
                </c:pt>
                <c:pt idx="409">
                  <c:v>2217962.171875</c:v>
                </c:pt>
                <c:pt idx="410">
                  <c:v>2217962.171875</c:v>
                </c:pt>
                <c:pt idx="411">
                  <c:v>2217962.171875</c:v>
                </c:pt>
                <c:pt idx="412">
                  <c:v>2217962.171875</c:v>
                </c:pt>
                <c:pt idx="413">
                  <c:v>2217962.171875</c:v>
                </c:pt>
                <c:pt idx="414">
                  <c:v>2217962.171875</c:v>
                </c:pt>
                <c:pt idx="415">
                  <c:v>2217962.171875</c:v>
                </c:pt>
                <c:pt idx="416">
                  <c:v>2217962.171875</c:v>
                </c:pt>
                <c:pt idx="417">
                  <c:v>2217962.171875</c:v>
                </c:pt>
                <c:pt idx="418">
                  <c:v>2217962.171875</c:v>
                </c:pt>
                <c:pt idx="419">
                  <c:v>2217962.171875</c:v>
                </c:pt>
                <c:pt idx="420">
                  <c:v>2217962.171875</c:v>
                </c:pt>
                <c:pt idx="421">
                  <c:v>2217962.171875</c:v>
                </c:pt>
                <c:pt idx="422">
                  <c:v>2217962.171875</c:v>
                </c:pt>
                <c:pt idx="423">
                  <c:v>2217962.171875</c:v>
                </c:pt>
                <c:pt idx="424">
                  <c:v>2217962.171875</c:v>
                </c:pt>
                <c:pt idx="425">
                  <c:v>2217962.171875</c:v>
                </c:pt>
                <c:pt idx="426">
                  <c:v>2217962.171875</c:v>
                </c:pt>
                <c:pt idx="427">
                  <c:v>2217962.171875</c:v>
                </c:pt>
                <c:pt idx="428">
                  <c:v>2217962.171875</c:v>
                </c:pt>
                <c:pt idx="429">
                  <c:v>2217962.171875</c:v>
                </c:pt>
                <c:pt idx="430">
                  <c:v>2217962.171875</c:v>
                </c:pt>
                <c:pt idx="431">
                  <c:v>2217962.171875</c:v>
                </c:pt>
                <c:pt idx="432">
                  <c:v>2217962.171875</c:v>
                </c:pt>
                <c:pt idx="433">
                  <c:v>2217962.171875</c:v>
                </c:pt>
                <c:pt idx="434">
                  <c:v>2217962.171875</c:v>
                </c:pt>
                <c:pt idx="435">
                  <c:v>2217962.171875</c:v>
                </c:pt>
                <c:pt idx="436">
                  <c:v>2217962.171875</c:v>
                </c:pt>
                <c:pt idx="437">
                  <c:v>2217962.171875</c:v>
                </c:pt>
                <c:pt idx="438">
                  <c:v>2217962.171875</c:v>
                </c:pt>
                <c:pt idx="439">
                  <c:v>2217962.171875</c:v>
                </c:pt>
                <c:pt idx="440">
                  <c:v>2217962.171875</c:v>
                </c:pt>
                <c:pt idx="441">
                  <c:v>2217962.171875</c:v>
                </c:pt>
                <c:pt idx="442">
                  <c:v>2217962.171875</c:v>
                </c:pt>
                <c:pt idx="443">
                  <c:v>2217962.171875</c:v>
                </c:pt>
                <c:pt idx="444">
                  <c:v>2217962.171875</c:v>
                </c:pt>
                <c:pt idx="445">
                  <c:v>2217962.171875</c:v>
                </c:pt>
                <c:pt idx="446">
                  <c:v>2217962.171875</c:v>
                </c:pt>
                <c:pt idx="447">
                  <c:v>2217962.171875</c:v>
                </c:pt>
                <c:pt idx="448">
                  <c:v>2217962.171875</c:v>
                </c:pt>
                <c:pt idx="449">
                  <c:v>2217962.171875</c:v>
                </c:pt>
                <c:pt idx="450">
                  <c:v>2217962.171875</c:v>
                </c:pt>
                <c:pt idx="451">
                  <c:v>2217962.171875</c:v>
                </c:pt>
                <c:pt idx="452">
                  <c:v>2217962.171875</c:v>
                </c:pt>
                <c:pt idx="453">
                  <c:v>2217962.171875</c:v>
                </c:pt>
                <c:pt idx="454">
                  <c:v>2217962.171875</c:v>
                </c:pt>
                <c:pt idx="455">
                  <c:v>2217962.171875</c:v>
                </c:pt>
                <c:pt idx="456">
                  <c:v>2217962.171875</c:v>
                </c:pt>
                <c:pt idx="457">
                  <c:v>2217962.171875</c:v>
                </c:pt>
                <c:pt idx="458">
                  <c:v>2217962.171875</c:v>
                </c:pt>
                <c:pt idx="459">
                  <c:v>2217962.171875</c:v>
                </c:pt>
                <c:pt idx="460">
                  <c:v>2217962.171875</c:v>
                </c:pt>
                <c:pt idx="461">
                  <c:v>2217962.171875</c:v>
                </c:pt>
                <c:pt idx="462">
                  <c:v>2217962.171875</c:v>
                </c:pt>
                <c:pt idx="463">
                  <c:v>2217962.171875</c:v>
                </c:pt>
                <c:pt idx="464">
                  <c:v>2217962.171875</c:v>
                </c:pt>
                <c:pt idx="465">
                  <c:v>2217962.171875</c:v>
                </c:pt>
                <c:pt idx="466">
                  <c:v>2217962.171875</c:v>
                </c:pt>
                <c:pt idx="467">
                  <c:v>2217962.171875</c:v>
                </c:pt>
                <c:pt idx="468">
                  <c:v>2217962.171875</c:v>
                </c:pt>
                <c:pt idx="469">
                  <c:v>2217962.171875</c:v>
                </c:pt>
                <c:pt idx="470">
                  <c:v>2217962.171875</c:v>
                </c:pt>
                <c:pt idx="471">
                  <c:v>2217962.171875</c:v>
                </c:pt>
                <c:pt idx="472">
                  <c:v>2217962.171875</c:v>
                </c:pt>
                <c:pt idx="473">
                  <c:v>2217962.171875</c:v>
                </c:pt>
                <c:pt idx="474">
                  <c:v>2217962.171875</c:v>
                </c:pt>
                <c:pt idx="475">
                  <c:v>2217962.171875</c:v>
                </c:pt>
                <c:pt idx="476">
                  <c:v>2217962.171875</c:v>
                </c:pt>
                <c:pt idx="477">
                  <c:v>2217962.171875</c:v>
                </c:pt>
                <c:pt idx="478">
                  <c:v>2217962.171875</c:v>
                </c:pt>
                <c:pt idx="479">
                  <c:v>2217962.171875</c:v>
                </c:pt>
                <c:pt idx="480">
                  <c:v>2217962.171875</c:v>
                </c:pt>
                <c:pt idx="481">
                  <c:v>2217962.171875</c:v>
                </c:pt>
                <c:pt idx="482">
                  <c:v>2217962.171875</c:v>
                </c:pt>
                <c:pt idx="483">
                  <c:v>2217962.171875</c:v>
                </c:pt>
                <c:pt idx="484">
                  <c:v>2217962.171875</c:v>
                </c:pt>
                <c:pt idx="485">
                  <c:v>2217962.171875</c:v>
                </c:pt>
                <c:pt idx="486">
                  <c:v>2217962.171875</c:v>
                </c:pt>
                <c:pt idx="487">
                  <c:v>2217962.171875</c:v>
                </c:pt>
                <c:pt idx="488">
                  <c:v>2217962.171875</c:v>
                </c:pt>
                <c:pt idx="489">
                  <c:v>2217962.171875</c:v>
                </c:pt>
                <c:pt idx="490">
                  <c:v>2217962.171875</c:v>
                </c:pt>
                <c:pt idx="491">
                  <c:v>2217962.171875</c:v>
                </c:pt>
                <c:pt idx="492">
                  <c:v>2217962.171875</c:v>
                </c:pt>
                <c:pt idx="493">
                  <c:v>2217962.171875</c:v>
                </c:pt>
                <c:pt idx="494">
                  <c:v>2217962.171875</c:v>
                </c:pt>
                <c:pt idx="495">
                  <c:v>2217962.171875</c:v>
                </c:pt>
                <c:pt idx="496">
                  <c:v>2217962.171875</c:v>
                </c:pt>
                <c:pt idx="497">
                  <c:v>2217962.171875</c:v>
                </c:pt>
                <c:pt idx="498">
                  <c:v>2217962.171875</c:v>
                </c:pt>
                <c:pt idx="499">
                  <c:v>2217962.171875</c:v>
                </c:pt>
                <c:pt idx="500">
                  <c:v>2217962.171875</c:v>
                </c:pt>
                <c:pt idx="501">
                  <c:v>2217962.171875</c:v>
                </c:pt>
                <c:pt idx="502">
                  <c:v>2217962.171875</c:v>
                </c:pt>
                <c:pt idx="503">
                  <c:v>2217962.171875</c:v>
                </c:pt>
                <c:pt idx="504">
                  <c:v>2217962.171875</c:v>
                </c:pt>
                <c:pt idx="505">
                  <c:v>2217962.171875</c:v>
                </c:pt>
                <c:pt idx="506">
                  <c:v>2217962.171875</c:v>
                </c:pt>
                <c:pt idx="507">
                  <c:v>2217962.171875</c:v>
                </c:pt>
                <c:pt idx="508">
                  <c:v>2217962.171875</c:v>
                </c:pt>
                <c:pt idx="509">
                  <c:v>2217962.171875</c:v>
                </c:pt>
                <c:pt idx="510">
                  <c:v>2217962.171875</c:v>
                </c:pt>
                <c:pt idx="511">
                  <c:v>2217962.171875</c:v>
                </c:pt>
                <c:pt idx="512">
                  <c:v>2217962.171875</c:v>
                </c:pt>
                <c:pt idx="513">
                  <c:v>2217962.171875</c:v>
                </c:pt>
                <c:pt idx="514">
                  <c:v>2217962.171875</c:v>
                </c:pt>
                <c:pt idx="515">
                  <c:v>2217962.171875</c:v>
                </c:pt>
                <c:pt idx="516">
                  <c:v>2217962.171875</c:v>
                </c:pt>
                <c:pt idx="517">
                  <c:v>2217962.171875</c:v>
                </c:pt>
                <c:pt idx="518">
                  <c:v>2217962.171875</c:v>
                </c:pt>
                <c:pt idx="519">
                  <c:v>2217962.171875</c:v>
                </c:pt>
                <c:pt idx="520">
                  <c:v>2217962.171875</c:v>
                </c:pt>
                <c:pt idx="521">
                  <c:v>2217962.171875</c:v>
                </c:pt>
                <c:pt idx="522">
                  <c:v>2217962.171875</c:v>
                </c:pt>
                <c:pt idx="523">
                  <c:v>2217962.171875</c:v>
                </c:pt>
                <c:pt idx="524">
                  <c:v>2217962.171875</c:v>
                </c:pt>
                <c:pt idx="525">
                  <c:v>2217962.171875</c:v>
                </c:pt>
                <c:pt idx="526">
                  <c:v>2217962.171875</c:v>
                </c:pt>
                <c:pt idx="527">
                  <c:v>2217962.171875</c:v>
                </c:pt>
                <c:pt idx="528">
                  <c:v>2217962.171875</c:v>
                </c:pt>
                <c:pt idx="529">
                  <c:v>2217962.171875</c:v>
                </c:pt>
                <c:pt idx="530">
                  <c:v>2217962.171875</c:v>
                </c:pt>
                <c:pt idx="531">
                  <c:v>2217962.171875</c:v>
                </c:pt>
                <c:pt idx="532">
                  <c:v>2217962.171875</c:v>
                </c:pt>
                <c:pt idx="533">
                  <c:v>2217962.171875</c:v>
                </c:pt>
                <c:pt idx="534">
                  <c:v>2217962.171875</c:v>
                </c:pt>
                <c:pt idx="535">
                  <c:v>2217962.171875</c:v>
                </c:pt>
                <c:pt idx="536">
                  <c:v>2217962.171875</c:v>
                </c:pt>
                <c:pt idx="537">
                  <c:v>2217962.171875</c:v>
                </c:pt>
                <c:pt idx="538">
                  <c:v>2217962.171875</c:v>
                </c:pt>
                <c:pt idx="539">
                  <c:v>2217962.171875</c:v>
                </c:pt>
                <c:pt idx="540">
                  <c:v>2217962.171875</c:v>
                </c:pt>
                <c:pt idx="541">
                  <c:v>2217962.171875</c:v>
                </c:pt>
                <c:pt idx="542">
                  <c:v>2217962.171875</c:v>
                </c:pt>
                <c:pt idx="543">
                  <c:v>2217962.171875</c:v>
                </c:pt>
                <c:pt idx="544">
                  <c:v>2217962.171875</c:v>
                </c:pt>
                <c:pt idx="545">
                  <c:v>2217962.171875</c:v>
                </c:pt>
                <c:pt idx="546">
                  <c:v>2217962.171875</c:v>
                </c:pt>
                <c:pt idx="547">
                  <c:v>2217962.171875</c:v>
                </c:pt>
                <c:pt idx="548">
                  <c:v>2217962.171875</c:v>
                </c:pt>
                <c:pt idx="549">
                  <c:v>2217962.171875</c:v>
                </c:pt>
                <c:pt idx="550">
                  <c:v>2217962.171875</c:v>
                </c:pt>
                <c:pt idx="551">
                  <c:v>2217962.171875</c:v>
                </c:pt>
                <c:pt idx="552">
                  <c:v>2217962.171875</c:v>
                </c:pt>
                <c:pt idx="553">
                  <c:v>2217962.171875</c:v>
                </c:pt>
                <c:pt idx="554">
                  <c:v>2217962.171875</c:v>
                </c:pt>
                <c:pt idx="555">
                  <c:v>2217962.171875</c:v>
                </c:pt>
                <c:pt idx="556">
                  <c:v>2217962.171875</c:v>
                </c:pt>
                <c:pt idx="557">
                  <c:v>2217962.171875</c:v>
                </c:pt>
                <c:pt idx="558">
                  <c:v>2217962.171875</c:v>
                </c:pt>
                <c:pt idx="559">
                  <c:v>2217962.171875</c:v>
                </c:pt>
                <c:pt idx="560">
                  <c:v>2217962.171875</c:v>
                </c:pt>
                <c:pt idx="561">
                  <c:v>2217962.171875</c:v>
                </c:pt>
                <c:pt idx="562">
                  <c:v>2217962.171875</c:v>
                </c:pt>
                <c:pt idx="563">
                  <c:v>2217962.171875</c:v>
                </c:pt>
                <c:pt idx="564">
                  <c:v>2217962.171875</c:v>
                </c:pt>
                <c:pt idx="565">
                  <c:v>2217962.171875</c:v>
                </c:pt>
                <c:pt idx="566">
                  <c:v>2217962.171875</c:v>
                </c:pt>
                <c:pt idx="567">
                  <c:v>2217962.171875</c:v>
                </c:pt>
                <c:pt idx="568">
                  <c:v>2217962.171875</c:v>
                </c:pt>
                <c:pt idx="569">
                  <c:v>2217962.171875</c:v>
                </c:pt>
                <c:pt idx="570">
                  <c:v>2217962.171875</c:v>
                </c:pt>
                <c:pt idx="571">
                  <c:v>2217962.171875</c:v>
                </c:pt>
                <c:pt idx="572">
                  <c:v>2217962.171875</c:v>
                </c:pt>
                <c:pt idx="573">
                  <c:v>2217962.171875</c:v>
                </c:pt>
                <c:pt idx="574">
                  <c:v>2217962.171875</c:v>
                </c:pt>
                <c:pt idx="575">
                  <c:v>2217962.171875</c:v>
                </c:pt>
                <c:pt idx="576">
                  <c:v>2217962.171875</c:v>
                </c:pt>
                <c:pt idx="577">
                  <c:v>2217962.171875</c:v>
                </c:pt>
                <c:pt idx="578">
                  <c:v>2217962.171875</c:v>
                </c:pt>
                <c:pt idx="579">
                  <c:v>2217962.171875</c:v>
                </c:pt>
                <c:pt idx="580">
                  <c:v>2217962.171875</c:v>
                </c:pt>
                <c:pt idx="581">
                  <c:v>2217962.171875</c:v>
                </c:pt>
                <c:pt idx="582">
                  <c:v>2217962.171875</c:v>
                </c:pt>
                <c:pt idx="583">
                  <c:v>2217962.171875</c:v>
                </c:pt>
                <c:pt idx="584">
                  <c:v>2217962.171875</c:v>
                </c:pt>
                <c:pt idx="585">
                  <c:v>2217962.171875</c:v>
                </c:pt>
                <c:pt idx="586">
                  <c:v>2217962.171875</c:v>
                </c:pt>
                <c:pt idx="587">
                  <c:v>2217962.171875</c:v>
                </c:pt>
                <c:pt idx="588">
                  <c:v>2217962.171875</c:v>
                </c:pt>
                <c:pt idx="589">
                  <c:v>2217962.171875</c:v>
                </c:pt>
                <c:pt idx="590">
                  <c:v>2217962.171875</c:v>
                </c:pt>
                <c:pt idx="591">
                  <c:v>2217962.171875</c:v>
                </c:pt>
                <c:pt idx="592">
                  <c:v>2217962.171875</c:v>
                </c:pt>
                <c:pt idx="593">
                  <c:v>2217962.171875</c:v>
                </c:pt>
                <c:pt idx="594">
                  <c:v>2217962.171875</c:v>
                </c:pt>
                <c:pt idx="595">
                  <c:v>2217962.171875</c:v>
                </c:pt>
                <c:pt idx="596">
                  <c:v>2217962.171875</c:v>
                </c:pt>
                <c:pt idx="597">
                  <c:v>2217962.171875</c:v>
                </c:pt>
                <c:pt idx="598">
                  <c:v>2217962.171875</c:v>
                </c:pt>
                <c:pt idx="599">
                  <c:v>2217962.171875</c:v>
                </c:pt>
                <c:pt idx="600">
                  <c:v>2217962.171875</c:v>
                </c:pt>
                <c:pt idx="601">
                  <c:v>2217962.171875</c:v>
                </c:pt>
                <c:pt idx="602">
                  <c:v>2217962.171875</c:v>
                </c:pt>
                <c:pt idx="603">
                  <c:v>2217962.171875</c:v>
                </c:pt>
                <c:pt idx="604">
                  <c:v>2217962.171875</c:v>
                </c:pt>
                <c:pt idx="605">
                  <c:v>2217962.171875</c:v>
                </c:pt>
                <c:pt idx="606">
                  <c:v>2217962.171875</c:v>
                </c:pt>
                <c:pt idx="607">
                  <c:v>2217962.171875</c:v>
                </c:pt>
                <c:pt idx="608">
                  <c:v>2217962.171875</c:v>
                </c:pt>
                <c:pt idx="609">
                  <c:v>2217962.171875</c:v>
                </c:pt>
                <c:pt idx="610">
                  <c:v>2217962.171875</c:v>
                </c:pt>
                <c:pt idx="611">
                  <c:v>2217962.171875</c:v>
                </c:pt>
                <c:pt idx="612">
                  <c:v>2217962.171875</c:v>
                </c:pt>
                <c:pt idx="613">
                  <c:v>2217962.171875</c:v>
                </c:pt>
                <c:pt idx="614">
                  <c:v>2217962.171875</c:v>
                </c:pt>
                <c:pt idx="615">
                  <c:v>2217962.171875</c:v>
                </c:pt>
                <c:pt idx="616">
                  <c:v>2217962.171875</c:v>
                </c:pt>
                <c:pt idx="617">
                  <c:v>2217962.171875</c:v>
                </c:pt>
                <c:pt idx="618">
                  <c:v>2217962.171875</c:v>
                </c:pt>
                <c:pt idx="619">
                  <c:v>2217962.171875</c:v>
                </c:pt>
                <c:pt idx="620">
                  <c:v>2217962.171875</c:v>
                </c:pt>
                <c:pt idx="621">
                  <c:v>2217962.171875</c:v>
                </c:pt>
                <c:pt idx="622">
                  <c:v>2217962.171875</c:v>
                </c:pt>
                <c:pt idx="623">
                  <c:v>2217962.171875</c:v>
                </c:pt>
                <c:pt idx="624">
                  <c:v>2217962.171875</c:v>
                </c:pt>
                <c:pt idx="625">
                  <c:v>2217962.171875</c:v>
                </c:pt>
                <c:pt idx="626">
                  <c:v>2217962.171875</c:v>
                </c:pt>
                <c:pt idx="627">
                  <c:v>2217962.171875</c:v>
                </c:pt>
                <c:pt idx="628">
                  <c:v>2217962.171875</c:v>
                </c:pt>
                <c:pt idx="629">
                  <c:v>2217962.171875</c:v>
                </c:pt>
                <c:pt idx="630">
                  <c:v>2217962.171875</c:v>
                </c:pt>
                <c:pt idx="631">
                  <c:v>2217962.171875</c:v>
                </c:pt>
                <c:pt idx="632">
                  <c:v>2217962.171875</c:v>
                </c:pt>
                <c:pt idx="633">
                  <c:v>2217962.171875</c:v>
                </c:pt>
                <c:pt idx="634">
                  <c:v>2217962.171875</c:v>
                </c:pt>
                <c:pt idx="635">
                  <c:v>2217962.171875</c:v>
                </c:pt>
                <c:pt idx="636">
                  <c:v>2217962.171875</c:v>
                </c:pt>
                <c:pt idx="637">
                  <c:v>2217962.171875</c:v>
                </c:pt>
                <c:pt idx="638">
                  <c:v>2217962.171875</c:v>
                </c:pt>
                <c:pt idx="639">
                  <c:v>2217962.171875</c:v>
                </c:pt>
                <c:pt idx="640">
                  <c:v>2217962.171875</c:v>
                </c:pt>
                <c:pt idx="641">
                  <c:v>2217962.171875</c:v>
                </c:pt>
                <c:pt idx="642">
                  <c:v>2217962.171875</c:v>
                </c:pt>
                <c:pt idx="643">
                  <c:v>2217962.171875</c:v>
                </c:pt>
                <c:pt idx="644">
                  <c:v>2217962.171875</c:v>
                </c:pt>
                <c:pt idx="645">
                  <c:v>2217962.171875</c:v>
                </c:pt>
                <c:pt idx="646">
                  <c:v>2217962.171875</c:v>
                </c:pt>
                <c:pt idx="647">
                  <c:v>2217962.171875</c:v>
                </c:pt>
                <c:pt idx="648">
                  <c:v>2217962.171875</c:v>
                </c:pt>
                <c:pt idx="649">
                  <c:v>2217962.171875</c:v>
                </c:pt>
                <c:pt idx="650">
                  <c:v>2217962.171875</c:v>
                </c:pt>
                <c:pt idx="651">
                  <c:v>2217962.171875</c:v>
                </c:pt>
                <c:pt idx="652">
                  <c:v>2217962.171875</c:v>
                </c:pt>
                <c:pt idx="653">
                  <c:v>2217962.171875</c:v>
                </c:pt>
                <c:pt idx="654">
                  <c:v>2217962.171875</c:v>
                </c:pt>
                <c:pt idx="655">
                  <c:v>2217962.171875</c:v>
                </c:pt>
                <c:pt idx="656">
                  <c:v>2217962.171875</c:v>
                </c:pt>
                <c:pt idx="657">
                  <c:v>2217962.171875</c:v>
                </c:pt>
                <c:pt idx="658">
                  <c:v>2217962.171875</c:v>
                </c:pt>
                <c:pt idx="659">
                  <c:v>2217962.171875</c:v>
                </c:pt>
                <c:pt idx="660">
                  <c:v>2217962.171875</c:v>
                </c:pt>
                <c:pt idx="661">
                  <c:v>2217962.171875</c:v>
                </c:pt>
                <c:pt idx="662">
                  <c:v>2217962.171875</c:v>
                </c:pt>
                <c:pt idx="663">
                  <c:v>2217962.171875</c:v>
                </c:pt>
                <c:pt idx="664">
                  <c:v>2217962.171875</c:v>
                </c:pt>
                <c:pt idx="665">
                  <c:v>2217962.171875</c:v>
                </c:pt>
                <c:pt idx="666">
                  <c:v>2217962.171875</c:v>
                </c:pt>
                <c:pt idx="667">
                  <c:v>2217962.171875</c:v>
                </c:pt>
                <c:pt idx="668">
                  <c:v>2217962.171875</c:v>
                </c:pt>
                <c:pt idx="669">
                  <c:v>2217962.171875</c:v>
                </c:pt>
                <c:pt idx="670">
                  <c:v>2217962.171875</c:v>
                </c:pt>
                <c:pt idx="671">
                  <c:v>2217962.171875</c:v>
                </c:pt>
                <c:pt idx="672">
                  <c:v>2217962.171875</c:v>
                </c:pt>
                <c:pt idx="673">
                  <c:v>2217962.171875</c:v>
                </c:pt>
                <c:pt idx="674">
                  <c:v>2217962.171875</c:v>
                </c:pt>
                <c:pt idx="675">
                  <c:v>2217962.171875</c:v>
                </c:pt>
                <c:pt idx="676">
                  <c:v>2217962.171875</c:v>
                </c:pt>
                <c:pt idx="677">
                  <c:v>2217962.171875</c:v>
                </c:pt>
                <c:pt idx="678">
                  <c:v>2217962.171875</c:v>
                </c:pt>
                <c:pt idx="679">
                  <c:v>2217962.171875</c:v>
                </c:pt>
                <c:pt idx="680">
                  <c:v>2217962.171875</c:v>
                </c:pt>
                <c:pt idx="681">
                  <c:v>2217962.171875</c:v>
                </c:pt>
                <c:pt idx="682">
                  <c:v>2217962.171875</c:v>
                </c:pt>
                <c:pt idx="683">
                  <c:v>2217962.171875</c:v>
                </c:pt>
                <c:pt idx="684">
                  <c:v>2217962.171875</c:v>
                </c:pt>
                <c:pt idx="685">
                  <c:v>2217962.171875</c:v>
                </c:pt>
                <c:pt idx="686">
                  <c:v>2217962.171875</c:v>
                </c:pt>
                <c:pt idx="687">
                  <c:v>2217962.171875</c:v>
                </c:pt>
                <c:pt idx="688">
                  <c:v>2217962.171875</c:v>
                </c:pt>
                <c:pt idx="689">
                  <c:v>2217962.171875</c:v>
                </c:pt>
                <c:pt idx="690">
                  <c:v>2217962.171875</c:v>
                </c:pt>
                <c:pt idx="691">
                  <c:v>2217962.171875</c:v>
                </c:pt>
                <c:pt idx="692">
                  <c:v>2217962.171875</c:v>
                </c:pt>
                <c:pt idx="693">
                  <c:v>2217962.171875</c:v>
                </c:pt>
                <c:pt idx="694">
                  <c:v>2217962.171875</c:v>
                </c:pt>
                <c:pt idx="695">
                  <c:v>2217962.171875</c:v>
                </c:pt>
                <c:pt idx="696">
                  <c:v>2217962.171875</c:v>
                </c:pt>
                <c:pt idx="697">
                  <c:v>2217962.171875</c:v>
                </c:pt>
                <c:pt idx="698">
                  <c:v>2217962.171875</c:v>
                </c:pt>
                <c:pt idx="699">
                  <c:v>2217962.171875</c:v>
                </c:pt>
                <c:pt idx="700">
                  <c:v>2217962.171875</c:v>
                </c:pt>
                <c:pt idx="701">
                  <c:v>2217962.171875</c:v>
                </c:pt>
                <c:pt idx="702">
                  <c:v>2217962.171875</c:v>
                </c:pt>
                <c:pt idx="703">
                  <c:v>2217962.171875</c:v>
                </c:pt>
                <c:pt idx="704">
                  <c:v>2217962.171875</c:v>
                </c:pt>
                <c:pt idx="705">
                  <c:v>2217962.171875</c:v>
                </c:pt>
                <c:pt idx="706">
                  <c:v>2217962.171875</c:v>
                </c:pt>
                <c:pt idx="707">
                  <c:v>2217962.171875</c:v>
                </c:pt>
                <c:pt idx="708">
                  <c:v>2217962.171875</c:v>
                </c:pt>
                <c:pt idx="709">
                  <c:v>2217962.171875</c:v>
                </c:pt>
                <c:pt idx="710">
                  <c:v>2217962.171875</c:v>
                </c:pt>
                <c:pt idx="711">
                  <c:v>2217962.171875</c:v>
                </c:pt>
                <c:pt idx="712">
                  <c:v>2217962.171875</c:v>
                </c:pt>
                <c:pt idx="713">
                  <c:v>2217962.171875</c:v>
                </c:pt>
                <c:pt idx="714">
                  <c:v>2217962.171875</c:v>
                </c:pt>
                <c:pt idx="715">
                  <c:v>2217962.171875</c:v>
                </c:pt>
                <c:pt idx="716">
                  <c:v>2217962.171875</c:v>
                </c:pt>
                <c:pt idx="717">
                  <c:v>2217962.171875</c:v>
                </c:pt>
                <c:pt idx="718">
                  <c:v>2217962.171875</c:v>
                </c:pt>
                <c:pt idx="719">
                  <c:v>2217962.171875</c:v>
                </c:pt>
                <c:pt idx="720">
                  <c:v>2217962.171875</c:v>
                </c:pt>
                <c:pt idx="721">
                  <c:v>2217962.171875</c:v>
                </c:pt>
                <c:pt idx="722">
                  <c:v>2217962.171875</c:v>
                </c:pt>
                <c:pt idx="723">
                  <c:v>2217962.171875</c:v>
                </c:pt>
                <c:pt idx="724">
                  <c:v>2217962.171875</c:v>
                </c:pt>
                <c:pt idx="725">
                  <c:v>2217962.171875</c:v>
                </c:pt>
                <c:pt idx="726">
                  <c:v>2217962.171875</c:v>
                </c:pt>
                <c:pt idx="727">
                  <c:v>2217962.171875</c:v>
                </c:pt>
                <c:pt idx="728">
                  <c:v>2217962.171875</c:v>
                </c:pt>
                <c:pt idx="729">
                  <c:v>2217962.171875</c:v>
                </c:pt>
                <c:pt idx="730">
                  <c:v>2217962.171875</c:v>
                </c:pt>
                <c:pt idx="731">
                  <c:v>2217962.171875</c:v>
                </c:pt>
                <c:pt idx="732">
                  <c:v>2217962.171875</c:v>
                </c:pt>
                <c:pt idx="733">
                  <c:v>2217962.171875</c:v>
                </c:pt>
                <c:pt idx="734">
                  <c:v>2217962.171875</c:v>
                </c:pt>
                <c:pt idx="735">
                  <c:v>2217962.171875</c:v>
                </c:pt>
                <c:pt idx="736">
                  <c:v>2217962.171875</c:v>
                </c:pt>
                <c:pt idx="737">
                  <c:v>2217962.171875</c:v>
                </c:pt>
                <c:pt idx="738">
                  <c:v>2217962.171875</c:v>
                </c:pt>
                <c:pt idx="739">
                  <c:v>2217962.171875</c:v>
                </c:pt>
                <c:pt idx="740">
                  <c:v>2217962.171875</c:v>
                </c:pt>
                <c:pt idx="741">
                  <c:v>2217962.171875</c:v>
                </c:pt>
                <c:pt idx="742">
                  <c:v>2217962.171875</c:v>
                </c:pt>
                <c:pt idx="743">
                  <c:v>2217962.171875</c:v>
                </c:pt>
                <c:pt idx="744">
                  <c:v>2217962.171875</c:v>
                </c:pt>
                <c:pt idx="745">
                  <c:v>2217962.171875</c:v>
                </c:pt>
                <c:pt idx="746">
                  <c:v>2217962.171875</c:v>
                </c:pt>
                <c:pt idx="747">
                  <c:v>2217962.171875</c:v>
                </c:pt>
                <c:pt idx="748">
                  <c:v>2217962.171875</c:v>
                </c:pt>
                <c:pt idx="749">
                  <c:v>2217962.171875</c:v>
                </c:pt>
                <c:pt idx="750">
                  <c:v>2217962.171875</c:v>
                </c:pt>
                <c:pt idx="751">
                  <c:v>2217962.171875</c:v>
                </c:pt>
                <c:pt idx="752">
                  <c:v>2217962.171875</c:v>
                </c:pt>
                <c:pt idx="753">
                  <c:v>2217962.171875</c:v>
                </c:pt>
                <c:pt idx="754">
                  <c:v>2217962.171875</c:v>
                </c:pt>
                <c:pt idx="755">
                  <c:v>2217962.171875</c:v>
                </c:pt>
                <c:pt idx="756">
                  <c:v>2217962.171875</c:v>
                </c:pt>
                <c:pt idx="757">
                  <c:v>2217962.171875</c:v>
                </c:pt>
                <c:pt idx="758">
                  <c:v>2217962.171875</c:v>
                </c:pt>
                <c:pt idx="759">
                  <c:v>2217962.171875</c:v>
                </c:pt>
                <c:pt idx="760">
                  <c:v>2217962.171875</c:v>
                </c:pt>
                <c:pt idx="761">
                  <c:v>2217962.171875</c:v>
                </c:pt>
                <c:pt idx="762">
                  <c:v>2217962.171875</c:v>
                </c:pt>
                <c:pt idx="763">
                  <c:v>2217962.171875</c:v>
                </c:pt>
                <c:pt idx="764">
                  <c:v>2217962.171875</c:v>
                </c:pt>
                <c:pt idx="765">
                  <c:v>2217962.171875</c:v>
                </c:pt>
                <c:pt idx="766">
                  <c:v>2217962.171875</c:v>
                </c:pt>
                <c:pt idx="767">
                  <c:v>2217962.171875</c:v>
                </c:pt>
                <c:pt idx="768">
                  <c:v>2217962.171875</c:v>
                </c:pt>
                <c:pt idx="769">
                  <c:v>2217962.171875</c:v>
                </c:pt>
                <c:pt idx="770">
                  <c:v>2217962.171875</c:v>
                </c:pt>
                <c:pt idx="771">
                  <c:v>2217962.171875</c:v>
                </c:pt>
                <c:pt idx="772">
                  <c:v>2217962.171875</c:v>
                </c:pt>
                <c:pt idx="773">
                  <c:v>2217962.171875</c:v>
                </c:pt>
                <c:pt idx="774">
                  <c:v>2217962.171875</c:v>
                </c:pt>
                <c:pt idx="775">
                  <c:v>2217962.171875</c:v>
                </c:pt>
                <c:pt idx="776">
                  <c:v>2217962.171875</c:v>
                </c:pt>
                <c:pt idx="777">
                  <c:v>2217962.171875</c:v>
                </c:pt>
                <c:pt idx="778">
                  <c:v>2217962.171875</c:v>
                </c:pt>
                <c:pt idx="779">
                  <c:v>2217962.171875</c:v>
                </c:pt>
                <c:pt idx="780">
                  <c:v>2217962.171875</c:v>
                </c:pt>
                <c:pt idx="781">
                  <c:v>2217962.171875</c:v>
                </c:pt>
                <c:pt idx="782">
                  <c:v>2217962.171875</c:v>
                </c:pt>
                <c:pt idx="783">
                  <c:v>2217962.171875</c:v>
                </c:pt>
                <c:pt idx="784">
                  <c:v>2217962.171875</c:v>
                </c:pt>
                <c:pt idx="785">
                  <c:v>2217962.171875</c:v>
                </c:pt>
                <c:pt idx="786">
                  <c:v>2217962.171875</c:v>
                </c:pt>
                <c:pt idx="787">
                  <c:v>2217962.171875</c:v>
                </c:pt>
                <c:pt idx="788">
                  <c:v>2217962.171875</c:v>
                </c:pt>
                <c:pt idx="789">
                  <c:v>2217962.171875</c:v>
                </c:pt>
                <c:pt idx="790">
                  <c:v>2217962.171875</c:v>
                </c:pt>
                <c:pt idx="791">
                  <c:v>2217962.171875</c:v>
                </c:pt>
                <c:pt idx="792">
                  <c:v>2217962.171875</c:v>
                </c:pt>
                <c:pt idx="793">
                  <c:v>2217962.171875</c:v>
                </c:pt>
                <c:pt idx="794">
                  <c:v>2217962.171875</c:v>
                </c:pt>
                <c:pt idx="795">
                  <c:v>2217962.171875</c:v>
                </c:pt>
                <c:pt idx="796">
                  <c:v>2217962.171875</c:v>
                </c:pt>
                <c:pt idx="797">
                  <c:v>2217962.171875</c:v>
                </c:pt>
                <c:pt idx="798">
                  <c:v>2217962.171875</c:v>
                </c:pt>
                <c:pt idx="799">
                  <c:v>2217962.171875</c:v>
                </c:pt>
                <c:pt idx="800">
                  <c:v>2217962.171875</c:v>
                </c:pt>
                <c:pt idx="801">
                  <c:v>2217962.171875</c:v>
                </c:pt>
                <c:pt idx="802">
                  <c:v>2217962.171875</c:v>
                </c:pt>
                <c:pt idx="803">
                  <c:v>2217962.171875</c:v>
                </c:pt>
                <c:pt idx="804">
                  <c:v>2217962.171875</c:v>
                </c:pt>
                <c:pt idx="805">
                  <c:v>2217962.171875</c:v>
                </c:pt>
                <c:pt idx="806">
                  <c:v>2217962.171875</c:v>
                </c:pt>
                <c:pt idx="807">
                  <c:v>2217962.171875</c:v>
                </c:pt>
                <c:pt idx="808">
                  <c:v>2217962.171875</c:v>
                </c:pt>
                <c:pt idx="809">
                  <c:v>2217962.171875</c:v>
                </c:pt>
                <c:pt idx="810">
                  <c:v>2217962.171875</c:v>
                </c:pt>
                <c:pt idx="811">
                  <c:v>2217962.171875</c:v>
                </c:pt>
                <c:pt idx="812">
                  <c:v>2217962.171875</c:v>
                </c:pt>
                <c:pt idx="813">
                  <c:v>2217962.171875</c:v>
                </c:pt>
                <c:pt idx="814">
                  <c:v>2217962.171875</c:v>
                </c:pt>
                <c:pt idx="815">
                  <c:v>2217962.171875</c:v>
                </c:pt>
                <c:pt idx="816">
                  <c:v>2217962.171875</c:v>
                </c:pt>
                <c:pt idx="817">
                  <c:v>2217962.171875</c:v>
                </c:pt>
                <c:pt idx="818">
                  <c:v>2217962.171875</c:v>
                </c:pt>
                <c:pt idx="819">
                  <c:v>2217962.171875</c:v>
                </c:pt>
                <c:pt idx="820">
                  <c:v>2217962.171875</c:v>
                </c:pt>
                <c:pt idx="821">
                  <c:v>2217962.171875</c:v>
                </c:pt>
                <c:pt idx="822">
                  <c:v>2217962.171875</c:v>
                </c:pt>
                <c:pt idx="823">
                  <c:v>2217962.171875</c:v>
                </c:pt>
                <c:pt idx="824">
                  <c:v>2217962.171875</c:v>
                </c:pt>
                <c:pt idx="825">
                  <c:v>2217962.171875</c:v>
                </c:pt>
                <c:pt idx="826">
                  <c:v>2217962.171875</c:v>
                </c:pt>
                <c:pt idx="827">
                  <c:v>2217962.171875</c:v>
                </c:pt>
                <c:pt idx="828">
                  <c:v>2217962.171875</c:v>
                </c:pt>
                <c:pt idx="829">
                  <c:v>2217962.171875</c:v>
                </c:pt>
                <c:pt idx="830">
                  <c:v>2217962.171875</c:v>
                </c:pt>
                <c:pt idx="831">
                  <c:v>2217962.171875</c:v>
                </c:pt>
                <c:pt idx="832">
                  <c:v>2217962.171875</c:v>
                </c:pt>
                <c:pt idx="833">
                  <c:v>2217962.171875</c:v>
                </c:pt>
                <c:pt idx="834">
                  <c:v>2217962.171875</c:v>
                </c:pt>
                <c:pt idx="835">
                  <c:v>2217962.171875</c:v>
                </c:pt>
                <c:pt idx="836">
                  <c:v>2217962.171875</c:v>
                </c:pt>
                <c:pt idx="837">
                  <c:v>2217962.171875</c:v>
                </c:pt>
                <c:pt idx="838">
                  <c:v>2217962.171875</c:v>
                </c:pt>
                <c:pt idx="839">
                  <c:v>2217962.171875</c:v>
                </c:pt>
                <c:pt idx="840">
                  <c:v>2217962.171875</c:v>
                </c:pt>
                <c:pt idx="841">
                  <c:v>2217962.171875</c:v>
                </c:pt>
                <c:pt idx="842">
                  <c:v>2217962.171875</c:v>
                </c:pt>
                <c:pt idx="843">
                  <c:v>2217962.171875</c:v>
                </c:pt>
                <c:pt idx="844">
                  <c:v>2217962.171875</c:v>
                </c:pt>
                <c:pt idx="845">
                  <c:v>2217962.171875</c:v>
                </c:pt>
                <c:pt idx="846">
                  <c:v>2217962.171875</c:v>
                </c:pt>
                <c:pt idx="847">
                  <c:v>2217962.171875</c:v>
                </c:pt>
                <c:pt idx="848">
                  <c:v>2217962.171875</c:v>
                </c:pt>
                <c:pt idx="849">
                  <c:v>2217962.171875</c:v>
                </c:pt>
                <c:pt idx="850">
                  <c:v>2217962.171875</c:v>
                </c:pt>
                <c:pt idx="851">
                  <c:v>2217962.171875</c:v>
                </c:pt>
                <c:pt idx="852">
                  <c:v>2217962.171875</c:v>
                </c:pt>
                <c:pt idx="853">
                  <c:v>2217962.171875</c:v>
                </c:pt>
                <c:pt idx="854">
                  <c:v>2217962.171875</c:v>
                </c:pt>
                <c:pt idx="855">
                  <c:v>2217962.171875</c:v>
                </c:pt>
                <c:pt idx="856">
                  <c:v>2217962.171875</c:v>
                </c:pt>
                <c:pt idx="857">
                  <c:v>2217962.171875</c:v>
                </c:pt>
                <c:pt idx="858">
                  <c:v>2217962.171875</c:v>
                </c:pt>
                <c:pt idx="859">
                  <c:v>2217962.171875</c:v>
                </c:pt>
                <c:pt idx="860">
                  <c:v>2217962.171875</c:v>
                </c:pt>
                <c:pt idx="861">
                  <c:v>2217962.171875</c:v>
                </c:pt>
                <c:pt idx="862">
                  <c:v>2217962.171875</c:v>
                </c:pt>
                <c:pt idx="863">
                  <c:v>2217962.171875</c:v>
                </c:pt>
                <c:pt idx="864">
                  <c:v>2217962.171875</c:v>
                </c:pt>
                <c:pt idx="865">
                  <c:v>2217962.171875</c:v>
                </c:pt>
                <c:pt idx="866">
                  <c:v>2217962.171875</c:v>
                </c:pt>
                <c:pt idx="867">
                  <c:v>2217962.171875</c:v>
                </c:pt>
                <c:pt idx="868">
                  <c:v>2217962.171875</c:v>
                </c:pt>
                <c:pt idx="869">
                  <c:v>2217962.171875</c:v>
                </c:pt>
                <c:pt idx="870">
                  <c:v>2217962.171875</c:v>
                </c:pt>
                <c:pt idx="871">
                  <c:v>2217962.171875</c:v>
                </c:pt>
                <c:pt idx="872">
                  <c:v>2217962.171875</c:v>
                </c:pt>
                <c:pt idx="873">
                  <c:v>2217962.171875</c:v>
                </c:pt>
                <c:pt idx="874">
                  <c:v>2217962.171875</c:v>
                </c:pt>
                <c:pt idx="875">
                  <c:v>2217962.171875</c:v>
                </c:pt>
                <c:pt idx="876">
                  <c:v>2217962.171875</c:v>
                </c:pt>
                <c:pt idx="877">
                  <c:v>2217962.171875</c:v>
                </c:pt>
                <c:pt idx="878">
                  <c:v>2217962.171875</c:v>
                </c:pt>
                <c:pt idx="879">
                  <c:v>2217962.171875</c:v>
                </c:pt>
                <c:pt idx="880">
                  <c:v>2217962.171875</c:v>
                </c:pt>
                <c:pt idx="881">
                  <c:v>2217962.171875</c:v>
                </c:pt>
                <c:pt idx="882">
                  <c:v>2217962.171875</c:v>
                </c:pt>
                <c:pt idx="883">
                  <c:v>2217962.171875</c:v>
                </c:pt>
                <c:pt idx="884">
                  <c:v>2217962.171875</c:v>
                </c:pt>
                <c:pt idx="885">
                  <c:v>2217962.171875</c:v>
                </c:pt>
                <c:pt idx="886">
                  <c:v>2217962.171875</c:v>
                </c:pt>
                <c:pt idx="887">
                  <c:v>2217962.171875</c:v>
                </c:pt>
                <c:pt idx="888">
                  <c:v>2217962.171875</c:v>
                </c:pt>
                <c:pt idx="889">
                  <c:v>2217962.171875</c:v>
                </c:pt>
                <c:pt idx="890">
                  <c:v>2217962.171875</c:v>
                </c:pt>
                <c:pt idx="891">
                  <c:v>2217962.171875</c:v>
                </c:pt>
                <c:pt idx="892">
                  <c:v>2217962.171875</c:v>
                </c:pt>
                <c:pt idx="893">
                  <c:v>2217962.171875</c:v>
                </c:pt>
                <c:pt idx="894">
                  <c:v>2217962.171875</c:v>
                </c:pt>
                <c:pt idx="895">
                  <c:v>2217962.171875</c:v>
                </c:pt>
                <c:pt idx="896">
                  <c:v>2217962.171875</c:v>
                </c:pt>
                <c:pt idx="897">
                  <c:v>2217962.171875</c:v>
                </c:pt>
                <c:pt idx="898">
                  <c:v>2217962.171875</c:v>
                </c:pt>
                <c:pt idx="899">
                  <c:v>2217962.171875</c:v>
                </c:pt>
                <c:pt idx="900">
                  <c:v>2217962.171875</c:v>
                </c:pt>
                <c:pt idx="901">
                  <c:v>2217962.171875</c:v>
                </c:pt>
                <c:pt idx="902">
                  <c:v>2217962.171875</c:v>
                </c:pt>
                <c:pt idx="903">
                  <c:v>2217962.171875</c:v>
                </c:pt>
                <c:pt idx="904">
                  <c:v>2217962.171875</c:v>
                </c:pt>
                <c:pt idx="905">
                  <c:v>2217962.171875</c:v>
                </c:pt>
                <c:pt idx="906">
                  <c:v>2217962.171875</c:v>
                </c:pt>
                <c:pt idx="907">
                  <c:v>2217962.171875</c:v>
                </c:pt>
                <c:pt idx="908">
                  <c:v>2217962.171875</c:v>
                </c:pt>
                <c:pt idx="909">
                  <c:v>2217962.171875</c:v>
                </c:pt>
                <c:pt idx="910">
                  <c:v>2217962.171875</c:v>
                </c:pt>
                <c:pt idx="911">
                  <c:v>2217962.171875</c:v>
                </c:pt>
                <c:pt idx="912">
                  <c:v>2217962.171875</c:v>
                </c:pt>
                <c:pt idx="913">
                  <c:v>2217962.171875</c:v>
                </c:pt>
                <c:pt idx="914">
                  <c:v>2217962.171875</c:v>
                </c:pt>
                <c:pt idx="915">
                  <c:v>2217962.171875</c:v>
                </c:pt>
                <c:pt idx="916">
                  <c:v>2217962.171875</c:v>
                </c:pt>
                <c:pt idx="917">
                  <c:v>2217962.171875</c:v>
                </c:pt>
                <c:pt idx="918">
                  <c:v>2217962.171875</c:v>
                </c:pt>
                <c:pt idx="919">
                  <c:v>2217962.171875</c:v>
                </c:pt>
                <c:pt idx="920">
                  <c:v>2217962.171875</c:v>
                </c:pt>
                <c:pt idx="921">
                  <c:v>2217962.171875</c:v>
                </c:pt>
                <c:pt idx="922">
                  <c:v>2217962.171875</c:v>
                </c:pt>
                <c:pt idx="923">
                  <c:v>2217962.171875</c:v>
                </c:pt>
                <c:pt idx="924">
                  <c:v>2217962.171875</c:v>
                </c:pt>
                <c:pt idx="925">
                  <c:v>2217962.171875</c:v>
                </c:pt>
                <c:pt idx="926">
                  <c:v>2217962.171875</c:v>
                </c:pt>
                <c:pt idx="927">
                  <c:v>2217962.171875</c:v>
                </c:pt>
                <c:pt idx="928">
                  <c:v>2217962.171875</c:v>
                </c:pt>
                <c:pt idx="929">
                  <c:v>2217962.171875</c:v>
                </c:pt>
                <c:pt idx="930">
                  <c:v>2217962.171875</c:v>
                </c:pt>
                <c:pt idx="931">
                  <c:v>2217962.171875</c:v>
                </c:pt>
                <c:pt idx="932">
                  <c:v>2217962.171875</c:v>
                </c:pt>
                <c:pt idx="933">
                  <c:v>2217962.171875</c:v>
                </c:pt>
                <c:pt idx="934">
                  <c:v>2217962.171875</c:v>
                </c:pt>
                <c:pt idx="935">
                  <c:v>2217962.171875</c:v>
                </c:pt>
                <c:pt idx="936">
                  <c:v>2217962.171875</c:v>
                </c:pt>
                <c:pt idx="937">
                  <c:v>2217962.171875</c:v>
                </c:pt>
                <c:pt idx="938">
                  <c:v>2217962.171875</c:v>
                </c:pt>
                <c:pt idx="939">
                  <c:v>2217962.171875</c:v>
                </c:pt>
                <c:pt idx="940">
                  <c:v>2217962.171875</c:v>
                </c:pt>
                <c:pt idx="941">
                  <c:v>2217962.171875</c:v>
                </c:pt>
                <c:pt idx="942">
                  <c:v>2217962.171875</c:v>
                </c:pt>
                <c:pt idx="943">
                  <c:v>2217962.171875</c:v>
                </c:pt>
                <c:pt idx="944">
                  <c:v>2217962.171875</c:v>
                </c:pt>
                <c:pt idx="945">
                  <c:v>2217962.171875</c:v>
                </c:pt>
                <c:pt idx="946">
                  <c:v>2217962.171875</c:v>
                </c:pt>
                <c:pt idx="947">
                  <c:v>2217962.171875</c:v>
                </c:pt>
                <c:pt idx="948">
                  <c:v>2217962.171875</c:v>
                </c:pt>
                <c:pt idx="949">
                  <c:v>2217962.171875</c:v>
                </c:pt>
                <c:pt idx="950">
                  <c:v>2217962.171875</c:v>
                </c:pt>
                <c:pt idx="951">
                  <c:v>2217962.171875</c:v>
                </c:pt>
                <c:pt idx="952">
                  <c:v>2217962.171875</c:v>
                </c:pt>
                <c:pt idx="953">
                  <c:v>2217962.171875</c:v>
                </c:pt>
                <c:pt idx="954">
                  <c:v>2217962.171875</c:v>
                </c:pt>
                <c:pt idx="955">
                  <c:v>2217962.171875</c:v>
                </c:pt>
                <c:pt idx="956">
                  <c:v>2217962.171875</c:v>
                </c:pt>
                <c:pt idx="957">
                  <c:v>2217962.171875</c:v>
                </c:pt>
                <c:pt idx="958">
                  <c:v>2217962.171875</c:v>
                </c:pt>
                <c:pt idx="959">
                  <c:v>2217962.171875</c:v>
                </c:pt>
                <c:pt idx="960">
                  <c:v>2217962.171875</c:v>
                </c:pt>
                <c:pt idx="961">
                  <c:v>2217962.171875</c:v>
                </c:pt>
                <c:pt idx="962">
                  <c:v>2217962.171875</c:v>
                </c:pt>
                <c:pt idx="963">
                  <c:v>2217962.171875</c:v>
                </c:pt>
                <c:pt idx="964">
                  <c:v>2217962.171875</c:v>
                </c:pt>
                <c:pt idx="965">
                  <c:v>2217962.171875</c:v>
                </c:pt>
                <c:pt idx="966">
                  <c:v>2217962.171875</c:v>
                </c:pt>
                <c:pt idx="967">
                  <c:v>2217962.171875</c:v>
                </c:pt>
                <c:pt idx="968">
                  <c:v>2217962.171875</c:v>
                </c:pt>
                <c:pt idx="969">
                  <c:v>2217962.171875</c:v>
                </c:pt>
                <c:pt idx="970">
                  <c:v>2217962.171875</c:v>
                </c:pt>
                <c:pt idx="971">
                  <c:v>2217962.171875</c:v>
                </c:pt>
                <c:pt idx="972">
                  <c:v>2217962.171875</c:v>
                </c:pt>
                <c:pt idx="973">
                  <c:v>2217962.171875</c:v>
                </c:pt>
                <c:pt idx="974">
                  <c:v>2217962.171875</c:v>
                </c:pt>
                <c:pt idx="975">
                  <c:v>2217962.171875</c:v>
                </c:pt>
                <c:pt idx="976">
                  <c:v>2217962.171875</c:v>
                </c:pt>
                <c:pt idx="977">
                  <c:v>2217962.171875</c:v>
                </c:pt>
                <c:pt idx="978">
                  <c:v>2217962.171875</c:v>
                </c:pt>
                <c:pt idx="979">
                  <c:v>2217962.171875</c:v>
                </c:pt>
                <c:pt idx="980">
                  <c:v>2217962.171875</c:v>
                </c:pt>
                <c:pt idx="981">
                  <c:v>2217962.171875</c:v>
                </c:pt>
                <c:pt idx="982">
                  <c:v>2217962.171875</c:v>
                </c:pt>
                <c:pt idx="983">
                  <c:v>2217962.171875</c:v>
                </c:pt>
                <c:pt idx="984">
                  <c:v>2217962.171875</c:v>
                </c:pt>
                <c:pt idx="985">
                  <c:v>2217962.171875</c:v>
                </c:pt>
                <c:pt idx="986">
                  <c:v>2217962.171875</c:v>
                </c:pt>
                <c:pt idx="987">
                  <c:v>2217962.171875</c:v>
                </c:pt>
                <c:pt idx="988">
                  <c:v>2217962.171875</c:v>
                </c:pt>
                <c:pt idx="989">
                  <c:v>2217962.171875</c:v>
                </c:pt>
                <c:pt idx="990">
                  <c:v>2217962.171875</c:v>
                </c:pt>
                <c:pt idx="991">
                  <c:v>2217962.171875</c:v>
                </c:pt>
                <c:pt idx="992">
                  <c:v>2217962.171875</c:v>
                </c:pt>
                <c:pt idx="993">
                  <c:v>2217962.171875</c:v>
                </c:pt>
                <c:pt idx="994">
                  <c:v>2217962.171875</c:v>
                </c:pt>
                <c:pt idx="995">
                  <c:v>2217962.171875</c:v>
                </c:pt>
                <c:pt idx="996">
                  <c:v>2217962.171875</c:v>
                </c:pt>
                <c:pt idx="997">
                  <c:v>2217962.171875</c:v>
                </c:pt>
                <c:pt idx="998">
                  <c:v>2217962.171875</c:v>
                </c:pt>
                <c:pt idx="999">
                  <c:v>2217962.171875</c:v>
                </c:pt>
                <c:pt idx="1000">
                  <c:v>2217962.171875</c:v>
                </c:pt>
                <c:pt idx="1001">
                  <c:v>2217962.171875</c:v>
                </c:pt>
                <c:pt idx="1002">
                  <c:v>2217962.171875</c:v>
                </c:pt>
                <c:pt idx="1003">
                  <c:v>2217962.171875</c:v>
                </c:pt>
                <c:pt idx="1004">
                  <c:v>2217962.171875</c:v>
                </c:pt>
                <c:pt idx="1005">
                  <c:v>2217962.171875</c:v>
                </c:pt>
                <c:pt idx="1006">
                  <c:v>2217962.171875</c:v>
                </c:pt>
                <c:pt idx="1007">
                  <c:v>2217962.171875</c:v>
                </c:pt>
                <c:pt idx="1008">
                  <c:v>2217962.171875</c:v>
                </c:pt>
                <c:pt idx="1009">
                  <c:v>2217962.171875</c:v>
                </c:pt>
                <c:pt idx="1010">
                  <c:v>2217962.171875</c:v>
                </c:pt>
                <c:pt idx="1011">
                  <c:v>2217962.171875</c:v>
                </c:pt>
                <c:pt idx="1012">
                  <c:v>2217962.171875</c:v>
                </c:pt>
                <c:pt idx="1013">
                  <c:v>2217962.171875</c:v>
                </c:pt>
                <c:pt idx="1014">
                  <c:v>2217962.171875</c:v>
                </c:pt>
                <c:pt idx="1015">
                  <c:v>2217962.171875</c:v>
                </c:pt>
                <c:pt idx="1016">
                  <c:v>2217962.171875</c:v>
                </c:pt>
                <c:pt idx="1017">
                  <c:v>2217962.171875</c:v>
                </c:pt>
                <c:pt idx="1018">
                  <c:v>2217962.171875</c:v>
                </c:pt>
                <c:pt idx="1019">
                  <c:v>2217962.171875</c:v>
                </c:pt>
                <c:pt idx="1020">
                  <c:v>2217962.171875</c:v>
                </c:pt>
                <c:pt idx="1021">
                  <c:v>2217962.171875</c:v>
                </c:pt>
                <c:pt idx="1022">
                  <c:v>2217962.171875</c:v>
                </c:pt>
                <c:pt idx="1023">
                  <c:v>2217962.171875</c:v>
                </c:pt>
                <c:pt idx="1024">
                  <c:v>2217962.171875</c:v>
                </c:pt>
                <c:pt idx="1025">
                  <c:v>2217962.171875</c:v>
                </c:pt>
                <c:pt idx="1026">
                  <c:v>2217962.171875</c:v>
                </c:pt>
                <c:pt idx="1027">
                  <c:v>2217962.171875</c:v>
                </c:pt>
                <c:pt idx="1028">
                  <c:v>2217962.171875</c:v>
                </c:pt>
                <c:pt idx="1029">
                  <c:v>2217962.171875</c:v>
                </c:pt>
                <c:pt idx="1030">
                  <c:v>2217962.171875</c:v>
                </c:pt>
                <c:pt idx="1031">
                  <c:v>2217962.171875</c:v>
                </c:pt>
                <c:pt idx="1032">
                  <c:v>2217962.171875</c:v>
                </c:pt>
                <c:pt idx="1033">
                  <c:v>2217962.171875</c:v>
                </c:pt>
                <c:pt idx="1034">
                  <c:v>2217962.171875</c:v>
                </c:pt>
                <c:pt idx="1035">
                  <c:v>2217962.171875</c:v>
                </c:pt>
                <c:pt idx="1036">
                  <c:v>2217962.171875</c:v>
                </c:pt>
                <c:pt idx="1037">
                  <c:v>2217962.171875</c:v>
                </c:pt>
                <c:pt idx="1038">
                  <c:v>2217962.171875</c:v>
                </c:pt>
                <c:pt idx="1039">
                  <c:v>2217962.171875</c:v>
                </c:pt>
                <c:pt idx="1040">
                  <c:v>2217962.171875</c:v>
                </c:pt>
                <c:pt idx="1041">
                  <c:v>2217962.171875</c:v>
                </c:pt>
                <c:pt idx="1042">
                  <c:v>2217962.171875</c:v>
                </c:pt>
                <c:pt idx="1043">
                  <c:v>2217962.171875</c:v>
                </c:pt>
                <c:pt idx="1044">
                  <c:v>2217962.171875</c:v>
                </c:pt>
                <c:pt idx="1045">
                  <c:v>2217962.171875</c:v>
                </c:pt>
                <c:pt idx="1046">
                  <c:v>2217962.171875</c:v>
                </c:pt>
                <c:pt idx="1047">
                  <c:v>2217962.171875</c:v>
                </c:pt>
                <c:pt idx="1048">
                  <c:v>2217962.171875</c:v>
                </c:pt>
                <c:pt idx="1049">
                  <c:v>2217962.171875</c:v>
                </c:pt>
                <c:pt idx="1050">
                  <c:v>2217962.171875</c:v>
                </c:pt>
                <c:pt idx="1051">
                  <c:v>2217962.171875</c:v>
                </c:pt>
                <c:pt idx="1052">
                  <c:v>2217962.171875</c:v>
                </c:pt>
                <c:pt idx="1053">
                  <c:v>2217962.171875</c:v>
                </c:pt>
                <c:pt idx="1054">
                  <c:v>2217962.171875</c:v>
                </c:pt>
                <c:pt idx="1055">
                  <c:v>2217962.171875</c:v>
                </c:pt>
                <c:pt idx="1056">
                  <c:v>2217962.171875</c:v>
                </c:pt>
                <c:pt idx="1057">
                  <c:v>2217962.171875</c:v>
                </c:pt>
                <c:pt idx="1058">
                  <c:v>2217962.171875</c:v>
                </c:pt>
                <c:pt idx="1059">
                  <c:v>2217962.171875</c:v>
                </c:pt>
                <c:pt idx="1060">
                  <c:v>2217962.171875</c:v>
                </c:pt>
                <c:pt idx="1061">
                  <c:v>2217962.171875</c:v>
                </c:pt>
                <c:pt idx="1062">
                  <c:v>2217962.171875</c:v>
                </c:pt>
                <c:pt idx="1063">
                  <c:v>2217962.171875</c:v>
                </c:pt>
                <c:pt idx="1064">
                  <c:v>2217962.171875</c:v>
                </c:pt>
                <c:pt idx="1065">
                  <c:v>2217962.171875</c:v>
                </c:pt>
                <c:pt idx="1066">
                  <c:v>2217962.171875</c:v>
                </c:pt>
                <c:pt idx="1067">
                  <c:v>2217962.171875</c:v>
                </c:pt>
                <c:pt idx="1068">
                  <c:v>2217962.171875</c:v>
                </c:pt>
                <c:pt idx="1069">
                  <c:v>2217962.171875</c:v>
                </c:pt>
                <c:pt idx="1070">
                  <c:v>2217962.171875</c:v>
                </c:pt>
                <c:pt idx="1071">
                  <c:v>2217962.171875</c:v>
                </c:pt>
                <c:pt idx="1072">
                  <c:v>2217962.171875</c:v>
                </c:pt>
                <c:pt idx="1073">
                  <c:v>2217962.171875</c:v>
                </c:pt>
                <c:pt idx="1074">
                  <c:v>2217962.171875</c:v>
                </c:pt>
                <c:pt idx="1075">
                  <c:v>2217962.171875</c:v>
                </c:pt>
                <c:pt idx="1076">
                  <c:v>2217962.171875</c:v>
                </c:pt>
                <c:pt idx="1077">
                  <c:v>2217962.171875</c:v>
                </c:pt>
                <c:pt idx="1078">
                  <c:v>2217962.171875</c:v>
                </c:pt>
                <c:pt idx="1079">
                  <c:v>2217962.171875</c:v>
                </c:pt>
                <c:pt idx="1080">
                  <c:v>2217962.171875</c:v>
                </c:pt>
                <c:pt idx="1081">
                  <c:v>2217962.171875</c:v>
                </c:pt>
                <c:pt idx="1082">
                  <c:v>2217962.171875</c:v>
                </c:pt>
                <c:pt idx="1083">
                  <c:v>2217962.171875</c:v>
                </c:pt>
                <c:pt idx="1084">
                  <c:v>2217962.171875</c:v>
                </c:pt>
                <c:pt idx="1085">
                  <c:v>2217962.171875</c:v>
                </c:pt>
                <c:pt idx="1086">
                  <c:v>2217962.171875</c:v>
                </c:pt>
                <c:pt idx="1087">
                  <c:v>2217962.171875</c:v>
                </c:pt>
                <c:pt idx="1088">
                  <c:v>2217962.171875</c:v>
                </c:pt>
                <c:pt idx="1089">
                  <c:v>2217962.171875</c:v>
                </c:pt>
                <c:pt idx="1090">
                  <c:v>2217962.171875</c:v>
                </c:pt>
                <c:pt idx="1091">
                  <c:v>2217962.171875</c:v>
                </c:pt>
                <c:pt idx="1092">
                  <c:v>2217962.171875</c:v>
                </c:pt>
                <c:pt idx="1093">
                  <c:v>2217962.171875</c:v>
                </c:pt>
                <c:pt idx="1094">
                  <c:v>2217962.171875</c:v>
                </c:pt>
                <c:pt idx="1095">
                  <c:v>2217962.171875</c:v>
                </c:pt>
                <c:pt idx="1096">
                  <c:v>2217962.171875</c:v>
                </c:pt>
                <c:pt idx="1097">
                  <c:v>2217962.171875</c:v>
                </c:pt>
                <c:pt idx="1098">
                  <c:v>2217962.171875</c:v>
                </c:pt>
                <c:pt idx="1099">
                  <c:v>2217962.171875</c:v>
                </c:pt>
                <c:pt idx="1100">
                  <c:v>2217962.171875</c:v>
                </c:pt>
                <c:pt idx="1101">
                  <c:v>2217962.171875</c:v>
                </c:pt>
                <c:pt idx="1102">
                  <c:v>2217962.171875</c:v>
                </c:pt>
                <c:pt idx="1103">
                  <c:v>2217962.171875</c:v>
                </c:pt>
                <c:pt idx="1104">
                  <c:v>2217962.171875</c:v>
                </c:pt>
                <c:pt idx="1105">
                  <c:v>2217962.171875</c:v>
                </c:pt>
                <c:pt idx="1106">
                  <c:v>2217962.171875</c:v>
                </c:pt>
                <c:pt idx="1107">
                  <c:v>2217962.171875</c:v>
                </c:pt>
                <c:pt idx="1108">
                  <c:v>2217962.171875</c:v>
                </c:pt>
                <c:pt idx="1109">
                  <c:v>2217962.171875</c:v>
                </c:pt>
                <c:pt idx="1110">
                  <c:v>2217962.171875</c:v>
                </c:pt>
                <c:pt idx="1111">
                  <c:v>2217962.171875</c:v>
                </c:pt>
                <c:pt idx="1112">
                  <c:v>2217962.171875</c:v>
                </c:pt>
                <c:pt idx="1113">
                  <c:v>2217962.171875</c:v>
                </c:pt>
                <c:pt idx="1114">
                  <c:v>2217962.171875</c:v>
                </c:pt>
                <c:pt idx="1115">
                  <c:v>2217962.171875</c:v>
                </c:pt>
                <c:pt idx="1116">
                  <c:v>2217962.171875</c:v>
                </c:pt>
                <c:pt idx="1117">
                  <c:v>2217962.171875</c:v>
                </c:pt>
                <c:pt idx="1118">
                  <c:v>2217962.171875</c:v>
                </c:pt>
                <c:pt idx="1119">
                  <c:v>2217962.171875</c:v>
                </c:pt>
                <c:pt idx="1120">
                  <c:v>2217962.171875</c:v>
                </c:pt>
                <c:pt idx="1121">
                  <c:v>2217962.171875</c:v>
                </c:pt>
                <c:pt idx="1122">
                  <c:v>2217962.171875</c:v>
                </c:pt>
                <c:pt idx="1123">
                  <c:v>2217962.171875</c:v>
                </c:pt>
                <c:pt idx="1124">
                  <c:v>2217962.171875</c:v>
                </c:pt>
                <c:pt idx="1125">
                  <c:v>2217962.171875</c:v>
                </c:pt>
                <c:pt idx="1126">
                  <c:v>2217962.171875</c:v>
                </c:pt>
                <c:pt idx="1127">
                  <c:v>2217962.171875</c:v>
                </c:pt>
                <c:pt idx="1128">
                  <c:v>2217962.171875</c:v>
                </c:pt>
                <c:pt idx="1129">
                  <c:v>2217962.171875</c:v>
                </c:pt>
                <c:pt idx="1130">
                  <c:v>2217962.171875</c:v>
                </c:pt>
                <c:pt idx="1131">
                  <c:v>2217962.171875</c:v>
                </c:pt>
                <c:pt idx="1132">
                  <c:v>2217962.171875</c:v>
                </c:pt>
                <c:pt idx="1133">
                  <c:v>2217962.171875</c:v>
                </c:pt>
                <c:pt idx="1134">
                  <c:v>2217962.171875</c:v>
                </c:pt>
                <c:pt idx="1135">
                  <c:v>2217962.171875</c:v>
                </c:pt>
                <c:pt idx="1136">
                  <c:v>2217962.171875</c:v>
                </c:pt>
                <c:pt idx="1137">
                  <c:v>2217962.171875</c:v>
                </c:pt>
                <c:pt idx="1138">
                  <c:v>2217962.171875</c:v>
                </c:pt>
                <c:pt idx="1139">
                  <c:v>2217962.171875</c:v>
                </c:pt>
                <c:pt idx="1140">
                  <c:v>2217962.171875</c:v>
                </c:pt>
                <c:pt idx="1141">
                  <c:v>2217962.171875</c:v>
                </c:pt>
                <c:pt idx="1142">
                  <c:v>2217962.171875</c:v>
                </c:pt>
                <c:pt idx="1143">
                  <c:v>2217962.171875</c:v>
                </c:pt>
                <c:pt idx="1144">
                  <c:v>2217962.171875</c:v>
                </c:pt>
                <c:pt idx="1145">
                  <c:v>2217962.171875</c:v>
                </c:pt>
                <c:pt idx="1146">
                  <c:v>2217962.171875</c:v>
                </c:pt>
                <c:pt idx="1147">
                  <c:v>2217962.171875</c:v>
                </c:pt>
                <c:pt idx="1148">
                  <c:v>2217962.171875</c:v>
                </c:pt>
                <c:pt idx="1149">
                  <c:v>2217962.171875</c:v>
                </c:pt>
                <c:pt idx="1150">
                  <c:v>2217962.171875</c:v>
                </c:pt>
                <c:pt idx="1151">
                  <c:v>2217962.171875</c:v>
                </c:pt>
                <c:pt idx="1152">
                  <c:v>2217962.171875</c:v>
                </c:pt>
                <c:pt idx="1153">
                  <c:v>2217962.171875</c:v>
                </c:pt>
                <c:pt idx="1154">
                  <c:v>2217962.171875</c:v>
                </c:pt>
                <c:pt idx="1155">
                  <c:v>2217962.171875</c:v>
                </c:pt>
                <c:pt idx="1156">
                  <c:v>2217962.171875</c:v>
                </c:pt>
                <c:pt idx="1157">
                  <c:v>2217962.171875</c:v>
                </c:pt>
                <c:pt idx="1158">
                  <c:v>2217962.171875</c:v>
                </c:pt>
                <c:pt idx="1159">
                  <c:v>2217962.171875</c:v>
                </c:pt>
                <c:pt idx="1160">
                  <c:v>2217962.171875</c:v>
                </c:pt>
                <c:pt idx="1161">
                  <c:v>2217962.171875</c:v>
                </c:pt>
                <c:pt idx="1162">
                  <c:v>2217962.171875</c:v>
                </c:pt>
                <c:pt idx="1163">
                  <c:v>2217962.171875</c:v>
                </c:pt>
                <c:pt idx="1164">
                  <c:v>2217962.171875</c:v>
                </c:pt>
                <c:pt idx="1165">
                  <c:v>2217962.171875</c:v>
                </c:pt>
                <c:pt idx="1166">
                  <c:v>2217962.171875</c:v>
                </c:pt>
                <c:pt idx="1167">
                  <c:v>2217962.171875</c:v>
                </c:pt>
                <c:pt idx="1168">
                  <c:v>2217962.171875</c:v>
                </c:pt>
                <c:pt idx="1169">
                  <c:v>2217962.171875</c:v>
                </c:pt>
                <c:pt idx="1170">
                  <c:v>2217962.171875</c:v>
                </c:pt>
                <c:pt idx="1171">
                  <c:v>2217962.171875</c:v>
                </c:pt>
                <c:pt idx="1172">
                  <c:v>2217962.171875</c:v>
                </c:pt>
                <c:pt idx="1173">
                  <c:v>2217962.171875</c:v>
                </c:pt>
                <c:pt idx="1174">
                  <c:v>2217962.171875</c:v>
                </c:pt>
                <c:pt idx="1175">
                  <c:v>2217962.171875</c:v>
                </c:pt>
                <c:pt idx="1176">
                  <c:v>2217962.171875</c:v>
                </c:pt>
                <c:pt idx="1177">
                  <c:v>2217962.171875</c:v>
                </c:pt>
                <c:pt idx="1178">
                  <c:v>2217962.171875</c:v>
                </c:pt>
                <c:pt idx="1179">
                  <c:v>2217962.171875</c:v>
                </c:pt>
                <c:pt idx="1180">
                  <c:v>2217962.171875</c:v>
                </c:pt>
                <c:pt idx="1181">
                  <c:v>2217962.171875</c:v>
                </c:pt>
                <c:pt idx="1182">
                  <c:v>2217962.171875</c:v>
                </c:pt>
                <c:pt idx="1183">
                  <c:v>2217962.171875</c:v>
                </c:pt>
                <c:pt idx="1184">
                  <c:v>2217962.171875</c:v>
                </c:pt>
                <c:pt idx="1185">
                  <c:v>2217962.171875</c:v>
                </c:pt>
                <c:pt idx="1186">
                  <c:v>2217962.171875</c:v>
                </c:pt>
                <c:pt idx="1187">
                  <c:v>2217962.171875</c:v>
                </c:pt>
                <c:pt idx="1188">
                  <c:v>2217962.171875</c:v>
                </c:pt>
                <c:pt idx="1189">
                  <c:v>2217962.171875</c:v>
                </c:pt>
                <c:pt idx="1190">
                  <c:v>2217962.171875</c:v>
                </c:pt>
                <c:pt idx="1191">
                  <c:v>2217962.171875</c:v>
                </c:pt>
                <c:pt idx="1192">
                  <c:v>2217962.171875</c:v>
                </c:pt>
                <c:pt idx="1193">
                  <c:v>2217962.171875</c:v>
                </c:pt>
                <c:pt idx="1194">
                  <c:v>2217962.171875</c:v>
                </c:pt>
                <c:pt idx="1195">
                  <c:v>2217962.171875</c:v>
                </c:pt>
                <c:pt idx="1196">
                  <c:v>2217962.171875</c:v>
                </c:pt>
                <c:pt idx="1197">
                  <c:v>2217962.171875</c:v>
                </c:pt>
                <c:pt idx="1198">
                  <c:v>2217962.171875</c:v>
                </c:pt>
                <c:pt idx="1199">
                  <c:v>2217962.171875</c:v>
                </c:pt>
                <c:pt idx="1200">
                  <c:v>2217962.171875</c:v>
                </c:pt>
                <c:pt idx="1201">
                  <c:v>2217962.171875</c:v>
                </c:pt>
                <c:pt idx="1202">
                  <c:v>2217962.171875</c:v>
                </c:pt>
                <c:pt idx="1203">
                  <c:v>2217962.171875</c:v>
                </c:pt>
                <c:pt idx="1204">
                  <c:v>2217962.171875</c:v>
                </c:pt>
                <c:pt idx="1205">
                  <c:v>2217962.171875</c:v>
                </c:pt>
                <c:pt idx="1206">
                  <c:v>2217962.171875</c:v>
                </c:pt>
                <c:pt idx="1207">
                  <c:v>2217962.171875</c:v>
                </c:pt>
                <c:pt idx="1208">
                  <c:v>2217962.171875</c:v>
                </c:pt>
                <c:pt idx="1209">
                  <c:v>2217962.171875</c:v>
                </c:pt>
                <c:pt idx="1210">
                  <c:v>2217962.171875</c:v>
                </c:pt>
                <c:pt idx="1211">
                  <c:v>2217962.171875</c:v>
                </c:pt>
                <c:pt idx="1212">
                  <c:v>2217962.171875</c:v>
                </c:pt>
                <c:pt idx="1213">
                  <c:v>2217962.171875</c:v>
                </c:pt>
                <c:pt idx="1214">
                  <c:v>2217962.171875</c:v>
                </c:pt>
                <c:pt idx="1215">
                  <c:v>2217962.171875</c:v>
                </c:pt>
                <c:pt idx="1216">
                  <c:v>2217962.171875</c:v>
                </c:pt>
                <c:pt idx="1217">
                  <c:v>2217962.171875</c:v>
                </c:pt>
                <c:pt idx="1218">
                  <c:v>2217962.171875</c:v>
                </c:pt>
                <c:pt idx="1219">
                  <c:v>2217962.171875</c:v>
                </c:pt>
                <c:pt idx="1220">
                  <c:v>2217962.171875</c:v>
                </c:pt>
                <c:pt idx="1221">
                  <c:v>2217962.171875</c:v>
                </c:pt>
                <c:pt idx="1222">
                  <c:v>2217962.171875</c:v>
                </c:pt>
                <c:pt idx="1223">
                  <c:v>2217962.171875</c:v>
                </c:pt>
                <c:pt idx="1224">
                  <c:v>2217962.171875</c:v>
                </c:pt>
                <c:pt idx="1225">
                  <c:v>2217962.171875</c:v>
                </c:pt>
                <c:pt idx="1226">
                  <c:v>2217962.171875</c:v>
                </c:pt>
                <c:pt idx="1227">
                  <c:v>2217962.171875</c:v>
                </c:pt>
                <c:pt idx="1228">
                  <c:v>2217962.171875</c:v>
                </c:pt>
                <c:pt idx="1229">
                  <c:v>2217962.171875</c:v>
                </c:pt>
                <c:pt idx="1230">
                  <c:v>2217962.171875</c:v>
                </c:pt>
                <c:pt idx="1231">
                  <c:v>2217962.171875</c:v>
                </c:pt>
                <c:pt idx="1232">
                  <c:v>2217962.171875</c:v>
                </c:pt>
                <c:pt idx="1233">
                  <c:v>2217962.171875</c:v>
                </c:pt>
                <c:pt idx="1234">
                  <c:v>2217962.171875</c:v>
                </c:pt>
                <c:pt idx="1235">
                  <c:v>2217962.171875</c:v>
                </c:pt>
                <c:pt idx="1236">
                  <c:v>2217962.171875</c:v>
                </c:pt>
                <c:pt idx="1237">
                  <c:v>2217962.171875</c:v>
                </c:pt>
                <c:pt idx="1238">
                  <c:v>2217962.171875</c:v>
                </c:pt>
                <c:pt idx="1239">
                  <c:v>2217962.171875</c:v>
                </c:pt>
                <c:pt idx="1240">
                  <c:v>2217962.171875</c:v>
                </c:pt>
                <c:pt idx="1241">
                  <c:v>2217962.171875</c:v>
                </c:pt>
                <c:pt idx="1242">
                  <c:v>2217962.171875</c:v>
                </c:pt>
                <c:pt idx="1243">
                  <c:v>2217962.171875</c:v>
                </c:pt>
                <c:pt idx="1244">
                  <c:v>2217962.171875</c:v>
                </c:pt>
                <c:pt idx="1245">
                  <c:v>2217962.171875</c:v>
                </c:pt>
                <c:pt idx="1246">
                  <c:v>2217962.171875</c:v>
                </c:pt>
                <c:pt idx="1247">
                  <c:v>2217962.171875</c:v>
                </c:pt>
                <c:pt idx="1248">
                  <c:v>2217962.171875</c:v>
                </c:pt>
                <c:pt idx="1249">
                  <c:v>2217962.171875</c:v>
                </c:pt>
                <c:pt idx="1250">
                  <c:v>2217962.171875</c:v>
                </c:pt>
                <c:pt idx="1251">
                  <c:v>2217962.171875</c:v>
                </c:pt>
                <c:pt idx="1252">
                  <c:v>2217962.171875</c:v>
                </c:pt>
                <c:pt idx="1253">
                  <c:v>2217962.171875</c:v>
                </c:pt>
                <c:pt idx="1254">
                  <c:v>2217962.171875</c:v>
                </c:pt>
                <c:pt idx="1255">
                  <c:v>2217962.171875</c:v>
                </c:pt>
                <c:pt idx="1256">
                  <c:v>2217962.171875</c:v>
                </c:pt>
                <c:pt idx="1257">
                  <c:v>2217962.171875</c:v>
                </c:pt>
                <c:pt idx="1258">
                  <c:v>2217962.171875</c:v>
                </c:pt>
                <c:pt idx="1259">
                  <c:v>2217962.171875</c:v>
                </c:pt>
                <c:pt idx="1260">
                  <c:v>2217962.171875</c:v>
                </c:pt>
                <c:pt idx="1261">
                  <c:v>2217962.171875</c:v>
                </c:pt>
                <c:pt idx="1262">
                  <c:v>2217962.171875</c:v>
                </c:pt>
                <c:pt idx="1263">
                  <c:v>2217962.171875</c:v>
                </c:pt>
                <c:pt idx="1264">
                  <c:v>2217962.171875</c:v>
                </c:pt>
                <c:pt idx="1265">
                  <c:v>2217962.171875</c:v>
                </c:pt>
                <c:pt idx="1266">
                  <c:v>2217962.171875</c:v>
                </c:pt>
                <c:pt idx="1267">
                  <c:v>2217962.171875</c:v>
                </c:pt>
                <c:pt idx="1268">
                  <c:v>2217962.171875</c:v>
                </c:pt>
                <c:pt idx="1269">
                  <c:v>2217962.171875</c:v>
                </c:pt>
                <c:pt idx="1270">
                  <c:v>2217962.171875</c:v>
                </c:pt>
                <c:pt idx="1271">
                  <c:v>2217962.171875</c:v>
                </c:pt>
                <c:pt idx="1272">
                  <c:v>2217962.171875</c:v>
                </c:pt>
                <c:pt idx="1273">
                  <c:v>2217962.171875</c:v>
                </c:pt>
                <c:pt idx="1274">
                  <c:v>2217962.171875</c:v>
                </c:pt>
                <c:pt idx="1275">
                  <c:v>2217962.171875</c:v>
                </c:pt>
                <c:pt idx="1276">
                  <c:v>2217962.171875</c:v>
                </c:pt>
                <c:pt idx="1277">
                  <c:v>2217962.171875</c:v>
                </c:pt>
                <c:pt idx="1278">
                  <c:v>2217962.171875</c:v>
                </c:pt>
                <c:pt idx="1279">
                  <c:v>2217962.171875</c:v>
                </c:pt>
                <c:pt idx="1280">
                  <c:v>2217962.171875</c:v>
                </c:pt>
                <c:pt idx="1281">
                  <c:v>2217962.171875</c:v>
                </c:pt>
                <c:pt idx="1282">
                  <c:v>2217962.171875</c:v>
                </c:pt>
                <c:pt idx="1283">
                  <c:v>2217962.171875</c:v>
                </c:pt>
                <c:pt idx="1284">
                  <c:v>2217962.171875</c:v>
                </c:pt>
                <c:pt idx="1285">
                  <c:v>2217962.171875</c:v>
                </c:pt>
                <c:pt idx="1286">
                  <c:v>2217962.171875</c:v>
                </c:pt>
                <c:pt idx="1287">
                  <c:v>2217962.171875</c:v>
                </c:pt>
                <c:pt idx="1288">
                  <c:v>2217962.171875</c:v>
                </c:pt>
                <c:pt idx="1289">
                  <c:v>2217962.171875</c:v>
                </c:pt>
                <c:pt idx="1290">
                  <c:v>2217962.171875</c:v>
                </c:pt>
                <c:pt idx="1291">
                  <c:v>2217962.171875</c:v>
                </c:pt>
                <c:pt idx="1292">
                  <c:v>2217962.171875</c:v>
                </c:pt>
                <c:pt idx="1293">
                  <c:v>2217962.171875</c:v>
                </c:pt>
                <c:pt idx="1294">
                  <c:v>2217962.171875</c:v>
                </c:pt>
                <c:pt idx="1295">
                  <c:v>2217962.171875</c:v>
                </c:pt>
                <c:pt idx="1296">
                  <c:v>2217962.171875</c:v>
                </c:pt>
                <c:pt idx="1297">
                  <c:v>2217962.171875</c:v>
                </c:pt>
                <c:pt idx="1298">
                  <c:v>2217962.171875</c:v>
                </c:pt>
                <c:pt idx="1299">
                  <c:v>2217962.171875</c:v>
                </c:pt>
                <c:pt idx="1300">
                  <c:v>2217962.171875</c:v>
                </c:pt>
                <c:pt idx="1301">
                  <c:v>2217962.171875</c:v>
                </c:pt>
                <c:pt idx="1302">
                  <c:v>2217962.171875</c:v>
                </c:pt>
                <c:pt idx="1303">
                  <c:v>2217962.171875</c:v>
                </c:pt>
                <c:pt idx="1304">
                  <c:v>2217962.171875</c:v>
                </c:pt>
                <c:pt idx="1305">
                  <c:v>2217962.171875</c:v>
                </c:pt>
                <c:pt idx="1306">
                  <c:v>2217962.171875</c:v>
                </c:pt>
                <c:pt idx="1307">
                  <c:v>2217962.171875</c:v>
                </c:pt>
                <c:pt idx="1308">
                  <c:v>2217962.171875</c:v>
                </c:pt>
                <c:pt idx="1309">
                  <c:v>2217962.171875</c:v>
                </c:pt>
                <c:pt idx="1310">
                  <c:v>2217962.171875</c:v>
                </c:pt>
                <c:pt idx="1311">
                  <c:v>2217962.171875</c:v>
                </c:pt>
                <c:pt idx="1312">
                  <c:v>2217962.171875</c:v>
                </c:pt>
                <c:pt idx="1313">
                  <c:v>2217962.171875</c:v>
                </c:pt>
                <c:pt idx="1314">
                  <c:v>2217962.171875</c:v>
                </c:pt>
                <c:pt idx="1315">
                  <c:v>2217962.171875</c:v>
                </c:pt>
                <c:pt idx="1316">
                  <c:v>2217962.171875</c:v>
                </c:pt>
                <c:pt idx="1317">
                  <c:v>2217962.171875</c:v>
                </c:pt>
                <c:pt idx="1318">
                  <c:v>2217962.171875</c:v>
                </c:pt>
                <c:pt idx="1319">
                  <c:v>2217962.171875</c:v>
                </c:pt>
                <c:pt idx="1320">
                  <c:v>2217962.171875</c:v>
                </c:pt>
                <c:pt idx="1321">
                  <c:v>2217962.171875</c:v>
                </c:pt>
                <c:pt idx="1322">
                  <c:v>2217962.171875</c:v>
                </c:pt>
                <c:pt idx="1323">
                  <c:v>2217962.171875</c:v>
                </c:pt>
                <c:pt idx="1324">
                  <c:v>2217962.171875</c:v>
                </c:pt>
                <c:pt idx="1325">
                  <c:v>2217962.171875</c:v>
                </c:pt>
                <c:pt idx="1326">
                  <c:v>2217962.171875</c:v>
                </c:pt>
                <c:pt idx="1327">
                  <c:v>2217962.171875</c:v>
                </c:pt>
                <c:pt idx="1328">
                  <c:v>2217962.171875</c:v>
                </c:pt>
                <c:pt idx="1329">
                  <c:v>2217962.171875</c:v>
                </c:pt>
                <c:pt idx="1330">
                  <c:v>2217962.171875</c:v>
                </c:pt>
                <c:pt idx="1331">
                  <c:v>2217962.171875</c:v>
                </c:pt>
                <c:pt idx="1332">
                  <c:v>2217962.171875</c:v>
                </c:pt>
                <c:pt idx="1333">
                  <c:v>2217962.171875</c:v>
                </c:pt>
                <c:pt idx="1334">
                  <c:v>2217962.171875</c:v>
                </c:pt>
                <c:pt idx="1335">
                  <c:v>2217962.171875</c:v>
                </c:pt>
                <c:pt idx="1336">
                  <c:v>2217962.171875</c:v>
                </c:pt>
                <c:pt idx="1337">
                  <c:v>2217962.171875</c:v>
                </c:pt>
                <c:pt idx="1338">
                  <c:v>2217962.171875</c:v>
                </c:pt>
                <c:pt idx="1339">
                  <c:v>2217962.171875</c:v>
                </c:pt>
                <c:pt idx="1340">
                  <c:v>2217962.171875</c:v>
                </c:pt>
                <c:pt idx="1341">
                  <c:v>2217962.171875</c:v>
                </c:pt>
                <c:pt idx="1342">
                  <c:v>2217962.171875</c:v>
                </c:pt>
                <c:pt idx="1343">
                  <c:v>2217962.171875</c:v>
                </c:pt>
                <c:pt idx="1344">
                  <c:v>2217962.171875</c:v>
                </c:pt>
                <c:pt idx="1345">
                  <c:v>2217962.171875</c:v>
                </c:pt>
                <c:pt idx="1346">
                  <c:v>2217962.171875</c:v>
                </c:pt>
                <c:pt idx="1347">
                  <c:v>2217962.171875</c:v>
                </c:pt>
                <c:pt idx="1348">
                  <c:v>2217962.171875</c:v>
                </c:pt>
                <c:pt idx="1349">
                  <c:v>2217962.171875</c:v>
                </c:pt>
                <c:pt idx="1350">
                  <c:v>2217962.171875</c:v>
                </c:pt>
                <c:pt idx="1351">
                  <c:v>2217962.171875</c:v>
                </c:pt>
                <c:pt idx="1352">
                  <c:v>2217962.171875</c:v>
                </c:pt>
                <c:pt idx="1353">
                  <c:v>2217962.171875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654748.97349999985</c:v>
                </c:pt>
                <c:pt idx="31">
                  <c:v>654748.97349999985</c:v>
                </c:pt>
                <c:pt idx="32">
                  <c:v>818939.5009999997</c:v>
                </c:pt>
                <c:pt idx="33">
                  <c:v>818939.5009999997</c:v>
                </c:pt>
                <c:pt idx="34">
                  <c:v>818439.5009999997</c:v>
                </c:pt>
                <c:pt idx="35">
                  <c:v>818439.5009999997</c:v>
                </c:pt>
                <c:pt idx="36">
                  <c:v>818439.5009999997</c:v>
                </c:pt>
                <c:pt idx="37">
                  <c:v>784514.95499999961</c:v>
                </c:pt>
                <c:pt idx="38">
                  <c:v>737467.32312499965</c:v>
                </c:pt>
                <c:pt idx="39">
                  <c:v>737467.32312499965</c:v>
                </c:pt>
                <c:pt idx="40">
                  <c:v>737467.32312499965</c:v>
                </c:pt>
                <c:pt idx="41">
                  <c:v>737467.32312499965</c:v>
                </c:pt>
                <c:pt idx="42">
                  <c:v>737467.32312499965</c:v>
                </c:pt>
                <c:pt idx="43">
                  <c:v>737467.32312499965</c:v>
                </c:pt>
                <c:pt idx="44">
                  <c:v>737467.32312499965</c:v>
                </c:pt>
                <c:pt idx="45">
                  <c:v>737467.32312499965</c:v>
                </c:pt>
                <c:pt idx="46">
                  <c:v>737467.32312499965</c:v>
                </c:pt>
                <c:pt idx="47">
                  <c:v>737467.32312499965</c:v>
                </c:pt>
                <c:pt idx="48">
                  <c:v>737467.32312499965</c:v>
                </c:pt>
                <c:pt idx="49">
                  <c:v>737467.32312499965</c:v>
                </c:pt>
                <c:pt idx="50">
                  <c:v>737467.32312499965</c:v>
                </c:pt>
                <c:pt idx="51">
                  <c:v>737467.32312499965</c:v>
                </c:pt>
                <c:pt idx="52">
                  <c:v>737467.32312499965</c:v>
                </c:pt>
                <c:pt idx="53">
                  <c:v>737467.32312499965</c:v>
                </c:pt>
                <c:pt idx="54">
                  <c:v>737467.32312499965</c:v>
                </c:pt>
                <c:pt idx="55">
                  <c:v>737467.32312499965</c:v>
                </c:pt>
                <c:pt idx="56">
                  <c:v>737467.32312499965</c:v>
                </c:pt>
                <c:pt idx="57">
                  <c:v>737467.32312499965</c:v>
                </c:pt>
                <c:pt idx="58">
                  <c:v>737467.32312499965</c:v>
                </c:pt>
                <c:pt idx="59">
                  <c:v>737467.32312499965</c:v>
                </c:pt>
                <c:pt idx="60">
                  <c:v>737467.32312499965</c:v>
                </c:pt>
                <c:pt idx="61">
                  <c:v>737467.32312499965</c:v>
                </c:pt>
                <c:pt idx="62">
                  <c:v>737467.32312499965</c:v>
                </c:pt>
                <c:pt idx="63">
                  <c:v>737467.32312499965</c:v>
                </c:pt>
                <c:pt idx="64">
                  <c:v>737467.32312499965</c:v>
                </c:pt>
                <c:pt idx="65">
                  <c:v>737467.32312499965</c:v>
                </c:pt>
                <c:pt idx="66">
                  <c:v>737467.32312499965</c:v>
                </c:pt>
                <c:pt idx="67">
                  <c:v>737467.32312499965</c:v>
                </c:pt>
                <c:pt idx="68">
                  <c:v>737467.32312499965</c:v>
                </c:pt>
                <c:pt idx="69">
                  <c:v>737467.32312499965</c:v>
                </c:pt>
                <c:pt idx="70">
                  <c:v>737467.32312499965</c:v>
                </c:pt>
                <c:pt idx="71">
                  <c:v>737467.32312499965</c:v>
                </c:pt>
                <c:pt idx="72">
                  <c:v>737467.32312499965</c:v>
                </c:pt>
                <c:pt idx="73">
                  <c:v>737467.32312499965</c:v>
                </c:pt>
                <c:pt idx="74">
                  <c:v>737467.32312499965</c:v>
                </c:pt>
                <c:pt idx="75">
                  <c:v>737467.32312499965</c:v>
                </c:pt>
                <c:pt idx="76">
                  <c:v>737467.32312499965</c:v>
                </c:pt>
                <c:pt idx="77">
                  <c:v>737467.32312499965</c:v>
                </c:pt>
                <c:pt idx="78">
                  <c:v>737467.32312499965</c:v>
                </c:pt>
                <c:pt idx="79">
                  <c:v>737467.32312499965</c:v>
                </c:pt>
                <c:pt idx="80">
                  <c:v>737467.32312499965</c:v>
                </c:pt>
                <c:pt idx="81">
                  <c:v>737467.32312499965</c:v>
                </c:pt>
                <c:pt idx="82">
                  <c:v>737467.32312499965</c:v>
                </c:pt>
                <c:pt idx="83">
                  <c:v>737467.32312499965</c:v>
                </c:pt>
                <c:pt idx="84">
                  <c:v>737467.32312499965</c:v>
                </c:pt>
                <c:pt idx="85">
                  <c:v>737467.32312499965</c:v>
                </c:pt>
                <c:pt idx="86">
                  <c:v>737467.32312499965</c:v>
                </c:pt>
                <c:pt idx="87">
                  <c:v>737467.32312499965</c:v>
                </c:pt>
                <c:pt idx="88">
                  <c:v>737467.32312499965</c:v>
                </c:pt>
                <c:pt idx="89">
                  <c:v>737467.32312499965</c:v>
                </c:pt>
                <c:pt idx="90">
                  <c:v>737467.32312499965</c:v>
                </c:pt>
                <c:pt idx="91">
                  <c:v>737467.32312499965</c:v>
                </c:pt>
                <c:pt idx="92">
                  <c:v>737467.32312499965</c:v>
                </c:pt>
                <c:pt idx="93">
                  <c:v>737467.32312499965</c:v>
                </c:pt>
                <c:pt idx="94">
                  <c:v>737467.32312499965</c:v>
                </c:pt>
                <c:pt idx="95">
                  <c:v>737467.32312499965</c:v>
                </c:pt>
                <c:pt idx="96">
                  <c:v>737467.32312499965</c:v>
                </c:pt>
                <c:pt idx="97">
                  <c:v>737467.32312499965</c:v>
                </c:pt>
                <c:pt idx="98">
                  <c:v>737467.32312499965</c:v>
                </c:pt>
                <c:pt idx="99">
                  <c:v>737467.32312499965</c:v>
                </c:pt>
                <c:pt idx="100">
                  <c:v>737467.32312499965</c:v>
                </c:pt>
                <c:pt idx="101">
                  <c:v>737467.32312499965</c:v>
                </c:pt>
                <c:pt idx="102">
                  <c:v>737467.32312499965</c:v>
                </c:pt>
                <c:pt idx="103">
                  <c:v>737467.32312499965</c:v>
                </c:pt>
                <c:pt idx="104">
                  <c:v>737467.32312499965</c:v>
                </c:pt>
                <c:pt idx="105">
                  <c:v>737467.32312499965</c:v>
                </c:pt>
                <c:pt idx="106">
                  <c:v>737467.32312499965</c:v>
                </c:pt>
                <c:pt idx="107">
                  <c:v>737467.32312499965</c:v>
                </c:pt>
                <c:pt idx="108">
                  <c:v>737467.32312499965</c:v>
                </c:pt>
                <c:pt idx="109">
                  <c:v>737467.32312499965</c:v>
                </c:pt>
                <c:pt idx="110">
                  <c:v>737467.32312499965</c:v>
                </c:pt>
                <c:pt idx="111">
                  <c:v>737467.32312499965</c:v>
                </c:pt>
                <c:pt idx="112">
                  <c:v>737467.32312499965</c:v>
                </c:pt>
                <c:pt idx="113">
                  <c:v>737467.32312499965</c:v>
                </c:pt>
                <c:pt idx="114">
                  <c:v>737467.32312499965</c:v>
                </c:pt>
                <c:pt idx="115">
                  <c:v>737467.32312499965</c:v>
                </c:pt>
                <c:pt idx="116">
                  <c:v>737467.32312499965</c:v>
                </c:pt>
                <c:pt idx="117">
                  <c:v>737467.32312499965</c:v>
                </c:pt>
                <c:pt idx="118">
                  <c:v>737467.32312499965</c:v>
                </c:pt>
                <c:pt idx="119">
                  <c:v>737467.32312499965</c:v>
                </c:pt>
                <c:pt idx="120">
                  <c:v>737467.32312499965</c:v>
                </c:pt>
                <c:pt idx="121">
                  <c:v>737467.32312499965</c:v>
                </c:pt>
                <c:pt idx="122">
                  <c:v>737467.32312499965</c:v>
                </c:pt>
                <c:pt idx="123">
                  <c:v>737467.32312499965</c:v>
                </c:pt>
                <c:pt idx="124">
                  <c:v>737467.32312499965</c:v>
                </c:pt>
                <c:pt idx="125">
                  <c:v>737467.32312499965</c:v>
                </c:pt>
                <c:pt idx="126">
                  <c:v>737467.32312499965</c:v>
                </c:pt>
                <c:pt idx="127">
                  <c:v>737467.32312499965</c:v>
                </c:pt>
                <c:pt idx="128">
                  <c:v>737467.32312499965</c:v>
                </c:pt>
                <c:pt idx="129">
                  <c:v>737467.32312499965</c:v>
                </c:pt>
                <c:pt idx="130">
                  <c:v>737467.32312499965</c:v>
                </c:pt>
                <c:pt idx="131">
                  <c:v>737467.32312499965</c:v>
                </c:pt>
                <c:pt idx="132">
                  <c:v>737467.32312499965</c:v>
                </c:pt>
                <c:pt idx="133">
                  <c:v>737467.32312499965</c:v>
                </c:pt>
                <c:pt idx="134">
                  <c:v>737467.32312499965</c:v>
                </c:pt>
                <c:pt idx="135">
                  <c:v>737467.32312499965</c:v>
                </c:pt>
                <c:pt idx="136">
                  <c:v>737467.32312499965</c:v>
                </c:pt>
                <c:pt idx="137">
                  <c:v>737467.32312499965</c:v>
                </c:pt>
                <c:pt idx="138">
                  <c:v>737467.32312499965</c:v>
                </c:pt>
                <c:pt idx="139">
                  <c:v>737467.32312499965</c:v>
                </c:pt>
                <c:pt idx="140">
                  <c:v>737467.32312499965</c:v>
                </c:pt>
                <c:pt idx="141">
                  <c:v>737467.32312499965</c:v>
                </c:pt>
                <c:pt idx="142">
                  <c:v>737467.32312499965</c:v>
                </c:pt>
                <c:pt idx="143">
                  <c:v>737467.32312499965</c:v>
                </c:pt>
                <c:pt idx="144">
                  <c:v>737467.32312499965</c:v>
                </c:pt>
                <c:pt idx="145">
                  <c:v>737467.32312499965</c:v>
                </c:pt>
                <c:pt idx="146">
                  <c:v>737467.32312499965</c:v>
                </c:pt>
                <c:pt idx="147">
                  <c:v>737467.32312499965</c:v>
                </c:pt>
                <c:pt idx="148">
                  <c:v>737467.32312499965</c:v>
                </c:pt>
                <c:pt idx="149">
                  <c:v>737467.32312499965</c:v>
                </c:pt>
                <c:pt idx="150">
                  <c:v>737467.32312499965</c:v>
                </c:pt>
                <c:pt idx="151">
                  <c:v>737467.32312499965</c:v>
                </c:pt>
                <c:pt idx="152">
                  <c:v>737467.32312499965</c:v>
                </c:pt>
                <c:pt idx="153">
                  <c:v>737467.32312499965</c:v>
                </c:pt>
                <c:pt idx="154">
                  <c:v>737467.32312499965</c:v>
                </c:pt>
                <c:pt idx="155">
                  <c:v>737467.32312499965</c:v>
                </c:pt>
                <c:pt idx="156">
                  <c:v>737467.32312499965</c:v>
                </c:pt>
                <c:pt idx="157">
                  <c:v>737467.32312499965</c:v>
                </c:pt>
                <c:pt idx="158">
                  <c:v>737467.32312499965</c:v>
                </c:pt>
                <c:pt idx="159">
                  <c:v>737467.32312499965</c:v>
                </c:pt>
                <c:pt idx="160">
                  <c:v>737467.32312499965</c:v>
                </c:pt>
                <c:pt idx="161">
                  <c:v>737467.32312499965</c:v>
                </c:pt>
                <c:pt idx="162">
                  <c:v>737467.32312499965</c:v>
                </c:pt>
                <c:pt idx="163">
                  <c:v>737467.32312499965</c:v>
                </c:pt>
                <c:pt idx="164">
                  <c:v>737467.32312499965</c:v>
                </c:pt>
                <c:pt idx="165">
                  <c:v>737467.32312499965</c:v>
                </c:pt>
                <c:pt idx="166">
                  <c:v>737467.32312499965</c:v>
                </c:pt>
                <c:pt idx="167">
                  <c:v>737467.32312499965</c:v>
                </c:pt>
                <c:pt idx="168">
                  <c:v>737467.32312499965</c:v>
                </c:pt>
                <c:pt idx="169">
                  <c:v>737467.32312499965</c:v>
                </c:pt>
                <c:pt idx="170">
                  <c:v>737467.32312499965</c:v>
                </c:pt>
                <c:pt idx="171">
                  <c:v>737467.32312499965</c:v>
                </c:pt>
                <c:pt idx="172">
                  <c:v>737467.32312499965</c:v>
                </c:pt>
                <c:pt idx="173">
                  <c:v>737467.32312499965</c:v>
                </c:pt>
                <c:pt idx="174">
                  <c:v>737467.32312499965</c:v>
                </c:pt>
                <c:pt idx="175">
                  <c:v>737467.32312499965</c:v>
                </c:pt>
                <c:pt idx="176">
                  <c:v>737467.32312499965</c:v>
                </c:pt>
                <c:pt idx="177">
                  <c:v>737467.32312499965</c:v>
                </c:pt>
                <c:pt idx="178">
                  <c:v>737467.32312499965</c:v>
                </c:pt>
                <c:pt idx="179">
                  <c:v>737467.32312499965</c:v>
                </c:pt>
                <c:pt idx="180">
                  <c:v>737467.32312499965</c:v>
                </c:pt>
                <c:pt idx="181">
                  <c:v>737467.32312499965</c:v>
                </c:pt>
                <c:pt idx="182">
                  <c:v>737467.32312499965</c:v>
                </c:pt>
                <c:pt idx="183">
                  <c:v>737467.32312499965</c:v>
                </c:pt>
                <c:pt idx="184">
                  <c:v>737467.32312499965</c:v>
                </c:pt>
                <c:pt idx="185">
                  <c:v>737467.32312499965</c:v>
                </c:pt>
                <c:pt idx="186">
                  <c:v>737467.32312499965</c:v>
                </c:pt>
                <c:pt idx="187">
                  <c:v>737467.32312499965</c:v>
                </c:pt>
                <c:pt idx="188">
                  <c:v>737467.32312499965</c:v>
                </c:pt>
                <c:pt idx="189">
                  <c:v>737467.32312499965</c:v>
                </c:pt>
                <c:pt idx="190">
                  <c:v>737467.32312499965</c:v>
                </c:pt>
                <c:pt idx="191">
                  <c:v>737467.32312499965</c:v>
                </c:pt>
                <c:pt idx="192">
                  <c:v>737467.32312499965</c:v>
                </c:pt>
                <c:pt idx="193">
                  <c:v>737467.32312499965</c:v>
                </c:pt>
                <c:pt idx="194">
                  <c:v>737467.32312499965</c:v>
                </c:pt>
                <c:pt idx="195">
                  <c:v>737467.32312499965</c:v>
                </c:pt>
                <c:pt idx="196">
                  <c:v>737467.32312499965</c:v>
                </c:pt>
                <c:pt idx="197">
                  <c:v>737467.32312499965</c:v>
                </c:pt>
                <c:pt idx="198">
                  <c:v>737467.32312499965</c:v>
                </c:pt>
                <c:pt idx="199">
                  <c:v>737467.32312499965</c:v>
                </c:pt>
                <c:pt idx="200">
                  <c:v>737467.32312499965</c:v>
                </c:pt>
                <c:pt idx="201">
                  <c:v>737467.32312499965</c:v>
                </c:pt>
                <c:pt idx="202">
                  <c:v>737467.32312499965</c:v>
                </c:pt>
                <c:pt idx="203">
                  <c:v>737467.32312499965</c:v>
                </c:pt>
                <c:pt idx="204">
                  <c:v>737467.32312499965</c:v>
                </c:pt>
                <c:pt idx="205">
                  <c:v>737467.32312499965</c:v>
                </c:pt>
                <c:pt idx="206">
                  <c:v>737467.32312499965</c:v>
                </c:pt>
                <c:pt idx="207">
                  <c:v>737467.32312499965</c:v>
                </c:pt>
                <c:pt idx="208">
                  <c:v>737467.32312499965</c:v>
                </c:pt>
                <c:pt idx="209">
                  <c:v>737467.32312499965</c:v>
                </c:pt>
                <c:pt idx="210">
                  <c:v>737467.32312499965</c:v>
                </c:pt>
                <c:pt idx="211">
                  <c:v>737467.32312499965</c:v>
                </c:pt>
                <c:pt idx="212">
                  <c:v>737467.32312499965</c:v>
                </c:pt>
                <c:pt idx="213">
                  <c:v>737467.32312499965</c:v>
                </c:pt>
                <c:pt idx="214">
                  <c:v>737467.32312499965</c:v>
                </c:pt>
                <c:pt idx="215">
                  <c:v>737467.32312499965</c:v>
                </c:pt>
                <c:pt idx="216">
                  <c:v>737467.32312499965</c:v>
                </c:pt>
                <c:pt idx="217">
                  <c:v>737467.32312499965</c:v>
                </c:pt>
                <c:pt idx="218">
                  <c:v>737467.32312499965</c:v>
                </c:pt>
                <c:pt idx="219">
                  <c:v>737467.32312499965</c:v>
                </c:pt>
                <c:pt idx="220">
                  <c:v>737467.32312499965</c:v>
                </c:pt>
                <c:pt idx="221">
                  <c:v>737467.32312499965</c:v>
                </c:pt>
                <c:pt idx="222">
                  <c:v>737467.32312499965</c:v>
                </c:pt>
                <c:pt idx="223">
                  <c:v>737467.32312499965</c:v>
                </c:pt>
                <c:pt idx="224">
                  <c:v>737467.32312499965</c:v>
                </c:pt>
                <c:pt idx="225">
                  <c:v>737467.32312499965</c:v>
                </c:pt>
                <c:pt idx="226">
                  <c:v>737467.32312499965</c:v>
                </c:pt>
                <c:pt idx="227">
                  <c:v>737467.32312499965</c:v>
                </c:pt>
                <c:pt idx="228">
                  <c:v>737467.32312499965</c:v>
                </c:pt>
                <c:pt idx="229">
                  <c:v>737467.32312499965</c:v>
                </c:pt>
                <c:pt idx="230">
                  <c:v>737467.32312499965</c:v>
                </c:pt>
                <c:pt idx="231">
                  <c:v>737467.32312499965</c:v>
                </c:pt>
                <c:pt idx="232">
                  <c:v>737467.32312499965</c:v>
                </c:pt>
                <c:pt idx="233">
                  <c:v>737467.32312499965</c:v>
                </c:pt>
                <c:pt idx="234">
                  <c:v>737467.32312499965</c:v>
                </c:pt>
                <c:pt idx="235">
                  <c:v>737467.32312499965</c:v>
                </c:pt>
                <c:pt idx="236">
                  <c:v>737467.32312499965</c:v>
                </c:pt>
                <c:pt idx="237">
                  <c:v>737467.32312499965</c:v>
                </c:pt>
                <c:pt idx="238">
                  <c:v>737467.32312499965</c:v>
                </c:pt>
                <c:pt idx="239">
                  <c:v>737467.32312499965</c:v>
                </c:pt>
                <c:pt idx="240">
                  <c:v>737467.32312499965</c:v>
                </c:pt>
                <c:pt idx="241">
                  <c:v>737467.32312499965</c:v>
                </c:pt>
                <c:pt idx="242">
                  <c:v>737467.32312499965</c:v>
                </c:pt>
                <c:pt idx="243">
                  <c:v>737467.32312499965</c:v>
                </c:pt>
                <c:pt idx="244">
                  <c:v>737467.32312499965</c:v>
                </c:pt>
                <c:pt idx="245">
                  <c:v>737467.32312499965</c:v>
                </c:pt>
                <c:pt idx="246">
                  <c:v>737467.32312499965</c:v>
                </c:pt>
                <c:pt idx="247">
                  <c:v>737467.32312499965</c:v>
                </c:pt>
                <c:pt idx="248">
                  <c:v>737467.32312499965</c:v>
                </c:pt>
                <c:pt idx="249">
                  <c:v>737467.32312499965</c:v>
                </c:pt>
                <c:pt idx="250">
                  <c:v>737467.32312499965</c:v>
                </c:pt>
                <c:pt idx="251">
                  <c:v>737467.32312499965</c:v>
                </c:pt>
                <c:pt idx="252">
                  <c:v>737467.32312499965</c:v>
                </c:pt>
                <c:pt idx="253">
                  <c:v>737467.32312499965</c:v>
                </c:pt>
                <c:pt idx="254">
                  <c:v>737467.32312499965</c:v>
                </c:pt>
                <c:pt idx="255">
                  <c:v>737467.32312499965</c:v>
                </c:pt>
                <c:pt idx="256">
                  <c:v>737467.32312499965</c:v>
                </c:pt>
                <c:pt idx="257">
                  <c:v>737467.32312499965</c:v>
                </c:pt>
                <c:pt idx="258">
                  <c:v>737467.32312499965</c:v>
                </c:pt>
                <c:pt idx="259">
                  <c:v>737467.32312499965</c:v>
                </c:pt>
                <c:pt idx="260">
                  <c:v>737467.32312499965</c:v>
                </c:pt>
                <c:pt idx="261">
                  <c:v>737467.32312499965</c:v>
                </c:pt>
                <c:pt idx="262">
                  <c:v>737467.32312499965</c:v>
                </c:pt>
                <c:pt idx="263">
                  <c:v>737467.32312499965</c:v>
                </c:pt>
                <c:pt idx="264">
                  <c:v>737467.32312499965</c:v>
                </c:pt>
                <c:pt idx="265">
                  <c:v>737467.32312499965</c:v>
                </c:pt>
                <c:pt idx="266">
                  <c:v>737467.32312499965</c:v>
                </c:pt>
                <c:pt idx="267">
                  <c:v>737467.32312499965</c:v>
                </c:pt>
                <c:pt idx="268">
                  <c:v>737467.32312499965</c:v>
                </c:pt>
                <c:pt idx="269">
                  <c:v>737467.32312499965</c:v>
                </c:pt>
                <c:pt idx="270">
                  <c:v>737467.32312499965</c:v>
                </c:pt>
                <c:pt idx="271">
                  <c:v>737467.32312499965</c:v>
                </c:pt>
                <c:pt idx="272">
                  <c:v>737467.32312499965</c:v>
                </c:pt>
                <c:pt idx="273">
                  <c:v>737467.32312499965</c:v>
                </c:pt>
                <c:pt idx="274">
                  <c:v>737467.32312499965</c:v>
                </c:pt>
                <c:pt idx="275">
                  <c:v>737467.32312499965</c:v>
                </c:pt>
                <c:pt idx="276">
                  <c:v>737467.32312499965</c:v>
                </c:pt>
                <c:pt idx="277">
                  <c:v>737467.32312499965</c:v>
                </c:pt>
                <c:pt idx="278">
                  <c:v>737467.32312499965</c:v>
                </c:pt>
                <c:pt idx="279">
                  <c:v>737467.32312499965</c:v>
                </c:pt>
                <c:pt idx="280">
                  <c:v>737467.32312499965</c:v>
                </c:pt>
                <c:pt idx="281">
                  <c:v>737467.32312499965</c:v>
                </c:pt>
                <c:pt idx="282">
                  <c:v>737467.32312499965</c:v>
                </c:pt>
                <c:pt idx="283">
                  <c:v>737467.32312499965</c:v>
                </c:pt>
                <c:pt idx="284">
                  <c:v>737467.32312499965</c:v>
                </c:pt>
                <c:pt idx="285">
                  <c:v>737467.32312499965</c:v>
                </c:pt>
                <c:pt idx="286">
                  <c:v>737467.32312499965</c:v>
                </c:pt>
                <c:pt idx="287">
                  <c:v>737467.32312499965</c:v>
                </c:pt>
                <c:pt idx="288">
                  <c:v>737467.32312499965</c:v>
                </c:pt>
                <c:pt idx="289">
                  <c:v>737467.32312499965</c:v>
                </c:pt>
                <c:pt idx="290">
                  <c:v>737467.32312499965</c:v>
                </c:pt>
                <c:pt idx="291">
                  <c:v>737467.32312499965</c:v>
                </c:pt>
                <c:pt idx="292">
                  <c:v>737467.32312499965</c:v>
                </c:pt>
                <c:pt idx="293">
                  <c:v>737467.32312499965</c:v>
                </c:pt>
                <c:pt idx="294">
                  <c:v>737467.32312499965</c:v>
                </c:pt>
                <c:pt idx="295">
                  <c:v>737467.32312499965</c:v>
                </c:pt>
                <c:pt idx="296">
                  <c:v>737467.32312499965</c:v>
                </c:pt>
                <c:pt idx="297">
                  <c:v>737467.32312499965</c:v>
                </c:pt>
                <c:pt idx="298">
                  <c:v>737467.32312499965</c:v>
                </c:pt>
                <c:pt idx="299">
                  <c:v>737467.32312499965</c:v>
                </c:pt>
                <c:pt idx="300">
                  <c:v>737467.32312499965</c:v>
                </c:pt>
                <c:pt idx="301">
                  <c:v>737467.32312499965</c:v>
                </c:pt>
                <c:pt idx="302">
                  <c:v>737467.32312499965</c:v>
                </c:pt>
                <c:pt idx="303">
                  <c:v>737467.32312499965</c:v>
                </c:pt>
                <c:pt idx="304">
                  <c:v>737467.32312499965</c:v>
                </c:pt>
                <c:pt idx="305">
                  <c:v>737467.32312499965</c:v>
                </c:pt>
                <c:pt idx="306">
                  <c:v>737467.32312499965</c:v>
                </c:pt>
                <c:pt idx="307">
                  <c:v>737467.32312499965</c:v>
                </c:pt>
                <c:pt idx="308">
                  <c:v>737467.32312499965</c:v>
                </c:pt>
                <c:pt idx="309">
                  <c:v>737467.32312499965</c:v>
                </c:pt>
                <c:pt idx="310">
                  <c:v>737467.32312499965</c:v>
                </c:pt>
                <c:pt idx="311">
                  <c:v>737467.32312499965</c:v>
                </c:pt>
                <c:pt idx="312">
                  <c:v>737467.32312499965</c:v>
                </c:pt>
                <c:pt idx="313">
                  <c:v>737467.32312499965</c:v>
                </c:pt>
                <c:pt idx="314">
                  <c:v>737467.32312499965</c:v>
                </c:pt>
                <c:pt idx="315">
                  <c:v>737467.32312499965</c:v>
                </c:pt>
                <c:pt idx="316">
                  <c:v>737467.32312499965</c:v>
                </c:pt>
                <c:pt idx="317">
                  <c:v>737467.32312499965</c:v>
                </c:pt>
                <c:pt idx="318">
                  <c:v>737467.32312499965</c:v>
                </c:pt>
                <c:pt idx="319">
                  <c:v>737467.32312499965</c:v>
                </c:pt>
                <c:pt idx="320">
                  <c:v>737467.32312499965</c:v>
                </c:pt>
                <c:pt idx="321">
                  <c:v>737467.32312499965</c:v>
                </c:pt>
                <c:pt idx="322">
                  <c:v>737467.32312499965</c:v>
                </c:pt>
                <c:pt idx="323">
                  <c:v>737467.32312499965</c:v>
                </c:pt>
                <c:pt idx="324">
                  <c:v>737467.32312499965</c:v>
                </c:pt>
                <c:pt idx="325">
                  <c:v>737467.32312499965</c:v>
                </c:pt>
                <c:pt idx="326">
                  <c:v>737467.32312499965</c:v>
                </c:pt>
                <c:pt idx="327">
                  <c:v>737467.32312499965</c:v>
                </c:pt>
                <c:pt idx="328">
                  <c:v>737467.32312499965</c:v>
                </c:pt>
                <c:pt idx="329">
                  <c:v>737467.32312499965</c:v>
                </c:pt>
                <c:pt idx="330">
                  <c:v>737467.32312499965</c:v>
                </c:pt>
                <c:pt idx="331">
                  <c:v>737467.32312499965</c:v>
                </c:pt>
                <c:pt idx="332">
                  <c:v>737467.32312499965</c:v>
                </c:pt>
                <c:pt idx="333">
                  <c:v>737467.32312499965</c:v>
                </c:pt>
                <c:pt idx="334">
                  <c:v>737467.32312499965</c:v>
                </c:pt>
                <c:pt idx="335">
                  <c:v>737467.32312499965</c:v>
                </c:pt>
                <c:pt idx="336">
                  <c:v>737467.32312499965</c:v>
                </c:pt>
                <c:pt idx="337">
                  <c:v>737467.32312499965</c:v>
                </c:pt>
                <c:pt idx="338">
                  <c:v>737467.32312499965</c:v>
                </c:pt>
                <c:pt idx="339">
                  <c:v>737467.32312499965</c:v>
                </c:pt>
                <c:pt idx="340">
                  <c:v>737467.32312499965</c:v>
                </c:pt>
                <c:pt idx="341">
                  <c:v>737467.32312499965</c:v>
                </c:pt>
                <c:pt idx="342">
                  <c:v>737467.32312499965</c:v>
                </c:pt>
                <c:pt idx="343">
                  <c:v>737467.32312499965</c:v>
                </c:pt>
                <c:pt idx="344">
                  <c:v>737467.32312499965</c:v>
                </c:pt>
                <c:pt idx="345">
                  <c:v>737467.32312499965</c:v>
                </c:pt>
                <c:pt idx="346">
                  <c:v>737467.32312499965</c:v>
                </c:pt>
                <c:pt idx="347">
                  <c:v>737467.32312499965</c:v>
                </c:pt>
                <c:pt idx="348">
                  <c:v>737467.32312499965</c:v>
                </c:pt>
                <c:pt idx="349">
                  <c:v>737467.32312499965</c:v>
                </c:pt>
                <c:pt idx="350">
                  <c:v>737467.32312499965</c:v>
                </c:pt>
                <c:pt idx="351">
                  <c:v>737467.32312499965</c:v>
                </c:pt>
                <c:pt idx="352">
                  <c:v>737467.32312499965</c:v>
                </c:pt>
                <c:pt idx="353">
                  <c:v>737467.32312499965</c:v>
                </c:pt>
                <c:pt idx="354">
                  <c:v>737467.32312499965</c:v>
                </c:pt>
                <c:pt idx="355">
                  <c:v>737467.32312499965</c:v>
                </c:pt>
                <c:pt idx="356">
                  <c:v>737467.32312499965</c:v>
                </c:pt>
                <c:pt idx="357">
                  <c:v>737467.32312499965</c:v>
                </c:pt>
                <c:pt idx="358">
                  <c:v>737467.32312499965</c:v>
                </c:pt>
                <c:pt idx="359">
                  <c:v>737467.32312499965</c:v>
                </c:pt>
                <c:pt idx="360">
                  <c:v>737467.32312499965</c:v>
                </c:pt>
                <c:pt idx="361">
                  <c:v>737467.32312499965</c:v>
                </c:pt>
                <c:pt idx="362">
                  <c:v>737467.32312499965</c:v>
                </c:pt>
                <c:pt idx="363">
                  <c:v>737467.32312499965</c:v>
                </c:pt>
                <c:pt idx="364">
                  <c:v>737467.32312499965</c:v>
                </c:pt>
                <c:pt idx="365">
                  <c:v>737467.32312499965</c:v>
                </c:pt>
                <c:pt idx="366">
                  <c:v>737467.32312499965</c:v>
                </c:pt>
                <c:pt idx="367">
                  <c:v>737467.32312499965</c:v>
                </c:pt>
                <c:pt idx="368">
                  <c:v>737467.32312499965</c:v>
                </c:pt>
                <c:pt idx="369">
                  <c:v>737467.32312499965</c:v>
                </c:pt>
                <c:pt idx="370">
                  <c:v>737467.32312499965</c:v>
                </c:pt>
                <c:pt idx="371">
                  <c:v>737467.32312499965</c:v>
                </c:pt>
                <c:pt idx="372">
                  <c:v>737467.32312499965</c:v>
                </c:pt>
                <c:pt idx="373">
                  <c:v>737467.32312499965</c:v>
                </c:pt>
                <c:pt idx="374">
                  <c:v>737467.32312499965</c:v>
                </c:pt>
                <c:pt idx="375">
                  <c:v>737467.32312499965</c:v>
                </c:pt>
                <c:pt idx="376">
                  <c:v>737467.32312499965</c:v>
                </c:pt>
                <c:pt idx="377">
                  <c:v>737467.32312499965</c:v>
                </c:pt>
                <c:pt idx="378">
                  <c:v>737467.32312499965</c:v>
                </c:pt>
                <c:pt idx="379">
                  <c:v>737467.32312499965</c:v>
                </c:pt>
                <c:pt idx="380">
                  <c:v>737467.32312499965</c:v>
                </c:pt>
                <c:pt idx="381">
                  <c:v>737467.32312499965</c:v>
                </c:pt>
                <c:pt idx="382">
                  <c:v>737467.32312499965</c:v>
                </c:pt>
                <c:pt idx="383">
                  <c:v>737467.32312499965</c:v>
                </c:pt>
                <c:pt idx="384">
                  <c:v>737467.32312499965</c:v>
                </c:pt>
                <c:pt idx="385">
                  <c:v>737467.32312499965</c:v>
                </c:pt>
                <c:pt idx="386">
                  <c:v>737467.32312499965</c:v>
                </c:pt>
                <c:pt idx="387">
                  <c:v>737467.32312499965</c:v>
                </c:pt>
                <c:pt idx="388">
                  <c:v>737467.32312499965</c:v>
                </c:pt>
                <c:pt idx="389">
                  <c:v>737467.32312499965</c:v>
                </c:pt>
                <c:pt idx="390">
                  <c:v>737467.32312499965</c:v>
                </c:pt>
                <c:pt idx="391">
                  <c:v>737467.32312499965</c:v>
                </c:pt>
                <c:pt idx="392">
                  <c:v>737467.32312499965</c:v>
                </c:pt>
                <c:pt idx="393">
                  <c:v>737467.32312499965</c:v>
                </c:pt>
                <c:pt idx="394">
                  <c:v>737467.32312499965</c:v>
                </c:pt>
                <c:pt idx="395">
                  <c:v>737467.32312499965</c:v>
                </c:pt>
                <c:pt idx="396">
                  <c:v>737467.32312499965</c:v>
                </c:pt>
                <c:pt idx="397">
                  <c:v>737467.32312499965</c:v>
                </c:pt>
                <c:pt idx="398">
                  <c:v>737467.32312499965</c:v>
                </c:pt>
                <c:pt idx="399">
                  <c:v>737467.32312499965</c:v>
                </c:pt>
                <c:pt idx="400">
                  <c:v>737467.32312499965</c:v>
                </c:pt>
                <c:pt idx="401">
                  <c:v>737467.32312499965</c:v>
                </c:pt>
                <c:pt idx="402">
                  <c:v>737467.32312499965</c:v>
                </c:pt>
                <c:pt idx="403">
                  <c:v>737467.32312499965</c:v>
                </c:pt>
                <c:pt idx="404">
                  <c:v>737467.32312499965</c:v>
                </c:pt>
                <c:pt idx="405">
                  <c:v>737467.32312499965</c:v>
                </c:pt>
                <c:pt idx="406">
                  <c:v>737467.32312499965</c:v>
                </c:pt>
                <c:pt idx="407">
                  <c:v>737467.32312499965</c:v>
                </c:pt>
                <c:pt idx="408">
                  <c:v>737467.32312499965</c:v>
                </c:pt>
                <c:pt idx="409">
                  <c:v>737467.32312499965</c:v>
                </c:pt>
                <c:pt idx="410">
                  <c:v>737467.32312499965</c:v>
                </c:pt>
                <c:pt idx="411">
                  <c:v>737467.32312499965</c:v>
                </c:pt>
                <c:pt idx="412">
                  <c:v>737467.32312499965</c:v>
                </c:pt>
                <c:pt idx="413">
                  <c:v>737467.32312499965</c:v>
                </c:pt>
                <c:pt idx="414">
                  <c:v>737467.32312499965</c:v>
                </c:pt>
                <c:pt idx="415">
                  <c:v>737467.32312499965</c:v>
                </c:pt>
                <c:pt idx="416">
                  <c:v>737467.32312499965</c:v>
                </c:pt>
                <c:pt idx="417">
                  <c:v>737467.32312499965</c:v>
                </c:pt>
                <c:pt idx="418">
                  <c:v>737467.32312499965</c:v>
                </c:pt>
                <c:pt idx="419">
                  <c:v>737467.32312499965</c:v>
                </c:pt>
                <c:pt idx="420">
                  <c:v>737467.32312499965</c:v>
                </c:pt>
                <c:pt idx="421">
                  <c:v>737467.32312499965</c:v>
                </c:pt>
                <c:pt idx="422">
                  <c:v>737467.32312499965</c:v>
                </c:pt>
                <c:pt idx="423">
                  <c:v>737467.32312499965</c:v>
                </c:pt>
                <c:pt idx="424">
                  <c:v>737467.32312499965</c:v>
                </c:pt>
                <c:pt idx="425">
                  <c:v>737467.32312499965</c:v>
                </c:pt>
                <c:pt idx="426">
                  <c:v>737467.32312499965</c:v>
                </c:pt>
                <c:pt idx="427">
                  <c:v>737467.32312499965</c:v>
                </c:pt>
                <c:pt idx="428">
                  <c:v>737467.32312499965</c:v>
                </c:pt>
                <c:pt idx="429">
                  <c:v>737467.32312499965</c:v>
                </c:pt>
                <c:pt idx="430">
                  <c:v>737467.32312499965</c:v>
                </c:pt>
                <c:pt idx="431">
                  <c:v>737467.32312499965</c:v>
                </c:pt>
                <c:pt idx="432">
                  <c:v>737467.32312499965</c:v>
                </c:pt>
                <c:pt idx="433">
                  <c:v>737467.32312499965</c:v>
                </c:pt>
                <c:pt idx="434">
                  <c:v>737467.32312499965</c:v>
                </c:pt>
                <c:pt idx="435">
                  <c:v>737467.32312499965</c:v>
                </c:pt>
                <c:pt idx="436">
                  <c:v>737467.32312499965</c:v>
                </c:pt>
                <c:pt idx="437">
                  <c:v>737467.32312499965</c:v>
                </c:pt>
                <c:pt idx="438">
                  <c:v>737467.32312499965</c:v>
                </c:pt>
                <c:pt idx="439">
                  <c:v>737467.32312499965</c:v>
                </c:pt>
                <c:pt idx="440">
                  <c:v>737467.32312499965</c:v>
                </c:pt>
                <c:pt idx="441">
                  <c:v>737467.32312499965</c:v>
                </c:pt>
                <c:pt idx="442">
                  <c:v>737467.32312499965</c:v>
                </c:pt>
                <c:pt idx="443">
                  <c:v>737467.32312499965</c:v>
                </c:pt>
                <c:pt idx="444">
                  <c:v>737467.32312499965</c:v>
                </c:pt>
                <c:pt idx="445">
                  <c:v>737467.32312499965</c:v>
                </c:pt>
                <c:pt idx="446">
                  <c:v>737467.32312499965</c:v>
                </c:pt>
                <c:pt idx="447">
                  <c:v>737467.32312499965</c:v>
                </c:pt>
                <c:pt idx="448">
                  <c:v>737467.32312499965</c:v>
                </c:pt>
                <c:pt idx="449">
                  <c:v>737467.32312499965</c:v>
                </c:pt>
                <c:pt idx="450">
                  <c:v>737467.32312499965</c:v>
                </c:pt>
                <c:pt idx="451">
                  <c:v>737467.32312499965</c:v>
                </c:pt>
                <c:pt idx="452">
                  <c:v>737467.32312499965</c:v>
                </c:pt>
                <c:pt idx="453">
                  <c:v>737467.32312499965</c:v>
                </c:pt>
                <c:pt idx="454">
                  <c:v>737467.32312499965</c:v>
                </c:pt>
                <c:pt idx="455">
                  <c:v>737467.32312499965</c:v>
                </c:pt>
                <c:pt idx="456">
                  <c:v>737467.32312499965</c:v>
                </c:pt>
                <c:pt idx="457">
                  <c:v>737467.32312499965</c:v>
                </c:pt>
                <c:pt idx="458">
                  <c:v>737467.32312499965</c:v>
                </c:pt>
                <c:pt idx="459">
                  <c:v>737467.32312499965</c:v>
                </c:pt>
                <c:pt idx="460">
                  <c:v>737467.32312499965</c:v>
                </c:pt>
                <c:pt idx="461">
                  <c:v>737467.32312499965</c:v>
                </c:pt>
                <c:pt idx="462">
                  <c:v>737467.32312499965</c:v>
                </c:pt>
                <c:pt idx="463">
                  <c:v>737467.32312499965</c:v>
                </c:pt>
                <c:pt idx="464">
                  <c:v>737467.32312499965</c:v>
                </c:pt>
                <c:pt idx="465">
                  <c:v>737467.32312499965</c:v>
                </c:pt>
                <c:pt idx="466">
                  <c:v>737467.32312499965</c:v>
                </c:pt>
                <c:pt idx="467">
                  <c:v>737467.32312499965</c:v>
                </c:pt>
                <c:pt idx="468">
                  <c:v>737467.32312499965</c:v>
                </c:pt>
                <c:pt idx="469">
                  <c:v>737467.32312499965</c:v>
                </c:pt>
                <c:pt idx="470">
                  <c:v>737467.32312499965</c:v>
                </c:pt>
                <c:pt idx="471">
                  <c:v>737467.32312499965</c:v>
                </c:pt>
                <c:pt idx="472">
                  <c:v>737467.32312499965</c:v>
                </c:pt>
                <c:pt idx="473">
                  <c:v>737467.32312499965</c:v>
                </c:pt>
                <c:pt idx="474">
                  <c:v>737467.32312499965</c:v>
                </c:pt>
                <c:pt idx="475">
                  <c:v>737467.32312499965</c:v>
                </c:pt>
                <c:pt idx="476">
                  <c:v>737467.32312499965</c:v>
                </c:pt>
                <c:pt idx="477">
                  <c:v>737467.32312499965</c:v>
                </c:pt>
                <c:pt idx="478">
                  <c:v>737467.32312499965</c:v>
                </c:pt>
                <c:pt idx="479">
                  <c:v>737467.32312499965</c:v>
                </c:pt>
                <c:pt idx="480">
                  <c:v>737467.32312499965</c:v>
                </c:pt>
                <c:pt idx="481">
                  <c:v>737467.32312499965</c:v>
                </c:pt>
                <c:pt idx="482">
                  <c:v>737467.32312499965</c:v>
                </c:pt>
                <c:pt idx="483">
                  <c:v>737467.32312499965</c:v>
                </c:pt>
                <c:pt idx="484">
                  <c:v>737467.32312499965</c:v>
                </c:pt>
                <c:pt idx="485">
                  <c:v>737467.32312499965</c:v>
                </c:pt>
                <c:pt idx="486">
                  <c:v>737467.32312499965</c:v>
                </c:pt>
                <c:pt idx="487">
                  <c:v>737467.32312499965</c:v>
                </c:pt>
                <c:pt idx="488">
                  <c:v>737467.32312499965</c:v>
                </c:pt>
                <c:pt idx="489">
                  <c:v>737467.32312499965</c:v>
                </c:pt>
                <c:pt idx="490">
                  <c:v>737467.32312499965</c:v>
                </c:pt>
                <c:pt idx="491">
                  <c:v>737467.32312499965</c:v>
                </c:pt>
                <c:pt idx="492">
                  <c:v>737467.32312499965</c:v>
                </c:pt>
                <c:pt idx="493">
                  <c:v>737467.32312499965</c:v>
                </c:pt>
                <c:pt idx="494">
                  <c:v>737467.32312499965</c:v>
                </c:pt>
                <c:pt idx="495">
                  <c:v>737467.32312499965</c:v>
                </c:pt>
                <c:pt idx="496">
                  <c:v>737467.32312499965</c:v>
                </c:pt>
                <c:pt idx="497">
                  <c:v>737467.32312499965</c:v>
                </c:pt>
                <c:pt idx="498">
                  <c:v>737467.32312499965</c:v>
                </c:pt>
                <c:pt idx="499">
                  <c:v>737467.32312499965</c:v>
                </c:pt>
                <c:pt idx="500">
                  <c:v>737467.32312499965</c:v>
                </c:pt>
                <c:pt idx="501">
                  <c:v>737467.32312499965</c:v>
                </c:pt>
                <c:pt idx="502">
                  <c:v>737467.32312499965</c:v>
                </c:pt>
                <c:pt idx="503">
                  <c:v>737467.32312499965</c:v>
                </c:pt>
                <c:pt idx="504">
                  <c:v>737467.32312499965</c:v>
                </c:pt>
                <c:pt idx="505">
                  <c:v>737467.32312499965</c:v>
                </c:pt>
                <c:pt idx="506">
                  <c:v>737467.32312499965</c:v>
                </c:pt>
                <c:pt idx="507">
                  <c:v>737467.32312499965</c:v>
                </c:pt>
                <c:pt idx="508">
                  <c:v>737467.32312499965</c:v>
                </c:pt>
                <c:pt idx="509">
                  <c:v>737467.32312499965</c:v>
                </c:pt>
                <c:pt idx="510">
                  <c:v>737467.32312499965</c:v>
                </c:pt>
                <c:pt idx="511">
                  <c:v>737467.32312499965</c:v>
                </c:pt>
                <c:pt idx="512">
                  <c:v>737467.32312499965</c:v>
                </c:pt>
                <c:pt idx="513">
                  <c:v>737467.32312499965</c:v>
                </c:pt>
                <c:pt idx="514">
                  <c:v>737467.32312499965</c:v>
                </c:pt>
                <c:pt idx="515">
                  <c:v>737467.32312499965</c:v>
                </c:pt>
                <c:pt idx="516">
                  <c:v>737467.32312499965</c:v>
                </c:pt>
                <c:pt idx="517">
                  <c:v>737467.32312499965</c:v>
                </c:pt>
                <c:pt idx="518">
                  <c:v>737467.32312499965</c:v>
                </c:pt>
                <c:pt idx="519">
                  <c:v>737467.32312499965</c:v>
                </c:pt>
                <c:pt idx="520">
                  <c:v>737467.32312499965</c:v>
                </c:pt>
                <c:pt idx="521">
                  <c:v>737467.32312499965</c:v>
                </c:pt>
                <c:pt idx="522">
                  <c:v>737467.32312499965</c:v>
                </c:pt>
                <c:pt idx="523">
                  <c:v>737467.32312499965</c:v>
                </c:pt>
                <c:pt idx="524">
                  <c:v>737467.32312499965</c:v>
                </c:pt>
                <c:pt idx="525">
                  <c:v>737467.32312499965</c:v>
                </c:pt>
                <c:pt idx="526">
                  <c:v>737467.32312499965</c:v>
                </c:pt>
                <c:pt idx="527">
                  <c:v>737467.32312499965</c:v>
                </c:pt>
                <c:pt idx="528">
                  <c:v>737467.32312499965</c:v>
                </c:pt>
                <c:pt idx="529">
                  <c:v>737467.32312499965</c:v>
                </c:pt>
                <c:pt idx="530">
                  <c:v>737467.32312499965</c:v>
                </c:pt>
                <c:pt idx="531">
                  <c:v>737467.32312499965</c:v>
                </c:pt>
                <c:pt idx="532">
                  <c:v>737467.32312499965</c:v>
                </c:pt>
                <c:pt idx="533">
                  <c:v>737467.32312499965</c:v>
                </c:pt>
                <c:pt idx="534">
                  <c:v>737467.32312499965</c:v>
                </c:pt>
                <c:pt idx="535">
                  <c:v>737467.32312499965</c:v>
                </c:pt>
                <c:pt idx="536">
                  <c:v>737467.32312499965</c:v>
                </c:pt>
                <c:pt idx="537">
                  <c:v>737467.32312499965</c:v>
                </c:pt>
                <c:pt idx="538">
                  <c:v>737467.32312499965</c:v>
                </c:pt>
                <c:pt idx="539">
                  <c:v>737467.32312499965</c:v>
                </c:pt>
                <c:pt idx="540">
                  <c:v>737467.32312499965</c:v>
                </c:pt>
                <c:pt idx="541">
                  <c:v>737467.32312499965</c:v>
                </c:pt>
                <c:pt idx="542">
                  <c:v>737467.32312499965</c:v>
                </c:pt>
                <c:pt idx="543">
                  <c:v>737467.32312499965</c:v>
                </c:pt>
                <c:pt idx="544">
                  <c:v>737467.32312499965</c:v>
                </c:pt>
                <c:pt idx="545">
                  <c:v>737467.32312499965</c:v>
                </c:pt>
                <c:pt idx="546">
                  <c:v>737467.32312499965</c:v>
                </c:pt>
                <c:pt idx="547">
                  <c:v>737467.32312499965</c:v>
                </c:pt>
                <c:pt idx="548">
                  <c:v>737467.32312499965</c:v>
                </c:pt>
                <c:pt idx="549">
                  <c:v>737467.32312499965</c:v>
                </c:pt>
                <c:pt idx="550">
                  <c:v>737467.32312499965</c:v>
                </c:pt>
                <c:pt idx="551">
                  <c:v>737467.32312499965</c:v>
                </c:pt>
                <c:pt idx="552">
                  <c:v>737467.32312499965</c:v>
                </c:pt>
                <c:pt idx="553">
                  <c:v>737467.32312499965</c:v>
                </c:pt>
                <c:pt idx="554">
                  <c:v>737467.32312499965</c:v>
                </c:pt>
                <c:pt idx="555">
                  <c:v>737467.32312499965</c:v>
                </c:pt>
                <c:pt idx="556">
                  <c:v>737467.32312499965</c:v>
                </c:pt>
                <c:pt idx="557">
                  <c:v>737467.32312499965</c:v>
                </c:pt>
                <c:pt idx="558">
                  <c:v>737467.32312499965</c:v>
                </c:pt>
                <c:pt idx="559">
                  <c:v>737467.32312499965</c:v>
                </c:pt>
                <c:pt idx="560">
                  <c:v>737467.32312499965</c:v>
                </c:pt>
                <c:pt idx="561">
                  <c:v>737467.32312499965</c:v>
                </c:pt>
                <c:pt idx="562">
                  <c:v>737467.32312499965</c:v>
                </c:pt>
                <c:pt idx="563">
                  <c:v>737467.32312499965</c:v>
                </c:pt>
                <c:pt idx="564">
                  <c:v>737467.32312499965</c:v>
                </c:pt>
                <c:pt idx="565">
                  <c:v>737467.32312499965</c:v>
                </c:pt>
                <c:pt idx="566">
                  <c:v>737467.32312499965</c:v>
                </c:pt>
                <c:pt idx="567">
                  <c:v>737467.32312499965</c:v>
                </c:pt>
                <c:pt idx="568">
                  <c:v>737467.32312499965</c:v>
                </c:pt>
                <c:pt idx="569">
                  <c:v>737467.32312499965</c:v>
                </c:pt>
                <c:pt idx="570">
                  <c:v>737467.32312499965</c:v>
                </c:pt>
                <c:pt idx="571">
                  <c:v>737467.32312499965</c:v>
                </c:pt>
                <c:pt idx="572">
                  <c:v>737467.32312499965</c:v>
                </c:pt>
                <c:pt idx="573">
                  <c:v>737467.32312499965</c:v>
                </c:pt>
                <c:pt idx="574">
                  <c:v>737467.32312499965</c:v>
                </c:pt>
                <c:pt idx="575">
                  <c:v>737467.32312499965</c:v>
                </c:pt>
                <c:pt idx="576">
                  <c:v>737467.32312499965</c:v>
                </c:pt>
                <c:pt idx="577">
                  <c:v>737467.32312499965</c:v>
                </c:pt>
                <c:pt idx="578">
                  <c:v>737467.32312499965</c:v>
                </c:pt>
                <c:pt idx="579">
                  <c:v>737467.32312499965</c:v>
                </c:pt>
                <c:pt idx="580">
                  <c:v>737467.32312499965</c:v>
                </c:pt>
                <c:pt idx="581">
                  <c:v>737467.32312499965</c:v>
                </c:pt>
                <c:pt idx="582">
                  <c:v>737467.32312499965</c:v>
                </c:pt>
                <c:pt idx="583">
                  <c:v>737467.32312499965</c:v>
                </c:pt>
                <c:pt idx="584">
                  <c:v>737467.32312499965</c:v>
                </c:pt>
                <c:pt idx="585">
                  <c:v>737467.32312499965</c:v>
                </c:pt>
                <c:pt idx="586">
                  <c:v>737467.32312499965</c:v>
                </c:pt>
                <c:pt idx="587">
                  <c:v>737467.32312499965</c:v>
                </c:pt>
                <c:pt idx="588">
                  <c:v>737467.32312499965</c:v>
                </c:pt>
                <c:pt idx="589">
                  <c:v>737467.32312499965</c:v>
                </c:pt>
                <c:pt idx="590">
                  <c:v>737467.32312499965</c:v>
                </c:pt>
                <c:pt idx="591">
                  <c:v>737467.32312499965</c:v>
                </c:pt>
                <c:pt idx="592">
                  <c:v>737467.32312499965</c:v>
                </c:pt>
                <c:pt idx="593">
                  <c:v>737467.32312499965</c:v>
                </c:pt>
                <c:pt idx="594">
                  <c:v>737467.32312499965</c:v>
                </c:pt>
                <c:pt idx="595">
                  <c:v>737467.32312499965</c:v>
                </c:pt>
                <c:pt idx="596">
                  <c:v>737467.32312499965</c:v>
                </c:pt>
                <c:pt idx="597">
                  <c:v>737467.32312499965</c:v>
                </c:pt>
                <c:pt idx="598">
                  <c:v>737467.32312499965</c:v>
                </c:pt>
                <c:pt idx="599">
                  <c:v>737467.32312499965</c:v>
                </c:pt>
                <c:pt idx="600">
                  <c:v>737467.32312499965</c:v>
                </c:pt>
                <c:pt idx="601">
                  <c:v>737467.32312499965</c:v>
                </c:pt>
                <c:pt idx="602">
                  <c:v>737467.32312499965</c:v>
                </c:pt>
                <c:pt idx="603">
                  <c:v>737467.32312499965</c:v>
                </c:pt>
                <c:pt idx="604">
                  <c:v>737467.32312499965</c:v>
                </c:pt>
                <c:pt idx="605">
                  <c:v>737467.32312499965</c:v>
                </c:pt>
                <c:pt idx="606">
                  <c:v>737467.32312499965</c:v>
                </c:pt>
                <c:pt idx="607">
                  <c:v>737467.32312499965</c:v>
                </c:pt>
                <c:pt idx="608">
                  <c:v>737467.32312499965</c:v>
                </c:pt>
                <c:pt idx="609">
                  <c:v>737467.32312499965</c:v>
                </c:pt>
                <c:pt idx="610">
                  <c:v>737467.32312499965</c:v>
                </c:pt>
                <c:pt idx="611">
                  <c:v>737467.32312499965</c:v>
                </c:pt>
                <c:pt idx="612">
                  <c:v>737467.32312499965</c:v>
                </c:pt>
                <c:pt idx="613">
                  <c:v>737467.32312499965</c:v>
                </c:pt>
                <c:pt idx="614">
                  <c:v>737467.32312499965</c:v>
                </c:pt>
                <c:pt idx="615">
                  <c:v>737467.32312499965</c:v>
                </c:pt>
                <c:pt idx="616">
                  <c:v>737467.32312499965</c:v>
                </c:pt>
                <c:pt idx="617">
                  <c:v>737467.32312499965</c:v>
                </c:pt>
                <c:pt idx="618">
                  <c:v>737467.32312499965</c:v>
                </c:pt>
                <c:pt idx="619">
                  <c:v>737467.32312499965</c:v>
                </c:pt>
                <c:pt idx="620">
                  <c:v>737467.32312499965</c:v>
                </c:pt>
                <c:pt idx="621">
                  <c:v>737467.32312499965</c:v>
                </c:pt>
                <c:pt idx="622">
                  <c:v>737467.32312499965</c:v>
                </c:pt>
                <c:pt idx="623">
                  <c:v>737467.32312499965</c:v>
                </c:pt>
                <c:pt idx="624">
                  <c:v>737467.32312499965</c:v>
                </c:pt>
                <c:pt idx="625">
                  <c:v>737467.32312499965</c:v>
                </c:pt>
                <c:pt idx="626">
                  <c:v>737467.32312499965</c:v>
                </c:pt>
                <c:pt idx="627">
                  <c:v>737467.32312499965</c:v>
                </c:pt>
                <c:pt idx="628">
                  <c:v>737467.32312499965</c:v>
                </c:pt>
                <c:pt idx="629">
                  <c:v>737467.32312499965</c:v>
                </c:pt>
                <c:pt idx="630">
                  <c:v>737467.32312499965</c:v>
                </c:pt>
                <c:pt idx="631">
                  <c:v>737467.32312499965</c:v>
                </c:pt>
                <c:pt idx="632">
                  <c:v>737467.32312499965</c:v>
                </c:pt>
                <c:pt idx="633">
                  <c:v>737467.32312499965</c:v>
                </c:pt>
                <c:pt idx="634">
                  <c:v>737467.32312499965</c:v>
                </c:pt>
                <c:pt idx="635">
                  <c:v>737467.32312499965</c:v>
                </c:pt>
                <c:pt idx="636">
                  <c:v>737467.32312499965</c:v>
                </c:pt>
                <c:pt idx="637">
                  <c:v>737467.32312499965</c:v>
                </c:pt>
                <c:pt idx="638">
                  <c:v>737467.32312499965</c:v>
                </c:pt>
                <c:pt idx="639">
                  <c:v>737467.32312499965</c:v>
                </c:pt>
                <c:pt idx="640">
                  <c:v>737467.32312499965</c:v>
                </c:pt>
                <c:pt idx="641">
                  <c:v>737467.32312499965</c:v>
                </c:pt>
                <c:pt idx="642">
                  <c:v>737467.32312499965</c:v>
                </c:pt>
                <c:pt idx="643">
                  <c:v>737467.32312499965</c:v>
                </c:pt>
                <c:pt idx="644">
                  <c:v>737467.32312499965</c:v>
                </c:pt>
                <c:pt idx="645">
                  <c:v>737467.32312499965</c:v>
                </c:pt>
                <c:pt idx="646">
                  <c:v>737467.32312499965</c:v>
                </c:pt>
                <c:pt idx="647">
                  <c:v>737467.32312499965</c:v>
                </c:pt>
                <c:pt idx="648">
                  <c:v>737467.32312499965</c:v>
                </c:pt>
                <c:pt idx="649">
                  <c:v>737467.32312499965</c:v>
                </c:pt>
                <c:pt idx="650">
                  <c:v>737467.32312499965</c:v>
                </c:pt>
                <c:pt idx="651">
                  <c:v>737467.32312499965</c:v>
                </c:pt>
                <c:pt idx="652">
                  <c:v>737467.32312499965</c:v>
                </c:pt>
                <c:pt idx="653">
                  <c:v>737467.32312499965</c:v>
                </c:pt>
                <c:pt idx="654">
                  <c:v>737467.32312499965</c:v>
                </c:pt>
                <c:pt idx="655">
                  <c:v>737467.32312499965</c:v>
                </c:pt>
                <c:pt idx="656">
                  <c:v>737467.32312499965</c:v>
                </c:pt>
                <c:pt idx="657">
                  <c:v>737467.32312499965</c:v>
                </c:pt>
                <c:pt idx="658">
                  <c:v>737467.32312499965</c:v>
                </c:pt>
                <c:pt idx="659">
                  <c:v>737467.32312499965</c:v>
                </c:pt>
                <c:pt idx="660">
                  <c:v>737467.32312499965</c:v>
                </c:pt>
                <c:pt idx="661">
                  <c:v>737467.32312499965</c:v>
                </c:pt>
                <c:pt idx="662">
                  <c:v>737467.32312499965</c:v>
                </c:pt>
                <c:pt idx="663">
                  <c:v>737467.32312499965</c:v>
                </c:pt>
                <c:pt idx="664">
                  <c:v>737467.32312499965</c:v>
                </c:pt>
                <c:pt idx="665">
                  <c:v>737467.32312499965</c:v>
                </c:pt>
                <c:pt idx="666">
                  <c:v>737467.32312499965</c:v>
                </c:pt>
                <c:pt idx="667">
                  <c:v>737467.32312499965</c:v>
                </c:pt>
                <c:pt idx="668">
                  <c:v>737467.32312499965</c:v>
                </c:pt>
                <c:pt idx="669">
                  <c:v>737467.32312499965</c:v>
                </c:pt>
                <c:pt idx="670">
                  <c:v>737467.32312499965</c:v>
                </c:pt>
                <c:pt idx="671">
                  <c:v>737467.32312499965</c:v>
                </c:pt>
                <c:pt idx="672">
                  <c:v>737467.32312499965</c:v>
                </c:pt>
                <c:pt idx="673">
                  <c:v>737467.32312499965</c:v>
                </c:pt>
                <c:pt idx="674">
                  <c:v>737467.32312499965</c:v>
                </c:pt>
                <c:pt idx="675">
                  <c:v>737467.32312499965</c:v>
                </c:pt>
                <c:pt idx="676">
                  <c:v>737467.32312499965</c:v>
                </c:pt>
                <c:pt idx="677">
                  <c:v>737467.32312499965</c:v>
                </c:pt>
                <c:pt idx="678">
                  <c:v>737467.32312499965</c:v>
                </c:pt>
                <c:pt idx="679">
                  <c:v>737467.32312499965</c:v>
                </c:pt>
                <c:pt idx="680">
                  <c:v>737467.32312499965</c:v>
                </c:pt>
                <c:pt idx="681">
                  <c:v>737467.32312499965</c:v>
                </c:pt>
                <c:pt idx="682">
                  <c:v>737467.32312499965</c:v>
                </c:pt>
                <c:pt idx="683">
                  <c:v>737467.32312499965</c:v>
                </c:pt>
                <c:pt idx="684">
                  <c:v>737467.32312499965</c:v>
                </c:pt>
                <c:pt idx="685">
                  <c:v>737467.32312499965</c:v>
                </c:pt>
                <c:pt idx="686">
                  <c:v>737467.32312499965</c:v>
                </c:pt>
                <c:pt idx="687">
                  <c:v>737467.32312499965</c:v>
                </c:pt>
                <c:pt idx="688">
                  <c:v>737467.32312499965</c:v>
                </c:pt>
                <c:pt idx="689">
                  <c:v>737467.32312499965</c:v>
                </c:pt>
                <c:pt idx="690">
                  <c:v>737467.32312499965</c:v>
                </c:pt>
                <c:pt idx="691">
                  <c:v>737467.32312499965</c:v>
                </c:pt>
                <c:pt idx="692">
                  <c:v>737467.32312499965</c:v>
                </c:pt>
                <c:pt idx="693">
                  <c:v>737467.32312499965</c:v>
                </c:pt>
                <c:pt idx="694">
                  <c:v>737467.32312499965</c:v>
                </c:pt>
                <c:pt idx="695">
                  <c:v>737467.32312499965</c:v>
                </c:pt>
                <c:pt idx="696">
                  <c:v>737467.32312499965</c:v>
                </c:pt>
                <c:pt idx="697">
                  <c:v>737467.32312499965</c:v>
                </c:pt>
                <c:pt idx="698">
                  <c:v>737467.32312499965</c:v>
                </c:pt>
                <c:pt idx="699">
                  <c:v>737467.32312499965</c:v>
                </c:pt>
                <c:pt idx="700">
                  <c:v>737467.32312499965</c:v>
                </c:pt>
                <c:pt idx="701">
                  <c:v>737467.32312499965</c:v>
                </c:pt>
                <c:pt idx="702">
                  <c:v>737467.32312499965</c:v>
                </c:pt>
                <c:pt idx="703">
                  <c:v>737467.32312499965</c:v>
                </c:pt>
                <c:pt idx="704">
                  <c:v>737467.32312499965</c:v>
                </c:pt>
                <c:pt idx="705">
                  <c:v>737467.32312499965</c:v>
                </c:pt>
                <c:pt idx="706">
                  <c:v>737467.32312499965</c:v>
                </c:pt>
                <c:pt idx="707">
                  <c:v>737467.32312499965</c:v>
                </c:pt>
                <c:pt idx="708">
                  <c:v>737467.32312499965</c:v>
                </c:pt>
                <c:pt idx="709">
                  <c:v>737467.32312499965</c:v>
                </c:pt>
                <c:pt idx="710">
                  <c:v>737467.32312499965</c:v>
                </c:pt>
                <c:pt idx="711">
                  <c:v>737467.32312499965</c:v>
                </c:pt>
                <c:pt idx="712">
                  <c:v>737467.32312499965</c:v>
                </c:pt>
                <c:pt idx="713">
                  <c:v>737467.32312499965</c:v>
                </c:pt>
                <c:pt idx="714">
                  <c:v>737467.32312499965</c:v>
                </c:pt>
                <c:pt idx="715">
                  <c:v>737467.32312499965</c:v>
                </c:pt>
                <c:pt idx="716">
                  <c:v>737467.32312499965</c:v>
                </c:pt>
                <c:pt idx="717">
                  <c:v>737467.32312499965</c:v>
                </c:pt>
                <c:pt idx="718">
                  <c:v>737467.32312499965</c:v>
                </c:pt>
                <c:pt idx="719">
                  <c:v>737467.32312499965</c:v>
                </c:pt>
                <c:pt idx="720">
                  <c:v>737467.32312499965</c:v>
                </c:pt>
                <c:pt idx="721">
                  <c:v>737467.32312499965</c:v>
                </c:pt>
                <c:pt idx="722">
                  <c:v>737467.32312499965</c:v>
                </c:pt>
                <c:pt idx="723">
                  <c:v>737467.32312499965</c:v>
                </c:pt>
                <c:pt idx="724">
                  <c:v>737467.32312499965</c:v>
                </c:pt>
                <c:pt idx="725">
                  <c:v>737467.32312499965</c:v>
                </c:pt>
                <c:pt idx="726">
                  <c:v>737467.32312499965</c:v>
                </c:pt>
                <c:pt idx="727">
                  <c:v>737467.32312499965</c:v>
                </c:pt>
                <c:pt idx="728">
                  <c:v>737467.32312499965</c:v>
                </c:pt>
                <c:pt idx="729">
                  <c:v>737467.32312499965</c:v>
                </c:pt>
                <c:pt idx="730">
                  <c:v>737467.32312499965</c:v>
                </c:pt>
                <c:pt idx="731">
                  <c:v>737467.32312499965</c:v>
                </c:pt>
                <c:pt idx="732">
                  <c:v>737467.32312499965</c:v>
                </c:pt>
                <c:pt idx="733">
                  <c:v>737467.32312499965</c:v>
                </c:pt>
                <c:pt idx="734">
                  <c:v>737467.32312499965</c:v>
                </c:pt>
                <c:pt idx="735">
                  <c:v>737467.32312499965</c:v>
                </c:pt>
                <c:pt idx="736">
                  <c:v>737467.32312499965</c:v>
                </c:pt>
                <c:pt idx="737">
                  <c:v>737467.32312499965</c:v>
                </c:pt>
                <c:pt idx="738">
                  <c:v>737467.32312499965</c:v>
                </c:pt>
                <c:pt idx="739">
                  <c:v>737467.32312499965</c:v>
                </c:pt>
                <c:pt idx="740">
                  <c:v>737467.32312499965</c:v>
                </c:pt>
                <c:pt idx="741">
                  <c:v>737467.32312499965</c:v>
                </c:pt>
                <c:pt idx="742">
                  <c:v>737467.32312499965</c:v>
                </c:pt>
                <c:pt idx="743">
                  <c:v>737467.32312499965</c:v>
                </c:pt>
                <c:pt idx="744">
                  <c:v>737467.32312499965</c:v>
                </c:pt>
                <c:pt idx="745">
                  <c:v>737467.32312499965</c:v>
                </c:pt>
                <c:pt idx="746">
                  <c:v>737467.32312499965</c:v>
                </c:pt>
                <c:pt idx="747">
                  <c:v>737467.32312499965</c:v>
                </c:pt>
                <c:pt idx="748">
                  <c:v>737467.32312499965</c:v>
                </c:pt>
                <c:pt idx="749">
                  <c:v>737467.32312499965</c:v>
                </c:pt>
                <c:pt idx="750">
                  <c:v>737467.32312499965</c:v>
                </c:pt>
                <c:pt idx="751">
                  <c:v>737467.32312499965</c:v>
                </c:pt>
                <c:pt idx="752">
                  <c:v>737467.32312499965</c:v>
                </c:pt>
                <c:pt idx="753">
                  <c:v>737467.32312499965</c:v>
                </c:pt>
                <c:pt idx="754">
                  <c:v>737467.32312499965</c:v>
                </c:pt>
                <c:pt idx="755">
                  <c:v>737467.32312499965</c:v>
                </c:pt>
                <c:pt idx="756">
                  <c:v>737467.32312499965</c:v>
                </c:pt>
                <c:pt idx="757">
                  <c:v>737467.32312499965</c:v>
                </c:pt>
                <c:pt idx="758">
                  <c:v>737467.32312499965</c:v>
                </c:pt>
                <c:pt idx="759">
                  <c:v>737467.32312499965</c:v>
                </c:pt>
                <c:pt idx="760">
                  <c:v>737467.32312499965</c:v>
                </c:pt>
                <c:pt idx="761">
                  <c:v>737467.32312499965</c:v>
                </c:pt>
                <c:pt idx="762">
                  <c:v>737467.32312499965</c:v>
                </c:pt>
                <c:pt idx="763">
                  <c:v>737467.32312499965</c:v>
                </c:pt>
                <c:pt idx="764">
                  <c:v>737467.32312499965</c:v>
                </c:pt>
                <c:pt idx="765">
                  <c:v>737467.32312499965</c:v>
                </c:pt>
                <c:pt idx="766">
                  <c:v>737467.32312499965</c:v>
                </c:pt>
                <c:pt idx="767">
                  <c:v>737467.32312499965</c:v>
                </c:pt>
                <c:pt idx="768">
                  <c:v>737467.32312499965</c:v>
                </c:pt>
                <c:pt idx="769">
                  <c:v>737467.32312499965</c:v>
                </c:pt>
                <c:pt idx="770">
                  <c:v>737467.32312499965</c:v>
                </c:pt>
                <c:pt idx="771">
                  <c:v>737467.32312499965</c:v>
                </c:pt>
                <c:pt idx="772">
                  <c:v>737467.32312499965</c:v>
                </c:pt>
                <c:pt idx="773">
                  <c:v>737467.32312499965</c:v>
                </c:pt>
                <c:pt idx="774">
                  <c:v>737467.32312499965</c:v>
                </c:pt>
                <c:pt idx="775">
                  <c:v>737467.32312499965</c:v>
                </c:pt>
                <c:pt idx="776">
                  <c:v>737467.32312499965</c:v>
                </c:pt>
                <c:pt idx="777">
                  <c:v>737467.32312499965</c:v>
                </c:pt>
                <c:pt idx="778">
                  <c:v>737467.32312499965</c:v>
                </c:pt>
                <c:pt idx="779">
                  <c:v>737467.32312499965</c:v>
                </c:pt>
                <c:pt idx="780">
                  <c:v>737467.32312499965</c:v>
                </c:pt>
                <c:pt idx="781">
                  <c:v>737467.32312499965</c:v>
                </c:pt>
                <c:pt idx="782">
                  <c:v>737467.32312499965</c:v>
                </c:pt>
                <c:pt idx="783">
                  <c:v>737467.32312499965</c:v>
                </c:pt>
                <c:pt idx="784">
                  <c:v>737467.32312499965</c:v>
                </c:pt>
                <c:pt idx="785">
                  <c:v>737467.32312499965</c:v>
                </c:pt>
                <c:pt idx="786">
                  <c:v>737467.32312499965</c:v>
                </c:pt>
                <c:pt idx="787">
                  <c:v>737467.32312499965</c:v>
                </c:pt>
                <c:pt idx="788">
                  <c:v>737467.32312499965</c:v>
                </c:pt>
                <c:pt idx="789">
                  <c:v>737467.32312499965</c:v>
                </c:pt>
                <c:pt idx="790">
                  <c:v>737467.32312499965</c:v>
                </c:pt>
                <c:pt idx="791">
                  <c:v>737467.32312499965</c:v>
                </c:pt>
                <c:pt idx="792">
                  <c:v>737467.32312499965</c:v>
                </c:pt>
                <c:pt idx="793">
                  <c:v>737467.32312499965</c:v>
                </c:pt>
                <c:pt idx="794">
                  <c:v>737467.32312499965</c:v>
                </c:pt>
                <c:pt idx="795">
                  <c:v>737467.32312499965</c:v>
                </c:pt>
                <c:pt idx="796">
                  <c:v>737467.32312499965</c:v>
                </c:pt>
                <c:pt idx="797">
                  <c:v>737467.32312499965</c:v>
                </c:pt>
                <c:pt idx="798">
                  <c:v>737467.32312499965</c:v>
                </c:pt>
                <c:pt idx="799">
                  <c:v>737467.32312499965</c:v>
                </c:pt>
                <c:pt idx="800">
                  <c:v>737467.32312499965</c:v>
                </c:pt>
                <c:pt idx="801">
                  <c:v>737467.32312499965</c:v>
                </c:pt>
                <c:pt idx="802">
                  <c:v>737467.32312499965</c:v>
                </c:pt>
                <c:pt idx="803">
                  <c:v>737467.32312499965</c:v>
                </c:pt>
                <c:pt idx="804">
                  <c:v>737467.32312499965</c:v>
                </c:pt>
                <c:pt idx="805">
                  <c:v>737467.32312499965</c:v>
                </c:pt>
                <c:pt idx="806">
                  <c:v>737467.32312499965</c:v>
                </c:pt>
                <c:pt idx="807">
                  <c:v>737467.32312499965</c:v>
                </c:pt>
                <c:pt idx="808">
                  <c:v>737467.32312499965</c:v>
                </c:pt>
                <c:pt idx="809">
                  <c:v>737467.32312499965</c:v>
                </c:pt>
                <c:pt idx="810">
                  <c:v>737467.32312499965</c:v>
                </c:pt>
                <c:pt idx="811">
                  <c:v>737467.32312499965</c:v>
                </c:pt>
                <c:pt idx="812">
                  <c:v>737467.32312499965</c:v>
                </c:pt>
                <c:pt idx="813">
                  <c:v>737467.32312499965</c:v>
                </c:pt>
                <c:pt idx="814">
                  <c:v>737467.32312499965</c:v>
                </c:pt>
                <c:pt idx="815">
                  <c:v>737467.32312499965</c:v>
                </c:pt>
                <c:pt idx="816">
                  <c:v>737467.32312499965</c:v>
                </c:pt>
                <c:pt idx="817">
                  <c:v>737467.32312499965</c:v>
                </c:pt>
                <c:pt idx="818">
                  <c:v>737467.32312499965</c:v>
                </c:pt>
                <c:pt idx="819">
                  <c:v>737467.32312499965</c:v>
                </c:pt>
                <c:pt idx="820">
                  <c:v>737467.32312499965</c:v>
                </c:pt>
                <c:pt idx="821">
                  <c:v>737467.32312499965</c:v>
                </c:pt>
                <c:pt idx="822">
                  <c:v>737467.32312499965</c:v>
                </c:pt>
                <c:pt idx="823">
                  <c:v>737467.32312499965</c:v>
                </c:pt>
                <c:pt idx="824">
                  <c:v>737467.32312499965</c:v>
                </c:pt>
                <c:pt idx="825">
                  <c:v>737467.32312499965</c:v>
                </c:pt>
                <c:pt idx="826">
                  <c:v>737467.32312499965</c:v>
                </c:pt>
                <c:pt idx="827">
                  <c:v>737467.32312499965</c:v>
                </c:pt>
                <c:pt idx="828">
                  <c:v>737467.32312499965</c:v>
                </c:pt>
                <c:pt idx="829">
                  <c:v>737467.32312499965</c:v>
                </c:pt>
                <c:pt idx="830">
                  <c:v>737467.32312499965</c:v>
                </c:pt>
                <c:pt idx="831">
                  <c:v>737467.32312499965</c:v>
                </c:pt>
                <c:pt idx="832">
                  <c:v>737467.32312499965</c:v>
                </c:pt>
                <c:pt idx="833">
                  <c:v>737467.32312499965</c:v>
                </c:pt>
                <c:pt idx="834">
                  <c:v>737467.32312499965</c:v>
                </c:pt>
                <c:pt idx="835">
                  <c:v>737467.32312499965</c:v>
                </c:pt>
                <c:pt idx="836">
                  <c:v>737467.32312499965</c:v>
                </c:pt>
                <c:pt idx="837">
                  <c:v>737467.32312499965</c:v>
                </c:pt>
                <c:pt idx="838">
                  <c:v>737467.32312499965</c:v>
                </c:pt>
                <c:pt idx="839">
                  <c:v>737467.32312499965</c:v>
                </c:pt>
                <c:pt idx="840">
                  <c:v>737467.32312499965</c:v>
                </c:pt>
                <c:pt idx="841">
                  <c:v>737467.32312499965</c:v>
                </c:pt>
                <c:pt idx="842">
                  <c:v>737467.32312499965</c:v>
                </c:pt>
                <c:pt idx="843">
                  <c:v>737467.32312499965</c:v>
                </c:pt>
                <c:pt idx="844">
                  <c:v>737467.32312499965</c:v>
                </c:pt>
                <c:pt idx="845">
                  <c:v>737467.32312499965</c:v>
                </c:pt>
                <c:pt idx="846">
                  <c:v>737467.32312499965</c:v>
                </c:pt>
                <c:pt idx="847">
                  <c:v>737467.32312499965</c:v>
                </c:pt>
                <c:pt idx="848">
                  <c:v>737467.32312499965</c:v>
                </c:pt>
                <c:pt idx="849">
                  <c:v>737467.32312499965</c:v>
                </c:pt>
                <c:pt idx="850">
                  <c:v>737467.32312499965</c:v>
                </c:pt>
                <c:pt idx="851">
                  <c:v>737467.32312499965</c:v>
                </c:pt>
                <c:pt idx="852">
                  <c:v>737467.32312499965</c:v>
                </c:pt>
                <c:pt idx="853">
                  <c:v>737467.32312499965</c:v>
                </c:pt>
                <c:pt idx="854">
                  <c:v>737467.32312499965</c:v>
                </c:pt>
                <c:pt idx="855">
                  <c:v>737467.32312499965</c:v>
                </c:pt>
                <c:pt idx="856">
                  <c:v>737467.32312499965</c:v>
                </c:pt>
                <c:pt idx="857">
                  <c:v>737467.32312499965</c:v>
                </c:pt>
                <c:pt idx="858">
                  <c:v>737467.32312499965</c:v>
                </c:pt>
                <c:pt idx="859">
                  <c:v>737467.32312499965</c:v>
                </c:pt>
                <c:pt idx="860">
                  <c:v>737467.32312499965</c:v>
                </c:pt>
                <c:pt idx="861">
                  <c:v>737467.32312499965</c:v>
                </c:pt>
                <c:pt idx="862">
                  <c:v>737467.32312499965</c:v>
                </c:pt>
                <c:pt idx="863">
                  <c:v>737467.32312499965</c:v>
                </c:pt>
                <c:pt idx="864">
                  <c:v>737467.32312499965</c:v>
                </c:pt>
                <c:pt idx="865">
                  <c:v>737467.32312499965</c:v>
                </c:pt>
                <c:pt idx="866">
                  <c:v>737467.32312499965</c:v>
                </c:pt>
                <c:pt idx="867">
                  <c:v>737467.32312499965</c:v>
                </c:pt>
                <c:pt idx="868">
                  <c:v>737467.32312499965</c:v>
                </c:pt>
                <c:pt idx="869">
                  <c:v>737467.32312499965</c:v>
                </c:pt>
                <c:pt idx="870">
                  <c:v>737467.32312499965</c:v>
                </c:pt>
                <c:pt idx="871">
                  <c:v>737467.32312499965</c:v>
                </c:pt>
                <c:pt idx="872">
                  <c:v>737467.32312499965</c:v>
                </c:pt>
                <c:pt idx="873">
                  <c:v>737467.32312499965</c:v>
                </c:pt>
                <c:pt idx="874">
                  <c:v>737467.32312499965</c:v>
                </c:pt>
                <c:pt idx="875">
                  <c:v>737467.32312499965</c:v>
                </c:pt>
                <c:pt idx="876">
                  <c:v>737467.32312499965</c:v>
                </c:pt>
                <c:pt idx="877">
                  <c:v>737467.32312499965</c:v>
                </c:pt>
                <c:pt idx="878">
                  <c:v>737467.32312499965</c:v>
                </c:pt>
                <c:pt idx="879">
                  <c:v>737467.32312499965</c:v>
                </c:pt>
                <c:pt idx="880">
                  <c:v>737467.32312499965</c:v>
                </c:pt>
                <c:pt idx="881">
                  <c:v>737467.32312499965</c:v>
                </c:pt>
                <c:pt idx="882">
                  <c:v>737467.32312499965</c:v>
                </c:pt>
                <c:pt idx="883">
                  <c:v>737467.32312499965</c:v>
                </c:pt>
                <c:pt idx="884">
                  <c:v>737467.32312499965</c:v>
                </c:pt>
                <c:pt idx="885">
                  <c:v>737467.32312499965</c:v>
                </c:pt>
                <c:pt idx="886">
                  <c:v>737467.32312499965</c:v>
                </c:pt>
                <c:pt idx="887">
                  <c:v>737467.32312499965</c:v>
                </c:pt>
                <c:pt idx="888">
                  <c:v>737467.32312499965</c:v>
                </c:pt>
                <c:pt idx="889">
                  <c:v>737467.32312499965</c:v>
                </c:pt>
                <c:pt idx="890">
                  <c:v>737467.32312499965</c:v>
                </c:pt>
                <c:pt idx="891">
                  <c:v>737467.32312499965</c:v>
                </c:pt>
                <c:pt idx="892">
                  <c:v>737467.32312499965</c:v>
                </c:pt>
                <c:pt idx="893">
                  <c:v>737467.32312499965</c:v>
                </c:pt>
                <c:pt idx="894">
                  <c:v>737467.32312499965</c:v>
                </c:pt>
                <c:pt idx="895">
                  <c:v>737467.32312499965</c:v>
                </c:pt>
                <c:pt idx="896">
                  <c:v>737467.32312499965</c:v>
                </c:pt>
                <c:pt idx="897">
                  <c:v>737467.32312499965</c:v>
                </c:pt>
                <c:pt idx="898">
                  <c:v>737467.32312499965</c:v>
                </c:pt>
                <c:pt idx="899">
                  <c:v>737467.32312499965</c:v>
                </c:pt>
                <c:pt idx="900">
                  <c:v>737467.32312499965</c:v>
                </c:pt>
                <c:pt idx="901">
                  <c:v>737467.32312499965</c:v>
                </c:pt>
                <c:pt idx="902">
                  <c:v>737467.32312499965</c:v>
                </c:pt>
                <c:pt idx="903">
                  <c:v>737467.32312499965</c:v>
                </c:pt>
                <c:pt idx="904">
                  <c:v>737467.32312499965</c:v>
                </c:pt>
                <c:pt idx="905">
                  <c:v>737467.32312499965</c:v>
                </c:pt>
                <c:pt idx="906">
                  <c:v>737467.32312499965</c:v>
                </c:pt>
                <c:pt idx="907">
                  <c:v>737467.32312499965</c:v>
                </c:pt>
                <c:pt idx="908">
                  <c:v>737467.32312499965</c:v>
                </c:pt>
                <c:pt idx="909">
                  <c:v>737467.32312499965</c:v>
                </c:pt>
                <c:pt idx="910">
                  <c:v>737467.32312499965</c:v>
                </c:pt>
                <c:pt idx="911">
                  <c:v>737467.32312499965</c:v>
                </c:pt>
                <c:pt idx="912">
                  <c:v>737467.32312499965</c:v>
                </c:pt>
                <c:pt idx="913">
                  <c:v>737467.32312499965</c:v>
                </c:pt>
                <c:pt idx="914">
                  <c:v>737467.32312499965</c:v>
                </c:pt>
                <c:pt idx="915">
                  <c:v>737467.32312499965</c:v>
                </c:pt>
                <c:pt idx="916">
                  <c:v>737467.32312499965</c:v>
                </c:pt>
                <c:pt idx="917">
                  <c:v>737467.32312499965</c:v>
                </c:pt>
                <c:pt idx="918">
                  <c:v>737467.32312499965</c:v>
                </c:pt>
                <c:pt idx="919">
                  <c:v>737467.32312499965</c:v>
                </c:pt>
                <c:pt idx="920">
                  <c:v>737467.32312499965</c:v>
                </c:pt>
                <c:pt idx="921">
                  <c:v>737467.32312499965</c:v>
                </c:pt>
                <c:pt idx="922">
                  <c:v>737467.32312499965</c:v>
                </c:pt>
                <c:pt idx="923">
                  <c:v>737467.32312499965</c:v>
                </c:pt>
                <c:pt idx="924">
                  <c:v>737467.32312499965</c:v>
                </c:pt>
                <c:pt idx="925">
                  <c:v>737467.32312499965</c:v>
                </c:pt>
                <c:pt idx="926">
                  <c:v>737467.32312499965</c:v>
                </c:pt>
                <c:pt idx="927">
                  <c:v>737467.32312499965</c:v>
                </c:pt>
                <c:pt idx="928">
                  <c:v>737467.32312499965</c:v>
                </c:pt>
                <c:pt idx="929">
                  <c:v>737467.32312499965</c:v>
                </c:pt>
                <c:pt idx="930">
                  <c:v>737467.32312499965</c:v>
                </c:pt>
                <c:pt idx="931">
                  <c:v>737467.32312499965</c:v>
                </c:pt>
                <c:pt idx="932">
                  <c:v>737467.32312499965</c:v>
                </c:pt>
                <c:pt idx="933">
                  <c:v>737467.32312499965</c:v>
                </c:pt>
                <c:pt idx="934">
                  <c:v>737467.32312499965</c:v>
                </c:pt>
                <c:pt idx="935">
                  <c:v>737467.32312499965</c:v>
                </c:pt>
                <c:pt idx="936">
                  <c:v>737467.32312499965</c:v>
                </c:pt>
                <c:pt idx="937">
                  <c:v>737467.32312499965</c:v>
                </c:pt>
                <c:pt idx="938">
                  <c:v>737467.32312499965</c:v>
                </c:pt>
                <c:pt idx="939">
                  <c:v>737467.32312499965</c:v>
                </c:pt>
                <c:pt idx="940">
                  <c:v>737467.32312499965</c:v>
                </c:pt>
                <c:pt idx="941">
                  <c:v>737467.32312499965</c:v>
                </c:pt>
                <c:pt idx="942">
                  <c:v>737467.32312499965</c:v>
                </c:pt>
                <c:pt idx="943">
                  <c:v>737467.32312499965</c:v>
                </c:pt>
                <c:pt idx="944">
                  <c:v>737467.32312499965</c:v>
                </c:pt>
                <c:pt idx="945">
                  <c:v>737467.32312499965</c:v>
                </c:pt>
                <c:pt idx="946">
                  <c:v>737467.32312499965</c:v>
                </c:pt>
                <c:pt idx="947">
                  <c:v>737467.32312499965</c:v>
                </c:pt>
                <c:pt idx="948">
                  <c:v>737467.32312499965</c:v>
                </c:pt>
                <c:pt idx="949">
                  <c:v>737467.32312499965</c:v>
                </c:pt>
                <c:pt idx="950">
                  <c:v>737467.32312499965</c:v>
                </c:pt>
                <c:pt idx="951">
                  <c:v>737467.32312499965</c:v>
                </c:pt>
                <c:pt idx="952">
                  <c:v>737467.32312499965</c:v>
                </c:pt>
                <c:pt idx="953">
                  <c:v>737467.32312499965</c:v>
                </c:pt>
                <c:pt idx="954">
                  <c:v>737467.32312499965</c:v>
                </c:pt>
                <c:pt idx="955">
                  <c:v>737467.32312499965</c:v>
                </c:pt>
                <c:pt idx="956">
                  <c:v>737467.32312499965</c:v>
                </c:pt>
                <c:pt idx="957">
                  <c:v>737467.32312499965</c:v>
                </c:pt>
                <c:pt idx="958">
                  <c:v>737467.32312499965</c:v>
                </c:pt>
                <c:pt idx="959">
                  <c:v>737467.32312499965</c:v>
                </c:pt>
                <c:pt idx="960">
                  <c:v>737467.32312499965</c:v>
                </c:pt>
                <c:pt idx="961">
                  <c:v>737467.32312499965</c:v>
                </c:pt>
                <c:pt idx="962">
                  <c:v>737467.32312499965</c:v>
                </c:pt>
                <c:pt idx="963">
                  <c:v>737467.32312499965</c:v>
                </c:pt>
                <c:pt idx="964">
                  <c:v>737467.32312499965</c:v>
                </c:pt>
                <c:pt idx="965">
                  <c:v>737467.32312499965</c:v>
                </c:pt>
                <c:pt idx="966">
                  <c:v>737467.32312499965</c:v>
                </c:pt>
                <c:pt idx="967">
                  <c:v>737467.32312499965</c:v>
                </c:pt>
                <c:pt idx="968">
                  <c:v>737467.32312499965</c:v>
                </c:pt>
                <c:pt idx="969">
                  <c:v>737467.32312499965</c:v>
                </c:pt>
                <c:pt idx="970">
                  <c:v>737467.32312499965</c:v>
                </c:pt>
                <c:pt idx="971">
                  <c:v>737467.32312499965</c:v>
                </c:pt>
                <c:pt idx="972">
                  <c:v>737467.32312499965</c:v>
                </c:pt>
                <c:pt idx="973">
                  <c:v>737467.32312499965</c:v>
                </c:pt>
                <c:pt idx="974">
                  <c:v>737467.32312499965</c:v>
                </c:pt>
                <c:pt idx="975">
                  <c:v>737467.32312499965</c:v>
                </c:pt>
                <c:pt idx="976">
                  <c:v>737467.32312499965</c:v>
                </c:pt>
                <c:pt idx="977">
                  <c:v>737467.32312499965</c:v>
                </c:pt>
                <c:pt idx="978">
                  <c:v>737467.32312499965</c:v>
                </c:pt>
                <c:pt idx="979">
                  <c:v>737467.32312499965</c:v>
                </c:pt>
                <c:pt idx="980">
                  <c:v>737467.32312499965</c:v>
                </c:pt>
                <c:pt idx="981">
                  <c:v>737467.32312499965</c:v>
                </c:pt>
                <c:pt idx="982">
                  <c:v>737467.32312499965</c:v>
                </c:pt>
                <c:pt idx="983">
                  <c:v>737467.32312499965</c:v>
                </c:pt>
                <c:pt idx="984">
                  <c:v>737467.32312499965</c:v>
                </c:pt>
                <c:pt idx="985">
                  <c:v>737467.32312499965</c:v>
                </c:pt>
                <c:pt idx="986">
                  <c:v>737467.32312499965</c:v>
                </c:pt>
                <c:pt idx="987">
                  <c:v>737467.32312499965</c:v>
                </c:pt>
                <c:pt idx="988">
                  <c:v>737467.32312499965</c:v>
                </c:pt>
                <c:pt idx="989">
                  <c:v>737467.32312499965</c:v>
                </c:pt>
                <c:pt idx="990">
                  <c:v>737467.32312499965</c:v>
                </c:pt>
                <c:pt idx="991">
                  <c:v>737467.32312499965</c:v>
                </c:pt>
                <c:pt idx="992">
                  <c:v>737467.32312499965</c:v>
                </c:pt>
                <c:pt idx="993">
                  <c:v>737467.32312499965</c:v>
                </c:pt>
                <c:pt idx="994">
                  <c:v>737467.32312499965</c:v>
                </c:pt>
                <c:pt idx="995">
                  <c:v>737467.32312499965</c:v>
                </c:pt>
                <c:pt idx="996">
                  <c:v>737467.32312499965</c:v>
                </c:pt>
                <c:pt idx="997">
                  <c:v>737467.32312499965</c:v>
                </c:pt>
                <c:pt idx="998">
                  <c:v>737467.32312499965</c:v>
                </c:pt>
                <c:pt idx="999">
                  <c:v>737467.32312499965</c:v>
                </c:pt>
                <c:pt idx="1000">
                  <c:v>737467.32312499965</c:v>
                </c:pt>
                <c:pt idx="1001">
                  <c:v>737467.32312499965</c:v>
                </c:pt>
                <c:pt idx="1002">
                  <c:v>737467.32312499965</c:v>
                </c:pt>
                <c:pt idx="1003">
                  <c:v>737467.32312499965</c:v>
                </c:pt>
                <c:pt idx="1004">
                  <c:v>737467.32312499965</c:v>
                </c:pt>
                <c:pt idx="1005">
                  <c:v>737467.32312499965</c:v>
                </c:pt>
                <c:pt idx="1006">
                  <c:v>737467.32312499965</c:v>
                </c:pt>
                <c:pt idx="1007">
                  <c:v>737467.32312499965</c:v>
                </c:pt>
                <c:pt idx="1008">
                  <c:v>737467.32312499965</c:v>
                </c:pt>
                <c:pt idx="1009">
                  <c:v>737467.32312499965</c:v>
                </c:pt>
                <c:pt idx="1010">
                  <c:v>737467.32312499965</c:v>
                </c:pt>
                <c:pt idx="1011">
                  <c:v>737467.32312499965</c:v>
                </c:pt>
                <c:pt idx="1012">
                  <c:v>737467.32312499965</c:v>
                </c:pt>
                <c:pt idx="1013">
                  <c:v>737467.32312499965</c:v>
                </c:pt>
                <c:pt idx="1014">
                  <c:v>737467.32312499965</c:v>
                </c:pt>
                <c:pt idx="1015">
                  <c:v>737467.32312499965</c:v>
                </c:pt>
                <c:pt idx="1016">
                  <c:v>737467.32312499965</c:v>
                </c:pt>
                <c:pt idx="1017">
                  <c:v>737467.32312499965</c:v>
                </c:pt>
                <c:pt idx="1018">
                  <c:v>737467.32312499965</c:v>
                </c:pt>
                <c:pt idx="1019">
                  <c:v>737467.32312499965</c:v>
                </c:pt>
                <c:pt idx="1020">
                  <c:v>737467.32312499965</c:v>
                </c:pt>
                <c:pt idx="1021">
                  <c:v>737467.32312499965</c:v>
                </c:pt>
                <c:pt idx="1022">
                  <c:v>737467.32312499965</c:v>
                </c:pt>
                <c:pt idx="1023">
                  <c:v>737467.32312499965</c:v>
                </c:pt>
                <c:pt idx="1024">
                  <c:v>737467.32312499965</c:v>
                </c:pt>
                <c:pt idx="1025">
                  <c:v>737467.32312499965</c:v>
                </c:pt>
                <c:pt idx="1026">
                  <c:v>737467.32312499965</c:v>
                </c:pt>
                <c:pt idx="1027">
                  <c:v>737467.32312499965</c:v>
                </c:pt>
                <c:pt idx="1028">
                  <c:v>737467.32312499965</c:v>
                </c:pt>
                <c:pt idx="1029">
                  <c:v>737467.32312499965</c:v>
                </c:pt>
                <c:pt idx="1030">
                  <c:v>737467.32312499965</c:v>
                </c:pt>
                <c:pt idx="1031">
                  <c:v>737467.32312499965</c:v>
                </c:pt>
                <c:pt idx="1032">
                  <c:v>737467.32312499965</c:v>
                </c:pt>
                <c:pt idx="1033">
                  <c:v>737467.32312499965</c:v>
                </c:pt>
                <c:pt idx="1034">
                  <c:v>737467.32312499965</c:v>
                </c:pt>
                <c:pt idx="1035">
                  <c:v>737467.32312499965</c:v>
                </c:pt>
                <c:pt idx="1036">
                  <c:v>737467.32312499965</c:v>
                </c:pt>
                <c:pt idx="1037">
                  <c:v>737467.32312499965</c:v>
                </c:pt>
                <c:pt idx="1038">
                  <c:v>737467.32312499965</c:v>
                </c:pt>
                <c:pt idx="1039">
                  <c:v>737467.32312499965</c:v>
                </c:pt>
                <c:pt idx="1040">
                  <c:v>737467.32312499965</c:v>
                </c:pt>
                <c:pt idx="1041">
                  <c:v>737467.32312499965</c:v>
                </c:pt>
                <c:pt idx="1042">
                  <c:v>737467.32312499965</c:v>
                </c:pt>
                <c:pt idx="1043">
                  <c:v>737467.32312499965</c:v>
                </c:pt>
                <c:pt idx="1044">
                  <c:v>737467.32312499965</c:v>
                </c:pt>
                <c:pt idx="1045">
                  <c:v>737467.32312499965</c:v>
                </c:pt>
                <c:pt idx="1046">
                  <c:v>737467.32312499965</c:v>
                </c:pt>
                <c:pt idx="1047">
                  <c:v>737467.32312499965</c:v>
                </c:pt>
                <c:pt idx="1048">
                  <c:v>737467.32312499965</c:v>
                </c:pt>
                <c:pt idx="1049">
                  <c:v>737467.32312499965</c:v>
                </c:pt>
                <c:pt idx="1050">
                  <c:v>737467.32312499965</c:v>
                </c:pt>
                <c:pt idx="1051">
                  <c:v>737467.32312499965</c:v>
                </c:pt>
                <c:pt idx="1052">
                  <c:v>737467.32312499965</c:v>
                </c:pt>
                <c:pt idx="1053">
                  <c:v>737467.32312499965</c:v>
                </c:pt>
                <c:pt idx="1054">
                  <c:v>737467.32312499965</c:v>
                </c:pt>
                <c:pt idx="1055">
                  <c:v>737467.32312499965</c:v>
                </c:pt>
                <c:pt idx="1056">
                  <c:v>737467.32312499965</c:v>
                </c:pt>
                <c:pt idx="1057">
                  <c:v>737467.32312499965</c:v>
                </c:pt>
                <c:pt idx="1058">
                  <c:v>737467.32312499965</c:v>
                </c:pt>
                <c:pt idx="1059">
                  <c:v>737467.32312499965</c:v>
                </c:pt>
                <c:pt idx="1060">
                  <c:v>737467.32312499965</c:v>
                </c:pt>
                <c:pt idx="1061">
                  <c:v>737467.32312499965</c:v>
                </c:pt>
                <c:pt idx="1062">
                  <c:v>737467.32312499965</c:v>
                </c:pt>
                <c:pt idx="1063">
                  <c:v>737467.32312499965</c:v>
                </c:pt>
                <c:pt idx="1064">
                  <c:v>737467.32312499965</c:v>
                </c:pt>
                <c:pt idx="1065">
                  <c:v>737467.32312499965</c:v>
                </c:pt>
                <c:pt idx="1066">
                  <c:v>737467.32312499965</c:v>
                </c:pt>
                <c:pt idx="1067">
                  <c:v>737467.32312499965</c:v>
                </c:pt>
                <c:pt idx="1068">
                  <c:v>737467.32312499965</c:v>
                </c:pt>
                <c:pt idx="1069">
                  <c:v>737467.32312499965</c:v>
                </c:pt>
                <c:pt idx="1070">
                  <c:v>737467.32312499965</c:v>
                </c:pt>
                <c:pt idx="1071">
                  <c:v>737467.32312499965</c:v>
                </c:pt>
                <c:pt idx="1072">
                  <c:v>737467.32312499965</c:v>
                </c:pt>
                <c:pt idx="1073">
                  <c:v>737467.32312499965</c:v>
                </c:pt>
                <c:pt idx="1074">
                  <c:v>737467.32312499965</c:v>
                </c:pt>
                <c:pt idx="1075">
                  <c:v>737467.32312499965</c:v>
                </c:pt>
                <c:pt idx="1076">
                  <c:v>737467.32312499965</c:v>
                </c:pt>
                <c:pt idx="1077">
                  <c:v>737467.32312499965</c:v>
                </c:pt>
                <c:pt idx="1078">
                  <c:v>737467.32312499965</c:v>
                </c:pt>
                <c:pt idx="1079">
                  <c:v>737467.32312499965</c:v>
                </c:pt>
                <c:pt idx="1080">
                  <c:v>737467.32312499965</c:v>
                </c:pt>
                <c:pt idx="1081">
                  <c:v>737467.32312499965</c:v>
                </c:pt>
                <c:pt idx="1082">
                  <c:v>737467.32312499965</c:v>
                </c:pt>
                <c:pt idx="1083">
                  <c:v>737467.32312499965</c:v>
                </c:pt>
                <c:pt idx="1084">
                  <c:v>737467.32312499965</c:v>
                </c:pt>
                <c:pt idx="1085">
                  <c:v>737467.32312499965</c:v>
                </c:pt>
                <c:pt idx="1086">
                  <c:v>737467.32312499965</c:v>
                </c:pt>
                <c:pt idx="1087">
                  <c:v>737467.32312499965</c:v>
                </c:pt>
                <c:pt idx="1088">
                  <c:v>737467.32312499965</c:v>
                </c:pt>
                <c:pt idx="1089">
                  <c:v>737467.32312499965</c:v>
                </c:pt>
                <c:pt idx="1090">
                  <c:v>737467.32312499965</c:v>
                </c:pt>
                <c:pt idx="1091">
                  <c:v>737467.32312499965</c:v>
                </c:pt>
                <c:pt idx="1092">
                  <c:v>737467.32312499965</c:v>
                </c:pt>
                <c:pt idx="1093">
                  <c:v>737467.32312499965</c:v>
                </c:pt>
                <c:pt idx="1094">
                  <c:v>737467.32312499965</c:v>
                </c:pt>
                <c:pt idx="1095">
                  <c:v>737467.32312499965</c:v>
                </c:pt>
                <c:pt idx="1096">
                  <c:v>737467.32312499965</c:v>
                </c:pt>
                <c:pt idx="1097">
                  <c:v>737467.32312499965</c:v>
                </c:pt>
                <c:pt idx="1098">
                  <c:v>737467.32312499965</c:v>
                </c:pt>
                <c:pt idx="1099">
                  <c:v>737467.32312499965</c:v>
                </c:pt>
                <c:pt idx="1100">
                  <c:v>737467.32312499965</c:v>
                </c:pt>
                <c:pt idx="1101">
                  <c:v>737467.32312499965</c:v>
                </c:pt>
                <c:pt idx="1102">
                  <c:v>737467.32312499965</c:v>
                </c:pt>
                <c:pt idx="1103">
                  <c:v>737467.32312499965</c:v>
                </c:pt>
                <c:pt idx="1104">
                  <c:v>737467.32312499965</c:v>
                </c:pt>
                <c:pt idx="1105">
                  <c:v>737467.32312499965</c:v>
                </c:pt>
                <c:pt idx="1106">
                  <c:v>737467.32312499965</c:v>
                </c:pt>
                <c:pt idx="1107">
                  <c:v>737467.32312499965</c:v>
                </c:pt>
                <c:pt idx="1108">
                  <c:v>737467.32312499965</c:v>
                </c:pt>
                <c:pt idx="1109">
                  <c:v>737467.32312499965</c:v>
                </c:pt>
                <c:pt idx="1110">
                  <c:v>737467.32312499965</c:v>
                </c:pt>
                <c:pt idx="1111">
                  <c:v>737467.32312499965</c:v>
                </c:pt>
                <c:pt idx="1112">
                  <c:v>737467.32312499965</c:v>
                </c:pt>
                <c:pt idx="1113">
                  <c:v>737467.32312499965</c:v>
                </c:pt>
                <c:pt idx="1114">
                  <c:v>737467.32312499965</c:v>
                </c:pt>
                <c:pt idx="1115">
                  <c:v>737467.32312499965</c:v>
                </c:pt>
                <c:pt idx="1116">
                  <c:v>737467.32312499965</c:v>
                </c:pt>
                <c:pt idx="1117">
                  <c:v>737467.32312499965</c:v>
                </c:pt>
                <c:pt idx="1118">
                  <c:v>737467.32312499965</c:v>
                </c:pt>
                <c:pt idx="1119">
                  <c:v>737467.32312499965</c:v>
                </c:pt>
                <c:pt idx="1120">
                  <c:v>737467.32312499965</c:v>
                </c:pt>
                <c:pt idx="1121">
                  <c:v>737467.32312499965</c:v>
                </c:pt>
                <c:pt idx="1122">
                  <c:v>737467.32312499965</c:v>
                </c:pt>
                <c:pt idx="1123">
                  <c:v>737467.32312499965</c:v>
                </c:pt>
                <c:pt idx="1124">
                  <c:v>737467.32312499965</c:v>
                </c:pt>
                <c:pt idx="1125">
                  <c:v>737467.32312499965</c:v>
                </c:pt>
                <c:pt idx="1126">
                  <c:v>737467.32312499965</c:v>
                </c:pt>
                <c:pt idx="1127">
                  <c:v>737467.32312499965</c:v>
                </c:pt>
                <c:pt idx="1128">
                  <c:v>737467.32312499965</c:v>
                </c:pt>
                <c:pt idx="1129">
                  <c:v>737467.32312499965</c:v>
                </c:pt>
                <c:pt idx="1130">
                  <c:v>737467.32312499965</c:v>
                </c:pt>
                <c:pt idx="1131">
                  <c:v>737467.32312499965</c:v>
                </c:pt>
                <c:pt idx="1132">
                  <c:v>737467.32312499965</c:v>
                </c:pt>
                <c:pt idx="1133">
                  <c:v>737467.32312499965</c:v>
                </c:pt>
                <c:pt idx="1134">
                  <c:v>737467.32312499965</c:v>
                </c:pt>
                <c:pt idx="1135">
                  <c:v>737467.32312499965</c:v>
                </c:pt>
                <c:pt idx="1136">
                  <c:v>737467.32312499965</c:v>
                </c:pt>
                <c:pt idx="1137">
                  <c:v>737467.32312499965</c:v>
                </c:pt>
                <c:pt idx="1138">
                  <c:v>737467.32312499965</c:v>
                </c:pt>
                <c:pt idx="1139">
                  <c:v>737467.32312499965</c:v>
                </c:pt>
                <c:pt idx="1140">
                  <c:v>737467.32312499965</c:v>
                </c:pt>
                <c:pt idx="1141">
                  <c:v>737467.32312499965</c:v>
                </c:pt>
                <c:pt idx="1142">
                  <c:v>737467.32312499965</c:v>
                </c:pt>
                <c:pt idx="1143">
                  <c:v>737467.32312499965</c:v>
                </c:pt>
                <c:pt idx="1144">
                  <c:v>737467.32312499965</c:v>
                </c:pt>
                <c:pt idx="1145">
                  <c:v>737467.32312499965</c:v>
                </c:pt>
                <c:pt idx="1146">
                  <c:v>737467.32312499965</c:v>
                </c:pt>
                <c:pt idx="1147">
                  <c:v>737467.32312499965</c:v>
                </c:pt>
                <c:pt idx="1148">
                  <c:v>737467.32312499965</c:v>
                </c:pt>
                <c:pt idx="1149">
                  <c:v>737467.32312499965</c:v>
                </c:pt>
                <c:pt idx="1150">
                  <c:v>737467.32312499965</c:v>
                </c:pt>
                <c:pt idx="1151">
                  <c:v>737467.32312499965</c:v>
                </c:pt>
                <c:pt idx="1152">
                  <c:v>737467.32312499965</c:v>
                </c:pt>
                <c:pt idx="1153">
                  <c:v>737467.32312499965</c:v>
                </c:pt>
                <c:pt idx="1154">
                  <c:v>737467.32312499965</c:v>
                </c:pt>
                <c:pt idx="1155">
                  <c:v>737467.32312499965</c:v>
                </c:pt>
                <c:pt idx="1156">
                  <c:v>737467.32312499965</c:v>
                </c:pt>
                <c:pt idx="1157">
                  <c:v>737467.32312499965</c:v>
                </c:pt>
                <c:pt idx="1158">
                  <c:v>737467.32312499965</c:v>
                </c:pt>
                <c:pt idx="1159">
                  <c:v>737467.32312499965</c:v>
                </c:pt>
                <c:pt idx="1160">
                  <c:v>737467.32312499965</c:v>
                </c:pt>
                <c:pt idx="1161">
                  <c:v>737467.32312499965</c:v>
                </c:pt>
                <c:pt idx="1162">
                  <c:v>737467.32312499965</c:v>
                </c:pt>
                <c:pt idx="1163">
                  <c:v>737467.32312499965</c:v>
                </c:pt>
                <c:pt idx="1164">
                  <c:v>737467.32312499965</c:v>
                </c:pt>
                <c:pt idx="1165">
                  <c:v>737467.32312499965</c:v>
                </c:pt>
                <c:pt idx="1166">
                  <c:v>737467.32312499965</c:v>
                </c:pt>
                <c:pt idx="1167">
                  <c:v>737467.32312499965</c:v>
                </c:pt>
                <c:pt idx="1168">
                  <c:v>737467.32312499965</c:v>
                </c:pt>
                <c:pt idx="1169">
                  <c:v>737467.32312499965</c:v>
                </c:pt>
                <c:pt idx="1170">
                  <c:v>737467.32312499965</c:v>
                </c:pt>
                <c:pt idx="1171">
                  <c:v>737467.32312499965</c:v>
                </c:pt>
                <c:pt idx="1172">
                  <c:v>737467.32312499965</c:v>
                </c:pt>
                <c:pt idx="1173">
                  <c:v>737467.32312499965</c:v>
                </c:pt>
                <c:pt idx="1174">
                  <c:v>737467.32312499965</c:v>
                </c:pt>
                <c:pt idx="1175">
                  <c:v>737467.32312499965</c:v>
                </c:pt>
                <c:pt idx="1176">
                  <c:v>737467.32312499965</c:v>
                </c:pt>
                <c:pt idx="1177">
                  <c:v>737467.32312499965</c:v>
                </c:pt>
                <c:pt idx="1178">
                  <c:v>737467.32312499965</c:v>
                </c:pt>
                <c:pt idx="1179">
                  <c:v>737467.32312499965</c:v>
                </c:pt>
                <c:pt idx="1180">
                  <c:v>737467.32312499965</c:v>
                </c:pt>
                <c:pt idx="1181">
                  <c:v>737467.32312499965</c:v>
                </c:pt>
                <c:pt idx="1182">
                  <c:v>737467.32312499965</c:v>
                </c:pt>
                <c:pt idx="1183">
                  <c:v>737467.32312499965</c:v>
                </c:pt>
                <c:pt idx="1184">
                  <c:v>737467.32312499965</c:v>
                </c:pt>
                <c:pt idx="1185">
                  <c:v>737467.32312499965</c:v>
                </c:pt>
                <c:pt idx="1186">
                  <c:v>737467.32312499965</c:v>
                </c:pt>
                <c:pt idx="1187">
                  <c:v>737467.32312499965</c:v>
                </c:pt>
                <c:pt idx="1188">
                  <c:v>737467.32312499965</c:v>
                </c:pt>
                <c:pt idx="1189">
                  <c:v>737467.32312499965</c:v>
                </c:pt>
                <c:pt idx="1190">
                  <c:v>737467.32312499965</c:v>
                </c:pt>
                <c:pt idx="1191">
                  <c:v>737467.32312499965</c:v>
                </c:pt>
                <c:pt idx="1192">
                  <c:v>737467.32312499965</c:v>
                </c:pt>
                <c:pt idx="1193">
                  <c:v>737467.32312499965</c:v>
                </c:pt>
                <c:pt idx="1194">
                  <c:v>737467.32312499965</c:v>
                </c:pt>
                <c:pt idx="1195">
                  <c:v>737467.32312499965</c:v>
                </c:pt>
                <c:pt idx="1196">
                  <c:v>737467.32312499965</c:v>
                </c:pt>
                <c:pt idx="1197">
                  <c:v>737467.32312499965</c:v>
                </c:pt>
                <c:pt idx="1198">
                  <c:v>737467.32312499965</c:v>
                </c:pt>
                <c:pt idx="1199">
                  <c:v>737467.32312499965</c:v>
                </c:pt>
                <c:pt idx="1200">
                  <c:v>737467.32312499965</c:v>
                </c:pt>
                <c:pt idx="1201">
                  <c:v>737467.32312499965</c:v>
                </c:pt>
                <c:pt idx="1202">
                  <c:v>737467.32312499965</c:v>
                </c:pt>
                <c:pt idx="1203">
                  <c:v>737467.32312499965</c:v>
                </c:pt>
                <c:pt idx="1204">
                  <c:v>737467.32312499965</c:v>
                </c:pt>
                <c:pt idx="1205">
                  <c:v>737467.32312499965</c:v>
                </c:pt>
                <c:pt idx="1206">
                  <c:v>737467.32312499965</c:v>
                </c:pt>
                <c:pt idx="1207">
                  <c:v>737467.32312499965</c:v>
                </c:pt>
                <c:pt idx="1208">
                  <c:v>737467.32312499965</c:v>
                </c:pt>
                <c:pt idx="1209">
                  <c:v>737467.32312499965</c:v>
                </c:pt>
                <c:pt idx="1210">
                  <c:v>737467.32312499965</c:v>
                </c:pt>
                <c:pt idx="1211">
                  <c:v>737467.32312499965</c:v>
                </c:pt>
                <c:pt idx="1212">
                  <c:v>737467.32312499965</c:v>
                </c:pt>
                <c:pt idx="1213">
                  <c:v>737467.32312499965</c:v>
                </c:pt>
                <c:pt idx="1214">
                  <c:v>737467.32312499965</c:v>
                </c:pt>
                <c:pt idx="1215">
                  <c:v>737467.32312499965</c:v>
                </c:pt>
                <c:pt idx="1216">
                  <c:v>737467.32312499965</c:v>
                </c:pt>
                <c:pt idx="1217">
                  <c:v>737467.32312499965</c:v>
                </c:pt>
                <c:pt idx="1218">
                  <c:v>737467.32312499965</c:v>
                </c:pt>
                <c:pt idx="1219">
                  <c:v>737467.32312499965</c:v>
                </c:pt>
                <c:pt idx="1220">
                  <c:v>737467.32312499965</c:v>
                </c:pt>
                <c:pt idx="1221">
                  <c:v>737467.32312499965</c:v>
                </c:pt>
                <c:pt idx="1222">
                  <c:v>737467.32312499965</c:v>
                </c:pt>
                <c:pt idx="1223">
                  <c:v>737467.32312499965</c:v>
                </c:pt>
                <c:pt idx="1224">
                  <c:v>737467.32312499965</c:v>
                </c:pt>
                <c:pt idx="1225">
                  <c:v>737467.32312499965</c:v>
                </c:pt>
                <c:pt idx="1226">
                  <c:v>737467.32312499965</c:v>
                </c:pt>
                <c:pt idx="1227">
                  <c:v>737467.32312499965</c:v>
                </c:pt>
                <c:pt idx="1228">
                  <c:v>737467.32312499965</c:v>
                </c:pt>
                <c:pt idx="1229">
                  <c:v>737467.32312499965</c:v>
                </c:pt>
                <c:pt idx="1230">
                  <c:v>737467.32312499965</c:v>
                </c:pt>
                <c:pt idx="1231">
                  <c:v>737467.32312499965</c:v>
                </c:pt>
                <c:pt idx="1232">
                  <c:v>737467.32312499965</c:v>
                </c:pt>
                <c:pt idx="1233">
                  <c:v>737467.32312499965</c:v>
                </c:pt>
                <c:pt idx="1234">
                  <c:v>737467.32312499965</c:v>
                </c:pt>
                <c:pt idx="1235">
                  <c:v>737467.32312499965</c:v>
                </c:pt>
                <c:pt idx="1236">
                  <c:v>737467.32312499965</c:v>
                </c:pt>
                <c:pt idx="1237">
                  <c:v>737467.32312499965</c:v>
                </c:pt>
                <c:pt idx="1238">
                  <c:v>737467.32312499965</c:v>
                </c:pt>
                <c:pt idx="1239">
                  <c:v>737467.32312499965</c:v>
                </c:pt>
                <c:pt idx="1240">
                  <c:v>737467.32312499965</c:v>
                </c:pt>
                <c:pt idx="1241">
                  <c:v>737467.32312499965</c:v>
                </c:pt>
                <c:pt idx="1242">
                  <c:v>737467.32312499965</c:v>
                </c:pt>
                <c:pt idx="1243">
                  <c:v>737467.32312499965</c:v>
                </c:pt>
                <c:pt idx="1244">
                  <c:v>737467.32312499965</c:v>
                </c:pt>
                <c:pt idx="1245">
                  <c:v>737467.32312499965</c:v>
                </c:pt>
                <c:pt idx="1246">
                  <c:v>737467.32312499965</c:v>
                </c:pt>
                <c:pt idx="1247">
                  <c:v>737467.32312499965</c:v>
                </c:pt>
                <c:pt idx="1248">
                  <c:v>737467.32312499965</c:v>
                </c:pt>
                <c:pt idx="1249">
                  <c:v>737467.32312499965</c:v>
                </c:pt>
                <c:pt idx="1250">
                  <c:v>737467.32312499965</c:v>
                </c:pt>
                <c:pt idx="1251">
                  <c:v>737467.32312499965</c:v>
                </c:pt>
                <c:pt idx="1252">
                  <c:v>737467.32312499965</c:v>
                </c:pt>
                <c:pt idx="1253">
                  <c:v>737467.32312499965</c:v>
                </c:pt>
                <c:pt idx="1254">
                  <c:v>737467.32312499965</c:v>
                </c:pt>
                <c:pt idx="1255">
                  <c:v>737467.32312499965</c:v>
                </c:pt>
                <c:pt idx="1256">
                  <c:v>737467.32312499965</c:v>
                </c:pt>
                <c:pt idx="1257">
                  <c:v>737467.32312499965</c:v>
                </c:pt>
                <c:pt idx="1258">
                  <c:v>737467.32312499965</c:v>
                </c:pt>
                <c:pt idx="1259">
                  <c:v>737467.32312499965</c:v>
                </c:pt>
                <c:pt idx="1260">
                  <c:v>737467.32312499965</c:v>
                </c:pt>
                <c:pt idx="1261">
                  <c:v>737467.32312499965</c:v>
                </c:pt>
                <c:pt idx="1262">
                  <c:v>737467.32312499965</c:v>
                </c:pt>
                <c:pt idx="1263">
                  <c:v>737467.32312499965</c:v>
                </c:pt>
                <c:pt idx="1264">
                  <c:v>737467.32312499965</c:v>
                </c:pt>
                <c:pt idx="1265">
                  <c:v>737467.32312499965</c:v>
                </c:pt>
                <c:pt idx="1266">
                  <c:v>737467.32312499965</c:v>
                </c:pt>
                <c:pt idx="1267">
                  <c:v>737467.32312499965</c:v>
                </c:pt>
                <c:pt idx="1268">
                  <c:v>737467.32312499965</c:v>
                </c:pt>
                <c:pt idx="1269">
                  <c:v>737467.32312499965</c:v>
                </c:pt>
                <c:pt idx="1270">
                  <c:v>737467.32312499965</c:v>
                </c:pt>
                <c:pt idx="1271">
                  <c:v>737467.32312499965</c:v>
                </c:pt>
                <c:pt idx="1272">
                  <c:v>737467.32312499965</c:v>
                </c:pt>
                <c:pt idx="1273">
                  <c:v>737467.32312499965</c:v>
                </c:pt>
                <c:pt idx="1274">
                  <c:v>737467.32312499965</c:v>
                </c:pt>
                <c:pt idx="1275">
                  <c:v>737467.32312499965</c:v>
                </c:pt>
                <c:pt idx="1276">
                  <c:v>737467.32312499965</c:v>
                </c:pt>
                <c:pt idx="1277">
                  <c:v>737467.32312499965</c:v>
                </c:pt>
                <c:pt idx="1278">
                  <c:v>737467.32312499965</c:v>
                </c:pt>
                <c:pt idx="1279">
                  <c:v>737467.32312499965</c:v>
                </c:pt>
                <c:pt idx="1280">
                  <c:v>737467.32312499965</c:v>
                </c:pt>
                <c:pt idx="1281">
                  <c:v>737467.32312499965</c:v>
                </c:pt>
                <c:pt idx="1282">
                  <c:v>737467.32312499965</c:v>
                </c:pt>
                <c:pt idx="1283">
                  <c:v>737467.32312499965</c:v>
                </c:pt>
                <c:pt idx="1284">
                  <c:v>737467.32312499965</c:v>
                </c:pt>
                <c:pt idx="1285">
                  <c:v>737467.32312499965</c:v>
                </c:pt>
                <c:pt idx="1286">
                  <c:v>737467.32312499965</c:v>
                </c:pt>
                <c:pt idx="1287">
                  <c:v>737467.32312499965</c:v>
                </c:pt>
                <c:pt idx="1288">
                  <c:v>737467.32312499965</c:v>
                </c:pt>
                <c:pt idx="1289">
                  <c:v>737467.32312499965</c:v>
                </c:pt>
                <c:pt idx="1290">
                  <c:v>737467.32312499965</c:v>
                </c:pt>
                <c:pt idx="1291">
                  <c:v>737467.32312499965</c:v>
                </c:pt>
                <c:pt idx="1292">
                  <c:v>737467.32312499965</c:v>
                </c:pt>
                <c:pt idx="1293">
                  <c:v>737467.32312499965</c:v>
                </c:pt>
                <c:pt idx="1294">
                  <c:v>737467.32312499965</c:v>
                </c:pt>
                <c:pt idx="1295">
                  <c:v>737467.32312499965</c:v>
                </c:pt>
                <c:pt idx="1296">
                  <c:v>737467.32312499965</c:v>
                </c:pt>
                <c:pt idx="1297">
                  <c:v>737467.32312499965</c:v>
                </c:pt>
                <c:pt idx="1298">
                  <c:v>737467.32312499965</c:v>
                </c:pt>
                <c:pt idx="1299">
                  <c:v>737467.32312499965</c:v>
                </c:pt>
                <c:pt idx="1300">
                  <c:v>737467.32312499965</c:v>
                </c:pt>
                <c:pt idx="1301">
                  <c:v>737467.32312499965</c:v>
                </c:pt>
                <c:pt idx="1302">
                  <c:v>737467.32312499965</c:v>
                </c:pt>
                <c:pt idx="1303">
                  <c:v>737467.32312499965</c:v>
                </c:pt>
                <c:pt idx="1304">
                  <c:v>737467.32312499965</c:v>
                </c:pt>
                <c:pt idx="1305">
                  <c:v>737467.32312499965</c:v>
                </c:pt>
                <c:pt idx="1306">
                  <c:v>737467.32312499965</c:v>
                </c:pt>
                <c:pt idx="1307">
                  <c:v>737467.32312499965</c:v>
                </c:pt>
                <c:pt idx="1308">
                  <c:v>737467.32312499965</c:v>
                </c:pt>
                <c:pt idx="1309">
                  <c:v>737467.32312499965</c:v>
                </c:pt>
                <c:pt idx="1310">
                  <c:v>737467.32312499965</c:v>
                </c:pt>
                <c:pt idx="1311">
                  <c:v>737467.32312499965</c:v>
                </c:pt>
                <c:pt idx="1312">
                  <c:v>737467.32312499965</c:v>
                </c:pt>
                <c:pt idx="1313">
                  <c:v>737467.32312499965</c:v>
                </c:pt>
                <c:pt idx="1314">
                  <c:v>737467.32312499965</c:v>
                </c:pt>
                <c:pt idx="1315">
                  <c:v>737467.32312499965</c:v>
                </c:pt>
                <c:pt idx="1316">
                  <c:v>737467.32312499965</c:v>
                </c:pt>
                <c:pt idx="1317">
                  <c:v>737467.32312499965</c:v>
                </c:pt>
                <c:pt idx="1318">
                  <c:v>737467.32312499965</c:v>
                </c:pt>
                <c:pt idx="1319">
                  <c:v>737467.32312499965</c:v>
                </c:pt>
                <c:pt idx="1320">
                  <c:v>737467.32312499965</c:v>
                </c:pt>
                <c:pt idx="1321">
                  <c:v>737467.32312499965</c:v>
                </c:pt>
                <c:pt idx="1322">
                  <c:v>737467.32312499965</c:v>
                </c:pt>
                <c:pt idx="1323">
                  <c:v>737467.32312499965</c:v>
                </c:pt>
                <c:pt idx="1324">
                  <c:v>737467.32312499965</c:v>
                </c:pt>
                <c:pt idx="1325">
                  <c:v>737467.32312499965</c:v>
                </c:pt>
                <c:pt idx="1326">
                  <c:v>737467.32312499965</c:v>
                </c:pt>
                <c:pt idx="1327">
                  <c:v>737467.32312499965</c:v>
                </c:pt>
                <c:pt idx="1328">
                  <c:v>737467.32312499965</c:v>
                </c:pt>
                <c:pt idx="1329">
                  <c:v>737467.32312499965</c:v>
                </c:pt>
                <c:pt idx="1330">
                  <c:v>737467.32312499965</c:v>
                </c:pt>
                <c:pt idx="1331">
                  <c:v>737467.32312499965</c:v>
                </c:pt>
                <c:pt idx="1332">
                  <c:v>737467.32312499965</c:v>
                </c:pt>
                <c:pt idx="1333">
                  <c:v>737467.32312499965</c:v>
                </c:pt>
                <c:pt idx="1334">
                  <c:v>737467.32312499965</c:v>
                </c:pt>
                <c:pt idx="1335">
                  <c:v>737467.32312499965</c:v>
                </c:pt>
                <c:pt idx="1336">
                  <c:v>737467.32312499965</c:v>
                </c:pt>
                <c:pt idx="1337">
                  <c:v>737467.32312499965</c:v>
                </c:pt>
                <c:pt idx="1338">
                  <c:v>737467.32312499965</c:v>
                </c:pt>
                <c:pt idx="1339">
                  <c:v>737467.32312499965</c:v>
                </c:pt>
                <c:pt idx="1340">
                  <c:v>737467.32312499965</c:v>
                </c:pt>
                <c:pt idx="1341">
                  <c:v>737467.32312499965</c:v>
                </c:pt>
                <c:pt idx="1342">
                  <c:v>737467.32312499965</c:v>
                </c:pt>
                <c:pt idx="1343">
                  <c:v>737467.32312499965</c:v>
                </c:pt>
                <c:pt idx="1344">
                  <c:v>737467.32312499965</c:v>
                </c:pt>
                <c:pt idx="1345">
                  <c:v>737467.32312499965</c:v>
                </c:pt>
                <c:pt idx="1346">
                  <c:v>737467.32312499965</c:v>
                </c:pt>
                <c:pt idx="1347">
                  <c:v>737467.32312499965</c:v>
                </c:pt>
                <c:pt idx="1348">
                  <c:v>737467.32312499965</c:v>
                </c:pt>
                <c:pt idx="1349">
                  <c:v>737467.32312499965</c:v>
                </c:pt>
                <c:pt idx="1350">
                  <c:v>737467.32312499965</c:v>
                </c:pt>
                <c:pt idx="1351">
                  <c:v>737467.32312499965</c:v>
                </c:pt>
                <c:pt idx="1352">
                  <c:v>737467.32312499965</c:v>
                </c:pt>
                <c:pt idx="1353">
                  <c:v>737467.32312499965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3195822.2823684062</c:v>
                </c:pt>
                <c:pt idx="30">
                  <c:v>3195822.2823684062</c:v>
                </c:pt>
                <c:pt idx="31">
                  <c:v>3195822.2823684062</c:v>
                </c:pt>
                <c:pt idx="32">
                  <c:v>3195822.2823684062</c:v>
                </c:pt>
                <c:pt idx="33">
                  <c:v>3283810.5496485545</c:v>
                </c:pt>
                <c:pt idx="34">
                  <c:v>3283810.5496485545</c:v>
                </c:pt>
                <c:pt idx="35">
                  <c:v>3283810.5496485545</c:v>
                </c:pt>
                <c:pt idx="36">
                  <c:v>3283810.5496485545</c:v>
                </c:pt>
                <c:pt idx="37">
                  <c:v>3283810.5496485545</c:v>
                </c:pt>
                <c:pt idx="38">
                  <c:v>3283810.5496485545</c:v>
                </c:pt>
                <c:pt idx="39">
                  <c:v>3283810.5496485545</c:v>
                </c:pt>
                <c:pt idx="40">
                  <c:v>3283810.5496485545</c:v>
                </c:pt>
                <c:pt idx="41">
                  <c:v>3283810.5496485545</c:v>
                </c:pt>
                <c:pt idx="42">
                  <c:v>3283810.5496485545</c:v>
                </c:pt>
                <c:pt idx="43">
                  <c:v>3283810.5496485545</c:v>
                </c:pt>
                <c:pt idx="44">
                  <c:v>3283810.5496485545</c:v>
                </c:pt>
                <c:pt idx="45">
                  <c:v>3283810.5496485545</c:v>
                </c:pt>
                <c:pt idx="46">
                  <c:v>3283810.5496485545</c:v>
                </c:pt>
                <c:pt idx="47">
                  <c:v>3283810.5496485545</c:v>
                </c:pt>
                <c:pt idx="48">
                  <c:v>3283810.5496485545</c:v>
                </c:pt>
                <c:pt idx="49">
                  <c:v>3283810.5496485545</c:v>
                </c:pt>
                <c:pt idx="50">
                  <c:v>3283810.5496485545</c:v>
                </c:pt>
                <c:pt idx="51">
                  <c:v>3283810.5496485545</c:v>
                </c:pt>
                <c:pt idx="52">
                  <c:v>3283810.5496485545</c:v>
                </c:pt>
                <c:pt idx="53">
                  <c:v>3283810.5496485545</c:v>
                </c:pt>
                <c:pt idx="54">
                  <c:v>3283810.5496485545</c:v>
                </c:pt>
                <c:pt idx="55">
                  <c:v>3283810.5496485545</c:v>
                </c:pt>
                <c:pt idx="56">
                  <c:v>3283810.5496485545</c:v>
                </c:pt>
                <c:pt idx="57">
                  <c:v>3283810.5496485545</c:v>
                </c:pt>
                <c:pt idx="58">
                  <c:v>3283810.5496485545</c:v>
                </c:pt>
                <c:pt idx="59">
                  <c:v>3283810.5496485545</c:v>
                </c:pt>
                <c:pt idx="60">
                  <c:v>3283810.5496485545</c:v>
                </c:pt>
                <c:pt idx="61">
                  <c:v>3283810.5496485545</c:v>
                </c:pt>
                <c:pt idx="62">
                  <c:v>3283810.5496485545</c:v>
                </c:pt>
                <c:pt idx="63">
                  <c:v>3283810.5496485545</c:v>
                </c:pt>
                <c:pt idx="64">
                  <c:v>3283810.5496485545</c:v>
                </c:pt>
                <c:pt idx="65">
                  <c:v>3283810.5496485545</c:v>
                </c:pt>
                <c:pt idx="66">
                  <c:v>3283810.5496485545</c:v>
                </c:pt>
                <c:pt idx="67">
                  <c:v>3283810.5496485545</c:v>
                </c:pt>
                <c:pt idx="68">
                  <c:v>3283810.5496485545</c:v>
                </c:pt>
                <c:pt idx="69">
                  <c:v>3283810.5496485545</c:v>
                </c:pt>
                <c:pt idx="70">
                  <c:v>3283810.5496485545</c:v>
                </c:pt>
                <c:pt idx="71">
                  <c:v>3283810.5496485545</c:v>
                </c:pt>
                <c:pt idx="72">
                  <c:v>3283810.5496485545</c:v>
                </c:pt>
                <c:pt idx="73">
                  <c:v>3283810.5496485545</c:v>
                </c:pt>
                <c:pt idx="74">
                  <c:v>3283810.5496485545</c:v>
                </c:pt>
                <c:pt idx="75">
                  <c:v>3283810.5496485545</c:v>
                </c:pt>
                <c:pt idx="76">
                  <c:v>3283810.5496485545</c:v>
                </c:pt>
                <c:pt idx="77">
                  <c:v>3283810.5496485545</c:v>
                </c:pt>
                <c:pt idx="78">
                  <c:v>3283810.5496485545</c:v>
                </c:pt>
                <c:pt idx="79">
                  <c:v>3283810.5496485545</c:v>
                </c:pt>
                <c:pt idx="80">
                  <c:v>3283810.5496485545</c:v>
                </c:pt>
                <c:pt idx="81">
                  <c:v>3283810.5496485545</c:v>
                </c:pt>
                <c:pt idx="82">
                  <c:v>3283810.5496485545</c:v>
                </c:pt>
                <c:pt idx="83">
                  <c:v>3283810.5496485545</c:v>
                </c:pt>
                <c:pt idx="84">
                  <c:v>3283810.5496485545</c:v>
                </c:pt>
                <c:pt idx="85">
                  <c:v>3283810.5496485545</c:v>
                </c:pt>
                <c:pt idx="86">
                  <c:v>3283810.5496485545</c:v>
                </c:pt>
                <c:pt idx="87">
                  <c:v>3283810.5496485545</c:v>
                </c:pt>
                <c:pt idx="88">
                  <c:v>3283810.5496485545</c:v>
                </c:pt>
                <c:pt idx="89">
                  <c:v>3283810.5496485545</c:v>
                </c:pt>
                <c:pt idx="90">
                  <c:v>3283810.5496485545</c:v>
                </c:pt>
                <c:pt idx="91">
                  <c:v>3283810.5496485545</c:v>
                </c:pt>
                <c:pt idx="92">
                  <c:v>3283810.5496485545</c:v>
                </c:pt>
                <c:pt idx="93">
                  <c:v>3283810.5496485545</c:v>
                </c:pt>
                <c:pt idx="94">
                  <c:v>3283810.5496485545</c:v>
                </c:pt>
                <c:pt idx="95">
                  <c:v>3283810.5496485545</c:v>
                </c:pt>
                <c:pt idx="96">
                  <c:v>3283810.5496485545</c:v>
                </c:pt>
                <c:pt idx="97">
                  <c:v>3283810.5496485545</c:v>
                </c:pt>
                <c:pt idx="98">
                  <c:v>3283810.5496485545</c:v>
                </c:pt>
                <c:pt idx="99">
                  <c:v>3283810.5496485545</c:v>
                </c:pt>
                <c:pt idx="100">
                  <c:v>3283810.5496485545</c:v>
                </c:pt>
                <c:pt idx="101">
                  <c:v>3283810.5496485545</c:v>
                </c:pt>
                <c:pt idx="102">
                  <c:v>3283810.5496485545</c:v>
                </c:pt>
                <c:pt idx="103">
                  <c:v>3283810.5496485545</c:v>
                </c:pt>
                <c:pt idx="104">
                  <c:v>3283810.5496485545</c:v>
                </c:pt>
                <c:pt idx="105">
                  <c:v>3283810.5496485545</c:v>
                </c:pt>
                <c:pt idx="106">
                  <c:v>3283810.5496485545</c:v>
                </c:pt>
                <c:pt idx="107">
                  <c:v>3283810.5496485545</c:v>
                </c:pt>
                <c:pt idx="108">
                  <c:v>3283810.5496485545</c:v>
                </c:pt>
                <c:pt idx="109">
                  <c:v>3283810.5496485545</c:v>
                </c:pt>
                <c:pt idx="110">
                  <c:v>3283810.5496485545</c:v>
                </c:pt>
                <c:pt idx="111">
                  <c:v>3283810.5496485545</c:v>
                </c:pt>
                <c:pt idx="112">
                  <c:v>3283810.5496485545</c:v>
                </c:pt>
                <c:pt idx="113">
                  <c:v>3283810.5496485545</c:v>
                </c:pt>
                <c:pt idx="114">
                  <c:v>3283810.5496485545</c:v>
                </c:pt>
                <c:pt idx="115">
                  <c:v>3283810.5496485545</c:v>
                </c:pt>
                <c:pt idx="116">
                  <c:v>3283810.5496485545</c:v>
                </c:pt>
                <c:pt idx="117">
                  <c:v>3283810.5496485545</c:v>
                </c:pt>
                <c:pt idx="118">
                  <c:v>3283810.5496485545</c:v>
                </c:pt>
                <c:pt idx="119">
                  <c:v>3283810.5496485545</c:v>
                </c:pt>
                <c:pt idx="120">
                  <c:v>3283810.5496485545</c:v>
                </c:pt>
                <c:pt idx="121">
                  <c:v>3283810.5496485545</c:v>
                </c:pt>
                <c:pt idx="122">
                  <c:v>3283810.5496485545</c:v>
                </c:pt>
                <c:pt idx="123">
                  <c:v>3283810.5496485545</c:v>
                </c:pt>
                <c:pt idx="124">
                  <c:v>3283810.5496485545</c:v>
                </c:pt>
                <c:pt idx="125">
                  <c:v>3283810.5496485545</c:v>
                </c:pt>
                <c:pt idx="126">
                  <c:v>3283810.5496485545</c:v>
                </c:pt>
                <c:pt idx="127">
                  <c:v>3283810.5496485545</c:v>
                </c:pt>
                <c:pt idx="128">
                  <c:v>3283810.5496485545</c:v>
                </c:pt>
                <c:pt idx="129">
                  <c:v>3283810.5496485545</c:v>
                </c:pt>
                <c:pt idx="130">
                  <c:v>3283810.5496485545</c:v>
                </c:pt>
                <c:pt idx="131">
                  <c:v>3283810.5496485545</c:v>
                </c:pt>
                <c:pt idx="132">
                  <c:v>3283810.5496485545</c:v>
                </c:pt>
                <c:pt idx="133">
                  <c:v>3283810.5496485545</c:v>
                </c:pt>
                <c:pt idx="134">
                  <c:v>3283810.5496485545</c:v>
                </c:pt>
                <c:pt idx="135">
                  <c:v>3283810.5496485545</c:v>
                </c:pt>
                <c:pt idx="136">
                  <c:v>3283810.5496485545</c:v>
                </c:pt>
                <c:pt idx="137">
                  <c:v>3283810.5496485545</c:v>
                </c:pt>
                <c:pt idx="138">
                  <c:v>3283810.5496485545</c:v>
                </c:pt>
                <c:pt idx="139">
                  <c:v>3283810.5496485545</c:v>
                </c:pt>
                <c:pt idx="140">
                  <c:v>3283810.5496485545</c:v>
                </c:pt>
                <c:pt idx="141">
                  <c:v>3283810.5496485545</c:v>
                </c:pt>
                <c:pt idx="142">
                  <c:v>3283810.5496485545</c:v>
                </c:pt>
                <c:pt idx="143">
                  <c:v>3283810.5496485545</c:v>
                </c:pt>
                <c:pt idx="144">
                  <c:v>3283810.5496485545</c:v>
                </c:pt>
                <c:pt idx="145">
                  <c:v>3283810.5496485545</c:v>
                </c:pt>
                <c:pt idx="146">
                  <c:v>3283810.5496485545</c:v>
                </c:pt>
                <c:pt idx="147">
                  <c:v>3283810.5496485545</c:v>
                </c:pt>
                <c:pt idx="148">
                  <c:v>3283810.5496485545</c:v>
                </c:pt>
                <c:pt idx="149">
                  <c:v>3283810.5496485545</c:v>
                </c:pt>
                <c:pt idx="150">
                  <c:v>3283810.5496485545</c:v>
                </c:pt>
                <c:pt idx="151">
                  <c:v>3283810.5496485545</c:v>
                </c:pt>
                <c:pt idx="152">
                  <c:v>3283810.5496485545</c:v>
                </c:pt>
                <c:pt idx="153">
                  <c:v>3283810.5496485545</c:v>
                </c:pt>
                <c:pt idx="154">
                  <c:v>3283810.5496485545</c:v>
                </c:pt>
                <c:pt idx="155">
                  <c:v>3283810.5496485545</c:v>
                </c:pt>
                <c:pt idx="156">
                  <c:v>3283810.5496485545</c:v>
                </c:pt>
                <c:pt idx="157">
                  <c:v>3283810.5496485545</c:v>
                </c:pt>
                <c:pt idx="158">
                  <c:v>3283810.5496485545</c:v>
                </c:pt>
                <c:pt idx="159">
                  <c:v>3283810.5496485545</c:v>
                </c:pt>
                <c:pt idx="160">
                  <c:v>3283810.5496485545</c:v>
                </c:pt>
                <c:pt idx="161">
                  <c:v>3283810.5496485545</c:v>
                </c:pt>
                <c:pt idx="162">
                  <c:v>3283810.5496485545</c:v>
                </c:pt>
                <c:pt idx="163">
                  <c:v>3283810.5496485545</c:v>
                </c:pt>
                <c:pt idx="164">
                  <c:v>3283810.5496485545</c:v>
                </c:pt>
                <c:pt idx="165">
                  <c:v>3283810.5496485545</c:v>
                </c:pt>
                <c:pt idx="166">
                  <c:v>3283810.5496485545</c:v>
                </c:pt>
                <c:pt idx="167">
                  <c:v>3283810.5496485545</c:v>
                </c:pt>
                <c:pt idx="168">
                  <c:v>3283810.5496485545</c:v>
                </c:pt>
                <c:pt idx="169">
                  <c:v>3283810.5496485545</c:v>
                </c:pt>
                <c:pt idx="170">
                  <c:v>3283810.5496485545</c:v>
                </c:pt>
                <c:pt idx="171">
                  <c:v>3283810.5496485545</c:v>
                </c:pt>
                <c:pt idx="172">
                  <c:v>3283810.5496485545</c:v>
                </c:pt>
                <c:pt idx="173">
                  <c:v>3283810.5496485545</c:v>
                </c:pt>
                <c:pt idx="174">
                  <c:v>3283810.5496485545</c:v>
                </c:pt>
                <c:pt idx="175">
                  <c:v>3283810.5496485545</c:v>
                </c:pt>
                <c:pt idx="176">
                  <c:v>3283810.5496485545</c:v>
                </c:pt>
                <c:pt idx="177">
                  <c:v>3283810.5496485545</c:v>
                </c:pt>
                <c:pt idx="178">
                  <c:v>3283810.5496485545</c:v>
                </c:pt>
                <c:pt idx="179">
                  <c:v>3283810.5496485545</c:v>
                </c:pt>
                <c:pt idx="180">
                  <c:v>3283810.5496485545</c:v>
                </c:pt>
                <c:pt idx="181">
                  <c:v>3283810.5496485545</c:v>
                </c:pt>
                <c:pt idx="182">
                  <c:v>3283810.5496485545</c:v>
                </c:pt>
                <c:pt idx="183">
                  <c:v>3283810.5496485545</c:v>
                </c:pt>
                <c:pt idx="184">
                  <c:v>3283810.5496485545</c:v>
                </c:pt>
                <c:pt idx="185">
                  <c:v>3283810.5496485545</c:v>
                </c:pt>
                <c:pt idx="186">
                  <c:v>3283810.5496485545</c:v>
                </c:pt>
                <c:pt idx="187">
                  <c:v>3283810.5496485545</c:v>
                </c:pt>
                <c:pt idx="188">
                  <c:v>3283810.5496485545</c:v>
                </c:pt>
                <c:pt idx="189">
                  <c:v>3283810.5496485545</c:v>
                </c:pt>
                <c:pt idx="190">
                  <c:v>3283810.5496485545</c:v>
                </c:pt>
                <c:pt idx="191">
                  <c:v>3283810.5496485545</c:v>
                </c:pt>
                <c:pt idx="192">
                  <c:v>3283810.5496485545</c:v>
                </c:pt>
                <c:pt idx="193">
                  <c:v>3283810.5496485545</c:v>
                </c:pt>
                <c:pt idx="194">
                  <c:v>3283810.5496485545</c:v>
                </c:pt>
                <c:pt idx="195">
                  <c:v>3283810.5496485545</c:v>
                </c:pt>
                <c:pt idx="196">
                  <c:v>3283810.5496485545</c:v>
                </c:pt>
                <c:pt idx="197">
                  <c:v>3283810.5496485545</c:v>
                </c:pt>
                <c:pt idx="198">
                  <c:v>3283810.5496485545</c:v>
                </c:pt>
                <c:pt idx="199">
                  <c:v>3283810.5496485545</c:v>
                </c:pt>
                <c:pt idx="200">
                  <c:v>3283810.5496485545</c:v>
                </c:pt>
                <c:pt idx="201">
                  <c:v>3283810.5496485545</c:v>
                </c:pt>
                <c:pt idx="202">
                  <c:v>3283810.5496485545</c:v>
                </c:pt>
                <c:pt idx="203">
                  <c:v>3283810.5496485545</c:v>
                </c:pt>
                <c:pt idx="204">
                  <c:v>3283810.5496485545</c:v>
                </c:pt>
                <c:pt idx="205">
                  <c:v>3283810.5496485545</c:v>
                </c:pt>
                <c:pt idx="206">
                  <c:v>3283810.5496485545</c:v>
                </c:pt>
                <c:pt idx="207">
                  <c:v>3283810.5496485545</c:v>
                </c:pt>
                <c:pt idx="208">
                  <c:v>3283810.5496485545</c:v>
                </c:pt>
                <c:pt idx="209">
                  <c:v>3283810.5496485545</c:v>
                </c:pt>
                <c:pt idx="210">
                  <c:v>3283810.5496485545</c:v>
                </c:pt>
                <c:pt idx="211">
                  <c:v>3283810.5496485545</c:v>
                </c:pt>
                <c:pt idx="212">
                  <c:v>3283810.5496485545</c:v>
                </c:pt>
                <c:pt idx="213">
                  <c:v>3283810.5496485545</c:v>
                </c:pt>
                <c:pt idx="214">
                  <c:v>3283810.5496485545</c:v>
                </c:pt>
                <c:pt idx="215">
                  <c:v>3283810.5496485545</c:v>
                </c:pt>
                <c:pt idx="216">
                  <c:v>3283810.5496485545</c:v>
                </c:pt>
                <c:pt idx="217">
                  <c:v>3283810.5496485545</c:v>
                </c:pt>
                <c:pt idx="218">
                  <c:v>3283810.5496485545</c:v>
                </c:pt>
                <c:pt idx="219">
                  <c:v>3283810.5496485545</c:v>
                </c:pt>
                <c:pt idx="220">
                  <c:v>3283810.5496485545</c:v>
                </c:pt>
                <c:pt idx="221">
                  <c:v>3283810.5496485545</c:v>
                </c:pt>
                <c:pt idx="222">
                  <c:v>3283810.5496485545</c:v>
                </c:pt>
                <c:pt idx="223">
                  <c:v>3283810.5496485545</c:v>
                </c:pt>
                <c:pt idx="224">
                  <c:v>3283810.5496485545</c:v>
                </c:pt>
                <c:pt idx="225">
                  <c:v>3283810.5496485545</c:v>
                </c:pt>
                <c:pt idx="226">
                  <c:v>3283810.5496485545</c:v>
                </c:pt>
                <c:pt idx="227">
                  <c:v>3283810.5496485545</c:v>
                </c:pt>
                <c:pt idx="228">
                  <c:v>3283810.5496485545</c:v>
                </c:pt>
                <c:pt idx="229">
                  <c:v>3283810.5496485545</c:v>
                </c:pt>
                <c:pt idx="230">
                  <c:v>3283810.5496485545</c:v>
                </c:pt>
                <c:pt idx="231">
                  <c:v>3283810.5496485545</c:v>
                </c:pt>
                <c:pt idx="232">
                  <c:v>3283810.5496485545</c:v>
                </c:pt>
                <c:pt idx="233">
                  <c:v>3283810.5496485545</c:v>
                </c:pt>
                <c:pt idx="234">
                  <c:v>3283810.5496485545</c:v>
                </c:pt>
                <c:pt idx="235">
                  <c:v>3283810.5496485545</c:v>
                </c:pt>
                <c:pt idx="236">
                  <c:v>3283810.5496485545</c:v>
                </c:pt>
                <c:pt idx="237">
                  <c:v>3283810.5496485545</c:v>
                </c:pt>
                <c:pt idx="238">
                  <c:v>3283810.5496485545</c:v>
                </c:pt>
                <c:pt idx="239">
                  <c:v>3283810.5496485545</c:v>
                </c:pt>
                <c:pt idx="240">
                  <c:v>3283810.5496485545</c:v>
                </c:pt>
                <c:pt idx="241">
                  <c:v>3283810.5496485545</c:v>
                </c:pt>
                <c:pt idx="242">
                  <c:v>3283810.5496485545</c:v>
                </c:pt>
                <c:pt idx="243">
                  <c:v>3283810.5496485545</c:v>
                </c:pt>
                <c:pt idx="244">
                  <c:v>3283810.5496485545</c:v>
                </c:pt>
                <c:pt idx="245">
                  <c:v>3283810.5496485545</c:v>
                </c:pt>
                <c:pt idx="246">
                  <c:v>3283810.5496485545</c:v>
                </c:pt>
                <c:pt idx="247">
                  <c:v>3283810.5496485545</c:v>
                </c:pt>
                <c:pt idx="248">
                  <c:v>3283810.5496485545</c:v>
                </c:pt>
                <c:pt idx="249">
                  <c:v>3283810.5496485545</c:v>
                </c:pt>
                <c:pt idx="250">
                  <c:v>3283810.5496485545</c:v>
                </c:pt>
                <c:pt idx="251">
                  <c:v>3283810.5496485545</c:v>
                </c:pt>
                <c:pt idx="252">
                  <c:v>3283810.5496485545</c:v>
                </c:pt>
                <c:pt idx="253">
                  <c:v>3283810.5496485545</c:v>
                </c:pt>
                <c:pt idx="254">
                  <c:v>3283810.5496485545</c:v>
                </c:pt>
                <c:pt idx="255">
                  <c:v>3283810.5496485545</c:v>
                </c:pt>
                <c:pt idx="256">
                  <c:v>3283810.5496485545</c:v>
                </c:pt>
                <c:pt idx="257">
                  <c:v>3283810.5496485545</c:v>
                </c:pt>
                <c:pt idx="258">
                  <c:v>3283810.5496485545</c:v>
                </c:pt>
                <c:pt idx="259">
                  <c:v>3283810.5496485545</c:v>
                </c:pt>
                <c:pt idx="260">
                  <c:v>3283810.5496485545</c:v>
                </c:pt>
                <c:pt idx="261">
                  <c:v>3283810.5496485545</c:v>
                </c:pt>
                <c:pt idx="262">
                  <c:v>3283810.5496485545</c:v>
                </c:pt>
                <c:pt idx="263">
                  <c:v>3283810.5496485545</c:v>
                </c:pt>
                <c:pt idx="264">
                  <c:v>3283810.5496485545</c:v>
                </c:pt>
                <c:pt idx="265">
                  <c:v>3283810.5496485545</c:v>
                </c:pt>
                <c:pt idx="266">
                  <c:v>3283810.5496485545</c:v>
                </c:pt>
                <c:pt idx="267">
                  <c:v>3283810.5496485545</c:v>
                </c:pt>
                <c:pt idx="268">
                  <c:v>3283810.5496485545</c:v>
                </c:pt>
                <c:pt idx="269">
                  <c:v>3283810.5496485545</c:v>
                </c:pt>
                <c:pt idx="270">
                  <c:v>3283810.5496485545</c:v>
                </c:pt>
                <c:pt idx="271">
                  <c:v>3283810.5496485545</c:v>
                </c:pt>
                <c:pt idx="272">
                  <c:v>3283810.5496485545</c:v>
                </c:pt>
                <c:pt idx="273">
                  <c:v>3283810.5496485545</c:v>
                </c:pt>
                <c:pt idx="274">
                  <c:v>3283810.5496485545</c:v>
                </c:pt>
                <c:pt idx="275">
                  <c:v>3283810.5496485545</c:v>
                </c:pt>
                <c:pt idx="276">
                  <c:v>3283810.5496485545</c:v>
                </c:pt>
                <c:pt idx="277">
                  <c:v>3283810.5496485545</c:v>
                </c:pt>
                <c:pt idx="278">
                  <c:v>3283810.5496485545</c:v>
                </c:pt>
                <c:pt idx="279">
                  <c:v>3283810.5496485545</c:v>
                </c:pt>
                <c:pt idx="280">
                  <c:v>3283810.5496485545</c:v>
                </c:pt>
                <c:pt idx="281">
                  <c:v>3283810.5496485545</c:v>
                </c:pt>
                <c:pt idx="282">
                  <c:v>3283810.5496485545</c:v>
                </c:pt>
                <c:pt idx="283">
                  <c:v>3283810.5496485545</c:v>
                </c:pt>
                <c:pt idx="284">
                  <c:v>3283810.5496485545</c:v>
                </c:pt>
                <c:pt idx="285">
                  <c:v>3283810.5496485545</c:v>
                </c:pt>
                <c:pt idx="286">
                  <c:v>3283810.5496485545</c:v>
                </c:pt>
                <c:pt idx="287">
                  <c:v>3283810.5496485545</c:v>
                </c:pt>
                <c:pt idx="288">
                  <c:v>3283810.5496485545</c:v>
                </c:pt>
                <c:pt idx="289">
                  <c:v>3283810.5496485545</c:v>
                </c:pt>
                <c:pt idx="290">
                  <c:v>3283810.5496485545</c:v>
                </c:pt>
                <c:pt idx="291">
                  <c:v>3283810.5496485545</c:v>
                </c:pt>
                <c:pt idx="292">
                  <c:v>3283810.5496485545</c:v>
                </c:pt>
                <c:pt idx="293">
                  <c:v>3283810.5496485545</c:v>
                </c:pt>
                <c:pt idx="294">
                  <c:v>3283810.5496485545</c:v>
                </c:pt>
                <c:pt idx="295">
                  <c:v>3283810.5496485545</c:v>
                </c:pt>
                <c:pt idx="296">
                  <c:v>3283810.5496485545</c:v>
                </c:pt>
                <c:pt idx="297">
                  <c:v>3283810.5496485545</c:v>
                </c:pt>
                <c:pt idx="298">
                  <c:v>3283810.5496485545</c:v>
                </c:pt>
                <c:pt idx="299">
                  <c:v>3283810.5496485545</c:v>
                </c:pt>
                <c:pt idx="300">
                  <c:v>3283810.5496485545</c:v>
                </c:pt>
                <c:pt idx="301">
                  <c:v>3283810.5496485545</c:v>
                </c:pt>
                <c:pt idx="302">
                  <c:v>3283810.5496485545</c:v>
                </c:pt>
                <c:pt idx="303">
                  <c:v>3283810.5496485545</c:v>
                </c:pt>
                <c:pt idx="304">
                  <c:v>3283810.5496485545</c:v>
                </c:pt>
                <c:pt idx="305">
                  <c:v>3283810.5496485545</c:v>
                </c:pt>
                <c:pt idx="306">
                  <c:v>3283810.5496485545</c:v>
                </c:pt>
                <c:pt idx="307">
                  <c:v>3283810.5496485545</c:v>
                </c:pt>
                <c:pt idx="308">
                  <c:v>3283810.5496485545</c:v>
                </c:pt>
                <c:pt idx="309">
                  <c:v>3283810.5496485545</c:v>
                </c:pt>
                <c:pt idx="310">
                  <c:v>3283810.5496485545</c:v>
                </c:pt>
                <c:pt idx="311">
                  <c:v>3283810.5496485545</c:v>
                </c:pt>
                <c:pt idx="312">
                  <c:v>3283810.5496485545</c:v>
                </c:pt>
                <c:pt idx="313">
                  <c:v>3283810.5496485545</c:v>
                </c:pt>
                <c:pt idx="314">
                  <c:v>3283810.5496485545</c:v>
                </c:pt>
                <c:pt idx="315">
                  <c:v>3283810.5496485545</c:v>
                </c:pt>
                <c:pt idx="316">
                  <c:v>3283810.5496485545</c:v>
                </c:pt>
                <c:pt idx="317">
                  <c:v>3283810.5496485545</c:v>
                </c:pt>
                <c:pt idx="318">
                  <c:v>3283810.5496485545</c:v>
                </c:pt>
                <c:pt idx="319">
                  <c:v>3283810.5496485545</c:v>
                </c:pt>
                <c:pt idx="320">
                  <c:v>3283810.5496485545</c:v>
                </c:pt>
                <c:pt idx="321">
                  <c:v>3283810.5496485545</c:v>
                </c:pt>
                <c:pt idx="322">
                  <c:v>3283810.5496485545</c:v>
                </c:pt>
                <c:pt idx="323">
                  <c:v>3283810.5496485545</c:v>
                </c:pt>
                <c:pt idx="324">
                  <c:v>3283810.5496485545</c:v>
                </c:pt>
                <c:pt idx="325">
                  <c:v>3283810.5496485545</c:v>
                </c:pt>
                <c:pt idx="326">
                  <c:v>3283810.5496485545</c:v>
                </c:pt>
                <c:pt idx="327">
                  <c:v>3283810.5496485545</c:v>
                </c:pt>
                <c:pt idx="328">
                  <c:v>3283810.5496485545</c:v>
                </c:pt>
                <c:pt idx="329">
                  <c:v>3283810.5496485545</c:v>
                </c:pt>
                <c:pt idx="330">
                  <c:v>3283810.5496485545</c:v>
                </c:pt>
                <c:pt idx="331">
                  <c:v>3283810.5496485545</c:v>
                </c:pt>
                <c:pt idx="332">
                  <c:v>3283810.5496485545</c:v>
                </c:pt>
                <c:pt idx="333">
                  <c:v>3283810.5496485545</c:v>
                </c:pt>
                <c:pt idx="334">
                  <c:v>3283810.5496485545</c:v>
                </c:pt>
                <c:pt idx="335">
                  <c:v>3283810.5496485545</c:v>
                </c:pt>
                <c:pt idx="336">
                  <c:v>3283810.5496485545</c:v>
                </c:pt>
                <c:pt idx="337">
                  <c:v>3283810.5496485545</c:v>
                </c:pt>
                <c:pt idx="338">
                  <c:v>3283810.5496485545</c:v>
                </c:pt>
                <c:pt idx="339">
                  <c:v>3283810.5496485545</c:v>
                </c:pt>
                <c:pt idx="340">
                  <c:v>3283810.5496485545</c:v>
                </c:pt>
                <c:pt idx="341">
                  <c:v>3283810.5496485545</c:v>
                </c:pt>
                <c:pt idx="342">
                  <c:v>3283810.5496485545</c:v>
                </c:pt>
                <c:pt idx="343">
                  <c:v>3283810.5496485545</c:v>
                </c:pt>
                <c:pt idx="344">
                  <c:v>3283810.5496485545</c:v>
                </c:pt>
                <c:pt idx="345">
                  <c:v>3283810.5496485545</c:v>
                </c:pt>
                <c:pt idx="346">
                  <c:v>3283810.5496485545</c:v>
                </c:pt>
                <c:pt idx="347">
                  <c:v>3283810.5496485545</c:v>
                </c:pt>
                <c:pt idx="348">
                  <c:v>3283810.5496485545</c:v>
                </c:pt>
                <c:pt idx="349">
                  <c:v>3283810.5496485545</c:v>
                </c:pt>
                <c:pt idx="350">
                  <c:v>3283810.5496485545</c:v>
                </c:pt>
                <c:pt idx="351">
                  <c:v>3283810.5496485545</c:v>
                </c:pt>
                <c:pt idx="352">
                  <c:v>3283810.5496485545</c:v>
                </c:pt>
                <c:pt idx="353">
                  <c:v>3283810.5496485545</c:v>
                </c:pt>
                <c:pt idx="354">
                  <c:v>3283810.5496485545</c:v>
                </c:pt>
                <c:pt idx="355">
                  <c:v>3283810.5496485545</c:v>
                </c:pt>
                <c:pt idx="356">
                  <c:v>3283810.5496485545</c:v>
                </c:pt>
                <c:pt idx="357">
                  <c:v>3283810.5496485545</c:v>
                </c:pt>
                <c:pt idx="358">
                  <c:v>3283810.5496485545</c:v>
                </c:pt>
                <c:pt idx="359">
                  <c:v>3283810.5496485545</c:v>
                </c:pt>
                <c:pt idx="360">
                  <c:v>3283810.5496485545</c:v>
                </c:pt>
                <c:pt idx="361">
                  <c:v>3283810.5496485545</c:v>
                </c:pt>
                <c:pt idx="362">
                  <c:v>3283810.5496485545</c:v>
                </c:pt>
                <c:pt idx="363">
                  <c:v>3283810.5496485545</c:v>
                </c:pt>
                <c:pt idx="364">
                  <c:v>3283810.5496485545</c:v>
                </c:pt>
                <c:pt idx="365">
                  <c:v>3283810.5496485545</c:v>
                </c:pt>
                <c:pt idx="366">
                  <c:v>3283810.5496485545</c:v>
                </c:pt>
                <c:pt idx="367">
                  <c:v>3283810.5496485545</c:v>
                </c:pt>
                <c:pt idx="368">
                  <c:v>3283810.5496485545</c:v>
                </c:pt>
                <c:pt idx="369">
                  <c:v>3283810.5496485545</c:v>
                </c:pt>
                <c:pt idx="370">
                  <c:v>3283810.5496485545</c:v>
                </c:pt>
                <c:pt idx="371">
                  <c:v>3283810.5496485545</c:v>
                </c:pt>
                <c:pt idx="372">
                  <c:v>3283810.5496485545</c:v>
                </c:pt>
                <c:pt idx="373">
                  <c:v>3283810.5496485545</c:v>
                </c:pt>
                <c:pt idx="374">
                  <c:v>3283810.5496485545</c:v>
                </c:pt>
                <c:pt idx="375">
                  <c:v>3283810.5496485545</c:v>
                </c:pt>
                <c:pt idx="376">
                  <c:v>3283810.5496485545</c:v>
                </c:pt>
                <c:pt idx="377">
                  <c:v>3283810.5496485545</c:v>
                </c:pt>
                <c:pt idx="378">
                  <c:v>3283810.5496485545</c:v>
                </c:pt>
                <c:pt idx="379">
                  <c:v>3283810.5496485545</c:v>
                </c:pt>
                <c:pt idx="380">
                  <c:v>3283810.5496485545</c:v>
                </c:pt>
                <c:pt idx="381">
                  <c:v>3283810.5496485545</c:v>
                </c:pt>
                <c:pt idx="382">
                  <c:v>3283810.5496485545</c:v>
                </c:pt>
                <c:pt idx="383">
                  <c:v>3283810.5496485545</c:v>
                </c:pt>
                <c:pt idx="384">
                  <c:v>3283810.5496485545</c:v>
                </c:pt>
                <c:pt idx="385">
                  <c:v>3283810.5496485545</c:v>
                </c:pt>
                <c:pt idx="386">
                  <c:v>3283810.5496485545</c:v>
                </c:pt>
                <c:pt idx="387">
                  <c:v>3283810.5496485545</c:v>
                </c:pt>
                <c:pt idx="388">
                  <c:v>3283810.5496485545</c:v>
                </c:pt>
                <c:pt idx="389">
                  <c:v>3283810.5496485545</c:v>
                </c:pt>
                <c:pt idx="390">
                  <c:v>3283810.5496485545</c:v>
                </c:pt>
                <c:pt idx="391">
                  <c:v>3283810.5496485545</c:v>
                </c:pt>
                <c:pt idx="392">
                  <c:v>3283810.5496485545</c:v>
                </c:pt>
                <c:pt idx="393">
                  <c:v>3283810.5496485545</c:v>
                </c:pt>
                <c:pt idx="394">
                  <c:v>3283810.5496485545</c:v>
                </c:pt>
                <c:pt idx="395">
                  <c:v>3283810.5496485545</c:v>
                </c:pt>
                <c:pt idx="396">
                  <c:v>3283810.5496485545</c:v>
                </c:pt>
                <c:pt idx="397">
                  <c:v>3283810.5496485545</c:v>
                </c:pt>
                <c:pt idx="398">
                  <c:v>3283810.5496485545</c:v>
                </c:pt>
                <c:pt idx="399">
                  <c:v>3283810.5496485545</c:v>
                </c:pt>
                <c:pt idx="400">
                  <c:v>3283810.5496485545</c:v>
                </c:pt>
                <c:pt idx="401">
                  <c:v>3283810.5496485545</c:v>
                </c:pt>
                <c:pt idx="402">
                  <c:v>3283810.5496485545</c:v>
                </c:pt>
                <c:pt idx="403">
                  <c:v>3283810.5496485545</c:v>
                </c:pt>
                <c:pt idx="404">
                  <c:v>3283810.5496485545</c:v>
                </c:pt>
                <c:pt idx="405">
                  <c:v>3283810.5496485545</c:v>
                </c:pt>
                <c:pt idx="406">
                  <c:v>3283810.5496485545</c:v>
                </c:pt>
                <c:pt idx="407">
                  <c:v>3283810.5496485545</c:v>
                </c:pt>
                <c:pt idx="408">
                  <c:v>3283810.5496485545</c:v>
                </c:pt>
                <c:pt idx="409">
                  <c:v>3283810.5496485545</c:v>
                </c:pt>
                <c:pt idx="410">
                  <c:v>3283810.5496485545</c:v>
                </c:pt>
                <c:pt idx="411">
                  <c:v>3283810.5496485545</c:v>
                </c:pt>
                <c:pt idx="412">
                  <c:v>3283810.5496485545</c:v>
                </c:pt>
                <c:pt idx="413">
                  <c:v>3283810.5496485545</c:v>
                </c:pt>
                <c:pt idx="414">
                  <c:v>3283810.5496485545</c:v>
                </c:pt>
                <c:pt idx="415">
                  <c:v>3283810.5496485545</c:v>
                </c:pt>
                <c:pt idx="416">
                  <c:v>3283810.5496485545</c:v>
                </c:pt>
                <c:pt idx="417">
                  <c:v>3283810.5496485545</c:v>
                </c:pt>
                <c:pt idx="418">
                  <c:v>3283810.5496485545</c:v>
                </c:pt>
                <c:pt idx="419">
                  <c:v>3283810.5496485545</c:v>
                </c:pt>
                <c:pt idx="420">
                  <c:v>3283810.5496485545</c:v>
                </c:pt>
                <c:pt idx="421">
                  <c:v>3283810.5496485545</c:v>
                </c:pt>
                <c:pt idx="422">
                  <c:v>3283810.5496485545</c:v>
                </c:pt>
                <c:pt idx="423">
                  <c:v>3283810.5496485545</c:v>
                </c:pt>
                <c:pt idx="424">
                  <c:v>3283810.5496485545</c:v>
                </c:pt>
                <c:pt idx="425">
                  <c:v>3283810.5496485545</c:v>
                </c:pt>
                <c:pt idx="426">
                  <c:v>3283810.5496485545</c:v>
                </c:pt>
                <c:pt idx="427">
                  <c:v>3283810.5496485545</c:v>
                </c:pt>
                <c:pt idx="428">
                  <c:v>3283810.5496485545</c:v>
                </c:pt>
                <c:pt idx="429">
                  <c:v>3283810.5496485545</c:v>
                </c:pt>
                <c:pt idx="430">
                  <c:v>3283810.5496485545</c:v>
                </c:pt>
                <c:pt idx="431">
                  <c:v>3283810.5496485545</c:v>
                </c:pt>
                <c:pt idx="432">
                  <c:v>3283810.5496485545</c:v>
                </c:pt>
                <c:pt idx="433">
                  <c:v>3283810.5496485545</c:v>
                </c:pt>
                <c:pt idx="434">
                  <c:v>3283810.5496485545</c:v>
                </c:pt>
                <c:pt idx="435">
                  <c:v>3283810.5496485545</c:v>
                </c:pt>
                <c:pt idx="436">
                  <c:v>3283810.5496485545</c:v>
                </c:pt>
                <c:pt idx="437">
                  <c:v>3283810.5496485545</c:v>
                </c:pt>
                <c:pt idx="438">
                  <c:v>3283810.5496485545</c:v>
                </c:pt>
                <c:pt idx="439">
                  <c:v>3283810.5496485545</c:v>
                </c:pt>
                <c:pt idx="440">
                  <c:v>3283810.5496485545</c:v>
                </c:pt>
                <c:pt idx="441">
                  <c:v>3283810.5496485545</c:v>
                </c:pt>
                <c:pt idx="442">
                  <c:v>3283810.5496485545</c:v>
                </c:pt>
                <c:pt idx="443">
                  <c:v>3283810.5496485545</c:v>
                </c:pt>
                <c:pt idx="444">
                  <c:v>3283810.5496485545</c:v>
                </c:pt>
                <c:pt idx="445">
                  <c:v>3283810.5496485545</c:v>
                </c:pt>
                <c:pt idx="446">
                  <c:v>3283810.5496485545</c:v>
                </c:pt>
                <c:pt idx="447">
                  <c:v>3283810.5496485545</c:v>
                </c:pt>
                <c:pt idx="448">
                  <c:v>3283810.5496485545</c:v>
                </c:pt>
                <c:pt idx="449">
                  <c:v>3283810.5496485545</c:v>
                </c:pt>
                <c:pt idx="450">
                  <c:v>3283810.5496485545</c:v>
                </c:pt>
                <c:pt idx="451">
                  <c:v>3283810.5496485545</c:v>
                </c:pt>
                <c:pt idx="452">
                  <c:v>3283810.5496485545</c:v>
                </c:pt>
                <c:pt idx="453">
                  <c:v>3283810.5496485545</c:v>
                </c:pt>
                <c:pt idx="454">
                  <c:v>3283810.5496485545</c:v>
                </c:pt>
                <c:pt idx="455">
                  <c:v>3283810.5496485545</c:v>
                </c:pt>
                <c:pt idx="456">
                  <c:v>3283810.5496485545</c:v>
                </c:pt>
                <c:pt idx="457">
                  <c:v>3283810.5496485545</c:v>
                </c:pt>
                <c:pt idx="458">
                  <c:v>3283810.5496485545</c:v>
                </c:pt>
                <c:pt idx="459">
                  <c:v>3283810.5496485545</c:v>
                </c:pt>
                <c:pt idx="460">
                  <c:v>3283810.5496485545</c:v>
                </c:pt>
                <c:pt idx="461">
                  <c:v>3283810.5496485545</c:v>
                </c:pt>
                <c:pt idx="462">
                  <c:v>3283810.5496485545</c:v>
                </c:pt>
                <c:pt idx="463">
                  <c:v>3283810.5496485545</c:v>
                </c:pt>
                <c:pt idx="464">
                  <c:v>3283810.5496485545</c:v>
                </c:pt>
                <c:pt idx="465">
                  <c:v>3283810.5496485545</c:v>
                </c:pt>
                <c:pt idx="466">
                  <c:v>3283810.5496485545</c:v>
                </c:pt>
                <c:pt idx="467">
                  <c:v>3283810.5496485545</c:v>
                </c:pt>
                <c:pt idx="468">
                  <c:v>3283810.5496485545</c:v>
                </c:pt>
                <c:pt idx="469">
                  <c:v>3283810.5496485545</c:v>
                </c:pt>
                <c:pt idx="470">
                  <c:v>3283810.5496485545</c:v>
                </c:pt>
                <c:pt idx="471">
                  <c:v>3283810.5496485545</c:v>
                </c:pt>
                <c:pt idx="472">
                  <c:v>3283810.5496485545</c:v>
                </c:pt>
                <c:pt idx="473">
                  <c:v>3283810.5496485545</c:v>
                </c:pt>
                <c:pt idx="474">
                  <c:v>3283810.5496485545</c:v>
                </c:pt>
                <c:pt idx="475">
                  <c:v>3283810.5496485545</c:v>
                </c:pt>
                <c:pt idx="476">
                  <c:v>3283810.5496485545</c:v>
                </c:pt>
                <c:pt idx="477">
                  <c:v>3283810.5496485545</c:v>
                </c:pt>
                <c:pt idx="478">
                  <c:v>3283810.5496485545</c:v>
                </c:pt>
                <c:pt idx="479">
                  <c:v>3283810.5496485545</c:v>
                </c:pt>
                <c:pt idx="480">
                  <c:v>3283810.5496485545</c:v>
                </c:pt>
                <c:pt idx="481">
                  <c:v>3283810.5496485545</c:v>
                </c:pt>
                <c:pt idx="482">
                  <c:v>3283810.5496485545</c:v>
                </c:pt>
                <c:pt idx="483">
                  <c:v>3283810.5496485545</c:v>
                </c:pt>
                <c:pt idx="484">
                  <c:v>3283810.5496485545</c:v>
                </c:pt>
                <c:pt idx="485">
                  <c:v>3283810.5496485545</c:v>
                </c:pt>
                <c:pt idx="486">
                  <c:v>3283810.5496485545</c:v>
                </c:pt>
                <c:pt idx="487">
                  <c:v>3283810.5496485545</c:v>
                </c:pt>
                <c:pt idx="488">
                  <c:v>3283810.5496485545</c:v>
                </c:pt>
                <c:pt idx="489">
                  <c:v>3283810.5496485545</c:v>
                </c:pt>
                <c:pt idx="490">
                  <c:v>3283810.5496485545</c:v>
                </c:pt>
                <c:pt idx="491">
                  <c:v>3283810.5496485545</c:v>
                </c:pt>
                <c:pt idx="492">
                  <c:v>3283810.5496485545</c:v>
                </c:pt>
                <c:pt idx="493">
                  <c:v>3283810.5496485545</c:v>
                </c:pt>
                <c:pt idx="494">
                  <c:v>3283810.5496485545</c:v>
                </c:pt>
                <c:pt idx="495">
                  <c:v>3283810.5496485545</c:v>
                </c:pt>
                <c:pt idx="496">
                  <c:v>3283810.5496485545</c:v>
                </c:pt>
                <c:pt idx="497">
                  <c:v>3283810.5496485545</c:v>
                </c:pt>
                <c:pt idx="498">
                  <c:v>3283810.5496485545</c:v>
                </c:pt>
                <c:pt idx="499">
                  <c:v>3283810.5496485545</c:v>
                </c:pt>
                <c:pt idx="500">
                  <c:v>3283810.5496485545</c:v>
                </c:pt>
                <c:pt idx="501">
                  <c:v>3283810.5496485545</c:v>
                </c:pt>
                <c:pt idx="502">
                  <c:v>3283810.5496485545</c:v>
                </c:pt>
                <c:pt idx="503">
                  <c:v>3283810.5496485545</c:v>
                </c:pt>
                <c:pt idx="504">
                  <c:v>3283810.5496485545</c:v>
                </c:pt>
                <c:pt idx="505">
                  <c:v>3283810.5496485545</c:v>
                </c:pt>
                <c:pt idx="506">
                  <c:v>3283810.5496485545</c:v>
                </c:pt>
                <c:pt idx="507">
                  <c:v>3283810.5496485545</c:v>
                </c:pt>
                <c:pt idx="508">
                  <c:v>3283810.5496485545</c:v>
                </c:pt>
                <c:pt idx="509">
                  <c:v>3283810.5496485545</c:v>
                </c:pt>
                <c:pt idx="510">
                  <c:v>3283810.5496485545</c:v>
                </c:pt>
                <c:pt idx="511">
                  <c:v>3283810.5496485545</c:v>
                </c:pt>
                <c:pt idx="512">
                  <c:v>3283810.5496485545</c:v>
                </c:pt>
                <c:pt idx="513">
                  <c:v>3283810.5496485545</c:v>
                </c:pt>
                <c:pt idx="514">
                  <c:v>3283810.5496485545</c:v>
                </c:pt>
                <c:pt idx="515">
                  <c:v>3283810.5496485545</c:v>
                </c:pt>
                <c:pt idx="516">
                  <c:v>3283810.5496485545</c:v>
                </c:pt>
                <c:pt idx="517">
                  <c:v>3283810.5496485545</c:v>
                </c:pt>
                <c:pt idx="518">
                  <c:v>3283810.5496485545</c:v>
                </c:pt>
                <c:pt idx="519">
                  <c:v>3283810.5496485545</c:v>
                </c:pt>
                <c:pt idx="520">
                  <c:v>3283810.5496485545</c:v>
                </c:pt>
                <c:pt idx="521">
                  <c:v>3283810.5496485545</c:v>
                </c:pt>
                <c:pt idx="522">
                  <c:v>3283810.5496485545</c:v>
                </c:pt>
                <c:pt idx="523">
                  <c:v>3283810.5496485545</c:v>
                </c:pt>
                <c:pt idx="524">
                  <c:v>3283810.5496485545</c:v>
                </c:pt>
                <c:pt idx="525">
                  <c:v>3283810.5496485545</c:v>
                </c:pt>
                <c:pt idx="526">
                  <c:v>3283810.5496485545</c:v>
                </c:pt>
                <c:pt idx="527">
                  <c:v>3283810.5496485545</c:v>
                </c:pt>
                <c:pt idx="528">
                  <c:v>3283810.5496485545</c:v>
                </c:pt>
                <c:pt idx="529">
                  <c:v>3283810.5496485545</c:v>
                </c:pt>
                <c:pt idx="530">
                  <c:v>3283810.5496485545</c:v>
                </c:pt>
                <c:pt idx="531">
                  <c:v>3283810.5496485545</c:v>
                </c:pt>
                <c:pt idx="532">
                  <c:v>3283810.5496485545</c:v>
                </c:pt>
                <c:pt idx="533">
                  <c:v>3283810.5496485545</c:v>
                </c:pt>
                <c:pt idx="534">
                  <c:v>3283810.5496485545</c:v>
                </c:pt>
                <c:pt idx="535">
                  <c:v>3283810.5496485545</c:v>
                </c:pt>
                <c:pt idx="536">
                  <c:v>3283810.5496485545</c:v>
                </c:pt>
                <c:pt idx="537">
                  <c:v>3283810.5496485545</c:v>
                </c:pt>
                <c:pt idx="538">
                  <c:v>3283810.5496485545</c:v>
                </c:pt>
                <c:pt idx="539">
                  <c:v>3283810.5496485545</c:v>
                </c:pt>
                <c:pt idx="540">
                  <c:v>3283810.5496485545</c:v>
                </c:pt>
                <c:pt idx="541">
                  <c:v>3283810.5496485545</c:v>
                </c:pt>
                <c:pt idx="542">
                  <c:v>3283810.5496485545</c:v>
                </c:pt>
                <c:pt idx="543">
                  <c:v>3283810.5496485545</c:v>
                </c:pt>
                <c:pt idx="544">
                  <c:v>3283810.5496485545</c:v>
                </c:pt>
                <c:pt idx="545">
                  <c:v>3283810.5496485545</c:v>
                </c:pt>
                <c:pt idx="546">
                  <c:v>3283810.5496485545</c:v>
                </c:pt>
                <c:pt idx="547">
                  <c:v>3283810.5496485545</c:v>
                </c:pt>
                <c:pt idx="548">
                  <c:v>3283810.5496485545</c:v>
                </c:pt>
                <c:pt idx="549">
                  <c:v>3283810.5496485545</c:v>
                </c:pt>
                <c:pt idx="550">
                  <c:v>3283810.5496485545</c:v>
                </c:pt>
                <c:pt idx="551">
                  <c:v>3283810.5496485545</c:v>
                </c:pt>
                <c:pt idx="552">
                  <c:v>3283810.5496485545</c:v>
                </c:pt>
                <c:pt idx="553">
                  <c:v>3283810.5496485545</c:v>
                </c:pt>
                <c:pt idx="554">
                  <c:v>3283810.5496485545</c:v>
                </c:pt>
                <c:pt idx="555">
                  <c:v>3283810.5496485545</c:v>
                </c:pt>
                <c:pt idx="556">
                  <c:v>3283810.5496485545</c:v>
                </c:pt>
                <c:pt idx="557">
                  <c:v>3283810.5496485545</c:v>
                </c:pt>
                <c:pt idx="558">
                  <c:v>3283810.5496485545</c:v>
                </c:pt>
                <c:pt idx="559">
                  <c:v>3283810.5496485545</c:v>
                </c:pt>
                <c:pt idx="560">
                  <c:v>3283810.5496485545</c:v>
                </c:pt>
                <c:pt idx="561">
                  <c:v>3283810.5496485545</c:v>
                </c:pt>
                <c:pt idx="562">
                  <c:v>3283810.5496485545</c:v>
                </c:pt>
                <c:pt idx="563">
                  <c:v>3283810.5496485545</c:v>
                </c:pt>
                <c:pt idx="564">
                  <c:v>3283810.5496485545</c:v>
                </c:pt>
                <c:pt idx="565">
                  <c:v>3283810.5496485545</c:v>
                </c:pt>
                <c:pt idx="566">
                  <c:v>3283810.5496485545</c:v>
                </c:pt>
                <c:pt idx="567">
                  <c:v>3283810.5496485545</c:v>
                </c:pt>
                <c:pt idx="568">
                  <c:v>3283810.5496485545</c:v>
                </c:pt>
                <c:pt idx="569">
                  <c:v>3283810.5496485545</c:v>
                </c:pt>
                <c:pt idx="570">
                  <c:v>3283810.5496485545</c:v>
                </c:pt>
                <c:pt idx="571">
                  <c:v>3283810.5496485545</c:v>
                </c:pt>
                <c:pt idx="572">
                  <c:v>3283810.5496485545</c:v>
                </c:pt>
                <c:pt idx="573">
                  <c:v>3283810.5496485545</c:v>
                </c:pt>
                <c:pt idx="574">
                  <c:v>3283810.5496485545</c:v>
                </c:pt>
                <c:pt idx="575">
                  <c:v>3283810.5496485545</c:v>
                </c:pt>
                <c:pt idx="576">
                  <c:v>3283810.5496485545</c:v>
                </c:pt>
                <c:pt idx="577">
                  <c:v>3283810.5496485545</c:v>
                </c:pt>
                <c:pt idx="578">
                  <c:v>3283810.5496485545</c:v>
                </c:pt>
                <c:pt idx="579">
                  <c:v>3283810.5496485545</c:v>
                </c:pt>
                <c:pt idx="580">
                  <c:v>3283810.5496485545</c:v>
                </c:pt>
                <c:pt idx="581">
                  <c:v>3283810.5496485545</c:v>
                </c:pt>
                <c:pt idx="582">
                  <c:v>3283810.5496485545</c:v>
                </c:pt>
                <c:pt idx="583">
                  <c:v>3283810.5496485545</c:v>
                </c:pt>
                <c:pt idx="584">
                  <c:v>3283810.5496485545</c:v>
                </c:pt>
                <c:pt idx="585">
                  <c:v>3283810.5496485545</c:v>
                </c:pt>
                <c:pt idx="586">
                  <c:v>3283810.5496485545</c:v>
                </c:pt>
                <c:pt idx="587">
                  <c:v>3283810.5496485545</c:v>
                </c:pt>
                <c:pt idx="588">
                  <c:v>3283810.5496485545</c:v>
                </c:pt>
                <c:pt idx="589">
                  <c:v>3283810.5496485545</c:v>
                </c:pt>
                <c:pt idx="590">
                  <c:v>3283810.5496485545</c:v>
                </c:pt>
                <c:pt idx="591">
                  <c:v>3283810.5496485545</c:v>
                </c:pt>
                <c:pt idx="592">
                  <c:v>3283810.5496485545</c:v>
                </c:pt>
                <c:pt idx="593">
                  <c:v>3283810.5496485545</c:v>
                </c:pt>
                <c:pt idx="594">
                  <c:v>3283810.5496485545</c:v>
                </c:pt>
                <c:pt idx="595">
                  <c:v>3283810.5496485545</c:v>
                </c:pt>
                <c:pt idx="596">
                  <c:v>3283810.5496485545</c:v>
                </c:pt>
                <c:pt idx="597">
                  <c:v>3283810.5496485545</c:v>
                </c:pt>
                <c:pt idx="598">
                  <c:v>3283810.5496485545</c:v>
                </c:pt>
                <c:pt idx="599">
                  <c:v>3283810.5496485545</c:v>
                </c:pt>
                <c:pt idx="600">
                  <c:v>3283810.5496485545</c:v>
                </c:pt>
                <c:pt idx="601">
                  <c:v>3283810.5496485545</c:v>
                </c:pt>
                <c:pt idx="602">
                  <c:v>3283810.5496485545</c:v>
                </c:pt>
                <c:pt idx="603">
                  <c:v>3283810.5496485545</c:v>
                </c:pt>
                <c:pt idx="604">
                  <c:v>3283810.5496485545</c:v>
                </c:pt>
                <c:pt idx="605">
                  <c:v>3283810.5496485545</c:v>
                </c:pt>
                <c:pt idx="606">
                  <c:v>3283810.5496485545</c:v>
                </c:pt>
                <c:pt idx="607">
                  <c:v>3283810.5496485545</c:v>
                </c:pt>
                <c:pt idx="608">
                  <c:v>3283810.5496485545</c:v>
                </c:pt>
                <c:pt idx="609">
                  <c:v>3283810.5496485545</c:v>
                </c:pt>
                <c:pt idx="610">
                  <c:v>3283810.5496485545</c:v>
                </c:pt>
                <c:pt idx="611">
                  <c:v>3283810.5496485545</c:v>
                </c:pt>
                <c:pt idx="612">
                  <c:v>3283810.5496485545</c:v>
                </c:pt>
                <c:pt idx="613">
                  <c:v>3283810.5496485545</c:v>
                </c:pt>
                <c:pt idx="614">
                  <c:v>3283810.5496485545</c:v>
                </c:pt>
                <c:pt idx="615">
                  <c:v>3283810.5496485545</c:v>
                </c:pt>
                <c:pt idx="616">
                  <c:v>3283810.5496485545</c:v>
                </c:pt>
                <c:pt idx="617">
                  <c:v>3283810.5496485545</c:v>
                </c:pt>
                <c:pt idx="618">
                  <c:v>3283810.5496485545</c:v>
                </c:pt>
                <c:pt idx="619">
                  <c:v>3283810.5496485545</c:v>
                </c:pt>
                <c:pt idx="620">
                  <c:v>3283810.5496485545</c:v>
                </c:pt>
                <c:pt idx="621">
                  <c:v>3283810.5496485545</c:v>
                </c:pt>
                <c:pt idx="622">
                  <c:v>3283810.5496485545</c:v>
                </c:pt>
                <c:pt idx="623">
                  <c:v>3283810.5496485545</c:v>
                </c:pt>
                <c:pt idx="624">
                  <c:v>3283810.5496485545</c:v>
                </c:pt>
                <c:pt idx="625">
                  <c:v>3283810.5496485545</c:v>
                </c:pt>
                <c:pt idx="626">
                  <c:v>3283810.5496485545</c:v>
                </c:pt>
                <c:pt idx="627">
                  <c:v>3283810.5496485545</c:v>
                </c:pt>
                <c:pt idx="628">
                  <c:v>3283810.5496485545</c:v>
                </c:pt>
                <c:pt idx="629">
                  <c:v>3283810.5496485545</c:v>
                </c:pt>
                <c:pt idx="630">
                  <c:v>3283810.5496485545</c:v>
                </c:pt>
                <c:pt idx="631">
                  <c:v>3283810.5496485545</c:v>
                </c:pt>
                <c:pt idx="632">
                  <c:v>3283810.5496485545</c:v>
                </c:pt>
                <c:pt idx="633">
                  <c:v>3283810.5496485545</c:v>
                </c:pt>
                <c:pt idx="634">
                  <c:v>3283810.5496485545</c:v>
                </c:pt>
                <c:pt idx="635">
                  <c:v>3283810.5496485545</c:v>
                </c:pt>
                <c:pt idx="636">
                  <c:v>3283810.5496485545</c:v>
                </c:pt>
                <c:pt idx="637">
                  <c:v>3283810.5496485545</c:v>
                </c:pt>
                <c:pt idx="638">
                  <c:v>3283810.5496485545</c:v>
                </c:pt>
                <c:pt idx="639">
                  <c:v>3283810.5496485545</c:v>
                </c:pt>
                <c:pt idx="640">
                  <c:v>3283810.5496485545</c:v>
                </c:pt>
                <c:pt idx="641">
                  <c:v>3283810.5496485545</c:v>
                </c:pt>
                <c:pt idx="642">
                  <c:v>3283810.5496485545</c:v>
                </c:pt>
                <c:pt idx="643">
                  <c:v>3283810.5496485545</c:v>
                </c:pt>
                <c:pt idx="644">
                  <c:v>3283810.5496485545</c:v>
                </c:pt>
                <c:pt idx="645">
                  <c:v>3283810.5496485545</c:v>
                </c:pt>
                <c:pt idx="646">
                  <c:v>3283810.5496485545</c:v>
                </c:pt>
                <c:pt idx="647">
                  <c:v>3283810.5496485545</c:v>
                </c:pt>
                <c:pt idx="648">
                  <c:v>3283810.5496485545</c:v>
                </c:pt>
                <c:pt idx="649">
                  <c:v>3283810.5496485545</c:v>
                </c:pt>
                <c:pt idx="650">
                  <c:v>3283810.5496485545</c:v>
                </c:pt>
                <c:pt idx="651">
                  <c:v>3283810.5496485545</c:v>
                </c:pt>
                <c:pt idx="652">
                  <c:v>3283810.5496485545</c:v>
                </c:pt>
                <c:pt idx="653">
                  <c:v>3283810.5496485545</c:v>
                </c:pt>
                <c:pt idx="654">
                  <c:v>3283810.5496485545</c:v>
                </c:pt>
                <c:pt idx="655">
                  <c:v>3283810.5496485545</c:v>
                </c:pt>
                <c:pt idx="656">
                  <c:v>3283810.5496485545</c:v>
                </c:pt>
                <c:pt idx="657">
                  <c:v>3283810.5496485545</c:v>
                </c:pt>
                <c:pt idx="658">
                  <c:v>3283810.5496485545</c:v>
                </c:pt>
                <c:pt idx="659">
                  <c:v>3283810.5496485545</c:v>
                </c:pt>
                <c:pt idx="660">
                  <c:v>3283810.5496485545</c:v>
                </c:pt>
                <c:pt idx="661">
                  <c:v>3283810.5496485545</c:v>
                </c:pt>
                <c:pt idx="662">
                  <c:v>3283810.5496485545</c:v>
                </c:pt>
                <c:pt idx="663">
                  <c:v>3283810.5496485545</c:v>
                </c:pt>
                <c:pt idx="664">
                  <c:v>3283810.5496485545</c:v>
                </c:pt>
                <c:pt idx="665">
                  <c:v>3283810.5496485545</c:v>
                </c:pt>
                <c:pt idx="666">
                  <c:v>3283810.5496485545</c:v>
                </c:pt>
                <c:pt idx="667">
                  <c:v>3283810.5496485545</c:v>
                </c:pt>
                <c:pt idx="668">
                  <c:v>3283810.5496485545</c:v>
                </c:pt>
                <c:pt idx="669">
                  <c:v>3283810.5496485545</c:v>
                </c:pt>
                <c:pt idx="670">
                  <c:v>3283810.5496485545</c:v>
                </c:pt>
                <c:pt idx="671">
                  <c:v>3283810.5496485545</c:v>
                </c:pt>
                <c:pt idx="672">
                  <c:v>3283810.5496485545</c:v>
                </c:pt>
                <c:pt idx="673">
                  <c:v>3283810.5496485545</c:v>
                </c:pt>
                <c:pt idx="674">
                  <c:v>3283810.5496485545</c:v>
                </c:pt>
                <c:pt idx="675">
                  <c:v>3283810.5496485545</c:v>
                </c:pt>
                <c:pt idx="676">
                  <c:v>3283810.5496485545</c:v>
                </c:pt>
                <c:pt idx="677">
                  <c:v>3283810.5496485545</c:v>
                </c:pt>
                <c:pt idx="678">
                  <c:v>3283810.5496485545</c:v>
                </c:pt>
                <c:pt idx="679">
                  <c:v>3283810.5496485545</c:v>
                </c:pt>
                <c:pt idx="680">
                  <c:v>3283810.5496485545</c:v>
                </c:pt>
                <c:pt idx="681">
                  <c:v>3283810.5496485545</c:v>
                </c:pt>
                <c:pt idx="682">
                  <c:v>3283810.5496485545</c:v>
                </c:pt>
                <c:pt idx="683">
                  <c:v>3283810.5496485545</c:v>
                </c:pt>
                <c:pt idx="684">
                  <c:v>3283810.5496485545</c:v>
                </c:pt>
                <c:pt idx="685">
                  <c:v>3283810.5496485545</c:v>
                </c:pt>
                <c:pt idx="686">
                  <c:v>3283810.5496485545</c:v>
                </c:pt>
                <c:pt idx="687">
                  <c:v>3283810.5496485545</c:v>
                </c:pt>
                <c:pt idx="688">
                  <c:v>3283810.5496485545</c:v>
                </c:pt>
                <c:pt idx="689">
                  <c:v>3283810.5496485545</c:v>
                </c:pt>
                <c:pt idx="690">
                  <c:v>3283810.5496485545</c:v>
                </c:pt>
                <c:pt idx="691">
                  <c:v>3283810.5496485545</c:v>
                </c:pt>
                <c:pt idx="692">
                  <c:v>3283810.5496485545</c:v>
                </c:pt>
                <c:pt idx="693">
                  <c:v>3283810.5496485545</c:v>
                </c:pt>
                <c:pt idx="694">
                  <c:v>3283810.5496485545</c:v>
                </c:pt>
                <c:pt idx="695">
                  <c:v>3283810.5496485545</c:v>
                </c:pt>
                <c:pt idx="696">
                  <c:v>3283810.5496485545</c:v>
                </c:pt>
                <c:pt idx="697">
                  <c:v>3283810.5496485545</c:v>
                </c:pt>
                <c:pt idx="698">
                  <c:v>3283810.5496485545</c:v>
                </c:pt>
                <c:pt idx="699">
                  <c:v>3283810.5496485545</c:v>
                </c:pt>
                <c:pt idx="700">
                  <c:v>3283810.5496485545</c:v>
                </c:pt>
                <c:pt idx="701">
                  <c:v>3283810.5496485545</c:v>
                </c:pt>
                <c:pt idx="702">
                  <c:v>3283810.5496485545</c:v>
                </c:pt>
                <c:pt idx="703">
                  <c:v>3283810.5496485545</c:v>
                </c:pt>
                <c:pt idx="704">
                  <c:v>3283810.5496485545</c:v>
                </c:pt>
                <c:pt idx="705">
                  <c:v>3283810.5496485545</c:v>
                </c:pt>
                <c:pt idx="706">
                  <c:v>3283810.5496485545</c:v>
                </c:pt>
                <c:pt idx="707">
                  <c:v>3283810.5496485545</c:v>
                </c:pt>
                <c:pt idx="708">
                  <c:v>3283810.5496485545</c:v>
                </c:pt>
                <c:pt idx="709">
                  <c:v>3283810.5496485545</c:v>
                </c:pt>
                <c:pt idx="710">
                  <c:v>3283810.5496485545</c:v>
                </c:pt>
                <c:pt idx="711">
                  <c:v>3283810.5496485545</c:v>
                </c:pt>
                <c:pt idx="712">
                  <c:v>3283810.5496485545</c:v>
                </c:pt>
                <c:pt idx="713">
                  <c:v>3283810.5496485545</c:v>
                </c:pt>
                <c:pt idx="714">
                  <c:v>3283810.5496485545</c:v>
                </c:pt>
                <c:pt idx="715">
                  <c:v>3283810.5496485545</c:v>
                </c:pt>
                <c:pt idx="716">
                  <c:v>3283810.5496485545</c:v>
                </c:pt>
                <c:pt idx="717">
                  <c:v>3283810.5496485545</c:v>
                </c:pt>
                <c:pt idx="718">
                  <c:v>3283810.5496485545</c:v>
                </c:pt>
                <c:pt idx="719">
                  <c:v>3283810.5496485545</c:v>
                </c:pt>
                <c:pt idx="720">
                  <c:v>3283810.5496485545</c:v>
                </c:pt>
                <c:pt idx="721">
                  <c:v>3283810.5496485545</c:v>
                </c:pt>
                <c:pt idx="722">
                  <c:v>3283810.5496485545</c:v>
                </c:pt>
                <c:pt idx="723">
                  <c:v>3283810.5496485545</c:v>
                </c:pt>
                <c:pt idx="724">
                  <c:v>3283810.5496485545</c:v>
                </c:pt>
                <c:pt idx="725">
                  <c:v>3283810.5496485545</c:v>
                </c:pt>
                <c:pt idx="726">
                  <c:v>3283810.5496485545</c:v>
                </c:pt>
                <c:pt idx="727">
                  <c:v>3283810.5496485545</c:v>
                </c:pt>
                <c:pt idx="728">
                  <c:v>3283810.5496485545</c:v>
                </c:pt>
                <c:pt idx="729">
                  <c:v>3283810.5496485545</c:v>
                </c:pt>
                <c:pt idx="730">
                  <c:v>3283810.5496485545</c:v>
                </c:pt>
                <c:pt idx="731">
                  <c:v>3283810.5496485545</c:v>
                </c:pt>
                <c:pt idx="732">
                  <c:v>3283810.5496485545</c:v>
                </c:pt>
                <c:pt idx="733">
                  <c:v>3283810.5496485545</c:v>
                </c:pt>
                <c:pt idx="734">
                  <c:v>3283810.5496485545</c:v>
                </c:pt>
                <c:pt idx="735">
                  <c:v>3283810.5496485545</c:v>
                </c:pt>
                <c:pt idx="736">
                  <c:v>3283810.5496485545</c:v>
                </c:pt>
                <c:pt idx="737">
                  <c:v>3283810.5496485545</c:v>
                </c:pt>
                <c:pt idx="738">
                  <c:v>3283810.5496485545</c:v>
                </c:pt>
                <c:pt idx="739">
                  <c:v>3283810.5496485545</c:v>
                </c:pt>
                <c:pt idx="740">
                  <c:v>3283810.5496485545</c:v>
                </c:pt>
                <c:pt idx="741">
                  <c:v>3283810.5496485545</c:v>
                </c:pt>
                <c:pt idx="742">
                  <c:v>3283810.5496485545</c:v>
                </c:pt>
                <c:pt idx="743">
                  <c:v>3283810.5496485545</c:v>
                </c:pt>
                <c:pt idx="744">
                  <c:v>3283810.5496485545</c:v>
                </c:pt>
                <c:pt idx="745">
                  <c:v>3283810.5496485545</c:v>
                </c:pt>
                <c:pt idx="746">
                  <c:v>3283810.5496485545</c:v>
                </c:pt>
                <c:pt idx="747">
                  <c:v>3283810.5496485545</c:v>
                </c:pt>
                <c:pt idx="748">
                  <c:v>3283810.5496485545</c:v>
                </c:pt>
                <c:pt idx="749">
                  <c:v>3283810.5496485545</c:v>
                </c:pt>
                <c:pt idx="750">
                  <c:v>3283810.5496485545</c:v>
                </c:pt>
                <c:pt idx="751">
                  <c:v>3283810.5496485545</c:v>
                </c:pt>
                <c:pt idx="752">
                  <c:v>3283810.5496485545</c:v>
                </c:pt>
                <c:pt idx="753">
                  <c:v>3283810.5496485545</c:v>
                </c:pt>
                <c:pt idx="754">
                  <c:v>3283810.5496485545</c:v>
                </c:pt>
                <c:pt idx="755">
                  <c:v>3283810.5496485545</c:v>
                </c:pt>
                <c:pt idx="756">
                  <c:v>3283810.5496485545</c:v>
                </c:pt>
                <c:pt idx="757">
                  <c:v>3283810.5496485545</c:v>
                </c:pt>
                <c:pt idx="758">
                  <c:v>3283810.5496485545</c:v>
                </c:pt>
                <c:pt idx="759">
                  <c:v>3283810.5496485545</c:v>
                </c:pt>
                <c:pt idx="760">
                  <c:v>3283810.5496485545</c:v>
                </c:pt>
                <c:pt idx="761">
                  <c:v>3283810.5496485545</c:v>
                </c:pt>
                <c:pt idx="762">
                  <c:v>3283810.5496485545</c:v>
                </c:pt>
                <c:pt idx="763">
                  <c:v>3283810.5496485545</c:v>
                </c:pt>
                <c:pt idx="764">
                  <c:v>3283810.5496485545</c:v>
                </c:pt>
                <c:pt idx="765">
                  <c:v>3283810.5496485545</c:v>
                </c:pt>
                <c:pt idx="766">
                  <c:v>3283810.5496485545</c:v>
                </c:pt>
                <c:pt idx="767">
                  <c:v>3283810.5496485545</c:v>
                </c:pt>
                <c:pt idx="768">
                  <c:v>3283810.5496485545</c:v>
                </c:pt>
                <c:pt idx="769">
                  <c:v>3283810.5496485545</c:v>
                </c:pt>
                <c:pt idx="770">
                  <c:v>3283810.5496485545</c:v>
                </c:pt>
                <c:pt idx="771">
                  <c:v>3283810.5496485545</c:v>
                </c:pt>
                <c:pt idx="772">
                  <c:v>3283810.5496485545</c:v>
                </c:pt>
                <c:pt idx="773">
                  <c:v>3283810.5496485545</c:v>
                </c:pt>
                <c:pt idx="774">
                  <c:v>3283810.5496485545</c:v>
                </c:pt>
                <c:pt idx="775">
                  <c:v>3283810.5496485545</c:v>
                </c:pt>
                <c:pt idx="776">
                  <c:v>3283810.5496485545</c:v>
                </c:pt>
                <c:pt idx="777">
                  <c:v>3283810.5496485545</c:v>
                </c:pt>
                <c:pt idx="778">
                  <c:v>3283810.5496485545</c:v>
                </c:pt>
                <c:pt idx="779">
                  <c:v>3283810.5496485545</c:v>
                </c:pt>
                <c:pt idx="780">
                  <c:v>3283810.5496485545</c:v>
                </c:pt>
                <c:pt idx="781">
                  <c:v>3283810.5496485545</c:v>
                </c:pt>
                <c:pt idx="782">
                  <c:v>3283810.5496485545</c:v>
                </c:pt>
                <c:pt idx="783">
                  <c:v>3283810.5496485545</c:v>
                </c:pt>
                <c:pt idx="784">
                  <c:v>3283810.5496485545</c:v>
                </c:pt>
                <c:pt idx="785">
                  <c:v>3283810.5496485545</c:v>
                </c:pt>
                <c:pt idx="786">
                  <c:v>3283810.5496485545</c:v>
                </c:pt>
                <c:pt idx="787">
                  <c:v>3283810.5496485545</c:v>
                </c:pt>
                <c:pt idx="788">
                  <c:v>3283810.5496485545</c:v>
                </c:pt>
                <c:pt idx="789">
                  <c:v>3283810.5496485545</c:v>
                </c:pt>
                <c:pt idx="790">
                  <c:v>3283810.5496485545</c:v>
                </c:pt>
                <c:pt idx="791">
                  <c:v>3283810.5496485545</c:v>
                </c:pt>
                <c:pt idx="792">
                  <c:v>3283810.5496485545</c:v>
                </c:pt>
                <c:pt idx="793">
                  <c:v>3283810.5496485545</c:v>
                </c:pt>
                <c:pt idx="794">
                  <c:v>3283810.5496485545</c:v>
                </c:pt>
                <c:pt idx="795">
                  <c:v>3283810.5496485545</c:v>
                </c:pt>
                <c:pt idx="796">
                  <c:v>3283810.5496485545</c:v>
                </c:pt>
                <c:pt idx="797">
                  <c:v>3283810.5496485545</c:v>
                </c:pt>
                <c:pt idx="798">
                  <c:v>3283810.5496485545</c:v>
                </c:pt>
                <c:pt idx="799">
                  <c:v>3283810.5496485545</c:v>
                </c:pt>
                <c:pt idx="800">
                  <c:v>3283810.5496485545</c:v>
                </c:pt>
                <c:pt idx="801">
                  <c:v>3283810.5496485545</c:v>
                </c:pt>
                <c:pt idx="802">
                  <c:v>3283810.5496485545</c:v>
                </c:pt>
                <c:pt idx="803">
                  <c:v>3283810.5496485545</c:v>
                </c:pt>
                <c:pt idx="804">
                  <c:v>3283810.5496485545</c:v>
                </c:pt>
                <c:pt idx="805">
                  <c:v>3283810.5496485545</c:v>
                </c:pt>
                <c:pt idx="806">
                  <c:v>3283810.5496485545</c:v>
                </c:pt>
                <c:pt idx="807">
                  <c:v>3283810.5496485545</c:v>
                </c:pt>
                <c:pt idx="808">
                  <c:v>3283810.5496485545</c:v>
                </c:pt>
                <c:pt idx="809">
                  <c:v>3283810.5496485545</c:v>
                </c:pt>
                <c:pt idx="810">
                  <c:v>3283810.5496485545</c:v>
                </c:pt>
                <c:pt idx="811">
                  <c:v>3283810.5496485545</c:v>
                </c:pt>
                <c:pt idx="812">
                  <c:v>3283810.5496485545</c:v>
                </c:pt>
                <c:pt idx="813">
                  <c:v>3283810.5496485545</c:v>
                </c:pt>
                <c:pt idx="814">
                  <c:v>3283810.5496485545</c:v>
                </c:pt>
                <c:pt idx="815">
                  <c:v>3283810.5496485545</c:v>
                </c:pt>
                <c:pt idx="816">
                  <c:v>3283810.5496485545</c:v>
                </c:pt>
                <c:pt idx="817">
                  <c:v>3283810.5496485545</c:v>
                </c:pt>
                <c:pt idx="818">
                  <c:v>3283810.5496485545</c:v>
                </c:pt>
                <c:pt idx="819">
                  <c:v>3283810.5496485545</c:v>
                </c:pt>
                <c:pt idx="820">
                  <c:v>3283810.5496485545</c:v>
                </c:pt>
                <c:pt idx="821">
                  <c:v>3283810.5496485545</c:v>
                </c:pt>
                <c:pt idx="822">
                  <c:v>3283810.5496485545</c:v>
                </c:pt>
                <c:pt idx="823">
                  <c:v>3283810.5496485545</c:v>
                </c:pt>
                <c:pt idx="824">
                  <c:v>3283810.5496485545</c:v>
                </c:pt>
                <c:pt idx="825">
                  <c:v>3283810.5496485545</c:v>
                </c:pt>
                <c:pt idx="826">
                  <c:v>3283810.5496485545</c:v>
                </c:pt>
                <c:pt idx="827">
                  <c:v>3283810.5496485545</c:v>
                </c:pt>
                <c:pt idx="828">
                  <c:v>3283810.5496485545</c:v>
                </c:pt>
                <c:pt idx="829">
                  <c:v>3283810.5496485545</c:v>
                </c:pt>
                <c:pt idx="830">
                  <c:v>3283810.5496485545</c:v>
                </c:pt>
                <c:pt idx="831">
                  <c:v>3283810.5496485545</c:v>
                </c:pt>
                <c:pt idx="832">
                  <c:v>3283810.5496485545</c:v>
                </c:pt>
                <c:pt idx="833">
                  <c:v>3283810.5496485545</c:v>
                </c:pt>
                <c:pt idx="834">
                  <c:v>3283810.5496485545</c:v>
                </c:pt>
                <c:pt idx="835">
                  <c:v>3283810.5496485545</c:v>
                </c:pt>
                <c:pt idx="836">
                  <c:v>3283810.5496485545</c:v>
                </c:pt>
                <c:pt idx="837">
                  <c:v>3283810.5496485545</c:v>
                </c:pt>
                <c:pt idx="838">
                  <c:v>3283810.5496485545</c:v>
                </c:pt>
                <c:pt idx="839">
                  <c:v>3283810.5496485545</c:v>
                </c:pt>
                <c:pt idx="840">
                  <c:v>3283810.5496485545</c:v>
                </c:pt>
                <c:pt idx="841">
                  <c:v>3283810.5496485545</c:v>
                </c:pt>
                <c:pt idx="842">
                  <c:v>3283810.5496485545</c:v>
                </c:pt>
                <c:pt idx="843">
                  <c:v>3283810.5496485545</c:v>
                </c:pt>
                <c:pt idx="844">
                  <c:v>3283810.5496485545</c:v>
                </c:pt>
                <c:pt idx="845">
                  <c:v>3283810.5496485545</c:v>
                </c:pt>
                <c:pt idx="846">
                  <c:v>3283810.5496485545</c:v>
                </c:pt>
                <c:pt idx="847">
                  <c:v>3283810.5496485545</c:v>
                </c:pt>
                <c:pt idx="848">
                  <c:v>3283810.5496485545</c:v>
                </c:pt>
                <c:pt idx="849">
                  <c:v>3283810.5496485545</c:v>
                </c:pt>
                <c:pt idx="850">
                  <c:v>3283810.5496485545</c:v>
                </c:pt>
                <c:pt idx="851">
                  <c:v>3283810.5496485545</c:v>
                </c:pt>
                <c:pt idx="852">
                  <c:v>3283810.5496485545</c:v>
                </c:pt>
                <c:pt idx="853">
                  <c:v>3283810.5496485545</c:v>
                </c:pt>
                <c:pt idx="854">
                  <c:v>3283810.5496485545</c:v>
                </c:pt>
                <c:pt idx="855">
                  <c:v>3283810.5496485545</c:v>
                </c:pt>
                <c:pt idx="856">
                  <c:v>3283810.5496485545</c:v>
                </c:pt>
                <c:pt idx="857">
                  <c:v>3283810.5496485545</c:v>
                </c:pt>
                <c:pt idx="858">
                  <c:v>3283810.5496485545</c:v>
                </c:pt>
                <c:pt idx="859">
                  <c:v>3283810.5496485545</c:v>
                </c:pt>
                <c:pt idx="860">
                  <c:v>3283810.5496485545</c:v>
                </c:pt>
                <c:pt idx="861">
                  <c:v>3283810.5496485545</c:v>
                </c:pt>
                <c:pt idx="862">
                  <c:v>3283810.5496485545</c:v>
                </c:pt>
                <c:pt idx="863">
                  <c:v>3283810.5496485545</c:v>
                </c:pt>
                <c:pt idx="864">
                  <c:v>3283810.5496485545</c:v>
                </c:pt>
                <c:pt idx="865">
                  <c:v>3283810.5496485545</c:v>
                </c:pt>
                <c:pt idx="866">
                  <c:v>3283810.5496485545</c:v>
                </c:pt>
                <c:pt idx="867">
                  <c:v>3283810.5496485545</c:v>
                </c:pt>
                <c:pt idx="868">
                  <c:v>3283810.5496485545</c:v>
                </c:pt>
                <c:pt idx="869">
                  <c:v>3283810.5496485545</c:v>
                </c:pt>
                <c:pt idx="870">
                  <c:v>3283810.5496485545</c:v>
                </c:pt>
                <c:pt idx="871">
                  <c:v>3283810.5496485545</c:v>
                </c:pt>
                <c:pt idx="872">
                  <c:v>3283810.5496485545</c:v>
                </c:pt>
                <c:pt idx="873">
                  <c:v>3283810.5496485545</c:v>
                </c:pt>
                <c:pt idx="874">
                  <c:v>3283810.5496485545</c:v>
                </c:pt>
                <c:pt idx="875">
                  <c:v>3283810.5496485545</c:v>
                </c:pt>
                <c:pt idx="876">
                  <c:v>3283810.5496485545</c:v>
                </c:pt>
                <c:pt idx="877">
                  <c:v>3283810.5496485545</c:v>
                </c:pt>
                <c:pt idx="878">
                  <c:v>3283810.5496485545</c:v>
                </c:pt>
                <c:pt idx="879">
                  <c:v>3283810.5496485545</c:v>
                </c:pt>
                <c:pt idx="880">
                  <c:v>3283810.5496485545</c:v>
                </c:pt>
                <c:pt idx="881">
                  <c:v>3283810.5496485545</c:v>
                </c:pt>
                <c:pt idx="882">
                  <c:v>3283810.5496485545</c:v>
                </c:pt>
                <c:pt idx="883">
                  <c:v>3283810.5496485545</c:v>
                </c:pt>
                <c:pt idx="884">
                  <c:v>3283810.5496485545</c:v>
                </c:pt>
                <c:pt idx="885">
                  <c:v>3283810.5496485545</c:v>
                </c:pt>
                <c:pt idx="886">
                  <c:v>3283810.5496485545</c:v>
                </c:pt>
                <c:pt idx="887">
                  <c:v>3283810.5496485545</c:v>
                </c:pt>
                <c:pt idx="888">
                  <c:v>3283810.5496485545</c:v>
                </c:pt>
                <c:pt idx="889">
                  <c:v>3283810.5496485545</c:v>
                </c:pt>
                <c:pt idx="890">
                  <c:v>3283810.5496485545</c:v>
                </c:pt>
                <c:pt idx="891">
                  <c:v>3283810.5496485545</c:v>
                </c:pt>
                <c:pt idx="892">
                  <c:v>3283810.5496485545</c:v>
                </c:pt>
                <c:pt idx="893">
                  <c:v>3283810.5496485545</c:v>
                </c:pt>
                <c:pt idx="894">
                  <c:v>3283810.5496485545</c:v>
                </c:pt>
                <c:pt idx="895">
                  <c:v>3283810.5496485545</c:v>
                </c:pt>
                <c:pt idx="896">
                  <c:v>3283810.5496485545</c:v>
                </c:pt>
                <c:pt idx="897">
                  <c:v>3283810.5496485545</c:v>
                </c:pt>
                <c:pt idx="898">
                  <c:v>3283810.5496485545</c:v>
                </c:pt>
                <c:pt idx="899">
                  <c:v>3283810.5496485545</c:v>
                </c:pt>
                <c:pt idx="900">
                  <c:v>3283810.5496485545</c:v>
                </c:pt>
                <c:pt idx="901">
                  <c:v>3283810.5496485545</c:v>
                </c:pt>
                <c:pt idx="902">
                  <c:v>3283810.5496485545</c:v>
                </c:pt>
                <c:pt idx="903">
                  <c:v>3283810.5496485545</c:v>
                </c:pt>
                <c:pt idx="904">
                  <c:v>3283810.5496485545</c:v>
                </c:pt>
                <c:pt idx="905">
                  <c:v>3283810.5496485545</c:v>
                </c:pt>
                <c:pt idx="906">
                  <c:v>3283810.5496485545</c:v>
                </c:pt>
                <c:pt idx="907">
                  <c:v>3283810.5496485545</c:v>
                </c:pt>
                <c:pt idx="908">
                  <c:v>3283810.5496485545</c:v>
                </c:pt>
                <c:pt idx="909">
                  <c:v>3283810.5496485545</c:v>
                </c:pt>
                <c:pt idx="910">
                  <c:v>3283810.5496485545</c:v>
                </c:pt>
                <c:pt idx="911">
                  <c:v>3283810.5496485545</c:v>
                </c:pt>
                <c:pt idx="912">
                  <c:v>3283810.5496485545</c:v>
                </c:pt>
                <c:pt idx="913">
                  <c:v>3283810.5496485545</c:v>
                </c:pt>
                <c:pt idx="914">
                  <c:v>3283810.5496485545</c:v>
                </c:pt>
                <c:pt idx="915">
                  <c:v>3283810.5496485545</c:v>
                </c:pt>
                <c:pt idx="916">
                  <c:v>3283810.5496485545</c:v>
                </c:pt>
                <c:pt idx="917">
                  <c:v>3283810.5496485545</c:v>
                </c:pt>
                <c:pt idx="918">
                  <c:v>3283810.5496485545</c:v>
                </c:pt>
                <c:pt idx="919">
                  <c:v>3283810.5496485545</c:v>
                </c:pt>
                <c:pt idx="920">
                  <c:v>3283810.5496485545</c:v>
                </c:pt>
                <c:pt idx="921">
                  <c:v>3283810.5496485545</c:v>
                </c:pt>
                <c:pt idx="922">
                  <c:v>3283810.5496485545</c:v>
                </c:pt>
                <c:pt idx="923">
                  <c:v>3283810.5496485545</c:v>
                </c:pt>
                <c:pt idx="924">
                  <c:v>3283810.5496485545</c:v>
                </c:pt>
                <c:pt idx="925">
                  <c:v>3283810.5496485545</c:v>
                </c:pt>
                <c:pt idx="926">
                  <c:v>3283810.5496485545</c:v>
                </c:pt>
                <c:pt idx="927">
                  <c:v>3283810.5496485545</c:v>
                </c:pt>
                <c:pt idx="928">
                  <c:v>3283810.5496485545</c:v>
                </c:pt>
                <c:pt idx="929">
                  <c:v>3283810.5496485545</c:v>
                </c:pt>
                <c:pt idx="930">
                  <c:v>3283810.5496485545</c:v>
                </c:pt>
                <c:pt idx="931">
                  <c:v>3283810.5496485545</c:v>
                </c:pt>
                <c:pt idx="932">
                  <c:v>3283810.5496485545</c:v>
                </c:pt>
                <c:pt idx="933">
                  <c:v>3283810.5496485545</c:v>
                </c:pt>
                <c:pt idx="934">
                  <c:v>3283810.5496485545</c:v>
                </c:pt>
                <c:pt idx="935">
                  <c:v>3283810.5496485545</c:v>
                </c:pt>
                <c:pt idx="936">
                  <c:v>3283810.5496485545</c:v>
                </c:pt>
                <c:pt idx="937">
                  <c:v>3283810.5496485545</c:v>
                </c:pt>
                <c:pt idx="938">
                  <c:v>3283810.5496485545</c:v>
                </c:pt>
                <c:pt idx="939">
                  <c:v>3283810.5496485545</c:v>
                </c:pt>
                <c:pt idx="940">
                  <c:v>3283810.5496485545</c:v>
                </c:pt>
                <c:pt idx="941">
                  <c:v>3283810.5496485545</c:v>
                </c:pt>
                <c:pt idx="942">
                  <c:v>3283810.5496485545</c:v>
                </c:pt>
                <c:pt idx="943">
                  <c:v>3283810.5496485545</c:v>
                </c:pt>
                <c:pt idx="944">
                  <c:v>3283810.5496485545</c:v>
                </c:pt>
                <c:pt idx="945">
                  <c:v>3283810.5496485545</c:v>
                </c:pt>
                <c:pt idx="946">
                  <c:v>3283810.5496485545</c:v>
                </c:pt>
                <c:pt idx="947">
                  <c:v>3283810.5496485545</c:v>
                </c:pt>
                <c:pt idx="948">
                  <c:v>3283810.5496485545</c:v>
                </c:pt>
                <c:pt idx="949">
                  <c:v>3283810.5496485545</c:v>
                </c:pt>
                <c:pt idx="950">
                  <c:v>3283810.5496485545</c:v>
                </c:pt>
                <c:pt idx="951">
                  <c:v>3283810.5496485545</c:v>
                </c:pt>
                <c:pt idx="952">
                  <c:v>3283810.5496485545</c:v>
                </c:pt>
                <c:pt idx="953">
                  <c:v>3283810.5496485545</c:v>
                </c:pt>
                <c:pt idx="954">
                  <c:v>3283810.5496485545</c:v>
                </c:pt>
                <c:pt idx="955">
                  <c:v>3283810.5496485545</c:v>
                </c:pt>
                <c:pt idx="956">
                  <c:v>3283810.5496485545</c:v>
                </c:pt>
                <c:pt idx="957">
                  <c:v>3283810.5496485545</c:v>
                </c:pt>
                <c:pt idx="958">
                  <c:v>3283810.5496485545</c:v>
                </c:pt>
                <c:pt idx="959">
                  <c:v>3283810.5496485545</c:v>
                </c:pt>
                <c:pt idx="960">
                  <c:v>3283810.5496485545</c:v>
                </c:pt>
                <c:pt idx="961">
                  <c:v>3283810.5496485545</c:v>
                </c:pt>
                <c:pt idx="962">
                  <c:v>3283810.5496485545</c:v>
                </c:pt>
                <c:pt idx="963">
                  <c:v>3283810.5496485545</c:v>
                </c:pt>
                <c:pt idx="964">
                  <c:v>3283810.5496485545</c:v>
                </c:pt>
                <c:pt idx="965">
                  <c:v>3283810.5496485545</c:v>
                </c:pt>
                <c:pt idx="966">
                  <c:v>3283810.5496485545</c:v>
                </c:pt>
                <c:pt idx="967">
                  <c:v>3283810.5496485545</c:v>
                </c:pt>
                <c:pt idx="968">
                  <c:v>3283810.5496485545</c:v>
                </c:pt>
                <c:pt idx="969">
                  <c:v>3283810.5496485545</c:v>
                </c:pt>
                <c:pt idx="970">
                  <c:v>3283810.5496485545</c:v>
                </c:pt>
                <c:pt idx="971">
                  <c:v>3283810.5496485545</c:v>
                </c:pt>
                <c:pt idx="972">
                  <c:v>3283810.5496485545</c:v>
                </c:pt>
                <c:pt idx="973">
                  <c:v>3283810.5496485545</c:v>
                </c:pt>
                <c:pt idx="974">
                  <c:v>3283810.5496485545</c:v>
                </c:pt>
                <c:pt idx="975">
                  <c:v>3283810.5496485545</c:v>
                </c:pt>
                <c:pt idx="976">
                  <c:v>3283810.5496485545</c:v>
                </c:pt>
                <c:pt idx="977">
                  <c:v>3283810.5496485545</c:v>
                </c:pt>
                <c:pt idx="978">
                  <c:v>3283810.5496485545</c:v>
                </c:pt>
                <c:pt idx="979">
                  <c:v>3283810.5496485545</c:v>
                </c:pt>
                <c:pt idx="980">
                  <c:v>3283810.5496485545</c:v>
                </c:pt>
                <c:pt idx="981">
                  <c:v>3283810.5496485545</c:v>
                </c:pt>
                <c:pt idx="982">
                  <c:v>3283810.5496485545</c:v>
                </c:pt>
                <c:pt idx="983">
                  <c:v>3283810.5496485545</c:v>
                </c:pt>
                <c:pt idx="984">
                  <c:v>3283810.5496485545</c:v>
                </c:pt>
                <c:pt idx="985">
                  <c:v>3283810.5496485545</c:v>
                </c:pt>
                <c:pt idx="986">
                  <c:v>3283810.5496485545</c:v>
                </c:pt>
                <c:pt idx="987">
                  <c:v>3283810.5496485545</c:v>
                </c:pt>
                <c:pt idx="988">
                  <c:v>3283810.5496485545</c:v>
                </c:pt>
                <c:pt idx="989">
                  <c:v>3283810.5496485545</c:v>
                </c:pt>
                <c:pt idx="990">
                  <c:v>3283810.5496485545</c:v>
                </c:pt>
                <c:pt idx="991">
                  <c:v>3283810.5496485545</c:v>
                </c:pt>
                <c:pt idx="992">
                  <c:v>3283810.5496485545</c:v>
                </c:pt>
                <c:pt idx="993">
                  <c:v>3283810.5496485545</c:v>
                </c:pt>
                <c:pt idx="994">
                  <c:v>3283810.5496485545</c:v>
                </c:pt>
                <c:pt idx="995">
                  <c:v>3283810.5496485545</c:v>
                </c:pt>
                <c:pt idx="996">
                  <c:v>3283810.5496485545</c:v>
                </c:pt>
                <c:pt idx="997">
                  <c:v>3283810.5496485545</c:v>
                </c:pt>
                <c:pt idx="998">
                  <c:v>3283810.5496485545</c:v>
                </c:pt>
                <c:pt idx="999">
                  <c:v>3283810.5496485545</c:v>
                </c:pt>
                <c:pt idx="1000">
                  <c:v>3283810.5496485545</c:v>
                </c:pt>
                <c:pt idx="1001">
                  <c:v>3283810.5496485545</c:v>
                </c:pt>
                <c:pt idx="1002">
                  <c:v>3283810.5496485545</c:v>
                </c:pt>
                <c:pt idx="1003">
                  <c:v>3283810.5496485545</c:v>
                </c:pt>
                <c:pt idx="1004">
                  <c:v>3283810.5496485545</c:v>
                </c:pt>
                <c:pt idx="1005">
                  <c:v>3283810.5496485545</c:v>
                </c:pt>
                <c:pt idx="1006">
                  <c:v>3283810.5496485545</c:v>
                </c:pt>
                <c:pt idx="1007">
                  <c:v>3283810.5496485545</c:v>
                </c:pt>
                <c:pt idx="1008">
                  <c:v>3283810.5496485545</c:v>
                </c:pt>
                <c:pt idx="1009">
                  <c:v>3283810.5496485545</c:v>
                </c:pt>
                <c:pt idx="1010">
                  <c:v>3283810.5496485545</c:v>
                </c:pt>
                <c:pt idx="1011">
                  <c:v>3283810.5496485545</c:v>
                </c:pt>
                <c:pt idx="1012">
                  <c:v>3283810.5496485545</c:v>
                </c:pt>
                <c:pt idx="1013">
                  <c:v>3283810.5496485545</c:v>
                </c:pt>
                <c:pt idx="1014">
                  <c:v>3283810.5496485545</c:v>
                </c:pt>
                <c:pt idx="1015">
                  <c:v>3283810.5496485545</c:v>
                </c:pt>
                <c:pt idx="1016">
                  <c:v>3283810.5496485545</c:v>
                </c:pt>
                <c:pt idx="1017">
                  <c:v>3283810.5496485545</c:v>
                </c:pt>
                <c:pt idx="1018">
                  <c:v>3283810.5496485545</c:v>
                </c:pt>
                <c:pt idx="1019">
                  <c:v>3283810.5496485545</c:v>
                </c:pt>
                <c:pt idx="1020">
                  <c:v>3283810.5496485545</c:v>
                </c:pt>
                <c:pt idx="1021">
                  <c:v>3283810.5496485545</c:v>
                </c:pt>
                <c:pt idx="1022">
                  <c:v>3283810.5496485545</c:v>
                </c:pt>
                <c:pt idx="1023">
                  <c:v>3283810.5496485545</c:v>
                </c:pt>
                <c:pt idx="1024">
                  <c:v>3283810.5496485545</c:v>
                </c:pt>
                <c:pt idx="1025">
                  <c:v>3283810.5496485545</c:v>
                </c:pt>
                <c:pt idx="1026">
                  <c:v>3283810.5496485545</c:v>
                </c:pt>
                <c:pt idx="1027">
                  <c:v>3283810.5496485545</c:v>
                </c:pt>
                <c:pt idx="1028">
                  <c:v>3283810.5496485545</c:v>
                </c:pt>
                <c:pt idx="1029">
                  <c:v>3283810.5496485545</c:v>
                </c:pt>
                <c:pt idx="1030">
                  <c:v>3283810.5496485545</c:v>
                </c:pt>
                <c:pt idx="1031">
                  <c:v>3283810.5496485545</c:v>
                </c:pt>
                <c:pt idx="1032">
                  <c:v>3283810.5496485545</c:v>
                </c:pt>
                <c:pt idx="1033">
                  <c:v>3283810.5496485545</c:v>
                </c:pt>
                <c:pt idx="1034">
                  <c:v>3283810.5496485545</c:v>
                </c:pt>
                <c:pt idx="1035">
                  <c:v>3283810.5496485545</c:v>
                </c:pt>
                <c:pt idx="1036">
                  <c:v>3283810.5496485545</c:v>
                </c:pt>
                <c:pt idx="1037">
                  <c:v>3283810.5496485545</c:v>
                </c:pt>
                <c:pt idx="1038">
                  <c:v>3283810.5496485545</c:v>
                </c:pt>
                <c:pt idx="1039">
                  <c:v>3283810.5496485545</c:v>
                </c:pt>
                <c:pt idx="1040">
                  <c:v>3283810.5496485545</c:v>
                </c:pt>
                <c:pt idx="1041">
                  <c:v>3283810.5496485545</c:v>
                </c:pt>
                <c:pt idx="1042">
                  <c:v>3283810.5496485545</c:v>
                </c:pt>
                <c:pt idx="1043">
                  <c:v>3283810.5496485545</c:v>
                </c:pt>
                <c:pt idx="1044">
                  <c:v>3283810.5496485545</c:v>
                </c:pt>
                <c:pt idx="1045">
                  <c:v>3283810.5496485545</c:v>
                </c:pt>
                <c:pt idx="1046">
                  <c:v>3283810.5496485545</c:v>
                </c:pt>
                <c:pt idx="1047">
                  <c:v>3283810.5496485545</c:v>
                </c:pt>
                <c:pt idx="1048">
                  <c:v>3283810.5496485545</c:v>
                </c:pt>
                <c:pt idx="1049">
                  <c:v>3283810.5496485545</c:v>
                </c:pt>
                <c:pt idx="1050">
                  <c:v>3283810.5496485545</c:v>
                </c:pt>
                <c:pt idx="1051">
                  <c:v>3283810.5496485545</c:v>
                </c:pt>
                <c:pt idx="1052">
                  <c:v>3283810.5496485545</c:v>
                </c:pt>
                <c:pt idx="1053">
                  <c:v>3283810.5496485545</c:v>
                </c:pt>
                <c:pt idx="1054">
                  <c:v>3283810.5496485545</c:v>
                </c:pt>
                <c:pt idx="1055">
                  <c:v>3283810.5496485545</c:v>
                </c:pt>
                <c:pt idx="1056">
                  <c:v>3283810.5496485545</c:v>
                </c:pt>
                <c:pt idx="1057">
                  <c:v>3283810.5496485545</c:v>
                </c:pt>
                <c:pt idx="1058">
                  <c:v>3283810.5496485545</c:v>
                </c:pt>
                <c:pt idx="1059">
                  <c:v>3283810.5496485545</c:v>
                </c:pt>
                <c:pt idx="1060">
                  <c:v>3283810.5496485545</c:v>
                </c:pt>
                <c:pt idx="1061">
                  <c:v>3283810.5496485545</c:v>
                </c:pt>
                <c:pt idx="1062">
                  <c:v>3283810.5496485545</c:v>
                </c:pt>
                <c:pt idx="1063">
                  <c:v>3283810.5496485545</c:v>
                </c:pt>
                <c:pt idx="1064">
                  <c:v>3283810.5496485545</c:v>
                </c:pt>
                <c:pt idx="1065">
                  <c:v>3283810.5496485545</c:v>
                </c:pt>
                <c:pt idx="1066">
                  <c:v>3283810.5496485545</c:v>
                </c:pt>
                <c:pt idx="1067">
                  <c:v>3283810.5496485545</c:v>
                </c:pt>
                <c:pt idx="1068">
                  <c:v>3283810.5496485545</c:v>
                </c:pt>
                <c:pt idx="1069">
                  <c:v>3283810.5496485545</c:v>
                </c:pt>
                <c:pt idx="1070">
                  <c:v>3283810.5496485545</c:v>
                </c:pt>
                <c:pt idx="1071">
                  <c:v>3283810.5496485545</c:v>
                </c:pt>
                <c:pt idx="1072">
                  <c:v>3283810.5496485545</c:v>
                </c:pt>
                <c:pt idx="1073">
                  <c:v>3283810.5496485545</c:v>
                </c:pt>
                <c:pt idx="1074">
                  <c:v>3283810.5496485545</c:v>
                </c:pt>
                <c:pt idx="1075">
                  <c:v>3283810.5496485545</c:v>
                </c:pt>
                <c:pt idx="1076">
                  <c:v>3283810.5496485545</c:v>
                </c:pt>
                <c:pt idx="1077">
                  <c:v>3283810.5496485545</c:v>
                </c:pt>
                <c:pt idx="1078">
                  <c:v>3283810.5496485545</c:v>
                </c:pt>
                <c:pt idx="1079">
                  <c:v>3283810.5496485545</c:v>
                </c:pt>
                <c:pt idx="1080">
                  <c:v>3283810.5496485545</c:v>
                </c:pt>
                <c:pt idx="1081">
                  <c:v>3283810.5496485545</c:v>
                </c:pt>
                <c:pt idx="1082">
                  <c:v>3283810.5496485545</c:v>
                </c:pt>
                <c:pt idx="1083">
                  <c:v>3283810.5496485545</c:v>
                </c:pt>
                <c:pt idx="1084">
                  <c:v>3283810.5496485545</c:v>
                </c:pt>
                <c:pt idx="1085">
                  <c:v>3283810.5496485545</c:v>
                </c:pt>
                <c:pt idx="1086">
                  <c:v>3283810.5496485545</c:v>
                </c:pt>
                <c:pt idx="1087">
                  <c:v>3283810.5496485545</c:v>
                </c:pt>
                <c:pt idx="1088">
                  <c:v>3283810.5496485545</c:v>
                </c:pt>
                <c:pt idx="1089">
                  <c:v>3283810.5496485545</c:v>
                </c:pt>
                <c:pt idx="1090">
                  <c:v>3283810.5496485545</c:v>
                </c:pt>
                <c:pt idx="1091">
                  <c:v>3283810.5496485545</c:v>
                </c:pt>
                <c:pt idx="1092">
                  <c:v>3283810.5496485545</c:v>
                </c:pt>
                <c:pt idx="1093">
                  <c:v>3283810.5496485545</c:v>
                </c:pt>
                <c:pt idx="1094">
                  <c:v>3283810.5496485545</c:v>
                </c:pt>
                <c:pt idx="1095">
                  <c:v>3283810.5496485545</c:v>
                </c:pt>
                <c:pt idx="1096">
                  <c:v>3283810.5496485545</c:v>
                </c:pt>
                <c:pt idx="1097">
                  <c:v>3283810.5496485545</c:v>
                </c:pt>
                <c:pt idx="1098">
                  <c:v>3283810.5496485545</c:v>
                </c:pt>
                <c:pt idx="1099">
                  <c:v>3283810.5496485545</c:v>
                </c:pt>
                <c:pt idx="1100">
                  <c:v>3283810.5496485545</c:v>
                </c:pt>
                <c:pt idx="1101">
                  <c:v>3283810.5496485545</c:v>
                </c:pt>
                <c:pt idx="1102">
                  <c:v>3283810.5496485545</c:v>
                </c:pt>
                <c:pt idx="1103">
                  <c:v>3283810.5496485545</c:v>
                </c:pt>
                <c:pt idx="1104">
                  <c:v>3283810.5496485545</c:v>
                </c:pt>
                <c:pt idx="1105">
                  <c:v>3283810.5496485545</c:v>
                </c:pt>
                <c:pt idx="1106">
                  <c:v>3283810.5496485545</c:v>
                </c:pt>
                <c:pt idx="1107">
                  <c:v>3283810.5496485545</c:v>
                </c:pt>
                <c:pt idx="1108">
                  <c:v>3283810.5496485545</c:v>
                </c:pt>
                <c:pt idx="1109">
                  <c:v>3283810.5496485545</c:v>
                </c:pt>
                <c:pt idx="1110">
                  <c:v>3283810.5496485545</c:v>
                </c:pt>
                <c:pt idx="1111">
                  <c:v>3283810.5496485545</c:v>
                </c:pt>
                <c:pt idx="1112">
                  <c:v>3283810.5496485545</c:v>
                </c:pt>
                <c:pt idx="1113">
                  <c:v>3283810.5496485545</c:v>
                </c:pt>
                <c:pt idx="1114">
                  <c:v>3283810.5496485545</c:v>
                </c:pt>
                <c:pt idx="1115">
                  <c:v>3283810.5496485545</c:v>
                </c:pt>
                <c:pt idx="1116">
                  <c:v>3283810.5496485545</c:v>
                </c:pt>
                <c:pt idx="1117">
                  <c:v>3283810.5496485545</c:v>
                </c:pt>
                <c:pt idx="1118">
                  <c:v>3283810.5496485545</c:v>
                </c:pt>
                <c:pt idx="1119">
                  <c:v>3283810.5496485545</c:v>
                </c:pt>
                <c:pt idx="1120">
                  <c:v>3283810.5496485545</c:v>
                </c:pt>
                <c:pt idx="1121">
                  <c:v>3283810.5496485545</c:v>
                </c:pt>
                <c:pt idx="1122">
                  <c:v>3283810.5496485545</c:v>
                </c:pt>
                <c:pt idx="1123">
                  <c:v>3283810.5496485545</c:v>
                </c:pt>
                <c:pt idx="1124">
                  <c:v>3283810.5496485545</c:v>
                </c:pt>
                <c:pt idx="1125">
                  <c:v>3283810.5496485545</c:v>
                </c:pt>
                <c:pt idx="1126">
                  <c:v>3283810.5496485545</c:v>
                </c:pt>
                <c:pt idx="1127">
                  <c:v>3283810.5496485545</c:v>
                </c:pt>
                <c:pt idx="1128">
                  <c:v>3283810.5496485545</c:v>
                </c:pt>
                <c:pt idx="1129">
                  <c:v>3283810.5496485545</c:v>
                </c:pt>
                <c:pt idx="1130">
                  <c:v>3283810.5496485545</c:v>
                </c:pt>
                <c:pt idx="1131">
                  <c:v>3283810.5496485545</c:v>
                </c:pt>
                <c:pt idx="1132">
                  <c:v>3283810.5496485545</c:v>
                </c:pt>
                <c:pt idx="1133">
                  <c:v>3283810.5496485545</c:v>
                </c:pt>
                <c:pt idx="1134">
                  <c:v>3283810.5496485545</c:v>
                </c:pt>
                <c:pt idx="1135">
                  <c:v>3283810.5496485545</c:v>
                </c:pt>
                <c:pt idx="1136">
                  <c:v>3283810.5496485545</c:v>
                </c:pt>
                <c:pt idx="1137">
                  <c:v>3283810.5496485545</c:v>
                </c:pt>
                <c:pt idx="1138">
                  <c:v>3283810.5496485545</c:v>
                </c:pt>
                <c:pt idx="1139">
                  <c:v>3283810.5496485545</c:v>
                </c:pt>
                <c:pt idx="1140">
                  <c:v>3283810.5496485545</c:v>
                </c:pt>
                <c:pt idx="1141">
                  <c:v>3283810.5496485545</c:v>
                </c:pt>
                <c:pt idx="1142">
                  <c:v>3283810.5496485545</c:v>
                </c:pt>
                <c:pt idx="1143">
                  <c:v>3283810.5496485545</c:v>
                </c:pt>
                <c:pt idx="1144">
                  <c:v>3283810.5496485545</c:v>
                </c:pt>
                <c:pt idx="1145">
                  <c:v>3283810.5496485545</c:v>
                </c:pt>
                <c:pt idx="1146">
                  <c:v>3283810.5496485545</c:v>
                </c:pt>
                <c:pt idx="1147">
                  <c:v>3283810.5496485545</c:v>
                </c:pt>
                <c:pt idx="1148">
                  <c:v>3283810.5496485545</c:v>
                </c:pt>
                <c:pt idx="1149">
                  <c:v>3283810.5496485545</c:v>
                </c:pt>
                <c:pt idx="1150">
                  <c:v>3283810.5496485545</c:v>
                </c:pt>
                <c:pt idx="1151">
                  <c:v>3283810.5496485545</c:v>
                </c:pt>
                <c:pt idx="1152">
                  <c:v>3283810.5496485545</c:v>
                </c:pt>
                <c:pt idx="1153">
                  <c:v>3283810.5496485545</c:v>
                </c:pt>
                <c:pt idx="1154">
                  <c:v>3283810.5496485545</c:v>
                </c:pt>
                <c:pt idx="1155">
                  <c:v>3283810.5496485545</c:v>
                </c:pt>
                <c:pt idx="1156">
                  <c:v>3283810.5496485545</c:v>
                </c:pt>
                <c:pt idx="1157">
                  <c:v>3283810.5496485545</c:v>
                </c:pt>
                <c:pt idx="1158">
                  <c:v>3283810.5496485545</c:v>
                </c:pt>
                <c:pt idx="1159">
                  <c:v>3283810.5496485545</c:v>
                </c:pt>
                <c:pt idx="1160">
                  <c:v>3283810.5496485545</c:v>
                </c:pt>
                <c:pt idx="1161">
                  <c:v>3283810.5496485545</c:v>
                </c:pt>
                <c:pt idx="1162">
                  <c:v>3283810.5496485545</c:v>
                </c:pt>
                <c:pt idx="1163">
                  <c:v>3283810.5496485545</c:v>
                </c:pt>
                <c:pt idx="1164">
                  <c:v>3283810.5496485545</c:v>
                </c:pt>
                <c:pt idx="1165">
                  <c:v>3283810.5496485545</c:v>
                </c:pt>
                <c:pt idx="1166">
                  <c:v>3283810.5496485545</c:v>
                </c:pt>
                <c:pt idx="1167">
                  <c:v>3283810.5496485545</c:v>
                </c:pt>
                <c:pt idx="1168">
                  <c:v>3283810.5496485545</c:v>
                </c:pt>
                <c:pt idx="1169">
                  <c:v>3283810.5496485545</c:v>
                </c:pt>
                <c:pt idx="1170">
                  <c:v>3283810.5496485545</c:v>
                </c:pt>
                <c:pt idx="1171">
                  <c:v>3283810.5496485545</c:v>
                </c:pt>
                <c:pt idx="1172">
                  <c:v>3283810.5496485545</c:v>
                </c:pt>
                <c:pt idx="1173">
                  <c:v>3283810.5496485545</c:v>
                </c:pt>
                <c:pt idx="1174">
                  <c:v>3283810.5496485545</c:v>
                </c:pt>
                <c:pt idx="1175">
                  <c:v>3283810.5496485545</c:v>
                </c:pt>
                <c:pt idx="1176">
                  <c:v>3283810.5496485545</c:v>
                </c:pt>
                <c:pt idx="1177">
                  <c:v>3283810.5496485545</c:v>
                </c:pt>
                <c:pt idx="1178">
                  <c:v>3283810.5496485545</c:v>
                </c:pt>
                <c:pt idx="1179">
                  <c:v>3283810.5496485545</c:v>
                </c:pt>
                <c:pt idx="1180">
                  <c:v>3283810.5496485545</c:v>
                </c:pt>
                <c:pt idx="1181">
                  <c:v>3283810.5496485545</c:v>
                </c:pt>
                <c:pt idx="1182">
                  <c:v>3283810.5496485545</c:v>
                </c:pt>
                <c:pt idx="1183">
                  <c:v>3283810.5496485545</c:v>
                </c:pt>
                <c:pt idx="1184">
                  <c:v>3283810.5496485545</c:v>
                </c:pt>
                <c:pt idx="1185">
                  <c:v>3283810.5496485545</c:v>
                </c:pt>
                <c:pt idx="1186">
                  <c:v>3283810.5496485545</c:v>
                </c:pt>
                <c:pt idx="1187">
                  <c:v>3283810.5496485545</c:v>
                </c:pt>
                <c:pt idx="1188">
                  <c:v>3283810.5496485545</c:v>
                </c:pt>
                <c:pt idx="1189">
                  <c:v>3283810.5496485545</c:v>
                </c:pt>
                <c:pt idx="1190">
                  <c:v>3283810.5496485545</c:v>
                </c:pt>
                <c:pt idx="1191">
                  <c:v>3283810.5496485545</c:v>
                </c:pt>
                <c:pt idx="1192">
                  <c:v>3283810.5496485545</c:v>
                </c:pt>
                <c:pt idx="1193">
                  <c:v>3283810.5496485545</c:v>
                </c:pt>
                <c:pt idx="1194">
                  <c:v>3283810.5496485545</c:v>
                </c:pt>
                <c:pt idx="1195">
                  <c:v>3283810.5496485545</c:v>
                </c:pt>
                <c:pt idx="1196">
                  <c:v>3283810.5496485545</c:v>
                </c:pt>
                <c:pt idx="1197">
                  <c:v>3283810.5496485545</c:v>
                </c:pt>
                <c:pt idx="1198">
                  <c:v>3283810.5496485545</c:v>
                </c:pt>
                <c:pt idx="1199">
                  <c:v>3283810.5496485545</c:v>
                </c:pt>
                <c:pt idx="1200">
                  <c:v>3283810.5496485545</c:v>
                </c:pt>
                <c:pt idx="1201">
                  <c:v>3283810.5496485545</c:v>
                </c:pt>
                <c:pt idx="1202">
                  <c:v>3283810.5496485545</c:v>
                </c:pt>
                <c:pt idx="1203">
                  <c:v>3283810.5496485545</c:v>
                </c:pt>
                <c:pt idx="1204">
                  <c:v>3283810.5496485545</c:v>
                </c:pt>
                <c:pt idx="1205">
                  <c:v>3283810.5496485545</c:v>
                </c:pt>
                <c:pt idx="1206">
                  <c:v>3283810.5496485545</c:v>
                </c:pt>
                <c:pt idx="1207">
                  <c:v>3283810.5496485545</c:v>
                </c:pt>
                <c:pt idx="1208">
                  <c:v>3283810.5496485545</c:v>
                </c:pt>
                <c:pt idx="1209">
                  <c:v>3283810.5496485545</c:v>
                </c:pt>
                <c:pt idx="1210">
                  <c:v>3283810.5496485545</c:v>
                </c:pt>
                <c:pt idx="1211">
                  <c:v>3283810.5496485545</c:v>
                </c:pt>
                <c:pt idx="1212">
                  <c:v>3283810.5496485545</c:v>
                </c:pt>
                <c:pt idx="1213">
                  <c:v>3283810.5496485545</c:v>
                </c:pt>
                <c:pt idx="1214">
                  <c:v>3283810.5496485545</c:v>
                </c:pt>
                <c:pt idx="1215">
                  <c:v>3283810.5496485545</c:v>
                </c:pt>
                <c:pt idx="1216">
                  <c:v>3283810.5496485545</c:v>
                </c:pt>
                <c:pt idx="1217">
                  <c:v>3283810.5496485545</c:v>
                </c:pt>
                <c:pt idx="1218">
                  <c:v>3283810.5496485545</c:v>
                </c:pt>
                <c:pt idx="1219">
                  <c:v>3283810.5496485545</c:v>
                </c:pt>
                <c:pt idx="1220">
                  <c:v>3283810.5496485545</c:v>
                </c:pt>
                <c:pt idx="1221">
                  <c:v>3283810.5496485545</c:v>
                </c:pt>
                <c:pt idx="1222">
                  <c:v>3283810.5496485545</c:v>
                </c:pt>
                <c:pt idx="1223">
                  <c:v>3283810.5496485545</c:v>
                </c:pt>
                <c:pt idx="1224">
                  <c:v>3283810.5496485545</c:v>
                </c:pt>
                <c:pt idx="1225">
                  <c:v>3283810.5496485545</c:v>
                </c:pt>
                <c:pt idx="1226">
                  <c:v>3283810.5496485545</c:v>
                </c:pt>
                <c:pt idx="1227">
                  <c:v>3283810.5496485545</c:v>
                </c:pt>
                <c:pt idx="1228">
                  <c:v>3283810.5496485545</c:v>
                </c:pt>
                <c:pt idx="1229">
                  <c:v>3283810.5496485545</c:v>
                </c:pt>
                <c:pt idx="1230">
                  <c:v>3283810.5496485545</c:v>
                </c:pt>
                <c:pt idx="1231">
                  <c:v>3283810.5496485545</c:v>
                </c:pt>
                <c:pt idx="1232">
                  <c:v>3283810.5496485545</c:v>
                </c:pt>
                <c:pt idx="1233">
                  <c:v>3283810.5496485545</c:v>
                </c:pt>
                <c:pt idx="1234">
                  <c:v>3283810.5496485545</c:v>
                </c:pt>
                <c:pt idx="1235">
                  <c:v>3283810.5496485545</c:v>
                </c:pt>
                <c:pt idx="1236">
                  <c:v>3283810.5496485545</c:v>
                </c:pt>
                <c:pt idx="1237">
                  <c:v>3283810.5496485545</c:v>
                </c:pt>
                <c:pt idx="1238">
                  <c:v>3283810.5496485545</c:v>
                </c:pt>
                <c:pt idx="1239">
                  <c:v>3283810.5496485545</c:v>
                </c:pt>
                <c:pt idx="1240">
                  <c:v>3283810.5496485545</c:v>
                </c:pt>
                <c:pt idx="1241">
                  <c:v>3283810.5496485545</c:v>
                </c:pt>
                <c:pt idx="1242">
                  <c:v>3283810.5496485545</c:v>
                </c:pt>
                <c:pt idx="1243">
                  <c:v>3283810.5496485545</c:v>
                </c:pt>
                <c:pt idx="1244">
                  <c:v>3283810.5496485545</c:v>
                </c:pt>
                <c:pt idx="1245">
                  <c:v>3283810.5496485545</c:v>
                </c:pt>
                <c:pt idx="1246">
                  <c:v>3283810.5496485545</c:v>
                </c:pt>
                <c:pt idx="1247">
                  <c:v>3283810.5496485545</c:v>
                </c:pt>
                <c:pt idx="1248">
                  <c:v>3283810.5496485545</c:v>
                </c:pt>
                <c:pt idx="1249">
                  <c:v>3283810.5496485545</c:v>
                </c:pt>
                <c:pt idx="1250">
                  <c:v>3283810.5496485545</c:v>
                </c:pt>
                <c:pt idx="1251">
                  <c:v>3283810.5496485545</c:v>
                </c:pt>
                <c:pt idx="1252">
                  <c:v>3283810.5496485545</c:v>
                </c:pt>
                <c:pt idx="1253">
                  <c:v>3283810.5496485545</c:v>
                </c:pt>
                <c:pt idx="1254">
                  <c:v>3283810.5496485545</c:v>
                </c:pt>
                <c:pt idx="1255">
                  <c:v>3283810.5496485545</c:v>
                </c:pt>
                <c:pt idx="1256">
                  <c:v>3283810.5496485545</c:v>
                </c:pt>
                <c:pt idx="1257">
                  <c:v>3283810.5496485545</c:v>
                </c:pt>
                <c:pt idx="1258">
                  <c:v>3283810.5496485545</c:v>
                </c:pt>
                <c:pt idx="1259">
                  <c:v>3283810.5496485545</c:v>
                </c:pt>
                <c:pt idx="1260">
                  <c:v>3283810.5496485545</c:v>
                </c:pt>
                <c:pt idx="1261">
                  <c:v>3283810.5496485545</c:v>
                </c:pt>
                <c:pt idx="1262">
                  <c:v>3283810.5496485545</c:v>
                </c:pt>
                <c:pt idx="1263">
                  <c:v>3283810.5496485545</c:v>
                </c:pt>
                <c:pt idx="1264">
                  <c:v>3283810.5496485545</c:v>
                </c:pt>
                <c:pt idx="1265">
                  <c:v>3283810.5496485545</c:v>
                </c:pt>
                <c:pt idx="1266">
                  <c:v>3283810.5496485545</c:v>
                </c:pt>
                <c:pt idx="1267">
                  <c:v>3283810.5496485545</c:v>
                </c:pt>
                <c:pt idx="1268">
                  <c:v>3283810.5496485545</c:v>
                </c:pt>
                <c:pt idx="1269">
                  <c:v>3283810.5496485545</c:v>
                </c:pt>
                <c:pt idx="1270">
                  <c:v>3283810.5496485545</c:v>
                </c:pt>
                <c:pt idx="1271">
                  <c:v>3283810.5496485545</c:v>
                </c:pt>
                <c:pt idx="1272">
                  <c:v>3283810.5496485545</c:v>
                </c:pt>
                <c:pt idx="1273">
                  <c:v>3283810.5496485545</c:v>
                </c:pt>
                <c:pt idx="1274">
                  <c:v>3283810.5496485545</c:v>
                </c:pt>
                <c:pt idx="1275">
                  <c:v>3283810.5496485545</c:v>
                </c:pt>
                <c:pt idx="1276">
                  <c:v>3283810.5496485545</c:v>
                </c:pt>
                <c:pt idx="1277">
                  <c:v>3283810.5496485545</c:v>
                </c:pt>
                <c:pt idx="1278">
                  <c:v>3283810.5496485545</c:v>
                </c:pt>
                <c:pt idx="1279">
                  <c:v>3283810.5496485545</c:v>
                </c:pt>
                <c:pt idx="1280">
                  <c:v>3283810.5496485545</c:v>
                </c:pt>
                <c:pt idx="1281">
                  <c:v>3283810.5496485545</c:v>
                </c:pt>
                <c:pt idx="1282">
                  <c:v>3283810.5496485545</c:v>
                </c:pt>
                <c:pt idx="1283">
                  <c:v>3283810.5496485545</c:v>
                </c:pt>
                <c:pt idx="1284">
                  <c:v>3283810.5496485545</c:v>
                </c:pt>
                <c:pt idx="1285">
                  <c:v>3283810.5496485545</c:v>
                </c:pt>
                <c:pt idx="1286">
                  <c:v>3283810.5496485545</c:v>
                </c:pt>
                <c:pt idx="1287">
                  <c:v>3283810.5496485545</c:v>
                </c:pt>
                <c:pt idx="1288">
                  <c:v>3283810.5496485545</c:v>
                </c:pt>
                <c:pt idx="1289">
                  <c:v>3283810.5496485545</c:v>
                </c:pt>
                <c:pt idx="1290">
                  <c:v>3283810.5496485545</c:v>
                </c:pt>
                <c:pt idx="1291">
                  <c:v>3283810.5496485545</c:v>
                </c:pt>
                <c:pt idx="1292">
                  <c:v>3283810.5496485545</c:v>
                </c:pt>
                <c:pt idx="1293">
                  <c:v>3283810.5496485545</c:v>
                </c:pt>
                <c:pt idx="1294">
                  <c:v>3283810.5496485545</c:v>
                </c:pt>
                <c:pt idx="1295">
                  <c:v>3283810.5496485545</c:v>
                </c:pt>
                <c:pt idx="1296">
                  <c:v>3283810.5496485545</c:v>
                </c:pt>
                <c:pt idx="1297">
                  <c:v>3283810.5496485545</c:v>
                </c:pt>
                <c:pt idx="1298">
                  <c:v>3283810.5496485545</c:v>
                </c:pt>
                <c:pt idx="1299">
                  <c:v>3283810.5496485545</c:v>
                </c:pt>
                <c:pt idx="1300">
                  <c:v>3283810.5496485545</c:v>
                </c:pt>
                <c:pt idx="1301">
                  <c:v>3283810.5496485545</c:v>
                </c:pt>
                <c:pt idx="1302">
                  <c:v>3283810.5496485545</c:v>
                </c:pt>
                <c:pt idx="1303">
                  <c:v>3283810.5496485545</c:v>
                </c:pt>
                <c:pt idx="1304">
                  <c:v>3283810.5496485545</c:v>
                </c:pt>
                <c:pt idx="1305">
                  <c:v>3283810.5496485545</c:v>
                </c:pt>
                <c:pt idx="1306">
                  <c:v>3283810.5496485545</c:v>
                </c:pt>
                <c:pt idx="1307">
                  <c:v>3283810.5496485545</c:v>
                </c:pt>
                <c:pt idx="1308">
                  <c:v>3283810.5496485545</c:v>
                </c:pt>
                <c:pt idx="1309">
                  <c:v>3283810.5496485545</c:v>
                </c:pt>
                <c:pt idx="1310">
                  <c:v>3283810.5496485545</c:v>
                </c:pt>
                <c:pt idx="1311">
                  <c:v>3283810.5496485545</c:v>
                </c:pt>
                <c:pt idx="1312">
                  <c:v>3283810.5496485545</c:v>
                </c:pt>
                <c:pt idx="1313">
                  <c:v>3283810.5496485545</c:v>
                </c:pt>
                <c:pt idx="1314">
                  <c:v>3283810.5496485545</c:v>
                </c:pt>
                <c:pt idx="1315">
                  <c:v>3283810.5496485545</c:v>
                </c:pt>
                <c:pt idx="1316">
                  <c:v>3283810.5496485545</c:v>
                </c:pt>
                <c:pt idx="1317">
                  <c:v>3283810.5496485545</c:v>
                </c:pt>
                <c:pt idx="1318">
                  <c:v>3283810.5496485545</c:v>
                </c:pt>
                <c:pt idx="1319">
                  <c:v>3283810.5496485545</c:v>
                </c:pt>
                <c:pt idx="1320">
                  <c:v>3283810.5496485545</c:v>
                </c:pt>
                <c:pt idx="1321">
                  <c:v>3283810.5496485545</c:v>
                </c:pt>
                <c:pt idx="1322">
                  <c:v>3283810.5496485545</c:v>
                </c:pt>
                <c:pt idx="1323">
                  <c:v>3283810.5496485545</c:v>
                </c:pt>
                <c:pt idx="1324">
                  <c:v>3283810.5496485545</c:v>
                </c:pt>
                <c:pt idx="1325">
                  <c:v>3283810.5496485545</c:v>
                </c:pt>
                <c:pt idx="1326">
                  <c:v>3283810.5496485545</c:v>
                </c:pt>
                <c:pt idx="1327">
                  <c:v>3283810.5496485545</c:v>
                </c:pt>
                <c:pt idx="1328">
                  <c:v>3283810.5496485545</c:v>
                </c:pt>
                <c:pt idx="1329">
                  <c:v>3283810.5496485545</c:v>
                </c:pt>
                <c:pt idx="1330">
                  <c:v>3283810.5496485545</c:v>
                </c:pt>
                <c:pt idx="1331">
                  <c:v>3283810.5496485545</c:v>
                </c:pt>
                <c:pt idx="1332">
                  <c:v>3283810.5496485545</c:v>
                </c:pt>
                <c:pt idx="1333">
                  <c:v>3283810.5496485545</c:v>
                </c:pt>
                <c:pt idx="1334">
                  <c:v>3283810.5496485545</c:v>
                </c:pt>
                <c:pt idx="1335">
                  <c:v>3283810.5496485545</c:v>
                </c:pt>
                <c:pt idx="1336">
                  <c:v>3283810.5496485545</c:v>
                </c:pt>
                <c:pt idx="1337">
                  <c:v>3283810.5496485545</c:v>
                </c:pt>
                <c:pt idx="1338">
                  <c:v>3283810.5496485545</c:v>
                </c:pt>
                <c:pt idx="1339">
                  <c:v>3283810.5496485545</c:v>
                </c:pt>
                <c:pt idx="1340">
                  <c:v>3283810.5496485545</c:v>
                </c:pt>
                <c:pt idx="1341">
                  <c:v>3283810.5496485545</c:v>
                </c:pt>
                <c:pt idx="1342">
                  <c:v>3283810.5496485545</c:v>
                </c:pt>
                <c:pt idx="1343">
                  <c:v>3283810.5496485545</c:v>
                </c:pt>
                <c:pt idx="1344">
                  <c:v>3283810.5496485545</c:v>
                </c:pt>
                <c:pt idx="1345">
                  <c:v>3283810.5496485545</c:v>
                </c:pt>
                <c:pt idx="1346">
                  <c:v>3283810.5496485545</c:v>
                </c:pt>
                <c:pt idx="1347">
                  <c:v>3283810.5496485545</c:v>
                </c:pt>
                <c:pt idx="1348">
                  <c:v>3283810.5496485545</c:v>
                </c:pt>
                <c:pt idx="1349">
                  <c:v>3283810.5496485545</c:v>
                </c:pt>
                <c:pt idx="1350">
                  <c:v>3283810.5496485545</c:v>
                </c:pt>
                <c:pt idx="1351">
                  <c:v>3283810.5496485545</c:v>
                </c:pt>
                <c:pt idx="1352">
                  <c:v>3283810.5496485545</c:v>
                </c:pt>
                <c:pt idx="1353">
                  <c:v>3283810.5496485545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3999768519" createdVersion="8" refreshedVersion="8" minRefreshableVersion="3" recordCount="157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0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d v="2025-12-31T00:00:00"/>
        <s v=""/>
        <d v="2025-09-30T00:00:00"/>
        <d v="2025-11-30T00:00:00"/>
        <d v="2026-01-31T00:00:00"/>
        <d v="2026-02-28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0" maxValue="1.9763820091611706E-3"/>
    </cacheField>
    <cacheField name="FINANCE PAYMENT DATE" numFmtId="0">
      <sharedItems containsNonDate="0" containsDate="1" containsString="0" containsBlank="1" minDate="2025-10-09T00:00:00" maxDate="2026-03-29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3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3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1279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3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3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577.5"/>
    <m/>
    <m/>
    <x v="6"/>
    <n v="82221.369936751435"/>
    <n v="0"/>
    <d v="2026-02-07T00:00:00"/>
    <n v="18577.5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6"/>
    <n v="39223.074507692996"/>
    <m/>
    <d v="2026-03-02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6"/>
    <n v="35569.063385210808"/>
    <n v="0"/>
    <d v="2026-03-03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5.8632268701330759E-4"/>
    <d v="2025-10-10T00:00:00"/>
    <n v="1159.68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500"/>
    <m/>
    <m/>
    <x v="6"/>
    <n v="3018.0739514348784"/>
    <m/>
    <d v="2026-02-05T00:00:00"/>
    <m/>
  </r>
  <r>
    <n v="14"/>
    <x v="14"/>
    <s v="Travel"/>
    <m/>
    <m/>
    <n v="500"/>
    <m/>
    <m/>
    <x v="7"/>
    <n v="3018.073951434878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1" t="s">
        <v>57</v>
      </c>
      <c r="E47" s="741"/>
      <c r="F47" s="742"/>
      <c r="G47" s="67"/>
      <c r="I47" s="68"/>
      <c r="J47" s="68"/>
    </row>
    <row r="48" spans="1:49" ht="14.45" thickBot="1">
      <c r="C48" s="69">
        <v>44014</v>
      </c>
      <c r="D48" s="743"/>
      <c r="E48" s="743"/>
      <c r="F48" s="7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I24" sqref="I24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5" t="s">
        <v>58</v>
      </c>
      <c r="C2" s="745"/>
      <c r="D2" s="745"/>
      <c r="E2" s="745"/>
      <c r="H2" s="746" t="s">
        <v>59</v>
      </c>
      <c r="I2" s="747"/>
      <c r="J2" s="747"/>
      <c r="K2" s="747"/>
      <c r="L2" s="747"/>
      <c r="M2" s="747"/>
      <c r="N2" s="747"/>
      <c r="O2" s="748"/>
    </row>
    <row r="3" spans="2:15">
      <c r="B3" s="681"/>
      <c r="H3" s="749"/>
      <c r="I3" s="750"/>
      <c r="J3" s="750"/>
      <c r="K3" s="750"/>
      <c r="L3" s="750"/>
      <c r="M3" s="750"/>
      <c r="N3" s="750"/>
      <c r="O3" s="751"/>
    </row>
    <row r="4" spans="2:15">
      <c r="B4" s="682" t="s">
        <v>60</v>
      </c>
      <c r="C4" s="683" t="str">
        <f>'Project Plan'!E2</f>
        <v>1 Bolt Ave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82" t="s">
        <v>61</v>
      </c>
      <c r="C5" s="683" t="s">
        <v>62</v>
      </c>
      <c r="H5" s="749"/>
      <c r="I5" s="750"/>
      <c r="J5" s="750"/>
      <c r="K5" s="750"/>
      <c r="L5" s="750"/>
      <c r="M5" s="750"/>
      <c r="N5" s="750"/>
      <c r="O5" s="751"/>
    </row>
    <row r="6" spans="2:15">
      <c r="B6" s="682" t="s">
        <v>63</v>
      </c>
      <c r="C6" s="683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82" t="s">
        <v>65</v>
      </c>
      <c r="C7" s="683" t="s">
        <v>66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81"/>
      <c r="H8" s="749"/>
      <c r="I8" s="750"/>
      <c r="J8" s="750"/>
      <c r="K8" s="750"/>
      <c r="L8" s="750"/>
      <c r="M8" s="750"/>
      <c r="N8" s="750"/>
      <c r="O8" s="751"/>
    </row>
    <row r="9" spans="2:15">
      <c r="B9" s="755" t="s">
        <v>67</v>
      </c>
      <c r="C9" s="755"/>
      <c r="D9" s="755"/>
      <c r="E9" s="755"/>
      <c r="H9" s="749"/>
      <c r="I9" s="750"/>
      <c r="J9" s="750"/>
      <c r="K9" s="750"/>
      <c r="L9" s="750"/>
      <c r="M9" s="750"/>
      <c r="N9" s="750"/>
      <c r="O9" s="751"/>
    </row>
    <row r="10" spans="2:15" ht="15" thickBot="1">
      <c r="B10" s="755" t="s">
        <v>68</v>
      </c>
      <c r="C10" s="755"/>
      <c r="D10" s="755"/>
      <c r="E10" s="755"/>
      <c r="H10" s="752"/>
      <c r="I10" s="753"/>
      <c r="J10" s="753"/>
      <c r="K10" s="753"/>
      <c r="L10" s="753"/>
      <c r="M10" s="753"/>
      <c r="N10" s="753"/>
      <c r="O10" s="754"/>
    </row>
    <row r="11" spans="2:15">
      <c r="B11" s="684" t="s">
        <v>69</v>
      </c>
      <c r="C11" s="756" t="s">
        <v>70</v>
      </c>
      <c r="D11" s="756"/>
      <c r="E11" s="756"/>
    </row>
    <row r="12" spans="2:15">
      <c r="B12" s="684" t="s">
        <v>71</v>
      </c>
      <c r="C12" s="756" t="s">
        <v>70</v>
      </c>
      <c r="D12" s="756"/>
      <c r="E12" s="756"/>
    </row>
    <row r="13" spans="2:15">
      <c r="B13" s="684" t="s">
        <v>72</v>
      </c>
      <c r="C13" s="756" t="s">
        <v>70</v>
      </c>
      <c r="D13" s="756"/>
      <c r="E13" s="756"/>
    </row>
    <row r="14" spans="2:15">
      <c r="B14" s="684" t="s">
        <v>73</v>
      </c>
      <c r="C14" s="756" t="s">
        <v>74</v>
      </c>
      <c r="D14" s="756"/>
      <c r="E14" s="756"/>
    </row>
    <row r="15" spans="2:15">
      <c r="B15" s="684" t="s">
        <v>75</v>
      </c>
      <c r="C15" s="756" t="s">
        <v>76</v>
      </c>
      <c r="D15" s="756"/>
      <c r="E15" s="756"/>
    </row>
    <row r="16" spans="2:15" ht="15" customHeight="1">
      <c r="B16" s="684" t="s">
        <v>77</v>
      </c>
      <c r="C16" s="756" t="s">
        <v>78</v>
      </c>
      <c r="D16" s="756"/>
      <c r="E16" s="756"/>
    </row>
    <row r="17" spans="2:5">
      <c r="B17" s="681"/>
    </row>
    <row r="18" spans="2:5">
      <c r="B18" s="757" t="s">
        <v>79</v>
      </c>
      <c r="C18" s="757"/>
      <c r="D18" s="757"/>
      <c r="E18" s="757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5" t="s">
        <v>87</v>
      </c>
      <c r="C2" s="745"/>
      <c r="D2" s="745"/>
      <c r="E2" s="745"/>
      <c r="H2" s="746" t="s">
        <v>88</v>
      </c>
      <c r="I2" s="747"/>
      <c r="J2" s="747"/>
      <c r="K2" s="747"/>
      <c r="L2" s="747"/>
      <c r="M2" s="747"/>
      <c r="N2" s="747"/>
      <c r="O2" s="748"/>
    </row>
    <row r="3" spans="2:15">
      <c r="B3" s="681"/>
      <c r="H3" s="749"/>
      <c r="I3" s="750"/>
      <c r="J3" s="750"/>
      <c r="K3" s="750"/>
      <c r="L3" s="750"/>
      <c r="M3" s="750"/>
      <c r="N3" s="750"/>
      <c r="O3" s="751"/>
    </row>
    <row r="4" spans="2:15">
      <c r="B4" s="682" t="s">
        <v>60</v>
      </c>
      <c r="C4" s="683" t="str">
        <f>'Project Plan'!E2</f>
        <v>1 Bolt Ave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82" t="s">
        <v>89</v>
      </c>
      <c r="C5" s="683"/>
      <c r="H5" s="749"/>
      <c r="I5" s="750"/>
      <c r="J5" s="750"/>
      <c r="K5" s="750"/>
      <c r="L5" s="750"/>
      <c r="M5" s="750"/>
      <c r="N5" s="750"/>
      <c r="O5" s="751"/>
    </row>
    <row r="6" spans="2:15">
      <c r="B6" s="682" t="s">
        <v>63</v>
      </c>
      <c r="C6" s="683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82" t="s">
        <v>90</v>
      </c>
      <c r="C7" s="683" t="s">
        <v>91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82" t="s">
        <v>92</v>
      </c>
      <c r="C8" s="683"/>
      <c r="H8" s="749"/>
      <c r="I8" s="750"/>
      <c r="J8" s="750"/>
      <c r="K8" s="750"/>
      <c r="L8" s="750"/>
      <c r="M8" s="750"/>
      <c r="N8" s="750"/>
      <c r="O8" s="751"/>
    </row>
    <row r="9" spans="2:15">
      <c r="B9" s="681"/>
      <c r="H9" s="749"/>
      <c r="I9" s="750"/>
      <c r="J9" s="750"/>
      <c r="K9" s="750"/>
      <c r="L9" s="750"/>
      <c r="M9" s="750"/>
      <c r="N9" s="750"/>
      <c r="O9" s="751"/>
    </row>
    <row r="10" spans="2:15">
      <c r="B10" s="755" t="s">
        <v>67</v>
      </c>
      <c r="C10" s="755"/>
      <c r="D10" s="755"/>
      <c r="E10" s="755"/>
      <c r="H10" s="749"/>
      <c r="I10" s="750"/>
      <c r="J10" s="750"/>
      <c r="K10" s="750"/>
      <c r="L10" s="750"/>
      <c r="M10" s="750"/>
      <c r="N10" s="750"/>
      <c r="O10" s="751"/>
    </row>
    <row r="11" spans="2:15" ht="15" thickBot="1">
      <c r="B11" s="755" t="s">
        <v>68</v>
      </c>
      <c r="C11" s="755"/>
      <c r="D11" s="755"/>
      <c r="E11" s="755"/>
      <c r="H11" s="752"/>
      <c r="I11" s="753"/>
      <c r="J11" s="753"/>
      <c r="K11" s="753"/>
      <c r="L11" s="753"/>
      <c r="M11" s="753"/>
      <c r="N11" s="753"/>
      <c r="O11" s="754"/>
    </row>
    <row r="12" spans="2:15" ht="26.45">
      <c r="B12" s="684" t="s">
        <v>93</v>
      </c>
      <c r="C12" s="756"/>
      <c r="D12" s="756"/>
      <c r="E12" s="756"/>
    </row>
    <row r="13" spans="2:15">
      <c r="B13" s="684" t="s">
        <v>94</v>
      </c>
      <c r="C13" s="756"/>
      <c r="D13" s="756"/>
      <c r="E13" s="756"/>
    </row>
    <row r="14" spans="2:15">
      <c r="B14" s="684" t="s">
        <v>95</v>
      </c>
      <c r="C14" s="756"/>
      <c r="D14" s="756"/>
      <c r="E14" s="756"/>
    </row>
    <row r="15" spans="2:15">
      <c r="B15" s="684" t="s">
        <v>96</v>
      </c>
      <c r="C15" s="756"/>
      <c r="D15" s="756"/>
      <c r="E15" s="756"/>
    </row>
    <row r="16" spans="2:15" ht="26.45">
      <c r="B16" s="684" t="s">
        <v>97</v>
      </c>
      <c r="C16" s="756"/>
      <c r="D16" s="756"/>
      <c r="E16" s="756"/>
    </row>
    <row r="17" spans="2:5">
      <c r="B17" s="684" t="s">
        <v>98</v>
      </c>
      <c r="C17" s="756"/>
      <c r="D17" s="756"/>
      <c r="E17" s="756"/>
    </row>
    <row r="18" spans="2:5">
      <c r="B18" s="684" t="s">
        <v>99</v>
      </c>
      <c r="C18" s="756"/>
      <c r="D18" s="756"/>
      <c r="E18" s="756"/>
    </row>
    <row r="19" spans="2:5">
      <c r="B19" s="684" t="s">
        <v>100</v>
      </c>
      <c r="C19" s="756"/>
      <c r="D19" s="756"/>
      <c r="E19" s="756"/>
    </row>
    <row r="20" spans="2:5">
      <c r="B20" s="684" t="s">
        <v>101</v>
      </c>
      <c r="C20" s="756"/>
      <c r="D20" s="756"/>
      <c r="E20" s="756"/>
    </row>
    <row r="21" spans="2:5">
      <c r="B21" s="684" t="s">
        <v>102</v>
      </c>
      <c r="C21" s="756"/>
      <c r="D21" s="756"/>
      <c r="E21" s="756"/>
    </row>
    <row r="22" spans="2:5" ht="15" customHeight="1">
      <c r="B22" s="684" t="s">
        <v>77</v>
      </c>
      <c r="C22" s="756"/>
      <c r="D22" s="756"/>
      <c r="E22" s="756"/>
    </row>
    <row r="23" spans="2:5">
      <c r="B23" s="681"/>
    </row>
    <row r="24" spans="2:5">
      <c r="B24" s="757" t="s">
        <v>79</v>
      </c>
      <c r="C24" s="757"/>
      <c r="D24" s="757"/>
      <c r="E24" s="757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34" customWidth="1"/>
  </cols>
  <sheetData>
    <row r="1" spans="2:14">
      <c r="B1" s="758"/>
      <c r="C1" s="759"/>
      <c r="D1" s="759"/>
      <c r="E1" s="760" t="s">
        <v>103</v>
      </c>
      <c r="F1" s="760"/>
      <c r="G1" s="760"/>
      <c r="H1" s="760"/>
      <c r="I1" s="760"/>
      <c r="J1" s="76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9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9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tabSelected="1" zoomScale="82" zoomScaleNormal="115" workbookViewId="0">
      <selection activeCell="H32" sqref="H32"/>
    </sheetView>
  </sheetViews>
  <sheetFormatPr defaultColWidth="8.42578125" defaultRowHeight="14.4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42578125" style="129" bestFit="1" customWidth="1"/>
    <col min="8" max="8" width="19.28515625" style="129" bestFit="1" customWidth="1"/>
    <col min="9" max="9" width="2" style="129" customWidth="1"/>
    <col min="10" max="10" width="3.28515625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.28515625" style="129" customWidth="1"/>
    <col min="19" max="19" width="35.7109375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.285156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3283810.5496485545</v>
      </c>
      <c r="V4" s="701">
        <f>SUMIFS('Expenditure Breakdown'!$Q:$Q,
        'Expenditure Breakdown'!$T:$T, "&gt;"&amp;DATE(2025,8,31),
        'Expenditure Breakdown'!$T:$T, "&lt;="&amp;DATE(2026,8,31))</f>
        <v>2217962.1718750005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3192804.2084169714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2169914.5400000005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2217962.171875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1159442.578125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0.34329393837827699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764" t="s">
        <v>193</v>
      </c>
      <c r="D13" s="76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764" t="s">
        <v>195</v>
      </c>
      <c r="D14" s="76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764" t="s">
        <v>197</v>
      </c>
      <c r="D15" s="76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762" t="s">
        <v>198</v>
      </c>
      <c r="D16" s="76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762" t="s">
        <v>54</v>
      </c>
      <c r="D17" s="76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46071</v>
      </c>
      <c r="R17" s="378" t="s">
        <v>201</v>
      </c>
      <c r="S17" s="730" t="b">
        <v>1</v>
      </c>
      <c r="T17" s="141"/>
    </row>
    <row r="18" spans="2:20" s="354" customFormat="1" ht="13.15">
      <c r="B18" s="154">
        <v>6</v>
      </c>
      <c r="C18" s="762" t="s">
        <v>202</v>
      </c>
      <c r="D18" s="763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3.15">
      <c r="B19" s="351">
        <v>7</v>
      </c>
      <c r="C19" s="764" t="s">
        <v>204</v>
      </c>
      <c r="D19" s="76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3.15">
      <c r="C24" s="147" t="s">
        <v>207</v>
      </c>
      <c r="D24" s="148"/>
      <c r="F24" s="149"/>
    </row>
    <row r="25" spans="2:20" s="93" customFormat="1" ht="13.15">
      <c r="C25" s="147" t="s">
        <v>208</v>
      </c>
      <c r="D25" s="148"/>
    </row>
    <row r="26" spans="2:20" s="93" customFormat="1" ht="13.15">
      <c r="C26" s="150" t="s">
        <v>209</v>
      </c>
      <c r="D26" s="151"/>
      <c r="L26" s="673"/>
    </row>
    <row r="27" spans="2:20" s="93" customFormat="1" ht="13.15">
      <c r="C27" s="152" t="s">
        <v>210</v>
      </c>
      <c r="D27" s="148"/>
      <c r="L27" s="673"/>
    </row>
    <row r="28" spans="2:20" s="93" customFormat="1" ht="13.15">
      <c r="B28" s="117"/>
      <c r="C28" s="152" t="s">
        <v>211</v>
      </c>
      <c r="D28" s="148"/>
    </row>
    <row r="29" spans="2:20" s="93" customFormat="1" ht="13.1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3.15">
      <c r="B31" s="117"/>
      <c r="F31" s="146"/>
      <c r="N31" s="673"/>
    </row>
    <row r="32" spans="2:20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" bestFit="1" customWidth="1"/>
    <col min="5" max="5" width="10.28515625" customWidth="1"/>
    <col min="6" max="6" width="34" customWidth="1"/>
  </cols>
  <sheetData>
    <row r="1" spans="2:10" ht="15" thickBot="1"/>
    <row r="2" spans="2:10" ht="15.6" thickTop="1" thickBot="1">
      <c r="B2" s="766" t="s">
        <v>217</v>
      </c>
      <c r="C2" s="767"/>
      <c r="D2" s="767"/>
      <c r="E2" s="767"/>
      <c r="F2" s="768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6" t="s">
        <v>227</v>
      </c>
      <c r="C16" s="767"/>
      <c r="D16" s="767"/>
      <c r="E16" s="767"/>
      <c r="F16" s="768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28" zoomScale="90" zoomScaleNormal="90" workbookViewId="0">
      <selection activeCell="B51" sqref="B51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2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.28515625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46055</v>
      </c>
      <c r="O1" s="403">
        <f ca="1">TODAY()</f>
        <v>46055</v>
      </c>
      <c r="Q1" s="3"/>
    </row>
    <row r="2" spans="2:28" ht="15" customHeight="1" thickBot="1">
      <c r="B2" s="176"/>
      <c r="C2" s="177" t="s">
        <v>0</v>
      </c>
      <c r="D2" s="178"/>
      <c r="E2" s="776" t="s">
        <v>234</v>
      </c>
      <c r="F2" s="777"/>
      <c r="G2" s="777"/>
      <c r="H2" s="777"/>
      <c r="I2" s="769" t="s">
        <v>235</v>
      </c>
      <c r="J2" s="77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9" t="s">
        <v>237</v>
      </c>
      <c r="J3" s="770"/>
      <c r="K3" s="679">
        <f>K2/5</f>
        <v>14.2</v>
      </c>
      <c r="Q3" s="3"/>
    </row>
    <row r="4" spans="2:28" s="112" customFormat="1" ht="14.45" thickBot="1">
      <c r="B4" s="179"/>
      <c r="C4" s="180" t="s">
        <v>238</v>
      </c>
      <c r="D4" s="178"/>
      <c r="E4" s="778" t="s">
        <v>91</v>
      </c>
      <c r="F4" s="779"/>
      <c r="G4" s="779"/>
      <c r="H4" s="779"/>
      <c r="I4" s="769" t="s">
        <v>239</v>
      </c>
      <c r="J4" s="770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78" t="s">
        <v>91</v>
      </c>
      <c r="F5" s="779"/>
      <c r="G5" s="779"/>
      <c r="H5" s="780"/>
      <c r="J5" s="113"/>
      <c r="Q5" s="3"/>
    </row>
    <row r="6" spans="2:28" ht="22.5" customHeight="1" thickBot="1">
      <c r="B6" s="183"/>
      <c r="C6" s="184" t="s">
        <v>241</v>
      </c>
      <c r="D6" s="178"/>
      <c r="E6" s="781">
        <v>3283810.55</v>
      </c>
      <c r="F6" s="782"/>
      <c r="G6" s="782"/>
      <c r="H6" s="783"/>
    </row>
    <row r="7" spans="2:28" s="112" customFormat="1" ht="14.45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773" t="s">
        <v>183</v>
      </c>
      <c r="C8" s="774" t="s">
        <v>243</v>
      </c>
      <c r="D8" s="214"/>
      <c r="E8" s="775" t="s">
        <v>244</v>
      </c>
      <c r="F8" s="236" t="s">
        <v>245</v>
      </c>
      <c r="G8" s="775" t="s">
        <v>246</v>
      </c>
      <c r="H8" s="237"/>
      <c r="I8" s="775" t="s">
        <v>247</v>
      </c>
      <c r="J8" s="236" t="s">
        <v>245</v>
      </c>
      <c r="K8" s="775" t="s">
        <v>248</v>
      </c>
      <c r="M8" s="703" t="s">
        <v>109</v>
      </c>
      <c r="N8" s="703" t="s">
        <v>109</v>
      </c>
      <c r="O8" s="771" t="s">
        <v>249</v>
      </c>
      <c r="Z8" s="112"/>
      <c r="AA8" s="112"/>
      <c r="AB8" s="112"/>
    </row>
    <row r="9" spans="2:28">
      <c r="B9" s="773"/>
      <c r="C9" s="774"/>
      <c r="D9" s="214"/>
      <c r="E9" s="775"/>
      <c r="F9" s="126">
        <f>G41-E19</f>
        <v>35</v>
      </c>
      <c r="G9" s="775"/>
      <c r="H9" s="237"/>
      <c r="I9" s="775"/>
      <c r="J9" s="127">
        <f>K41-I19</f>
        <v>101</v>
      </c>
      <c r="K9" s="775"/>
      <c r="M9" s="361">
        <f>AVERAGE(M11,M18,M21,M28,M35,M39,M46,M43)</f>
        <v>0.95997536945812811</v>
      </c>
      <c r="N9" s="361">
        <f ca="1">AVERAGE(N11,N18,N21,N28,N35,N39,N46,N43)</f>
        <v>0.95401409217007238</v>
      </c>
      <c r="O9" s="77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46055</v>
      </c>
      <c r="Y12" s="669">
        <f ca="1">TODAY()</f>
        <v>46055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0.66659549598126888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4"/>
      <c r="C4" s="784"/>
      <c r="D4" s="78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5" thickBot="1">
      <c r="A5" s="214"/>
      <c r="B5" s="785" t="s">
        <v>307</v>
      </c>
      <c r="C5" s="785"/>
      <c r="D5" s="785"/>
      <c r="E5" s="411"/>
      <c r="F5" s="221">
        <f>SUM(F9:F23)</f>
        <v>2763016.5280978265</v>
      </c>
      <c r="G5" s="216"/>
      <c r="H5" s="221">
        <f>SUM(H9:H23)</f>
        <v>2217962.171875</v>
      </c>
      <c r="I5" s="214"/>
      <c r="J5" s="222">
        <f>SUM(J9:J23)</f>
        <v>545054.35622282617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1159.68</v>
      </c>
      <c r="I22" s="89"/>
      <c r="J22" s="231">
        <f t="shared" si="0"/>
        <v>5140.32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70" zoomScaleNormal="70" workbookViewId="0">
      <pane ySplit="4" topLeftCell="A40" activePane="bottomLeft" state="frozen"/>
      <selection pane="bottomLeft" activeCell="T123" sqref="T123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1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839" t="s">
        <v>313</v>
      </c>
      <c r="C2" s="840"/>
      <c r="D2" s="840"/>
      <c r="E2" s="840"/>
      <c r="F2" s="840"/>
      <c r="G2" s="840"/>
      <c r="H2" s="500"/>
      <c r="I2" s="257">
        <f>SUM(I6:I163)</f>
        <v>2763016.5280978265</v>
      </c>
      <c r="J2" s="257">
        <f>SUM(J6:J163)</f>
        <v>3283810.5522112595</v>
      </c>
      <c r="L2" s="841" t="s">
        <v>314</v>
      </c>
      <c r="M2" s="842"/>
      <c r="N2" s="842"/>
      <c r="O2" s="842"/>
      <c r="P2" s="842"/>
      <c r="Q2" s="842"/>
      <c r="R2" s="843" t="s">
        <v>315</v>
      </c>
      <c r="S2" s="844"/>
      <c r="T2" s="844"/>
      <c r="U2" s="844"/>
      <c r="V2" s="844"/>
      <c r="W2" s="845"/>
      <c r="X2" s="475">
        <f>SUM(X6:X163)</f>
        <v>2217962.171875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9">
        <f>SUM(G6:G11)</f>
        <v>838063.00000000012</v>
      </c>
      <c r="J6" s="789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98">
        <f>J6-SUM(U6:U11)</f>
        <v>0</v>
      </c>
      <c r="W6" s="722">
        <v>46009</v>
      </c>
      <c r="X6" s="786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90"/>
      <c r="J7" s="790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99"/>
      <c r="W7" s="690">
        <f>W6</f>
        <v>46009</v>
      </c>
      <c r="X7" s="787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90"/>
      <c r="J8" s="790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99"/>
      <c r="W8" s="690">
        <f>W6</f>
        <v>46009</v>
      </c>
      <c r="X8" s="787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90"/>
      <c r="J9" s="790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99"/>
      <c r="W9" s="726">
        <v>46022</v>
      </c>
      <c r="X9" s="787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90"/>
      <c r="J10" s="790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9"/>
      <c r="W10" s="576"/>
      <c r="X10" s="787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91"/>
      <c r="J11" s="791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00"/>
      <c r="W11" s="577"/>
      <c r="X11" s="788"/>
      <c r="Y11" s="608" t="s">
        <v>340</v>
      </c>
      <c r="Z11" s="609" t="s">
        <v>341</v>
      </c>
    </row>
    <row r="12" spans="1:76" ht="14.4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9">
        <f>SUM(G13:G19)</f>
        <v>210000</v>
      </c>
      <c r="J13" s="809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35">
        <f>J13-SUM(U13:U19)</f>
        <v>0</v>
      </c>
      <c r="W13" s="723">
        <f>W6</f>
        <v>46009</v>
      </c>
      <c r="X13" s="812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10"/>
      <c r="J14" s="810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6"/>
      <c r="W14" s="654"/>
      <c r="X14" s="813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10"/>
      <c r="J15" s="810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6"/>
      <c r="W15" s="580"/>
      <c r="X15" s="813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10"/>
      <c r="J16" s="810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6"/>
      <c r="W16" s="580"/>
      <c r="X16" s="813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10"/>
      <c r="J17" s="810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6"/>
      <c r="W17" s="580"/>
      <c r="X17" s="813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10"/>
      <c r="J18" s="810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6"/>
      <c r="W18" s="580"/>
      <c r="X18" s="813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11"/>
      <c r="J19" s="811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7"/>
      <c r="W19" s="581"/>
      <c r="X19" s="814"/>
      <c r="Y19" s="610" t="s">
        <v>352</v>
      </c>
      <c r="Z19" s="611">
        <v>0</v>
      </c>
      <c r="AA19" s="655"/>
    </row>
    <row r="20" spans="1:27" ht="14.4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9">
        <f>SUM(G21:G26)</f>
        <v>146400</v>
      </c>
      <c r="J21" s="789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98">
        <f>J21-SUM(U21:U26)</f>
        <v>0</v>
      </c>
      <c r="W21" s="704">
        <f>T21+30</f>
        <v>45960</v>
      </c>
      <c r="X21" s="786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90"/>
      <c r="J22" s="790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9"/>
      <c r="W22" s="575"/>
      <c r="X22" s="787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90"/>
      <c r="J23" s="790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9"/>
      <c r="W23" s="575"/>
      <c r="X23" s="787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90"/>
      <c r="J24" s="790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9"/>
      <c r="W24" s="576"/>
      <c r="X24" s="787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90"/>
      <c r="J25" s="790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9"/>
      <c r="W25" s="576"/>
      <c r="X25" s="787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91"/>
      <c r="J26" s="791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00"/>
      <c r="W26" s="577"/>
      <c r="X26" s="788"/>
      <c r="Y26" s="616" t="s">
        <v>167</v>
      </c>
      <c r="Z26" s="617" t="s">
        <v>362</v>
      </c>
    </row>
    <row r="27" spans="1:27" ht="14.4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9">
        <f>SUM(G28:G42)</f>
        <v>286300</v>
      </c>
      <c r="J28" s="809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35">
        <f>J28-SUM(U28:U42)</f>
        <v>0</v>
      </c>
      <c r="W28" s="537">
        <v>46003</v>
      </c>
      <c r="X28" s="812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10"/>
      <c r="J29" s="810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6"/>
      <c r="W29" s="580"/>
      <c r="X29" s="813"/>
      <c r="Y29" s="618" t="s">
        <v>347</v>
      </c>
      <c r="Z29" s="619">
        <v>93937.5</v>
      </c>
      <c r="AA29" s="655"/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10"/>
      <c r="J30" s="810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6"/>
      <c r="W30" s="580"/>
      <c r="X30" s="813"/>
      <c r="Y30" s="618" t="s">
        <v>348</v>
      </c>
      <c r="Z30" s="619">
        <v>227312.5</v>
      </c>
      <c r="AA30" s="655"/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10"/>
      <c r="J31" s="810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6"/>
      <c r="W31" s="580"/>
      <c r="X31" s="813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10"/>
      <c r="J32" s="810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830" t="s">
        <v>370</v>
      </c>
      <c r="S32" s="633" t="s">
        <v>371</v>
      </c>
      <c r="T32" s="674">
        <f>T92</f>
        <v>45961</v>
      </c>
      <c r="U32" s="694">
        <v>30132.370821974633</v>
      </c>
      <c r="V32" s="836"/>
      <c r="W32" s="538">
        <f>W92</f>
        <v>45939</v>
      </c>
      <c r="X32" s="813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10"/>
      <c r="J33" s="810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838"/>
      <c r="S33" s="633" t="s">
        <v>372</v>
      </c>
      <c r="T33" s="674">
        <f t="shared" ref="T33:T36" si="3">T93</f>
        <v>45961</v>
      </c>
      <c r="U33" s="694">
        <v>30132.370821974633</v>
      </c>
      <c r="V33" s="836"/>
      <c r="W33" s="538">
        <f t="shared" ref="W33:W39" si="4">W93</f>
        <v>45939</v>
      </c>
      <c r="X33" s="813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10"/>
      <c r="J34" s="810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838"/>
      <c r="S34" s="633" t="s">
        <v>375</v>
      </c>
      <c r="T34" s="674">
        <f t="shared" si="3"/>
        <v>45991</v>
      </c>
      <c r="U34" s="694">
        <v>40176.494429299513</v>
      </c>
      <c r="V34" s="836"/>
      <c r="W34" s="654">
        <f t="shared" si="4"/>
        <v>45999</v>
      </c>
      <c r="X34" s="813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10"/>
      <c r="J35" s="810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838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6"/>
      <c r="W35" s="654">
        <f t="shared" si="4"/>
        <v>46015</v>
      </c>
      <c r="X35" s="813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10"/>
      <c r="J36" s="810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838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6"/>
      <c r="W36" s="654">
        <f>W96</f>
        <v>46015</v>
      </c>
      <c r="X36" s="813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10"/>
      <c r="J37" s="810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838"/>
      <c r="S37" s="633" t="s">
        <v>381</v>
      </c>
      <c r="T37" s="691">
        <v>46022</v>
      </c>
      <c r="U37" s="694">
        <v>20088.247214649757</v>
      </c>
      <c r="V37" s="836"/>
      <c r="W37" s="538">
        <f t="shared" si="4"/>
        <v>46052</v>
      </c>
      <c r="X37" s="813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10"/>
      <c r="J38" s="810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838"/>
      <c r="S38" s="633" t="s">
        <v>383</v>
      </c>
      <c r="T38" s="691">
        <v>46022</v>
      </c>
      <c r="U38" s="694">
        <v>10044.123607324878</v>
      </c>
      <c r="V38" s="836"/>
      <c r="W38" s="580">
        <f t="shared" si="4"/>
        <v>46058</v>
      </c>
      <c r="X38" s="813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10"/>
      <c r="J39" s="810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831"/>
      <c r="S39" s="721" t="s">
        <v>385</v>
      </c>
      <c r="T39" s="691">
        <v>46022</v>
      </c>
      <c r="U39" s="694">
        <v>10044.123607324878</v>
      </c>
      <c r="V39" s="836"/>
      <c r="W39" s="580">
        <f t="shared" si="4"/>
        <v>46109</v>
      </c>
      <c r="X39" s="813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10"/>
      <c r="J40" s="810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6"/>
      <c r="W40" s="580"/>
      <c r="X40" s="813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10"/>
      <c r="J41" s="810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6"/>
      <c r="W41" s="580"/>
      <c r="X41" s="813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11"/>
      <c r="J42" s="811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7"/>
      <c r="W42" s="581"/>
      <c r="X42" s="814"/>
      <c r="Y42" s="479"/>
    </row>
    <row r="43" spans="1:26" ht="14.4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9">
        <f>SUM(G44:G51)</f>
        <v>49000</v>
      </c>
      <c r="J44" s="789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98">
        <f>J44-SUM(U44:U51)</f>
        <v>1.9763820091611706E-3</v>
      </c>
      <c r="W44" s="704">
        <f>H44</f>
        <v>46004</v>
      </c>
      <c r="X44" s="786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90"/>
      <c r="J45" s="790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99"/>
      <c r="W45" s="533">
        <f>T45+30</f>
        <v>45960</v>
      </c>
      <c r="X45" s="787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90"/>
      <c r="J46" s="790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99"/>
      <c r="W46" s="533">
        <v>45974</v>
      </c>
      <c r="X46" s="787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90"/>
      <c r="J47" s="790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99"/>
      <c r="W47" s="690">
        <v>45991</v>
      </c>
      <c r="X47" s="787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90"/>
      <c r="J48" s="790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99"/>
      <c r="W48" s="690">
        <v>45939</v>
      </c>
      <c r="X48" s="787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90"/>
      <c r="J49" s="790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99"/>
      <c r="W49" s="726">
        <v>46022</v>
      </c>
      <c r="X49" s="787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90"/>
      <c r="J50" s="790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9"/>
      <c r="W50" s="576"/>
      <c r="X50" s="787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91"/>
      <c r="J51" s="791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00"/>
      <c r="W51" s="577"/>
      <c r="X51" s="788"/>
      <c r="Y51" s="479"/>
    </row>
    <row r="52" spans="1:25" ht="14.4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9">
        <f>SUM(G53:G69)</f>
        <v>497053.59565217391</v>
      </c>
      <c r="J53" s="809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5">
        <f>J53-SUM(U53:U69)</f>
        <v>0</v>
      </c>
      <c r="W53" s="579"/>
      <c r="X53" s="812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10"/>
      <c r="J54" s="810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36"/>
      <c r="W54" s="712">
        <f>T54+30</f>
        <v>46021</v>
      </c>
      <c r="X54" s="813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10"/>
      <c r="J55" s="810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6"/>
      <c r="W55" s="580"/>
      <c r="X55" s="813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10"/>
      <c r="J56" s="810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6"/>
      <c r="W56" s="580"/>
      <c r="X56" s="813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10"/>
      <c r="J57" s="810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6"/>
      <c r="W57" s="580"/>
      <c r="X57" s="813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10"/>
      <c r="J58" s="810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6"/>
      <c r="W58" s="580"/>
      <c r="X58" s="813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10"/>
      <c r="J59" s="810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830" t="s">
        <v>370</v>
      </c>
      <c r="S59" s="633" t="s">
        <v>371</v>
      </c>
      <c r="T59" s="697">
        <f>T92</f>
        <v>45961</v>
      </c>
      <c r="U59" s="694">
        <v>42903.640276760721</v>
      </c>
      <c r="V59" s="836"/>
      <c r="W59" s="538">
        <f>W92</f>
        <v>45939</v>
      </c>
      <c r="X59" s="813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10"/>
      <c r="J60" s="810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838"/>
      <c r="S60" s="633" t="s">
        <v>372</v>
      </c>
      <c r="T60" s="697">
        <f t="shared" ref="T60:T63" si="8">T93</f>
        <v>45961</v>
      </c>
      <c r="U60" s="694">
        <v>42903.640276760721</v>
      </c>
      <c r="V60" s="836"/>
      <c r="W60" s="538">
        <f t="shared" ref="W60:W66" si="9">W93</f>
        <v>45939</v>
      </c>
      <c r="X60" s="813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10"/>
      <c r="J61" s="810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838"/>
      <c r="S61" s="633" t="s">
        <v>375</v>
      </c>
      <c r="T61" s="697">
        <f t="shared" si="8"/>
        <v>45991</v>
      </c>
      <c r="U61" s="694">
        <v>57204.853702347631</v>
      </c>
      <c r="V61" s="836"/>
      <c r="W61" s="654">
        <f t="shared" si="9"/>
        <v>45999</v>
      </c>
      <c r="X61" s="813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10"/>
      <c r="J62" s="810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838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6"/>
      <c r="W62" s="654">
        <f t="shared" si="9"/>
        <v>46015</v>
      </c>
      <c r="X62" s="813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10"/>
      <c r="J63" s="810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838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6"/>
      <c r="W63" s="654">
        <f t="shared" si="9"/>
        <v>46015</v>
      </c>
      <c r="X63" s="813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10"/>
      <c r="J64" s="810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838"/>
      <c r="S64" s="633" t="s">
        <v>381</v>
      </c>
      <c r="T64" s="717">
        <v>46022</v>
      </c>
      <c r="U64" s="709">
        <v>28602.426851173816</v>
      </c>
      <c r="V64" s="836"/>
      <c r="W64" s="538">
        <f t="shared" si="9"/>
        <v>46052</v>
      </c>
      <c r="X64" s="813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10"/>
      <c r="J65" s="810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838"/>
      <c r="S65" s="716" t="s">
        <v>383</v>
      </c>
      <c r="T65" s="717">
        <v>46022</v>
      </c>
      <c r="U65" s="709">
        <v>14301.213425586908</v>
      </c>
      <c r="V65" s="836"/>
      <c r="W65" s="580">
        <f t="shared" si="9"/>
        <v>46058</v>
      </c>
      <c r="X65" s="813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10"/>
      <c r="J66" s="810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831"/>
      <c r="S66" s="716" t="s">
        <v>385</v>
      </c>
      <c r="T66" s="717">
        <v>46022</v>
      </c>
      <c r="U66" s="709">
        <v>14301.213425586908</v>
      </c>
      <c r="V66" s="836"/>
      <c r="W66" s="580">
        <f t="shared" si="9"/>
        <v>46109</v>
      </c>
      <c r="X66" s="813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10"/>
      <c r="J67" s="810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6"/>
      <c r="W67" s="583"/>
      <c r="X67" s="813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10"/>
      <c r="J68" s="810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6"/>
      <c r="W68" s="583"/>
      <c r="X68" s="813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11"/>
      <c r="J69" s="811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7"/>
      <c r="W69" s="581"/>
      <c r="X69" s="814"/>
      <c r="Y69" s="479"/>
    </row>
    <row r="70" spans="1:25" ht="14.4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89">
        <f>SUM(G71:G78)</f>
        <v>0</v>
      </c>
      <c r="J71" s="789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32">
        <f>J71-SUM(U71:U78)</f>
        <v>0</v>
      </c>
      <c r="W71" s="585"/>
      <c r="X71" s="786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90"/>
      <c r="J72" s="790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33"/>
      <c r="W72" s="576"/>
      <c r="X72" s="787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90"/>
      <c r="J73" s="790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33"/>
      <c r="W73" s="576"/>
      <c r="X73" s="787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90"/>
      <c r="J74" s="790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33"/>
      <c r="W74" s="576"/>
      <c r="X74" s="787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90"/>
      <c r="J75" s="790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33"/>
      <c r="W75" s="576"/>
      <c r="X75" s="787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90"/>
      <c r="J76" s="790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33"/>
      <c r="W76" s="576"/>
      <c r="X76" s="787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90"/>
      <c r="J77" s="790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33"/>
      <c r="W77" s="576"/>
      <c r="X77" s="787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91"/>
      <c r="J78" s="791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34"/>
      <c r="W78" s="577"/>
      <c r="X78" s="788"/>
      <c r="Y78" s="479"/>
    </row>
    <row r="79" spans="1:25" ht="14.4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809">
        <f>SUM(G80:G89)</f>
        <v>208000</v>
      </c>
      <c r="J80" s="809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1">
        <f>J80-SUM(U80:U89)</f>
        <v>0</v>
      </c>
      <c r="W80" s="579"/>
      <c r="X80" s="812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10"/>
      <c r="J81" s="810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2"/>
      <c r="W81" s="580"/>
      <c r="X81" s="813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10"/>
      <c r="J82" s="810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22"/>
      <c r="W82" s="654">
        <v>45960</v>
      </c>
      <c r="X82" s="813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10"/>
      <c r="J83" s="810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2"/>
      <c r="W83" s="580"/>
      <c r="X83" s="813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10"/>
      <c r="J84" s="810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830" t="s">
        <v>414</v>
      </c>
      <c r="S84" s="633" t="s">
        <v>415</v>
      </c>
      <c r="T84" s="674">
        <v>45961</v>
      </c>
      <c r="U84" s="694">
        <v>75668.143320264106</v>
      </c>
      <c r="V84" s="822"/>
      <c r="W84" s="538">
        <v>45939</v>
      </c>
      <c r="X84" s="813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10"/>
      <c r="J85" s="810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831"/>
      <c r="S85" s="633" t="s">
        <v>415</v>
      </c>
      <c r="T85" s="674">
        <v>45961</v>
      </c>
      <c r="U85" s="694">
        <v>75668.143320264106</v>
      </c>
      <c r="V85" s="822"/>
      <c r="W85" s="538">
        <v>45974</v>
      </c>
      <c r="X85" s="813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10"/>
      <c r="J86" s="810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22"/>
      <c r="W86" s="712">
        <v>45980</v>
      </c>
      <c r="X86" s="813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10"/>
      <c r="J87" s="810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22"/>
      <c r="W87" s="538">
        <v>45974</v>
      </c>
      <c r="X87" s="813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10"/>
      <c r="J88" s="810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22"/>
      <c r="W88" s="542">
        <v>46043</v>
      </c>
      <c r="X88" s="813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11"/>
      <c r="J89" s="811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23"/>
      <c r="W89" s="725">
        <v>46031</v>
      </c>
      <c r="X89" s="814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15">
        <f>SUM(G91:G102)</f>
        <v>291000</v>
      </c>
      <c r="J91" s="789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8">
        <f>J91-SUM(U91:U102)</f>
        <v>0</v>
      </c>
      <c r="W91" s="582"/>
      <c r="X91" s="818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16"/>
      <c r="J92" s="790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27" t="s">
        <v>370</v>
      </c>
      <c r="S92" s="628" t="s">
        <v>371</v>
      </c>
      <c r="T92" s="699">
        <v>45961</v>
      </c>
      <c r="U92" s="692">
        <v>48499.999999999993</v>
      </c>
      <c r="V92" s="799"/>
      <c r="W92" s="533">
        <v>45939</v>
      </c>
      <c r="X92" s="819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16"/>
      <c r="J93" s="790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28"/>
      <c r="S93" s="629" t="s">
        <v>372</v>
      </c>
      <c r="T93" s="699">
        <f t="shared" si="10"/>
        <v>45961</v>
      </c>
      <c r="U93" s="692">
        <v>48499.999999999993</v>
      </c>
      <c r="V93" s="799"/>
      <c r="W93" s="534">
        <v>45939</v>
      </c>
      <c r="X93" s="819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16"/>
      <c r="J94" s="790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28"/>
      <c r="S94" s="629" t="s">
        <v>375</v>
      </c>
      <c r="T94" s="699">
        <v>45991</v>
      </c>
      <c r="U94" s="692">
        <v>64666.666666666664</v>
      </c>
      <c r="V94" s="799"/>
      <c r="W94" s="714">
        <f>'Project Plan'!K21+7</f>
        <v>45999</v>
      </c>
      <c r="X94" s="819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16"/>
      <c r="J95" s="790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28"/>
      <c r="S95" s="629" t="s">
        <v>431</v>
      </c>
      <c r="T95" s="699">
        <v>46022</v>
      </c>
      <c r="U95" s="692">
        <v>64666.666666666664</v>
      </c>
      <c r="V95" s="799"/>
      <c r="W95" s="714">
        <v>46015</v>
      </c>
      <c r="X95" s="819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16"/>
      <c r="J96" s="790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28"/>
      <c r="S96" s="629" t="s">
        <v>432</v>
      </c>
      <c r="T96" s="699">
        <v>46022</v>
      </c>
      <c r="U96" s="692">
        <v>32333.333333333332</v>
      </c>
      <c r="V96" s="799"/>
      <c r="W96" s="714">
        <v>46015</v>
      </c>
      <c r="X96" s="819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16"/>
      <c r="J97" s="790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28"/>
      <c r="S97" s="718" t="s">
        <v>381</v>
      </c>
      <c r="T97" s="719">
        <v>46022</v>
      </c>
      <c r="U97" s="692">
        <v>32333.333333333332</v>
      </c>
      <c r="V97" s="799"/>
      <c r="W97" s="534">
        <f>'Project Plan'!K41+7</f>
        <v>46052</v>
      </c>
      <c r="X97" s="819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16"/>
      <c r="J98" s="790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28"/>
      <c r="S98" s="718" t="s">
        <v>383</v>
      </c>
      <c r="T98" s="719">
        <v>46022</v>
      </c>
      <c r="U98" s="692">
        <v>16166.666666666666</v>
      </c>
      <c r="V98" s="799"/>
      <c r="W98" s="576">
        <f>'Project Plan'!K48+9</f>
        <v>46058</v>
      </c>
      <c r="X98" s="819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16"/>
      <c r="J99" s="790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29"/>
      <c r="S99" s="718" t="s">
        <v>385</v>
      </c>
      <c r="T99" s="719">
        <v>46022</v>
      </c>
      <c r="U99" s="692">
        <v>16166.666666666666</v>
      </c>
      <c r="V99" s="799"/>
      <c r="W99" s="576">
        <f>'Project Plan'!K48+60</f>
        <v>46109</v>
      </c>
      <c r="X99" s="819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16"/>
      <c r="J100" s="790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9"/>
      <c r="W100" s="576"/>
      <c r="X100" s="819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16"/>
      <c r="J101" s="790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9"/>
      <c r="W101" s="576"/>
      <c r="X101" s="819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17"/>
      <c r="J102" s="791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00"/>
      <c r="W102" s="577"/>
      <c r="X102" s="820"/>
      <c r="Y102" s="479"/>
    </row>
    <row r="103" spans="1:25" ht="14.4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92">
        <f>SUM(G104:G118)</f>
        <v>76945.466666666674</v>
      </c>
      <c r="J104" s="792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1">
        <f>J104-SUM(U104:U118)</f>
        <v>0</v>
      </c>
      <c r="W104" s="586"/>
      <c r="X104" s="806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93"/>
      <c r="J105" s="793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2"/>
      <c r="W105" s="587"/>
      <c r="X105" s="808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93"/>
      <c r="J106" s="793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2"/>
      <c r="W106" s="587"/>
      <c r="X106" s="808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93"/>
      <c r="J107" s="793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2"/>
      <c r="W107" s="587"/>
      <c r="X107" s="808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93"/>
      <c r="J108" s="793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4" t="s">
        <v>370</v>
      </c>
      <c r="S108" s="642" t="s">
        <v>371</v>
      </c>
      <c r="T108" s="698">
        <v>45961</v>
      </c>
      <c r="U108" s="711">
        <v>12824.244444444445</v>
      </c>
      <c r="V108" s="802"/>
      <c r="W108" s="548">
        <f>W92</f>
        <v>45939</v>
      </c>
      <c r="X108" s="808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93"/>
      <c r="J109" s="793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25"/>
      <c r="S109" s="647" t="s">
        <v>372</v>
      </c>
      <c r="T109" s="698">
        <f t="shared" ref="T109:T112" si="15">T93</f>
        <v>45961</v>
      </c>
      <c r="U109" s="711">
        <v>12824.244444444445</v>
      </c>
      <c r="V109" s="802"/>
      <c r="W109" s="548">
        <f t="shared" ref="W109:W115" si="16">W93</f>
        <v>45939</v>
      </c>
      <c r="X109" s="808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93"/>
      <c r="J110" s="793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25"/>
      <c r="S110" s="642" t="s">
        <v>375</v>
      </c>
      <c r="T110" s="698">
        <f t="shared" si="15"/>
        <v>45991</v>
      </c>
      <c r="U110" s="711">
        <v>17098.992592592593</v>
      </c>
      <c r="V110" s="802"/>
      <c r="W110" s="715">
        <f t="shared" si="16"/>
        <v>45999</v>
      </c>
      <c r="X110" s="808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93"/>
      <c r="J111" s="793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25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2"/>
      <c r="W111" s="715">
        <f t="shared" si="16"/>
        <v>46015</v>
      </c>
      <c r="X111" s="808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93"/>
      <c r="J112" s="793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25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2"/>
      <c r="W112" s="715">
        <f t="shared" si="16"/>
        <v>46015</v>
      </c>
      <c r="X112" s="808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93"/>
      <c r="J113" s="793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25"/>
      <c r="S113" s="720" t="s">
        <v>381</v>
      </c>
      <c r="T113" s="706">
        <v>46022</v>
      </c>
      <c r="U113" s="711">
        <v>8549.4962962962964</v>
      </c>
      <c r="V113" s="802"/>
      <c r="W113" s="548">
        <f t="shared" si="16"/>
        <v>46052</v>
      </c>
      <c r="X113" s="808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93"/>
      <c r="J114" s="793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25"/>
      <c r="S114" s="720" t="s">
        <v>383</v>
      </c>
      <c r="T114" s="706">
        <v>46022</v>
      </c>
      <c r="U114" s="711">
        <v>4274.7481481481482</v>
      </c>
      <c r="V114" s="802"/>
      <c r="W114" s="588">
        <f t="shared" si="16"/>
        <v>46058</v>
      </c>
      <c r="X114" s="808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93"/>
      <c r="J115" s="793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26"/>
      <c r="S115" s="720" t="s">
        <v>385</v>
      </c>
      <c r="T115" s="706">
        <v>46022</v>
      </c>
      <c r="U115" s="711">
        <v>4274.7481481481482</v>
      </c>
      <c r="V115" s="802"/>
      <c r="W115" s="588">
        <f t="shared" si="16"/>
        <v>46109</v>
      </c>
      <c r="X115" s="808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93"/>
      <c r="J116" s="793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2"/>
      <c r="W116" s="588"/>
      <c r="X116" s="808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93"/>
      <c r="J117" s="793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2"/>
      <c r="W117" s="588"/>
      <c r="X117" s="808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94"/>
      <c r="J118" s="794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3"/>
      <c r="W118" s="589"/>
      <c r="X118" s="807"/>
      <c r="Y118" s="479"/>
    </row>
    <row r="119" spans="1:25" ht="14.4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9">
        <f>SUM(G120:G124)</f>
        <v>109300</v>
      </c>
      <c r="J120" s="789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502">
        <f>(Q120/$X$120*$J$120)</f>
        <v>72043.314500941618</v>
      </c>
      <c r="V120" s="798">
        <f>J120-SUM(U120:U124)</f>
        <v>0</v>
      </c>
      <c r="W120" s="582">
        <f>T120+7</f>
        <v>46060</v>
      </c>
      <c r="X120" s="786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90"/>
      <c r="J121" s="790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99"/>
      <c r="W121" s="690">
        <f>T121</f>
        <v>45991</v>
      </c>
      <c r="X121" s="787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90"/>
      <c r="J122" s="790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9"/>
      <c r="W122" s="575"/>
      <c r="X122" s="787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90"/>
      <c r="J123" s="790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799"/>
      <c r="W123" s="576">
        <f>T123+30</f>
        <v>46111</v>
      </c>
      <c r="X123" s="787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91"/>
      <c r="J124" s="791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00"/>
      <c r="W124" s="577"/>
      <c r="X124" s="788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792">
        <f>SUM(G126:G127)</f>
        <v>13353.69</v>
      </c>
      <c r="J126" s="792">
        <v>0</v>
      </c>
      <c r="K126" s="804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6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794"/>
      <c r="J127" s="794"/>
      <c r="K127" s="805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7"/>
      <c r="Y127" s="479"/>
    </row>
    <row r="128" spans="1:25" ht="14.4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89">
        <f>SUM(G129:G133)</f>
        <v>31300.775778985513</v>
      </c>
      <c r="J129" s="789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798">
        <f>J129-SUM(U129:U134)</f>
        <v>0</v>
      </c>
      <c r="W129" s="582">
        <f>T129+31</f>
        <v>46112</v>
      </c>
      <c r="X129" s="786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90"/>
      <c r="J130" s="790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9"/>
      <c r="W130" s="575"/>
      <c r="X130" s="787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90"/>
      <c r="J131" s="790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9"/>
      <c r="W131" s="575"/>
      <c r="X131" s="787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90"/>
      <c r="J132" s="790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9"/>
      <c r="W132" s="575"/>
      <c r="X132" s="787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90"/>
      <c r="J133" s="790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9"/>
      <c r="W133" s="575"/>
      <c r="X133" s="787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91"/>
      <c r="J134" s="791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00"/>
      <c r="W134" s="577"/>
      <c r="X134" s="788"/>
      <c r="Y134" s="479"/>
    </row>
    <row r="135" spans="1:25" ht="14.4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792">
        <f>SUM(G136:G147)</f>
        <v>6300</v>
      </c>
      <c r="J136" s="792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801">
        <f>J136-SUM(U136:U147)</f>
        <v>5.8632268701330759E-4</v>
      </c>
      <c r="W136" s="689">
        <v>45940</v>
      </c>
      <c r="X136" s="795">
        <f>SUM(Q136:Q147)</f>
        <v>1159.68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3"/>
      <c r="J137" s="793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802"/>
      <c r="W137" s="689">
        <v>45967</v>
      </c>
      <c r="X137" s="796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3"/>
      <c r="J138" s="793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802"/>
      <c r="W138" s="689">
        <v>45996</v>
      </c>
      <c r="X138" s="796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93"/>
      <c r="J139" s="793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802"/>
      <c r="W139" s="689">
        <v>46030</v>
      </c>
      <c r="X139" s="796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93"/>
      <c r="J140" s="793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500</v>
      </c>
      <c r="R140" s="606"/>
      <c r="S140" s="640"/>
      <c r="T140" s="530">
        <v>46053</v>
      </c>
      <c r="U140" s="514">
        <f>(Q140/$X$136*$J$136)</f>
        <v>3018.0739514348784</v>
      </c>
      <c r="V140" s="802"/>
      <c r="W140" s="588">
        <v>46058</v>
      </c>
      <c r="X140" s="796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93"/>
      <c r="J141" s="793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3018.0739514348784</v>
      </c>
      <c r="V141" s="802"/>
      <c r="W141" s="588">
        <v>46086</v>
      </c>
      <c r="X141" s="796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93"/>
      <c r="J142" s="793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/>
      <c r="R142" s="606"/>
      <c r="S142" s="640"/>
      <c r="T142" s="530" t="str">
        <f t="shared" ref="T142:T147" si="18">IF(W142&gt;1,EOMONTH(W142,0),"")</f>
        <v/>
      </c>
      <c r="U142" s="514">
        <f t="shared" ref="U142:U147" si="19">(Q142/$X$136*$J$136)</f>
        <v>0</v>
      </c>
      <c r="V142" s="802"/>
      <c r="W142" s="588"/>
      <c r="X142" s="796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93"/>
      <c r="J143" s="793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si="18"/>
        <v/>
      </c>
      <c r="U143" s="514">
        <f t="shared" si="19"/>
        <v>0</v>
      </c>
      <c r="V143" s="802"/>
      <c r="W143" s="588"/>
      <c r="X143" s="796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93"/>
      <c r="J144" s="793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8"/>
        <v/>
      </c>
      <c r="U144" s="514">
        <f t="shared" si="19"/>
        <v>0</v>
      </c>
      <c r="V144" s="802"/>
      <c r="W144" s="588"/>
      <c r="X144" s="796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93"/>
      <c r="J145" s="793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8"/>
        <v/>
      </c>
      <c r="U145" s="514">
        <f t="shared" si="19"/>
        <v>0</v>
      </c>
      <c r="V145" s="802"/>
      <c r="W145" s="588"/>
      <c r="X145" s="796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93"/>
      <c r="J146" s="793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8"/>
        <v/>
      </c>
      <c r="U146" s="514">
        <f t="shared" si="19"/>
        <v>0</v>
      </c>
      <c r="V146" s="802"/>
      <c r="W146" s="588"/>
      <c r="X146" s="796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94"/>
      <c r="J147" s="794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8"/>
        <v/>
      </c>
      <c r="U147" s="515">
        <f t="shared" si="19"/>
        <v>0</v>
      </c>
      <c r="V147" s="803"/>
      <c r="W147" s="589"/>
      <c r="X147" s="797"/>
      <c r="Y147" s="479"/>
    </row>
    <row r="148" spans="1:25" ht="14.4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89">
        <f>SUM(G149:G162)</f>
        <v>0</v>
      </c>
      <c r="J149" s="789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8">
        <v>0</v>
      </c>
      <c r="W149" s="582"/>
      <c r="X149" s="786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90"/>
      <c r="J150" s="790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799"/>
      <c r="W150" s="575"/>
      <c r="X150" s="787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90"/>
      <c r="J151" s="790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9"/>
      <c r="W151" s="575"/>
      <c r="X151" s="787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90"/>
      <c r="J152" s="790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9"/>
      <c r="W152" s="575"/>
      <c r="X152" s="787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90"/>
      <c r="J153" s="790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9"/>
      <c r="W153" s="575"/>
      <c r="X153" s="787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90"/>
      <c r="J154" s="790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9"/>
      <c r="W154" s="575"/>
      <c r="X154" s="787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90"/>
      <c r="J155" s="790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9"/>
      <c r="W155" s="575"/>
      <c r="X155" s="787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90"/>
      <c r="J156" s="790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9"/>
      <c r="W156" s="575"/>
      <c r="X156" s="787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90"/>
      <c r="J157" s="790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9"/>
      <c r="W157" s="575"/>
      <c r="X157" s="787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90"/>
      <c r="J158" s="790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9"/>
      <c r="W158" s="575"/>
      <c r="X158" s="787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90"/>
      <c r="J159" s="790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9"/>
      <c r="W159" s="575"/>
      <c r="X159" s="787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90"/>
      <c r="J160" s="790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9"/>
      <c r="W160" s="576"/>
      <c r="X160" s="787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90"/>
      <c r="J161" s="790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9"/>
      <c r="W161" s="576"/>
      <c r="X161" s="787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91"/>
      <c r="J162" s="791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00"/>
      <c r="W162" s="577"/>
      <c r="X162" s="788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2217962.171875</v>
      </c>
      <c r="D11" s="212">
        <f>SUM(F11:AZG11)</f>
        <v>2217962.171875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43174.546000000002</v>
      </c>
      <c r="AK11" s="213">
        <f>SUMIFS('Expenditure Breakdown'!$Q$6:$Q$170, 'Expenditure Breakdown'!$W$6:$W$170, "&gt;="&amp;AK1,'Expenditure Breakdown'!$W$6:$W$170, "&lt;"&amp;AL1)</f>
        <v>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2136489.9939999999</v>
      </c>
      <c r="AK12" s="213">
        <f t="shared" si="111"/>
        <v>2136489.9939999999</v>
      </c>
      <c r="AL12" s="213">
        <f t="shared" si="111"/>
        <v>2136489.9939999999</v>
      </c>
      <c r="AM12" s="213">
        <f t="shared" si="111"/>
        <v>2136489.9939999999</v>
      </c>
      <c r="AN12" s="213">
        <f t="shared" si="111"/>
        <v>2136989.9939999999</v>
      </c>
      <c r="AO12" s="213">
        <f t="shared" si="111"/>
        <v>2136989.9939999999</v>
      </c>
      <c r="AP12" s="213">
        <f t="shared" si="111"/>
        <v>2136989.9939999999</v>
      </c>
      <c r="AQ12" s="213">
        <f t="shared" si="111"/>
        <v>2170914.54</v>
      </c>
      <c r="AR12" s="213">
        <f t="shared" si="111"/>
        <v>2217962.171875</v>
      </c>
      <c r="AS12" s="213">
        <f t="shared" si="111"/>
        <v>2217962.171875</v>
      </c>
      <c r="AT12" s="213">
        <f t="shared" si="111"/>
        <v>2217962.171875</v>
      </c>
      <c r="AU12" s="213">
        <f t="shared" si="111"/>
        <v>2217962.171875</v>
      </c>
      <c r="AV12" s="213">
        <f t="shared" si="111"/>
        <v>2217962.171875</v>
      </c>
      <c r="AW12" s="213">
        <f t="shared" si="111"/>
        <v>2217962.171875</v>
      </c>
      <c r="AX12" s="213">
        <f t="shared" si="111"/>
        <v>2217962.171875</v>
      </c>
      <c r="AY12" s="213">
        <f t="shared" si="111"/>
        <v>2217962.171875</v>
      </c>
      <c r="AZ12" s="213">
        <f t="shared" si="111"/>
        <v>2217962.171875</v>
      </c>
      <c r="BA12" s="213">
        <f t="shared" si="111"/>
        <v>2217962.171875</v>
      </c>
      <c r="BB12" s="213">
        <f t="shared" si="111"/>
        <v>2217962.171875</v>
      </c>
      <c r="BC12" s="213">
        <f t="shared" si="111"/>
        <v>2217962.171875</v>
      </c>
      <c r="BD12" s="213">
        <f t="shared" si="111"/>
        <v>2217962.171875</v>
      </c>
      <c r="BE12" s="213">
        <f t="shared" si="111"/>
        <v>2217962.171875</v>
      </c>
      <c r="BF12" s="213">
        <f t="shared" si="111"/>
        <v>2217962.171875</v>
      </c>
      <c r="BG12" s="213">
        <f t="shared" si="111"/>
        <v>2217962.171875</v>
      </c>
      <c r="BH12" s="213">
        <f t="shared" si="111"/>
        <v>2217962.171875</v>
      </c>
      <c r="BI12" s="213">
        <f t="shared" si="111"/>
        <v>2217962.171875</v>
      </c>
      <c r="BJ12" s="213">
        <f t="shared" si="111"/>
        <v>2217962.171875</v>
      </c>
      <c r="BK12" s="213">
        <f t="shared" si="111"/>
        <v>2217962.171875</v>
      </c>
      <c r="BL12" s="213">
        <f t="shared" si="111"/>
        <v>2217962.171875</v>
      </c>
      <c r="BM12" s="213">
        <f t="shared" si="111"/>
        <v>2217962.171875</v>
      </c>
      <c r="BN12" s="213">
        <f t="shared" si="111"/>
        <v>2217962.171875</v>
      </c>
      <c r="BO12" s="213">
        <f t="shared" si="111"/>
        <v>2217962.171875</v>
      </c>
      <c r="BP12" s="213">
        <f t="shared" si="111"/>
        <v>2217962.171875</v>
      </c>
      <c r="BQ12" s="213">
        <f t="shared" si="111"/>
        <v>2217962.171875</v>
      </c>
      <c r="BR12" s="213">
        <f t="shared" si="111"/>
        <v>2217962.171875</v>
      </c>
      <c r="BS12" s="213">
        <f t="shared" si="111"/>
        <v>2217962.171875</v>
      </c>
      <c r="BT12" s="213">
        <f t="shared" si="111"/>
        <v>2217962.171875</v>
      </c>
      <c r="BU12" s="213">
        <f t="shared" ref="BU12:EF12" si="112">BT12+BU11</f>
        <v>2217962.171875</v>
      </c>
      <c r="BV12" s="213">
        <f t="shared" si="112"/>
        <v>2217962.171875</v>
      </c>
      <c r="BW12" s="213">
        <f t="shared" si="112"/>
        <v>2217962.171875</v>
      </c>
      <c r="BX12" s="213">
        <f t="shared" si="112"/>
        <v>2217962.171875</v>
      </c>
      <c r="BY12" s="213">
        <f t="shared" si="112"/>
        <v>2217962.171875</v>
      </c>
      <c r="BZ12" s="213">
        <f t="shared" si="112"/>
        <v>2217962.171875</v>
      </c>
      <c r="CA12" s="213">
        <f t="shared" si="112"/>
        <v>2217962.171875</v>
      </c>
      <c r="CB12" s="213">
        <f t="shared" si="112"/>
        <v>2217962.171875</v>
      </c>
      <c r="CC12" s="213">
        <f t="shared" si="112"/>
        <v>2217962.171875</v>
      </c>
      <c r="CD12" s="213">
        <f t="shared" si="112"/>
        <v>2217962.171875</v>
      </c>
      <c r="CE12" s="213">
        <f t="shared" si="112"/>
        <v>2217962.171875</v>
      </c>
      <c r="CF12" s="213">
        <f t="shared" si="112"/>
        <v>2217962.171875</v>
      </c>
      <c r="CG12" s="213">
        <f t="shared" si="112"/>
        <v>2217962.171875</v>
      </c>
      <c r="CH12" s="213">
        <f t="shared" si="112"/>
        <v>2217962.171875</v>
      </c>
      <c r="CI12" s="213">
        <f t="shared" si="112"/>
        <v>2217962.171875</v>
      </c>
      <c r="CJ12" s="213">
        <f t="shared" si="112"/>
        <v>2217962.171875</v>
      </c>
      <c r="CK12" s="213">
        <f t="shared" si="112"/>
        <v>2217962.171875</v>
      </c>
      <c r="CL12" s="213">
        <f t="shared" si="112"/>
        <v>2217962.171875</v>
      </c>
      <c r="CM12" s="213">
        <f t="shared" si="112"/>
        <v>2217962.171875</v>
      </c>
      <c r="CN12" s="213">
        <f t="shared" si="112"/>
        <v>2217962.171875</v>
      </c>
      <c r="CO12" s="213">
        <f t="shared" si="112"/>
        <v>2217962.171875</v>
      </c>
      <c r="CP12" s="213">
        <f t="shared" si="112"/>
        <v>2217962.171875</v>
      </c>
      <c r="CQ12" s="213">
        <f t="shared" si="112"/>
        <v>2217962.171875</v>
      </c>
      <c r="CR12" s="213">
        <f t="shared" si="112"/>
        <v>2217962.171875</v>
      </c>
      <c r="CS12" s="213">
        <f t="shared" si="112"/>
        <v>2217962.171875</v>
      </c>
      <c r="CT12" s="213">
        <f t="shared" si="112"/>
        <v>2217962.171875</v>
      </c>
      <c r="CU12" s="213">
        <f t="shared" si="112"/>
        <v>2217962.171875</v>
      </c>
      <c r="CV12" s="213">
        <f t="shared" si="112"/>
        <v>2217962.171875</v>
      </c>
      <c r="CW12" s="213">
        <f t="shared" si="112"/>
        <v>2217962.171875</v>
      </c>
      <c r="CX12" s="213">
        <f t="shared" si="112"/>
        <v>2217962.171875</v>
      </c>
      <c r="CY12" s="213">
        <f t="shared" si="112"/>
        <v>2217962.171875</v>
      </c>
      <c r="CZ12" s="213">
        <f t="shared" si="112"/>
        <v>2217962.171875</v>
      </c>
      <c r="DA12" s="213">
        <f t="shared" si="112"/>
        <v>2217962.171875</v>
      </c>
      <c r="DB12" s="213">
        <f t="shared" si="112"/>
        <v>2217962.171875</v>
      </c>
      <c r="DC12" s="213">
        <f t="shared" si="112"/>
        <v>2217962.171875</v>
      </c>
      <c r="DD12" s="213">
        <f t="shared" si="112"/>
        <v>2217962.171875</v>
      </c>
      <c r="DE12" s="213">
        <f t="shared" si="112"/>
        <v>2217962.171875</v>
      </c>
      <c r="DF12" s="213">
        <f t="shared" si="112"/>
        <v>2217962.171875</v>
      </c>
      <c r="DG12" s="213">
        <f t="shared" si="112"/>
        <v>2217962.171875</v>
      </c>
      <c r="DH12" s="213">
        <f t="shared" si="112"/>
        <v>2217962.171875</v>
      </c>
      <c r="DI12" s="213">
        <f t="shared" si="112"/>
        <v>2217962.171875</v>
      </c>
      <c r="DJ12" s="213">
        <f t="shared" si="112"/>
        <v>2217962.171875</v>
      </c>
      <c r="DK12" s="213">
        <f t="shared" si="112"/>
        <v>2217962.171875</v>
      </c>
      <c r="DL12" s="213">
        <f t="shared" si="112"/>
        <v>2217962.171875</v>
      </c>
      <c r="DM12" s="213">
        <f t="shared" si="112"/>
        <v>2217962.171875</v>
      </c>
      <c r="DN12" s="213">
        <f t="shared" si="112"/>
        <v>2217962.171875</v>
      </c>
      <c r="DO12" s="213">
        <f t="shared" si="112"/>
        <v>2217962.171875</v>
      </c>
      <c r="DP12" s="213">
        <f t="shared" si="112"/>
        <v>2217962.171875</v>
      </c>
      <c r="DQ12" s="213">
        <f t="shared" si="112"/>
        <v>2217962.171875</v>
      </c>
      <c r="DR12" s="213">
        <f t="shared" si="112"/>
        <v>2217962.171875</v>
      </c>
      <c r="DS12" s="213">
        <f t="shared" si="112"/>
        <v>2217962.171875</v>
      </c>
      <c r="DT12" s="213">
        <f t="shared" si="112"/>
        <v>2217962.171875</v>
      </c>
      <c r="DU12" s="213">
        <f t="shared" si="112"/>
        <v>2217962.171875</v>
      </c>
      <c r="DV12" s="213">
        <f t="shared" si="112"/>
        <v>2217962.171875</v>
      </c>
      <c r="DW12" s="213">
        <f t="shared" si="112"/>
        <v>2217962.171875</v>
      </c>
      <c r="DX12" s="213">
        <f t="shared" si="112"/>
        <v>2217962.171875</v>
      </c>
      <c r="DY12" s="213">
        <f t="shared" si="112"/>
        <v>2217962.171875</v>
      </c>
      <c r="DZ12" s="213">
        <f t="shared" si="112"/>
        <v>2217962.171875</v>
      </c>
      <c r="EA12" s="213">
        <f t="shared" si="112"/>
        <v>2217962.171875</v>
      </c>
      <c r="EB12" s="213">
        <f t="shared" si="112"/>
        <v>2217962.171875</v>
      </c>
      <c r="EC12" s="213">
        <f t="shared" si="112"/>
        <v>2217962.171875</v>
      </c>
      <c r="ED12" s="213">
        <f t="shared" si="112"/>
        <v>2217962.171875</v>
      </c>
      <c r="EE12" s="213">
        <f t="shared" si="112"/>
        <v>2217962.171875</v>
      </c>
      <c r="EF12" s="213">
        <f t="shared" si="112"/>
        <v>2217962.171875</v>
      </c>
      <c r="EG12" s="213">
        <f t="shared" ref="EG12:GR12" si="113">EF12+EG11</f>
        <v>2217962.171875</v>
      </c>
      <c r="EH12" s="213">
        <f t="shared" si="113"/>
        <v>2217962.171875</v>
      </c>
      <c r="EI12" s="213">
        <f t="shared" si="113"/>
        <v>2217962.171875</v>
      </c>
      <c r="EJ12" s="213">
        <f t="shared" si="113"/>
        <v>2217962.171875</v>
      </c>
      <c r="EK12" s="213">
        <f t="shared" si="113"/>
        <v>2217962.171875</v>
      </c>
      <c r="EL12" s="213">
        <f t="shared" si="113"/>
        <v>2217962.171875</v>
      </c>
      <c r="EM12" s="213">
        <f t="shared" si="113"/>
        <v>2217962.171875</v>
      </c>
      <c r="EN12" s="213">
        <f t="shared" si="113"/>
        <v>2217962.171875</v>
      </c>
      <c r="EO12" s="213">
        <f t="shared" si="113"/>
        <v>2217962.171875</v>
      </c>
      <c r="EP12" s="213">
        <f t="shared" si="113"/>
        <v>2217962.171875</v>
      </c>
      <c r="EQ12" s="213">
        <f t="shared" si="113"/>
        <v>2217962.171875</v>
      </c>
      <c r="ER12" s="213">
        <f t="shared" si="113"/>
        <v>2217962.171875</v>
      </c>
      <c r="ES12" s="213">
        <f t="shared" si="113"/>
        <v>2217962.171875</v>
      </c>
      <c r="ET12" s="213">
        <f t="shared" si="113"/>
        <v>2217962.171875</v>
      </c>
      <c r="EU12" s="213">
        <f t="shared" si="113"/>
        <v>2217962.171875</v>
      </c>
      <c r="EV12" s="213">
        <f t="shared" si="113"/>
        <v>2217962.171875</v>
      </c>
      <c r="EW12" s="213">
        <f t="shared" si="113"/>
        <v>2217962.171875</v>
      </c>
      <c r="EX12" s="213">
        <f t="shared" si="113"/>
        <v>2217962.171875</v>
      </c>
      <c r="EY12" s="213">
        <f t="shared" si="113"/>
        <v>2217962.171875</v>
      </c>
      <c r="EZ12" s="213">
        <f t="shared" si="113"/>
        <v>2217962.171875</v>
      </c>
      <c r="FA12" s="213">
        <f t="shared" si="113"/>
        <v>2217962.171875</v>
      </c>
      <c r="FB12" s="213">
        <f t="shared" si="113"/>
        <v>2217962.171875</v>
      </c>
      <c r="FC12" s="213">
        <f t="shared" si="113"/>
        <v>2217962.171875</v>
      </c>
      <c r="FD12" s="213">
        <f t="shared" si="113"/>
        <v>2217962.171875</v>
      </c>
      <c r="FE12" s="213">
        <f t="shared" si="113"/>
        <v>2217962.171875</v>
      </c>
      <c r="FF12" s="213">
        <f t="shared" si="113"/>
        <v>2217962.171875</v>
      </c>
      <c r="FG12" s="213">
        <f t="shared" si="113"/>
        <v>2217962.171875</v>
      </c>
      <c r="FH12" s="213">
        <f t="shared" si="113"/>
        <v>2217962.171875</v>
      </c>
      <c r="FI12" s="213">
        <f t="shared" si="113"/>
        <v>2217962.171875</v>
      </c>
      <c r="FJ12" s="213">
        <f t="shared" si="113"/>
        <v>2217962.171875</v>
      </c>
      <c r="FK12" s="213">
        <f t="shared" si="113"/>
        <v>2217962.171875</v>
      </c>
      <c r="FL12" s="213">
        <f t="shared" si="113"/>
        <v>2217962.171875</v>
      </c>
      <c r="FM12" s="213">
        <f t="shared" si="113"/>
        <v>2217962.171875</v>
      </c>
      <c r="FN12" s="213">
        <f t="shared" si="113"/>
        <v>2217962.171875</v>
      </c>
      <c r="FO12" s="213">
        <f t="shared" si="113"/>
        <v>2217962.171875</v>
      </c>
      <c r="FP12" s="213">
        <f t="shared" si="113"/>
        <v>2217962.171875</v>
      </c>
      <c r="FQ12" s="213">
        <f t="shared" si="113"/>
        <v>2217962.171875</v>
      </c>
      <c r="FR12" s="213">
        <f t="shared" si="113"/>
        <v>2217962.171875</v>
      </c>
      <c r="FS12" s="213">
        <f t="shared" si="113"/>
        <v>2217962.171875</v>
      </c>
      <c r="FT12" s="213">
        <f t="shared" si="113"/>
        <v>2217962.171875</v>
      </c>
      <c r="FU12" s="213">
        <f t="shared" si="113"/>
        <v>2217962.171875</v>
      </c>
      <c r="FV12" s="213">
        <f t="shared" si="113"/>
        <v>2217962.171875</v>
      </c>
      <c r="FW12" s="213">
        <f t="shared" si="113"/>
        <v>2217962.171875</v>
      </c>
      <c r="FX12" s="213">
        <f t="shared" si="113"/>
        <v>2217962.171875</v>
      </c>
      <c r="FY12" s="213">
        <f t="shared" si="113"/>
        <v>2217962.171875</v>
      </c>
      <c r="FZ12" s="213">
        <f t="shared" si="113"/>
        <v>2217962.171875</v>
      </c>
      <c r="GA12" s="213">
        <f t="shared" si="113"/>
        <v>2217962.171875</v>
      </c>
      <c r="GB12" s="213">
        <f t="shared" si="113"/>
        <v>2217962.171875</v>
      </c>
      <c r="GC12" s="213">
        <f t="shared" si="113"/>
        <v>2217962.171875</v>
      </c>
      <c r="GD12" s="213">
        <f t="shared" si="113"/>
        <v>2217962.171875</v>
      </c>
      <c r="GE12" s="213">
        <f t="shared" si="113"/>
        <v>2217962.171875</v>
      </c>
      <c r="GF12" s="213">
        <f t="shared" si="113"/>
        <v>2217962.171875</v>
      </c>
      <c r="GG12" s="213">
        <f t="shared" si="113"/>
        <v>2217962.171875</v>
      </c>
      <c r="GH12" s="213">
        <f t="shared" si="113"/>
        <v>2217962.171875</v>
      </c>
      <c r="GI12" s="213">
        <f t="shared" si="113"/>
        <v>2217962.171875</v>
      </c>
      <c r="GJ12" s="213">
        <f t="shared" si="113"/>
        <v>2217962.171875</v>
      </c>
      <c r="GK12" s="213">
        <f t="shared" si="113"/>
        <v>2217962.171875</v>
      </c>
      <c r="GL12" s="213">
        <f t="shared" si="113"/>
        <v>2217962.171875</v>
      </c>
      <c r="GM12" s="213">
        <f t="shared" si="113"/>
        <v>2217962.171875</v>
      </c>
      <c r="GN12" s="213">
        <f t="shared" si="113"/>
        <v>2217962.171875</v>
      </c>
      <c r="GO12" s="213">
        <f t="shared" si="113"/>
        <v>2217962.171875</v>
      </c>
      <c r="GP12" s="213">
        <f t="shared" si="113"/>
        <v>2217962.171875</v>
      </c>
      <c r="GQ12" s="213">
        <f t="shared" si="113"/>
        <v>2217962.171875</v>
      </c>
      <c r="GR12" s="213">
        <f t="shared" si="113"/>
        <v>2217962.171875</v>
      </c>
      <c r="GS12" s="213">
        <f t="shared" ref="GS12:JD12" si="114">GR12+GS11</f>
        <v>2217962.171875</v>
      </c>
      <c r="GT12" s="213">
        <f t="shared" si="114"/>
        <v>2217962.171875</v>
      </c>
      <c r="GU12" s="213">
        <f t="shared" si="114"/>
        <v>2217962.171875</v>
      </c>
      <c r="GV12" s="213">
        <f t="shared" si="114"/>
        <v>2217962.171875</v>
      </c>
      <c r="GW12" s="213">
        <f t="shared" si="114"/>
        <v>2217962.171875</v>
      </c>
      <c r="GX12" s="213">
        <f t="shared" si="114"/>
        <v>2217962.171875</v>
      </c>
      <c r="GY12" s="213">
        <f t="shared" si="114"/>
        <v>2217962.171875</v>
      </c>
      <c r="GZ12" s="213">
        <f t="shared" si="114"/>
        <v>2217962.171875</v>
      </c>
      <c r="HA12" s="213">
        <f t="shared" si="114"/>
        <v>2217962.171875</v>
      </c>
      <c r="HB12" s="213">
        <f t="shared" si="114"/>
        <v>2217962.171875</v>
      </c>
      <c r="HC12" s="213">
        <f t="shared" si="114"/>
        <v>2217962.171875</v>
      </c>
      <c r="HD12" s="213">
        <f t="shared" si="114"/>
        <v>2217962.171875</v>
      </c>
      <c r="HE12" s="213">
        <f t="shared" si="114"/>
        <v>2217962.171875</v>
      </c>
      <c r="HF12" s="213">
        <f t="shared" si="114"/>
        <v>2217962.171875</v>
      </c>
      <c r="HG12" s="213">
        <f t="shared" si="114"/>
        <v>2217962.171875</v>
      </c>
      <c r="HH12" s="213">
        <f t="shared" si="114"/>
        <v>2217962.171875</v>
      </c>
      <c r="HI12" s="213">
        <f t="shared" si="114"/>
        <v>2217962.171875</v>
      </c>
      <c r="HJ12" s="213">
        <f t="shared" si="114"/>
        <v>2217962.171875</v>
      </c>
      <c r="HK12" s="213">
        <f t="shared" si="114"/>
        <v>2217962.171875</v>
      </c>
      <c r="HL12" s="213">
        <f t="shared" si="114"/>
        <v>2217962.171875</v>
      </c>
      <c r="HM12" s="213">
        <f t="shared" si="114"/>
        <v>2217962.171875</v>
      </c>
      <c r="HN12" s="213">
        <f t="shared" si="114"/>
        <v>2217962.171875</v>
      </c>
      <c r="HO12" s="213">
        <f t="shared" si="114"/>
        <v>2217962.171875</v>
      </c>
      <c r="HP12" s="213">
        <f t="shared" si="114"/>
        <v>2217962.171875</v>
      </c>
      <c r="HQ12" s="213">
        <f t="shared" si="114"/>
        <v>2217962.171875</v>
      </c>
      <c r="HR12" s="213">
        <f t="shared" si="114"/>
        <v>2217962.171875</v>
      </c>
      <c r="HS12" s="213">
        <f t="shared" si="114"/>
        <v>2217962.171875</v>
      </c>
      <c r="HT12" s="213">
        <f t="shared" si="114"/>
        <v>2217962.171875</v>
      </c>
      <c r="HU12" s="213">
        <f t="shared" si="114"/>
        <v>2217962.171875</v>
      </c>
      <c r="HV12" s="213">
        <f t="shared" si="114"/>
        <v>2217962.171875</v>
      </c>
      <c r="HW12" s="213">
        <f t="shared" si="114"/>
        <v>2217962.171875</v>
      </c>
      <c r="HX12" s="213">
        <f t="shared" si="114"/>
        <v>2217962.171875</v>
      </c>
      <c r="HY12" s="213">
        <f t="shared" si="114"/>
        <v>2217962.171875</v>
      </c>
      <c r="HZ12" s="213">
        <f t="shared" si="114"/>
        <v>2217962.171875</v>
      </c>
      <c r="IA12" s="213">
        <f t="shared" si="114"/>
        <v>2217962.171875</v>
      </c>
      <c r="IB12" s="213">
        <f t="shared" si="114"/>
        <v>2217962.171875</v>
      </c>
      <c r="IC12" s="213">
        <f t="shared" si="114"/>
        <v>2217962.171875</v>
      </c>
      <c r="ID12" s="213">
        <f t="shared" si="114"/>
        <v>2217962.171875</v>
      </c>
      <c r="IE12" s="213">
        <f t="shared" si="114"/>
        <v>2217962.171875</v>
      </c>
      <c r="IF12" s="213">
        <f t="shared" si="114"/>
        <v>2217962.171875</v>
      </c>
      <c r="IG12" s="213">
        <f t="shared" si="114"/>
        <v>2217962.171875</v>
      </c>
      <c r="IH12" s="213">
        <f t="shared" si="114"/>
        <v>2217962.171875</v>
      </c>
      <c r="II12" s="213">
        <f t="shared" si="114"/>
        <v>2217962.171875</v>
      </c>
      <c r="IJ12" s="213">
        <f t="shared" si="114"/>
        <v>2217962.171875</v>
      </c>
      <c r="IK12" s="213">
        <f t="shared" si="114"/>
        <v>2217962.171875</v>
      </c>
      <c r="IL12" s="213">
        <f t="shared" si="114"/>
        <v>2217962.171875</v>
      </c>
      <c r="IM12" s="213">
        <f t="shared" si="114"/>
        <v>2217962.171875</v>
      </c>
      <c r="IN12" s="213">
        <f t="shared" si="114"/>
        <v>2217962.171875</v>
      </c>
      <c r="IO12" s="213">
        <f t="shared" si="114"/>
        <v>2217962.171875</v>
      </c>
      <c r="IP12" s="213">
        <f t="shared" si="114"/>
        <v>2217962.171875</v>
      </c>
      <c r="IQ12" s="213">
        <f t="shared" si="114"/>
        <v>2217962.171875</v>
      </c>
      <c r="IR12" s="213">
        <f t="shared" si="114"/>
        <v>2217962.171875</v>
      </c>
      <c r="IS12" s="213">
        <f t="shared" si="114"/>
        <v>2217962.171875</v>
      </c>
      <c r="IT12" s="213">
        <f t="shared" si="114"/>
        <v>2217962.171875</v>
      </c>
      <c r="IU12" s="213">
        <f t="shared" si="114"/>
        <v>2217962.171875</v>
      </c>
      <c r="IV12" s="213">
        <f t="shared" si="114"/>
        <v>2217962.171875</v>
      </c>
      <c r="IW12" s="213">
        <f t="shared" si="114"/>
        <v>2217962.171875</v>
      </c>
      <c r="IX12" s="213">
        <f t="shared" si="114"/>
        <v>2217962.171875</v>
      </c>
      <c r="IY12" s="213">
        <f t="shared" si="114"/>
        <v>2217962.171875</v>
      </c>
      <c r="IZ12" s="213">
        <f t="shared" si="114"/>
        <v>2217962.171875</v>
      </c>
      <c r="JA12" s="213">
        <f t="shared" si="114"/>
        <v>2217962.171875</v>
      </c>
      <c r="JB12" s="213">
        <f t="shared" si="114"/>
        <v>2217962.171875</v>
      </c>
      <c r="JC12" s="213">
        <f t="shared" si="114"/>
        <v>2217962.171875</v>
      </c>
      <c r="JD12" s="213">
        <f t="shared" si="114"/>
        <v>2217962.171875</v>
      </c>
      <c r="JE12" s="213">
        <f t="shared" ref="JE12:LP12" si="115">JD12+JE11</f>
        <v>2217962.171875</v>
      </c>
      <c r="JF12" s="213">
        <f t="shared" si="115"/>
        <v>2217962.171875</v>
      </c>
      <c r="JG12" s="213">
        <f t="shared" si="115"/>
        <v>2217962.171875</v>
      </c>
      <c r="JH12" s="213">
        <f t="shared" si="115"/>
        <v>2217962.171875</v>
      </c>
      <c r="JI12" s="213">
        <f t="shared" si="115"/>
        <v>2217962.171875</v>
      </c>
      <c r="JJ12" s="213">
        <f t="shared" si="115"/>
        <v>2217962.171875</v>
      </c>
      <c r="JK12" s="213">
        <f t="shared" si="115"/>
        <v>2217962.171875</v>
      </c>
      <c r="JL12" s="213">
        <f t="shared" si="115"/>
        <v>2217962.171875</v>
      </c>
      <c r="JM12" s="213">
        <f t="shared" si="115"/>
        <v>2217962.171875</v>
      </c>
      <c r="JN12" s="213">
        <f t="shared" si="115"/>
        <v>2217962.171875</v>
      </c>
      <c r="JO12" s="213">
        <f t="shared" si="115"/>
        <v>2217962.171875</v>
      </c>
      <c r="JP12" s="213">
        <f t="shared" si="115"/>
        <v>2217962.171875</v>
      </c>
      <c r="JQ12" s="213">
        <f t="shared" si="115"/>
        <v>2217962.171875</v>
      </c>
      <c r="JR12" s="213">
        <f t="shared" si="115"/>
        <v>2217962.171875</v>
      </c>
      <c r="JS12" s="213">
        <f t="shared" si="115"/>
        <v>2217962.171875</v>
      </c>
      <c r="JT12" s="213">
        <f t="shared" si="115"/>
        <v>2217962.171875</v>
      </c>
      <c r="JU12" s="213">
        <f t="shared" si="115"/>
        <v>2217962.171875</v>
      </c>
      <c r="JV12" s="213">
        <f t="shared" si="115"/>
        <v>2217962.171875</v>
      </c>
      <c r="JW12" s="213">
        <f t="shared" si="115"/>
        <v>2217962.171875</v>
      </c>
      <c r="JX12" s="213">
        <f t="shared" si="115"/>
        <v>2217962.171875</v>
      </c>
      <c r="JY12" s="213">
        <f t="shared" si="115"/>
        <v>2217962.171875</v>
      </c>
      <c r="JZ12" s="213">
        <f t="shared" si="115"/>
        <v>2217962.171875</v>
      </c>
      <c r="KA12" s="213">
        <f t="shared" si="115"/>
        <v>2217962.171875</v>
      </c>
      <c r="KB12" s="213">
        <f t="shared" si="115"/>
        <v>2217962.171875</v>
      </c>
      <c r="KC12" s="213">
        <f t="shared" si="115"/>
        <v>2217962.171875</v>
      </c>
      <c r="KD12" s="213">
        <f t="shared" si="115"/>
        <v>2217962.171875</v>
      </c>
      <c r="KE12" s="213">
        <f t="shared" si="115"/>
        <v>2217962.171875</v>
      </c>
      <c r="KF12" s="213">
        <f t="shared" si="115"/>
        <v>2217962.171875</v>
      </c>
      <c r="KG12" s="213">
        <f t="shared" si="115"/>
        <v>2217962.171875</v>
      </c>
      <c r="KH12" s="213">
        <f t="shared" si="115"/>
        <v>2217962.171875</v>
      </c>
      <c r="KI12" s="213">
        <f t="shared" si="115"/>
        <v>2217962.171875</v>
      </c>
      <c r="KJ12" s="213">
        <f t="shared" si="115"/>
        <v>2217962.171875</v>
      </c>
      <c r="KK12" s="213">
        <f t="shared" si="115"/>
        <v>2217962.171875</v>
      </c>
      <c r="KL12" s="213">
        <f t="shared" si="115"/>
        <v>2217962.171875</v>
      </c>
      <c r="KM12" s="213">
        <f t="shared" si="115"/>
        <v>2217962.171875</v>
      </c>
      <c r="KN12" s="213">
        <f t="shared" si="115"/>
        <v>2217962.171875</v>
      </c>
      <c r="KO12" s="213">
        <f t="shared" si="115"/>
        <v>2217962.171875</v>
      </c>
      <c r="KP12" s="213">
        <f t="shared" si="115"/>
        <v>2217962.171875</v>
      </c>
      <c r="KQ12" s="213">
        <f t="shared" si="115"/>
        <v>2217962.171875</v>
      </c>
      <c r="KR12" s="213">
        <f t="shared" si="115"/>
        <v>2217962.171875</v>
      </c>
      <c r="KS12" s="213">
        <f t="shared" si="115"/>
        <v>2217962.171875</v>
      </c>
      <c r="KT12" s="213">
        <f t="shared" si="115"/>
        <v>2217962.171875</v>
      </c>
      <c r="KU12" s="213">
        <f t="shared" si="115"/>
        <v>2217962.171875</v>
      </c>
      <c r="KV12" s="213">
        <f t="shared" si="115"/>
        <v>2217962.171875</v>
      </c>
      <c r="KW12" s="213">
        <f t="shared" si="115"/>
        <v>2217962.171875</v>
      </c>
      <c r="KX12" s="213">
        <f t="shared" si="115"/>
        <v>2217962.171875</v>
      </c>
      <c r="KY12" s="213">
        <f t="shared" si="115"/>
        <v>2217962.171875</v>
      </c>
      <c r="KZ12" s="213">
        <f t="shared" si="115"/>
        <v>2217962.171875</v>
      </c>
      <c r="LA12" s="213">
        <f t="shared" si="115"/>
        <v>2217962.171875</v>
      </c>
      <c r="LB12" s="213">
        <f t="shared" si="115"/>
        <v>2217962.171875</v>
      </c>
      <c r="LC12" s="213">
        <f t="shared" si="115"/>
        <v>2217962.171875</v>
      </c>
      <c r="LD12" s="213">
        <f t="shared" si="115"/>
        <v>2217962.171875</v>
      </c>
      <c r="LE12" s="213">
        <f t="shared" si="115"/>
        <v>2217962.171875</v>
      </c>
      <c r="LF12" s="213">
        <f t="shared" si="115"/>
        <v>2217962.171875</v>
      </c>
      <c r="LG12" s="213">
        <f t="shared" si="115"/>
        <v>2217962.171875</v>
      </c>
      <c r="LH12" s="213">
        <f t="shared" si="115"/>
        <v>2217962.171875</v>
      </c>
      <c r="LI12" s="213">
        <f t="shared" si="115"/>
        <v>2217962.171875</v>
      </c>
      <c r="LJ12" s="213">
        <f t="shared" si="115"/>
        <v>2217962.171875</v>
      </c>
      <c r="LK12" s="213">
        <f t="shared" si="115"/>
        <v>2217962.171875</v>
      </c>
      <c r="LL12" s="213">
        <f t="shared" si="115"/>
        <v>2217962.171875</v>
      </c>
      <c r="LM12" s="213">
        <f t="shared" si="115"/>
        <v>2217962.171875</v>
      </c>
      <c r="LN12" s="213">
        <f t="shared" si="115"/>
        <v>2217962.171875</v>
      </c>
      <c r="LO12" s="213">
        <f t="shared" si="115"/>
        <v>2217962.171875</v>
      </c>
      <c r="LP12" s="213">
        <f t="shared" si="115"/>
        <v>2217962.171875</v>
      </c>
      <c r="LQ12" s="213">
        <f t="shared" ref="LQ12:OB12" si="116">LP12+LQ11</f>
        <v>2217962.171875</v>
      </c>
      <c r="LR12" s="213">
        <f t="shared" si="116"/>
        <v>2217962.171875</v>
      </c>
      <c r="LS12" s="213">
        <f t="shared" si="116"/>
        <v>2217962.171875</v>
      </c>
      <c r="LT12" s="213">
        <f t="shared" si="116"/>
        <v>2217962.171875</v>
      </c>
      <c r="LU12" s="213">
        <f t="shared" si="116"/>
        <v>2217962.171875</v>
      </c>
      <c r="LV12" s="213">
        <f t="shared" si="116"/>
        <v>2217962.171875</v>
      </c>
      <c r="LW12" s="213">
        <f t="shared" si="116"/>
        <v>2217962.171875</v>
      </c>
      <c r="LX12" s="213">
        <f t="shared" si="116"/>
        <v>2217962.171875</v>
      </c>
      <c r="LY12" s="213">
        <f t="shared" si="116"/>
        <v>2217962.171875</v>
      </c>
      <c r="LZ12" s="213">
        <f t="shared" si="116"/>
        <v>2217962.171875</v>
      </c>
      <c r="MA12" s="213">
        <f t="shared" si="116"/>
        <v>2217962.171875</v>
      </c>
      <c r="MB12" s="213">
        <f t="shared" si="116"/>
        <v>2217962.171875</v>
      </c>
      <c r="MC12" s="213">
        <f t="shared" si="116"/>
        <v>2217962.171875</v>
      </c>
      <c r="MD12" s="213">
        <f t="shared" si="116"/>
        <v>2217962.171875</v>
      </c>
      <c r="ME12" s="213">
        <f t="shared" si="116"/>
        <v>2217962.171875</v>
      </c>
      <c r="MF12" s="213">
        <f t="shared" si="116"/>
        <v>2217962.171875</v>
      </c>
      <c r="MG12" s="213">
        <f t="shared" si="116"/>
        <v>2217962.171875</v>
      </c>
      <c r="MH12" s="213">
        <f t="shared" si="116"/>
        <v>2217962.171875</v>
      </c>
      <c r="MI12" s="213">
        <f t="shared" si="116"/>
        <v>2217962.171875</v>
      </c>
      <c r="MJ12" s="213">
        <f t="shared" si="116"/>
        <v>2217962.171875</v>
      </c>
      <c r="MK12" s="213">
        <f t="shared" si="116"/>
        <v>2217962.171875</v>
      </c>
      <c r="ML12" s="213">
        <f t="shared" si="116"/>
        <v>2217962.171875</v>
      </c>
      <c r="MM12" s="213">
        <f t="shared" si="116"/>
        <v>2217962.171875</v>
      </c>
      <c r="MN12" s="213">
        <f t="shared" si="116"/>
        <v>2217962.171875</v>
      </c>
      <c r="MO12" s="213">
        <f t="shared" si="116"/>
        <v>2217962.171875</v>
      </c>
      <c r="MP12" s="213">
        <f t="shared" si="116"/>
        <v>2217962.171875</v>
      </c>
      <c r="MQ12" s="213">
        <f t="shared" si="116"/>
        <v>2217962.171875</v>
      </c>
      <c r="MR12" s="213">
        <f t="shared" si="116"/>
        <v>2217962.171875</v>
      </c>
      <c r="MS12" s="213">
        <f t="shared" si="116"/>
        <v>2217962.171875</v>
      </c>
      <c r="MT12" s="213">
        <f t="shared" si="116"/>
        <v>2217962.171875</v>
      </c>
      <c r="MU12" s="213">
        <f t="shared" si="116"/>
        <v>2217962.171875</v>
      </c>
      <c r="MV12" s="213">
        <f t="shared" si="116"/>
        <v>2217962.171875</v>
      </c>
      <c r="MW12" s="213">
        <f t="shared" si="116"/>
        <v>2217962.171875</v>
      </c>
      <c r="MX12" s="213">
        <f t="shared" si="116"/>
        <v>2217962.171875</v>
      </c>
      <c r="MY12" s="213">
        <f t="shared" si="116"/>
        <v>2217962.171875</v>
      </c>
      <c r="MZ12" s="213">
        <f t="shared" si="116"/>
        <v>2217962.171875</v>
      </c>
      <c r="NA12" s="213">
        <f t="shared" si="116"/>
        <v>2217962.171875</v>
      </c>
      <c r="NB12" s="213">
        <f t="shared" si="116"/>
        <v>2217962.171875</v>
      </c>
      <c r="NC12" s="213">
        <f t="shared" si="116"/>
        <v>2217962.171875</v>
      </c>
      <c r="ND12" s="213">
        <f t="shared" si="116"/>
        <v>2217962.171875</v>
      </c>
      <c r="NE12" s="213">
        <f t="shared" si="116"/>
        <v>2217962.171875</v>
      </c>
      <c r="NF12" s="213">
        <f t="shared" si="116"/>
        <v>2217962.171875</v>
      </c>
      <c r="NG12" s="213">
        <f t="shared" si="116"/>
        <v>2217962.171875</v>
      </c>
      <c r="NH12" s="213">
        <f t="shared" si="116"/>
        <v>2217962.171875</v>
      </c>
      <c r="NI12" s="213">
        <f t="shared" si="116"/>
        <v>2217962.171875</v>
      </c>
      <c r="NJ12" s="213">
        <f t="shared" si="116"/>
        <v>2217962.171875</v>
      </c>
      <c r="NK12" s="213">
        <f t="shared" si="116"/>
        <v>2217962.171875</v>
      </c>
      <c r="NL12" s="213">
        <f t="shared" si="116"/>
        <v>2217962.171875</v>
      </c>
      <c r="NM12" s="213">
        <f t="shared" si="116"/>
        <v>2217962.171875</v>
      </c>
      <c r="NN12" s="213">
        <f t="shared" si="116"/>
        <v>2217962.171875</v>
      </c>
      <c r="NO12" s="213">
        <f t="shared" si="116"/>
        <v>2217962.171875</v>
      </c>
      <c r="NP12" s="213">
        <f t="shared" si="116"/>
        <v>2217962.171875</v>
      </c>
      <c r="NQ12" s="213">
        <f t="shared" si="116"/>
        <v>2217962.171875</v>
      </c>
      <c r="NR12" s="213">
        <f t="shared" si="116"/>
        <v>2217962.171875</v>
      </c>
      <c r="NS12" s="213">
        <f t="shared" si="116"/>
        <v>2217962.171875</v>
      </c>
      <c r="NT12" s="213">
        <f t="shared" si="116"/>
        <v>2217962.171875</v>
      </c>
      <c r="NU12" s="213">
        <f t="shared" si="116"/>
        <v>2217962.171875</v>
      </c>
      <c r="NV12" s="213">
        <f t="shared" si="116"/>
        <v>2217962.171875</v>
      </c>
      <c r="NW12" s="213">
        <f t="shared" si="116"/>
        <v>2217962.171875</v>
      </c>
      <c r="NX12" s="213">
        <f t="shared" si="116"/>
        <v>2217962.171875</v>
      </c>
      <c r="NY12" s="213">
        <f t="shared" si="116"/>
        <v>2217962.171875</v>
      </c>
      <c r="NZ12" s="213">
        <f t="shared" si="116"/>
        <v>2217962.171875</v>
      </c>
      <c r="OA12" s="213">
        <f t="shared" si="116"/>
        <v>2217962.171875</v>
      </c>
      <c r="OB12" s="213">
        <f t="shared" si="116"/>
        <v>2217962.171875</v>
      </c>
      <c r="OC12" s="213">
        <f t="shared" ref="OC12:QN12" si="117">OB12+OC11</f>
        <v>2217962.171875</v>
      </c>
      <c r="OD12" s="213">
        <f t="shared" si="117"/>
        <v>2217962.171875</v>
      </c>
      <c r="OE12" s="213">
        <f t="shared" si="117"/>
        <v>2217962.171875</v>
      </c>
      <c r="OF12" s="213">
        <f t="shared" si="117"/>
        <v>2217962.171875</v>
      </c>
      <c r="OG12" s="213">
        <f t="shared" si="117"/>
        <v>2217962.171875</v>
      </c>
      <c r="OH12" s="213">
        <f t="shared" si="117"/>
        <v>2217962.171875</v>
      </c>
      <c r="OI12" s="213">
        <f t="shared" si="117"/>
        <v>2217962.171875</v>
      </c>
      <c r="OJ12" s="213">
        <f t="shared" si="117"/>
        <v>2217962.171875</v>
      </c>
      <c r="OK12" s="213">
        <f t="shared" si="117"/>
        <v>2217962.171875</v>
      </c>
      <c r="OL12" s="213">
        <f t="shared" si="117"/>
        <v>2217962.171875</v>
      </c>
      <c r="OM12" s="213">
        <f t="shared" si="117"/>
        <v>2217962.171875</v>
      </c>
      <c r="ON12" s="213">
        <f t="shared" si="117"/>
        <v>2217962.171875</v>
      </c>
      <c r="OO12" s="213">
        <f t="shared" si="117"/>
        <v>2217962.171875</v>
      </c>
      <c r="OP12" s="213">
        <f t="shared" si="117"/>
        <v>2217962.171875</v>
      </c>
      <c r="OQ12" s="213">
        <f t="shared" si="117"/>
        <v>2217962.171875</v>
      </c>
      <c r="OR12" s="213">
        <f t="shared" si="117"/>
        <v>2217962.171875</v>
      </c>
      <c r="OS12" s="213">
        <f t="shared" si="117"/>
        <v>2217962.171875</v>
      </c>
      <c r="OT12" s="213">
        <f t="shared" si="117"/>
        <v>2217962.171875</v>
      </c>
      <c r="OU12" s="213">
        <f t="shared" si="117"/>
        <v>2217962.171875</v>
      </c>
      <c r="OV12" s="213">
        <f t="shared" si="117"/>
        <v>2217962.171875</v>
      </c>
      <c r="OW12" s="213">
        <f t="shared" si="117"/>
        <v>2217962.171875</v>
      </c>
      <c r="OX12" s="213">
        <f t="shared" si="117"/>
        <v>2217962.171875</v>
      </c>
      <c r="OY12" s="213">
        <f t="shared" si="117"/>
        <v>2217962.171875</v>
      </c>
      <c r="OZ12" s="213">
        <f t="shared" si="117"/>
        <v>2217962.171875</v>
      </c>
      <c r="PA12" s="213">
        <f t="shared" si="117"/>
        <v>2217962.171875</v>
      </c>
      <c r="PB12" s="213">
        <f t="shared" si="117"/>
        <v>2217962.171875</v>
      </c>
      <c r="PC12" s="213">
        <f t="shared" si="117"/>
        <v>2217962.171875</v>
      </c>
      <c r="PD12" s="213">
        <f t="shared" si="117"/>
        <v>2217962.171875</v>
      </c>
      <c r="PE12" s="213">
        <f t="shared" si="117"/>
        <v>2217962.171875</v>
      </c>
      <c r="PF12" s="213">
        <f t="shared" si="117"/>
        <v>2217962.171875</v>
      </c>
      <c r="PG12" s="213">
        <f t="shared" si="117"/>
        <v>2217962.171875</v>
      </c>
      <c r="PH12" s="213">
        <f t="shared" si="117"/>
        <v>2217962.171875</v>
      </c>
      <c r="PI12" s="213">
        <f t="shared" si="117"/>
        <v>2217962.171875</v>
      </c>
      <c r="PJ12" s="213">
        <f t="shared" si="117"/>
        <v>2217962.171875</v>
      </c>
      <c r="PK12" s="213">
        <f t="shared" si="117"/>
        <v>2217962.171875</v>
      </c>
      <c r="PL12" s="213">
        <f t="shared" si="117"/>
        <v>2217962.171875</v>
      </c>
      <c r="PM12" s="213">
        <f t="shared" si="117"/>
        <v>2217962.171875</v>
      </c>
      <c r="PN12" s="213">
        <f t="shared" si="117"/>
        <v>2217962.171875</v>
      </c>
      <c r="PO12" s="213">
        <f t="shared" si="117"/>
        <v>2217962.171875</v>
      </c>
      <c r="PP12" s="213">
        <f t="shared" si="117"/>
        <v>2217962.171875</v>
      </c>
      <c r="PQ12" s="213">
        <f t="shared" si="117"/>
        <v>2217962.171875</v>
      </c>
      <c r="PR12" s="213">
        <f t="shared" si="117"/>
        <v>2217962.171875</v>
      </c>
      <c r="PS12" s="213">
        <f t="shared" si="117"/>
        <v>2217962.171875</v>
      </c>
      <c r="PT12" s="213">
        <f t="shared" si="117"/>
        <v>2217962.171875</v>
      </c>
      <c r="PU12" s="213">
        <f t="shared" si="117"/>
        <v>2217962.171875</v>
      </c>
      <c r="PV12" s="213">
        <f t="shared" si="117"/>
        <v>2217962.171875</v>
      </c>
      <c r="PW12" s="213">
        <f t="shared" si="117"/>
        <v>2217962.171875</v>
      </c>
      <c r="PX12" s="213">
        <f t="shared" si="117"/>
        <v>2217962.171875</v>
      </c>
      <c r="PY12" s="213">
        <f t="shared" si="117"/>
        <v>2217962.171875</v>
      </c>
      <c r="PZ12" s="213">
        <f t="shared" si="117"/>
        <v>2217962.171875</v>
      </c>
      <c r="QA12" s="213">
        <f t="shared" si="117"/>
        <v>2217962.171875</v>
      </c>
      <c r="QB12" s="213">
        <f t="shared" si="117"/>
        <v>2217962.171875</v>
      </c>
      <c r="QC12" s="213">
        <f t="shared" si="117"/>
        <v>2217962.171875</v>
      </c>
      <c r="QD12" s="213">
        <f t="shared" si="117"/>
        <v>2217962.171875</v>
      </c>
      <c r="QE12" s="213">
        <f t="shared" si="117"/>
        <v>2217962.171875</v>
      </c>
      <c r="QF12" s="213">
        <f t="shared" si="117"/>
        <v>2217962.171875</v>
      </c>
      <c r="QG12" s="213">
        <f t="shared" si="117"/>
        <v>2217962.171875</v>
      </c>
      <c r="QH12" s="213">
        <f t="shared" si="117"/>
        <v>2217962.171875</v>
      </c>
      <c r="QI12" s="213">
        <f t="shared" si="117"/>
        <v>2217962.171875</v>
      </c>
      <c r="QJ12" s="213">
        <f t="shared" si="117"/>
        <v>2217962.171875</v>
      </c>
      <c r="QK12" s="213">
        <f t="shared" si="117"/>
        <v>2217962.171875</v>
      </c>
      <c r="QL12" s="213">
        <f t="shared" si="117"/>
        <v>2217962.171875</v>
      </c>
      <c r="QM12" s="213">
        <f t="shared" si="117"/>
        <v>2217962.171875</v>
      </c>
      <c r="QN12" s="213">
        <f t="shared" si="117"/>
        <v>2217962.171875</v>
      </c>
      <c r="QO12" s="213">
        <f t="shared" ref="QO12:SZ12" si="118">QN12+QO11</f>
        <v>2217962.171875</v>
      </c>
      <c r="QP12" s="213">
        <f t="shared" si="118"/>
        <v>2217962.171875</v>
      </c>
      <c r="QQ12" s="213">
        <f t="shared" si="118"/>
        <v>2217962.171875</v>
      </c>
      <c r="QR12" s="213">
        <f t="shared" si="118"/>
        <v>2217962.171875</v>
      </c>
      <c r="QS12" s="213">
        <f t="shared" si="118"/>
        <v>2217962.171875</v>
      </c>
      <c r="QT12" s="213">
        <f t="shared" si="118"/>
        <v>2217962.171875</v>
      </c>
      <c r="QU12" s="213">
        <f t="shared" si="118"/>
        <v>2217962.171875</v>
      </c>
      <c r="QV12" s="213">
        <f t="shared" si="118"/>
        <v>2217962.171875</v>
      </c>
      <c r="QW12" s="213">
        <f t="shared" si="118"/>
        <v>2217962.171875</v>
      </c>
      <c r="QX12" s="213">
        <f t="shared" si="118"/>
        <v>2217962.171875</v>
      </c>
      <c r="QY12" s="213">
        <f t="shared" si="118"/>
        <v>2217962.171875</v>
      </c>
      <c r="QZ12" s="213">
        <f t="shared" si="118"/>
        <v>2217962.171875</v>
      </c>
      <c r="RA12" s="213">
        <f t="shared" si="118"/>
        <v>2217962.171875</v>
      </c>
      <c r="RB12" s="213">
        <f t="shared" si="118"/>
        <v>2217962.171875</v>
      </c>
      <c r="RC12" s="213">
        <f t="shared" si="118"/>
        <v>2217962.171875</v>
      </c>
      <c r="RD12" s="213">
        <f t="shared" si="118"/>
        <v>2217962.171875</v>
      </c>
      <c r="RE12" s="213">
        <f t="shared" si="118"/>
        <v>2217962.171875</v>
      </c>
      <c r="RF12" s="213">
        <f t="shared" si="118"/>
        <v>2217962.171875</v>
      </c>
      <c r="RG12" s="213">
        <f t="shared" si="118"/>
        <v>2217962.171875</v>
      </c>
      <c r="RH12" s="213">
        <f t="shared" si="118"/>
        <v>2217962.171875</v>
      </c>
      <c r="RI12" s="213">
        <f t="shared" si="118"/>
        <v>2217962.171875</v>
      </c>
      <c r="RJ12" s="213">
        <f t="shared" si="118"/>
        <v>2217962.171875</v>
      </c>
      <c r="RK12" s="213">
        <f t="shared" si="118"/>
        <v>2217962.171875</v>
      </c>
      <c r="RL12" s="213">
        <f t="shared" si="118"/>
        <v>2217962.171875</v>
      </c>
      <c r="RM12" s="213">
        <f t="shared" si="118"/>
        <v>2217962.171875</v>
      </c>
      <c r="RN12" s="213">
        <f t="shared" si="118"/>
        <v>2217962.171875</v>
      </c>
      <c r="RO12" s="213">
        <f t="shared" si="118"/>
        <v>2217962.171875</v>
      </c>
      <c r="RP12" s="213">
        <f t="shared" si="118"/>
        <v>2217962.171875</v>
      </c>
      <c r="RQ12" s="213">
        <f t="shared" si="118"/>
        <v>2217962.171875</v>
      </c>
      <c r="RR12" s="213">
        <f t="shared" si="118"/>
        <v>2217962.171875</v>
      </c>
      <c r="RS12" s="213">
        <f t="shared" si="118"/>
        <v>2217962.171875</v>
      </c>
      <c r="RT12" s="213">
        <f t="shared" si="118"/>
        <v>2217962.171875</v>
      </c>
      <c r="RU12" s="213">
        <f t="shared" si="118"/>
        <v>2217962.171875</v>
      </c>
      <c r="RV12" s="213">
        <f t="shared" si="118"/>
        <v>2217962.171875</v>
      </c>
      <c r="RW12" s="213">
        <f t="shared" si="118"/>
        <v>2217962.171875</v>
      </c>
      <c r="RX12" s="213">
        <f t="shared" si="118"/>
        <v>2217962.171875</v>
      </c>
      <c r="RY12" s="213">
        <f t="shared" si="118"/>
        <v>2217962.171875</v>
      </c>
      <c r="RZ12" s="213">
        <f t="shared" si="118"/>
        <v>2217962.171875</v>
      </c>
      <c r="SA12" s="213">
        <f t="shared" si="118"/>
        <v>2217962.171875</v>
      </c>
      <c r="SB12" s="213">
        <f t="shared" si="118"/>
        <v>2217962.171875</v>
      </c>
      <c r="SC12" s="213">
        <f t="shared" si="118"/>
        <v>2217962.171875</v>
      </c>
      <c r="SD12" s="213">
        <f t="shared" si="118"/>
        <v>2217962.171875</v>
      </c>
      <c r="SE12" s="213">
        <f t="shared" si="118"/>
        <v>2217962.171875</v>
      </c>
      <c r="SF12" s="213">
        <f t="shared" si="118"/>
        <v>2217962.171875</v>
      </c>
      <c r="SG12" s="213">
        <f t="shared" si="118"/>
        <v>2217962.171875</v>
      </c>
      <c r="SH12" s="213">
        <f t="shared" si="118"/>
        <v>2217962.171875</v>
      </c>
      <c r="SI12" s="213">
        <f t="shared" si="118"/>
        <v>2217962.171875</v>
      </c>
      <c r="SJ12" s="213">
        <f t="shared" si="118"/>
        <v>2217962.171875</v>
      </c>
      <c r="SK12" s="213">
        <f t="shared" si="118"/>
        <v>2217962.171875</v>
      </c>
      <c r="SL12" s="213">
        <f t="shared" si="118"/>
        <v>2217962.171875</v>
      </c>
      <c r="SM12" s="213">
        <f t="shared" si="118"/>
        <v>2217962.171875</v>
      </c>
      <c r="SN12" s="213">
        <f t="shared" si="118"/>
        <v>2217962.171875</v>
      </c>
      <c r="SO12" s="213">
        <f t="shared" si="118"/>
        <v>2217962.171875</v>
      </c>
      <c r="SP12" s="213">
        <f t="shared" si="118"/>
        <v>2217962.171875</v>
      </c>
      <c r="SQ12" s="213">
        <f t="shared" si="118"/>
        <v>2217962.171875</v>
      </c>
      <c r="SR12" s="213">
        <f t="shared" si="118"/>
        <v>2217962.171875</v>
      </c>
      <c r="SS12" s="213">
        <f t="shared" si="118"/>
        <v>2217962.171875</v>
      </c>
      <c r="ST12" s="213">
        <f t="shared" si="118"/>
        <v>2217962.171875</v>
      </c>
      <c r="SU12" s="213">
        <f t="shared" si="118"/>
        <v>2217962.171875</v>
      </c>
      <c r="SV12" s="213">
        <f t="shared" si="118"/>
        <v>2217962.171875</v>
      </c>
      <c r="SW12" s="213">
        <f t="shared" si="118"/>
        <v>2217962.171875</v>
      </c>
      <c r="SX12" s="213">
        <f t="shared" si="118"/>
        <v>2217962.171875</v>
      </c>
      <c r="SY12" s="213">
        <f t="shared" si="118"/>
        <v>2217962.171875</v>
      </c>
      <c r="SZ12" s="213">
        <f t="shared" si="118"/>
        <v>2217962.171875</v>
      </c>
      <c r="TA12" s="213">
        <f t="shared" ref="TA12:VL12" si="119">SZ12+TA11</f>
        <v>2217962.171875</v>
      </c>
      <c r="TB12" s="213">
        <f t="shared" si="119"/>
        <v>2217962.171875</v>
      </c>
      <c r="TC12" s="213">
        <f t="shared" si="119"/>
        <v>2217962.171875</v>
      </c>
      <c r="TD12" s="213">
        <f t="shared" si="119"/>
        <v>2217962.171875</v>
      </c>
      <c r="TE12" s="213">
        <f t="shared" si="119"/>
        <v>2217962.171875</v>
      </c>
      <c r="TF12" s="213">
        <f t="shared" si="119"/>
        <v>2217962.171875</v>
      </c>
      <c r="TG12" s="213">
        <f t="shared" si="119"/>
        <v>2217962.171875</v>
      </c>
      <c r="TH12" s="213">
        <f t="shared" si="119"/>
        <v>2217962.171875</v>
      </c>
      <c r="TI12" s="213">
        <f t="shared" si="119"/>
        <v>2217962.171875</v>
      </c>
      <c r="TJ12" s="213">
        <f t="shared" si="119"/>
        <v>2217962.171875</v>
      </c>
      <c r="TK12" s="213">
        <f t="shared" si="119"/>
        <v>2217962.171875</v>
      </c>
      <c r="TL12" s="213">
        <f t="shared" si="119"/>
        <v>2217962.171875</v>
      </c>
      <c r="TM12" s="213">
        <f t="shared" si="119"/>
        <v>2217962.171875</v>
      </c>
      <c r="TN12" s="213">
        <f t="shared" si="119"/>
        <v>2217962.171875</v>
      </c>
      <c r="TO12" s="213">
        <f t="shared" si="119"/>
        <v>2217962.171875</v>
      </c>
      <c r="TP12" s="213">
        <f t="shared" si="119"/>
        <v>2217962.171875</v>
      </c>
      <c r="TQ12" s="213">
        <f t="shared" si="119"/>
        <v>2217962.171875</v>
      </c>
      <c r="TR12" s="213">
        <f t="shared" si="119"/>
        <v>2217962.171875</v>
      </c>
      <c r="TS12" s="213">
        <f t="shared" si="119"/>
        <v>2217962.171875</v>
      </c>
      <c r="TT12" s="213">
        <f t="shared" si="119"/>
        <v>2217962.171875</v>
      </c>
      <c r="TU12" s="213">
        <f t="shared" si="119"/>
        <v>2217962.171875</v>
      </c>
      <c r="TV12" s="213">
        <f t="shared" si="119"/>
        <v>2217962.171875</v>
      </c>
      <c r="TW12" s="213">
        <f t="shared" si="119"/>
        <v>2217962.171875</v>
      </c>
      <c r="TX12" s="213">
        <f t="shared" si="119"/>
        <v>2217962.171875</v>
      </c>
      <c r="TY12" s="213">
        <f t="shared" si="119"/>
        <v>2217962.171875</v>
      </c>
      <c r="TZ12" s="213">
        <f t="shared" si="119"/>
        <v>2217962.171875</v>
      </c>
      <c r="UA12" s="213">
        <f t="shared" si="119"/>
        <v>2217962.171875</v>
      </c>
      <c r="UB12" s="213">
        <f t="shared" si="119"/>
        <v>2217962.171875</v>
      </c>
      <c r="UC12" s="213">
        <f t="shared" si="119"/>
        <v>2217962.171875</v>
      </c>
      <c r="UD12" s="213">
        <f t="shared" si="119"/>
        <v>2217962.171875</v>
      </c>
      <c r="UE12" s="213">
        <f t="shared" si="119"/>
        <v>2217962.171875</v>
      </c>
      <c r="UF12" s="213">
        <f t="shared" si="119"/>
        <v>2217962.171875</v>
      </c>
      <c r="UG12" s="213">
        <f t="shared" si="119"/>
        <v>2217962.171875</v>
      </c>
      <c r="UH12" s="213">
        <f t="shared" si="119"/>
        <v>2217962.171875</v>
      </c>
      <c r="UI12" s="213">
        <f t="shared" si="119"/>
        <v>2217962.171875</v>
      </c>
      <c r="UJ12" s="213">
        <f t="shared" si="119"/>
        <v>2217962.171875</v>
      </c>
      <c r="UK12" s="213">
        <f t="shared" si="119"/>
        <v>2217962.171875</v>
      </c>
      <c r="UL12" s="213">
        <f t="shared" si="119"/>
        <v>2217962.171875</v>
      </c>
      <c r="UM12" s="213">
        <f t="shared" si="119"/>
        <v>2217962.171875</v>
      </c>
      <c r="UN12" s="213">
        <f t="shared" si="119"/>
        <v>2217962.171875</v>
      </c>
      <c r="UO12" s="213">
        <f t="shared" si="119"/>
        <v>2217962.171875</v>
      </c>
      <c r="UP12" s="213">
        <f t="shared" si="119"/>
        <v>2217962.171875</v>
      </c>
      <c r="UQ12" s="213">
        <f t="shared" si="119"/>
        <v>2217962.171875</v>
      </c>
      <c r="UR12" s="213">
        <f t="shared" si="119"/>
        <v>2217962.171875</v>
      </c>
      <c r="US12" s="213">
        <f t="shared" si="119"/>
        <v>2217962.171875</v>
      </c>
      <c r="UT12" s="213">
        <f t="shared" si="119"/>
        <v>2217962.171875</v>
      </c>
      <c r="UU12" s="213">
        <f t="shared" si="119"/>
        <v>2217962.171875</v>
      </c>
      <c r="UV12" s="213">
        <f t="shared" si="119"/>
        <v>2217962.171875</v>
      </c>
      <c r="UW12" s="213">
        <f t="shared" si="119"/>
        <v>2217962.171875</v>
      </c>
      <c r="UX12" s="213">
        <f t="shared" si="119"/>
        <v>2217962.171875</v>
      </c>
      <c r="UY12" s="213">
        <f t="shared" si="119"/>
        <v>2217962.171875</v>
      </c>
      <c r="UZ12" s="213">
        <f t="shared" si="119"/>
        <v>2217962.171875</v>
      </c>
      <c r="VA12" s="213">
        <f t="shared" si="119"/>
        <v>2217962.171875</v>
      </c>
      <c r="VB12" s="213">
        <f t="shared" si="119"/>
        <v>2217962.171875</v>
      </c>
      <c r="VC12" s="213">
        <f t="shared" si="119"/>
        <v>2217962.171875</v>
      </c>
      <c r="VD12" s="213">
        <f t="shared" si="119"/>
        <v>2217962.171875</v>
      </c>
      <c r="VE12" s="213">
        <f t="shared" si="119"/>
        <v>2217962.171875</v>
      </c>
      <c r="VF12" s="213">
        <f t="shared" si="119"/>
        <v>2217962.171875</v>
      </c>
      <c r="VG12" s="213">
        <f t="shared" si="119"/>
        <v>2217962.171875</v>
      </c>
      <c r="VH12" s="213">
        <f t="shared" si="119"/>
        <v>2217962.171875</v>
      </c>
      <c r="VI12" s="213">
        <f t="shared" si="119"/>
        <v>2217962.171875</v>
      </c>
      <c r="VJ12" s="213">
        <f t="shared" si="119"/>
        <v>2217962.171875</v>
      </c>
      <c r="VK12" s="213">
        <f t="shared" si="119"/>
        <v>2217962.171875</v>
      </c>
      <c r="VL12" s="213">
        <f t="shared" si="119"/>
        <v>2217962.171875</v>
      </c>
      <c r="VM12" s="213">
        <f t="shared" ref="VM12:XX12" si="120">VL12+VM11</f>
        <v>2217962.171875</v>
      </c>
      <c r="VN12" s="213">
        <f t="shared" si="120"/>
        <v>2217962.171875</v>
      </c>
      <c r="VO12" s="213">
        <f t="shared" si="120"/>
        <v>2217962.171875</v>
      </c>
      <c r="VP12" s="213">
        <f t="shared" si="120"/>
        <v>2217962.171875</v>
      </c>
      <c r="VQ12" s="213">
        <f t="shared" si="120"/>
        <v>2217962.171875</v>
      </c>
      <c r="VR12" s="213">
        <f t="shared" si="120"/>
        <v>2217962.171875</v>
      </c>
      <c r="VS12" s="213">
        <f t="shared" si="120"/>
        <v>2217962.171875</v>
      </c>
      <c r="VT12" s="213">
        <f t="shared" si="120"/>
        <v>2217962.171875</v>
      </c>
      <c r="VU12" s="213">
        <f t="shared" si="120"/>
        <v>2217962.171875</v>
      </c>
      <c r="VV12" s="213">
        <f t="shared" si="120"/>
        <v>2217962.171875</v>
      </c>
      <c r="VW12" s="213">
        <f t="shared" si="120"/>
        <v>2217962.171875</v>
      </c>
      <c r="VX12" s="213">
        <f t="shared" si="120"/>
        <v>2217962.171875</v>
      </c>
      <c r="VY12" s="213">
        <f t="shared" si="120"/>
        <v>2217962.171875</v>
      </c>
      <c r="VZ12" s="213">
        <f t="shared" si="120"/>
        <v>2217962.171875</v>
      </c>
      <c r="WA12" s="213">
        <f t="shared" si="120"/>
        <v>2217962.171875</v>
      </c>
      <c r="WB12" s="213">
        <f t="shared" si="120"/>
        <v>2217962.171875</v>
      </c>
      <c r="WC12" s="213">
        <f t="shared" si="120"/>
        <v>2217962.171875</v>
      </c>
      <c r="WD12" s="213">
        <f t="shared" si="120"/>
        <v>2217962.171875</v>
      </c>
      <c r="WE12" s="213">
        <f t="shared" si="120"/>
        <v>2217962.171875</v>
      </c>
      <c r="WF12" s="213">
        <f t="shared" si="120"/>
        <v>2217962.171875</v>
      </c>
      <c r="WG12" s="213">
        <f t="shared" si="120"/>
        <v>2217962.171875</v>
      </c>
      <c r="WH12" s="213">
        <f t="shared" si="120"/>
        <v>2217962.171875</v>
      </c>
      <c r="WI12" s="213">
        <f t="shared" si="120"/>
        <v>2217962.171875</v>
      </c>
      <c r="WJ12" s="213">
        <f t="shared" si="120"/>
        <v>2217962.171875</v>
      </c>
      <c r="WK12" s="213">
        <f t="shared" si="120"/>
        <v>2217962.171875</v>
      </c>
      <c r="WL12" s="213">
        <f t="shared" si="120"/>
        <v>2217962.171875</v>
      </c>
      <c r="WM12" s="213">
        <f t="shared" si="120"/>
        <v>2217962.171875</v>
      </c>
      <c r="WN12" s="213">
        <f t="shared" si="120"/>
        <v>2217962.171875</v>
      </c>
      <c r="WO12" s="213">
        <f t="shared" si="120"/>
        <v>2217962.171875</v>
      </c>
      <c r="WP12" s="213">
        <f t="shared" si="120"/>
        <v>2217962.171875</v>
      </c>
      <c r="WQ12" s="213">
        <f t="shared" si="120"/>
        <v>2217962.171875</v>
      </c>
      <c r="WR12" s="213">
        <f t="shared" si="120"/>
        <v>2217962.171875</v>
      </c>
      <c r="WS12" s="213">
        <f t="shared" si="120"/>
        <v>2217962.171875</v>
      </c>
      <c r="WT12" s="213">
        <f t="shared" si="120"/>
        <v>2217962.171875</v>
      </c>
      <c r="WU12" s="213">
        <f t="shared" si="120"/>
        <v>2217962.171875</v>
      </c>
      <c r="WV12" s="213">
        <f t="shared" si="120"/>
        <v>2217962.171875</v>
      </c>
      <c r="WW12" s="213">
        <f t="shared" si="120"/>
        <v>2217962.171875</v>
      </c>
      <c r="WX12" s="213">
        <f t="shared" si="120"/>
        <v>2217962.171875</v>
      </c>
      <c r="WY12" s="213">
        <f t="shared" si="120"/>
        <v>2217962.171875</v>
      </c>
      <c r="WZ12" s="213">
        <f t="shared" si="120"/>
        <v>2217962.171875</v>
      </c>
      <c r="XA12" s="213">
        <f t="shared" si="120"/>
        <v>2217962.171875</v>
      </c>
      <c r="XB12" s="213">
        <f t="shared" si="120"/>
        <v>2217962.171875</v>
      </c>
      <c r="XC12" s="213">
        <f t="shared" si="120"/>
        <v>2217962.171875</v>
      </c>
      <c r="XD12" s="213">
        <f t="shared" si="120"/>
        <v>2217962.171875</v>
      </c>
      <c r="XE12" s="213">
        <f t="shared" si="120"/>
        <v>2217962.171875</v>
      </c>
      <c r="XF12" s="213">
        <f t="shared" si="120"/>
        <v>2217962.171875</v>
      </c>
      <c r="XG12" s="213">
        <f t="shared" si="120"/>
        <v>2217962.171875</v>
      </c>
      <c r="XH12" s="213">
        <f t="shared" si="120"/>
        <v>2217962.171875</v>
      </c>
      <c r="XI12" s="213">
        <f t="shared" si="120"/>
        <v>2217962.171875</v>
      </c>
      <c r="XJ12" s="213">
        <f t="shared" si="120"/>
        <v>2217962.171875</v>
      </c>
      <c r="XK12" s="213">
        <f t="shared" si="120"/>
        <v>2217962.171875</v>
      </c>
      <c r="XL12" s="213">
        <f t="shared" si="120"/>
        <v>2217962.171875</v>
      </c>
      <c r="XM12" s="213">
        <f t="shared" si="120"/>
        <v>2217962.171875</v>
      </c>
      <c r="XN12" s="213">
        <f t="shared" si="120"/>
        <v>2217962.171875</v>
      </c>
      <c r="XO12" s="213">
        <f t="shared" si="120"/>
        <v>2217962.171875</v>
      </c>
      <c r="XP12" s="213">
        <f t="shared" si="120"/>
        <v>2217962.171875</v>
      </c>
      <c r="XQ12" s="213">
        <f t="shared" si="120"/>
        <v>2217962.171875</v>
      </c>
      <c r="XR12" s="213">
        <f t="shared" si="120"/>
        <v>2217962.171875</v>
      </c>
      <c r="XS12" s="213">
        <f t="shared" si="120"/>
        <v>2217962.171875</v>
      </c>
      <c r="XT12" s="213">
        <f t="shared" si="120"/>
        <v>2217962.171875</v>
      </c>
      <c r="XU12" s="213">
        <f t="shared" si="120"/>
        <v>2217962.171875</v>
      </c>
      <c r="XV12" s="213">
        <f t="shared" si="120"/>
        <v>2217962.171875</v>
      </c>
      <c r="XW12" s="213">
        <f t="shared" si="120"/>
        <v>2217962.171875</v>
      </c>
      <c r="XX12" s="213">
        <f t="shared" si="120"/>
        <v>2217962.171875</v>
      </c>
      <c r="XY12" s="213">
        <f t="shared" ref="XY12:AAJ12" si="121">XX12+XY11</f>
        <v>2217962.171875</v>
      </c>
      <c r="XZ12" s="213">
        <f t="shared" si="121"/>
        <v>2217962.171875</v>
      </c>
      <c r="YA12" s="213">
        <f t="shared" si="121"/>
        <v>2217962.171875</v>
      </c>
      <c r="YB12" s="213">
        <f t="shared" si="121"/>
        <v>2217962.171875</v>
      </c>
      <c r="YC12" s="213">
        <f t="shared" si="121"/>
        <v>2217962.171875</v>
      </c>
      <c r="YD12" s="213">
        <f t="shared" si="121"/>
        <v>2217962.171875</v>
      </c>
      <c r="YE12" s="213">
        <f t="shared" si="121"/>
        <v>2217962.171875</v>
      </c>
      <c r="YF12" s="213">
        <f t="shared" si="121"/>
        <v>2217962.171875</v>
      </c>
      <c r="YG12" s="213">
        <f t="shared" si="121"/>
        <v>2217962.171875</v>
      </c>
      <c r="YH12" s="213">
        <f t="shared" si="121"/>
        <v>2217962.171875</v>
      </c>
      <c r="YI12" s="213">
        <f t="shared" si="121"/>
        <v>2217962.171875</v>
      </c>
      <c r="YJ12" s="213">
        <f t="shared" si="121"/>
        <v>2217962.171875</v>
      </c>
      <c r="YK12" s="213">
        <f t="shared" si="121"/>
        <v>2217962.171875</v>
      </c>
      <c r="YL12" s="213">
        <f t="shared" si="121"/>
        <v>2217962.171875</v>
      </c>
      <c r="YM12" s="213">
        <f t="shared" si="121"/>
        <v>2217962.171875</v>
      </c>
      <c r="YN12" s="213">
        <f t="shared" si="121"/>
        <v>2217962.171875</v>
      </c>
      <c r="YO12" s="213">
        <f t="shared" si="121"/>
        <v>2217962.171875</v>
      </c>
      <c r="YP12" s="213">
        <f t="shared" si="121"/>
        <v>2217962.171875</v>
      </c>
      <c r="YQ12" s="213">
        <f t="shared" si="121"/>
        <v>2217962.171875</v>
      </c>
      <c r="YR12" s="213">
        <f t="shared" si="121"/>
        <v>2217962.171875</v>
      </c>
      <c r="YS12" s="213">
        <f t="shared" si="121"/>
        <v>2217962.171875</v>
      </c>
      <c r="YT12" s="213">
        <f t="shared" si="121"/>
        <v>2217962.171875</v>
      </c>
      <c r="YU12" s="213">
        <f t="shared" si="121"/>
        <v>2217962.171875</v>
      </c>
      <c r="YV12" s="213">
        <f t="shared" si="121"/>
        <v>2217962.171875</v>
      </c>
      <c r="YW12" s="213">
        <f t="shared" si="121"/>
        <v>2217962.171875</v>
      </c>
      <c r="YX12" s="213">
        <f t="shared" si="121"/>
        <v>2217962.171875</v>
      </c>
      <c r="YY12" s="213">
        <f t="shared" si="121"/>
        <v>2217962.171875</v>
      </c>
      <c r="YZ12" s="213">
        <f t="shared" si="121"/>
        <v>2217962.171875</v>
      </c>
      <c r="ZA12" s="213">
        <f t="shared" si="121"/>
        <v>2217962.171875</v>
      </c>
      <c r="ZB12" s="213">
        <f t="shared" si="121"/>
        <v>2217962.171875</v>
      </c>
      <c r="ZC12" s="213">
        <f t="shared" si="121"/>
        <v>2217962.171875</v>
      </c>
      <c r="ZD12" s="213">
        <f t="shared" si="121"/>
        <v>2217962.171875</v>
      </c>
      <c r="ZE12" s="213">
        <f t="shared" si="121"/>
        <v>2217962.171875</v>
      </c>
      <c r="ZF12" s="213">
        <f t="shared" si="121"/>
        <v>2217962.171875</v>
      </c>
      <c r="ZG12" s="213">
        <f t="shared" si="121"/>
        <v>2217962.171875</v>
      </c>
      <c r="ZH12" s="213">
        <f t="shared" si="121"/>
        <v>2217962.171875</v>
      </c>
      <c r="ZI12" s="213">
        <f t="shared" si="121"/>
        <v>2217962.171875</v>
      </c>
      <c r="ZJ12" s="213">
        <f t="shared" si="121"/>
        <v>2217962.171875</v>
      </c>
      <c r="ZK12" s="213">
        <f t="shared" si="121"/>
        <v>2217962.171875</v>
      </c>
      <c r="ZL12" s="213">
        <f t="shared" si="121"/>
        <v>2217962.171875</v>
      </c>
      <c r="ZM12" s="213">
        <f t="shared" si="121"/>
        <v>2217962.171875</v>
      </c>
      <c r="ZN12" s="213">
        <f t="shared" si="121"/>
        <v>2217962.171875</v>
      </c>
      <c r="ZO12" s="213">
        <f t="shared" si="121"/>
        <v>2217962.171875</v>
      </c>
      <c r="ZP12" s="213">
        <f t="shared" si="121"/>
        <v>2217962.171875</v>
      </c>
      <c r="ZQ12" s="213">
        <f t="shared" si="121"/>
        <v>2217962.171875</v>
      </c>
      <c r="ZR12" s="213">
        <f t="shared" si="121"/>
        <v>2217962.171875</v>
      </c>
      <c r="ZS12" s="213">
        <f t="shared" si="121"/>
        <v>2217962.171875</v>
      </c>
      <c r="ZT12" s="213">
        <f t="shared" si="121"/>
        <v>2217962.171875</v>
      </c>
      <c r="ZU12" s="213">
        <f t="shared" si="121"/>
        <v>2217962.171875</v>
      </c>
      <c r="ZV12" s="213">
        <f t="shared" si="121"/>
        <v>2217962.171875</v>
      </c>
      <c r="ZW12" s="213">
        <f t="shared" si="121"/>
        <v>2217962.171875</v>
      </c>
      <c r="ZX12" s="213">
        <f t="shared" si="121"/>
        <v>2217962.171875</v>
      </c>
      <c r="ZY12" s="213">
        <f t="shared" si="121"/>
        <v>2217962.171875</v>
      </c>
      <c r="ZZ12" s="213">
        <f t="shared" si="121"/>
        <v>2217962.171875</v>
      </c>
      <c r="AAA12" s="213">
        <f t="shared" si="121"/>
        <v>2217962.171875</v>
      </c>
      <c r="AAB12" s="213">
        <f t="shared" si="121"/>
        <v>2217962.171875</v>
      </c>
      <c r="AAC12" s="213">
        <f t="shared" si="121"/>
        <v>2217962.171875</v>
      </c>
      <c r="AAD12" s="213">
        <f t="shared" si="121"/>
        <v>2217962.171875</v>
      </c>
      <c r="AAE12" s="213">
        <f t="shared" si="121"/>
        <v>2217962.171875</v>
      </c>
      <c r="AAF12" s="213">
        <f t="shared" si="121"/>
        <v>2217962.171875</v>
      </c>
      <c r="AAG12" s="213">
        <f t="shared" si="121"/>
        <v>2217962.171875</v>
      </c>
      <c r="AAH12" s="213">
        <f t="shared" si="121"/>
        <v>2217962.171875</v>
      </c>
      <c r="AAI12" s="213">
        <f t="shared" si="121"/>
        <v>2217962.171875</v>
      </c>
      <c r="AAJ12" s="213">
        <f t="shared" si="121"/>
        <v>2217962.171875</v>
      </c>
      <c r="AAK12" s="213">
        <f t="shared" ref="AAK12:ACV12" si="122">AAJ12+AAK11</f>
        <v>2217962.171875</v>
      </c>
      <c r="AAL12" s="213">
        <f t="shared" si="122"/>
        <v>2217962.171875</v>
      </c>
      <c r="AAM12" s="213">
        <f t="shared" si="122"/>
        <v>2217962.171875</v>
      </c>
      <c r="AAN12" s="213">
        <f t="shared" si="122"/>
        <v>2217962.171875</v>
      </c>
      <c r="AAO12" s="213">
        <f t="shared" si="122"/>
        <v>2217962.171875</v>
      </c>
      <c r="AAP12" s="213">
        <f t="shared" si="122"/>
        <v>2217962.171875</v>
      </c>
      <c r="AAQ12" s="213">
        <f t="shared" si="122"/>
        <v>2217962.171875</v>
      </c>
      <c r="AAR12" s="213">
        <f t="shared" si="122"/>
        <v>2217962.171875</v>
      </c>
      <c r="AAS12" s="213">
        <f t="shared" si="122"/>
        <v>2217962.171875</v>
      </c>
      <c r="AAT12" s="213">
        <f t="shared" si="122"/>
        <v>2217962.171875</v>
      </c>
      <c r="AAU12" s="213">
        <f t="shared" si="122"/>
        <v>2217962.171875</v>
      </c>
      <c r="AAV12" s="213">
        <f t="shared" si="122"/>
        <v>2217962.171875</v>
      </c>
      <c r="AAW12" s="213">
        <f t="shared" si="122"/>
        <v>2217962.171875</v>
      </c>
      <c r="AAX12" s="213">
        <f t="shared" si="122"/>
        <v>2217962.171875</v>
      </c>
      <c r="AAY12" s="213">
        <f t="shared" si="122"/>
        <v>2217962.171875</v>
      </c>
      <c r="AAZ12" s="213">
        <f t="shared" si="122"/>
        <v>2217962.171875</v>
      </c>
      <c r="ABA12" s="213">
        <f t="shared" si="122"/>
        <v>2217962.171875</v>
      </c>
      <c r="ABB12" s="213">
        <f t="shared" si="122"/>
        <v>2217962.171875</v>
      </c>
      <c r="ABC12" s="213">
        <f t="shared" si="122"/>
        <v>2217962.171875</v>
      </c>
      <c r="ABD12" s="213">
        <f t="shared" si="122"/>
        <v>2217962.171875</v>
      </c>
      <c r="ABE12" s="213">
        <f t="shared" si="122"/>
        <v>2217962.171875</v>
      </c>
      <c r="ABF12" s="213">
        <f t="shared" si="122"/>
        <v>2217962.171875</v>
      </c>
      <c r="ABG12" s="213">
        <f t="shared" si="122"/>
        <v>2217962.171875</v>
      </c>
      <c r="ABH12" s="213">
        <f t="shared" si="122"/>
        <v>2217962.171875</v>
      </c>
      <c r="ABI12" s="213">
        <f t="shared" si="122"/>
        <v>2217962.171875</v>
      </c>
      <c r="ABJ12" s="213">
        <f t="shared" si="122"/>
        <v>2217962.171875</v>
      </c>
      <c r="ABK12" s="213">
        <f t="shared" si="122"/>
        <v>2217962.171875</v>
      </c>
      <c r="ABL12" s="213">
        <f t="shared" si="122"/>
        <v>2217962.171875</v>
      </c>
      <c r="ABM12" s="213">
        <f t="shared" si="122"/>
        <v>2217962.171875</v>
      </c>
      <c r="ABN12" s="213">
        <f t="shared" si="122"/>
        <v>2217962.171875</v>
      </c>
      <c r="ABO12" s="213">
        <f t="shared" si="122"/>
        <v>2217962.171875</v>
      </c>
      <c r="ABP12" s="213">
        <f t="shared" si="122"/>
        <v>2217962.171875</v>
      </c>
      <c r="ABQ12" s="213">
        <f t="shared" si="122"/>
        <v>2217962.171875</v>
      </c>
      <c r="ABR12" s="213">
        <f t="shared" si="122"/>
        <v>2217962.171875</v>
      </c>
      <c r="ABS12" s="213">
        <f t="shared" si="122"/>
        <v>2217962.171875</v>
      </c>
      <c r="ABT12" s="213">
        <f t="shared" si="122"/>
        <v>2217962.171875</v>
      </c>
      <c r="ABU12" s="213">
        <f t="shared" si="122"/>
        <v>2217962.171875</v>
      </c>
      <c r="ABV12" s="213">
        <f t="shared" si="122"/>
        <v>2217962.171875</v>
      </c>
      <c r="ABW12" s="213">
        <f t="shared" si="122"/>
        <v>2217962.171875</v>
      </c>
      <c r="ABX12" s="213">
        <f t="shared" si="122"/>
        <v>2217962.171875</v>
      </c>
      <c r="ABY12" s="213">
        <f t="shared" si="122"/>
        <v>2217962.171875</v>
      </c>
      <c r="ABZ12" s="213">
        <f t="shared" si="122"/>
        <v>2217962.171875</v>
      </c>
      <c r="ACA12" s="213">
        <f t="shared" si="122"/>
        <v>2217962.171875</v>
      </c>
      <c r="ACB12" s="213">
        <f t="shared" si="122"/>
        <v>2217962.171875</v>
      </c>
      <c r="ACC12" s="213">
        <f t="shared" si="122"/>
        <v>2217962.171875</v>
      </c>
      <c r="ACD12" s="213">
        <f t="shared" si="122"/>
        <v>2217962.171875</v>
      </c>
      <c r="ACE12" s="213">
        <f t="shared" si="122"/>
        <v>2217962.171875</v>
      </c>
      <c r="ACF12" s="213">
        <f t="shared" si="122"/>
        <v>2217962.171875</v>
      </c>
      <c r="ACG12" s="213">
        <f t="shared" si="122"/>
        <v>2217962.171875</v>
      </c>
      <c r="ACH12" s="213">
        <f t="shared" si="122"/>
        <v>2217962.171875</v>
      </c>
      <c r="ACI12" s="213">
        <f t="shared" si="122"/>
        <v>2217962.171875</v>
      </c>
      <c r="ACJ12" s="213">
        <f t="shared" si="122"/>
        <v>2217962.171875</v>
      </c>
      <c r="ACK12" s="213">
        <f t="shared" si="122"/>
        <v>2217962.171875</v>
      </c>
      <c r="ACL12" s="213">
        <f t="shared" si="122"/>
        <v>2217962.171875</v>
      </c>
      <c r="ACM12" s="213">
        <f t="shared" si="122"/>
        <v>2217962.171875</v>
      </c>
      <c r="ACN12" s="213">
        <f t="shared" si="122"/>
        <v>2217962.171875</v>
      </c>
      <c r="ACO12" s="213">
        <f t="shared" si="122"/>
        <v>2217962.171875</v>
      </c>
      <c r="ACP12" s="213">
        <f t="shared" si="122"/>
        <v>2217962.171875</v>
      </c>
      <c r="ACQ12" s="213">
        <f t="shared" si="122"/>
        <v>2217962.171875</v>
      </c>
      <c r="ACR12" s="213">
        <f t="shared" si="122"/>
        <v>2217962.171875</v>
      </c>
      <c r="ACS12" s="213">
        <f t="shared" si="122"/>
        <v>2217962.171875</v>
      </c>
      <c r="ACT12" s="213">
        <f t="shared" si="122"/>
        <v>2217962.171875</v>
      </c>
      <c r="ACU12" s="213">
        <f t="shared" si="122"/>
        <v>2217962.171875</v>
      </c>
      <c r="ACV12" s="213">
        <f t="shared" si="122"/>
        <v>2217962.171875</v>
      </c>
      <c r="ACW12" s="213">
        <f t="shared" ref="ACW12:AFH12" si="123">ACV12+ACW11</f>
        <v>2217962.171875</v>
      </c>
      <c r="ACX12" s="213">
        <f t="shared" si="123"/>
        <v>2217962.171875</v>
      </c>
      <c r="ACY12" s="213">
        <f t="shared" si="123"/>
        <v>2217962.171875</v>
      </c>
      <c r="ACZ12" s="213">
        <f t="shared" si="123"/>
        <v>2217962.171875</v>
      </c>
      <c r="ADA12" s="213">
        <f t="shared" si="123"/>
        <v>2217962.171875</v>
      </c>
      <c r="ADB12" s="213">
        <f t="shared" si="123"/>
        <v>2217962.171875</v>
      </c>
      <c r="ADC12" s="213">
        <f t="shared" si="123"/>
        <v>2217962.171875</v>
      </c>
      <c r="ADD12" s="213">
        <f t="shared" si="123"/>
        <v>2217962.171875</v>
      </c>
      <c r="ADE12" s="213">
        <f t="shared" si="123"/>
        <v>2217962.171875</v>
      </c>
      <c r="ADF12" s="213">
        <f t="shared" si="123"/>
        <v>2217962.171875</v>
      </c>
      <c r="ADG12" s="213">
        <f t="shared" si="123"/>
        <v>2217962.171875</v>
      </c>
      <c r="ADH12" s="213">
        <f t="shared" si="123"/>
        <v>2217962.171875</v>
      </c>
      <c r="ADI12" s="213">
        <f t="shared" si="123"/>
        <v>2217962.171875</v>
      </c>
      <c r="ADJ12" s="213">
        <f t="shared" si="123"/>
        <v>2217962.171875</v>
      </c>
      <c r="ADK12" s="213">
        <f t="shared" si="123"/>
        <v>2217962.171875</v>
      </c>
      <c r="ADL12" s="213">
        <f t="shared" si="123"/>
        <v>2217962.171875</v>
      </c>
      <c r="ADM12" s="213">
        <f t="shared" si="123"/>
        <v>2217962.171875</v>
      </c>
      <c r="ADN12" s="213">
        <f t="shared" si="123"/>
        <v>2217962.171875</v>
      </c>
      <c r="ADO12" s="213">
        <f t="shared" si="123"/>
        <v>2217962.171875</v>
      </c>
      <c r="ADP12" s="213">
        <f t="shared" si="123"/>
        <v>2217962.171875</v>
      </c>
      <c r="ADQ12" s="213">
        <f t="shared" si="123"/>
        <v>2217962.171875</v>
      </c>
      <c r="ADR12" s="213">
        <f t="shared" si="123"/>
        <v>2217962.171875</v>
      </c>
      <c r="ADS12" s="213">
        <f t="shared" si="123"/>
        <v>2217962.171875</v>
      </c>
      <c r="ADT12" s="213">
        <f t="shared" si="123"/>
        <v>2217962.171875</v>
      </c>
      <c r="ADU12" s="213">
        <f t="shared" si="123"/>
        <v>2217962.171875</v>
      </c>
      <c r="ADV12" s="213">
        <f t="shared" si="123"/>
        <v>2217962.171875</v>
      </c>
      <c r="ADW12" s="213">
        <f t="shared" si="123"/>
        <v>2217962.171875</v>
      </c>
      <c r="ADX12" s="213">
        <f t="shared" si="123"/>
        <v>2217962.171875</v>
      </c>
      <c r="ADY12" s="213">
        <f t="shared" si="123"/>
        <v>2217962.171875</v>
      </c>
      <c r="ADZ12" s="213">
        <f t="shared" si="123"/>
        <v>2217962.171875</v>
      </c>
      <c r="AEA12" s="213">
        <f t="shared" si="123"/>
        <v>2217962.171875</v>
      </c>
      <c r="AEB12" s="213">
        <f t="shared" si="123"/>
        <v>2217962.171875</v>
      </c>
      <c r="AEC12" s="213">
        <f t="shared" si="123"/>
        <v>2217962.171875</v>
      </c>
      <c r="AED12" s="213">
        <f t="shared" si="123"/>
        <v>2217962.171875</v>
      </c>
      <c r="AEE12" s="213">
        <f t="shared" si="123"/>
        <v>2217962.171875</v>
      </c>
      <c r="AEF12" s="213">
        <f t="shared" si="123"/>
        <v>2217962.171875</v>
      </c>
      <c r="AEG12" s="213">
        <f t="shared" si="123"/>
        <v>2217962.171875</v>
      </c>
      <c r="AEH12" s="213">
        <f t="shared" si="123"/>
        <v>2217962.171875</v>
      </c>
      <c r="AEI12" s="213">
        <f t="shared" si="123"/>
        <v>2217962.171875</v>
      </c>
      <c r="AEJ12" s="213">
        <f t="shared" si="123"/>
        <v>2217962.171875</v>
      </c>
      <c r="AEK12" s="213">
        <f t="shared" si="123"/>
        <v>2217962.171875</v>
      </c>
      <c r="AEL12" s="213">
        <f t="shared" si="123"/>
        <v>2217962.171875</v>
      </c>
      <c r="AEM12" s="213">
        <f t="shared" si="123"/>
        <v>2217962.171875</v>
      </c>
      <c r="AEN12" s="213">
        <f t="shared" si="123"/>
        <v>2217962.171875</v>
      </c>
      <c r="AEO12" s="213">
        <f t="shared" si="123"/>
        <v>2217962.171875</v>
      </c>
      <c r="AEP12" s="213">
        <f t="shared" si="123"/>
        <v>2217962.171875</v>
      </c>
      <c r="AEQ12" s="213">
        <f t="shared" si="123"/>
        <v>2217962.171875</v>
      </c>
      <c r="AER12" s="213">
        <f t="shared" si="123"/>
        <v>2217962.171875</v>
      </c>
      <c r="AES12" s="213">
        <f t="shared" si="123"/>
        <v>2217962.171875</v>
      </c>
      <c r="AET12" s="213">
        <f t="shared" si="123"/>
        <v>2217962.171875</v>
      </c>
      <c r="AEU12" s="213">
        <f t="shared" si="123"/>
        <v>2217962.171875</v>
      </c>
      <c r="AEV12" s="213">
        <f t="shared" si="123"/>
        <v>2217962.171875</v>
      </c>
      <c r="AEW12" s="213">
        <f t="shared" si="123"/>
        <v>2217962.171875</v>
      </c>
      <c r="AEX12" s="213">
        <f t="shared" si="123"/>
        <v>2217962.171875</v>
      </c>
      <c r="AEY12" s="213">
        <f t="shared" si="123"/>
        <v>2217962.171875</v>
      </c>
      <c r="AEZ12" s="213">
        <f t="shared" si="123"/>
        <v>2217962.171875</v>
      </c>
      <c r="AFA12" s="213">
        <f t="shared" si="123"/>
        <v>2217962.171875</v>
      </c>
      <c r="AFB12" s="213">
        <f t="shared" si="123"/>
        <v>2217962.171875</v>
      </c>
      <c r="AFC12" s="213">
        <f t="shared" si="123"/>
        <v>2217962.171875</v>
      </c>
      <c r="AFD12" s="213">
        <f t="shared" si="123"/>
        <v>2217962.171875</v>
      </c>
      <c r="AFE12" s="213">
        <f t="shared" si="123"/>
        <v>2217962.171875</v>
      </c>
      <c r="AFF12" s="213">
        <f t="shared" si="123"/>
        <v>2217962.171875</v>
      </c>
      <c r="AFG12" s="213">
        <f t="shared" si="123"/>
        <v>2217962.171875</v>
      </c>
      <c r="AFH12" s="213">
        <f t="shared" si="123"/>
        <v>2217962.171875</v>
      </c>
      <c r="AFI12" s="213">
        <f t="shared" ref="AFI12:AHT12" si="124">AFH12+AFI11</f>
        <v>2217962.171875</v>
      </c>
      <c r="AFJ12" s="213">
        <f t="shared" si="124"/>
        <v>2217962.171875</v>
      </c>
      <c r="AFK12" s="213">
        <f t="shared" si="124"/>
        <v>2217962.171875</v>
      </c>
      <c r="AFL12" s="213">
        <f t="shared" si="124"/>
        <v>2217962.171875</v>
      </c>
      <c r="AFM12" s="213">
        <f t="shared" si="124"/>
        <v>2217962.171875</v>
      </c>
      <c r="AFN12" s="213">
        <f t="shared" si="124"/>
        <v>2217962.171875</v>
      </c>
      <c r="AFO12" s="213">
        <f t="shared" si="124"/>
        <v>2217962.171875</v>
      </c>
      <c r="AFP12" s="213">
        <f t="shared" si="124"/>
        <v>2217962.171875</v>
      </c>
      <c r="AFQ12" s="213">
        <f t="shared" si="124"/>
        <v>2217962.171875</v>
      </c>
      <c r="AFR12" s="213">
        <f t="shared" si="124"/>
        <v>2217962.171875</v>
      </c>
      <c r="AFS12" s="213">
        <f t="shared" si="124"/>
        <v>2217962.171875</v>
      </c>
      <c r="AFT12" s="213">
        <f t="shared" si="124"/>
        <v>2217962.171875</v>
      </c>
      <c r="AFU12" s="213">
        <f t="shared" si="124"/>
        <v>2217962.171875</v>
      </c>
      <c r="AFV12" s="213">
        <f t="shared" si="124"/>
        <v>2217962.171875</v>
      </c>
      <c r="AFW12" s="213">
        <f t="shared" si="124"/>
        <v>2217962.171875</v>
      </c>
      <c r="AFX12" s="213">
        <f t="shared" si="124"/>
        <v>2217962.171875</v>
      </c>
      <c r="AFY12" s="213">
        <f t="shared" si="124"/>
        <v>2217962.171875</v>
      </c>
      <c r="AFZ12" s="213">
        <f t="shared" si="124"/>
        <v>2217962.171875</v>
      </c>
      <c r="AGA12" s="213">
        <f t="shared" si="124"/>
        <v>2217962.171875</v>
      </c>
      <c r="AGB12" s="213">
        <f t="shared" si="124"/>
        <v>2217962.171875</v>
      </c>
      <c r="AGC12" s="213">
        <f t="shared" si="124"/>
        <v>2217962.171875</v>
      </c>
      <c r="AGD12" s="213">
        <f t="shared" si="124"/>
        <v>2217962.171875</v>
      </c>
      <c r="AGE12" s="213">
        <f t="shared" si="124"/>
        <v>2217962.171875</v>
      </c>
      <c r="AGF12" s="213">
        <f t="shared" si="124"/>
        <v>2217962.171875</v>
      </c>
      <c r="AGG12" s="213">
        <f t="shared" si="124"/>
        <v>2217962.171875</v>
      </c>
      <c r="AGH12" s="213">
        <f t="shared" si="124"/>
        <v>2217962.171875</v>
      </c>
      <c r="AGI12" s="213">
        <f t="shared" si="124"/>
        <v>2217962.171875</v>
      </c>
      <c r="AGJ12" s="213">
        <f t="shared" si="124"/>
        <v>2217962.171875</v>
      </c>
      <c r="AGK12" s="213">
        <f t="shared" si="124"/>
        <v>2217962.171875</v>
      </c>
      <c r="AGL12" s="213">
        <f t="shared" si="124"/>
        <v>2217962.171875</v>
      </c>
      <c r="AGM12" s="213">
        <f t="shared" si="124"/>
        <v>2217962.171875</v>
      </c>
      <c r="AGN12" s="213">
        <f t="shared" si="124"/>
        <v>2217962.171875</v>
      </c>
      <c r="AGO12" s="213">
        <f t="shared" si="124"/>
        <v>2217962.171875</v>
      </c>
      <c r="AGP12" s="213">
        <f t="shared" si="124"/>
        <v>2217962.171875</v>
      </c>
      <c r="AGQ12" s="213">
        <f t="shared" si="124"/>
        <v>2217962.171875</v>
      </c>
      <c r="AGR12" s="213">
        <f t="shared" si="124"/>
        <v>2217962.171875</v>
      </c>
      <c r="AGS12" s="213">
        <f t="shared" si="124"/>
        <v>2217962.171875</v>
      </c>
      <c r="AGT12" s="213">
        <f t="shared" si="124"/>
        <v>2217962.171875</v>
      </c>
      <c r="AGU12" s="213">
        <f t="shared" si="124"/>
        <v>2217962.171875</v>
      </c>
      <c r="AGV12" s="213">
        <f t="shared" si="124"/>
        <v>2217962.171875</v>
      </c>
      <c r="AGW12" s="213">
        <f t="shared" si="124"/>
        <v>2217962.171875</v>
      </c>
      <c r="AGX12" s="213">
        <f t="shared" si="124"/>
        <v>2217962.171875</v>
      </c>
      <c r="AGY12" s="213">
        <f t="shared" si="124"/>
        <v>2217962.171875</v>
      </c>
      <c r="AGZ12" s="213">
        <f t="shared" si="124"/>
        <v>2217962.171875</v>
      </c>
      <c r="AHA12" s="213">
        <f t="shared" si="124"/>
        <v>2217962.171875</v>
      </c>
      <c r="AHB12" s="213">
        <f t="shared" si="124"/>
        <v>2217962.171875</v>
      </c>
      <c r="AHC12" s="213">
        <f t="shared" si="124"/>
        <v>2217962.171875</v>
      </c>
      <c r="AHD12" s="213">
        <f t="shared" si="124"/>
        <v>2217962.171875</v>
      </c>
      <c r="AHE12" s="213">
        <f t="shared" si="124"/>
        <v>2217962.171875</v>
      </c>
      <c r="AHF12" s="213">
        <f t="shared" si="124"/>
        <v>2217962.171875</v>
      </c>
      <c r="AHG12" s="213">
        <f t="shared" si="124"/>
        <v>2217962.171875</v>
      </c>
      <c r="AHH12" s="213">
        <f t="shared" si="124"/>
        <v>2217962.171875</v>
      </c>
      <c r="AHI12" s="213">
        <f t="shared" si="124"/>
        <v>2217962.171875</v>
      </c>
      <c r="AHJ12" s="213">
        <f t="shared" si="124"/>
        <v>2217962.171875</v>
      </c>
      <c r="AHK12" s="213">
        <f t="shared" si="124"/>
        <v>2217962.171875</v>
      </c>
      <c r="AHL12" s="213">
        <f t="shared" si="124"/>
        <v>2217962.171875</v>
      </c>
      <c r="AHM12" s="213">
        <f t="shared" si="124"/>
        <v>2217962.171875</v>
      </c>
      <c r="AHN12" s="213">
        <f t="shared" si="124"/>
        <v>2217962.171875</v>
      </c>
      <c r="AHO12" s="213">
        <f t="shared" si="124"/>
        <v>2217962.171875</v>
      </c>
      <c r="AHP12" s="213">
        <f t="shared" si="124"/>
        <v>2217962.171875</v>
      </c>
      <c r="AHQ12" s="213">
        <f t="shared" si="124"/>
        <v>2217962.171875</v>
      </c>
      <c r="AHR12" s="213">
        <f t="shared" si="124"/>
        <v>2217962.171875</v>
      </c>
      <c r="AHS12" s="213">
        <f t="shared" si="124"/>
        <v>2217962.171875</v>
      </c>
      <c r="AHT12" s="213">
        <f t="shared" si="124"/>
        <v>2217962.171875</v>
      </c>
      <c r="AHU12" s="213">
        <f t="shared" ref="AHU12:AKF12" si="125">AHT12+AHU11</f>
        <v>2217962.171875</v>
      </c>
      <c r="AHV12" s="213">
        <f t="shared" si="125"/>
        <v>2217962.171875</v>
      </c>
      <c r="AHW12" s="213">
        <f t="shared" si="125"/>
        <v>2217962.171875</v>
      </c>
      <c r="AHX12" s="213">
        <f t="shared" si="125"/>
        <v>2217962.171875</v>
      </c>
      <c r="AHY12" s="213">
        <f t="shared" si="125"/>
        <v>2217962.171875</v>
      </c>
      <c r="AHZ12" s="213">
        <f t="shared" si="125"/>
        <v>2217962.171875</v>
      </c>
      <c r="AIA12" s="213">
        <f t="shared" si="125"/>
        <v>2217962.171875</v>
      </c>
      <c r="AIB12" s="213">
        <f t="shared" si="125"/>
        <v>2217962.171875</v>
      </c>
      <c r="AIC12" s="213">
        <f t="shared" si="125"/>
        <v>2217962.171875</v>
      </c>
      <c r="AID12" s="213">
        <f t="shared" si="125"/>
        <v>2217962.171875</v>
      </c>
      <c r="AIE12" s="213">
        <f t="shared" si="125"/>
        <v>2217962.171875</v>
      </c>
      <c r="AIF12" s="213">
        <f t="shared" si="125"/>
        <v>2217962.171875</v>
      </c>
      <c r="AIG12" s="213">
        <f t="shared" si="125"/>
        <v>2217962.171875</v>
      </c>
      <c r="AIH12" s="213">
        <f t="shared" si="125"/>
        <v>2217962.171875</v>
      </c>
      <c r="AII12" s="213">
        <f t="shared" si="125"/>
        <v>2217962.171875</v>
      </c>
      <c r="AIJ12" s="213">
        <f t="shared" si="125"/>
        <v>2217962.171875</v>
      </c>
      <c r="AIK12" s="213">
        <f t="shared" si="125"/>
        <v>2217962.171875</v>
      </c>
      <c r="AIL12" s="213">
        <f t="shared" si="125"/>
        <v>2217962.171875</v>
      </c>
      <c r="AIM12" s="213">
        <f t="shared" si="125"/>
        <v>2217962.171875</v>
      </c>
      <c r="AIN12" s="213">
        <f t="shared" si="125"/>
        <v>2217962.171875</v>
      </c>
      <c r="AIO12" s="213">
        <f t="shared" si="125"/>
        <v>2217962.171875</v>
      </c>
      <c r="AIP12" s="213">
        <f t="shared" si="125"/>
        <v>2217962.171875</v>
      </c>
      <c r="AIQ12" s="213">
        <f t="shared" si="125"/>
        <v>2217962.171875</v>
      </c>
      <c r="AIR12" s="213">
        <f t="shared" si="125"/>
        <v>2217962.171875</v>
      </c>
      <c r="AIS12" s="213">
        <f t="shared" si="125"/>
        <v>2217962.171875</v>
      </c>
      <c r="AIT12" s="213">
        <f t="shared" si="125"/>
        <v>2217962.171875</v>
      </c>
      <c r="AIU12" s="213">
        <f t="shared" si="125"/>
        <v>2217962.171875</v>
      </c>
      <c r="AIV12" s="213">
        <f t="shared" si="125"/>
        <v>2217962.171875</v>
      </c>
      <c r="AIW12" s="213">
        <f t="shared" si="125"/>
        <v>2217962.171875</v>
      </c>
      <c r="AIX12" s="213">
        <f t="shared" si="125"/>
        <v>2217962.171875</v>
      </c>
      <c r="AIY12" s="213">
        <f t="shared" si="125"/>
        <v>2217962.171875</v>
      </c>
      <c r="AIZ12" s="213">
        <f t="shared" si="125"/>
        <v>2217962.171875</v>
      </c>
      <c r="AJA12" s="213">
        <f t="shared" si="125"/>
        <v>2217962.171875</v>
      </c>
      <c r="AJB12" s="213">
        <f t="shared" si="125"/>
        <v>2217962.171875</v>
      </c>
      <c r="AJC12" s="213">
        <f t="shared" si="125"/>
        <v>2217962.171875</v>
      </c>
      <c r="AJD12" s="213">
        <f t="shared" si="125"/>
        <v>2217962.171875</v>
      </c>
      <c r="AJE12" s="213">
        <f t="shared" si="125"/>
        <v>2217962.171875</v>
      </c>
      <c r="AJF12" s="213">
        <f t="shared" si="125"/>
        <v>2217962.171875</v>
      </c>
      <c r="AJG12" s="213">
        <f t="shared" si="125"/>
        <v>2217962.171875</v>
      </c>
      <c r="AJH12" s="213">
        <f t="shared" si="125"/>
        <v>2217962.171875</v>
      </c>
      <c r="AJI12" s="213">
        <f t="shared" si="125"/>
        <v>2217962.171875</v>
      </c>
      <c r="AJJ12" s="213">
        <f t="shared" si="125"/>
        <v>2217962.171875</v>
      </c>
      <c r="AJK12" s="213">
        <f t="shared" si="125"/>
        <v>2217962.171875</v>
      </c>
      <c r="AJL12" s="213">
        <f t="shared" si="125"/>
        <v>2217962.171875</v>
      </c>
      <c r="AJM12" s="213">
        <f t="shared" si="125"/>
        <v>2217962.171875</v>
      </c>
      <c r="AJN12" s="213">
        <f t="shared" si="125"/>
        <v>2217962.171875</v>
      </c>
      <c r="AJO12" s="213">
        <f t="shared" si="125"/>
        <v>2217962.171875</v>
      </c>
      <c r="AJP12" s="213">
        <f t="shared" si="125"/>
        <v>2217962.171875</v>
      </c>
      <c r="AJQ12" s="213">
        <f t="shared" si="125"/>
        <v>2217962.171875</v>
      </c>
      <c r="AJR12" s="213">
        <f t="shared" si="125"/>
        <v>2217962.171875</v>
      </c>
      <c r="AJS12" s="213">
        <f t="shared" si="125"/>
        <v>2217962.171875</v>
      </c>
      <c r="AJT12" s="213">
        <f t="shared" si="125"/>
        <v>2217962.171875</v>
      </c>
      <c r="AJU12" s="213">
        <f t="shared" si="125"/>
        <v>2217962.171875</v>
      </c>
      <c r="AJV12" s="213">
        <f t="shared" si="125"/>
        <v>2217962.171875</v>
      </c>
      <c r="AJW12" s="213">
        <f t="shared" si="125"/>
        <v>2217962.171875</v>
      </c>
      <c r="AJX12" s="213">
        <f t="shared" si="125"/>
        <v>2217962.171875</v>
      </c>
      <c r="AJY12" s="213">
        <f t="shared" si="125"/>
        <v>2217962.171875</v>
      </c>
      <c r="AJZ12" s="213">
        <f t="shared" si="125"/>
        <v>2217962.171875</v>
      </c>
      <c r="AKA12" s="213">
        <f t="shared" si="125"/>
        <v>2217962.171875</v>
      </c>
      <c r="AKB12" s="213">
        <f t="shared" si="125"/>
        <v>2217962.171875</v>
      </c>
      <c r="AKC12" s="213">
        <f t="shared" si="125"/>
        <v>2217962.171875</v>
      </c>
      <c r="AKD12" s="213">
        <f t="shared" si="125"/>
        <v>2217962.171875</v>
      </c>
      <c r="AKE12" s="213">
        <f t="shared" si="125"/>
        <v>2217962.171875</v>
      </c>
      <c r="AKF12" s="213">
        <f t="shared" si="125"/>
        <v>2217962.171875</v>
      </c>
      <c r="AKG12" s="213">
        <f t="shared" ref="AKG12:AMR12" si="126">AKF12+AKG11</f>
        <v>2217962.171875</v>
      </c>
      <c r="AKH12" s="213">
        <f t="shared" si="126"/>
        <v>2217962.171875</v>
      </c>
      <c r="AKI12" s="213">
        <f t="shared" si="126"/>
        <v>2217962.171875</v>
      </c>
      <c r="AKJ12" s="213">
        <f t="shared" si="126"/>
        <v>2217962.171875</v>
      </c>
      <c r="AKK12" s="213">
        <f t="shared" si="126"/>
        <v>2217962.171875</v>
      </c>
      <c r="AKL12" s="213">
        <f t="shared" si="126"/>
        <v>2217962.171875</v>
      </c>
      <c r="AKM12" s="213">
        <f t="shared" si="126"/>
        <v>2217962.171875</v>
      </c>
      <c r="AKN12" s="213">
        <f t="shared" si="126"/>
        <v>2217962.171875</v>
      </c>
      <c r="AKO12" s="213">
        <f t="shared" si="126"/>
        <v>2217962.171875</v>
      </c>
      <c r="AKP12" s="213">
        <f t="shared" si="126"/>
        <v>2217962.171875</v>
      </c>
      <c r="AKQ12" s="213">
        <f t="shared" si="126"/>
        <v>2217962.171875</v>
      </c>
      <c r="AKR12" s="213">
        <f t="shared" si="126"/>
        <v>2217962.171875</v>
      </c>
      <c r="AKS12" s="213">
        <f t="shared" si="126"/>
        <v>2217962.171875</v>
      </c>
      <c r="AKT12" s="213">
        <f t="shared" si="126"/>
        <v>2217962.171875</v>
      </c>
      <c r="AKU12" s="213">
        <f t="shared" si="126"/>
        <v>2217962.171875</v>
      </c>
      <c r="AKV12" s="213">
        <f t="shared" si="126"/>
        <v>2217962.171875</v>
      </c>
      <c r="AKW12" s="213">
        <f t="shared" si="126"/>
        <v>2217962.171875</v>
      </c>
      <c r="AKX12" s="213">
        <f t="shared" si="126"/>
        <v>2217962.171875</v>
      </c>
      <c r="AKY12" s="213">
        <f t="shared" si="126"/>
        <v>2217962.171875</v>
      </c>
      <c r="AKZ12" s="213">
        <f t="shared" si="126"/>
        <v>2217962.171875</v>
      </c>
      <c r="ALA12" s="213">
        <f t="shared" si="126"/>
        <v>2217962.171875</v>
      </c>
      <c r="ALB12" s="213">
        <f t="shared" si="126"/>
        <v>2217962.171875</v>
      </c>
      <c r="ALC12" s="213">
        <f t="shared" si="126"/>
        <v>2217962.171875</v>
      </c>
      <c r="ALD12" s="213">
        <f t="shared" si="126"/>
        <v>2217962.171875</v>
      </c>
      <c r="ALE12" s="213">
        <f t="shared" si="126"/>
        <v>2217962.171875</v>
      </c>
      <c r="ALF12" s="213">
        <f t="shared" si="126"/>
        <v>2217962.171875</v>
      </c>
      <c r="ALG12" s="213">
        <f t="shared" si="126"/>
        <v>2217962.171875</v>
      </c>
      <c r="ALH12" s="213">
        <f t="shared" si="126"/>
        <v>2217962.171875</v>
      </c>
      <c r="ALI12" s="213">
        <f t="shared" si="126"/>
        <v>2217962.171875</v>
      </c>
      <c r="ALJ12" s="213">
        <f t="shared" si="126"/>
        <v>2217962.171875</v>
      </c>
      <c r="ALK12" s="213">
        <f t="shared" si="126"/>
        <v>2217962.171875</v>
      </c>
      <c r="ALL12" s="213">
        <f t="shared" si="126"/>
        <v>2217962.171875</v>
      </c>
      <c r="ALM12" s="213">
        <f t="shared" si="126"/>
        <v>2217962.171875</v>
      </c>
      <c r="ALN12" s="213">
        <f t="shared" si="126"/>
        <v>2217962.171875</v>
      </c>
      <c r="ALO12" s="213">
        <f t="shared" si="126"/>
        <v>2217962.171875</v>
      </c>
      <c r="ALP12" s="213">
        <f t="shared" si="126"/>
        <v>2217962.171875</v>
      </c>
      <c r="ALQ12" s="213">
        <f t="shared" si="126"/>
        <v>2217962.171875</v>
      </c>
      <c r="ALR12" s="213">
        <f t="shared" si="126"/>
        <v>2217962.171875</v>
      </c>
      <c r="ALS12" s="213">
        <f t="shared" si="126"/>
        <v>2217962.171875</v>
      </c>
      <c r="ALT12" s="213">
        <f t="shared" si="126"/>
        <v>2217962.171875</v>
      </c>
      <c r="ALU12" s="213">
        <f t="shared" si="126"/>
        <v>2217962.171875</v>
      </c>
      <c r="ALV12" s="213">
        <f t="shared" si="126"/>
        <v>2217962.171875</v>
      </c>
      <c r="ALW12" s="213">
        <f t="shared" si="126"/>
        <v>2217962.171875</v>
      </c>
      <c r="ALX12" s="213">
        <f t="shared" si="126"/>
        <v>2217962.171875</v>
      </c>
      <c r="ALY12" s="213">
        <f t="shared" si="126"/>
        <v>2217962.171875</v>
      </c>
      <c r="ALZ12" s="213">
        <f t="shared" si="126"/>
        <v>2217962.171875</v>
      </c>
      <c r="AMA12" s="213">
        <f t="shared" si="126"/>
        <v>2217962.171875</v>
      </c>
      <c r="AMB12" s="213">
        <f t="shared" si="126"/>
        <v>2217962.171875</v>
      </c>
      <c r="AMC12" s="213">
        <f t="shared" si="126"/>
        <v>2217962.171875</v>
      </c>
      <c r="AMD12" s="213">
        <f t="shared" si="126"/>
        <v>2217962.171875</v>
      </c>
      <c r="AME12" s="213">
        <f t="shared" si="126"/>
        <v>2217962.171875</v>
      </c>
      <c r="AMF12" s="213">
        <f t="shared" si="126"/>
        <v>2217962.171875</v>
      </c>
      <c r="AMG12" s="213">
        <f t="shared" si="126"/>
        <v>2217962.171875</v>
      </c>
      <c r="AMH12" s="213">
        <f t="shared" si="126"/>
        <v>2217962.171875</v>
      </c>
      <c r="AMI12" s="213">
        <f t="shared" si="126"/>
        <v>2217962.171875</v>
      </c>
      <c r="AMJ12" s="213">
        <f t="shared" si="126"/>
        <v>2217962.171875</v>
      </c>
      <c r="AMK12" s="213">
        <f t="shared" si="126"/>
        <v>2217962.171875</v>
      </c>
      <c r="AML12" s="213">
        <f t="shared" si="126"/>
        <v>2217962.171875</v>
      </c>
      <c r="AMM12" s="213">
        <f t="shared" si="126"/>
        <v>2217962.171875</v>
      </c>
      <c r="AMN12" s="213">
        <f t="shared" si="126"/>
        <v>2217962.171875</v>
      </c>
      <c r="AMO12" s="213">
        <f t="shared" si="126"/>
        <v>2217962.171875</v>
      </c>
      <c r="AMP12" s="213">
        <f t="shared" si="126"/>
        <v>2217962.171875</v>
      </c>
      <c r="AMQ12" s="213">
        <f t="shared" si="126"/>
        <v>2217962.171875</v>
      </c>
      <c r="AMR12" s="213">
        <f t="shared" si="126"/>
        <v>2217962.171875</v>
      </c>
      <c r="AMS12" s="213">
        <f t="shared" ref="AMS12:APD12" si="127">AMR12+AMS11</f>
        <v>2217962.171875</v>
      </c>
      <c r="AMT12" s="213">
        <f t="shared" si="127"/>
        <v>2217962.171875</v>
      </c>
      <c r="AMU12" s="213">
        <f t="shared" si="127"/>
        <v>2217962.171875</v>
      </c>
      <c r="AMV12" s="213">
        <f t="shared" si="127"/>
        <v>2217962.171875</v>
      </c>
      <c r="AMW12" s="213">
        <f t="shared" si="127"/>
        <v>2217962.171875</v>
      </c>
      <c r="AMX12" s="213">
        <f t="shared" si="127"/>
        <v>2217962.171875</v>
      </c>
      <c r="AMY12" s="213">
        <f t="shared" si="127"/>
        <v>2217962.171875</v>
      </c>
      <c r="AMZ12" s="213">
        <f t="shared" si="127"/>
        <v>2217962.171875</v>
      </c>
      <c r="ANA12" s="213">
        <f t="shared" si="127"/>
        <v>2217962.171875</v>
      </c>
      <c r="ANB12" s="213">
        <f t="shared" si="127"/>
        <v>2217962.171875</v>
      </c>
      <c r="ANC12" s="213">
        <f t="shared" si="127"/>
        <v>2217962.171875</v>
      </c>
      <c r="AND12" s="213">
        <f t="shared" si="127"/>
        <v>2217962.171875</v>
      </c>
      <c r="ANE12" s="213">
        <f t="shared" si="127"/>
        <v>2217962.171875</v>
      </c>
      <c r="ANF12" s="213">
        <f t="shared" si="127"/>
        <v>2217962.171875</v>
      </c>
      <c r="ANG12" s="213">
        <f t="shared" si="127"/>
        <v>2217962.171875</v>
      </c>
      <c r="ANH12" s="213">
        <f t="shared" si="127"/>
        <v>2217962.171875</v>
      </c>
      <c r="ANI12" s="213">
        <f t="shared" si="127"/>
        <v>2217962.171875</v>
      </c>
      <c r="ANJ12" s="213">
        <f t="shared" si="127"/>
        <v>2217962.171875</v>
      </c>
      <c r="ANK12" s="213">
        <f t="shared" si="127"/>
        <v>2217962.171875</v>
      </c>
      <c r="ANL12" s="213">
        <f t="shared" si="127"/>
        <v>2217962.171875</v>
      </c>
      <c r="ANM12" s="213">
        <f t="shared" si="127"/>
        <v>2217962.171875</v>
      </c>
      <c r="ANN12" s="213">
        <f t="shared" si="127"/>
        <v>2217962.171875</v>
      </c>
      <c r="ANO12" s="213">
        <f t="shared" si="127"/>
        <v>2217962.171875</v>
      </c>
      <c r="ANP12" s="213">
        <f t="shared" si="127"/>
        <v>2217962.171875</v>
      </c>
      <c r="ANQ12" s="213">
        <f t="shared" si="127"/>
        <v>2217962.171875</v>
      </c>
      <c r="ANR12" s="213">
        <f t="shared" si="127"/>
        <v>2217962.171875</v>
      </c>
      <c r="ANS12" s="213">
        <f t="shared" si="127"/>
        <v>2217962.171875</v>
      </c>
      <c r="ANT12" s="213">
        <f t="shared" si="127"/>
        <v>2217962.171875</v>
      </c>
      <c r="ANU12" s="213">
        <f t="shared" si="127"/>
        <v>2217962.171875</v>
      </c>
      <c r="ANV12" s="213">
        <f t="shared" si="127"/>
        <v>2217962.171875</v>
      </c>
      <c r="ANW12" s="213">
        <f t="shared" si="127"/>
        <v>2217962.171875</v>
      </c>
      <c r="ANX12" s="213">
        <f t="shared" si="127"/>
        <v>2217962.171875</v>
      </c>
      <c r="ANY12" s="213">
        <f t="shared" si="127"/>
        <v>2217962.171875</v>
      </c>
      <c r="ANZ12" s="213">
        <f t="shared" si="127"/>
        <v>2217962.171875</v>
      </c>
      <c r="AOA12" s="213">
        <f t="shared" si="127"/>
        <v>2217962.171875</v>
      </c>
      <c r="AOB12" s="213">
        <f t="shared" si="127"/>
        <v>2217962.171875</v>
      </c>
      <c r="AOC12" s="213">
        <f t="shared" si="127"/>
        <v>2217962.171875</v>
      </c>
      <c r="AOD12" s="213">
        <f t="shared" si="127"/>
        <v>2217962.171875</v>
      </c>
      <c r="AOE12" s="213">
        <f t="shared" si="127"/>
        <v>2217962.171875</v>
      </c>
      <c r="AOF12" s="213">
        <f t="shared" si="127"/>
        <v>2217962.171875</v>
      </c>
      <c r="AOG12" s="213">
        <f t="shared" si="127"/>
        <v>2217962.171875</v>
      </c>
      <c r="AOH12" s="213">
        <f t="shared" si="127"/>
        <v>2217962.171875</v>
      </c>
      <c r="AOI12" s="213">
        <f t="shared" si="127"/>
        <v>2217962.171875</v>
      </c>
      <c r="AOJ12" s="213">
        <f t="shared" si="127"/>
        <v>2217962.171875</v>
      </c>
      <c r="AOK12" s="213">
        <f t="shared" si="127"/>
        <v>2217962.171875</v>
      </c>
      <c r="AOL12" s="213">
        <f t="shared" si="127"/>
        <v>2217962.171875</v>
      </c>
      <c r="AOM12" s="213">
        <f t="shared" si="127"/>
        <v>2217962.171875</v>
      </c>
      <c r="AON12" s="213">
        <f t="shared" si="127"/>
        <v>2217962.171875</v>
      </c>
      <c r="AOO12" s="213">
        <f t="shared" si="127"/>
        <v>2217962.171875</v>
      </c>
      <c r="AOP12" s="213">
        <f t="shared" si="127"/>
        <v>2217962.171875</v>
      </c>
      <c r="AOQ12" s="213">
        <f t="shared" si="127"/>
        <v>2217962.171875</v>
      </c>
      <c r="AOR12" s="213">
        <f t="shared" si="127"/>
        <v>2217962.171875</v>
      </c>
      <c r="AOS12" s="213">
        <f t="shared" si="127"/>
        <v>2217962.171875</v>
      </c>
      <c r="AOT12" s="213">
        <f t="shared" si="127"/>
        <v>2217962.171875</v>
      </c>
      <c r="AOU12" s="213">
        <f t="shared" si="127"/>
        <v>2217962.171875</v>
      </c>
      <c r="AOV12" s="213">
        <f t="shared" si="127"/>
        <v>2217962.171875</v>
      </c>
      <c r="AOW12" s="213">
        <f t="shared" si="127"/>
        <v>2217962.171875</v>
      </c>
      <c r="AOX12" s="213">
        <f t="shared" si="127"/>
        <v>2217962.171875</v>
      </c>
      <c r="AOY12" s="213">
        <f t="shared" si="127"/>
        <v>2217962.171875</v>
      </c>
      <c r="AOZ12" s="213">
        <f t="shared" si="127"/>
        <v>2217962.171875</v>
      </c>
      <c r="APA12" s="213">
        <f t="shared" si="127"/>
        <v>2217962.171875</v>
      </c>
      <c r="APB12" s="213">
        <f t="shared" si="127"/>
        <v>2217962.171875</v>
      </c>
      <c r="APC12" s="213">
        <f t="shared" si="127"/>
        <v>2217962.171875</v>
      </c>
      <c r="APD12" s="213">
        <f t="shared" si="127"/>
        <v>2217962.171875</v>
      </c>
      <c r="APE12" s="213">
        <f t="shared" ref="APE12:ARP12" si="128">APD12+APE11</f>
        <v>2217962.171875</v>
      </c>
      <c r="APF12" s="213">
        <f t="shared" si="128"/>
        <v>2217962.171875</v>
      </c>
      <c r="APG12" s="213">
        <f t="shared" si="128"/>
        <v>2217962.171875</v>
      </c>
      <c r="APH12" s="213">
        <f t="shared" si="128"/>
        <v>2217962.171875</v>
      </c>
      <c r="API12" s="213">
        <f t="shared" si="128"/>
        <v>2217962.171875</v>
      </c>
      <c r="APJ12" s="213">
        <f t="shared" si="128"/>
        <v>2217962.171875</v>
      </c>
      <c r="APK12" s="213">
        <f t="shared" si="128"/>
        <v>2217962.171875</v>
      </c>
      <c r="APL12" s="213">
        <f t="shared" si="128"/>
        <v>2217962.171875</v>
      </c>
      <c r="APM12" s="213">
        <f t="shared" si="128"/>
        <v>2217962.171875</v>
      </c>
      <c r="APN12" s="213">
        <f t="shared" si="128"/>
        <v>2217962.171875</v>
      </c>
      <c r="APO12" s="213">
        <f t="shared" si="128"/>
        <v>2217962.171875</v>
      </c>
      <c r="APP12" s="213">
        <f t="shared" si="128"/>
        <v>2217962.171875</v>
      </c>
      <c r="APQ12" s="213">
        <f t="shared" si="128"/>
        <v>2217962.171875</v>
      </c>
      <c r="APR12" s="213">
        <f t="shared" si="128"/>
        <v>2217962.171875</v>
      </c>
      <c r="APS12" s="213">
        <f t="shared" si="128"/>
        <v>2217962.171875</v>
      </c>
      <c r="APT12" s="213">
        <f t="shared" si="128"/>
        <v>2217962.171875</v>
      </c>
      <c r="APU12" s="213">
        <f t="shared" si="128"/>
        <v>2217962.171875</v>
      </c>
      <c r="APV12" s="213">
        <f t="shared" si="128"/>
        <v>2217962.171875</v>
      </c>
      <c r="APW12" s="213">
        <f t="shared" si="128"/>
        <v>2217962.171875</v>
      </c>
      <c r="APX12" s="213">
        <f t="shared" si="128"/>
        <v>2217962.171875</v>
      </c>
      <c r="APY12" s="213">
        <f t="shared" si="128"/>
        <v>2217962.171875</v>
      </c>
      <c r="APZ12" s="213">
        <f t="shared" si="128"/>
        <v>2217962.171875</v>
      </c>
      <c r="AQA12" s="213">
        <f t="shared" si="128"/>
        <v>2217962.171875</v>
      </c>
      <c r="AQB12" s="213">
        <f t="shared" si="128"/>
        <v>2217962.171875</v>
      </c>
      <c r="AQC12" s="213">
        <f t="shared" si="128"/>
        <v>2217962.171875</v>
      </c>
      <c r="AQD12" s="213">
        <f t="shared" si="128"/>
        <v>2217962.171875</v>
      </c>
      <c r="AQE12" s="213">
        <f t="shared" si="128"/>
        <v>2217962.171875</v>
      </c>
      <c r="AQF12" s="213">
        <f t="shared" si="128"/>
        <v>2217962.171875</v>
      </c>
      <c r="AQG12" s="213">
        <f t="shared" si="128"/>
        <v>2217962.171875</v>
      </c>
      <c r="AQH12" s="213">
        <f t="shared" si="128"/>
        <v>2217962.171875</v>
      </c>
      <c r="AQI12" s="213">
        <f t="shared" si="128"/>
        <v>2217962.171875</v>
      </c>
      <c r="AQJ12" s="213">
        <f t="shared" si="128"/>
        <v>2217962.171875</v>
      </c>
      <c r="AQK12" s="213">
        <f t="shared" si="128"/>
        <v>2217962.171875</v>
      </c>
      <c r="AQL12" s="213">
        <f t="shared" si="128"/>
        <v>2217962.171875</v>
      </c>
      <c r="AQM12" s="213">
        <f t="shared" si="128"/>
        <v>2217962.171875</v>
      </c>
      <c r="AQN12" s="213">
        <f t="shared" si="128"/>
        <v>2217962.171875</v>
      </c>
      <c r="AQO12" s="213">
        <f t="shared" si="128"/>
        <v>2217962.171875</v>
      </c>
      <c r="AQP12" s="213">
        <f t="shared" si="128"/>
        <v>2217962.171875</v>
      </c>
      <c r="AQQ12" s="213">
        <f t="shared" si="128"/>
        <v>2217962.171875</v>
      </c>
      <c r="AQR12" s="213">
        <f t="shared" si="128"/>
        <v>2217962.171875</v>
      </c>
      <c r="AQS12" s="213">
        <f t="shared" si="128"/>
        <v>2217962.171875</v>
      </c>
      <c r="AQT12" s="213">
        <f t="shared" si="128"/>
        <v>2217962.171875</v>
      </c>
      <c r="AQU12" s="213">
        <f t="shared" si="128"/>
        <v>2217962.171875</v>
      </c>
      <c r="AQV12" s="213">
        <f t="shared" si="128"/>
        <v>2217962.171875</v>
      </c>
      <c r="AQW12" s="213">
        <f t="shared" si="128"/>
        <v>2217962.171875</v>
      </c>
      <c r="AQX12" s="213">
        <f t="shared" si="128"/>
        <v>2217962.171875</v>
      </c>
      <c r="AQY12" s="213">
        <f t="shared" si="128"/>
        <v>2217962.171875</v>
      </c>
      <c r="AQZ12" s="213">
        <f t="shared" si="128"/>
        <v>2217962.171875</v>
      </c>
      <c r="ARA12" s="213">
        <f t="shared" si="128"/>
        <v>2217962.171875</v>
      </c>
      <c r="ARB12" s="213">
        <f t="shared" si="128"/>
        <v>2217962.171875</v>
      </c>
      <c r="ARC12" s="213">
        <f t="shared" si="128"/>
        <v>2217962.171875</v>
      </c>
      <c r="ARD12" s="213">
        <f t="shared" si="128"/>
        <v>2217962.171875</v>
      </c>
      <c r="ARE12" s="213">
        <f t="shared" si="128"/>
        <v>2217962.171875</v>
      </c>
      <c r="ARF12" s="213">
        <f t="shared" si="128"/>
        <v>2217962.171875</v>
      </c>
      <c r="ARG12" s="213">
        <f t="shared" si="128"/>
        <v>2217962.171875</v>
      </c>
      <c r="ARH12" s="213">
        <f t="shared" si="128"/>
        <v>2217962.171875</v>
      </c>
      <c r="ARI12" s="213">
        <f t="shared" si="128"/>
        <v>2217962.171875</v>
      </c>
      <c r="ARJ12" s="213">
        <f t="shared" si="128"/>
        <v>2217962.171875</v>
      </c>
      <c r="ARK12" s="213">
        <f t="shared" si="128"/>
        <v>2217962.171875</v>
      </c>
      <c r="ARL12" s="213">
        <f t="shared" si="128"/>
        <v>2217962.171875</v>
      </c>
      <c r="ARM12" s="213">
        <f t="shared" si="128"/>
        <v>2217962.171875</v>
      </c>
      <c r="ARN12" s="213">
        <f t="shared" si="128"/>
        <v>2217962.171875</v>
      </c>
      <c r="ARO12" s="213">
        <f t="shared" si="128"/>
        <v>2217962.171875</v>
      </c>
      <c r="ARP12" s="213">
        <f t="shared" si="128"/>
        <v>2217962.171875</v>
      </c>
      <c r="ARQ12" s="213">
        <f t="shared" ref="ARQ12:AUB12" si="129">ARP12+ARQ11</f>
        <v>2217962.171875</v>
      </c>
      <c r="ARR12" s="213">
        <f t="shared" si="129"/>
        <v>2217962.171875</v>
      </c>
      <c r="ARS12" s="213">
        <f t="shared" si="129"/>
        <v>2217962.171875</v>
      </c>
      <c r="ART12" s="213">
        <f t="shared" si="129"/>
        <v>2217962.171875</v>
      </c>
      <c r="ARU12" s="213">
        <f t="shared" si="129"/>
        <v>2217962.171875</v>
      </c>
      <c r="ARV12" s="213">
        <f t="shared" si="129"/>
        <v>2217962.171875</v>
      </c>
      <c r="ARW12" s="213">
        <f t="shared" si="129"/>
        <v>2217962.171875</v>
      </c>
      <c r="ARX12" s="213">
        <f t="shared" si="129"/>
        <v>2217962.171875</v>
      </c>
      <c r="ARY12" s="213">
        <f t="shared" si="129"/>
        <v>2217962.171875</v>
      </c>
      <c r="ARZ12" s="213">
        <f t="shared" si="129"/>
        <v>2217962.171875</v>
      </c>
      <c r="ASA12" s="213">
        <f t="shared" si="129"/>
        <v>2217962.171875</v>
      </c>
      <c r="ASB12" s="213">
        <f t="shared" si="129"/>
        <v>2217962.171875</v>
      </c>
      <c r="ASC12" s="213">
        <f t="shared" si="129"/>
        <v>2217962.171875</v>
      </c>
      <c r="ASD12" s="213">
        <f t="shared" si="129"/>
        <v>2217962.171875</v>
      </c>
      <c r="ASE12" s="213">
        <f t="shared" si="129"/>
        <v>2217962.171875</v>
      </c>
      <c r="ASF12" s="213">
        <f t="shared" si="129"/>
        <v>2217962.171875</v>
      </c>
      <c r="ASG12" s="213">
        <f t="shared" si="129"/>
        <v>2217962.171875</v>
      </c>
      <c r="ASH12" s="213">
        <f t="shared" si="129"/>
        <v>2217962.171875</v>
      </c>
      <c r="ASI12" s="213">
        <f t="shared" si="129"/>
        <v>2217962.171875</v>
      </c>
      <c r="ASJ12" s="213">
        <f t="shared" si="129"/>
        <v>2217962.171875</v>
      </c>
      <c r="ASK12" s="213">
        <f t="shared" si="129"/>
        <v>2217962.171875</v>
      </c>
      <c r="ASL12" s="213">
        <f t="shared" si="129"/>
        <v>2217962.171875</v>
      </c>
      <c r="ASM12" s="213">
        <f t="shared" si="129"/>
        <v>2217962.171875</v>
      </c>
      <c r="ASN12" s="213">
        <f t="shared" si="129"/>
        <v>2217962.171875</v>
      </c>
      <c r="ASO12" s="213">
        <f t="shared" si="129"/>
        <v>2217962.171875</v>
      </c>
      <c r="ASP12" s="213">
        <f t="shared" si="129"/>
        <v>2217962.171875</v>
      </c>
      <c r="ASQ12" s="213">
        <f t="shared" si="129"/>
        <v>2217962.171875</v>
      </c>
      <c r="ASR12" s="213">
        <f t="shared" si="129"/>
        <v>2217962.171875</v>
      </c>
      <c r="ASS12" s="213">
        <f t="shared" si="129"/>
        <v>2217962.171875</v>
      </c>
      <c r="AST12" s="213">
        <f t="shared" si="129"/>
        <v>2217962.171875</v>
      </c>
      <c r="ASU12" s="213">
        <f t="shared" si="129"/>
        <v>2217962.171875</v>
      </c>
      <c r="ASV12" s="213">
        <f t="shared" si="129"/>
        <v>2217962.171875</v>
      </c>
      <c r="ASW12" s="213">
        <f t="shared" si="129"/>
        <v>2217962.171875</v>
      </c>
      <c r="ASX12" s="213">
        <f t="shared" si="129"/>
        <v>2217962.171875</v>
      </c>
      <c r="ASY12" s="213">
        <f t="shared" si="129"/>
        <v>2217962.171875</v>
      </c>
      <c r="ASZ12" s="213">
        <f t="shared" si="129"/>
        <v>2217962.171875</v>
      </c>
      <c r="ATA12" s="213">
        <f t="shared" si="129"/>
        <v>2217962.171875</v>
      </c>
      <c r="ATB12" s="213">
        <f t="shared" si="129"/>
        <v>2217962.171875</v>
      </c>
      <c r="ATC12" s="213">
        <f t="shared" si="129"/>
        <v>2217962.171875</v>
      </c>
      <c r="ATD12" s="213">
        <f t="shared" si="129"/>
        <v>2217962.171875</v>
      </c>
      <c r="ATE12" s="213">
        <f t="shared" si="129"/>
        <v>2217962.171875</v>
      </c>
      <c r="ATF12" s="213">
        <f t="shared" si="129"/>
        <v>2217962.171875</v>
      </c>
      <c r="ATG12" s="213">
        <f t="shared" si="129"/>
        <v>2217962.171875</v>
      </c>
      <c r="ATH12" s="213">
        <f t="shared" si="129"/>
        <v>2217962.171875</v>
      </c>
      <c r="ATI12" s="213">
        <f t="shared" si="129"/>
        <v>2217962.171875</v>
      </c>
      <c r="ATJ12" s="213">
        <f t="shared" si="129"/>
        <v>2217962.171875</v>
      </c>
      <c r="ATK12" s="213">
        <f t="shared" si="129"/>
        <v>2217962.171875</v>
      </c>
      <c r="ATL12" s="213">
        <f t="shared" si="129"/>
        <v>2217962.171875</v>
      </c>
      <c r="ATM12" s="213">
        <f t="shared" si="129"/>
        <v>2217962.171875</v>
      </c>
      <c r="ATN12" s="213">
        <f t="shared" si="129"/>
        <v>2217962.171875</v>
      </c>
      <c r="ATO12" s="213">
        <f t="shared" si="129"/>
        <v>2217962.171875</v>
      </c>
      <c r="ATP12" s="213">
        <f t="shared" si="129"/>
        <v>2217962.171875</v>
      </c>
      <c r="ATQ12" s="213">
        <f t="shared" si="129"/>
        <v>2217962.171875</v>
      </c>
      <c r="ATR12" s="213">
        <f t="shared" si="129"/>
        <v>2217962.171875</v>
      </c>
      <c r="ATS12" s="213">
        <f t="shared" si="129"/>
        <v>2217962.171875</v>
      </c>
      <c r="ATT12" s="213">
        <f t="shared" si="129"/>
        <v>2217962.171875</v>
      </c>
      <c r="ATU12" s="213">
        <f t="shared" si="129"/>
        <v>2217962.171875</v>
      </c>
      <c r="ATV12" s="213">
        <f t="shared" si="129"/>
        <v>2217962.171875</v>
      </c>
      <c r="ATW12" s="213">
        <f t="shared" si="129"/>
        <v>2217962.171875</v>
      </c>
      <c r="ATX12" s="213">
        <f t="shared" si="129"/>
        <v>2217962.171875</v>
      </c>
      <c r="ATY12" s="213">
        <f t="shared" si="129"/>
        <v>2217962.171875</v>
      </c>
      <c r="ATZ12" s="213">
        <f t="shared" si="129"/>
        <v>2217962.171875</v>
      </c>
      <c r="AUA12" s="213">
        <f t="shared" si="129"/>
        <v>2217962.171875</v>
      </c>
      <c r="AUB12" s="213">
        <f t="shared" si="129"/>
        <v>2217962.171875</v>
      </c>
      <c r="AUC12" s="213">
        <f t="shared" ref="AUC12:AWN12" si="130">AUB12+AUC11</f>
        <v>2217962.171875</v>
      </c>
      <c r="AUD12" s="213">
        <f t="shared" si="130"/>
        <v>2217962.171875</v>
      </c>
      <c r="AUE12" s="213">
        <f t="shared" si="130"/>
        <v>2217962.171875</v>
      </c>
      <c r="AUF12" s="213">
        <f t="shared" si="130"/>
        <v>2217962.171875</v>
      </c>
      <c r="AUG12" s="213">
        <f t="shared" si="130"/>
        <v>2217962.171875</v>
      </c>
      <c r="AUH12" s="213">
        <f t="shared" si="130"/>
        <v>2217962.171875</v>
      </c>
      <c r="AUI12" s="213">
        <f t="shared" si="130"/>
        <v>2217962.171875</v>
      </c>
      <c r="AUJ12" s="213">
        <f t="shared" si="130"/>
        <v>2217962.171875</v>
      </c>
      <c r="AUK12" s="213">
        <f t="shared" si="130"/>
        <v>2217962.171875</v>
      </c>
      <c r="AUL12" s="213">
        <f t="shared" si="130"/>
        <v>2217962.171875</v>
      </c>
      <c r="AUM12" s="213">
        <f t="shared" si="130"/>
        <v>2217962.171875</v>
      </c>
      <c r="AUN12" s="213">
        <f t="shared" si="130"/>
        <v>2217962.171875</v>
      </c>
      <c r="AUO12" s="213">
        <f t="shared" si="130"/>
        <v>2217962.171875</v>
      </c>
      <c r="AUP12" s="213">
        <f t="shared" si="130"/>
        <v>2217962.171875</v>
      </c>
      <c r="AUQ12" s="213">
        <f t="shared" si="130"/>
        <v>2217962.171875</v>
      </c>
      <c r="AUR12" s="213">
        <f t="shared" si="130"/>
        <v>2217962.171875</v>
      </c>
      <c r="AUS12" s="213">
        <f t="shared" si="130"/>
        <v>2217962.171875</v>
      </c>
      <c r="AUT12" s="213">
        <f t="shared" si="130"/>
        <v>2217962.171875</v>
      </c>
      <c r="AUU12" s="213">
        <f t="shared" si="130"/>
        <v>2217962.171875</v>
      </c>
      <c r="AUV12" s="213">
        <f t="shared" si="130"/>
        <v>2217962.171875</v>
      </c>
      <c r="AUW12" s="213">
        <f t="shared" si="130"/>
        <v>2217962.171875</v>
      </c>
      <c r="AUX12" s="213">
        <f t="shared" si="130"/>
        <v>2217962.171875</v>
      </c>
      <c r="AUY12" s="213">
        <f t="shared" si="130"/>
        <v>2217962.171875</v>
      </c>
      <c r="AUZ12" s="213">
        <f t="shared" si="130"/>
        <v>2217962.171875</v>
      </c>
      <c r="AVA12" s="213">
        <f t="shared" si="130"/>
        <v>2217962.171875</v>
      </c>
      <c r="AVB12" s="213">
        <f t="shared" si="130"/>
        <v>2217962.171875</v>
      </c>
      <c r="AVC12" s="213">
        <f t="shared" si="130"/>
        <v>2217962.171875</v>
      </c>
      <c r="AVD12" s="213">
        <f t="shared" si="130"/>
        <v>2217962.171875</v>
      </c>
      <c r="AVE12" s="213">
        <f t="shared" si="130"/>
        <v>2217962.171875</v>
      </c>
      <c r="AVF12" s="213">
        <f t="shared" si="130"/>
        <v>2217962.171875</v>
      </c>
      <c r="AVG12" s="213">
        <f t="shared" si="130"/>
        <v>2217962.171875</v>
      </c>
      <c r="AVH12" s="213">
        <f t="shared" si="130"/>
        <v>2217962.171875</v>
      </c>
      <c r="AVI12" s="213">
        <f t="shared" si="130"/>
        <v>2217962.171875</v>
      </c>
      <c r="AVJ12" s="213">
        <f t="shared" si="130"/>
        <v>2217962.171875</v>
      </c>
      <c r="AVK12" s="213">
        <f t="shared" si="130"/>
        <v>2217962.171875</v>
      </c>
      <c r="AVL12" s="213">
        <f t="shared" si="130"/>
        <v>2217962.171875</v>
      </c>
      <c r="AVM12" s="213">
        <f t="shared" si="130"/>
        <v>2217962.171875</v>
      </c>
      <c r="AVN12" s="213">
        <f t="shared" si="130"/>
        <v>2217962.171875</v>
      </c>
      <c r="AVO12" s="213">
        <f t="shared" si="130"/>
        <v>2217962.171875</v>
      </c>
      <c r="AVP12" s="213">
        <f t="shared" si="130"/>
        <v>2217962.171875</v>
      </c>
      <c r="AVQ12" s="213">
        <f t="shared" si="130"/>
        <v>2217962.171875</v>
      </c>
      <c r="AVR12" s="213">
        <f t="shared" si="130"/>
        <v>2217962.171875</v>
      </c>
      <c r="AVS12" s="213">
        <f t="shared" si="130"/>
        <v>2217962.171875</v>
      </c>
      <c r="AVT12" s="213">
        <f t="shared" si="130"/>
        <v>2217962.171875</v>
      </c>
      <c r="AVU12" s="213">
        <f t="shared" si="130"/>
        <v>2217962.171875</v>
      </c>
      <c r="AVV12" s="213">
        <f t="shared" si="130"/>
        <v>2217962.171875</v>
      </c>
      <c r="AVW12" s="213">
        <f t="shared" si="130"/>
        <v>2217962.171875</v>
      </c>
      <c r="AVX12" s="213">
        <f t="shared" si="130"/>
        <v>2217962.171875</v>
      </c>
      <c r="AVY12" s="213">
        <f t="shared" si="130"/>
        <v>2217962.171875</v>
      </c>
      <c r="AVZ12" s="213">
        <f t="shared" si="130"/>
        <v>2217962.171875</v>
      </c>
      <c r="AWA12" s="213">
        <f t="shared" si="130"/>
        <v>2217962.171875</v>
      </c>
      <c r="AWB12" s="213">
        <f t="shared" si="130"/>
        <v>2217962.171875</v>
      </c>
      <c r="AWC12" s="213">
        <f t="shared" si="130"/>
        <v>2217962.171875</v>
      </c>
      <c r="AWD12" s="213">
        <f t="shared" si="130"/>
        <v>2217962.171875</v>
      </c>
      <c r="AWE12" s="213">
        <f t="shared" si="130"/>
        <v>2217962.171875</v>
      </c>
      <c r="AWF12" s="213">
        <f t="shared" si="130"/>
        <v>2217962.171875</v>
      </c>
      <c r="AWG12" s="213">
        <f t="shared" si="130"/>
        <v>2217962.171875</v>
      </c>
      <c r="AWH12" s="213">
        <f t="shared" si="130"/>
        <v>2217962.171875</v>
      </c>
      <c r="AWI12" s="213">
        <f t="shared" si="130"/>
        <v>2217962.171875</v>
      </c>
      <c r="AWJ12" s="213">
        <f t="shared" si="130"/>
        <v>2217962.171875</v>
      </c>
      <c r="AWK12" s="213">
        <f t="shared" si="130"/>
        <v>2217962.171875</v>
      </c>
      <c r="AWL12" s="213">
        <f t="shared" si="130"/>
        <v>2217962.171875</v>
      </c>
      <c r="AWM12" s="213">
        <f t="shared" si="130"/>
        <v>2217962.171875</v>
      </c>
      <c r="AWN12" s="213">
        <f t="shared" si="130"/>
        <v>2217962.171875</v>
      </c>
      <c r="AWO12" s="213">
        <f t="shared" ref="AWO12:AYZ12" si="131">AWN12+AWO11</f>
        <v>2217962.171875</v>
      </c>
      <c r="AWP12" s="213">
        <f t="shared" si="131"/>
        <v>2217962.171875</v>
      </c>
      <c r="AWQ12" s="213">
        <f t="shared" si="131"/>
        <v>2217962.171875</v>
      </c>
      <c r="AWR12" s="213">
        <f t="shared" si="131"/>
        <v>2217962.171875</v>
      </c>
      <c r="AWS12" s="213">
        <f t="shared" si="131"/>
        <v>2217962.171875</v>
      </c>
      <c r="AWT12" s="213">
        <f t="shared" si="131"/>
        <v>2217962.171875</v>
      </c>
      <c r="AWU12" s="213">
        <f t="shared" si="131"/>
        <v>2217962.171875</v>
      </c>
      <c r="AWV12" s="213">
        <f t="shared" si="131"/>
        <v>2217962.171875</v>
      </c>
      <c r="AWW12" s="213">
        <f t="shared" si="131"/>
        <v>2217962.171875</v>
      </c>
      <c r="AWX12" s="213">
        <f t="shared" si="131"/>
        <v>2217962.171875</v>
      </c>
      <c r="AWY12" s="213">
        <f t="shared" si="131"/>
        <v>2217962.171875</v>
      </c>
      <c r="AWZ12" s="213">
        <f t="shared" si="131"/>
        <v>2217962.171875</v>
      </c>
      <c r="AXA12" s="213">
        <f t="shared" si="131"/>
        <v>2217962.171875</v>
      </c>
      <c r="AXB12" s="213">
        <f t="shared" si="131"/>
        <v>2217962.171875</v>
      </c>
      <c r="AXC12" s="213">
        <f t="shared" si="131"/>
        <v>2217962.171875</v>
      </c>
      <c r="AXD12" s="213">
        <f t="shared" si="131"/>
        <v>2217962.171875</v>
      </c>
      <c r="AXE12" s="213">
        <f t="shared" si="131"/>
        <v>2217962.171875</v>
      </c>
      <c r="AXF12" s="213">
        <f t="shared" si="131"/>
        <v>2217962.171875</v>
      </c>
      <c r="AXG12" s="213">
        <f t="shared" si="131"/>
        <v>2217962.171875</v>
      </c>
      <c r="AXH12" s="213">
        <f t="shared" si="131"/>
        <v>2217962.171875</v>
      </c>
      <c r="AXI12" s="213">
        <f t="shared" si="131"/>
        <v>2217962.171875</v>
      </c>
      <c r="AXJ12" s="213">
        <f t="shared" si="131"/>
        <v>2217962.171875</v>
      </c>
      <c r="AXK12" s="213">
        <f t="shared" si="131"/>
        <v>2217962.171875</v>
      </c>
      <c r="AXL12" s="213">
        <f t="shared" si="131"/>
        <v>2217962.171875</v>
      </c>
      <c r="AXM12" s="213">
        <f t="shared" si="131"/>
        <v>2217962.171875</v>
      </c>
      <c r="AXN12" s="213">
        <f t="shared" si="131"/>
        <v>2217962.171875</v>
      </c>
      <c r="AXO12" s="213">
        <f t="shared" si="131"/>
        <v>2217962.171875</v>
      </c>
      <c r="AXP12" s="213">
        <f t="shared" si="131"/>
        <v>2217962.171875</v>
      </c>
      <c r="AXQ12" s="213">
        <f t="shared" si="131"/>
        <v>2217962.171875</v>
      </c>
      <c r="AXR12" s="213">
        <f t="shared" si="131"/>
        <v>2217962.171875</v>
      </c>
      <c r="AXS12" s="213">
        <f t="shared" si="131"/>
        <v>2217962.171875</v>
      </c>
      <c r="AXT12" s="213">
        <f t="shared" si="131"/>
        <v>2217962.171875</v>
      </c>
      <c r="AXU12" s="213">
        <f t="shared" si="131"/>
        <v>2217962.171875</v>
      </c>
      <c r="AXV12" s="213">
        <f t="shared" si="131"/>
        <v>2217962.171875</v>
      </c>
      <c r="AXW12" s="213">
        <f t="shared" si="131"/>
        <v>2217962.171875</v>
      </c>
      <c r="AXX12" s="213">
        <f t="shared" si="131"/>
        <v>2217962.171875</v>
      </c>
      <c r="AXY12" s="213">
        <f t="shared" si="131"/>
        <v>2217962.171875</v>
      </c>
      <c r="AXZ12" s="213">
        <f t="shared" si="131"/>
        <v>2217962.171875</v>
      </c>
      <c r="AYA12" s="213">
        <f t="shared" si="131"/>
        <v>2217962.171875</v>
      </c>
      <c r="AYB12" s="213">
        <f t="shared" si="131"/>
        <v>2217962.171875</v>
      </c>
      <c r="AYC12" s="213">
        <f t="shared" si="131"/>
        <v>2217962.171875</v>
      </c>
      <c r="AYD12" s="213">
        <f t="shared" si="131"/>
        <v>2217962.171875</v>
      </c>
      <c r="AYE12" s="213">
        <f t="shared" si="131"/>
        <v>2217962.171875</v>
      </c>
      <c r="AYF12" s="213">
        <f t="shared" si="131"/>
        <v>2217962.171875</v>
      </c>
      <c r="AYG12" s="213">
        <f t="shared" si="131"/>
        <v>2217962.171875</v>
      </c>
      <c r="AYH12" s="213">
        <f t="shared" si="131"/>
        <v>2217962.171875</v>
      </c>
      <c r="AYI12" s="213">
        <f t="shared" si="131"/>
        <v>2217962.171875</v>
      </c>
      <c r="AYJ12" s="213">
        <f t="shared" si="131"/>
        <v>2217962.171875</v>
      </c>
      <c r="AYK12" s="213">
        <f t="shared" si="131"/>
        <v>2217962.171875</v>
      </c>
      <c r="AYL12" s="213">
        <f t="shared" si="131"/>
        <v>2217962.171875</v>
      </c>
      <c r="AYM12" s="213">
        <f t="shared" si="131"/>
        <v>2217962.171875</v>
      </c>
      <c r="AYN12" s="213">
        <f t="shared" si="131"/>
        <v>2217962.171875</v>
      </c>
      <c r="AYO12" s="213">
        <f t="shared" si="131"/>
        <v>2217962.171875</v>
      </c>
      <c r="AYP12" s="213">
        <f t="shared" si="131"/>
        <v>2217962.171875</v>
      </c>
      <c r="AYQ12" s="213">
        <f t="shared" si="131"/>
        <v>2217962.171875</v>
      </c>
      <c r="AYR12" s="213">
        <f t="shared" si="131"/>
        <v>2217962.171875</v>
      </c>
      <c r="AYS12" s="213">
        <f t="shared" si="131"/>
        <v>2217962.171875</v>
      </c>
      <c r="AYT12" s="213">
        <f t="shared" si="131"/>
        <v>2217962.171875</v>
      </c>
      <c r="AYU12" s="213">
        <f t="shared" si="131"/>
        <v>2217962.171875</v>
      </c>
      <c r="AYV12" s="213">
        <f t="shared" si="131"/>
        <v>2217962.171875</v>
      </c>
      <c r="AYW12" s="213">
        <f t="shared" si="131"/>
        <v>2217962.171875</v>
      </c>
      <c r="AYX12" s="213">
        <f t="shared" si="131"/>
        <v>2217962.171875</v>
      </c>
      <c r="AYY12" s="213">
        <f t="shared" si="131"/>
        <v>2217962.171875</v>
      </c>
      <c r="AYZ12" s="213">
        <f t="shared" si="131"/>
        <v>2217962.171875</v>
      </c>
      <c r="AZA12" s="213">
        <f t="shared" ref="AZA12:AZG12" si="132">AYZ12+AZA11</f>
        <v>2217962.171875</v>
      </c>
      <c r="AZB12" s="213">
        <f t="shared" si="132"/>
        <v>2217962.171875</v>
      </c>
      <c r="AZC12" s="213">
        <f t="shared" si="132"/>
        <v>2217962.171875</v>
      </c>
      <c r="AZD12" s="213">
        <f t="shared" si="132"/>
        <v>2217962.171875</v>
      </c>
      <c r="AZE12" s="213">
        <f t="shared" si="132"/>
        <v>2217962.171875</v>
      </c>
      <c r="AZF12" s="213">
        <f t="shared" si="132"/>
        <v>2217962.171875</v>
      </c>
      <c r="AZG12" s="213">
        <f t="shared" si="132"/>
        <v>2217962.171875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654748.97349999985</v>
      </c>
      <c r="AK14" s="206">
        <f t="shared" si="134"/>
        <v>654748.97349999985</v>
      </c>
      <c r="AL14" s="206">
        <f t="shared" si="134"/>
        <v>818939.5009999997</v>
      </c>
      <c r="AM14" s="206">
        <f t="shared" si="134"/>
        <v>818939.5009999997</v>
      </c>
      <c r="AN14" s="206">
        <f t="shared" si="134"/>
        <v>818439.5009999997</v>
      </c>
      <c r="AO14" s="206">
        <f t="shared" si="134"/>
        <v>818439.5009999997</v>
      </c>
      <c r="AP14" s="206">
        <f t="shared" si="134"/>
        <v>818439.5009999997</v>
      </c>
      <c r="AQ14" s="206">
        <f t="shared" si="134"/>
        <v>784514.95499999961</v>
      </c>
      <c r="AR14" s="206">
        <f t="shared" si="134"/>
        <v>737467.32312499965</v>
      </c>
      <c r="AS14" s="206">
        <f t="shared" si="134"/>
        <v>737467.32312499965</v>
      </c>
      <c r="AT14" s="206">
        <f t="shared" si="134"/>
        <v>737467.32312499965</v>
      </c>
      <c r="AU14" s="206">
        <f t="shared" si="134"/>
        <v>737467.32312499965</v>
      </c>
      <c r="AV14" s="206">
        <f t="shared" si="134"/>
        <v>737467.32312499965</v>
      </c>
      <c r="AW14" s="206">
        <f t="shared" si="134"/>
        <v>737467.32312499965</v>
      </c>
      <c r="AX14" s="206">
        <f t="shared" si="134"/>
        <v>737467.32312499965</v>
      </c>
      <c r="AY14" s="206">
        <f t="shared" si="134"/>
        <v>737467.32312499965</v>
      </c>
      <c r="AZ14" s="206">
        <f t="shared" si="134"/>
        <v>737467.32312499965</v>
      </c>
      <c r="BA14" s="206">
        <f t="shared" si="134"/>
        <v>737467.32312499965</v>
      </c>
      <c r="BB14" s="206">
        <f t="shared" si="134"/>
        <v>737467.32312499965</v>
      </c>
      <c r="BC14" s="206">
        <f t="shared" si="134"/>
        <v>737467.32312499965</v>
      </c>
      <c r="BD14" s="206">
        <f t="shared" si="134"/>
        <v>737467.32312499965</v>
      </c>
      <c r="BE14" s="206">
        <f t="shared" si="134"/>
        <v>737467.32312499965</v>
      </c>
      <c r="BF14" s="206">
        <f t="shared" si="134"/>
        <v>737467.32312499965</v>
      </c>
      <c r="BG14" s="206">
        <f t="shared" si="134"/>
        <v>737467.32312499965</v>
      </c>
      <c r="BH14" s="206">
        <f t="shared" si="134"/>
        <v>737467.32312499965</v>
      </c>
      <c r="BI14" s="206">
        <f t="shared" si="134"/>
        <v>737467.32312499965</v>
      </c>
      <c r="BJ14" s="206">
        <f t="shared" si="134"/>
        <v>737467.32312499965</v>
      </c>
      <c r="BK14" s="206">
        <f t="shared" si="134"/>
        <v>737467.32312499965</v>
      </c>
      <c r="BL14" s="206">
        <f t="shared" si="134"/>
        <v>737467.32312499965</v>
      </c>
      <c r="BM14" s="206">
        <f t="shared" si="134"/>
        <v>737467.32312499965</v>
      </c>
      <c r="BN14" s="206">
        <f t="shared" si="134"/>
        <v>737467.32312499965</v>
      </c>
      <c r="BO14" s="206">
        <f t="shared" si="134"/>
        <v>737467.32312499965</v>
      </c>
      <c r="BP14" s="206">
        <f t="shared" si="134"/>
        <v>737467.32312499965</v>
      </c>
      <c r="BQ14" s="206">
        <f t="shared" si="134"/>
        <v>737467.32312499965</v>
      </c>
      <c r="BR14" s="206">
        <f t="shared" si="134"/>
        <v>737467.32312499965</v>
      </c>
      <c r="BS14" s="206">
        <f t="shared" si="134"/>
        <v>737467.32312499965</v>
      </c>
      <c r="BT14" s="206">
        <f t="shared" si="134"/>
        <v>737467.32312499965</v>
      </c>
      <c r="BU14" s="206">
        <f t="shared" ref="BU14:EF14" si="135">BU10-BU12</f>
        <v>737467.32312499965</v>
      </c>
      <c r="BV14" s="206">
        <f t="shared" si="135"/>
        <v>737467.32312499965</v>
      </c>
      <c r="BW14" s="206">
        <f t="shared" si="135"/>
        <v>737467.32312499965</v>
      </c>
      <c r="BX14" s="206">
        <f t="shared" si="135"/>
        <v>737467.32312499965</v>
      </c>
      <c r="BY14" s="206">
        <f t="shared" si="135"/>
        <v>737467.32312499965</v>
      </c>
      <c r="BZ14" s="206">
        <f t="shared" si="135"/>
        <v>737467.32312499965</v>
      </c>
      <c r="CA14" s="206">
        <f t="shared" si="135"/>
        <v>737467.32312499965</v>
      </c>
      <c r="CB14" s="206">
        <f t="shared" si="135"/>
        <v>737467.32312499965</v>
      </c>
      <c r="CC14" s="206">
        <f t="shared" si="135"/>
        <v>737467.32312499965</v>
      </c>
      <c r="CD14" s="206">
        <f t="shared" si="135"/>
        <v>737467.32312499965</v>
      </c>
      <c r="CE14" s="206">
        <f t="shared" si="135"/>
        <v>737467.32312499965</v>
      </c>
      <c r="CF14" s="206">
        <f t="shared" si="135"/>
        <v>737467.32312499965</v>
      </c>
      <c r="CG14" s="206">
        <f t="shared" si="135"/>
        <v>737467.32312499965</v>
      </c>
      <c r="CH14" s="206">
        <f t="shared" si="135"/>
        <v>737467.32312499965</v>
      </c>
      <c r="CI14" s="206">
        <f t="shared" si="135"/>
        <v>737467.32312499965</v>
      </c>
      <c r="CJ14" s="206">
        <f t="shared" si="135"/>
        <v>737467.32312499965</v>
      </c>
      <c r="CK14" s="206">
        <f t="shared" si="135"/>
        <v>737467.32312499965</v>
      </c>
      <c r="CL14" s="206">
        <f t="shared" si="135"/>
        <v>737467.32312499965</v>
      </c>
      <c r="CM14" s="206">
        <f t="shared" si="135"/>
        <v>737467.32312499965</v>
      </c>
      <c r="CN14" s="206">
        <f t="shared" si="135"/>
        <v>737467.32312499965</v>
      </c>
      <c r="CO14" s="206">
        <f t="shared" si="135"/>
        <v>737467.32312499965</v>
      </c>
      <c r="CP14" s="206">
        <f t="shared" si="135"/>
        <v>737467.32312499965</v>
      </c>
      <c r="CQ14" s="206">
        <f t="shared" si="135"/>
        <v>737467.32312499965</v>
      </c>
      <c r="CR14" s="206">
        <f t="shared" si="135"/>
        <v>737467.32312499965</v>
      </c>
      <c r="CS14" s="206">
        <f t="shared" si="135"/>
        <v>737467.32312499965</v>
      </c>
      <c r="CT14" s="206">
        <f t="shared" si="135"/>
        <v>737467.32312499965</v>
      </c>
      <c r="CU14" s="206">
        <f t="shared" si="135"/>
        <v>737467.32312499965</v>
      </c>
      <c r="CV14" s="206">
        <f t="shared" si="135"/>
        <v>737467.32312499965</v>
      </c>
      <c r="CW14" s="206">
        <f t="shared" si="135"/>
        <v>737467.32312499965</v>
      </c>
      <c r="CX14" s="206">
        <f t="shared" si="135"/>
        <v>737467.32312499965</v>
      </c>
      <c r="CY14" s="206">
        <f t="shared" si="135"/>
        <v>737467.32312499965</v>
      </c>
      <c r="CZ14" s="206">
        <f t="shared" si="135"/>
        <v>737467.32312499965</v>
      </c>
      <c r="DA14" s="206">
        <f t="shared" si="135"/>
        <v>737467.32312499965</v>
      </c>
      <c r="DB14" s="206">
        <f t="shared" si="135"/>
        <v>737467.32312499965</v>
      </c>
      <c r="DC14" s="206">
        <f t="shared" si="135"/>
        <v>737467.32312499965</v>
      </c>
      <c r="DD14" s="206">
        <f t="shared" si="135"/>
        <v>737467.32312499965</v>
      </c>
      <c r="DE14" s="206">
        <f t="shared" si="135"/>
        <v>737467.32312499965</v>
      </c>
      <c r="DF14" s="206">
        <f t="shared" si="135"/>
        <v>737467.32312499965</v>
      </c>
      <c r="DG14" s="206">
        <f t="shared" si="135"/>
        <v>737467.32312499965</v>
      </c>
      <c r="DH14" s="206">
        <f t="shared" si="135"/>
        <v>737467.32312499965</v>
      </c>
      <c r="DI14" s="206">
        <f t="shared" si="135"/>
        <v>737467.32312499965</v>
      </c>
      <c r="DJ14" s="206">
        <f t="shared" si="135"/>
        <v>737467.32312499965</v>
      </c>
      <c r="DK14" s="206">
        <f t="shared" si="135"/>
        <v>737467.32312499965</v>
      </c>
      <c r="DL14" s="206">
        <f t="shared" si="135"/>
        <v>737467.32312499965</v>
      </c>
      <c r="DM14" s="206">
        <f t="shared" si="135"/>
        <v>737467.32312499965</v>
      </c>
      <c r="DN14" s="206">
        <f t="shared" si="135"/>
        <v>737467.32312499965</v>
      </c>
      <c r="DO14" s="206">
        <f t="shared" si="135"/>
        <v>737467.32312499965</v>
      </c>
      <c r="DP14" s="206">
        <f t="shared" si="135"/>
        <v>737467.32312499965</v>
      </c>
      <c r="DQ14" s="206">
        <f t="shared" si="135"/>
        <v>737467.32312499965</v>
      </c>
      <c r="DR14" s="206">
        <f t="shared" si="135"/>
        <v>737467.32312499965</v>
      </c>
      <c r="DS14" s="206">
        <f t="shared" si="135"/>
        <v>737467.32312499965</v>
      </c>
      <c r="DT14" s="206">
        <f t="shared" si="135"/>
        <v>737467.32312499965</v>
      </c>
      <c r="DU14" s="206">
        <f t="shared" si="135"/>
        <v>737467.32312499965</v>
      </c>
      <c r="DV14" s="206">
        <f t="shared" si="135"/>
        <v>737467.32312499965</v>
      </c>
      <c r="DW14" s="206">
        <f t="shared" si="135"/>
        <v>737467.32312499965</v>
      </c>
      <c r="DX14" s="206">
        <f t="shared" si="135"/>
        <v>737467.32312499965</v>
      </c>
      <c r="DY14" s="206">
        <f t="shared" si="135"/>
        <v>737467.32312499965</v>
      </c>
      <c r="DZ14" s="206">
        <f t="shared" si="135"/>
        <v>737467.32312499965</v>
      </c>
      <c r="EA14" s="206">
        <f t="shared" si="135"/>
        <v>737467.32312499965</v>
      </c>
      <c r="EB14" s="206">
        <f t="shared" si="135"/>
        <v>737467.32312499965</v>
      </c>
      <c r="EC14" s="206">
        <f t="shared" si="135"/>
        <v>737467.32312499965</v>
      </c>
      <c r="ED14" s="206">
        <f t="shared" si="135"/>
        <v>737467.32312499965</v>
      </c>
      <c r="EE14" s="206">
        <f t="shared" si="135"/>
        <v>737467.32312499965</v>
      </c>
      <c r="EF14" s="206">
        <f t="shared" si="135"/>
        <v>737467.32312499965</v>
      </c>
      <c r="EG14" s="206">
        <f t="shared" ref="EG14:GR14" si="136">EG10-EG12</f>
        <v>737467.32312499965</v>
      </c>
      <c r="EH14" s="206">
        <f t="shared" si="136"/>
        <v>737467.32312499965</v>
      </c>
      <c r="EI14" s="206">
        <f t="shared" si="136"/>
        <v>737467.32312499965</v>
      </c>
      <c r="EJ14" s="206">
        <f t="shared" si="136"/>
        <v>737467.32312499965</v>
      </c>
      <c r="EK14" s="206">
        <f t="shared" si="136"/>
        <v>737467.32312499965</v>
      </c>
      <c r="EL14" s="206">
        <f t="shared" si="136"/>
        <v>737467.32312499965</v>
      </c>
      <c r="EM14" s="206">
        <f t="shared" si="136"/>
        <v>737467.32312499965</v>
      </c>
      <c r="EN14" s="206">
        <f t="shared" si="136"/>
        <v>737467.32312499965</v>
      </c>
      <c r="EO14" s="206">
        <f t="shared" si="136"/>
        <v>737467.32312499965</v>
      </c>
      <c r="EP14" s="206">
        <f t="shared" si="136"/>
        <v>737467.32312499965</v>
      </c>
      <c r="EQ14" s="206">
        <f t="shared" si="136"/>
        <v>737467.32312499965</v>
      </c>
      <c r="ER14" s="206">
        <f t="shared" si="136"/>
        <v>737467.32312499965</v>
      </c>
      <c r="ES14" s="206">
        <f t="shared" si="136"/>
        <v>737467.32312499965</v>
      </c>
      <c r="ET14" s="206">
        <f t="shared" si="136"/>
        <v>737467.32312499965</v>
      </c>
      <c r="EU14" s="206">
        <f t="shared" si="136"/>
        <v>737467.32312499965</v>
      </c>
      <c r="EV14" s="206">
        <f t="shared" si="136"/>
        <v>737467.32312499965</v>
      </c>
      <c r="EW14" s="206">
        <f t="shared" si="136"/>
        <v>737467.32312499965</v>
      </c>
      <c r="EX14" s="206">
        <f t="shared" si="136"/>
        <v>737467.32312499965</v>
      </c>
      <c r="EY14" s="206">
        <f t="shared" si="136"/>
        <v>737467.32312499965</v>
      </c>
      <c r="EZ14" s="206">
        <f t="shared" si="136"/>
        <v>737467.32312499965</v>
      </c>
      <c r="FA14" s="206">
        <f t="shared" si="136"/>
        <v>737467.32312499965</v>
      </c>
      <c r="FB14" s="206">
        <f t="shared" si="136"/>
        <v>737467.32312499965</v>
      </c>
      <c r="FC14" s="206">
        <f t="shared" si="136"/>
        <v>737467.32312499965</v>
      </c>
      <c r="FD14" s="206">
        <f t="shared" si="136"/>
        <v>737467.32312499965</v>
      </c>
      <c r="FE14" s="206">
        <f t="shared" si="136"/>
        <v>737467.32312499965</v>
      </c>
      <c r="FF14" s="206">
        <f t="shared" si="136"/>
        <v>737467.32312499965</v>
      </c>
      <c r="FG14" s="206">
        <f t="shared" si="136"/>
        <v>737467.32312499965</v>
      </c>
      <c r="FH14" s="206">
        <f t="shared" si="136"/>
        <v>737467.32312499965</v>
      </c>
      <c r="FI14" s="206">
        <f t="shared" si="136"/>
        <v>737467.32312499965</v>
      </c>
      <c r="FJ14" s="206">
        <f t="shared" si="136"/>
        <v>737467.32312499965</v>
      </c>
      <c r="FK14" s="206">
        <f t="shared" si="136"/>
        <v>737467.32312499965</v>
      </c>
      <c r="FL14" s="206">
        <f t="shared" si="136"/>
        <v>737467.32312499965</v>
      </c>
      <c r="FM14" s="206">
        <f t="shared" si="136"/>
        <v>737467.32312499965</v>
      </c>
      <c r="FN14" s="206">
        <f t="shared" si="136"/>
        <v>737467.32312499965</v>
      </c>
      <c r="FO14" s="206">
        <f t="shared" si="136"/>
        <v>737467.32312499965</v>
      </c>
      <c r="FP14" s="206">
        <f t="shared" si="136"/>
        <v>737467.32312499965</v>
      </c>
      <c r="FQ14" s="206">
        <f t="shared" si="136"/>
        <v>737467.32312499965</v>
      </c>
      <c r="FR14" s="206">
        <f t="shared" si="136"/>
        <v>737467.32312499965</v>
      </c>
      <c r="FS14" s="206">
        <f t="shared" si="136"/>
        <v>737467.32312499965</v>
      </c>
      <c r="FT14" s="206">
        <f t="shared" si="136"/>
        <v>737467.32312499965</v>
      </c>
      <c r="FU14" s="206">
        <f t="shared" si="136"/>
        <v>737467.32312499965</v>
      </c>
      <c r="FV14" s="206">
        <f t="shared" si="136"/>
        <v>737467.32312499965</v>
      </c>
      <c r="FW14" s="206">
        <f t="shared" si="136"/>
        <v>737467.32312499965</v>
      </c>
      <c r="FX14" s="206">
        <f t="shared" si="136"/>
        <v>737467.32312499965</v>
      </c>
      <c r="FY14" s="206">
        <f t="shared" si="136"/>
        <v>737467.32312499965</v>
      </c>
      <c r="FZ14" s="206">
        <f t="shared" si="136"/>
        <v>737467.32312499965</v>
      </c>
      <c r="GA14" s="206">
        <f t="shared" si="136"/>
        <v>737467.32312499965</v>
      </c>
      <c r="GB14" s="206">
        <f t="shared" si="136"/>
        <v>737467.32312499965</v>
      </c>
      <c r="GC14" s="206">
        <f t="shared" si="136"/>
        <v>737467.32312499965</v>
      </c>
      <c r="GD14" s="206">
        <f t="shared" si="136"/>
        <v>737467.32312499965</v>
      </c>
      <c r="GE14" s="206">
        <f t="shared" si="136"/>
        <v>737467.32312499965</v>
      </c>
      <c r="GF14" s="206">
        <f t="shared" si="136"/>
        <v>737467.32312499965</v>
      </c>
      <c r="GG14" s="206">
        <f t="shared" si="136"/>
        <v>737467.32312499965</v>
      </c>
      <c r="GH14" s="206">
        <f t="shared" si="136"/>
        <v>737467.32312499965</v>
      </c>
      <c r="GI14" s="206">
        <f t="shared" si="136"/>
        <v>737467.32312499965</v>
      </c>
      <c r="GJ14" s="206">
        <f t="shared" si="136"/>
        <v>737467.32312499965</v>
      </c>
      <c r="GK14" s="206">
        <f t="shared" si="136"/>
        <v>737467.32312499965</v>
      </c>
      <c r="GL14" s="206">
        <f t="shared" si="136"/>
        <v>737467.32312499965</v>
      </c>
      <c r="GM14" s="206">
        <f t="shared" si="136"/>
        <v>737467.32312499965</v>
      </c>
      <c r="GN14" s="206">
        <f t="shared" si="136"/>
        <v>737467.32312499965</v>
      </c>
      <c r="GO14" s="206">
        <f t="shared" si="136"/>
        <v>737467.32312499965</v>
      </c>
      <c r="GP14" s="206">
        <f t="shared" si="136"/>
        <v>737467.32312499965</v>
      </c>
      <c r="GQ14" s="206">
        <f t="shared" si="136"/>
        <v>737467.32312499965</v>
      </c>
      <c r="GR14" s="206">
        <f t="shared" si="136"/>
        <v>737467.32312499965</v>
      </c>
      <c r="GS14" s="206">
        <f t="shared" ref="GS14:JD14" si="137">GS10-GS12</f>
        <v>737467.32312499965</v>
      </c>
      <c r="GT14" s="206">
        <f t="shared" si="137"/>
        <v>737467.32312499965</v>
      </c>
      <c r="GU14" s="206">
        <f t="shared" si="137"/>
        <v>737467.32312499965</v>
      </c>
      <c r="GV14" s="206">
        <f t="shared" si="137"/>
        <v>737467.32312499965</v>
      </c>
      <c r="GW14" s="206">
        <f t="shared" si="137"/>
        <v>737467.32312499965</v>
      </c>
      <c r="GX14" s="206">
        <f t="shared" si="137"/>
        <v>737467.32312499965</v>
      </c>
      <c r="GY14" s="206">
        <f t="shared" si="137"/>
        <v>737467.32312499965</v>
      </c>
      <c r="GZ14" s="206">
        <f t="shared" si="137"/>
        <v>737467.32312499965</v>
      </c>
      <c r="HA14" s="206">
        <f t="shared" si="137"/>
        <v>737467.32312499965</v>
      </c>
      <c r="HB14" s="206">
        <f t="shared" si="137"/>
        <v>737467.32312499965</v>
      </c>
      <c r="HC14" s="206">
        <f t="shared" si="137"/>
        <v>737467.32312499965</v>
      </c>
      <c r="HD14" s="206">
        <f t="shared" si="137"/>
        <v>737467.32312499965</v>
      </c>
      <c r="HE14" s="206">
        <f t="shared" si="137"/>
        <v>737467.32312499965</v>
      </c>
      <c r="HF14" s="206">
        <f t="shared" si="137"/>
        <v>737467.32312499965</v>
      </c>
      <c r="HG14" s="206">
        <f t="shared" si="137"/>
        <v>737467.32312499965</v>
      </c>
      <c r="HH14" s="206">
        <f t="shared" si="137"/>
        <v>737467.32312499965</v>
      </c>
      <c r="HI14" s="206">
        <f t="shared" si="137"/>
        <v>737467.32312499965</v>
      </c>
      <c r="HJ14" s="206">
        <f t="shared" si="137"/>
        <v>737467.32312499965</v>
      </c>
      <c r="HK14" s="206">
        <f t="shared" si="137"/>
        <v>737467.32312499965</v>
      </c>
      <c r="HL14" s="206">
        <f t="shared" si="137"/>
        <v>737467.32312499965</v>
      </c>
      <c r="HM14" s="206">
        <f t="shared" si="137"/>
        <v>737467.32312499965</v>
      </c>
      <c r="HN14" s="206">
        <f t="shared" si="137"/>
        <v>737467.32312499965</v>
      </c>
      <c r="HO14" s="206">
        <f t="shared" si="137"/>
        <v>737467.32312499965</v>
      </c>
      <c r="HP14" s="206">
        <f t="shared" si="137"/>
        <v>737467.32312499965</v>
      </c>
      <c r="HQ14" s="206">
        <f t="shared" si="137"/>
        <v>737467.32312499965</v>
      </c>
      <c r="HR14" s="206">
        <f t="shared" si="137"/>
        <v>737467.32312499965</v>
      </c>
      <c r="HS14" s="206">
        <f t="shared" si="137"/>
        <v>737467.32312499965</v>
      </c>
      <c r="HT14" s="206">
        <f t="shared" si="137"/>
        <v>737467.32312499965</v>
      </c>
      <c r="HU14" s="206">
        <f t="shared" si="137"/>
        <v>737467.32312499965</v>
      </c>
      <c r="HV14" s="206">
        <f t="shared" si="137"/>
        <v>737467.32312499965</v>
      </c>
      <c r="HW14" s="206">
        <f t="shared" si="137"/>
        <v>737467.32312499965</v>
      </c>
      <c r="HX14" s="206">
        <f t="shared" si="137"/>
        <v>737467.32312499965</v>
      </c>
      <c r="HY14" s="206">
        <f t="shared" si="137"/>
        <v>737467.32312499965</v>
      </c>
      <c r="HZ14" s="206">
        <f t="shared" si="137"/>
        <v>737467.32312499965</v>
      </c>
      <c r="IA14" s="206">
        <f t="shared" si="137"/>
        <v>737467.32312499965</v>
      </c>
      <c r="IB14" s="206">
        <f t="shared" si="137"/>
        <v>737467.32312499965</v>
      </c>
      <c r="IC14" s="206">
        <f t="shared" si="137"/>
        <v>737467.32312499965</v>
      </c>
      <c r="ID14" s="206">
        <f t="shared" si="137"/>
        <v>737467.32312499965</v>
      </c>
      <c r="IE14" s="206">
        <f t="shared" si="137"/>
        <v>737467.32312499965</v>
      </c>
      <c r="IF14" s="206">
        <f t="shared" si="137"/>
        <v>737467.32312499965</v>
      </c>
      <c r="IG14" s="206">
        <f t="shared" si="137"/>
        <v>737467.32312499965</v>
      </c>
      <c r="IH14" s="206">
        <f t="shared" si="137"/>
        <v>737467.32312499965</v>
      </c>
      <c r="II14" s="206">
        <f t="shared" si="137"/>
        <v>737467.32312499965</v>
      </c>
      <c r="IJ14" s="206">
        <f t="shared" si="137"/>
        <v>737467.32312499965</v>
      </c>
      <c r="IK14" s="206">
        <f t="shared" si="137"/>
        <v>737467.32312499965</v>
      </c>
      <c r="IL14" s="206">
        <f t="shared" si="137"/>
        <v>737467.32312499965</v>
      </c>
      <c r="IM14" s="206">
        <f t="shared" si="137"/>
        <v>737467.32312499965</v>
      </c>
      <c r="IN14" s="206">
        <f t="shared" si="137"/>
        <v>737467.32312499965</v>
      </c>
      <c r="IO14" s="206">
        <f t="shared" si="137"/>
        <v>737467.32312499965</v>
      </c>
      <c r="IP14" s="206">
        <f t="shared" si="137"/>
        <v>737467.32312499965</v>
      </c>
      <c r="IQ14" s="206">
        <f t="shared" si="137"/>
        <v>737467.32312499965</v>
      </c>
      <c r="IR14" s="206">
        <f t="shared" si="137"/>
        <v>737467.32312499965</v>
      </c>
      <c r="IS14" s="206">
        <f t="shared" si="137"/>
        <v>737467.32312499965</v>
      </c>
      <c r="IT14" s="206">
        <f t="shared" si="137"/>
        <v>737467.32312499965</v>
      </c>
      <c r="IU14" s="206">
        <f t="shared" si="137"/>
        <v>737467.32312499965</v>
      </c>
      <c r="IV14" s="206">
        <f t="shared" si="137"/>
        <v>737467.32312499965</v>
      </c>
      <c r="IW14" s="206">
        <f t="shared" si="137"/>
        <v>737467.32312499965</v>
      </c>
      <c r="IX14" s="206">
        <f t="shared" si="137"/>
        <v>737467.32312499965</v>
      </c>
      <c r="IY14" s="206">
        <f t="shared" si="137"/>
        <v>737467.32312499965</v>
      </c>
      <c r="IZ14" s="206">
        <f t="shared" si="137"/>
        <v>737467.32312499965</v>
      </c>
      <c r="JA14" s="206">
        <f t="shared" si="137"/>
        <v>737467.32312499965</v>
      </c>
      <c r="JB14" s="206">
        <f t="shared" si="137"/>
        <v>737467.32312499965</v>
      </c>
      <c r="JC14" s="206">
        <f t="shared" si="137"/>
        <v>737467.32312499965</v>
      </c>
      <c r="JD14" s="206">
        <f t="shared" si="137"/>
        <v>737467.32312499965</v>
      </c>
      <c r="JE14" s="206">
        <f t="shared" ref="JE14:LP14" si="138">JE10-JE12</f>
        <v>737467.32312499965</v>
      </c>
      <c r="JF14" s="206">
        <f t="shared" si="138"/>
        <v>737467.32312499965</v>
      </c>
      <c r="JG14" s="206">
        <f t="shared" si="138"/>
        <v>737467.32312499965</v>
      </c>
      <c r="JH14" s="206">
        <f t="shared" si="138"/>
        <v>737467.32312499965</v>
      </c>
      <c r="JI14" s="206">
        <f t="shared" si="138"/>
        <v>737467.32312499965</v>
      </c>
      <c r="JJ14" s="206">
        <f t="shared" si="138"/>
        <v>737467.32312499965</v>
      </c>
      <c r="JK14" s="206">
        <f t="shared" si="138"/>
        <v>737467.32312499965</v>
      </c>
      <c r="JL14" s="206">
        <f t="shared" si="138"/>
        <v>737467.32312499965</v>
      </c>
      <c r="JM14" s="206">
        <f t="shared" si="138"/>
        <v>737467.32312499965</v>
      </c>
      <c r="JN14" s="206">
        <f t="shared" si="138"/>
        <v>737467.32312499965</v>
      </c>
      <c r="JO14" s="206">
        <f t="shared" si="138"/>
        <v>737467.32312499965</v>
      </c>
      <c r="JP14" s="206">
        <f t="shared" si="138"/>
        <v>737467.32312499965</v>
      </c>
      <c r="JQ14" s="206">
        <f t="shared" si="138"/>
        <v>737467.32312499965</v>
      </c>
      <c r="JR14" s="206">
        <f t="shared" si="138"/>
        <v>737467.32312499965</v>
      </c>
      <c r="JS14" s="206">
        <f t="shared" si="138"/>
        <v>737467.32312499965</v>
      </c>
      <c r="JT14" s="206">
        <f t="shared" si="138"/>
        <v>737467.32312499965</v>
      </c>
      <c r="JU14" s="206">
        <f t="shared" si="138"/>
        <v>737467.32312499965</v>
      </c>
      <c r="JV14" s="206">
        <f t="shared" si="138"/>
        <v>737467.32312499965</v>
      </c>
      <c r="JW14" s="206">
        <f t="shared" si="138"/>
        <v>737467.32312499965</v>
      </c>
      <c r="JX14" s="206">
        <f t="shared" si="138"/>
        <v>737467.32312499965</v>
      </c>
      <c r="JY14" s="206">
        <f t="shared" si="138"/>
        <v>737467.32312499965</v>
      </c>
      <c r="JZ14" s="206">
        <f t="shared" si="138"/>
        <v>737467.32312499965</v>
      </c>
      <c r="KA14" s="206">
        <f t="shared" si="138"/>
        <v>737467.32312499965</v>
      </c>
      <c r="KB14" s="206">
        <f t="shared" si="138"/>
        <v>737467.32312499965</v>
      </c>
      <c r="KC14" s="206">
        <f t="shared" si="138"/>
        <v>737467.32312499965</v>
      </c>
      <c r="KD14" s="206">
        <f t="shared" si="138"/>
        <v>737467.32312499965</v>
      </c>
      <c r="KE14" s="206">
        <f t="shared" si="138"/>
        <v>737467.32312499965</v>
      </c>
      <c r="KF14" s="206">
        <f t="shared" si="138"/>
        <v>737467.32312499965</v>
      </c>
      <c r="KG14" s="206">
        <f t="shared" si="138"/>
        <v>737467.32312499965</v>
      </c>
      <c r="KH14" s="206">
        <f t="shared" si="138"/>
        <v>737467.32312499965</v>
      </c>
      <c r="KI14" s="206">
        <f t="shared" si="138"/>
        <v>737467.32312499965</v>
      </c>
      <c r="KJ14" s="206">
        <f t="shared" si="138"/>
        <v>737467.32312499965</v>
      </c>
      <c r="KK14" s="206">
        <f t="shared" si="138"/>
        <v>737467.32312499965</v>
      </c>
      <c r="KL14" s="206">
        <f t="shared" si="138"/>
        <v>737467.32312499965</v>
      </c>
      <c r="KM14" s="206">
        <f t="shared" si="138"/>
        <v>737467.32312499965</v>
      </c>
      <c r="KN14" s="206">
        <f t="shared" si="138"/>
        <v>737467.32312499965</v>
      </c>
      <c r="KO14" s="206">
        <f t="shared" si="138"/>
        <v>737467.32312499965</v>
      </c>
      <c r="KP14" s="206">
        <f t="shared" si="138"/>
        <v>737467.32312499965</v>
      </c>
      <c r="KQ14" s="206">
        <f t="shared" si="138"/>
        <v>737467.32312499965</v>
      </c>
      <c r="KR14" s="206">
        <f t="shared" si="138"/>
        <v>737467.32312499965</v>
      </c>
      <c r="KS14" s="206">
        <f t="shared" si="138"/>
        <v>737467.32312499965</v>
      </c>
      <c r="KT14" s="206">
        <f t="shared" si="138"/>
        <v>737467.32312499965</v>
      </c>
      <c r="KU14" s="206">
        <f t="shared" si="138"/>
        <v>737467.32312499965</v>
      </c>
      <c r="KV14" s="206">
        <f t="shared" si="138"/>
        <v>737467.32312499965</v>
      </c>
      <c r="KW14" s="206">
        <f t="shared" si="138"/>
        <v>737467.32312499965</v>
      </c>
      <c r="KX14" s="206">
        <f t="shared" si="138"/>
        <v>737467.32312499965</v>
      </c>
      <c r="KY14" s="206">
        <f t="shared" si="138"/>
        <v>737467.32312499965</v>
      </c>
      <c r="KZ14" s="206">
        <f t="shared" si="138"/>
        <v>737467.32312499965</v>
      </c>
      <c r="LA14" s="206">
        <f t="shared" si="138"/>
        <v>737467.32312499965</v>
      </c>
      <c r="LB14" s="206">
        <f t="shared" si="138"/>
        <v>737467.32312499965</v>
      </c>
      <c r="LC14" s="206">
        <f t="shared" si="138"/>
        <v>737467.32312499965</v>
      </c>
      <c r="LD14" s="206">
        <f t="shared" si="138"/>
        <v>737467.32312499965</v>
      </c>
      <c r="LE14" s="206">
        <f t="shared" si="138"/>
        <v>737467.32312499965</v>
      </c>
      <c r="LF14" s="206">
        <f t="shared" si="138"/>
        <v>737467.32312499965</v>
      </c>
      <c r="LG14" s="206">
        <f t="shared" si="138"/>
        <v>737467.32312499965</v>
      </c>
      <c r="LH14" s="206">
        <f t="shared" si="138"/>
        <v>737467.32312499965</v>
      </c>
      <c r="LI14" s="206">
        <f t="shared" si="138"/>
        <v>737467.32312499965</v>
      </c>
      <c r="LJ14" s="206">
        <f t="shared" si="138"/>
        <v>737467.32312499965</v>
      </c>
      <c r="LK14" s="206">
        <f t="shared" si="138"/>
        <v>737467.32312499965</v>
      </c>
      <c r="LL14" s="206">
        <f t="shared" si="138"/>
        <v>737467.32312499965</v>
      </c>
      <c r="LM14" s="206">
        <f t="shared" si="138"/>
        <v>737467.32312499965</v>
      </c>
      <c r="LN14" s="206">
        <f t="shared" si="138"/>
        <v>737467.32312499965</v>
      </c>
      <c r="LO14" s="206">
        <f t="shared" si="138"/>
        <v>737467.32312499965</v>
      </c>
      <c r="LP14" s="206">
        <f t="shared" si="138"/>
        <v>737467.32312499965</v>
      </c>
      <c r="LQ14" s="206">
        <f t="shared" ref="LQ14:OB14" si="139">LQ10-LQ12</f>
        <v>737467.32312499965</v>
      </c>
      <c r="LR14" s="206">
        <f t="shared" si="139"/>
        <v>737467.32312499965</v>
      </c>
      <c r="LS14" s="206">
        <f t="shared" si="139"/>
        <v>737467.32312499965</v>
      </c>
      <c r="LT14" s="206">
        <f t="shared" si="139"/>
        <v>737467.32312499965</v>
      </c>
      <c r="LU14" s="206">
        <f t="shared" si="139"/>
        <v>737467.32312499965</v>
      </c>
      <c r="LV14" s="206">
        <f t="shared" si="139"/>
        <v>737467.32312499965</v>
      </c>
      <c r="LW14" s="206">
        <f t="shared" si="139"/>
        <v>737467.32312499965</v>
      </c>
      <c r="LX14" s="206">
        <f t="shared" si="139"/>
        <v>737467.32312499965</v>
      </c>
      <c r="LY14" s="206">
        <f t="shared" si="139"/>
        <v>737467.32312499965</v>
      </c>
      <c r="LZ14" s="206">
        <f t="shared" si="139"/>
        <v>737467.32312499965</v>
      </c>
      <c r="MA14" s="206">
        <f t="shared" si="139"/>
        <v>737467.32312499965</v>
      </c>
      <c r="MB14" s="206">
        <f t="shared" si="139"/>
        <v>737467.32312499965</v>
      </c>
      <c r="MC14" s="206">
        <f t="shared" si="139"/>
        <v>737467.32312499965</v>
      </c>
      <c r="MD14" s="206">
        <f t="shared" si="139"/>
        <v>737467.32312499965</v>
      </c>
      <c r="ME14" s="206">
        <f t="shared" si="139"/>
        <v>737467.32312499965</v>
      </c>
      <c r="MF14" s="206">
        <f t="shared" si="139"/>
        <v>737467.32312499965</v>
      </c>
      <c r="MG14" s="206">
        <f t="shared" si="139"/>
        <v>737467.32312499965</v>
      </c>
      <c r="MH14" s="206">
        <f t="shared" si="139"/>
        <v>737467.32312499965</v>
      </c>
      <c r="MI14" s="206">
        <f t="shared" si="139"/>
        <v>737467.32312499965</v>
      </c>
      <c r="MJ14" s="206">
        <f t="shared" si="139"/>
        <v>737467.32312499965</v>
      </c>
      <c r="MK14" s="206">
        <f t="shared" si="139"/>
        <v>737467.32312499965</v>
      </c>
      <c r="ML14" s="206">
        <f t="shared" si="139"/>
        <v>737467.32312499965</v>
      </c>
      <c r="MM14" s="206">
        <f t="shared" si="139"/>
        <v>737467.32312499965</v>
      </c>
      <c r="MN14" s="206">
        <f t="shared" si="139"/>
        <v>737467.32312499965</v>
      </c>
      <c r="MO14" s="206">
        <f t="shared" si="139"/>
        <v>737467.32312499965</v>
      </c>
      <c r="MP14" s="206">
        <f t="shared" si="139"/>
        <v>737467.32312499965</v>
      </c>
      <c r="MQ14" s="206">
        <f t="shared" si="139"/>
        <v>737467.32312499965</v>
      </c>
      <c r="MR14" s="206">
        <f t="shared" si="139"/>
        <v>737467.32312499965</v>
      </c>
      <c r="MS14" s="206">
        <f t="shared" si="139"/>
        <v>737467.32312499965</v>
      </c>
      <c r="MT14" s="206">
        <f t="shared" si="139"/>
        <v>737467.32312499965</v>
      </c>
      <c r="MU14" s="206">
        <f t="shared" si="139"/>
        <v>737467.32312499965</v>
      </c>
      <c r="MV14" s="206">
        <f t="shared" si="139"/>
        <v>737467.32312499965</v>
      </c>
      <c r="MW14" s="206">
        <f t="shared" si="139"/>
        <v>737467.32312499965</v>
      </c>
      <c r="MX14" s="206">
        <f t="shared" si="139"/>
        <v>737467.32312499965</v>
      </c>
      <c r="MY14" s="206">
        <f t="shared" si="139"/>
        <v>737467.32312499965</v>
      </c>
      <c r="MZ14" s="206">
        <f t="shared" si="139"/>
        <v>737467.32312499965</v>
      </c>
      <c r="NA14" s="206">
        <f t="shared" si="139"/>
        <v>737467.32312499965</v>
      </c>
      <c r="NB14" s="206">
        <f t="shared" si="139"/>
        <v>737467.32312499965</v>
      </c>
      <c r="NC14" s="206">
        <f t="shared" si="139"/>
        <v>737467.32312499965</v>
      </c>
      <c r="ND14" s="206">
        <f t="shared" si="139"/>
        <v>737467.32312499965</v>
      </c>
      <c r="NE14" s="206">
        <f t="shared" si="139"/>
        <v>737467.32312499965</v>
      </c>
      <c r="NF14" s="206">
        <f t="shared" si="139"/>
        <v>737467.32312499965</v>
      </c>
      <c r="NG14" s="206">
        <f t="shared" si="139"/>
        <v>737467.32312499965</v>
      </c>
      <c r="NH14" s="206">
        <f t="shared" si="139"/>
        <v>737467.32312499965</v>
      </c>
      <c r="NI14" s="206">
        <f t="shared" si="139"/>
        <v>737467.32312499965</v>
      </c>
      <c r="NJ14" s="206">
        <f t="shared" si="139"/>
        <v>737467.32312499965</v>
      </c>
      <c r="NK14" s="206">
        <f t="shared" si="139"/>
        <v>737467.32312499965</v>
      </c>
      <c r="NL14" s="206">
        <f t="shared" si="139"/>
        <v>737467.32312499965</v>
      </c>
      <c r="NM14" s="206">
        <f t="shared" si="139"/>
        <v>737467.32312499965</v>
      </c>
      <c r="NN14" s="206">
        <f t="shared" si="139"/>
        <v>737467.32312499965</v>
      </c>
      <c r="NO14" s="206">
        <f t="shared" si="139"/>
        <v>737467.32312499965</v>
      </c>
      <c r="NP14" s="206">
        <f t="shared" si="139"/>
        <v>737467.32312499965</v>
      </c>
      <c r="NQ14" s="206">
        <f t="shared" si="139"/>
        <v>737467.32312499965</v>
      </c>
      <c r="NR14" s="206">
        <f t="shared" si="139"/>
        <v>737467.32312499965</v>
      </c>
      <c r="NS14" s="206">
        <f t="shared" si="139"/>
        <v>737467.32312499965</v>
      </c>
      <c r="NT14" s="206">
        <f t="shared" si="139"/>
        <v>737467.32312499965</v>
      </c>
      <c r="NU14" s="206">
        <f t="shared" si="139"/>
        <v>737467.32312499965</v>
      </c>
      <c r="NV14" s="206">
        <f t="shared" si="139"/>
        <v>737467.32312499965</v>
      </c>
      <c r="NW14" s="206">
        <f t="shared" si="139"/>
        <v>737467.32312499965</v>
      </c>
      <c r="NX14" s="206">
        <f t="shared" si="139"/>
        <v>737467.32312499965</v>
      </c>
      <c r="NY14" s="206">
        <f t="shared" si="139"/>
        <v>737467.32312499965</v>
      </c>
      <c r="NZ14" s="206">
        <f t="shared" si="139"/>
        <v>737467.32312499965</v>
      </c>
      <c r="OA14" s="206">
        <f t="shared" si="139"/>
        <v>737467.32312499965</v>
      </c>
      <c r="OB14" s="206">
        <f t="shared" si="139"/>
        <v>737467.32312499965</v>
      </c>
      <c r="OC14" s="206">
        <f t="shared" ref="OC14:QN14" si="140">OC10-OC12</f>
        <v>737467.32312499965</v>
      </c>
      <c r="OD14" s="206">
        <f t="shared" si="140"/>
        <v>737467.32312499965</v>
      </c>
      <c r="OE14" s="206">
        <f t="shared" si="140"/>
        <v>737467.32312499965</v>
      </c>
      <c r="OF14" s="206">
        <f t="shared" si="140"/>
        <v>737467.32312499965</v>
      </c>
      <c r="OG14" s="206">
        <f t="shared" si="140"/>
        <v>737467.32312499965</v>
      </c>
      <c r="OH14" s="206">
        <f t="shared" si="140"/>
        <v>737467.32312499965</v>
      </c>
      <c r="OI14" s="206">
        <f t="shared" si="140"/>
        <v>737467.32312499965</v>
      </c>
      <c r="OJ14" s="206">
        <f t="shared" si="140"/>
        <v>737467.32312499965</v>
      </c>
      <c r="OK14" s="206">
        <f t="shared" si="140"/>
        <v>737467.32312499965</v>
      </c>
      <c r="OL14" s="206">
        <f t="shared" si="140"/>
        <v>737467.32312499965</v>
      </c>
      <c r="OM14" s="206">
        <f t="shared" si="140"/>
        <v>737467.32312499965</v>
      </c>
      <c r="ON14" s="206">
        <f t="shared" si="140"/>
        <v>737467.32312499965</v>
      </c>
      <c r="OO14" s="206">
        <f t="shared" si="140"/>
        <v>737467.32312499965</v>
      </c>
      <c r="OP14" s="206">
        <f t="shared" si="140"/>
        <v>737467.32312499965</v>
      </c>
      <c r="OQ14" s="206">
        <f t="shared" si="140"/>
        <v>737467.32312499965</v>
      </c>
      <c r="OR14" s="206">
        <f t="shared" si="140"/>
        <v>737467.32312499965</v>
      </c>
      <c r="OS14" s="206">
        <f t="shared" si="140"/>
        <v>737467.32312499965</v>
      </c>
      <c r="OT14" s="206">
        <f t="shared" si="140"/>
        <v>737467.32312499965</v>
      </c>
      <c r="OU14" s="206">
        <f t="shared" si="140"/>
        <v>737467.32312499965</v>
      </c>
      <c r="OV14" s="206">
        <f t="shared" si="140"/>
        <v>737467.32312499965</v>
      </c>
      <c r="OW14" s="206">
        <f t="shared" si="140"/>
        <v>737467.32312499965</v>
      </c>
      <c r="OX14" s="206">
        <f t="shared" si="140"/>
        <v>737467.32312499965</v>
      </c>
      <c r="OY14" s="206">
        <f t="shared" si="140"/>
        <v>737467.32312499965</v>
      </c>
      <c r="OZ14" s="206">
        <f t="shared" si="140"/>
        <v>737467.32312499965</v>
      </c>
      <c r="PA14" s="206">
        <f t="shared" si="140"/>
        <v>737467.32312499965</v>
      </c>
      <c r="PB14" s="206">
        <f t="shared" si="140"/>
        <v>737467.32312499965</v>
      </c>
      <c r="PC14" s="206">
        <f t="shared" si="140"/>
        <v>737467.32312499965</v>
      </c>
      <c r="PD14" s="206">
        <f t="shared" si="140"/>
        <v>737467.32312499965</v>
      </c>
      <c r="PE14" s="206">
        <f t="shared" si="140"/>
        <v>737467.32312499965</v>
      </c>
      <c r="PF14" s="206">
        <f t="shared" si="140"/>
        <v>737467.32312499965</v>
      </c>
      <c r="PG14" s="206">
        <f t="shared" si="140"/>
        <v>737467.32312499965</v>
      </c>
      <c r="PH14" s="206">
        <f t="shared" si="140"/>
        <v>737467.32312499965</v>
      </c>
      <c r="PI14" s="206">
        <f t="shared" si="140"/>
        <v>737467.32312499965</v>
      </c>
      <c r="PJ14" s="206">
        <f t="shared" si="140"/>
        <v>737467.32312499965</v>
      </c>
      <c r="PK14" s="206">
        <f t="shared" si="140"/>
        <v>737467.32312499965</v>
      </c>
      <c r="PL14" s="206">
        <f t="shared" si="140"/>
        <v>737467.32312499965</v>
      </c>
      <c r="PM14" s="206">
        <f t="shared" si="140"/>
        <v>737467.32312499965</v>
      </c>
      <c r="PN14" s="206">
        <f t="shared" si="140"/>
        <v>737467.32312499965</v>
      </c>
      <c r="PO14" s="206">
        <f t="shared" si="140"/>
        <v>737467.32312499965</v>
      </c>
      <c r="PP14" s="206">
        <f t="shared" si="140"/>
        <v>737467.32312499965</v>
      </c>
      <c r="PQ14" s="206">
        <f t="shared" si="140"/>
        <v>737467.32312499965</v>
      </c>
      <c r="PR14" s="206">
        <f t="shared" si="140"/>
        <v>737467.32312499965</v>
      </c>
      <c r="PS14" s="206">
        <f t="shared" si="140"/>
        <v>737467.32312499965</v>
      </c>
      <c r="PT14" s="206">
        <f t="shared" si="140"/>
        <v>737467.32312499965</v>
      </c>
      <c r="PU14" s="206">
        <f t="shared" si="140"/>
        <v>737467.32312499965</v>
      </c>
      <c r="PV14" s="206">
        <f t="shared" si="140"/>
        <v>737467.32312499965</v>
      </c>
      <c r="PW14" s="206">
        <f t="shared" si="140"/>
        <v>737467.32312499965</v>
      </c>
      <c r="PX14" s="206">
        <f t="shared" si="140"/>
        <v>737467.32312499965</v>
      </c>
      <c r="PY14" s="206">
        <f t="shared" si="140"/>
        <v>737467.32312499965</v>
      </c>
      <c r="PZ14" s="206">
        <f t="shared" si="140"/>
        <v>737467.32312499965</v>
      </c>
      <c r="QA14" s="206">
        <f t="shared" si="140"/>
        <v>737467.32312499965</v>
      </c>
      <c r="QB14" s="206">
        <f t="shared" si="140"/>
        <v>737467.32312499965</v>
      </c>
      <c r="QC14" s="206">
        <f t="shared" si="140"/>
        <v>737467.32312499965</v>
      </c>
      <c r="QD14" s="206">
        <f t="shared" si="140"/>
        <v>737467.32312499965</v>
      </c>
      <c r="QE14" s="206">
        <f t="shared" si="140"/>
        <v>737467.32312499965</v>
      </c>
      <c r="QF14" s="206">
        <f t="shared" si="140"/>
        <v>737467.32312499965</v>
      </c>
      <c r="QG14" s="206">
        <f t="shared" si="140"/>
        <v>737467.32312499965</v>
      </c>
      <c r="QH14" s="206">
        <f t="shared" si="140"/>
        <v>737467.32312499965</v>
      </c>
      <c r="QI14" s="206">
        <f t="shared" si="140"/>
        <v>737467.32312499965</v>
      </c>
      <c r="QJ14" s="206">
        <f t="shared" si="140"/>
        <v>737467.32312499965</v>
      </c>
      <c r="QK14" s="206">
        <f t="shared" si="140"/>
        <v>737467.32312499965</v>
      </c>
      <c r="QL14" s="206">
        <f t="shared" si="140"/>
        <v>737467.32312499965</v>
      </c>
      <c r="QM14" s="206">
        <f t="shared" si="140"/>
        <v>737467.32312499965</v>
      </c>
      <c r="QN14" s="206">
        <f t="shared" si="140"/>
        <v>737467.32312499965</v>
      </c>
      <c r="QO14" s="206">
        <f t="shared" ref="QO14:SZ14" si="141">QO10-QO12</f>
        <v>737467.32312499965</v>
      </c>
      <c r="QP14" s="206">
        <f t="shared" si="141"/>
        <v>737467.32312499965</v>
      </c>
      <c r="QQ14" s="206">
        <f t="shared" si="141"/>
        <v>737467.32312499965</v>
      </c>
      <c r="QR14" s="206">
        <f t="shared" si="141"/>
        <v>737467.32312499965</v>
      </c>
      <c r="QS14" s="206">
        <f t="shared" si="141"/>
        <v>737467.32312499965</v>
      </c>
      <c r="QT14" s="206">
        <f t="shared" si="141"/>
        <v>737467.32312499965</v>
      </c>
      <c r="QU14" s="206">
        <f t="shared" si="141"/>
        <v>737467.32312499965</v>
      </c>
      <c r="QV14" s="206">
        <f t="shared" si="141"/>
        <v>737467.32312499965</v>
      </c>
      <c r="QW14" s="206">
        <f t="shared" si="141"/>
        <v>737467.32312499965</v>
      </c>
      <c r="QX14" s="206">
        <f t="shared" si="141"/>
        <v>737467.32312499965</v>
      </c>
      <c r="QY14" s="206">
        <f t="shared" si="141"/>
        <v>737467.32312499965</v>
      </c>
      <c r="QZ14" s="206">
        <f t="shared" si="141"/>
        <v>737467.32312499965</v>
      </c>
      <c r="RA14" s="206">
        <f t="shared" si="141"/>
        <v>737467.32312499965</v>
      </c>
      <c r="RB14" s="206">
        <f t="shared" si="141"/>
        <v>737467.32312499965</v>
      </c>
      <c r="RC14" s="206">
        <f t="shared" si="141"/>
        <v>737467.32312499965</v>
      </c>
      <c r="RD14" s="206">
        <f t="shared" si="141"/>
        <v>737467.32312499965</v>
      </c>
      <c r="RE14" s="206">
        <f t="shared" si="141"/>
        <v>737467.32312499965</v>
      </c>
      <c r="RF14" s="206">
        <f t="shared" si="141"/>
        <v>737467.32312499965</v>
      </c>
      <c r="RG14" s="206">
        <f t="shared" si="141"/>
        <v>737467.32312499965</v>
      </c>
      <c r="RH14" s="206">
        <f t="shared" si="141"/>
        <v>737467.32312499965</v>
      </c>
      <c r="RI14" s="206">
        <f t="shared" si="141"/>
        <v>737467.32312499965</v>
      </c>
      <c r="RJ14" s="206">
        <f t="shared" si="141"/>
        <v>737467.32312499965</v>
      </c>
      <c r="RK14" s="206">
        <f t="shared" si="141"/>
        <v>737467.32312499965</v>
      </c>
      <c r="RL14" s="206">
        <f t="shared" si="141"/>
        <v>737467.32312499965</v>
      </c>
      <c r="RM14" s="206">
        <f t="shared" si="141"/>
        <v>737467.32312499965</v>
      </c>
      <c r="RN14" s="206">
        <f t="shared" si="141"/>
        <v>737467.32312499965</v>
      </c>
      <c r="RO14" s="206">
        <f t="shared" si="141"/>
        <v>737467.32312499965</v>
      </c>
      <c r="RP14" s="206">
        <f t="shared" si="141"/>
        <v>737467.32312499965</v>
      </c>
      <c r="RQ14" s="206">
        <f t="shared" si="141"/>
        <v>737467.32312499965</v>
      </c>
      <c r="RR14" s="206">
        <f t="shared" si="141"/>
        <v>737467.32312499965</v>
      </c>
      <c r="RS14" s="206">
        <f t="shared" si="141"/>
        <v>737467.32312499965</v>
      </c>
      <c r="RT14" s="206">
        <f t="shared" si="141"/>
        <v>737467.32312499965</v>
      </c>
      <c r="RU14" s="206">
        <f t="shared" si="141"/>
        <v>737467.32312499965</v>
      </c>
      <c r="RV14" s="206">
        <f t="shared" si="141"/>
        <v>737467.32312499965</v>
      </c>
      <c r="RW14" s="206">
        <f t="shared" si="141"/>
        <v>737467.32312499965</v>
      </c>
      <c r="RX14" s="206">
        <f t="shared" si="141"/>
        <v>737467.32312499965</v>
      </c>
      <c r="RY14" s="206">
        <f t="shared" si="141"/>
        <v>737467.32312499965</v>
      </c>
      <c r="RZ14" s="206">
        <f t="shared" si="141"/>
        <v>737467.32312499965</v>
      </c>
      <c r="SA14" s="206">
        <f t="shared" si="141"/>
        <v>737467.32312499965</v>
      </c>
      <c r="SB14" s="206">
        <f t="shared" si="141"/>
        <v>737467.32312499965</v>
      </c>
      <c r="SC14" s="206">
        <f t="shared" si="141"/>
        <v>737467.32312499965</v>
      </c>
      <c r="SD14" s="206">
        <f t="shared" si="141"/>
        <v>737467.32312499965</v>
      </c>
      <c r="SE14" s="206">
        <f t="shared" si="141"/>
        <v>737467.32312499965</v>
      </c>
      <c r="SF14" s="206">
        <f t="shared" si="141"/>
        <v>737467.32312499965</v>
      </c>
      <c r="SG14" s="206">
        <f t="shared" si="141"/>
        <v>737467.32312499965</v>
      </c>
      <c r="SH14" s="206">
        <f t="shared" si="141"/>
        <v>737467.32312499965</v>
      </c>
      <c r="SI14" s="206">
        <f t="shared" si="141"/>
        <v>737467.32312499965</v>
      </c>
      <c r="SJ14" s="206">
        <f t="shared" si="141"/>
        <v>737467.32312499965</v>
      </c>
      <c r="SK14" s="206">
        <f t="shared" si="141"/>
        <v>737467.32312499965</v>
      </c>
      <c r="SL14" s="206">
        <f t="shared" si="141"/>
        <v>737467.32312499965</v>
      </c>
      <c r="SM14" s="206">
        <f t="shared" si="141"/>
        <v>737467.32312499965</v>
      </c>
      <c r="SN14" s="206">
        <f t="shared" si="141"/>
        <v>737467.32312499965</v>
      </c>
      <c r="SO14" s="206">
        <f t="shared" si="141"/>
        <v>737467.32312499965</v>
      </c>
      <c r="SP14" s="206">
        <f t="shared" si="141"/>
        <v>737467.32312499965</v>
      </c>
      <c r="SQ14" s="206">
        <f t="shared" si="141"/>
        <v>737467.32312499965</v>
      </c>
      <c r="SR14" s="206">
        <f t="shared" si="141"/>
        <v>737467.32312499965</v>
      </c>
      <c r="SS14" s="206">
        <f t="shared" si="141"/>
        <v>737467.32312499965</v>
      </c>
      <c r="ST14" s="206">
        <f t="shared" si="141"/>
        <v>737467.32312499965</v>
      </c>
      <c r="SU14" s="206">
        <f t="shared" si="141"/>
        <v>737467.32312499965</v>
      </c>
      <c r="SV14" s="206">
        <f t="shared" si="141"/>
        <v>737467.32312499965</v>
      </c>
      <c r="SW14" s="206">
        <f t="shared" si="141"/>
        <v>737467.32312499965</v>
      </c>
      <c r="SX14" s="206">
        <f t="shared" si="141"/>
        <v>737467.32312499965</v>
      </c>
      <c r="SY14" s="206">
        <f t="shared" si="141"/>
        <v>737467.32312499965</v>
      </c>
      <c r="SZ14" s="206">
        <f t="shared" si="141"/>
        <v>737467.32312499965</v>
      </c>
      <c r="TA14" s="206">
        <f t="shared" ref="TA14:VL14" si="142">TA10-TA12</f>
        <v>737467.32312499965</v>
      </c>
      <c r="TB14" s="206">
        <f t="shared" si="142"/>
        <v>737467.32312499965</v>
      </c>
      <c r="TC14" s="206">
        <f t="shared" si="142"/>
        <v>737467.32312499965</v>
      </c>
      <c r="TD14" s="206">
        <f t="shared" si="142"/>
        <v>737467.32312499965</v>
      </c>
      <c r="TE14" s="206">
        <f t="shared" si="142"/>
        <v>737467.32312499965</v>
      </c>
      <c r="TF14" s="206">
        <f t="shared" si="142"/>
        <v>737467.32312499965</v>
      </c>
      <c r="TG14" s="206">
        <f t="shared" si="142"/>
        <v>737467.32312499965</v>
      </c>
      <c r="TH14" s="206">
        <f t="shared" si="142"/>
        <v>737467.32312499965</v>
      </c>
      <c r="TI14" s="206">
        <f t="shared" si="142"/>
        <v>737467.32312499965</v>
      </c>
      <c r="TJ14" s="206">
        <f t="shared" si="142"/>
        <v>737467.32312499965</v>
      </c>
      <c r="TK14" s="206">
        <f t="shared" si="142"/>
        <v>737467.32312499965</v>
      </c>
      <c r="TL14" s="206">
        <f t="shared" si="142"/>
        <v>737467.32312499965</v>
      </c>
      <c r="TM14" s="206">
        <f t="shared" si="142"/>
        <v>737467.32312499965</v>
      </c>
      <c r="TN14" s="206">
        <f t="shared" si="142"/>
        <v>737467.32312499965</v>
      </c>
      <c r="TO14" s="206">
        <f t="shared" si="142"/>
        <v>737467.32312499965</v>
      </c>
      <c r="TP14" s="206">
        <f t="shared" si="142"/>
        <v>737467.32312499965</v>
      </c>
      <c r="TQ14" s="206">
        <f t="shared" si="142"/>
        <v>737467.32312499965</v>
      </c>
      <c r="TR14" s="206">
        <f t="shared" si="142"/>
        <v>737467.32312499965</v>
      </c>
      <c r="TS14" s="206">
        <f t="shared" si="142"/>
        <v>737467.32312499965</v>
      </c>
      <c r="TT14" s="206">
        <f t="shared" si="142"/>
        <v>737467.32312499965</v>
      </c>
      <c r="TU14" s="206">
        <f t="shared" si="142"/>
        <v>737467.32312499965</v>
      </c>
      <c r="TV14" s="206">
        <f t="shared" si="142"/>
        <v>737467.32312499965</v>
      </c>
      <c r="TW14" s="206">
        <f t="shared" si="142"/>
        <v>737467.32312499965</v>
      </c>
      <c r="TX14" s="206">
        <f t="shared" si="142"/>
        <v>737467.32312499965</v>
      </c>
      <c r="TY14" s="206">
        <f t="shared" si="142"/>
        <v>737467.32312499965</v>
      </c>
      <c r="TZ14" s="206">
        <f t="shared" si="142"/>
        <v>737467.32312499965</v>
      </c>
      <c r="UA14" s="206">
        <f t="shared" si="142"/>
        <v>737467.32312499965</v>
      </c>
      <c r="UB14" s="206">
        <f t="shared" si="142"/>
        <v>737467.32312499965</v>
      </c>
      <c r="UC14" s="206">
        <f t="shared" si="142"/>
        <v>737467.32312499965</v>
      </c>
      <c r="UD14" s="206">
        <f t="shared" si="142"/>
        <v>737467.32312499965</v>
      </c>
      <c r="UE14" s="206">
        <f t="shared" si="142"/>
        <v>737467.32312499965</v>
      </c>
      <c r="UF14" s="206">
        <f t="shared" si="142"/>
        <v>737467.32312499965</v>
      </c>
      <c r="UG14" s="206">
        <f t="shared" si="142"/>
        <v>737467.32312499965</v>
      </c>
      <c r="UH14" s="206">
        <f t="shared" si="142"/>
        <v>737467.32312499965</v>
      </c>
      <c r="UI14" s="206">
        <f t="shared" si="142"/>
        <v>737467.32312499965</v>
      </c>
      <c r="UJ14" s="206">
        <f t="shared" si="142"/>
        <v>737467.32312499965</v>
      </c>
      <c r="UK14" s="206">
        <f t="shared" si="142"/>
        <v>737467.32312499965</v>
      </c>
      <c r="UL14" s="206">
        <f t="shared" si="142"/>
        <v>737467.32312499965</v>
      </c>
      <c r="UM14" s="206">
        <f t="shared" si="142"/>
        <v>737467.32312499965</v>
      </c>
      <c r="UN14" s="206">
        <f t="shared" si="142"/>
        <v>737467.32312499965</v>
      </c>
      <c r="UO14" s="206">
        <f t="shared" si="142"/>
        <v>737467.32312499965</v>
      </c>
      <c r="UP14" s="206">
        <f t="shared" si="142"/>
        <v>737467.32312499965</v>
      </c>
      <c r="UQ14" s="206">
        <f t="shared" si="142"/>
        <v>737467.32312499965</v>
      </c>
      <c r="UR14" s="206">
        <f t="shared" si="142"/>
        <v>737467.32312499965</v>
      </c>
      <c r="US14" s="206">
        <f t="shared" si="142"/>
        <v>737467.32312499965</v>
      </c>
      <c r="UT14" s="206">
        <f t="shared" si="142"/>
        <v>737467.32312499965</v>
      </c>
      <c r="UU14" s="206">
        <f t="shared" si="142"/>
        <v>737467.32312499965</v>
      </c>
      <c r="UV14" s="206">
        <f t="shared" si="142"/>
        <v>737467.32312499965</v>
      </c>
      <c r="UW14" s="206">
        <f t="shared" si="142"/>
        <v>737467.32312499965</v>
      </c>
      <c r="UX14" s="206">
        <f t="shared" si="142"/>
        <v>737467.32312499965</v>
      </c>
      <c r="UY14" s="206">
        <f t="shared" si="142"/>
        <v>737467.32312499965</v>
      </c>
      <c r="UZ14" s="206">
        <f t="shared" si="142"/>
        <v>737467.32312499965</v>
      </c>
      <c r="VA14" s="206">
        <f t="shared" si="142"/>
        <v>737467.32312499965</v>
      </c>
      <c r="VB14" s="206">
        <f t="shared" si="142"/>
        <v>737467.32312499965</v>
      </c>
      <c r="VC14" s="206">
        <f t="shared" si="142"/>
        <v>737467.32312499965</v>
      </c>
      <c r="VD14" s="206">
        <f t="shared" si="142"/>
        <v>737467.32312499965</v>
      </c>
      <c r="VE14" s="206">
        <f t="shared" si="142"/>
        <v>737467.32312499965</v>
      </c>
      <c r="VF14" s="206">
        <f t="shared" si="142"/>
        <v>737467.32312499965</v>
      </c>
      <c r="VG14" s="206">
        <f t="shared" si="142"/>
        <v>737467.32312499965</v>
      </c>
      <c r="VH14" s="206">
        <f t="shared" si="142"/>
        <v>737467.32312499965</v>
      </c>
      <c r="VI14" s="206">
        <f t="shared" si="142"/>
        <v>737467.32312499965</v>
      </c>
      <c r="VJ14" s="206">
        <f t="shared" si="142"/>
        <v>737467.32312499965</v>
      </c>
      <c r="VK14" s="206">
        <f t="shared" si="142"/>
        <v>737467.32312499965</v>
      </c>
      <c r="VL14" s="206">
        <f t="shared" si="142"/>
        <v>737467.32312499965</v>
      </c>
      <c r="VM14" s="206">
        <f t="shared" ref="VM14:XX14" si="143">VM10-VM12</f>
        <v>737467.32312499965</v>
      </c>
      <c r="VN14" s="206">
        <f t="shared" si="143"/>
        <v>737467.32312499965</v>
      </c>
      <c r="VO14" s="206">
        <f t="shared" si="143"/>
        <v>737467.32312499965</v>
      </c>
      <c r="VP14" s="206">
        <f t="shared" si="143"/>
        <v>737467.32312499965</v>
      </c>
      <c r="VQ14" s="206">
        <f t="shared" si="143"/>
        <v>737467.32312499965</v>
      </c>
      <c r="VR14" s="206">
        <f t="shared" si="143"/>
        <v>737467.32312499965</v>
      </c>
      <c r="VS14" s="206">
        <f t="shared" si="143"/>
        <v>737467.32312499965</v>
      </c>
      <c r="VT14" s="206">
        <f t="shared" si="143"/>
        <v>737467.32312499965</v>
      </c>
      <c r="VU14" s="206">
        <f t="shared" si="143"/>
        <v>737467.32312499965</v>
      </c>
      <c r="VV14" s="206">
        <f t="shared" si="143"/>
        <v>737467.32312499965</v>
      </c>
      <c r="VW14" s="206">
        <f t="shared" si="143"/>
        <v>737467.32312499965</v>
      </c>
      <c r="VX14" s="206">
        <f t="shared" si="143"/>
        <v>737467.32312499965</v>
      </c>
      <c r="VY14" s="206">
        <f t="shared" si="143"/>
        <v>737467.32312499965</v>
      </c>
      <c r="VZ14" s="206">
        <f t="shared" si="143"/>
        <v>737467.32312499965</v>
      </c>
      <c r="WA14" s="206">
        <f t="shared" si="143"/>
        <v>737467.32312499965</v>
      </c>
      <c r="WB14" s="206">
        <f t="shared" si="143"/>
        <v>737467.32312499965</v>
      </c>
      <c r="WC14" s="206">
        <f t="shared" si="143"/>
        <v>737467.32312499965</v>
      </c>
      <c r="WD14" s="206">
        <f t="shared" si="143"/>
        <v>737467.32312499965</v>
      </c>
      <c r="WE14" s="206">
        <f t="shared" si="143"/>
        <v>737467.32312499965</v>
      </c>
      <c r="WF14" s="206">
        <f t="shared" si="143"/>
        <v>737467.32312499965</v>
      </c>
      <c r="WG14" s="206">
        <f t="shared" si="143"/>
        <v>737467.32312499965</v>
      </c>
      <c r="WH14" s="206">
        <f t="shared" si="143"/>
        <v>737467.32312499965</v>
      </c>
      <c r="WI14" s="206">
        <f t="shared" si="143"/>
        <v>737467.32312499965</v>
      </c>
      <c r="WJ14" s="206">
        <f t="shared" si="143"/>
        <v>737467.32312499965</v>
      </c>
      <c r="WK14" s="206">
        <f t="shared" si="143"/>
        <v>737467.32312499965</v>
      </c>
      <c r="WL14" s="206">
        <f t="shared" si="143"/>
        <v>737467.32312499965</v>
      </c>
      <c r="WM14" s="206">
        <f t="shared" si="143"/>
        <v>737467.32312499965</v>
      </c>
      <c r="WN14" s="206">
        <f t="shared" si="143"/>
        <v>737467.32312499965</v>
      </c>
      <c r="WO14" s="206">
        <f t="shared" si="143"/>
        <v>737467.32312499965</v>
      </c>
      <c r="WP14" s="206">
        <f t="shared" si="143"/>
        <v>737467.32312499965</v>
      </c>
      <c r="WQ14" s="206">
        <f t="shared" si="143"/>
        <v>737467.32312499965</v>
      </c>
      <c r="WR14" s="206">
        <f t="shared" si="143"/>
        <v>737467.32312499965</v>
      </c>
      <c r="WS14" s="206">
        <f t="shared" si="143"/>
        <v>737467.32312499965</v>
      </c>
      <c r="WT14" s="206">
        <f t="shared" si="143"/>
        <v>737467.32312499965</v>
      </c>
      <c r="WU14" s="206">
        <f t="shared" si="143"/>
        <v>737467.32312499965</v>
      </c>
      <c r="WV14" s="206">
        <f t="shared" si="143"/>
        <v>737467.32312499965</v>
      </c>
      <c r="WW14" s="206">
        <f t="shared" si="143"/>
        <v>737467.32312499965</v>
      </c>
      <c r="WX14" s="206">
        <f t="shared" si="143"/>
        <v>737467.32312499965</v>
      </c>
      <c r="WY14" s="206">
        <f t="shared" si="143"/>
        <v>737467.32312499965</v>
      </c>
      <c r="WZ14" s="206">
        <f t="shared" si="143"/>
        <v>737467.32312499965</v>
      </c>
      <c r="XA14" s="206">
        <f t="shared" si="143"/>
        <v>737467.32312499965</v>
      </c>
      <c r="XB14" s="206">
        <f t="shared" si="143"/>
        <v>737467.32312499965</v>
      </c>
      <c r="XC14" s="206">
        <f t="shared" si="143"/>
        <v>737467.32312499965</v>
      </c>
      <c r="XD14" s="206">
        <f t="shared" si="143"/>
        <v>737467.32312499965</v>
      </c>
      <c r="XE14" s="206">
        <f t="shared" si="143"/>
        <v>737467.32312499965</v>
      </c>
      <c r="XF14" s="206">
        <f t="shared" si="143"/>
        <v>737467.32312499965</v>
      </c>
      <c r="XG14" s="206">
        <f t="shared" si="143"/>
        <v>737467.32312499965</v>
      </c>
      <c r="XH14" s="206">
        <f t="shared" si="143"/>
        <v>737467.32312499965</v>
      </c>
      <c r="XI14" s="206">
        <f t="shared" si="143"/>
        <v>737467.32312499965</v>
      </c>
      <c r="XJ14" s="206">
        <f t="shared" si="143"/>
        <v>737467.32312499965</v>
      </c>
      <c r="XK14" s="206">
        <f t="shared" si="143"/>
        <v>737467.32312499965</v>
      </c>
      <c r="XL14" s="206">
        <f t="shared" si="143"/>
        <v>737467.32312499965</v>
      </c>
      <c r="XM14" s="206">
        <f t="shared" si="143"/>
        <v>737467.32312499965</v>
      </c>
      <c r="XN14" s="206">
        <f t="shared" si="143"/>
        <v>737467.32312499965</v>
      </c>
      <c r="XO14" s="206">
        <f t="shared" si="143"/>
        <v>737467.32312499965</v>
      </c>
      <c r="XP14" s="206">
        <f t="shared" si="143"/>
        <v>737467.32312499965</v>
      </c>
      <c r="XQ14" s="206">
        <f t="shared" si="143"/>
        <v>737467.32312499965</v>
      </c>
      <c r="XR14" s="206">
        <f t="shared" si="143"/>
        <v>737467.32312499965</v>
      </c>
      <c r="XS14" s="206">
        <f t="shared" si="143"/>
        <v>737467.32312499965</v>
      </c>
      <c r="XT14" s="206">
        <f t="shared" si="143"/>
        <v>737467.32312499965</v>
      </c>
      <c r="XU14" s="206">
        <f t="shared" si="143"/>
        <v>737467.32312499965</v>
      </c>
      <c r="XV14" s="206">
        <f t="shared" si="143"/>
        <v>737467.32312499965</v>
      </c>
      <c r="XW14" s="206">
        <f t="shared" si="143"/>
        <v>737467.32312499965</v>
      </c>
      <c r="XX14" s="206">
        <f t="shared" si="143"/>
        <v>737467.32312499965</v>
      </c>
      <c r="XY14" s="206">
        <f t="shared" ref="XY14:AAJ14" si="144">XY10-XY12</f>
        <v>737467.32312499965</v>
      </c>
      <c r="XZ14" s="206">
        <f t="shared" si="144"/>
        <v>737467.32312499965</v>
      </c>
      <c r="YA14" s="206">
        <f t="shared" si="144"/>
        <v>737467.32312499965</v>
      </c>
      <c r="YB14" s="206">
        <f t="shared" si="144"/>
        <v>737467.32312499965</v>
      </c>
      <c r="YC14" s="206">
        <f t="shared" si="144"/>
        <v>737467.32312499965</v>
      </c>
      <c r="YD14" s="206">
        <f t="shared" si="144"/>
        <v>737467.32312499965</v>
      </c>
      <c r="YE14" s="206">
        <f t="shared" si="144"/>
        <v>737467.32312499965</v>
      </c>
      <c r="YF14" s="206">
        <f t="shared" si="144"/>
        <v>737467.32312499965</v>
      </c>
      <c r="YG14" s="206">
        <f t="shared" si="144"/>
        <v>737467.32312499965</v>
      </c>
      <c r="YH14" s="206">
        <f t="shared" si="144"/>
        <v>737467.32312499965</v>
      </c>
      <c r="YI14" s="206">
        <f t="shared" si="144"/>
        <v>737467.32312499965</v>
      </c>
      <c r="YJ14" s="206">
        <f t="shared" si="144"/>
        <v>737467.32312499965</v>
      </c>
      <c r="YK14" s="206">
        <f t="shared" si="144"/>
        <v>737467.32312499965</v>
      </c>
      <c r="YL14" s="206">
        <f t="shared" si="144"/>
        <v>737467.32312499965</v>
      </c>
      <c r="YM14" s="206">
        <f t="shared" si="144"/>
        <v>737467.32312499965</v>
      </c>
      <c r="YN14" s="206">
        <f t="shared" si="144"/>
        <v>737467.32312499965</v>
      </c>
      <c r="YO14" s="206">
        <f t="shared" si="144"/>
        <v>737467.32312499965</v>
      </c>
      <c r="YP14" s="206">
        <f t="shared" si="144"/>
        <v>737467.32312499965</v>
      </c>
      <c r="YQ14" s="206">
        <f t="shared" si="144"/>
        <v>737467.32312499965</v>
      </c>
      <c r="YR14" s="206">
        <f t="shared" si="144"/>
        <v>737467.32312499965</v>
      </c>
      <c r="YS14" s="206">
        <f t="shared" si="144"/>
        <v>737467.32312499965</v>
      </c>
      <c r="YT14" s="206">
        <f t="shared" si="144"/>
        <v>737467.32312499965</v>
      </c>
      <c r="YU14" s="206">
        <f t="shared" si="144"/>
        <v>737467.32312499965</v>
      </c>
      <c r="YV14" s="206">
        <f t="shared" si="144"/>
        <v>737467.32312499965</v>
      </c>
      <c r="YW14" s="206">
        <f t="shared" si="144"/>
        <v>737467.32312499965</v>
      </c>
      <c r="YX14" s="206">
        <f t="shared" si="144"/>
        <v>737467.32312499965</v>
      </c>
      <c r="YY14" s="206">
        <f t="shared" si="144"/>
        <v>737467.32312499965</v>
      </c>
      <c r="YZ14" s="206">
        <f t="shared" si="144"/>
        <v>737467.32312499965</v>
      </c>
      <c r="ZA14" s="206">
        <f t="shared" si="144"/>
        <v>737467.32312499965</v>
      </c>
      <c r="ZB14" s="206">
        <f t="shared" si="144"/>
        <v>737467.32312499965</v>
      </c>
      <c r="ZC14" s="206">
        <f t="shared" si="144"/>
        <v>737467.32312499965</v>
      </c>
      <c r="ZD14" s="206">
        <f t="shared" si="144"/>
        <v>737467.32312499965</v>
      </c>
      <c r="ZE14" s="206">
        <f t="shared" si="144"/>
        <v>737467.32312499965</v>
      </c>
      <c r="ZF14" s="206">
        <f t="shared" si="144"/>
        <v>737467.32312499965</v>
      </c>
      <c r="ZG14" s="206">
        <f t="shared" si="144"/>
        <v>737467.32312499965</v>
      </c>
      <c r="ZH14" s="206">
        <f t="shared" si="144"/>
        <v>737467.32312499965</v>
      </c>
      <c r="ZI14" s="206">
        <f t="shared" si="144"/>
        <v>737467.32312499965</v>
      </c>
      <c r="ZJ14" s="206">
        <f t="shared" si="144"/>
        <v>737467.32312499965</v>
      </c>
      <c r="ZK14" s="206">
        <f t="shared" si="144"/>
        <v>737467.32312499965</v>
      </c>
      <c r="ZL14" s="206">
        <f t="shared" si="144"/>
        <v>737467.32312499965</v>
      </c>
      <c r="ZM14" s="206">
        <f t="shared" si="144"/>
        <v>737467.32312499965</v>
      </c>
      <c r="ZN14" s="206">
        <f t="shared" si="144"/>
        <v>737467.32312499965</v>
      </c>
      <c r="ZO14" s="206">
        <f t="shared" si="144"/>
        <v>737467.32312499965</v>
      </c>
      <c r="ZP14" s="206">
        <f t="shared" si="144"/>
        <v>737467.32312499965</v>
      </c>
      <c r="ZQ14" s="206">
        <f t="shared" si="144"/>
        <v>737467.32312499965</v>
      </c>
      <c r="ZR14" s="206">
        <f t="shared" si="144"/>
        <v>737467.32312499965</v>
      </c>
      <c r="ZS14" s="206">
        <f t="shared" si="144"/>
        <v>737467.32312499965</v>
      </c>
      <c r="ZT14" s="206">
        <f t="shared" si="144"/>
        <v>737467.32312499965</v>
      </c>
      <c r="ZU14" s="206">
        <f t="shared" si="144"/>
        <v>737467.32312499965</v>
      </c>
      <c r="ZV14" s="206">
        <f t="shared" si="144"/>
        <v>737467.32312499965</v>
      </c>
      <c r="ZW14" s="206">
        <f t="shared" si="144"/>
        <v>737467.32312499965</v>
      </c>
      <c r="ZX14" s="206">
        <f t="shared" si="144"/>
        <v>737467.32312499965</v>
      </c>
      <c r="ZY14" s="206">
        <f t="shared" si="144"/>
        <v>737467.32312499965</v>
      </c>
      <c r="ZZ14" s="206">
        <f t="shared" si="144"/>
        <v>737467.32312499965</v>
      </c>
      <c r="AAA14" s="206">
        <f t="shared" si="144"/>
        <v>737467.32312499965</v>
      </c>
      <c r="AAB14" s="206">
        <f t="shared" si="144"/>
        <v>737467.32312499965</v>
      </c>
      <c r="AAC14" s="206">
        <f t="shared" si="144"/>
        <v>737467.32312499965</v>
      </c>
      <c r="AAD14" s="206">
        <f t="shared" si="144"/>
        <v>737467.32312499965</v>
      </c>
      <c r="AAE14" s="206">
        <f t="shared" si="144"/>
        <v>737467.32312499965</v>
      </c>
      <c r="AAF14" s="206">
        <f t="shared" si="144"/>
        <v>737467.32312499965</v>
      </c>
      <c r="AAG14" s="206">
        <f t="shared" si="144"/>
        <v>737467.32312499965</v>
      </c>
      <c r="AAH14" s="206">
        <f t="shared" si="144"/>
        <v>737467.32312499965</v>
      </c>
      <c r="AAI14" s="206">
        <f t="shared" si="144"/>
        <v>737467.32312499965</v>
      </c>
      <c r="AAJ14" s="206">
        <f t="shared" si="144"/>
        <v>737467.32312499965</v>
      </c>
      <c r="AAK14" s="206">
        <f t="shared" ref="AAK14:ACV14" si="145">AAK10-AAK12</f>
        <v>737467.32312499965</v>
      </c>
      <c r="AAL14" s="206">
        <f t="shared" si="145"/>
        <v>737467.32312499965</v>
      </c>
      <c r="AAM14" s="206">
        <f t="shared" si="145"/>
        <v>737467.32312499965</v>
      </c>
      <c r="AAN14" s="206">
        <f t="shared" si="145"/>
        <v>737467.32312499965</v>
      </c>
      <c r="AAO14" s="206">
        <f t="shared" si="145"/>
        <v>737467.32312499965</v>
      </c>
      <c r="AAP14" s="206">
        <f t="shared" si="145"/>
        <v>737467.32312499965</v>
      </c>
      <c r="AAQ14" s="206">
        <f t="shared" si="145"/>
        <v>737467.32312499965</v>
      </c>
      <c r="AAR14" s="206">
        <f t="shared" si="145"/>
        <v>737467.32312499965</v>
      </c>
      <c r="AAS14" s="206">
        <f t="shared" si="145"/>
        <v>737467.32312499965</v>
      </c>
      <c r="AAT14" s="206">
        <f t="shared" si="145"/>
        <v>737467.32312499965</v>
      </c>
      <c r="AAU14" s="206">
        <f t="shared" si="145"/>
        <v>737467.32312499965</v>
      </c>
      <c r="AAV14" s="206">
        <f t="shared" si="145"/>
        <v>737467.32312499965</v>
      </c>
      <c r="AAW14" s="206">
        <f t="shared" si="145"/>
        <v>737467.32312499965</v>
      </c>
      <c r="AAX14" s="206">
        <f t="shared" si="145"/>
        <v>737467.32312499965</v>
      </c>
      <c r="AAY14" s="206">
        <f t="shared" si="145"/>
        <v>737467.32312499965</v>
      </c>
      <c r="AAZ14" s="206">
        <f t="shared" si="145"/>
        <v>737467.32312499965</v>
      </c>
      <c r="ABA14" s="206">
        <f t="shared" si="145"/>
        <v>737467.32312499965</v>
      </c>
      <c r="ABB14" s="206">
        <f t="shared" si="145"/>
        <v>737467.32312499965</v>
      </c>
      <c r="ABC14" s="206">
        <f t="shared" si="145"/>
        <v>737467.32312499965</v>
      </c>
      <c r="ABD14" s="206">
        <f t="shared" si="145"/>
        <v>737467.32312499965</v>
      </c>
      <c r="ABE14" s="206">
        <f t="shared" si="145"/>
        <v>737467.32312499965</v>
      </c>
      <c r="ABF14" s="206">
        <f t="shared" si="145"/>
        <v>737467.32312499965</v>
      </c>
      <c r="ABG14" s="206">
        <f t="shared" si="145"/>
        <v>737467.32312499965</v>
      </c>
      <c r="ABH14" s="206">
        <f t="shared" si="145"/>
        <v>737467.32312499965</v>
      </c>
      <c r="ABI14" s="206">
        <f t="shared" si="145"/>
        <v>737467.32312499965</v>
      </c>
      <c r="ABJ14" s="206">
        <f t="shared" si="145"/>
        <v>737467.32312499965</v>
      </c>
      <c r="ABK14" s="206">
        <f t="shared" si="145"/>
        <v>737467.32312499965</v>
      </c>
      <c r="ABL14" s="206">
        <f t="shared" si="145"/>
        <v>737467.32312499965</v>
      </c>
      <c r="ABM14" s="206">
        <f t="shared" si="145"/>
        <v>737467.32312499965</v>
      </c>
      <c r="ABN14" s="206">
        <f t="shared" si="145"/>
        <v>737467.32312499965</v>
      </c>
      <c r="ABO14" s="206">
        <f t="shared" si="145"/>
        <v>737467.32312499965</v>
      </c>
      <c r="ABP14" s="206">
        <f t="shared" si="145"/>
        <v>737467.32312499965</v>
      </c>
      <c r="ABQ14" s="206">
        <f t="shared" si="145"/>
        <v>737467.32312499965</v>
      </c>
      <c r="ABR14" s="206">
        <f t="shared" si="145"/>
        <v>737467.32312499965</v>
      </c>
      <c r="ABS14" s="206">
        <f t="shared" si="145"/>
        <v>737467.32312499965</v>
      </c>
      <c r="ABT14" s="206">
        <f t="shared" si="145"/>
        <v>737467.32312499965</v>
      </c>
      <c r="ABU14" s="206">
        <f t="shared" si="145"/>
        <v>737467.32312499965</v>
      </c>
      <c r="ABV14" s="206">
        <f t="shared" si="145"/>
        <v>737467.32312499965</v>
      </c>
      <c r="ABW14" s="206">
        <f t="shared" si="145"/>
        <v>737467.32312499965</v>
      </c>
      <c r="ABX14" s="206">
        <f t="shared" si="145"/>
        <v>737467.32312499965</v>
      </c>
      <c r="ABY14" s="206">
        <f t="shared" si="145"/>
        <v>737467.32312499965</v>
      </c>
      <c r="ABZ14" s="206">
        <f t="shared" si="145"/>
        <v>737467.32312499965</v>
      </c>
      <c r="ACA14" s="206">
        <f t="shared" si="145"/>
        <v>737467.32312499965</v>
      </c>
      <c r="ACB14" s="206">
        <f t="shared" si="145"/>
        <v>737467.32312499965</v>
      </c>
      <c r="ACC14" s="206">
        <f t="shared" si="145"/>
        <v>737467.32312499965</v>
      </c>
      <c r="ACD14" s="206">
        <f t="shared" si="145"/>
        <v>737467.32312499965</v>
      </c>
      <c r="ACE14" s="206">
        <f t="shared" si="145"/>
        <v>737467.32312499965</v>
      </c>
      <c r="ACF14" s="206">
        <f t="shared" si="145"/>
        <v>737467.32312499965</v>
      </c>
      <c r="ACG14" s="206">
        <f t="shared" si="145"/>
        <v>737467.32312499965</v>
      </c>
      <c r="ACH14" s="206">
        <f t="shared" si="145"/>
        <v>737467.32312499965</v>
      </c>
      <c r="ACI14" s="206">
        <f t="shared" si="145"/>
        <v>737467.32312499965</v>
      </c>
      <c r="ACJ14" s="206">
        <f t="shared" si="145"/>
        <v>737467.32312499965</v>
      </c>
      <c r="ACK14" s="206">
        <f t="shared" si="145"/>
        <v>737467.32312499965</v>
      </c>
      <c r="ACL14" s="206">
        <f t="shared" si="145"/>
        <v>737467.32312499965</v>
      </c>
      <c r="ACM14" s="206">
        <f t="shared" si="145"/>
        <v>737467.32312499965</v>
      </c>
      <c r="ACN14" s="206">
        <f t="shared" si="145"/>
        <v>737467.32312499965</v>
      </c>
      <c r="ACO14" s="206">
        <f t="shared" si="145"/>
        <v>737467.32312499965</v>
      </c>
      <c r="ACP14" s="206">
        <f t="shared" si="145"/>
        <v>737467.32312499965</v>
      </c>
      <c r="ACQ14" s="206">
        <f t="shared" si="145"/>
        <v>737467.32312499965</v>
      </c>
      <c r="ACR14" s="206">
        <f t="shared" si="145"/>
        <v>737467.32312499965</v>
      </c>
      <c r="ACS14" s="206">
        <f t="shared" si="145"/>
        <v>737467.32312499965</v>
      </c>
      <c r="ACT14" s="206">
        <f t="shared" si="145"/>
        <v>737467.32312499965</v>
      </c>
      <c r="ACU14" s="206">
        <f t="shared" si="145"/>
        <v>737467.32312499965</v>
      </c>
      <c r="ACV14" s="206">
        <f t="shared" si="145"/>
        <v>737467.32312499965</v>
      </c>
      <c r="ACW14" s="206">
        <f t="shared" ref="ACW14:AFH14" si="146">ACW10-ACW12</f>
        <v>737467.32312499965</v>
      </c>
      <c r="ACX14" s="206">
        <f t="shared" si="146"/>
        <v>737467.32312499965</v>
      </c>
      <c r="ACY14" s="206">
        <f t="shared" si="146"/>
        <v>737467.32312499965</v>
      </c>
      <c r="ACZ14" s="206">
        <f t="shared" si="146"/>
        <v>737467.32312499965</v>
      </c>
      <c r="ADA14" s="206">
        <f t="shared" si="146"/>
        <v>737467.32312499965</v>
      </c>
      <c r="ADB14" s="206">
        <f t="shared" si="146"/>
        <v>737467.32312499965</v>
      </c>
      <c r="ADC14" s="206">
        <f t="shared" si="146"/>
        <v>737467.32312499965</v>
      </c>
      <c r="ADD14" s="206">
        <f t="shared" si="146"/>
        <v>737467.32312499965</v>
      </c>
      <c r="ADE14" s="206">
        <f t="shared" si="146"/>
        <v>737467.32312499965</v>
      </c>
      <c r="ADF14" s="206">
        <f t="shared" si="146"/>
        <v>737467.32312499965</v>
      </c>
      <c r="ADG14" s="206">
        <f t="shared" si="146"/>
        <v>737467.32312499965</v>
      </c>
      <c r="ADH14" s="206">
        <f t="shared" si="146"/>
        <v>737467.32312499965</v>
      </c>
      <c r="ADI14" s="206">
        <f t="shared" si="146"/>
        <v>737467.32312499965</v>
      </c>
      <c r="ADJ14" s="206">
        <f t="shared" si="146"/>
        <v>737467.32312499965</v>
      </c>
      <c r="ADK14" s="206">
        <f t="shared" si="146"/>
        <v>737467.32312499965</v>
      </c>
      <c r="ADL14" s="206">
        <f t="shared" si="146"/>
        <v>737467.32312499965</v>
      </c>
      <c r="ADM14" s="206">
        <f t="shared" si="146"/>
        <v>737467.32312499965</v>
      </c>
      <c r="ADN14" s="206">
        <f t="shared" si="146"/>
        <v>737467.32312499965</v>
      </c>
      <c r="ADO14" s="206">
        <f t="shared" si="146"/>
        <v>737467.32312499965</v>
      </c>
      <c r="ADP14" s="206">
        <f t="shared" si="146"/>
        <v>737467.32312499965</v>
      </c>
      <c r="ADQ14" s="206">
        <f t="shared" si="146"/>
        <v>737467.32312499965</v>
      </c>
      <c r="ADR14" s="206">
        <f t="shared" si="146"/>
        <v>737467.32312499965</v>
      </c>
      <c r="ADS14" s="206">
        <f t="shared" si="146"/>
        <v>737467.32312499965</v>
      </c>
      <c r="ADT14" s="206">
        <f t="shared" si="146"/>
        <v>737467.32312499965</v>
      </c>
      <c r="ADU14" s="206">
        <f t="shared" si="146"/>
        <v>737467.32312499965</v>
      </c>
      <c r="ADV14" s="206">
        <f t="shared" si="146"/>
        <v>737467.32312499965</v>
      </c>
      <c r="ADW14" s="206">
        <f t="shared" si="146"/>
        <v>737467.32312499965</v>
      </c>
      <c r="ADX14" s="206">
        <f t="shared" si="146"/>
        <v>737467.32312499965</v>
      </c>
      <c r="ADY14" s="206">
        <f t="shared" si="146"/>
        <v>737467.32312499965</v>
      </c>
      <c r="ADZ14" s="206">
        <f t="shared" si="146"/>
        <v>737467.32312499965</v>
      </c>
      <c r="AEA14" s="206">
        <f t="shared" si="146"/>
        <v>737467.32312499965</v>
      </c>
      <c r="AEB14" s="206">
        <f t="shared" si="146"/>
        <v>737467.32312499965</v>
      </c>
      <c r="AEC14" s="206">
        <f t="shared" si="146"/>
        <v>737467.32312499965</v>
      </c>
      <c r="AED14" s="206">
        <f t="shared" si="146"/>
        <v>737467.32312499965</v>
      </c>
      <c r="AEE14" s="206">
        <f t="shared" si="146"/>
        <v>737467.32312499965</v>
      </c>
      <c r="AEF14" s="206">
        <f t="shared" si="146"/>
        <v>737467.32312499965</v>
      </c>
      <c r="AEG14" s="206">
        <f t="shared" si="146"/>
        <v>737467.32312499965</v>
      </c>
      <c r="AEH14" s="206">
        <f t="shared" si="146"/>
        <v>737467.32312499965</v>
      </c>
      <c r="AEI14" s="206">
        <f t="shared" si="146"/>
        <v>737467.32312499965</v>
      </c>
      <c r="AEJ14" s="206">
        <f t="shared" si="146"/>
        <v>737467.32312499965</v>
      </c>
      <c r="AEK14" s="206">
        <f t="shared" si="146"/>
        <v>737467.32312499965</v>
      </c>
      <c r="AEL14" s="206">
        <f t="shared" si="146"/>
        <v>737467.32312499965</v>
      </c>
      <c r="AEM14" s="206">
        <f t="shared" si="146"/>
        <v>737467.32312499965</v>
      </c>
      <c r="AEN14" s="206">
        <f t="shared" si="146"/>
        <v>737467.32312499965</v>
      </c>
      <c r="AEO14" s="206">
        <f t="shared" si="146"/>
        <v>737467.32312499965</v>
      </c>
      <c r="AEP14" s="206">
        <f t="shared" si="146"/>
        <v>737467.32312499965</v>
      </c>
      <c r="AEQ14" s="206">
        <f t="shared" si="146"/>
        <v>737467.32312499965</v>
      </c>
      <c r="AER14" s="206">
        <f t="shared" si="146"/>
        <v>737467.32312499965</v>
      </c>
      <c r="AES14" s="206">
        <f t="shared" si="146"/>
        <v>737467.32312499965</v>
      </c>
      <c r="AET14" s="206">
        <f t="shared" si="146"/>
        <v>737467.32312499965</v>
      </c>
      <c r="AEU14" s="206">
        <f t="shared" si="146"/>
        <v>737467.32312499965</v>
      </c>
      <c r="AEV14" s="206">
        <f t="shared" si="146"/>
        <v>737467.32312499965</v>
      </c>
      <c r="AEW14" s="206">
        <f t="shared" si="146"/>
        <v>737467.32312499965</v>
      </c>
      <c r="AEX14" s="206">
        <f t="shared" si="146"/>
        <v>737467.32312499965</v>
      </c>
      <c r="AEY14" s="206">
        <f t="shared" si="146"/>
        <v>737467.32312499965</v>
      </c>
      <c r="AEZ14" s="206">
        <f t="shared" si="146"/>
        <v>737467.32312499965</v>
      </c>
      <c r="AFA14" s="206">
        <f t="shared" si="146"/>
        <v>737467.32312499965</v>
      </c>
      <c r="AFB14" s="206">
        <f t="shared" si="146"/>
        <v>737467.32312499965</v>
      </c>
      <c r="AFC14" s="206">
        <f t="shared" si="146"/>
        <v>737467.32312499965</v>
      </c>
      <c r="AFD14" s="206">
        <f t="shared" si="146"/>
        <v>737467.32312499965</v>
      </c>
      <c r="AFE14" s="206">
        <f t="shared" si="146"/>
        <v>737467.32312499965</v>
      </c>
      <c r="AFF14" s="206">
        <f t="shared" si="146"/>
        <v>737467.32312499965</v>
      </c>
      <c r="AFG14" s="206">
        <f t="shared" si="146"/>
        <v>737467.32312499965</v>
      </c>
      <c r="AFH14" s="206">
        <f t="shared" si="146"/>
        <v>737467.32312499965</v>
      </c>
      <c r="AFI14" s="206">
        <f t="shared" ref="AFI14:AHT14" si="147">AFI10-AFI12</f>
        <v>737467.32312499965</v>
      </c>
      <c r="AFJ14" s="206">
        <f t="shared" si="147"/>
        <v>737467.32312499965</v>
      </c>
      <c r="AFK14" s="206">
        <f t="shared" si="147"/>
        <v>737467.32312499965</v>
      </c>
      <c r="AFL14" s="206">
        <f t="shared" si="147"/>
        <v>737467.32312499965</v>
      </c>
      <c r="AFM14" s="206">
        <f t="shared" si="147"/>
        <v>737467.32312499965</v>
      </c>
      <c r="AFN14" s="206">
        <f t="shared" si="147"/>
        <v>737467.32312499965</v>
      </c>
      <c r="AFO14" s="206">
        <f t="shared" si="147"/>
        <v>737467.32312499965</v>
      </c>
      <c r="AFP14" s="206">
        <f t="shared" si="147"/>
        <v>737467.32312499965</v>
      </c>
      <c r="AFQ14" s="206">
        <f t="shared" si="147"/>
        <v>737467.32312499965</v>
      </c>
      <c r="AFR14" s="206">
        <f t="shared" si="147"/>
        <v>737467.32312499965</v>
      </c>
      <c r="AFS14" s="206">
        <f t="shared" si="147"/>
        <v>737467.32312499965</v>
      </c>
      <c r="AFT14" s="206">
        <f t="shared" si="147"/>
        <v>737467.32312499965</v>
      </c>
      <c r="AFU14" s="206">
        <f t="shared" si="147"/>
        <v>737467.32312499965</v>
      </c>
      <c r="AFV14" s="206">
        <f t="shared" si="147"/>
        <v>737467.32312499965</v>
      </c>
      <c r="AFW14" s="206">
        <f t="shared" si="147"/>
        <v>737467.32312499965</v>
      </c>
      <c r="AFX14" s="206">
        <f t="shared" si="147"/>
        <v>737467.32312499965</v>
      </c>
      <c r="AFY14" s="206">
        <f t="shared" si="147"/>
        <v>737467.32312499965</v>
      </c>
      <c r="AFZ14" s="206">
        <f t="shared" si="147"/>
        <v>737467.32312499965</v>
      </c>
      <c r="AGA14" s="206">
        <f t="shared" si="147"/>
        <v>737467.32312499965</v>
      </c>
      <c r="AGB14" s="206">
        <f t="shared" si="147"/>
        <v>737467.32312499965</v>
      </c>
      <c r="AGC14" s="206">
        <f t="shared" si="147"/>
        <v>737467.32312499965</v>
      </c>
      <c r="AGD14" s="206">
        <f t="shared" si="147"/>
        <v>737467.32312499965</v>
      </c>
      <c r="AGE14" s="206">
        <f t="shared" si="147"/>
        <v>737467.32312499965</v>
      </c>
      <c r="AGF14" s="206">
        <f t="shared" si="147"/>
        <v>737467.32312499965</v>
      </c>
      <c r="AGG14" s="206">
        <f t="shared" si="147"/>
        <v>737467.32312499965</v>
      </c>
      <c r="AGH14" s="206">
        <f t="shared" si="147"/>
        <v>737467.32312499965</v>
      </c>
      <c r="AGI14" s="206">
        <f t="shared" si="147"/>
        <v>737467.32312499965</v>
      </c>
      <c r="AGJ14" s="206">
        <f t="shared" si="147"/>
        <v>737467.32312499965</v>
      </c>
      <c r="AGK14" s="206">
        <f t="shared" si="147"/>
        <v>737467.32312499965</v>
      </c>
      <c r="AGL14" s="206">
        <f t="shared" si="147"/>
        <v>737467.32312499965</v>
      </c>
      <c r="AGM14" s="206">
        <f t="shared" si="147"/>
        <v>737467.32312499965</v>
      </c>
      <c r="AGN14" s="206">
        <f t="shared" si="147"/>
        <v>737467.32312499965</v>
      </c>
      <c r="AGO14" s="206">
        <f t="shared" si="147"/>
        <v>737467.32312499965</v>
      </c>
      <c r="AGP14" s="206">
        <f t="shared" si="147"/>
        <v>737467.32312499965</v>
      </c>
      <c r="AGQ14" s="206">
        <f t="shared" si="147"/>
        <v>737467.32312499965</v>
      </c>
      <c r="AGR14" s="206">
        <f t="shared" si="147"/>
        <v>737467.32312499965</v>
      </c>
      <c r="AGS14" s="206">
        <f t="shared" si="147"/>
        <v>737467.32312499965</v>
      </c>
      <c r="AGT14" s="206">
        <f t="shared" si="147"/>
        <v>737467.32312499965</v>
      </c>
      <c r="AGU14" s="206">
        <f t="shared" si="147"/>
        <v>737467.32312499965</v>
      </c>
      <c r="AGV14" s="206">
        <f t="shared" si="147"/>
        <v>737467.32312499965</v>
      </c>
      <c r="AGW14" s="206">
        <f t="shared" si="147"/>
        <v>737467.32312499965</v>
      </c>
      <c r="AGX14" s="206">
        <f t="shared" si="147"/>
        <v>737467.32312499965</v>
      </c>
      <c r="AGY14" s="206">
        <f t="shared" si="147"/>
        <v>737467.32312499965</v>
      </c>
      <c r="AGZ14" s="206">
        <f t="shared" si="147"/>
        <v>737467.32312499965</v>
      </c>
      <c r="AHA14" s="206">
        <f t="shared" si="147"/>
        <v>737467.32312499965</v>
      </c>
      <c r="AHB14" s="206">
        <f t="shared" si="147"/>
        <v>737467.32312499965</v>
      </c>
      <c r="AHC14" s="206">
        <f t="shared" si="147"/>
        <v>737467.32312499965</v>
      </c>
      <c r="AHD14" s="206">
        <f t="shared" si="147"/>
        <v>737467.32312499965</v>
      </c>
      <c r="AHE14" s="206">
        <f t="shared" si="147"/>
        <v>737467.32312499965</v>
      </c>
      <c r="AHF14" s="206">
        <f t="shared" si="147"/>
        <v>737467.32312499965</v>
      </c>
      <c r="AHG14" s="206">
        <f t="shared" si="147"/>
        <v>737467.32312499965</v>
      </c>
      <c r="AHH14" s="206">
        <f t="shared" si="147"/>
        <v>737467.32312499965</v>
      </c>
      <c r="AHI14" s="206">
        <f t="shared" si="147"/>
        <v>737467.32312499965</v>
      </c>
      <c r="AHJ14" s="206">
        <f t="shared" si="147"/>
        <v>737467.32312499965</v>
      </c>
      <c r="AHK14" s="206">
        <f t="shared" si="147"/>
        <v>737467.32312499965</v>
      </c>
      <c r="AHL14" s="206">
        <f t="shared" si="147"/>
        <v>737467.32312499965</v>
      </c>
      <c r="AHM14" s="206">
        <f t="shared" si="147"/>
        <v>737467.32312499965</v>
      </c>
      <c r="AHN14" s="206">
        <f t="shared" si="147"/>
        <v>737467.32312499965</v>
      </c>
      <c r="AHO14" s="206">
        <f t="shared" si="147"/>
        <v>737467.32312499965</v>
      </c>
      <c r="AHP14" s="206">
        <f t="shared" si="147"/>
        <v>737467.32312499965</v>
      </c>
      <c r="AHQ14" s="206">
        <f t="shared" si="147"/>
        <v>737467.32312499965</v>
      </c>
      <c r="AHR14" s="206">
        <f t="shared" si="147"/>
        <v>737467.32312499965</v>
      </c>
      <c r="AHS14" s="206">
        <f t="shared" si="147"/>
        <v>737467.32312499965</v>
      </c>
      <c r="AHT14" s="206">
        <f t="shared" si="147"/>
        <v>737467.32312499965</v>
      </c>
      <c r="AHU14" s="206">
        <f t="shared" ref="AHU14:AKF14" si="148">AHU10-AHU12</f>
        <v>737467.32312499965</v>
      </c>
      <c r="AHV14" s="206">
        <f t="shared" si="148"/>
        <v>737467.32312499965</v>
      </c>
      <c r="AHW14" s="206">
        <f t="shared" si="148"/>
        <v>737467.32312499965</v>
      </c>
      <c r="AHX14" s="206">
        <f t="shared" si="148"/>
        <v>737467.32312499965</v>
      </c>
      <c r="AHY14" s="206">
        <f t="shared" si="148"/>
        <v>737467.32312499965</v>
      </c>
      <c r="AHZ14" s="206">
        <f t="shared" si="148"/>
        <v>737467.32312499965</v>
      </c>
      <c r="AIA14" s="206">
        <f t="shared" si="148"/>
        <v>737467.32312499965</v>
      </c>
      <c r="AIB14" s="206">
        <f t="shared" si="148"/>
        <v>737467.32312499965</v>
      </c>
      <c r="AIC14" s="206">
        <f t="shared" si="148"/>
        <v>737467.32312499965</v>
      </c>
      <c r="AID14" s="206">
        <f t="shared" si="148"/>
        <v>737467.32312499965</v>
      </c>
      <c r="AIE14" s="206">
        <f t="shared" si="148"/>
        <v>737467.32312499965</v>
      </c>
      <c r="AIF14" s="206">
        <f t="shared" si="148"/>
        <v>737467.32312499965</v>
      </c>
      <c r="AIG14" s="206">
        <f t="shared" si="148"/>
        <v>737467.32312499965</v>
      </c>
      <c r="AIH14" s="206">
        <f t="shared" si="148"/>
        <v>737467.32312499965</v>
      </c>
      <c r="AII14" s="206">
        <f t="shared" si="148"/>
        <v>737467.32312499965</v>
      </c>
      <c r="AIJ14" s="206">
        <f t="shared" si="148"/>
        <v>737467.32312499965</v>
      </c>
      <c r="AIK14" s="206">
        <f t="shared" si="148"/>
        <v>737467.32312499965</v>
      </c>
      <c r="AIL14" s="206">
        <f t="shared" si="148"/>
        <v>737467.32312499965</v>
      </c>
      <c r="AIM14" s="206">
        <f t="shared" si="148"/>
        <v>737467.32312499965</v>
      </c>
      <c r="AIN14" s="206">
        <f t="shared" si="148"/>
        <v>737467.32312499965</v>
      </c>
      <c r="AIO14" s="206">
        <f t="shared" si="148"/>
        <v>737467.32312499965</v>
      </c>
      <c r="AIP14" s="206">
        <f t="shared" si="148"/>
        <v>737467.32312499965</v>
      </c>
      <c r="AIQ14" s="206">
        <f t="shared" si="148"/>
        <v>737467.32312499965</v>
      </c>
      <c r="AIR14" s="206">
        <f t="shared" si="148"/>
        <v>737467.32312499965</v>
      </c>
      <c r="AIS14" s="206">
        <f t="shared" si="148"/>
        <v>737467.32312499965</v>
      </c>
      <c r="AIT14" s="206">
        <f t="shared" si="148"/>
        <v>737467.32312499965</v>
      </c>
      <c r="AIU14" s="206">
        <f t="shared" si="148"/>
        <v>737467.32312499965</v>
      </c>
      <c r="AIV14" s="206">
        <f t="shared" si="148"/>
        <v>737467.32312499965</v>
      </c>
      <c r="AIW14" s="206">
        <f t="shared" si="148"/>
        <v>737467.32312499965</v>
      </c>
      <c r="AIX14" s="206">
        <f t="shared" si="148"/>
        <v>737467.32312499965</v>
      </c>
      <c r="AIY14" s="206">
        <f t="shared" si="148"/>
        <v>737467.32312499965</v>
      </c>
      <c r="AIZ14" s="206">
        <f t="shared" si="148"/>
        <v>737467.32312499965</v>
      </c>
      <c r="AJA14" s="206">
        <f t="shared" si="148"/>
        <v>737467.32312499965</v>
      </c>
      <c r="AJB14" s="206">
        <f t="shared" si="148"/>
        <v>737467.32312499965</v>
      </c>
      <c r="AJC14" s="206">
        <f t="shared" si="148"/>
        <v>737467.32312499965</v>
      </c>
      <c r="AJD14" s="206">
        <f t="shared" si="148"/>
        <v>737467.32312499965</v>
      </c>
      <c r="AJE14" s="206">
        <f t="shared" si="148"/>
        <v>737467.32312499965</v>
      </c>
      <c r="AJF14" s="206">
        <f t="shared" si="148"/>
        <v>737467.32312499965</v>
      </c>
      <c r="AJG14" s="206">
        <f t="shared" si="148"/>
        <v>737467.32312499965</v>
      </c>
      <c r="AJH14" s="206">
        <f t="shared" si="148"/>
        <v>737467.32312499965</v>
      </c>
      <c r="AJI14" s="206">
        <f t="shared" si="148"/>
        <v>737467.32312499965</v>
      </c>
      <c r="AJJ14" s="206">
        <f t="shared" si="148"/>
        <v>737467.32312499965</v>
      </c>
      <c r="AJK14" s="206">
        <f t="shared" si="148"/>
        <v>737467.32312499965</v>
      </c>
      <c r="AJL14" s="206">
        <f t="shared" si="148"/>
        <v>737467.32312499965</v>
      </c>
      <c r="AJM14" s="206">
        <f t="shared" si="148"/>
        <v>737467.32312499965</v>
      </c>
      <c r="AJN14" s="206">
        <f t="shared" si="148"/>
        <v>737467.32312499965</v>
      </c>
      <c r="AJO14" s="206">
        <f t="shared" si="148"/>
        <v>737467.32312499965</v>
      </c>
      <c r="AJP14" s="206">
        <f t="shared" si="148"/>
        <v>737467.32312499965</v>
      </c>
      <c r="AJQ14" s="206">
        <f t="shared" si="148"/>
        <v>737467.32312499965</v>
      </c>
      <c r="AJR14" s="206">
        <f t="shared" si="148"/>
        <v>737467.32312499965</v>
      </c>
      <c r="AJS14" s="206">
        <f t="shared" si="148"/>
        <v>737467.32312499965</v>
      </c>
      <c r="AJT14" s="206">
        <f t="shared" si="148"/>
        <v>737467.32312499965</v>
      </c>
      <c r="AJU14" s="206">
        <f t="shared" si="148"/>
        <v>737467.32312499965</v>
      </c>
      <c r="AJV14" s="206">
        <f t="shared" si="148"/>
        <v>737467.32312499965</v>
      </c>
      <c r="AJW14" s="206">
        <f t="shared" si="148"/>
        <v>737467.32312499965</v>
      </c>
      <c r="AJX14" s="206">
        <f t="shared" si="148"/>
        <v>737467.32312499965</v>
      </c>
      <c r="AJY14" s="206">
        <f t="shared" si="148"/>
        <v>737467.32312499965</v>
      </c>
      <c r="AJZ14" s="206">
        <f t="shared" si="148"/>
        <v>737467.32312499965</v>
      </c>
      <c r="AKA14" s="206">
        <f t="shared" si="148"/>
        <v>737467.32312499965</v>
      </c>
      <c r="AKB14" s="206">
        <f t="shared" si="148"/>
        <v>737467.32312499965</v>
      </c>
      <c r="AKC14" s="206">
        <f t="shared" si="148"/>
        <v>737467.32312499965</v>
      </c>
      <c r="AKD14" s="206">
        <f t="shared" si="148"/>
        <v>737467.32312499965</v>
      </c>
      <c r="AKE14" s="206">
        <f t="shared" si="148"/>
        <v>737467.32312499965</v>
      </c>
      <c r="AKF14" s="206">
        <f t="shared" si="148"/>
        <v>737467.32312499965</v>
      </c>
      <c r="AKG14" s="206">
        <f t="shared" ref="AKG14:AMR14" si="149">AKG10-AKG12</f>
        <v>737467.32312499965</v>
      </c>
      <c r="AKH14" s="206">
        <f t="shared" si="149"/>
        <v>737467.32312499965</v>
      </c>
      <c r="AKI14" s="206">
        <f t="shared" si="149"/>
        <v>737467.32312499965</v>
      </c>
      <c r="AKJ14" s="206">
        <f t="shared" si="149"/>
        <v>737467.32312499965</v>
      </c>
      <c r="AKK14" s="206">
        <f t="shared" si="149"/>
        <v>737467.32312499965</v>
      </c>
      <c r="AKL14" s="206">
        <f t="shared" si="149"/>
        <v>737467.32312499965</v>
      </c>
      <c r="AKM14" s="206">
        <f t="shared" si="149"/>
        <v>737467.32312499965</v>
      </c>
      <c r="AKN14" s="206">
        <f t="shared" si="149"/>
        <v>737467.32312499965</v>
      </c>
      <c r="AKO14" s="206">
        <f t="shared" si="149"/>
        <v>737467.32312499965</v>
      </c>
      <c r="AKP14" s="206">
        <f t="shared" si="149"/>
        <v>737467.32312499965</v>
      </c>
      <c r="AKQ14" s="206">
        <f t="shared" si="149"/>
        <v>737467.32312499965</v>
      </c>
      <c r="AKR14" s="206">
        <f t="shared" si="149"/>
        <v>737467.32312499965</v>
      </c>
      <c r="AKS14" s="206">
        <f t="shared" si="149"/>
        <v>737467.32312499965</v>
      </c>
      <c r="AKT14" s="206">
        <f t="shared" si="149"/>
        <v>737467.32312499965</v>
      </c>
      <c r="AKU14" s="206">
        <f t="shared" si="149"/>
        <v>737467.32312499965</v>
      </c>
      <c r="AKV14" s="206">
        <f t="shared" si="149"/>
        <v>737467.32312499965</v>
      </c>
      <c r="AKW14" s="206">
        <f t="shared" si="149"/>
        <v>737467.32312499965</v>
      </c>
      <c r="AKX14" s="206">
        <f t="shared" si="149"/>
        <v>737467.32312499965</v>
      </c>
      <c r="AKY14" s="206">
        <f t="shared" si="149"/>
        <v>737467.32312499965</v>
      </c>
      <c r="AKZ14" s="206">
        <f t="shared" si="149"/>
        <v>737467.32312499965</v>
      </c>
      <c r="ALA14" s="206">
        <f t="shared" si="149"/>
        <v>737467.32312499965</v>
      </c>
      <c r="ALB14" s="206">
        <f t="shared" si="149"/>
        <v>737467.32312499965</v>
      </c>
      <c r="ALC14" s="206">
        <f t="shared" si="149"/>
        <v>737467.32312499965</v>
      </c>
      <c r="ALD14" s="206">
        <f t="shared" si="149"/>
        <v>737467.32312499965</v>
      </c>
      <c r="ALE14" s="206">
        <f t="shared" si="149"/>
        <v>737467.32312499965</v>
      </c>
      <c r="ALF14" s="206">
        <f t="shared" si="149"/>
        <v>737467.32312499965</v>
      </c>
      <c r="ALG14" s="206">
        <f t="shared" si="149"/>
        <v>737467.32312499965</v>
      </c>
      <c r="ALH14" s="206">
        <f t="shared" si="149"/>
        <v>737467.32312499965</v>
      </c>
      <c r="ALI14" s="206">
        <f t="shared" si="149"/>
        <v>737467.32312499965</v>
      </c>
      <c r="ALJ14" s="206">
        <f t="shared" si="149"/>
        <v>737467.32312499965</v>
      </c>
      <c r="ALK14" s="206">
        <f t="shared" si="149"/>
        <v>737467.32312499965</v>
      </c>
      <c r="ALL14" s="206">
        <f t="shared" si="149"/>
        <v>737467.32312499965</v>
      </c>
      <c r="ALM14" s="206">
        <f t="shared" si="149"/>
        <v>737467.32312499965</v>
      </c>
      <c r="ALN14" s="206">
        <f t="shared" si="149"/>
        <v>737467.32312499965</v>
      </c>
      <c r="ALO14" s="206">
        <f t="shared" si="149"/>
        <v>737467.32312499965</v>
      </c>
      <c r="ALP14" s="206">
        <f t="shared" si="149"/>
        <v>737467.32312499965</v>
      </c>
      <c r="ALQ14" s="206">
        <f t="shared" si="149"/>
        <v>737467.32312499965</v>
      </c>
      <c r="ALR14" s="206">
        <f t="shared" si="149"/>
        <v>737467.32312499965</v>
      </c>
      <c r="ALS14" s="206">
        <f t="shared" si="149"/>
        <v>737467.32312499965</v>
      </c>
      <c r="ALT14" s="206">
        <f t="shared" si="149"/>
        <v>737467.32312499965</v>
      </c>
      <c r="ALU14" s="206">
        <f t="shared" si="149"/>
        <v>737467.32312499965</v>
      </c>
      <c r="ALV14" s="206">
        <f t="shared" si="149"/>
        <v>737467.32312499965</v>
      </c>
      <c r="ALW14" s="206">
        <f t="shared" si="149"/>
        <v>737467.32312499965</v>
      </c>
      <c r="ALX14" s="206">
        <f t="shared" si="149"/>
        <v>737467.32312499965</v>
      </c>
      <c r="ALY14" s="206">
        <f t="shared" si="149"/>
        <v>737467.32312499965</v>
      </c>
      <c r="ALZ14" s="206">
        <f t="shared" si="149"/>
        <v>737467.32312499965</v>
      </c>
      <c r="AMA14" s="206">
        <f t="shared" si="149"/>
        <v>737467.32312499965</v>
      </c>
      <c r="AMB14" s="206">
        <f t="shared" si="149"/>
        <v>737467.32312499965</v>
      </c>
      <c r="AMC14" s="206">
        <f t="shared" si="149"/>
        <v>737467.32312499965</v>
      </c>
      <c r="AMD14" s="206">
        <f t="shared" si="149"/>
        <v>737467.32312499965</v>
      </c>
      <c r="AME14" s="206">
        <f t="shared" si="149"/>
        <v>737467.32312499965</v>
      </c>
      <c r="AMF14" s="206">
        <f t="shared" si="149"/>
        <v>737467.32312499965</v>
      </c>
      <c r="AMG14" s="206">
        <f t="shared" si="149"/>
        <v>737467.32312499965</v>
      </c>
      <c r="AMH14" s="206">
        <f t="shared" si="149"/>
        <v>737467.32312499965</v>
      </c>
      <c r="AMI14" s="206">
        <f t="shared" si="149"/>
        <v>737467.32312499965</v>
      </c>
      <c r="AMJ14" s="206">
        <f t="shared" si="149"/>
        <v>737467.32312499965</v>
      </c>
      <c r="AMK14" s="206">
        <f t="shared" si="149"/>
        <v>737467.32312499965</v>
      </c>
      <c r="AML14" s="206">
        <f t="shared" si="149"/>
        <v>737467.32312499965</v>
      </c>
      <c r="AMM14" s="206">
        <f t="shared" si="149"/>
        <v>737467.32312499965</v>
      </c>
      <c r="AMN14" s="206">
        <f t="shared" si="149"/>
        <v>737467.32312499965</v>
      </c>
      <c r="AMO14" s="206">
        <f t="shared" si="149"/>
        <v>737467.32312499965</v>
      </c>
      <c r="AMP14" s="206">
        <f t="shared" si="149"/>
        <v>737467.32312499965</v>
      </c>
      <c r="AMQ14" s="206">
        <f t="shared" si="149"/>
        <v>737467.32312499965</v>
      </c>
      <c r="AMR14" s="206">
        <f t="shared" si="149"/>
        <v>737467.32312499965</v>
      </c>
      <c r="AMS14" s="206">
        <f t="shared" ref="AMS14:APD14" si="150">AMS10-AMS12</f>
        <v>737467.32312499965</v>
      </c>
      <c r="AMT14" s="206">
        <f t="shared" si="150"/>
        <v>737467.32312499965</v>
      </c>
      <c r="AMU14" s="206">
        <f t="shared" si="150"/>
        <v>737467.32312499965</v>
      </c>
      <c r="AMV14" s="206">
        <f t="shared" si="150"/>
        <v>737467.32312499965</v>
      </c>
      <c r="AMW14" s="206">
        <f t="shared" si="150"/>
        <v>737467.32312499965</v>
      </c>
      <c r="AMX14" s="206">
        <f t="shared" si="150"/>
        <v>737467.32312499965</v>
      </c>
      <c r="AMY14" s="206">
        <f t="shared" si="150"/>
        <v>737467.32312499965</v>
      </c>
      <c r="AMZ14" s="206">
        <f t="shared" si="150"/>
        <v>737467.32312499965</v>
      </c>
      <c r="ANA14" s="206">
        <f t="shared" si="150"/>
        <v>737467.32312499965</v>
      </c>
      <c r="ANB14" s="206">
        <f t="shared" si="150"/>
        <v>737467.32312499965</v>
      </c>
      <c r="ANC14" s="206">
        <f t="shared" si="150"/>
        <v>737467.32312499965</v>
      </c>
      <c r="AND14" s="206">
        <f t="shared" si="150"/>
        <v>737467.32312499965</v>
      </c>
      <c r="ANE14" s="206">
        <f t="shared" si="150"/>
        <v>737467.32312499965</v>
      </c>
      <c r="ANF14" s="206">
        <f t="shared" si="150"/>
        <v>737467.32312499965</v>
      </c>
      <c r="ANG14" s="206">
        <f t="shared" si="150"/>
        <v>737467.32312499965</v>
      </c>
      <c r="ANH14" s="206">
        <f t="shared" si="150"/>
        <v>737467.32312499965</v>
      </c>
      <c r="ANI14" s="206">
        <f t="shared" si="150"/>
        <v>737467.32312499965</v>
      </c>
      <c r="ANJ14" s="206">
        <f t="shared" si="150"/>
        <v>737467.32312499965</v>
      </c>
      <c r="ANK14" s="206">
        <f t="shared" si="150"/>
        <v>737467.32312499965</v>
      </c>
      <c r="ANL14" s="206">
        <f t="shared" si="150"/>
        <v>737467.32312499965</v>
      </c>
      <c r="ANM14" s="206">
        <f t="shared" si="150"/>
        <v>737467.32312499965</v>
      </c>
      <c r="ANN14" s="206">
        <f t="shared" si="150"/>
        <v>737467.32312499965</v>
      </c>
      <c r="ANO14" s="206">
        <f t="shared" si="150"/>
        <v>737467.32312499965</v>
      </c>
      <c r="ANP14" s="206">
        <f t="shared" si="150"/>
        <v>737467.32312499965</v>
      </c>
      <c r="ANQ14" s="206">
        <f t="shared" si="150"/>
        <v>737467.32312499965</v>
      </c>
      <c r="ANR14" s="206">
        <f t="shared" si="150"/>
        <v>737467.32312499965</v>
      </c>
      <c r="ANS14" s="206">
        <f t="shared" si="150"/>
        <v>737467.32312499965</v>
      </c>
      <c r="ANT14" s="206">
        <f t="shared" si="150"/>
        <v>737467.32312499965</v>
      </c>
      <c r="ANU14" s="206">
        <f t="shared" si="150"/>
        <v>737467.32312499965</v>
      </c>
      <c r="ANV14" s="206">
        <f t="shared" si="150"/>
        <v>737467.32312499965</v>
      </c>
      <c r="ANW14" s="206">
        <f t="shared" si="150"/>
        <v>737467.32312499965</v>
      </c>
      <c r="ANX14" s="206">
        <f t="shared" si="150"/>
        <v>737467.32312499965</v>
      </c>
      <c r="ANY14" s="206">
        <f t="shared" si="150"/>
        <v>737467.32312499965</v>
      </c>
      <c r="ANZ14" s="206">
        <f t="shared" si="150"/>
        <v>737467.32312499965</v>
      </c>
      <c r="AOA14" s="206">
        <f t="shared" si="150"/>
        <v>737467.32312499965</v>
      </c>
      <c r="AOB14" s="206">
        <f t="shared" si="150"/>
        <v>737467.32312499965</v>
      </c>
      <c r="AOC14" s="206">
        <f t="shared" si="150"/>
        <v>737467.32312499965</v>
      </c>
      <c r="AOD14" s="206">
        <f t="shared" si="150"/>
        <v>737467.32312499965</v>
      </c>
      <c r="AOE14" s="206">
        <f t="shared" si="150"/>
        <v>737467.32312499965</v>
      </c>
      <c r="AOF14" s="206">
        <f t="shared" si="150"/>
        <v>737467.32312499965</v>
      </c>
      <c r="AOG14" s="206">
        <f t="shared" si="150"/>
        <v>737467.32312499965</v>
      </c>
      <c r="AOH14" s="206">
        <f t="shared" si="150"/>
        <v>737467.32312499965</v>
      </c>
      <c r="AOI14" s="206">
        <f t="shared" si="150"/>
        <v>737467.32312499965</v>
      </c>
      <c r="AOJ14" s="206">
        <f t="shared" si="150"/>
        <v>737467.32312499965</v>
      </c>
      <c r="AOK14" s="206">
        <f t="shared" si="150"/>
        <v>737467.32312499965</v>
      </c>
      <c r="AOL14" s="206">
        <f t="shared" si="150"/>
        <v>737467.32312499965</v>
      </c>
      <c r="AOM14" s="206">
        <f t="shared" si="150"/>
        <v>737467.32312499965</v>
      </c>
      <c r="AON14" s="206">
        <f t="shared" si="150"/>
        <v>737467.32312499965</v>
      </c>
      <c r="AOO14" s="206">
        <f t="shared" si="150"/>
        <v>737467.32312499965</v>
      </c>
      <c r="AOP14" s="206">
        <f t="shared" si="150"/>
        <v>737467.32312499965</v>
      </c>
      <c r="AOQ14" s="206">
        <f t="shared" si="150"/>
        <v>737467.32312499965</v>
      </c>
      <c r="AOR14" s="206">
        <f t="shared" si="150"/>
        <v>737467.32312499965</v>
      </c>
      <c r="AOS14" s="206">
        <f t="shared" si="150"/>
        <v>737467.32312499965</v>
      </c>
      <c r="AOT14" s="206">
        <f t="shared" si="150"/>
        <v>737467.32312499965</v>
      </c>
      <c r="AOU14" s="206">
        <f t="shared" si="150"/>
        <v>737467.32312499965</v>
      </c>
      <c r="AOV14" s="206">
        <f t="shared" si="150"/>
        <v>737467.32312499965</v>
      </c>
      <c r="AOW14" s="206">
        <f t="shared" si="150"/>
        <v>737467.32312499965</v>
      </c>
      <c r="AOX14" s="206">
        <f t="shared" si="150"/>
        <v>737467.32312499965</v>
      </c>
      <c r="AOY14" s="206">
        <f t="shared" si="150"/>
        <v>737467.32312499965</v>
      </c>
      <c r="AOZ14" s="206">
        <f t="shared" si="150"/>
        <v>737467.32312499965</v>
      </c>
      <c r="APA14" s="206">
        <f t="shared" si="150"/>
        <v>737467.32312499965</v>
      </c>
      <c r="APB14" s="206">
        <f t="shared" si="150"/>
        <v>737467.32312499965</v>
      </c>
      <c r="APC14" s="206">
        <f t="shared" si="150"/>
        <v>737467.32312499965</v>
      </c>
      <c r="APD14" s="206">
        <f t="shared" si="150"/>
        <v>737467.32312499965</v>
      </c>
      <c r="APE14" s="206">
        <f t="shared" ref="APE14:ARP14" si="151">APE10-APE12</f>
        <v>737467.32312499965</v>
      </c>
      <c r="APF14" s="206">
        <f t="shared" si="151"/>
        <v>737467.32312499965</v>
      </c>
      <c r="APG14" s="206">
        <f t="shared" si="151"/>
        <v>737467.32312499965</v>
      </c>
      <c r="APH14" s="206">
        <f t="shared" si="151"/>
        <v>737467.32312499965</v>
      </c>
      <c r="API14" s="206">
        <f t="shared" si="151"/>
        <v>737467.32312499965</v>
      </c>
      <c r="APJ14" s="206">
        <f t="shared" si="151"/>
        <v>737467.32312499965</v>
      </c>
      <c r="APK14" s="206">
        <f t="shared" si="151"/>
        <v>737467.32312499965</v>
      </c>
      <c r="APL14" s="206">
        <f t="shared" si="151"/>
        <v>737467.32312499965</v>
      </c>
      <c r="APM14" s="206">
        <f t="shared" si="151"/>
        <v>737467.32312499965</v>
      </c>
      <c r="APN14" s="206">
        <f t="shared" si="151"/>
        <v>737467.32312499965</v>
      </c>
      <c r="APO14" s="206">
        <f t="shared" si="151"/>
        <v>737467.32312499965</v>
      </c>
      <c r="APP14" s="206">
        <f t="shared" si="151"/>
        <v>737467.32312499965</v>
      </c>
      <c r="APQ14" s="206">
        <f t="shared" si="151"/>
        <v>737467.32312499965</v>
      </c>
      <c r="APR14" s="206">
        <f t="shared" si="151"/>
        <v>737467.32312499965</v>
      </c>
      <c r="APS14" s="206">
        <f t="shared" si="151"/>
        <v>737467.32312499965</v>
      </c>
      <c r="APT14" s="206">
        <f t="shared" si="151"/>
        <v>737467.32312499965</v>
      </c>
      <c r="APU14" s="206">
        <f t="shared" si="151"/>
        <v>737467.32312499965</v>
      </c>
      <c r="APV14" s="206">
        <f t="shared" si="151"/>
        <v>737467.32312499965</v>
      </c>
      <c r="APW14" s="206">
        <f t="shared" si="151"/>
        <v>737467.32312499965</v>
      </c>
      <c r="APX14" s="206">
        <f t="shared" si="151"/>
        <v>737467.32312499965</v>
      </c>
      <c r="APY14" s="206">
        <f t="shared" si="151"/>
        <v>737467.32312499965</v>
      </c>
      <c r="APZ14" s="206">
        <f t="shared" si="151"/>
        <v>737467.32312499965</v>
      </c>
      <c r="AQA14" s="206">
        <f t="shared" si="151"/>
        <v>737467.32312499965</v>
      </c>
      <c r="AQB14" s="206">
        <f t="shared" si="151"/>
        <v>737467.32312499965</v>
      </c>
      <c r="AQC14" s="206">
        <f t="shared" si="151"/>
        <v>737467.32312499965</v>
      </c>
      <c r="AQD14" s="206">
        <f t="shared" si="151"/>
        <v>737467.32312499965</v>
      </c>
      <c r="AQE14" s="206">
        <f t="shared" si="151"/>
        <v>737467.32312499965</v>
      </c>
      <c r="AQF14" s="206">
        <f t="shared" si="151"/>
        <v>737467.32312499965</v>
      </c>
      <c r="AQG14" s="206">
        <f t="shared" si="151"/>
        <v>737467.32312499965</v>
      </c>
      <c r="AQH14" s="206">
        <f t="shared" si="151"/>
        <v>737467.32312499965</v>
      </c>
      <c r="AQI14" s="206">
        <f t="shared" si="151"/>
        <v>737467.32312499965</v>
      </c>
      <c r="AQJ14" s="206">
        <f t="shared" si="151"/>
        <v>737467.32312499965</v>
      </c>
      <c r="AQK14" s="206">
        <f t="shared" si="151"/>
        <v>737467.32312499965</v>
      </c>
      <c r="AQL14" s="206">
        <f t="shared" si="151"/>
        <v>737467.32312499965</v>
      </c>
      <c r="AQM14" s="206">
        <f t="shared" si="151"/>
        <v>737467.32312499965</v>
      </c>
      <c r="AQN14" s="206">
        <f t="shared" si="151"/>
        <v>737467.32312499965</v>
      </c>
      <c r="AQO14" s="206">
        <f t="shared" si="151"/>
        <v>737467.32312499965</v>
      </c>
      <c r="AQP14" s="206">
        <f t="shared" si="151"/>
        <v>737467.32312499965</v>
      </c>
      <c r="AQQ14" s="206">
        <f t="shared" si="151"/>
        <v>737467.32312499965</v>
      </c>
      <c r="AQR14" s="206">
        <f t="shared" si="151"/>
        <v>737467.32312499965</v>
      </c>
      <c r="AQS14" s="206">
        <f t="shared" si="151"/>
        <v>737467.32312499965</v>
      </c>
      <c r="AQT14" s="206">
        <f t="shared" si="151"/>
        <v>737467.32312499965</v>
      </c>
      <c r="AQU14" s="206">
        <f t="shared" si="151"/>
        <v>737467.32312499965</v>
      </c>
      <c r="AQV14" s="206">
        <f t="shared" si="151"/>
        <v>737467.32312499965</v>
      </c>
      <c r="AQW14" s="206">
        <f t="shared" si="151"/>
        <v>737467.32312499965</v>
      </c>
      <c r="AQX14" s="206">
        <f t="shared" si="151"/>
        <v>737467.32312499965</v>
      </c>
      <c r="AQY14" s="206">
        <f t="shared" si="151"/>
        <v>737467.32312499965</v>
      </c>
      <c r="AQZ14" s="206">
        <f t="shared" si="151"/>
        <v>737467.32312499965</v>
      </c>
      <c r="ARA14" s="206">
        <f t="shared" si="151"/>
        <v>737467.32312499965</v>
      </c>
      <c r="ARB14" s="206">
        <f t="shared" si="151"/>
        <v>737467.32312499965</v>
      </c>
      <c r="ARC14" s="206">
        <f t="shared" si="151"/>
        <v>737467.32312499965</v>
      </c>
      <c r="ARD14" s="206">
        <f t="shared" si="151"/>
        <v>737467.32312499965</v>
      </c>
      <c r="ARE14" s="206">
        <f t="shared" si="151"/>
        <v>737467.32312499965</v>
      </c>
      <c r="ARF14" s="206">
        <f t="shared" si="151"/>
        <v>737467.32312499965</v>
      </c>
      <c r="ARG14" s="206">
        <f t="shared" si="151"/>
        <v>737467.32312499965</v>
      </c>
      <c r="ARH14" s="206">
        <f t="shared" si="151"/>
        <v>737467.32312499965</v>
      </c>
      <c r="ARI14" s="206">
        <f t="shared" si="151"/>
        <v>737467.32312499965</v>
      </c>
      <c r="ARJ14" s="206">
        <f t="shared" si="151"/>
        <v>737467.32312499965</v>
      </c>
      <c r="ARK14" s="206">
        <f t="shared" si="151"/>
        <v>737467.32312499965</v>
      </c>
      <c r="ARL14" s="206">
        <f t="shared" si="151"/>
        <v>737467.32312499965</v>
      </c>
      <c r="ARM14" s="206">
        <f t="shared" si="151"/>
        <v>737467.32312499965</v>
      </c>
      <c r="ARN14" s="206">
        <f t="shared" si="151"/>
        <v>737467.32312499965</v>
      </c>
      <c r="ARO14" s="206">
        <f t="shared" si="151"/>
        <v>737467.32312499965</v>
      </c>
      <c r="ARP14" s="206">
        <f t="shared" si="151"/>
        <v>737467.32312499965</v>
      </c>
      <c r="ARQ14" s="206">
        <f t="shared" ref="ARQ14:AUB14" si="152">ARQ10-ARQ12</f>
        <v>737467.32312499965</v>
      </c>
      <c r="ARR14" s="206">
        <f t="shared" si="152"/>
        <v>737467.32312499965</v>
      </c>
      <c r="ARS14" s="206">
        <f t="shared" si="152"/>
        <v>737467.32312499965</v>
      </c>
      <c r="ART14" s="206">
        <f t="shared" si="152"/>
        <v>737467.32312499965</v>
      </c>
      <c r="ARU14" s="206">
        <f t="shared" si="152"/>
        <v>737467.32312499965</v>
      </c>
      <c r="ARV14" s="206">
        <f t="shared" si="152"/>
        <v>737467.32312499965</v>
      </c>
      <c r="ARW14" s="206">
        <f t="shared" si="152"/>
        <v>737467.32312499965</v>
      </c>
      <c r="ARX14" s="206">
        <f t="shared" si="152"/>
        <v>737467.32312499965</v>
      </c>
      <c r="ARY14" s="206">
        <f t="shared" si="152"/>
        <v>737467.32312499965</v>
      </c>
      <c r="ARZ14" s="206">
        <f t="shared" si="152"/>
        <v>737467.32312499965</v>
      </c>
      <c r="ASA14" s="206">
        <f t="shared" si="152"/>
        <v>737467.32312499965</v>
      </c>
      <c r="ASB14" s="206">
        <f t="shared" si="152"/>
        <v>737467.32312499965</v>
      </c>
      <c r="ASC14" s="206">
        <f t="shared" si="152"/>
        <v>737467.32312499965</v>
      </c>
      <c r="ASD14" s="206">
        <f t="shared" si="152"/>
        <v>737467.32312499965</v>
      </c>
      <c r="ASE14" s="206">
        <f t="shared" si="152"/>
        <v>737467.32312499965</v>
      </c>
      <c r="ASF14" s="206">
        <f t="shared" si="152"/>
        <v>737467.32312499965</v>
      </c>
      <c r="ASG14" s="206">
        <f t="shared" si="152"/>
        <v>737467.32312499965</v>
      </c>
      <c r="ASH14" s="206">
        <f t="shared" si="152"/>
        <v>737467.32312499965</v>
      </c>
      <c r="ASI14" s="206">
        <f t="shared" si="152"/>
        <v>737467.32312499965</v>
      </c>
      <c r="ASJ14" s="206">
        <f t="shared" si="152"/>
        <v>737467.32312499965</v>
      </c>
      <c r="ASK14" s="206">
        <f t="shared" si="152"/>
        <v>737467.32312499965</v>
      </c>
      <c r="ASL14" s="206">
        <f t="shared" si="152"/>
        <v>737467.32312499965</v>
      </c>
      <c r="ASM14" s="206">
        <f t="shared" si="152"/>
        <v>737467.32312499965</v>
      </c>
      <c r="ASN14" s="206">
        <f t="shared" si="152"/>
        <v>737467.32312499965</v>
      </c>
      <c r="ASO14" s="206">
        <f t="shared" si="152"/>
        <v>737467.32312499965</v>
      </c>
      <c r="ASP14" s="206">
        <f t="shared" si="152"/>
        <v>737467.32312499965</v>
      </c>
      <c r="ASQ14" s="206">
        <f t="shared" si="152"/>
        <v>737467.32312499965</v>
      </c>
      <c r="ASR14" s="206">
        <f t="shared" si="152"/>
        <v>737467.32312499965</v>
      </c>
      <c r="ASS14" s="206">
        <f t="shared" si="152"/>
        <v>737467.32312499965</v>
      </c>
      <c r="AST14" s="206">
        <f t="shared" si="152"/>
        <v>737467.32312499965</v>
      </c>
      <c r="ASU14" s="206">
        <f t="shared" si="152"/>
        <v>737467.32312499965</v>
      </c>
      <c r="ASV14" s="206">
        <f t="shared" si="152"/>
        <v>737467.32312499965</v>
      </c>
      <c r="ASW14" s="206">
        <f t="shared" si="152"/>
        <v>737467.32312499965</v>
      </c>
      <c r="ASX14" s="206">
        <f t="shared" si="152"/>
        <v>737467.32312499965</v>
      </c>
      <c r="ASY14" s="206">
        <f t="shared" si="152"/>
        <v>737467.32312499965</v>
      </c>
      <c r="ASZ14" s="206">
        <f t="shared" si="152"/>
        <v>737467.32312499965</v>
      </c>
      <c r="ATA14" s="206">
        <f t="shared" si="152"/>
        <v>737467.32312499965</v>
      </c>
      <c r="ATB14" s="206">
        <f t="shared" si="152"/>
        <v>737467.32312499965</v>
      </c>
      <c r="ATC14" s="206">
        <f t="shared" si="152"/>
        <v>737467.32312499965</v>
      </c>
      <c r="ATD14" s="206">
        <f t="shared" si="152"/>
        <v>737467.32312499965</v>
      </c>
      <c r="ATE14" s="206">
        <f t="shared" si="152"/>
        <v>737467.32312499965</v>
      </c>
      <c r="ATF14" s="206">
        <f t="shared" si="152"/>
        <v>737467.32312499965</v>
      </c>
      <c r="ATG14" s="206">
        <f t="shared" si="152"/>
        <v>737467.32312499965</v>
      </c>
      <c r="ATH14" s="206">
        <f t="shared" si="152"/>
        <v>737467.32312499965</v>
      </c>
      <c r="ATI14" s="206">
        <f t="shared" si="152"/>
        <v>737467.32312499965</v>
      </c>
      <c r="ATJ14" s="206">
        <f t="shared" si="152"/>
        <v>737467.32312499965</v>
      </c>
      <c r="ATK14" s="206">
        <f t="shared" si="152"/>
        <v>737467.32312499965</v>
      </c>
      <c r="ATL14" s="206">
        <f t="shared" si="152"/>
        <v>737467.32312499965</v>
      </c>
      <c r="ATM14" s="206">
        <f t="shared" si="152"/>
        <v>737467.32312499965</v>
      </c>
      <c r="ATN14" s="206">
        <f t="shared" si="152"/>
        <v>737467.32312499965</v>
      </c>
      <c r="ATO14" s="206">
        <f t="shared" si="152"/>
        <v>737467.32312499965</v>
      </c>
      <c r="ATP14" s="206">
        <f t="shared" si="152"/>
        <v>737467.32312499965</v>
      </c>
      <c r="ATQ14" s="206">
        <f t="shared" si="152"/>
        <v>737467.32312499965</v>
      </c>
      <c r="ATR14" s="206">
        <f t="shared" si="152"/>
        <v>737467.32312499965</v>
      </c>
      <c r="ATS14" s="206">
        <f t="shared" si="152"/>
        <v>737467.32312499965</v>
      </c>
      <c r="ATT14" s="206">
        <f t="shared" si="152"/>
        <v>737467.32312499965</v>
      </c>
      <c r="ATU14" s="206">
        <f t="shared" si="152"/>
        <v>737467.32312499965</v>
      </c>
      <c r="ATV14" s="206">
        <f t="shared" si="152"/>
        <v>737467.32312499965</v>
      </c>
      <c r="ATW14" s="206">
        <f t="shared" si="152"/>
        <v>737467.32312499965</v>
      </c>
      <c r="ATX14" s="206">
        <f t="shared" si="152"/>
        <v>737467.32312499965</v>
      </c>
      <c r="ATY14" s="206">
        <f t="shared" si="152"/>
        <v>737467.32312499965</v>
      </c>
      <c r="ATZ14" s="206">
        <f t="shared" si="152"/>
        <v>737467.32312499965</v>
      </c>
      <c r="AUA14" s="206">
        <f t="shared" si="152"/>
        <v>737467.32312499965</v>
      </c>
      <c r="AUB14" s="206">
        <f t="shared" si="152"/>
        <v>737467.32312499965</v>
      </c>
      <c r="AUC14" s="206">
        <f t="shared" ref="AUC14:AWN14" si="153">AUC10-AUC12</f>
        <v>737467.32312499965</v>
      </c>
      <c r="AUD14" s="206">
        <f t="shared" si="153"/>
        <v>737467.32312499965</v>
      </c>
      <c r="AUE14" s="206">
        <f t="shared" si="153"/>
        <v>737467.32312499965</v>
      </c>
      <c r="AUF14" s="206">
        <f t="shared" si="153"/>
        <v>737467.32312499965</v>
      </c>
      <c r="AUG14" s="206">
        <f t="shared" si="153"/>
        <v>737467.32312499965</v>
      </c>
      <c r="AUH14" s="206">
        <f t="shared" si="153"/>
        <v>737467.32312499965</v>
      </c>
      <c r="AUI14" s="206">
        <f t="shared" si="153"/>
        <v>737467.32312499965</v>
      </c>
      <c r="AUJ14" s="206">
        <f t="shared" si="153"/>
        <v>737467.32312499965</v>
      </c>
      <c r="AUK14" s="206">
        <f t="shared" si="153"/>
        <v>737467.32312499965</v>
      </c>
      <c r="AUL14" s="206">
        <f t="shared" si="153"/>
        <v>737467.32312499965</v>
      </c>
      <c r="AUM14" s="206">
        <f t="shared" si="153"/>
        <v>737467.32312499965</v>
      </c>
      <c r="AUN14" s="206">
        <f t="shared" si="153"/>
        <v>737467.32312499965</v>
      </c>
      <c r="AUO14" s="206">
        <f t="shared" si="153"/>
        <v>737467.32312499965</v>
      </c>
      <c r="AUP14" s="206">
        <f t="shared" si="153"/>
        <v>737467.32312499965</v>
      </c>
      <c r="AUQ14" s="206">
        <f t="shared" si="153"/>
        <v>737467.32312499965</v>
      </c>
      <c r="AUR14" s="206">
        <f t="shared" si="153"/>
        <v>737467.32312499965</v>
      </c>
      <c r="AUS14" s="206">
        <f t="shared" si="153"/>
        <v>737467.32312499965</v>
      </c>
      <c r="AUT14" s="206">
        <f t="shared" si="153"/>
        <v>737467.32312499965</v>
      </c>
      <c r="AUU14" s="206">
        <f t="shared" si="153"/>
        <v>737467.32312499965</v>
      </c>
      <c r="AUV14" s="206">
        <f t="shared" si="153"/>
        <v>737467.32312499965</v>
      </c>
      <c r="AUW14" s="206">
        <f t="shared" si="153"/>
        <v>737467.32312499965</v>
      </c>
      <c r="AUX14" s="206">
        <f t="shared" si="153"/>
        <v>737467.32312499965</v>
      </c>
      <c r="AUY14" s="206">
        <f t="shared" si="153"/>
        <v>737467.32312499965</v>
      </c>
      <c r="AUZ14" s="206">
        <f t="shared" si="153"/>
        <v>737467.32312499965</v>
      </c>
      <c r="AVA14" s="206">
        <f t="shared" si="153"/>
        <v>737467.32312499965</v>
      </c>
      <c r="AVB14" s="206">
        <f t="shared" si="153"/>
        <v>737467.32312499965</v>
      </c>
      <c r="AVC14" s="206">
        <f t="shared" si="153"/>
        <v>737467.32312499965</v>
      </c>
      <c r="AVD14" s="206">
        <f t="shared" si="153"/>
        <v>737467.32312499965</v>
      </c>
      <c r="AVE14" s="206">
        <f t="shared" si="153"/>
        <v>737467.32312499965</v>
      </c>
      <c r="AVF14" s="206">
        <f t="shared" si="153"/>
        <v>737467.32312499965</v>
      </c>
      <c r="AVG14" s="206">
        <f t="shared" si="153"/>
        <v>737467.32312499965</v>
      </c>
      <c r="AVH14" s="206">
        <f t="shared" si="153"/>
        <v>737467.32312499965</v>
      </c>
      <c r="AVI14" s="206">
        <f t="shared" si="153"/>
        <v>737467.32312499965</v>
      </c>
      <c r="AVJ14" s="206">
        <f t="shared" si="153"/>
        <v>737467.32312499965</v>
      </c>
      <c r="AVK14" s="206">
        <f t="shared" si="153"/>
        <v>737467.32312499965</v>
      </c>
      <c r="AVL14" s="206">
        <f t="shared" si="153"/>
        <v>737467.32312499965</v>
      </c>
      <c r="AVM14" s="206">
        <f t="shared" si="153"/>
        <v>737467.32312499965</v>
      </c>
      <c r="AVN14" s="206">
        <f t="shared" si="153"/>
        <v>737467.32312499965</v>
      </c>
      <c r="AVO14" s="206">
        <f t="shared" si="153"/>
        <v>737467.32312499965</v>
      </c>
      <c r="AVP14" s="206">
        <f t="shared" si="153"/>
        <v>737467.32312499965</v>
      </c>
      <c r="AVQ14" s="206">
        <f t="shared" si="153"/>
        <v>737467.32312499965</v>
      </c>
      <c r="AVR14" s="206">
        <f t="shared" si="153"/>
        <v>737467.32312499965</v>
      </c>
      <c r="AVS14" s="206">
        <f t="shared" si="153"/>
        <v>737467.32312499965</v>
      </c>
      <c r="AVT14" s="206">
        <f t="shared" si="153"/>
        <v>737467.32312499965</v>
      </c>
      <c r="AVU14" s="206">
        <f t="shared" si="153"/>
        <v>737467.32312499965</v>
      </c>
      <c r="AVV14" s="206">
        <f t="shared" si="153"/>
        <v>737467.32312499965</v>
      </c>
      <c r="AVW14" s="206">
        <f t="shared" si="153"/>
        <v>737467.32312499965</v>
      </c>
      <c r="AVX14" s="206">
        <f t="shared" si="153"/>
        <v>737467.32312499965</v>
      </c>
      <c r="AVY14" s="206">
        <f t="shared" si="153"/>
        <v>737467.32312499965</v>
      </c>
      <c r="AVZ14" s="206">
        <f t="shared" si="153"/>
        <v>737467.32312499965</v>
      </c>
      <c r="AWA14" s="206">
        <f t="shared" si="153"/>
        <v>737467.32312499965</v>
      </c>
      <c r="AWB14" s="206">
        <f t="shared" si="153"/>
        <v>737467.32312499965</v>
      </c>
      <c r="AWC14" s="206">
        <f t="shared" si="153"/>
        <v>737467.32312499965</v>
      </c>
      <c r="AWD14" s="206">
        <f t="shared" si="153"/>
        <v>737467.32312499965</v>
      </c>
      <c r="AWE14" s="206">
        <f t="shared" si="153"/>
        <v>737467.32312499965</v>
      </c>
      <c r="AWF14" s="206">
        <f t="shared" si="153"/>
        <v>737467.32312499965</v>
      </c>
      <c r="AWG14" s="206">
        <f t="shared" si="153"/>
        <v>737467.32312499965</v>
      </c>
      <c r="AWH14" s="206">
        <f t="shared" si="153"/>
        <v>737467.32312499965</v>
      </c>
      <c r="AWI14" s="206">
        <f t="shared" si="153"/>
        <v>737467.32312499965</v>
      </c>
      <c r="AWJ14" s="206">
        <f t="shared" si="153"/>
        <v>737467.32312499965</v>
      </c>
      <c r="AWK14" s="206">
        <f t="shared" si="153"/>
        <v>737467.32312499965</v>
      </c>
      <c r="AWL14" s="206">
        <f t="shared" si="153"/>
        <v>737467.32312499965</v>
      </c>
      <c r="AWM14" s="206">
        <f t="shared" si="153"/>
        <v>737467.32312499965</v>
      </c>
      <c r="AWN14" s="206">
        <f t="shared" si="153"/>
        <v>737467.32312499965</v>
      </c>
      <c r="AWO14" s="206">
        <f t="shared" ref="AWO14:AYZ14" si="154">AWO10-AWO12</f>
        <v>737467.32312499965</v>
      </c>
      <c r="AWP14" s="206">
        <f t="shared" si="154"/>
        <v>737467.32312499965</v>
      </c>
      <c r="AWQ14" s="206">
        <f t="shared" si="154"/>
        <v>737467.32312499965</v>
      </c>
      <c r="AWR14" s="206">
        <f t="shared" si="154"/>
        <v>737467.32312499965</v>
      </c>
      <c r="AWS14" s="206">
        <f t="shared" si="154"/>
        <v>737467.32312499965</v>
      </c>
      <c r="AWT14" s="206">
        <f t="shared" si="154"/>
        <v>737467.32312499965</v>
      </c>
      <c r="AWU14" s="206">
        <f t="shared" si="154"/>
        <v>737467.32312499965</v>
      </c>
      <c r="AWV14" s="206">
        <f t="shared" si="154"/>
        <v>737467.32312499965</v>
      </c>
      <c r="AWW14" s="206">
        <f t="shared" si="154"/>
        <v>737467.32312499965</v>
      </c>
      <c r="AWX14" s="206">
        <f t="shared" si="154"/>
        <v>737467.32312499965</v>
      </c>
      <c r="AWY14" s="206">
        <f t="shared" si="154"/>
        <v>737467.32312499965</v>
      </c>
      <c r="AWZ14" s="206">
        <f t="shared" si="154"/>
        <v>737467.32312499965</v>
      </c>
      <c r="AXA14" s="206">
        <f t="shared" si="154"/>
        <v>737467.32312499965</v>
      </c>
      <c r="AXB14" s="206">
        <f t="shared" si="154"/>
        <v>737467.32312499965</v>
      </c>
      <c r="AXC14" s="206">
        <f t="shared" si="154"/>
        <v>737467.32312499965</v>
      </c>
      <c r="AXD14" s="206">
        <f t="shared" si="154"/>
        <v>737467.32312499965</v>
      </c>
      <c r="AXE14" s="206">
        <f t="shared" si="154"/>
        <v>737467.32312499965</v>
      </c>
      <c r="AXF14" s="206">
        <f t="shared" si="154"/>
        <v>737467.32312499965</v>
      </c>
      <c r="AXG14" s="206">
        <f t="shared" si="154"/>
        <v>737467.32312499965</v>
      </c>
      <c r="AXH14" s="206">
        <f t="shared" si="154"/>
        <v>737467.32312499965</v>
      </c>
      <c r="AXI14" s="206">
        <f t="shared" si="154"/>
        <v>737467.32312499965</v>
      </c>
      <c r="AXJ14" s="206">
        <f t="shared" si="154"/>
        <v>737467.32312499965</v>
      </c>
      <c r="AXK14" s="206">
        <f t="shared" si="154"/>
        <v>737467.32312499965</v>
      </c>
      <c r="AXL14" s="206">
        <f t="shared" si="154"/>
        <v>737467.32312499965</v>
      </c>
      <c r="AXM14" s="206">
        <f t="shared" si="154"/>
        <v>737467.32312499965</v>
      </c>
      <c r="AXN14" s="206">
        <f t="shared" si="154"/>
        <v>737467.32312499965</v>
      </c>
      <c r="AXO14" s="206">
        <f t="shared" si="154"/>
        <v>737467.32312499965</v>
      </c>
      <c r="AXP14" s="206">
        <f t="shared" si="154"/>
        <v>737467.32312499965</v>
      </c>
      <c r="AXQ14" s="206">
        <f t="shared" si="154"/>
        <v>737467.32312499965</v>
      </c>
      <c r="AXR14" s="206">
        <f t="shared" si="154"/>
        <v>737467.32312499965</v>
      </c>
      <c r="AXS14" s="206">
        <f t="shared" si="154"/>
        <v>737467.32312499965</v>
      </c>
      <c r="AXT14" s="206">
        <f t="shared" si="154"/>
        <v>737467.32312499965</v>
      </c>
      <c r="AXU14" s="206">
        <f t="shared" si="154"/>
        <v>737467.32312499965</v>
      </c>
      <c r="AXV14" s="206">
        <f t="shared" si="154"/>
        <v>737467.32312499965</v>
      </c>
      <c r="AXW14" s="206">
        <f t="shared" si="154"/>
        <v>737467.32312499965</v>
      </c>
      <c r="AXX14" s="206">
        <f t="shared" si="154"/>
        <v>737467.32312499965</v>
      </c>
      <c r="AXY14" s="206">
        <f t="shared" si="154"/>
        <v>737467.32312499965</v>
      </c>
      <c r="AXZ14" s="206">
        <f t="shared" si="154"/>
        <v>737467.32312499965</v>
      </c>
      <c r="AYA14" s="206">
        <f t="shared" si="154"/>
        <v>737467.32312499965</v>
      </c>
      <c r="AYB14" s="206">
        <f t="shared" si="154"/>
        <v>737467.32312499965</v>
      </c>
      <c r="AYC14" s="206">
        <f t="shared" si="154"/>
        <v>737467.32312499965</v>
      </c>
      <c r="AYD14" s="206">
        <f t="shared" si="154"/>
        <v>737467.32312499965</v>
      </c>
      <c r="AYE14" s="206">
        <f t="shared" si="154"/>
        <v>737467.32312499965</v>
      </c>
      <c r="AYF14" s="206">
        <f t="shared" si="154"/>
        <v>737467.32312499965</v>
      </c>
      <c r="AYG14" s="206">
        <f t="shared" si="154"/>
        <v>737467.32312499965</v>
      </c>
      <c r="AYH14" s="206">
        <f t="shared" si="154"/>
        <v>737467.32312499965</v>
      </c>
      <c r="AYI14" s="206">
        <f t="shared" si="154"/>
        <v>737467.32312499965</v>
      </c>
      <c r="AYJ14" s="206">
        <f t="shared" si="154"/>
        <v>737467.32312499965</v>
      </c>
      <c r="AYK14" s="206">
        <f t="shared" si="154"/>
        <v>737467.32312499965</v>
      </c>
      <c r="AYL14" s="206">
        <f t="shared" si="154"/>
        <v>737467.32312499965</v>
      </c>
      <c r="AYM14" s="206">
        <f t="shared" si="154"/>
        <v>737467.32312499965</v>
      </c>
      <c r="AYN14" s="206">
        <f t="shared" si="154"/>
        <v>737467.32312499965</v>
      </c>
      <c r="AYO14" s="206">
        <f t="shared" si="154"/>
        <v>737467.32312499965</v>
      </c>
      <c r="AYP14" s="206">
        <f t="shared" si="154"/>
        <v>737467.32312499965</v>
      </c>
      <c r="AYQ14" s="206">
        <f t="shared" si="154"/>
        <v>737467.32312499965</v>
      </c>
      <c r="AYR14" s="206">
        <f t="shared" si="154"/>
        <v>737467.32312499965</v>
      </c>
      <c r="AYS14" s="206">
        <f t="shared" si="154"/>
        <v>737467.32312499965</v>
      </c>
      <c r="AYT14" s="206">
        <f t="shared" si="154"/>
        <v>737467.32312499965</v>
      </c>
      <c r="AYU14" s="206">
        <f t="shared" si="154"/>
        <v>737467.32312499965</v>
      </c>
      <c r="AYV14" s="206">
        <f t="shared" si="154"/>
        <v>737467.32312499965</v>
      </c>
      <c r="AYW14" s="206">
        <f t="shared" si="154"/>
        <v>737467.32312499965</v>
      </c>
      <c r="AYX14" s="206">
        <f t="shared" si="154"/>
        <v>737467.32312499965</v>
      </c>
      <c r="AYY14" s="206">
        <f t="shared" si="154"/>
        <v>737467.32312499965</v>
      </c>
      <c r="AYZ14" s="206">
        <f t="shared" si="154"/>
        <v>737467.32312499965</v>
      </c>
      <c r="AZA14" s="206">
        <f t="shared" ref="AZA14:AZG14" si="155">AZA10-AZA12</f>
        <v>737467.32312499965</v>
      </c>
      <c r="AZB14" s="206">
        <f t="shared" si="155"/>
        <v>737467.32312499965</v>
      </c>
      <c r="AZC14" s="206">
        <f t="shared" si="155"/>
        <v>737467.32312499965</v>
      </c>
      <c r="AZD14" s="206">
        <f t="shared" si="155"/>
        <v>737467.32312499965</v>
      </c>
      <c r="AZE14" s="206">
        <f t="shared" si="155"/>
        <v>737467.32312499965</v>
      </c>
      <c r="AZF14" s="206">
        <f t="shared" si="155"/>
        <v>737467.32312499965</v>
      </c>
      <c r="AZG14" s="206">
        <f t="shared" si="155"/>
        <v>737467.32312499965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3.514452837407589E-4</v>
      </c>
      <c r="D17" s="195">
        <f>SUM(F17:AZG17)</f>
        <v>3283810.5496485545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75061.388452376501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87988.267280148517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0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3283810.5496485545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3195822.2823684062</v>
      </c>
      <c r="AJ18" s="213">
        <f t="shared" si="156"/>
        <v>3195822.2823684062</v>
      </c>
      <c r="AK18" s="213">
        <f t="shared" si="156"/>
        <v>3195822.2823684062</v>
      </c>
      <c r="AL18" s="213">
        <f t="shared" si="156"/>
        <v>3195822.2823684062</v>
      </c>
      <c r="AM18" s="213">
        <f t="shared" si="156"/>
        <v>3283810.5496485545</v>
      </c>
      <c r="AN18" s="213">
        <f t="shared" si="156"/>
        <v>3283810.5496485545</v>
      </c>
      <c r="AO18" s="213">
        <f t="shared" si="156"/>
        <v>3283810.5496485545</v>
      </c>
      <c r="AP18" s="213">
        <f t="shared" si="156"/>
        <v>3283810.5496485545</v>
      </c>
      <c r="AQ18" s="213">
        <f t="shared" si="156"/>
        <v>3283810.5496485545</v>
      </c>
      <c r="AR18" s="213">
        <f t="shared" si="156"/>
        <v>3283810.5496485545</v>
      </c>
      <c r="AS18" s="213">
        <f t="shared" si="156"/>
        <v>3283810.5496485545</v>
      </c>
      <c r="AT18" s="213">
        <f t="shared" si="156"/>
        <v>3283810.5496485545</v>
      </c>
      <c r="AU18" s="213">
        <f t="shared" si="156"/>
        <v>3283810.5496485545</v>
      </c>
      <c r="AV18" s="213">
        <f t="shared" si="156"/>
        <v>3283810.5496485545</v>
      </c>
      <c r="AW18" s="213">
        <f t="shared" si="156"/>
        <v>3283810.5496485545</v>
      </c>
      <c r="AX18" s="213">
        <f t="shared" si="156"/>
        <v>3283810.5496485545</v>
      </c>
      <c r="AY18" s="213">
        <f t="shared" si="156"/>
        <v>3283810.5496485545</v>
      </c>
      <c r="AZ18" s="213">
        <f t="shared" si="156"/>
        <v>3283810.5496485545</v>
      </c>
      <c r="BA18" s="213">
        <f t="shared" si="156"/>
        <v>3283810.5496485545</v>
      </c>
      <c r="BB18" s="213">
        <f t="shared" si="156"/>
        <v>3283810.5496485545</v>
      </c>
      <c r="BC18" s="213">
        <f t="shared" si="156"/>
        <v>3283810.5496485545</v>
      </c>
      <c r="BD18" s="213">
        <f t="shared" si="156"/>
        <v>3283810.5496485545</v>
      </c>
      <c r="BE18" s="213">
        <f t="shared" si="156"/>
        <v>3283810.5496485545</v>
      </c>
      <c r="BF18" s="213">
        <f t="shared" si="156"/>
        <v>3283810.5496485545</v>
      </c>
      <c r="BG18" s="213">
        <f t="shared" si="156"/>
        <v>3283810.5496485545</v>
      </c>
      <c r="BH18" s="213">
        <f t="shared" si="156"/>
        <v>3283810.5496485545</v>
      </c>
      <c r="BI18" s="213">
        <f t="shared" si="156"/>
        <v>3283810.5496485545</v>
      </c>
      <c r="BJ18" s="213">
        <f t="shared" si="156"/>
        <v>3283810.5496485545</v>
      </c>
      <c r="BK18" s="213">
        <f t="shared" si="156"/>
        <v>3283810.5496485545</v>
      </c>
      <c r="BL18" s="213">
        <f t="shared" si="156"/>
        <v>3283810.5496485545</v>
      </c>
      <c r="BM18" s="213">
        <f t="shared" si="156"/>
        <v>3283810.5496485545</v>
      </c>
      <c r="BN18" s="213">
        <f t="shared" si="156"/>
        <v>3283810.5496485545</v>
      </c>
      <c r="BO18" s="213">
        <f t="shared" si="156"/>
        <v>3283810.5496485545</v>
      </c>
      <c r="BP18" s="213">
        <f t="shared" si="156"/>
        <v>3283810.5496485545</v>
      </c>
      <c r="BQ18" s="213">
        <f t="shared" si="156"/>
        <v>3283810.5496485545</v>
      </c>
      <c r="BR18" s="213">
        <f t="shared" si="156"/>
        <v>3283810.5496485545</v>
      </c>
      <c r="BS18" s="213">
        <f t="shared" si="156"/>
        <v>3283810.5496485545</v>
      </c>
      <c r="BT18" s="213">
        <f t="shared" si="156"/>
        <v>3283810.5496485545</v>
      </c>
      <c r="BU18" s="213">
        <f t="shared" ref="BU18:EF18" si="157">BT18+BU17</f>
        <v>3283810.5496485545</v>
      </c>
      <c r="BV18" s="213">
        <f t="shared" si="157"/>
        <v>3283810.5496485545</v>
      </c>
      <c r="BW18" s="213">
        <f t="shared" si="157"/>
        <v>3283810.5496485545</v>
      </c>
      <c r="BX18" s="213">
        <f t="shared" si="157"/>
        <v>3283810.5496485545</v>
      </c>
      <c r="BY18" s="213">
        <f t="shared" si="157"/>
        <v>3283810.5496485545</v>
      </c>
      <c r="BZ18" s="213">
        <f t="shared" si="157"/>
        <v>3283810.5496485545</v>
      </c>
      <c r="CA18" s="213">
        <f t="shared" si="157"/>
        <v>3283810.5496485545</v>
      </c>
      <c r="CB18" s="213">
        <f t="shared" si="157"/>
        <v>3283810.5496485545</v>
      </c>
      <c r="CC18" s="213">
        <f t="shared" si="157"/>
        <v>3283810.5496485545</v>
      </c>
      <c r="CD18" s="213">
        <f t="shared" si="157"/>
        <v>3283810.5496485545</v>
      </c>
      <c r="CE18" s="213">
        <f t="shared" si="157"/>
        <v>3283810.5496485545</v>
      </c>
      <c r="CF18" s="213">
        <f t="shared" si="157"/>
        <v>3283810.5496485545</v>
      </c>
      <c r="CG18" s="213">
        <f t="shared" si="157"/>
        <v>3283810.5496485545</v>
      </c>
      <c r="CH18" s="213">
        <f t="shared" si="157"/>
        <v>3283810.5496485545</v>
      </c>
      <c r="CI18" s="213">
        <f t="shared" si="157"/>
        <v>3283810.5496485545</v>
      </c>
      <c r="CJ18" s="213">
        <f t="shared" si="157"/>
        <v>3283810.5496485545</v>
      </c>
      <c r="CK18" s="213">
        <f t="shared" si="157"/>
        <v>3283810.5496485545</v>
      </c>
      <c r="CL18" s="213">
        <f t="shared" si="157"/>
        <v>3283810.5496485545</v>
      </c>
      <c r="CM18" s="213">
        <f t="shared" si="157"/>
        <v>3283810.5496485545</v>
      </c>
      <c r="CN18" s="213">
        <f t="shared" si="157"/>
        <v>3283810.5496485545</v>
      </c>
      <c r="CO18" s="213">
        <f t="shared" si="157"/>
        <v>3283810.5496485545</v>
      </c>
      <c r="CP18" s="213">
        <f t="shared" si="157"/>
        <v>3283810.5496485545</v>
      </c>
      <c r="CQ18" s="213">
        <f t="shared" si="157"/>
        <v>3283810.5496485545</v>
      </c>
      <c r="CR18" s="213">
        <f t="shared" si="157"/>
        <v>3283810.5496485545</v>
      </c>
      <c r="CS18" s="213">
        <f t="shared" si="157"/>
        <v>3283810.5496485545</v>
      </c>
      <c r="CT18" s="213">
        <f t="shared" si="157"/>
        <v>3283810.5496485545</v>
      </c>
      <c r="CU18" s="213">
        <f t="shared" si="157"/>
        <v>3283810.5496485545</v>
      </c>
      <c r="CV18" s="213">
        <f t="shared" si="157"/>
        <v>3283810.5496485545</v>
      </c>
      <c r="CW18" s="213">
        <f t="shared" si="157"/>
        <v>3283810.5496485545</v>
      </c>
      <c r="CX18" s="213">
        <f t="shared" si="157"/>
        <v>3283810.5496485545</v>
      </c>
      <c r="CY18" s="213">
        <f t="shared" si="157"/>
        <v>3283810.5496485545</v>
      </c>
      <c r="CZ18" s="213">
        <f t="shared" si="157"/>
        <v>3283810.5496485545</v>
      </c>
      <c r="DA18" s="213">
        <f t="shared" si="157"/>
        <v>3283810.5496485545</v>
      </c>
      <c r="DB18" s="213">
        <f t="shared" si="157"/>
        <v>3283810.5496485545</v>
      </c>
      <c r="DC18" s="213">
        <f t="shared" si="157"/>
        <v>3283810.5496485545</v>
      </c>
      <c r="DD18" s="213">
        <f t="shared" si="157"/>
        <v>3283810.5496485545</v>
      </c>
      <c r="DE18" s="213">
        <f t="shared" si="157"/>
        <v>3283810.5496485545</v>
      </c>
      <c r="DF18" s="213">
        <f t="shared" si="157"/>
        <v>3283810.5496485545</v>
      </c>
      <c r="DG18" s="213">
        <f t="shared" si="157"/>
        <v>3283810.5496485545</v>
      </c>
      <c r="DH18" s="213">
        <f t="shared" si="157"/>
        <v>3283810.5496485545</v>
      </c>
      <c r="DI18" s="213">
        <f t="shared" si="157"/>
        <v>3283810.5496485545</v>
      </c>
      <c r="DJ18" s="213">
        <f t="shared" si="157"/>
        <v>3283810.5496485545</v>
      </c>
      <c r="DK18" s="213">
        <f t="shared" si="157"/>
        <v>3283810.5496485545</v>
      </c>
      <c r="DL18" s="213">
        <f t="shared" si="157"/>
        <v>3283810.5496485545</v>
      </c>
      <c r="DM18" s="213">
        <f t="shared" si="157"/>
        <v>3283810.5496485545</v>
      </c>
      <c r="DN18" s="213">
        <f t="shared" si="157"/>
        <v>3283810.5496485545</v>
      </c>
      <c r="DO18" s="213">
        <f t="shared" si="157"/>
        <v>3283810.5496485545</v>
      </c>
      <c r="DP18" s="213">
        <f t="shared" si="157"/>
        <v>3283810.5496485545</v>
      </c>
      <c r="DQ18" s="213">
        <f t="shared" si="157"/>
        <v>3283810.5496485545</v>
      </c>
      <c r="DR18" s="213">
        <f t="shared" si="157"/>
        <v>3283810.5496485545</v>
      </c>
      <c r="DS18" s="213">
        <f t="shared" si="157"/>
        <v>3283810.5496485545</v>
      </c>
      <c r="DT18" s="213">
        <f t="shared" si="157"/>
        <v>3283810.5496485545</v>
      </c>
      <c r="DU18" s="213">
        <f t="shared" si="157"/>
        <v>3283810.5496485545</v>
      </c>
      <c r="DV18" s="213">
        <f t="shared" si="157"/>
        <v>3283810.5496485545</v>
      </c>
      <c r="DW18" s="213">
        <f t="shared" si="157"/>
        <v>3283810.5496485545</v>
      </c>
      <c r="DX18" s="213">
        <f t="shared" si="157"/>
        <v>3283810.5496485545</v>
      </c>
      <c r="DY18" s="213">
        <f t="shared" si="157"/>
        <v>3283810.5496485545</v>
      </c>
      <c r="DZ18" s="213">
        <f t="shared" si="157"/>
        <v>3283810.5496485545</v>
      </c>
      <c r="EA18" s="213">
        <f t="shared" si="157"/>
        <v>3283810.5496485545</v>
      </c>
      <c r="EB18" s="213">
        <f t="shared" si="157"/>
        <v>3283810.5496485545</v>
      </c>
      <c r="EC18" s="213">
        <f t="shared" si="157"/>
        <v>3283810.5496485545</v>
      </c>
      <c r="ED18" s="213">
        <f t="shared" si="157"/>
        <v>3283810.5496485545</v>
      </c>
      <c r="EE18" s="213">
        <f t="shared" si="157"/>
        <v>3283810.5496485545</v>
      </c>
      <c r="EF18" s="213">
        <f t="shared" si="157"/>
        <v>3283810.5496485545</v>
      </c>
      <c r="EG18" s="213">
        <f t="shared" ref="EG18:GR18" si="158">EF18+EG17</f>
        <v>3283810.5496485545</v>
      </c>
      <c r="EH18" s="213">
        <f t="shared" si="158"/>
        <v>3283810.5496485545</v>
      </c>
      <c r="EI18" s="213">
        <f t="shared" si="158"/>
        <v>3283810.5496485545</v>
      </c>
      <c r="EJ18" s="213">
        <f t="shared" si="158"/>
        <v>3283810.5496485545</v>
      </c>
      <c r="EK18" s="213">
        <f t="shared" si="158"/>
        <v>3283810.5496485545</v>
      </c>
      <c r="EL18" s="213">
        <f t="shared" si="158"/>
        <v>3283810.5496485545</v>
      </c>
      <c r="EM18" s="213">
        <f t="shared" si="158"/>
        <v>3283810.5496485545</v>
      </c>
      <c r="EN18" s="213">
        <f t="shared" si="158"/>
        <v>3283810.5496485545</v>
      </c>
      <c r="EO18" s="213">
        <f t="shared" si="158"/>
        <v>3283810.5496485545</v>
      </c>
      <c r="EP18" s="213">
        <f t="shared" si="158"/>
        <v>3283810.5496485545</v>
      </c>
      <c r="EQ18" s="213">
        <f t="shared" si="158"/>
        <v>3283810.5496485545</v>
      </c>
      <c r="ER18" s="213">
        <f t="shared" si="158"/>
        <v>3283810.5496485545</v>
      </c>
      <c r="ES18" s="213">
        <f t="shared" si="158"/>
        <v>3283810.5496485545</v>
      </c>
      <c r="ET18" s="213">
        <f t="shared" si="158"/>
        <v>3283810.5496485545</v>
      </c>
      <c r="EU18" s="213">
        <f t="shared" si="158"/>
        <v>3283810.5496485545</v>
      </c>
      <c r="EV18" s="213">
        <f t="shared" si="158"/>
        <v>3283810.5496485545</v>
      </c>
      <c r="EW18" s="213">
        <f t="shared" si="158"/>
        <v>3283810.5496485545</v>
      </c>
      <c r="EX18" s="213">
        <f t="shared" si="158"/>
        <v>3283810.5496485545</v>
      </c>
      <c r="EY18" s="213">
        <f t="shared" si="158"/>
        <v>3283810.5496485545</v>
      </c>
      <c r="EZ18" s="213">
        <f t="shared" si="158"/>
        <v>3283810.5496485545</v>
      </c>
      <c r="FA18" s="213">
        <f t="shared" si="158"/>
        <v>3283810.5496485545</v>
      </c>
      <c r="FB18" s="213">
        <f t="shared" si="158"/>
        <v>3283810.5496485545</v>
      </c>
      <c r="FC18" s="213">
        <f t="shared" si="158"/>
        <v>3283810.5496485545</v>
      </c>
      <c r="FD18" s="213">
        <f t="shared" si="158"/>
        <v>3283810.5496485545</v>
      </c>
      <c r="FE18" s="213">
        <f t="shared" si="158"/>
        <v>3283810.5496485545</v>
      </c>
      <c r="FF18" s="213">
        <f t="shared" si="158"/>
        <v>3283810.5496485545</v>
      </c>
      <c r="FG18" s="213">
        <f t="shared" si="158"/>
        <v>3283810.5496485545</v>
      </c>
      <c r="FH18" s="213">
        <f t="shared" si="158"/>
        <v>3283810.5496485545</v>
      </c>
      <c r="FI18" s="213">
        <f t="shared" si="158"/>
        <v>3283810.5496485545</v>
      </c>
      <c r="FJ18" s="213">
        <f t="shared" si="158"/>
        <v>3283810.5496485545</v>
      </c>
      <c r="FK18" s="213">
        <f t="shared" si="158"/>
        <v>3283810.5496485545</v>
      </c>
      <c r="FL18" s="213">
        <f t="shared" si="158"/>
        <v>3283810.5496485545</v>
      </c>
      <c r="FM18" s="213">
        <f t="shared" si="158"/>
        <v>3283810.5496485545</v>
      </c>
      <c r="FN18" s="213">
        <f t="shared" si="158"/>
        <v>3283810.5496485545</v>
      </c>
      <c r="FO18" s="213">
        <f t="shared" si="158"/>
        <v>3283810.5496485545</v>
      </c>
      <c r="FP18" s="213">
        <f t="shared" si="158"/>
        <v>3283810.5496485545</v>
      </c>
      <c r="FQ18" s="213">
        <f t="shared" si="158"/>
        <v>3283810.5496485545</v>
      </c>
      <c r="FR18" s="213">
        <f t="shared" si="158"/>
        <v>3283810.5496485545</v>
      </c>
      <c r="FS18" s="213">
        <f t="shared" si="158"/>
        <v>3283810.5496485545</v>
      </c>
      <c r="FT18" s="213">
        <f t="shared" si="158"/>
        <v>3283810.5496485545</v>
      </c>
      <c r="FU18" s="213">
        <f t="shared" si="158"/>
        <v>3283810.5496485545</v>
      </c>
      <c r="FV18" s="213">
        <f t="shared" si="158"/>
        <v>3283810.5496485545</v>
      </c>
      <c r="FW18" s="213">
        <f t="shared" si="158"/>
        <v>3283810.5496485545</v>
      </c>
      <c r="FX18" s="213">
        <f t="shared" si="158"/>
        <v>3283810.5496485545</v>
      </c>
      <c r="FY18" s="213">
        <f t="shared" si="158"/>
        <v>3283810.5496485545</v>
      </c>
      <c r="FZ18" s="213">
        <f t="shared" si="158"/>
        <v>3283810.5496485545</v>
      </c>
      <c r="GA18" s="213">
        <f t="shared" si="158"/>
        <v>3283810.5496485545</v>
      </c>
      <c r="GB18" s="213">
        <f t="shared" si="158"/>
        <v>3283810.5496485545</v>
      </c>
      <c r="GC18" s="213">
        <f t="shared" si="158"/>
        <v>3283810.5496485545</v>
      </c>
      <c r="GD18" s="213">
        <f t="shared" si="158"/>
        <v>3283810.5496485545</v>
      </c>
      <c r="GE18" s="213">
        <f t="shared" si="158"/>
        <v>3283810.5496485545</v>
      </c>
      <c r="GF18" s="213">
        <f t="shared" si="158"/>
        <v>3283810.5496485545</v>
      </c>
      <c r="GG18" s="213">
        <f t="shared" si="158"/>
        <v>3283810.5496485545</v>
      </c>
      <c r="GH18" s="213">
        <f t="shared" si="158"/>
        <v>3283810.5496485545</v>
      </c>
      <c r="GI18" s="213">
        <f t="shared" si="158"/>
        <v>3283810.5496485545</v>
      </c>
      <c r="GJ18" s="213">
        <f t="shared" si="158"/>
        <v>3283810.5496485545</v>
      </c>
      <c r="GK18" s="213">
        <f t="shared" si="158"/>
        <v>3283810.5496485545</v>
      </c>
      <c r="GL18" s="213">
        <f t="shared" si="158"/>
        <v>3283810.5496485545</v>
      </c>
      <c r="GM18" s="213">
        <f t="shared" si="158"/>
        <v>3283810.5496485545</v>
      </c>
      <c r="GN18" s="213">
        <f t="shared" si="158"/>
        <v>3283810.5496485545</v>
      </c>
      <c r="GO18" s="213">
        <f t="shared" si="158"/>
        <v>3283810.5496485545</v>
      </c>
      <c r="GP18" s="213">
        <f t="shared" si="158"/>
        <v>3283810.5496485545</v>
      </c>
      <c r="GQ18" s="213">
        <f t="shared" si="158"/>
        <v>3283810.5496485545</v>
      </c>
      <c r="GR18" s="213">
        <f t="shared" si="158"/>
        <v>3283810.5496485545</v>
      </c>
      <c r="GS18" s="213">
        <f t="shared" ref="GS18:JD18" si="159">GR18+GS17</f>
        <v>3283810.5496485545</v>
      </c>
      <c r="GT18" s="213">
        <f t="shared" si="159"/>
        <v>3283810.5496485545</v>
      </c>
      <c r="GU18" s="213">
        <f t="shared" si="159"/>
        <v>3283810.5496485545</v>
      </c>
      <c r="GV18" s="213">
        <f t="shared" si="159"/>
        <v>3283810.5496485545</v>
      </c>
      <c r="GW18" s="213">
        <f t="shared" si="159"/>
        <v>3283810.5496485545</v>
      </c>
      <c r="GX18" s="213">
        <f t="shared" si="159"/>
        <v>3283810.5496485545</v>
      </c>
      <c r="GY18" s="213">
        <f t="shared" si="159"/>
        <v>3283810.5496485545</v>
      </c>
      <c r="GZ18" s="213">
        <f t="shared" si="159"/>
        <v>3283810.5496485545</v>
      </c>
      <c r="HA18" s="213">
        <f t="shared" si="159"/>
        <v>3283810.5496485545</v>
      </c>
      <c r="HB18" s="213">
        <f t="shared" si="159"/>
        <v>3283810.5496485545</v>
      </c>
      <c r="HC18" s="213">
        <f t="shared" si="159"/>
        <v>3283810.5496485545</v>
      </c>
      <c r="HD18" s="213">
        <f t="shared" si="159"/>
        <v>3283810.5496485545</v>
      </c>
      <c r="HE18" s="213">
        <f t="shared" si="159"/>
        <v>3283810.5496485545</v>
      </c>
      <c r="HF18" s="213">
        <f t="shared" si="159"/>
        <v>3283810.5496485545</v>
      </c>
      <c r="HG18" s="213">
        <f t="shared" si="159"/>
        <v>3283810.5496485545</v>
      </c>
      <c r="HH18" s="213">
        <f t="shared" si="159"/>
        <v>3283810.5496485545</v>
      </c>
      <c r="HI18" s="213">
        <f t="shared" si="159"/>
        <v>3283810.5496485545</v>
      </c>
      <c r="HJ18" s="213">
        <f t="shared" si="159"/>
        <v>3283810.5496485545</v>
      </c>
      <c r="HK18" s="213">
        <f t="shared" si="159"/>
        <v>3283810.5496485545</v>
      </c>
      <c r="HL18" s="213">
        <f t="shared" si="159"/>
        <v>3283810.5496485545</v>
      </c>
      <c r="HM18" s="213">
        <f t="shared" si="159"/>
        <v>3283810.5496485545</v>
      </c>
      <c r="HN18" s="213">
        <f t="shared" si="159"/>
        <v>3283810.5496485545</v>
      </c>
      <c r="HO18" s="213">
        <f t="shared" si="159"/>
        <v>3283810.5496485545</v>
      </c>
      <c r="HP18" s="213">
        <f t="shared" si="159"/>
        <v>3283810.5496485545</v>
      </c>
      <c r="HQ18" s="213">
        <f t="shared" si="159"/>
        <v>3283810.5496485545</v>
      </c>
      <c r="HR18" s="213">
        <f t="shared" si="159"/>
        <v>3283810.5496485545</v>
      </c>
      <c r="HS18" s="213">
        <f t="shared" si="159"/>
        <v>3283810.5496485545</v>
      </c>
      <c r="HT18" s="213">
        <f t="shared" si="159"/>
        <v>3283810.5496485545</v>
      </c>
      <c r="HU18" s="213">
        <f t="shared" si="159"/>
        <v>3283810.5496485545</v>
      </c>
      <c r="HV18" s="213">
        <f t="shared" si="159"/>
        <v>3283810.5496485545</v>
      </c>
      <c r="HW18" s="213">
        <f t="shared" si="159"/>
        <v>3283810.5496485545</v>
      </c>
      <c r="HX18" s="213">
        <f t="shared" si="159"/>
        <v>3283810.5496485545</v>
      </c>
      <c r="HY18" s="213">
        <f t="shared" si="159"/>
        <v>3283810.5496485545</v>
      </c>
      <c r="HZ18" s="213">
        <f t="shared" si="159"/>
        <v>3283810.5496485545</v>
      </c>
      <c r="IA18" s="213">
        <f t="shared" si="159"/>
        <v>3283810.5496485545</v>
      </c>
      <c r="IB18" s="213">
        <f t="shared" si="159"/>
        <v>3283810.5496485545</v>
      </c>
      <c r="IC18" s="213">
        <f t="shared" si="159"/>
        <v>3283810.5496485545</v>
      </c>
      <c r="ID18" s="213">
        <f t="shared" si="159"/>
        <v>3283810.5496485545</v>
      </c>
      <c r="IE18" s="213">
        <f t="shared" si="159"/>
        <v>3283810.5496485545</v>
      </c>
      <c r="IF18" s="213">
        <f t="shared" si="159"/>
        <v>3283810.5496485545</v>
      </c>
      <c r="IG18" s="213">
        <f t="shared" si="159"/>
        <v>3283810.5496485545</v>
      </c>
      <c r="IH18" s="213">
        <f t="shared" si="159"/>
        <v>3283810.5496485545</v>
      </c>
      <c r="II18" s="213">
        <f t="shared" si="159"/>
        <v>3283810.5496485545</v>
      </c>
      <c r="IJ18" s="213">
        <f t="shared" si="159"/>
        <v>3283810.5496485545</v>
      </c>
      <c r="IK18" s="213">
        <f t="shared" si="159"/>
        <v>3283810.5496485545</v>
      </c>
      <c r="IL18" s="213">
        <f t="shared" si="159"/>
        <v>3283810.5496485545</v>
      </c>
      <c r="IM18" s="213">
        <f t="shared" si="159"/>
        <v>3283810.5496485545</v>
      </c>
      <c r="IN18" s="213">
        <f t="shared" si="159"/>
        <v>3283810.5496485545</v>
      </c>
      <c r="IO18" s="213">
        <f t="shared" si="159"/>
        <v>3283810.5496485545</v>
      </c>
      <c r="IP18" s="213">
        <f t="shared" si="159"/>
        <v>3283810.5496485545</v>
      </c>
      <c r="IQ18" s="213">
        <f t="shared" si="159"/>
        <v>3283810.5496485545</v>
      </c>
      <c r="IR18" s="213">
        <f t="shared" si="159"/>
        <v>3283810.5496485545</v>
      </c>
      <c r="IS18" s="213">
        <f t="shared" si="159"/>
        <v>3283810.5496485545</v>
      </c>
      <c r="IT18" s="213">
        <f t="shared" si="159"/>
        <v>3283810.5496485545</v>
      </c>
      <c r="IU18" s="213">
        <f t="shared" si="159"/>
        <v>3283810.5496485545</v>
      </c>
      <c r="IV18" s="213">
        <f t="shared" si="159"/>
        <v>3283810.5496485545</v>
      </c>
      <c r="IW18" s="213">
        <f t="shared" si="159"/>
        <v>3283810.5496485545</v>
      </c>
      <c r="IX18" s="213">
        <f t="shared" si="159"/>
        <v>3283810.5496485545</v>
      </c>
      <c r="IY18" s="213">
        <f t="shared" si="159"/>
        <v>3283810.5496485545</v>
      </c>
      <c r="IZ18" s="213">
        <f t="shared" si="159"/>
        <v>3283810.5496485545</v>
      </c>
      <c r="JA18" s="213">
        <f t="shared" si="159"/>
        <v>3283810.5496485545</v>
      </c>
      <c r="JB18" s="213">
        <f t="shared" si="159"/>
        <v>3283810.5496485545</v>
      </c>
      <c r="JC18" s="213">
        <f t="shared" si="159"/>
        <v>3283810.5496485545</v>
      </c>
      <c r="JD18" s="213">
        <f t="shared" si="159"/>
        <v>3283810.5496485545</v>
      </c>
      <c r="JE18" s="213">
        <f t="shared" ref="JE18:LP18" si="160">JD18+JE17</f>
        <v>3283810.5496485545</v>
      </c>
      <c r="JF18" s="213">
        <f t="shared" si="160"/>
        <v>3283810.5496485545</v>
      </c>
      <c r="JG18" s="213">
        <f t="shared" si="160"/>
        <v>3283810.5496485545</v>
      </c>
      <c r="JH18" s="213">
        <f t="shared" si="160"/>
        <v>3283810.5496485545</v>
      </c>
      <c r="JI18" s="213">
        <f t="shared" si="160"/>
        <v>3283810.5496485545</v>
      </c>
      <c r="JJ18" s="213">
        <f t="shared" si="160"/>
        <v>3283810.5496485545</v>
      </c>
      <c r="JK18" s="213">
        <f t="shared" si="160"/>
        <v>3283810.5496485545</v>
      </c>
      <c r="JL18" s="213">
        <f t="shared" si="160"/>
        <v>3283810.5496485545</v>
      </c>
      <c r="JM18" s="213">
        <f t="shared" si="160"/>
        <v>3283810.5496485545</v>
      </c>
      <c r="JN18" s="213">
        <f t="shared" si="160"/>
        <v>3283810.5496485545</v>
      </c>
      <c r="JO18" s="213">
        <f t="shared" si="160"/>
        <v>3283810.5496485545</v>
      </c>
      <c r="JP18" s="213">
        <f t="shared" si="160"/>
        <v>3283810.5496485545</v>
      </c>
      <c r="JQ18" s="213">
        <f t="shared" si="160"/>
        <v>3283810.5496485545</v>
      </c>
      <c r="JR18" s="213">
        <f t="shared" si="160"/>
        <v>3283810.5496485545</v>
      </c>
      <c r="JS18" s="213">
        <f t="shared" si="160"/>
        <v>3283810.5496485545</v>
      </c>
      <c r="JT18" s="213">
        <f t="shared" si="160"/>
        <v>3283810.5496485545</v>
      </c>
      <c r="JU18" s="213">
        <f t="shared" si="160"/>
        <v>3283810.5496485545</v>
      </c>
      <c r="JV18" s="213">
        <f t="shared" si="160"/>
        <v>3283810.5496485545</v>
      </c>
      <c r="JW18" s="213">
        <f t="shared" si="160"/>
        <v>3283810.5496485545</v>
      </c>
      <c r="JX18" s="213">
        <f t="shared" si="160"/>
        <v>3283810.5496485545</v>
      </c>
      <c r="JY18" s="213">
        <f t="shared" si="160"/>
        <v>3283810.5496485545</v>
      </c>
      <c r="JZ18" s="213">
        <f t="shared" si="160"/>
        <v>3283810.5496485545</v>
      </c>
      <c r="KA18" s="213">
        <f t="shared" si="160"/>
        <v>3283810.5496485545</v>
      </c>
      <c r="KB18" s="213">
        <f t="shared" si="160"/>
        <v>3283810.5496485545</v>
      </c>
      <c r="KC18" s="213">
        <f t="shared" si="160"/>
        <v>3283810.5496485545</v>
      </c>
      <c r="KD18" s="213">
        <f t="shared" si="160"/>
        <v>3283810.5496485545</v>
      </c>
      <c r="KE18" s="213">
        <f t="shared" si="160"/>
        <v>3283810.5496485545</v>
      </c>
      <c r="KF18" s="213">
        <f t="shared" si="160"/>
        <v>3283810.5496485545</v>
      </c>
      <c r="KG18" s="213">
        <f t="shared" si="160"/>
        <v>3283810.5496485545</v>
      </c>
      <c r="KH18" s="213">
        <f t="shared" si="160"/>
        <v>3283810.5496485545</v>
      </c>
      <c r="KI18" s="213">
        <f t="shared" si="160"/>
        <v>3283810.5496485545</v>
      </c>
      <c r="KJ18" s="213">
        <f t="shared" si="160"/>
        <v>3283810.5496485545</v>
      </c>
      <c r="KK18" s="213">
        <f t="shared" si="160"/>
        <v>3283810.5496485545</v>
      </c>
      <c r="KL18" s="213">
        <f t="shared" si="160"/>
        <v>3283810.5496485545</v>
      </c>
      <c r="KM18" s="213">
        <f t="shared" si="160"/>
        <v>3283810.5496485545</v>
      </c>
      <c r="KN18" s="213">
        <f t="shared" si="160"/>
        <v>3283810.5496485545</v>
      </c>
      <c r="KO18" s="213">
        <f t="shared" si="160"/>
        <v>3283810.5496485545</v>
      </c>
      <c r="KP18" s="213">
        <f t="shared" si="160"/>
        <v>3283810.5496485545</v>
      </c>
      <c r="KQ18" s="213">
        <f t="shared" si="160"/>
        <v>3283810.5496485545</v>
      </c>
      <c r="KR18" s="213">
        <f t="shared" si="160"/>
        <v>3283810.5496485545</v>
      </c>
      <c r="KS18" s="213">
        <f t="shared" si="160"/>
        <v>3283810.5496485545</v>
      </c>
      <c r="KT18" s="213">
        <f t="shared" si="160"/>
        <v>3283810.5496485545</v>
      </c>
      <c r="KU18" s="213">
        <f t="shared" si="160"/>
        <v>3283810.5496485545</v>
      </c>
      <c r="KV18" s="213">
        <f t="shared" si="160"/>
        <v>3283810.5496485545</v>
      </c>
      <c r="KW18" s="213">
        <f t="shared" si="160"/>
        <v>3283810.5496485545</v>
      </c>
      <c r="KX18" s="213">
        <f t="shared" si="160"/>
        <v>3283810.5496485545</v>
      </c>
      <c r="KY18" s="213">
        <f t="shared" si="160"/>
        <v>3283810.5496485545</v>
      </c>
      <c r="KZ18" s="213">
        <f t="shared" si="160"/>
        <v>3283810.5496485545</v>
      </c>
      <c r="LA18" s="213">
        <f t="shared" si="160"/>
        <v>3283810.5496485545</v>
      </c>
      <c r="LB18" s="213">
        <f t="shared" si="160"/>
        <v>3283810.5496485545</v>
      </c>
      <c r="LC18" s="213">
        <f t="shared" si="160"/>
        <v>3283810.5496485545</v>
      </c>
      <c r="LD18" s="213">
        <f t="shared" si="160"/>
        <v>3283810.5496485545</v>
      </c>
      <c r="LE18" s="213">
        <f t="shared" si="160"/>
        <v>3283810.5496485545</v>
      </c>
      <c r="LF18" s="213">
        <f t="shared" si="160"/>
        <v>3283810.5496485545</v>
      </c>
      <c r="LG18" s="213">
        <f t="shared" si="160"/>
        <v>3283810.5496485545</v>
      </c>
      <c r="LH18" s="213">
        <f t="shared" si="160"/>
        <v>3283810.5496485545</v>
      </c>
      <c r="LI18" s="213">
        <f t="shared" si="160"/>
        <v>3283810.5496485545</v>
      </c>
      <c r="LJ18" s="213">
        <f t="shared" si="160"/>
        <v>3283810.5496485545</v>
      </c>
      <c r="LK18" s="213">
        <f t="shared" si="160"/>
        <v>3283810.5496485545</v>
      </c>
      <c r="LL18" s="213">
        <f t="shared" si="160"/>
        <v>3283810.5496485545</v>
      </c>
      <c r="LM18" s="213">
        <f t="shared" si="160"/>
        <v>3283810.5496485545</v>
      </c>
      <c r="LN18" s="213">
        <f t="shared" si="160"/>
        <v>3283810.5496485545</v>
      </c>
      <c r="LO18" s="213">
        <f t="shared" si="160"/>
        <v>3283810.5496485545</v>
      </c>
      <c r="LP18" s="213">
        <f t="shared" si="160"/>
        <v>3283810.5496485545</v>
      </c>
      <c r="LQ18" s="213">
        <f t="shared" ref="LQ18:OB18" si="161">LP18+LQ17</f>
        <v>3283810.5496485545</v>
      </c>
      <c r="LR18" s="213">
        <f t="shared" si="161"/>
        <v>3283810.5496485545</v>
      </c>
      <c r="LS18" s="213">
        <f t="shared" si="161"/>
        <v>3283810.5496485545</v>
      </c>
      <c r="LT18" s="213">
        <f t="shared" si="161"/>
        <v>3283810.5496485545</v>
      </c>
      <c r="LU18" s="213">
        <f t="shared" si="161"/>
        <v>3283810.5496485545</v>
      </c>
      <c r="LV18" s="213">
        <f t="shared" si="161"/>
        <v>3283810.5496485545</v>
      </c>
      <c r="LW18" s="213">
        <f t="shared" si="161"/>
        <v>3283810.5496485545</v>
      </c>
      <c r="LX18" s="213">
        <f t="shared" si="161"/>
        <v>3283810.5496485545</v>
      </c>
      <c r="LY18" s="213">
        <f t="shared" si="161"/>
        <v>3283810.5496485545</v>
      </c>
      <c r="LZ18" s="213">
        <f t="shared" si="161"/>
        <v>3283810.5496485545</v>
      </c>
      <c r="MA18" s="213">
        <f t="shared" si="161"/>
        <v>3283810.5496485545</v>
      </c>
      <c r="MB18" s="213">
        <f t="shared" si="161"/>
        <v>3283810.5496485545</v>
      </c>
      <c r="MC18" s="213">
        <f t="shared" si="161"/>
        <v>3283810.5496485545</v>
      </c>
      <c r="MD18" s="213">
        <f t="shared" si="161"/>
        <v>3283810.5496485545</v>
      </c>
      <c r="ME18" s="213">
        <f t="shared" si="161"/>
        <v>3283810.5496485545</v>
      </c>
      <c r="MF18" s="213">
        <f t="shared" si="161"/>
        <v>3283810.5496485545</v>
      </c>
      <c r="MG18" s="213">
        <f t="shared" si="161"/>
        <v>3283810.5496485545</v>
      </c>
      <c r="MH18" s="213">
        <f t="shared" si="161"/>
        <v>3283810.5496485545</v>
      </c>
      <c r="MI18" s="213">
        <f t="shared" si="161"/>
        <v>3283810.5496485545</v>
      </c>
      <c r="MJ18" s="213">
        <f t="shared" si="161"/>
        <v>3283810.5496485545</v>
      </c>
      <c r="MK18" s="213">
        <f t="shared" si="161"/>
        <v>3283810.5496485545</v>
      </c>
      <c r="ML18" s="213">
        <f t="shared" si="161"/>
        <v>3283810.5496485545</v>
      </c>
      <c r="MM18" s="213">
        <f t="shared" si="161"/>
        <v>3283810.5496485545</v>
      </c>
      <c r="MN18" s="213">
        <f t="shared" si="161"/>
        <v>3283810.5496485545</v>
      </c>
      <c r="MO18" s="213">
        <f t="shared" si="161"/>
        <v>3283810.5496485545</v>
      </c>
      <c r="MP18" s="213">
        <f t="shared" si="161"/>
        <v>3283810.5496485545</v>
      </c>
      <c r="MQ18" s="213">
        <f t="shared" si="161"/>
        <v>3283810.5496485545</v>
      </c>
      <c r="MR18" s="213">
        <f t="shared" si="161"/>
        <v>3283810.5496485545</v>
      </c>
      <c r="MS18" s="213">
        <f t="shared" si="161"/>
        <v>3283810.5496485545</v>
      </c>
      <c r="MT18" s="213">
        <f t="shared" si="161"/>
        <v>3283810.5496485545</v>
      </c>
      <c r="MU18" s="213">
        <f t="shared" si="161"/>
        <v>3283810.5496485545</v>
      </c>
      <c r="MV18" s="213">
        <f t="shared" si="161"/>
        <v>3283810.5496485545</v>
      </c>
      <c r="MW18" s="213">
        <f t="shared" si="161"/>
        <v>3283810.5496485545</v>
      </c>
      <c r="MX18" s="213">
        <f t="shared" si="161"/>
        <v>3283810.5496485545</v>
      </c>
      <c r="MY18" s="213">
        <f t="shared" si="161"/>
        <v>3283810.5496485545</v>
      </c>
      <c r="MZ18" s="213">
        <f t="shared" si="161"/>
        <v>3283810.5496485545</v>
      </c>
      <c r="NA18" s="213">
        <f t="shared" si="161"/>
        <v>3283810.5496485545</v>
      </c>
      <c r="NB18" s="213">
        <f t="shared" si="161"/>
        <v>3283810.5496485545</v>
      </c>
      <c r="NC18" s="213">
        <f t="shared" si="161"/>
        <v>3283810.5496485545</v>
      </c>
      <c r="ND18" s="213">
        <f t="shared" si="161"/>
        <v>3283810.5496485545</v>
      </c>
      <c r="NE18" s="213">
        <f t="shared" si="161"/>
        <v>3283810.5496485545</v>
      </c>
      <c r="NF18" s="213">
        <f t="shared" si="161"/>
        <v>3283810.5496485545</v>
      </c>
      <c r="NG18" s="213">
        <f t="shared" si="161"/>
        <v>3283810.5496485545</v>
      </c>
      <c r="NH18" s="213">
        <f t="shared" si="161"/>
        <v>3283810.5496485545</v>
      </c>
      <c r="NI18" s="213">
        <f t="shared" si="161"/>
        <v>3283810.5496485545</v>
      </c>
      <c r="NJ18" s="213">
        <f t="shared" si="161"/>
        <v>3283810.5496485545</v>
      </c>
      <c r="NK18" s="213">
        <f t="shared" si="161"/>
        <v>3283810.5496485545</v>
      </c>
      <c r="NL18" s="213">
        <f t="shared" si="161"/>
        <v>3283810.5496485545</v>
      </c>
      <c r="NM18" s="213">
        <f t="shared" si="161"/>
        <v>3283810.5496485545</v>
      </c>
      <c r="NN18" s="213">
        <f t="shared" si="161"/>
        <v>3283810.5496485545</v>
      </c>
      <c r="NO18" s="213">
        <f t="shared" si="161"/>
        <v>3283810.5496485545</v>
      </c>
      <c r="NP18" s="213">
        <f t="shared" si="161"/>
        <v>3283810.5496485545</v>
      </c>
      <c r="NQ18" s="213">
        <f t="shared" si="161"/>
        <v>3283810.5496485545</v>
      </c>
      <c r="NR18" s="213">
        <f t="shared" si="161"/>
        <v>3283810.5496485545</v>
      </c>
      <c r="NS18" s="213">
        <f t="shared" si="161"/>
        <v>3283810.5496485545</v>
      </c>
      <c r="NT18" s="213">
        <f t="shared" si="161"/>
        <v>3283810.5496485545</v>
      </c>
      <c r="NU18" s="213">
        <f t="shared" si="161"/>
        <v>3283810.5496485545</v>
      </c>
      <c r="NV18" s="213">
        <f t="shared" si="161"/>
        <v>3283810.5496485545</v>
      </c>
      <c r="NW18" s="213">
        <f t="shared" si="161"/>
        <v>3283810.5496485545</v>
      </c>
      <c r="NX18" s="213">
        <f t="shared" si="161"/>
        <v>3283810.5496485545</v>
      </c>
      <c r="NY18" s="213">
        <f t="shared" si="161"/>
        <v>3283810.5496485545</v>
      </c>
      <c r="NZ18" s="213">
        <f t="shared" si="161"/>
        <v>3283810.5496485545</v>
      </c>
      <c r="OA18" s="213">
        <f t="shared" si="161"/>
        <v>3283810.5496485545</v>
      </c>
      <c r="OB18" s="213">
        <f t="shared" si="161"/>
        <v>3283810.5496485545</v>
      </c>
      <c r="OC18" s="213">
        <f t="shared" ref="OC18:QN18" si="162">OB18+OC17</f>
        <v>3283810.5496485545</v>
      </c>
      <c r="OD18" s="213">
        <f t="shared" si="162"/>
        <v>3283810.5496485545</v>
      </c>
      <c r="OE18" s="213">
        <f t="shared" si="162"/>
        <v>3283810.5496485545</v>
      </c>
      <c r="OF18" s="213">
        <f t="shared" si="162"/>
        <v>3283810.5496485545</v>
      </c>
      <c r="OG18" s="213">
        <f t="shared" si="162"/>
        <v>3283810.5496485545</v>
      </c>
      <c r="OH18" s="213">
        <f t="shared" si="162"/>
        <v>3283810.5496485545</v>
      </c>
      <c r="OI18" s="213">
        <f t="shared" si="162"/>
        <v>3283810.5496485545</v>
      </c>
      <c r="OJ18" s="213">
        <f t="shared" si="162"/>
        <v>3283810.5496485545</v>
      </c>
      <c r="OK18" s="213">
        <f t="shared" si="162"/>
        <v>3283810.5496485545</v>
      </c>
      <c r="OL18" s="213">
        <f t="shared" si="162"/>
        <v>3283810.5496485545</v>
      </c>
      <c r="OM18" s="213">
        <f t="shared" si="162"/>
        <v>3283810.5496485545</v>
      </c>
      <c r="ON18" s="213">
        <f t="shared" si="162"/>
        <v>3283810.5496485545</v>
      </c>
      <c r="OO18" s="213">
        <f t="shared" si="162"/>
        <v>3283810.5496485545</v>
      </c>
      <c r="OP18" s="213">
        <f t="shared" si="162"/>
        <v>3283810.5496485545</v>
      </c>
      <c r="OQ18" s="213">
        <f t="shared" si="162"/>
        <v>3283810.5496485545</v>
      </c>
      <c r="OR18" s="213">
        <f t="shared" si="162"/>
        <v>3283810.5496485545</v>
      </c>
      <c r="OS18" s="213">
        <f t="shared" si="162"/>
        <v>3283810.5496485545</v>
      </c>
      <c r="OT18" s="213">
        <f t="shared" si="162"/>
        <v>3283810.5496485545</v>
      </c>
      <c r="OU18" s="213">
        <f t="shared" si="162"/>
        <v>3283810.5496485545</v>
      </c>
      <c r="OV18" s="213">
        <f t="shared" si="162"/>
        <v>3283810.5496485545</v>
      </c>
      <c r="OW18" s="213">
        <f t="shared" si="162"/>
        <v>3283810.5496485545</v>
      </c>
      <c r="OX18" s="213">
        <f t="shared" si="162"/>
        <v>3283810.5496485545</v>
      </c>
      <c r="OY18" s="213">
        <f t="shared" si="162"/>
        <v>3283810.5496485545</v>
      </c>
      <c r="OZ18" s="213">
        <f t="shared" si="162"/>
        <v>3283810.5496485545</v>
      </c>
      <c r="PA18" s="213">
        <f t="shared" si="162"/>
        <v>3283810.5496485545</v>
      </c>
      <c r="PB18" s="213">
        <f t="shared" si="162"/>
        <v>3283810.5496485545</v>
      </c>
      <c r="PC18" s="213">
        <f t="shared" si="162"/>
        <v>3283810.5496485545</v>
      </c>
      <c r="PD18" s="213">
        <f t="shared" si="162"/>
        <v>3283810.5496485545</v>
      </c>
      <c r="PE18" s="213">
        <f t="shared" si="162"/>
        <v>3283810.5496485545</v>
      </c>
      <c r="PF18" s="213">
        <f t="shared" si="162"/>
        <v>3283810.5496485545</v>
      </c>
      <c r="PG18" s="213">
        <f t="shared" si="162"/>
        <v>3283810.5496485545</v>
      </c>
      <c r="PH18" s="213">
        <f t="shared" si="162"/>
        <v>3283810.5496485545</v>
      </c>
      <c r="PI18" s="213">
        <f t="shared" si="162"/>
        <v>3283810.5496485545</v>
      </c>
      <c r="PJ18" s="213">
        <f t="shared" si="162"/>
        <v>3283810.5496485545</v>
      </c>
      <c r="PK18" s="213">
        <f t="shared" si="162"/>
        <v>3283810.5496485545</v>
      </c>
      <c r="PL18" s="213">
        <f t="shared" si="162"/>
        <v>3283810.5496485545</v>
      </c>
      <c r="PM18" s="213">
        <f t="shared" si="162"/>
        <v>3283810.5496485545</v>
      </c>
      <c r="PN18" s="213">
        <f t="shared" si="162"/>
        <v>3283810.5496485545</v>
      </c>
      <c r="PO18" s="213">
        <f t="shared" si="162"/>
        <v>3283810.5496485545</v>
      </c>
      <c r="PP18" s="213">
        <f t="shared" si="162"/>
        <v>3283810.5496485545</v>
      </c>
      <c r="PQ18" s="213">
        <f t="shared" si="162"/>
        <v>3283810.5496485545</v>
      </c>
      <c r="PR18" s="213">
        <f t="shared" si="162"/>
        <v>3283810.5496485545</v>
      </c>
      <c r="PS18" s="213">
        <f t="shared" si="162"/>
        <v>3283810.5496485545</v>
      </c>
      <c r="PT18" s="213">
        <f t="shared" si="162"/>
        <v>3283810.5496485545</v>
      </c>
      <c r="PU18" s="213">
        <f t="shared" si="162"/>
        <v>3283810.5496485545</v>
      </c>
      <c r="PV18" s="213">
        <f t="shared" si="162"/>
        <v>3283810.5496485545</v>
      </c>
      <c r="PW18" s="213">
        <f t="shared" si="162"/>
        <v>3283810.5496485545</v>
      </c>
      <c r="PX18" s="213">
        <f t="shared" si="162"/>
        <v>3283810.5496485545</v>
      </c>
      <c r="PY18" s="213">
        <f t="shared" si="162"/>
        <v>3283810.5496485545</v>
      </c>
      <c r="PZ18" s="213">
        <f t="shared" si="162"/>
        <v>3283810.5496485545</v>
      </c>
      <c r="QA18" s="213">
        <f t="shared" si="162"/>
        <v>3283810.5496485545</v>
      </c>
      <c r="QB18" s="213">
        <f t="shared" si="162"/>
        <v>3283810.5496485545</v>
      </c>
      <c r="QC18" s="213">
        <f t="shared" si="162"/>
        <v>3283810.5496485545</v>
      </c>
      <c r="QD18" s="213">
        <f t="shared" si="162"/>
        <v>3283810.5496485545</v>
      </c>
      <c r="QE18" s="213">
        <f t="shared" si="162"/>
        <v>3283810.5496485545</v>
      </c>
      <c r="QF18" s="213">
        <f t="shared" si="162"/>
        <v>3283810.5496485545</v>
      </c>
      <c r="QG18" s="213">
        <f t="shared" si="162"/>
        <v>3283810.5496485545</v>
      </c>
      <c r="QH18" s="213">
        <f t="shared" si="162"/>
        <v>3283810.5496485545</v>
      </c>
      <c r="QI18" s="213">
        <f t="shared" si="162"/>
        <v>3283810.5496485545</v>
      </c>
      <c r="QJ18" s="213">
        <f t="shared" si="162"/>
        <v>3283810.5496485545</v>
      </c>
      <c r="QK18" s="213">
        <f t="shared" si="162"/>
        <v>3283810.5496485545</v>
      </c>
      <c r="QL18" s="213">
        <f t="shared" si="162"/>
        <v>3283810.5496485545</v>
      </c>
      <c r="QM18" s="213">
        <f t="shared" si="162"/>
        <v>3283810.5496485545</v>
      </c>
      <c r="QN18" s="213">
        <f t="shared" si="162"/>
        <v>3283810.5496485545</v>
      </c>
      <c r="QO18" s="213">
        <f t="shared" ref="QO18:SZ18" si="163">QN18+QO17</f>
        <v>3283810.5496485545</v>
      </c>
      <c r="QP18" s="213">
        <f t="shared" si="163"/>
        <v>3283810.5496485545</v>
      </c>
      <c r="QQ18" s="213">
        <f t="shared" si="163"/>
        <v>3283810.5496485545</v>
      </c>
      <c r="QR18" s="213">
        <f t="shared" si="163"/>
        <v>3283810.5496485545</v>
      </c>
      <c r="QS18" s="213">
        <f t="shared" si="163"/>
        <v>3283810.5496485545</v>
      </c>
      <c r="QT18" s="213">
        <f t="shared" si="163"/>
        <v>3283810.5496485545</v>
      </c>
      <c r="QU18" s="213">
        <f t="shared" si="163"/>
        <v>3283810.5496485545</v>
      </c>
      <c r="QV18" s="213">
        <f t="shared" si="163"/>
        <v>3283810.5496485545</v>
      </c>
      <c r="QW18" s="213">
        <f t="shared" si="163"/>
        <v>3283810.5496485545</v>
      </c>
      <c r="QX18" s="213">
        <f t="shared" si="163"/>
        <v>3283810.5496485545</v>
      </c>
      <c r="QY18" s="213">
        <f t="shared" si="163"/>
        <v>3283810.5496485545</v>
      </c>
      <c r="QZ18" s="213">
        <f t="shared" si="163"/>
        <v>3283810.5496485545</v>
      </c>
      <c r="RA18" s="213">
        <f t="shared" si="163"/>
        <v>3283810.5496485545</v>
      </c>
      <c r="RB18" s="213">
        <f t="shared" si="163"/>
        <v>3283810.5496485545</v>
      </c>
      <c r="RC18" s="213">
        <f t="shared" si="163"/>
        <v>3283810.5496485545</v>
      </c>
      <c r="RD18" s="213">
        <f t="shared" si="163"/>
        <v>3283810.5496485545</v>
      </c>
      <c r="RE18" s="213">
        <f t="shared" si="163"/>
        <v>3283810.5496485545</v>
      </c>
      <c r="RF18" s="213">
        <f t="shared" si="163"/>
        <v>3283810.5496485545</v>
      </c>
      <c r="RG18" s="213">
        <f t="shared" si="163"/>
        <v>3283810.5496485545</v>
      </c>
      <c r="RH18" s="213">
        <f t="shared" si="163"/>
        <v>3283810.5496485545</v>
      </c>
      <c r="RI18" s="213">
        <f t="shared" si="163"/>
        <v>3283810.5496485545</v>
      </c>
      <c r="RJ18" s="213">
        <f t="shared" si="163"/>
        <v>3283810.5496485545</v>
      </c>
      <c r="RK18" s="213">
        <f t="shared" si="163"/>
        <v>3283810.5496485545</v>
      </c>
      <c r="RL18" s="213">
        <f t="shared" si="163"/>
        <v>3283810.5496485545</v>
      </c>
      <c r="RM18" s="213">
        <f t="shared" si="163"/>
        <v>3283810.5496485545</v>
      </c>
      <c r="RN18" s="213">
        <f t="shared" si="163"/>
        <v>3283810.5496485545</v>
      </c>
      <c r="RO18" s="213">
        <f t="shared" si="163"/>
        <v>3283810.5496485545</v>
      </c>
      <c r="RP18" s="213">
        <f t="shared" si="163"/>
        <v>3283810.5496485545</v>
      </c>
      <c r="RQ18" s="213">
        <f t="shared" si="163"/>
        <v>3283810.5496485545</v>
      </c>
      <c r="RR18" s="213">
        <f t="shared" si="163"/>
        <v>3283810.5496485545</v>
      </c>
      <c r="RS18" s="213">
        <f t="shared" si="163"/>
        <v>3283810.5496485545</v>
      </c>
      <c r="RT18" s="213">
        <f t="shared" si="163"/>
        <v>3283810.5496485545</v>
      </c>
      <c r="RU18" s="213">
        <f t="shared" si="163"/>
        <v>3283810.5496485545</v>
      </c>
      <c r="RV18" s="213">
        <f t="shared" si="163"/>
        <v>3283810.5496485545</v>
      </c>
      <c r="RW18" s="213">
        <f t="shared" si="163"/>
        <v>3283810.5496485545</v>
      </c>
      <c r="RX18" s="213">
        <f t="shared" si="163"/>
        <v>3283810.5496485545</v>
      </c>
      <c r="RY18" s="213">
        <f t="shared" si="163"/>
        <v>3283810.5496485545</v>
      </c>
      <c r="RZ18" s="213">
        <f t="shared" si="163"/>
        <v>3283810.5496485545</v>
      </c>
      <c r="SA18" s="213">
        <f t="shared" si="163"/>
        <v>3283810.5496485545</v>
      </c>
      <c r="SB18" s="213">
        <f t="shared" si="163"/>
        <v>3283810.5496485545</v>
      </c>
      <c r="SC18" s="213">
        <f t="shared" si="163"/>
        <v>3283810.5496485545</v>
      </c>
      <c r="SD18" s="213">
        <f t="shared" si="163"/>
        <v>3283810.5496485545</v>
      </c>
      <c r="SE18" s="213">
        <f t="shared" si="163"/>
        <v>3283810.5496485545</v>
      </c>
      <c r="SF18" s="213">
        <f t="shared" si="163"/>
        <v>3283810.5496485545</v>
      </c>
      <c r="SG18" s="213">
        <f t="shared" si="163"/>
        <v>3283810.5496485545</v>
      </c>
      <c r="SH18" s="213">
        <f t="shared" si="163"/>
        <v>3283810.5496485545</v>
      </c>
      <c r="SI18" s="213">
        <f t="shared" si="163"/>
        <v>3283810.5496485545</v>
      </c>
      <c r="SJ18" s="213">
        <f t="shared" si="163"/>
        <v>3283810.5496485545</v>
      </c>
      <c r="SK18" s="213">
        <f t="shared" si="163"/>
        <v>3283810.5496485545</v>
      </c>
      <c r="SL18" s="213">
        <f t="shared" si="163"/>
        <v>3283810.5496485545</v>
      </c>
      <c r="SM18" s="213">
        <f t="shared" si="163"/>
        <v>3283810.5496485545</v>
      </c>
      <c r="SN18" s="213">
        <f t="shared" si="163"/>
        <v>3283810.5496485545</v>
      </c>
      <c r="SO18" s="213">
        <f t="shared" si="163"/>
        <v>3283810.5496485545</v>
      </c>
      <c r="SP18" s="213">
        <f t="shared" si="163"/>
        <v>3283810.5496485545</v>
      </c>
      <c r="SQ18" s="213">
        <f t="shared" si="163"/>
        <v>3283810.5496485545</v>
      </c>
      <c r="SR18" s="213">
        <f t="shared" si="163"/>
        <v>3283810.5496485545</v>
      </c>
      <c r="SS18" s="213">
        <f t="shared" si="163"/>
        <v>3283810.5496485545</v>
      </c>
      <c r="ST18" s="213">
        <f t="shared" si="163"/>
        <v>3283810.5496485545</v>
      </c>
      <c r="SU18" s="213">
        <f t="shared" si="163"/>
        <v>3283810.5496485545</v>
      </c>
      <c r="SV18" s="213">
        <f t="shared" si="163"/>
        <v>3283810.5496485545</v>
      </c>
      <c r="SW18" s="213">
        <f t="shared" si="163"/>
        <v>3283810.5496485545</v>
      </c>
      <c r="SX18" s="213">
        <f t="shared" si="163"/>
        <v>3283810.5496485545</v>
      </c>
      <c r="SY18" s="213">
        <f t="shared" si="163"/>
        <v>3283810.5496485545</v>
      </c>
      <c r="SZ18" s="213">
        <f t="shared" si="163"/>
        <v>3283810.5496485545</v>
      </c>
      <c r="TA18" s="213">
        <f t="shared" ref="TA18:VL18" si="164">SZ18+TA17</f>
        <v>3283810.5496485545</v>
      </c>
      <c r="TB18" s="213">
        <f t="shared" si="164"/>
        <v>3283810.5496485545</v>
      </c>
      <c r="TC18" s="213">
        <f t="shared" si="164"/>
        <v>3283810.5496485545</v>
      </c>
      <c r="TD18" s="213">
        <f t="shared" si="164"/>
        <v>3283810.5496485545</v>
      </c>
      <c r="TE18" s="213">
        <f t="shared" si="164"/>
        <v>3283810.5496485545</v>
      </c>
      <c r="TF18" s="213">
        <f t="shared" si="164"/>
        <v>3283810.5496485545</v>
      </c>
      <c r="TG18" s="213">
        <f t="shared" si="164"/>
        <v>3283810.5496485545</v>
      </c>
      <c r="TH18" s="213">
        <f t="shared" si="164"/>
        <v>3283810.5496485545</v>
      </c>
      <c r="TI18" s="213">
        <f t="shared" si="164"/>
        <v>3283810.5496485545</v>
      </c>
      <c r="TJ18" s="213">
        <f t="shared" si="164"/>
        <v>3283810.5496485545</v>
      </c>
      <c r="TK18" s="213">
        <f t="shared" si="164"/>
        <v>3283810.5496485545</v>
      </c>
      <c r="TL18" s="213">
        <f t="shared" si="164"/>
        <v>3283810.5496485545</v>
      </c>
      <c r="TM18" s="213">
        <f t="shared" si="164"/>
        <v>3283810.5496485545</v>
      </c>
      <c r="TN18" s="213">
        <f t="shared" si="164"/>
        <v>3283810.5496485545</v>
      </c>
      <c r="TO18" s="213">
        <f t="shared" si="164"/>
        <v>3283810.5496485545</v>
      </c>
      <c r="TP18" s="213">
        <f t="shared" si="164"/>
        <v>3283810.5496485545</v>
      </c>
      <c r="TQ18" s="213">
        <f t="shared" si="164"/>
        <v>3283810.5496485545</v>
      </c>
      <c r="TR18" s="213">
        <f t="shared" si="164"/>
        <v>3283810.5496485545</v>
      </c>
      <c r="TS18" s="213">
        <f t="shared" si="164"/>
        <v>3283810.5496485545</v>
      </c>
      <c r="TT18" s="213">
        <f t="shared" si="164"/>
        <v>3283810.5496485545</v>
      </c>
      <c r="TU18" s="213">
        <f t="shared" si="164"/>
        <v>3283810.5496485545</v>
      </c>
      <c r="TV18" s="213">
        <f t="shared" si="164"/>
        <v>3283810.5496485545</v>
      </c>
      <c r="TW18" s="213">
        <f t="shared" si="164"/>
        <v>3283810.5496485545</v>
      </c>
      <c r="TX18" s="213">
        <f t="shared" si="164"/>
        <v>3283810.5496485545</v>
      </c>
      <c r="TY18" s="213">
        <f t="shared" si="164"/>
        <v>3283810.5496485545</v>
      </c>
      <c r="TZ18" s="213">
        <f t="shared" si="164"/>
        <v>3283810.5496485545</v>
      </c>
      <c r="UA18" s="213">
        <f t="shared" si="164"/>
        <v>3283810.5496485545</v>
      </c>
      <c r="UB18" s="213">
        <f t="shared" si="164"/>
        <v>3283810.5496485545</v>
      </c>
      <c r="UC18" s="213">
        <f t="shared" si="164"/>
        <v>3283810.5496485545</v>
      </c>
      <c r="UD18" s="213">
        <f t="shared" si="164"/>
        <v>3283810.5496485545</v>
      </c>
      <c r="UE18" s="213">
        <f t="shared" si="164"/>
        <v>3283810.5496485545</v>
      </c>
      <c r="UF18" s="213">
        <f t="shared" si="164"/>
        <v>3283810.5496485545</v>
      </c>
      <c r="UG18" s="213">
        <f t="shared" si="164"/>
        <v>3283810.5496485545</v>
      </c>
      <c r="UH18" s="213">
        <f t="shared" si="164"/>
        <v>3283810.5496485545</v>
      </c>
      <c r="UI18" s="213">
        <f t="shared" si="164"/>
        <v>3283810.5496485545</v>
      </c>
      <c r="UJ18" s="213">
        <f t="shared" si="164"/>
        <v>3283810.5496485545</v>
      </c>
      <c r="UK18" s="213">
        <f t="shared" si="164"/>
        <v>3283810.5496485545</v>
      </c>
      <c r="UL18" s="213">
        <f t="shared" si="164"/>
        <v>3283810.5496485545</v>
      </c>
      <c r="UM18" s="213">
        <f t="shared" si="164"/>
        <v>3283810.5496485545</v>
      </c>
      <c r="UN18" s="213">
        <f t="shared" si="164"/>
        <v>3283810.5496485545</v>
      </c>
      <c r="UO18" s="213">
        <f t="shared" si="164"/>
        <v>3283810.5496485545</v>
      </c>
      <c r="UP18" s="213">
        <f t="shared" si="164"/>
        <v>3283810.5496485545</v>
      </c>
      <c r="UQ18" s="213">
        <f t="shared" si="164"/>
        <v>3283810.5496485545</v>
      </c>
      <c r="UR18" s="213">
        <f t="shared" si="164"/>
        <v>3283810.5496485545</v>
      </c>
      <c r="US18" s="213">
        <f t="shared" si="164"/>
        <v>3283810.5496485545</v>
      </c>
      <c r="UT18" s="213">
        <f t="shared" si="164"/>
        <v>3283810.5496485545</v>
      </c>
      <c r="UU18" s="213">
        <f t="shared" si="164"/>
        <v>3283810.5496485545</v>
      </c>
      <c r="UV18" s="213">
        <f t="shared" si="164"/>
        <v>3283810.5496485545</v>
      </c>
      <c r="UW18" s="213">
        <f t="shared" si="164"/>
        <v>3283810.5496485545</v>
      </c>
      <c r="UX18" s="213">
        <f t="shared" si="164"/>
        <v>3283810.5496485545</v>
      </c>
      <c r="UY18" s="213">
        <f t="shared" si="164"/>
        <v>3283810.5496485545</v>
      </c>
      <c r="UZ18" s="213">
        <f t="shared" si="164"/>
        <v>3283810.5496485545</v>
      </c>
      <c r="VA18" s="213">
        <f t="shared" si="164"/>
        <v>3283810.5496485545</v>
      </c>
      <c r="VB18" s="213">
        <f t="shared" si="164"/>
        <v>3283810.5496485545</v>
      </c>
      <c r="VC18" s="213">
        <f t="shared" si="164"/>
        <v>3283810.5496485545</v>
      </c>
      <c r="VD18" s="213">
        <f t="shared" si="164"/>
        <v>3283810.5496485545</v>
      </c>
      <c r="VE18" s="213">
        <f t="shared" si="164"/>
        <v>3283810.5496485545</v>
      </c>
      <c r="VF18" s="213">
        <f t="shared" si="164"/>
        <v>3283810.5496485545</v>
      </c>
      <c r="VG18" s="213">
        <f t="shared" si="164"/>
        <v>3283810.5496485545</v>
      </c>
      <c r="VH18" s="213">
        <f t="shared" si="164"/>
        <v>3283810.5496485545</v>
      </c>
      <c r="VI18" s="213">
        <f t="shared" si="164"/>
        <v>3283810.5496485545</v>
      </c>
      <c r="VJ18" s="213">
        <f t="shared" si="164"/>
        <v>3283810.5496485545</v>
      </c>
      <c r="VK18" s="213">
        <f t="shared" si="164"/>
        <v>3283810.5496485545</v>
      </c>
      <c r="VL18" s="213">
        <f t="shared" si="164"/>
        <v>3283810.5496485545</v>
      </c>
      <c r="VM18" s="213">
        <f t="shared" ref="VM18:XX18" si="165">VL18+VM17</f>
        <v>3283810.5496485545</v>
      </c>
      <c r="VN18" s="213">
        <f t="shared" si="165"/>
        <v>3283810.5496485545</v>
      </c>
      <c r="VO18" s="213">
        <f t="shared" si="165"/>
        <v>3283810.5496485545</v>
      </c>
      <c r="VP18" s="213">
        <f t="shared" si="165"/>
        <v>3283810.5496485545</v>
      </c>
      <c r="VQ18" s="213">
        <f t="shared" si="165"/>
        <v>3283810.5496485545</v>
      </c>
      <c r="VR18" s="213">
        <f t="shared" si="165"/>
        <v>3283810.5496485545</v>
      </c>
      <c r="VS18" s="213">
        <f t="shared" si="165"/>
        <v>3283810.5496485545</v>
      </c>
      <c r="VT18" s="213">
        <f t="shared" si="165"/>
        <v>3283810.5496485545</v>
      </c>
      <c r="VU18" s="213">
        <f t="shared" si="165"/>
        <v>3283810.5496485545</v>
      </c>
      <c r="VV18" s="213">
        <f t="shared" si="165"/>
        <v>3283810.5496485545</v>
      </c>
      <c r="VW18" s="213">
        <f t="shared" si="165"/>
        <v>3283810.5496485545</v>
      </c>
      <c r="VX18" s="213">
        <f t="shared" si="165"/>
        <v>3283810.5496485545</v>
      </c>
      <c r="VY18" s="213">
        <f t="shared" si="165"/>
        <v>3283810.5496485545</v>
      </c>
      <c r="VZ18" s="213">
        <f t="shared" si="165"/>
        <v>3283810.5496485545</v>
      </c>
      <c r="WA18" s="213">
        <f t="shared" si="165"/>
        <v>3283810.5496485545</v>
      </c>
      <c r="WB18" s="213">
        <f t="shared" si="165"/>
        <v>3283810.5496485545</v>
      </c>
      <c r="WC18" s="213">
        <f t="shared" si="165"/>
        <v>3283810.5496485545</v>
      </c>
      <c r="WD18" s="213">
        <f t="shared" si="165"/>
        <v>3283810.5496485545</v>
      </c>
      <c r="WE18" s="213">
        <f t="shared" si="165"/>
        <v>3283810.5496485545</v>
      </c>
      <c r="WF18" s="213">
        <f t="shared" si="165"/>
        <v>3283810.5496485545</v>
      </c>
      <c r="WG18" s="213">
        <f t="shared" si="165"/>
        <v>3283810.5496485545</v>
      </c>
      <c r="WH18" s="213">
        <f t="shared" si="165"/>
        <v>3283810.5496485545</v>
      </c>
      <c r="WI18" s="213">
        <f t="shared" si="165"/>
        <v>3283810.5496485545</v>
      </c>
      <c r="WJ18" s="213">
        <f t="shared" si="165"/>
        <v>3283810.5496485545</v>
      </c>
      <c r="WK18" s="213">
        <f t="shared" si="165"/>
        <v>3283810.5496485545</v>
      </c>
      <c r="WL18" s="213">
        <f t="shared" si="165"/>
        <v>3283810.5496485545</v>
      </c>
      <c r="WM18" s="213">
        <f t="shared" si="165"/>
        <v>3283810.5496485545</v>
      </c>
      <c r="WN18" s="213">
        <f t="shared" si="165"/>
        <v>3283810.5496485545</v>
      </c>
      <c r="WO18" s="213">
        <f t="shared" si="165"/>
        <v>3283810.5496485545</v>
      </c>
      <c r="WP18" s="213">
        <f t="shared" si="165"/>
        <v>3283810.5496485545</v>
      </c>
      <c r="WQ18" s="213">
        <f t="shared" si="165"/>
        <v>3283810.5496485545</v>
      </c>
      <c r="WR18" s="213">
        <f t="shared" si="165"/>
        <v>3283810.5496485545</v>
      </c>
      <c r="WS18" s="213">
        <f t="shared" si="165"/>
        <v>3283810.5496485545</v>
      </c>
      <c r="WT18" s="213">
        <f t="shared" si="165"/>
        <v>3283810.5496485545</v>
      </c>
      <c r="WU18" s="213">
        <f t="shared" si="165"/>
        <v>3283810.5496485545</v>
      </c>
      <c r="WV18" s="213">
        <f t="shared" si="165"/>
        <v>3283810.5496485545</v>
      </c>
      <c r="WW18" s="213">
        <f t="shared" si="165"/>
        <v>3283810.5496485545</v>
      </c>
      <c r="WX18" s="213">
        <f t="shared" si="165"/>
        <v>3283810.5496485545</v>
      </c>
      <c r="WY18" s="213">
        <f t="shared" si="165"/>
        <v>3283810.5496485545</v>
      </c>
      <c r="WZ18" s="213">
        <f t="shared" si="165"/>
        <v>3283810.5496485545</v>
      </c>
      <c r="XA18" s="213">
        <f t="shared" si="165"/>
        <v>3283810.5496485545</v>
      </c>
      <c r="XB18" s="213">
        <f t="shared" si="165"/>
        <v>3283810.5496485545</v>
      </c>
      <c r="XC18" s="213">
        <f t="shared" si="165"/>
        <v>3283810.5496485545</v>
      </c>
      <c r="XD18" s="213">
        <f t="shared" si="165"/>
        <v>3283810.5496485545</v>
      </c>
      <c r="XE18" s="213">
        <f t="shared" si="165"/>
        <v>3283810.5496485545</v>
      </c>
      <c r="XF18" s="213">
        <f t="shared" si="165"/>
        <v>3283810.5496485545</v>
      </c>
      <c r="XG18" s="213">
        <f t="shared" si="165"/>
        <v>3283810.5496485545</v>
      </c>
      <c r="XH18" s="213">
        <f t="shared" si="165"/>
        <v>3283810.5496485545</v>
      </c>
      <c r="XI18" s="213">
        <f t="shared" si="165"/>
        <v>3283810.5496485545</v>
      </c>
      <c r="XJ18" s="213">
        <f t="shared" si="165"/>
        <v>3283810.5496485545</v>
      </c>
      <c r="XK18" s="213">
        <f t="shared" si="165"/>
        <v>3283810.5496485545</v>
      </c>
      <c r="XL18" s="213">
        <f t="shared" si="165"/>
        <v>3283810.5496485545</v>
      </c>
      <c r="XM18" s="213">
        <f t="shared" si="165"/>
        <v>3283810.5496485545</v>
      </c>
      <c r="XN18" s="213">
        <f t="shared" si="165"/>
        <v>3283810.5496485545</v>
      </c>
      <c r="XO18" s="213">
        <f t="shared" si="165"/>
        <v>3283810.5496485545</v>
      </c>
      <c r="XP18" s="213">
        <f t="shared" si="165"/>
        <v>3283810.5496485545</v>
      </c>
      <c r="XQ18" s="213">
        <f t="shared" si="165"/>
        <v>3283810.5496485545</v>
      </c>
      <c r="XR18" s="213">
        <f t="shared" si="165"/>
        <v>3283810.5496485545</v>
      </c>
      <c r="XS18" s="213">
        <f t="shared" si="165"/>
        <v>3283810.5496485545</v>
      </c>
      <c r="XT18" s="213">
        <f t="shared" si="165"/>
        <v>3283810.5496485545</v>
      </c>
      <c r="XU18" s="213">
        <f t="shared" si="165"/>
        <v>3283810.5496485545</v>
      </c>
      <c r="XV18" s="213">
        <f t="shared" si="165"/>
        <v>3283810.5496485545</v>
      </c>
      <c r="XW18" s="213">
        <f t="shared" si="165"/>
        <v>3283810.5496485545</v>
      </c>
      <c r="XX18" s="213">
        <f t="shared" si="165"/>
        <v>3283810.5496485545</v>
      </c>
      <c r="XY18" s="213">
        <f t="shared" ref="XY18:AAJ18" si="166">XX18+XY17</f>
        <v>3283810.5496485545</v>
      </c>
      <c r="XZ18" s="213">
        <f t="shared" si="166"/>
        <v>3283810.5496485545</v>
      </c>
      <c r="YA18" s="213">
        <f t="shared" si="166"/>
        <v>3283810.5496485545</v>
      </c>
      <c r="YB18" s="213">
        <f t="shared" si="166"/>
        <v>3283810.5496485545</v>
      </c>
      <c r="YC18" s="213">
        <f t="shared" si="166"/>
        <v>3283810.5496485545</v>
      </c>
      <c r="YD18" s="213">
        <f t="shared" si="166"/>
        <v>3283810.5496485545</v>
      </c>
      <c r="YE18" s="213">
        <f t="shared" si="166"/>
        <v>3283810.5496485545</v>
      </c>
      <c r="YF18" s="213">
        <f t="shared" si="166"/>
        <v>3283810.5496485545</v>
      </c>
      <c r="YG18" s="213">
        <f t="shared" si="166"/>
        <v>3283810.5496485545</v>
      </c>
      <c r="YH18" s="213">
        <f t="shared" si="166"/>
        <v>3283810.5496485545</v>
      </c>
      <c r="YI18" s="213">
        <f t="shared" si="166"/>
        <v>3283810.5496485545</v>
      </c>
      <c r="YJ18" s="213">
        <f t="shared" si="166"/>
        <v>3283810.5496485545</v>
      </c>
      <c r="YK18" s="213">
        <f t="shared" si="166"/>
        <v>3283810.5496485545</v>
      </c>
      <c r="YL18" s="213">
        <f t="shared" si="166"/>
        <v>3283810.5496485545</v>
      </c>
      <c r="YM18" s="213">
        <f t="shared" si="166"/>
        <v>3283810.5496485545</v>
      </c>
      <c r="YN18" s="213">
        <f t="shared" si="166"/>
        <v>3283810.5496485545</v>
      </c>
      <c r="YO18" s="213">
        <f t="shared" si="166"/>
        <v>3283810.5496485545</v>
      </c>
      <c r="YP18" s="213">
        <f t="shared" si="166"/>
        <v>3283810.5496485545</v>
      </c>
      <c r="YQ18" s="213">
        <f t="shared" si="166"/>
        <v>3283810.5496485545</v>
      </c>
      <c r="YR18" s="213">
        <f t="shared" si="166"/>
        <v>3283810.5496485545</v>
      </c>
      <c r="YS18" s="213">
        <f t="shared" si="166"/>
        <v>3283810.5496485545</v>
      </c>
      <c r="YT18" s="213">
        <f t="shared" si="166"/>
        <v>3283810.5496485545</v>
      </c>
      <c r="YU18" s="213">
        <f t="shared" si="166"/>
        <v>3283810.5496485545</v>
      </c>
      <c r="YV18" s="213">
        <f t="shared" si="166"/>
        <v>3283810.5496485545</v>
      </c>
      <c r="YW18" s="213">
        <f t="shared" si="166"/>
        <v>3283810.5496485545</v>
      </c>
      <c r="YX18" s="213">
        <f t="shared" si="166"/>
        <v>3283810.5496485545</v>
      </c>
      <c r="YY18" s="213">
        <f t="shared" si="166"/>
        <v>3283810.5496485545</v>
      </c>
      <c r="YZ18" s="213">
        <f t="shared" si="166"/>
        <v>3283810.5496485545</v>
      </c>
      <c r="ZA18" s="213">
        <f t="shared" si="166"/>
        <v>3283810.5496485545</v>
      </c>
      <c r="ZB18" s="213">
        <f t="shared" si="166"/>
        <v>3283810.5496485545</v>
      </c>
      <c r="ZC18" s="213">
        <f t="shared" si="166"/>
        <v>3283810.5496485545</v>
      </c>
      <c r="ZD18" s="213">
        <f t="shared" si="166"/>
        <v>3283810.5496485545</v>
      </c>
      <c r="ZE18" s="213">
        <f t="shared" si="166"/>
        <v>3283810.5496485545</v>
      </c>
      <c r="ZF18" s="213">
        <f t="shared" si="166"/>
        <v>3283810.5496485545</v>
      </c>
      <c r="ZG18" s="213">
        <f t="shared" si="166"/>
        <v>3283810.5496485545</v>
      </c>
      <c r="ZH18" s="213">
        <f t="shared" si="166"/>
        <v>3283810.5496485545</v>
      </c>
      <c r="ZI18" s="213">
        <f t="shared" si="166"/>
        <v>3283810.5496485545</v>
      </c>
      <c r="ZJ18" s="213">
        <f t="shared" si="166"/>
        <v>3283810.5496485545</v>
      </c>
      <c r="ZK18" s="213">
        <f t="shared" si="166"/>
        <v>3283810.5496485545</v>
      </c>
      <c r="ZL18" s="213">
        <f t="shared" si="166"/>
        <v>3283810.5496485545</v>
      </c>
      <c r="ZM18" s="213">
        <f t="shared" si="166"/>
        <v>3283810.5496485545</v>
      </c>
      <c r="ZN18" s="213">
        <f t="shared" si="166"/>
        <v>3283810.5496485545</v>
      </c>
      <c r="ZO18" s="213">
        <f t="shared" si="166"/>
        <v>3283810.5496485545</v>
      </c>
      <c r="ZP18" s="213">
        <f t="shared" si="166"/>
        <v>3283810.5496485545</v>
      </c>
      <c r="ZQ18" s="213">
        <f t="shared" si="166"/>
        <v>3283810.5496485545</v>
      </c>
      <c r="ZR18" s="213">
        <f t="shared" si="166"/>
        <v>3283810.5496485545</v>
      </c>
      <c r="ZS18" s="213">
        <f t="shared" si="166"/>
        <v>3283810.5496485545</v>
      </c>
      <c r="ZT18" s="213">
        <f t="shared" si="166"/>
        <v>3283810.5496485545</v>
      </c>
      <c r="ZU18" s="213">
        <f t="shared" si="166"/>
        <v>3283810.5496485545</v>
      </c>
      <c r="ZV18" s="213">
        <f t="shared" si="166"/>
        <v>3283810.5496485545</v>
      </c>
      <c r="ZW18" s="213">
        <f t="shared" si="166"/>
        <v>3283810.5496485545</v>
      </c>
      <c r="ZX18" s="213">
        <f t="shared" si="166"/>
        <v>3283810.5496485545</v>
      </c>
      <c r="ZY18" s="213">
        <f t="shared" si="166"/>
        <v>3283810.5496485545</v>
      </c>
      <c r="ZZ18" s="213">
        <f t="shared" si="166"/>
        <v>3283810.5496485545</v>
      </c>
      <c r="AAA18" s="213">
        <f t="shared" si="166"/>
        <v>3283810.5496485545</v>
      </c>
      <c r="AAB18" s="213">
        <f t="shared" si="166"/>
        <v>3283810.5496485545</v>
      </c>
      <c r="AAC18" s="213">
        <f t="shared" si="166"/>
        <v>3283810.5496485545</v>
      </c>
      <c r="AAD18" s="213">
        <f t="shared" si="166"/>
        <v>3283810.5496485545</v>
      </c>
      <c r="AAE18" s="213">
        <f t="shared" si="166"/>
        <v>3283810.5496485545</v>
      </c>
      <c r="AAF18" s="213">
        <f t="shared" si="166"/>
        <v>3283810.5496485545</v>
      </c>
      <c r="AAG18" s="213">
        <f t="shared" si="166"/>
        <v>3283810.5496485545</v>
      </c>
      <c r="AAH18" s="213">
        <f t="shared" si="166"/>
        <v>3283810.5496485545</v>
      </c>
      <c r="AAI18" s="213">
        <f t="shared" si="166"/>
        <v>3283810.5496485545</v>
      </c>
      <c r="AAJ18" s="213">
        <f t="shared" si="166"/>
        <v>3283810.5496485545</v>
      </c>
      <c r="AAK18" s="213">
        <f t="shared" ref="AAK18:ACV18" si="167">AAJ18+AAK17</f>
        <v>3283810.5496485545</v>
      </c>
      <c r="AAL18" s="213">
        <f t="shared" si="167"/>
        <v>3283810.5496485545</v>
      </c>
      <c r="AAM18" s="213">
        <f t="shared" si="167"/>
        <v>3283810.5496485545</v>
      </c>
      <c r="AAN18" s="213">
        <f t="shared" si="167"/>
        <v>3283810.5496485545</v>
      </c>
      <c r="AAO18" s="213">
        <f t="shared" si="167"/>
        <v>3283810.5496485545</v>
      </c>
      <c r="AAP18" s="213">
        <f t="shared" si="167"/>
        <v>3283810.5496485545</v>
      </c>
      <c r="AAQ18" s="213">
        <f t="shared" si="167"/>
        <v>3283810.5496485545</v>
      </c>
      <c r="AAR18" s="213">
        <f t="shared" si="167"/>
        <v>3283810.5496485545</v>
      </c>
      <c r="AAS18" s="213">
        <f t="shared" si="167"/>
        <v>3283810.5496485545</v>
      </c>
      <c r="AAT18" s="213">
        <f t="shared" si="167"/>
        <v>3283810.5496485545</v>
      </c>
      <c r="AAU18" s="213">
        <f t="shared" si="167"/>
        <v>3283810.5496485545</v>
      </c>
      <c r="AAV18" s="213">
        <f t="shared" si="167"/>
        <v>3283810.5496485545</v>
      </c>
      <c r="AAW18" s="213">
        <f t="shared" si="167"/>
        <v>3283810.5496485545</v>
      </c>
      <c r="AAX18" s="213">
        <f t="shared" si="167"/>
        <v>3283810.5496485545</v>
      </c>
      <c r="AAY18" s="213">
        <f t="shared" si="167"/>
        <v>3283810.5496485545</v>
      </c>
      <c r="AAZ18" s="213">
        <f t="shared" si="167"/>
        <v>3283810.5496485545</v>
      </c>
      <c r="ABA18" s="213">
        <f t="shared" si="167"/>
        <v>3283810.5496485545</v>
      </c>
      <c r="ABB18" s="213">
        <f t="shared" si="167"/>
        <v>3283810.5496485545</v>
      </c>
      <c r="ABC18" s="213">
        <f t="shared" si="167"/>
        <v>3283810.5496485545</v>
      </c>
      <c r="ABD18" s="213">
        <f t="shared" si="167"/>
        <v>3283810.5496485545</v>
      </c>
      <c r="ABE18" s="213">
        <f t="shared" si="167"/>
        <v>3283810.5496485545</v>
      </c>
      <c r="ABF18" s="213">
        <f t="shared" si="167"/>
        <v>3283810.5496485545</v>
      </c>
      <c r="ABG18" s="213">
        <f t="shared" si="167"/>
        <v>3283810.5496485545</v>
      </c>
      <c r="ABH18" s="213">
        <f t="shared" si="167"/>
        <v>3283810.5496485545</v>
      </c>
      <c r="ABI18" s="213">
        <f t="shared" si="167"/>
        <v>3283810.5496485545</v>
      </c>
      <c r="ABJ18" s="213">
        <f t="shared" si="167"/>
        <v>3283810.5496485545</v>
      </c>
      <c r="ABK18" s="213">
        <f t="shared" si="167"/>
        <v>3283810.5496485545</v>
      </c>
      <c r="ABL18" s="213">
        <f t="shared" si="167"/>
        <v>3283810.5496485545</v>
      </c>
      <c r="ABM18" s="213">
        <f t="shared" si="167"/>
        <v>3283810.5496485545</v>
      </c>
      <c r="ABN18" s="213">
        <f t="shared" si="167"/>
        <v>3283810.5496485545</v>
      </c>
      <c r="ABO18" s="213">
        <f t="shared" si="167"/>
        <v>3283810.5496485545</v>
      </c>
      <c r="ABP18" s="213">
        <f t="shared" si="167"/>
        <v>3283810.5496485545</v>
      </c>
      <c r="ABQ18" s="213">
        <f t="shared" si="167"/>
        <v>3283810.5496485545</v>
      </c>
      <c r="ABR18" s="213">
        <f t="shared" si="167"/>
        <v>3283810.5496485545</v>
      </c>
      <c r="ABS18" s="213">
        <f t="shared" si="167"/>
        <v>3283810.5496485545</v>
      </c>
      <c r="ABT18" s="213">
        <f t="shared" si="167"/>
        <v>3283810.5496485545</v>
      </c>
      <c r="ABU18" s="213">
        <f t="shared" si="167"/>
        <v>3283810.5496485545</v>
      </c>
      <c r="ABV18" s="213">
        <f t="shared" si="167"/>
        <v>3283810.5496485545</v>
      </c>
      <c r="ABW18" s="213">
        <f t="shared" si="167"/>
        <v>3283810.5496485545</v>
      </c>
      <c r="ABX18" s="213">
        <f t="shared" si="167"/>
        <v>3283810.5496485545</v>
      </c>
      <c r="ABY18" s="213">
        <f t="shared" si="167"/>
        <v>3283810.5496485545</v>
      </c>
      <c r="ABZ18" s="213">
        <f t="shared" si="167"/>
        <v>3283810.5496485545</v>
      </c>
      <c r="ACA18" s="213">
        <f t="shared" si="167"/>
        <v>3283810.5496485545</v>
      </c>
      <c r="ACB18" s="213">
        <f t="shared" si="167"/>
        <v>3283810.5496485545</v>
      </c>
      <c r="ACC18" s="213">
        <f t="shared" si="167"/>
        <v>3283810.5496485545</v>
      </c>
      <c r="ACD18" s="213">
        <f t="shared" si="167"/>
        <v>3283810.5496485545</v>
      </c>
      <c r="ACE18" s="213">
        <f t="shared" si="167"/>
        <v>3283810.5496485545</v>
      </c>
      <c r="ACF18" s="213">
        <f t="shared" si="167"/>
        <v>3283810.5496485545</v>
      </c>
      <c r="ACG18" s="213">
        <f t="shared" si="167"/>
        <v>3283810.5496485545</v>
      </c>
      <c r="ACH18" s="213">
        <f t="shared" si="167"/>
        <v>3283810.5496485545</v>
      </c>
      <c r="ACI18" s="213">
        <f t="shared" si="167"/>
        <v>3283810.5496485545</v>
      </c>
      <c r="ACJ18" s="213">
        <f t="shared" si="167"/>
        <v>3283810.5496485545</v>
      </c>
      <c r="ACK18" s="213">
        <f t="shared" si="167"/>
        <v>3283810.5496485545</v>
      </c>
      <c r="ACL18" s="213">
        <f t="shared" si="167"/>
        <v>3283810.5496485545</v>
      </c>
      <c r="ACM18" s="213">
        <f t="shared" si="167"/>
        <v>3283810.5496485545</v>
      </c>
      <c r="ACN18" s="213">
        <f t="shared" si="167"/>
        <v>3283810.5496485545</v>
      </c>
      <c r="ACO18" s="213">
        <f t="shared" si="167"/>
        <v>3283810.5496485545</v>
      </c>
      <c r="ACP18" s="213">
        <f t="shared" si="167"/>
        <v>3283810.5496485545</v>
      </c>
      <c r="ACQ18" s="213">
        <f t="shared" si="167"/>
        <v>3283810.5496485545</v>
      </c>
      <c r="ACR18" s="213">
        <f t="shared" si="167"/>
        <v>3283810.5496485545</v>
      </c>
      <c r="ACS18" s="213">
        <f t="shared" si="167"/>
        <v>3283810.5496485545</v>
      </c>
      <c r="ACT18" s="213">
        <f t="shared" si="167"/>
        <v>3283810.5496485545</v>
      </c>
      <c r="ACU18" s="213">
        <f t="shared" si="167"/>
        <v>3283810.5496485545</v>
      </c>
      <c r="ACV18" s="213">
        <f t="shared" si="167"/>
        <v>3283810.5496485545</v>
      </c>
      <c r="ACW18" s="213">
        <f t="shared" ref="ACW18:AFH18" si="168">ACV18+ACW17</f>
        <v>3283810.5496485545</v>
      </c>
      <c r="ACX18" s="213">
        <f t="shared" si="168"/>
        <v>3283810.5496485545</v>
      </c>
      <c r="ACY18" s="213">
        <f t="shared" si="168"/>
        <v>3283810.5496485545</v>
      </c>
      <c r="ACZ18" s="213">
        <f t="shared" si="168"/>
        <v>3283810.5496485545</v>
      </c>
      <c r="ADA18" s="213">
        <f t="shared" si="168"/>
        <v>3283810.5496485545</v>
      </c>
      <c r="ADB18" s="213">
        <f t="shared" si="168"/>
        <v>3283810.5496485545</v>
      </c>
      <c r="ADC18" s="213">
        <f t="shared" si="168"/>
        <v>3283810.5496485545</v>
      </c>
      <c r="ADD18" s="213">
        <f t="shared" si="168"/>
        <v>3283810.5496485545</v>
      </c>
      <c r="ADE18" s="213">
        <f t="shared" si="168"/>
        <v>3283810.5496485545</v>
      </c>
      <c r="ADF18" s="213">
        <f t="shared" si="168"/>
        <v>3283810.5496485545</v>
      </c>
      <c r="ADG18" s="213">
        <f t="shared" si="168"/>
        <v>3283810.5496485545</v>
      </c>
      <c r="ADH18" s="213">
        <f t="shared" si="168"/>
        <v>3283810.5496485545</v>
      </c>
      <c r="ADI18" s="213">
        <f t="shared" si="168"/>
        <v>3283810.5496485545</v>
      </c>
      <c r="ADJ18" s="213">
        <f t="shared" si="168"/>
        <v>3283810.5496485545</v>
      </c>
      <c r="ADK18" s="213">
        <f t="shared" si="168"/>
        <v>3283810.5496485545</v>
      </c>
      <c r="ADL18" s="213">
        <f t="shared" si="168"/>
        <v>3283810.5496485545</v>
      </c>
      <c r="ADM18" s="213">
        <f t="shared" si="168"/>
        <v>3283810.5496485545</v>
      </c>
      <c r="ADN18" s="213">
        <f t="shared" si="168"/>
        <v>3283810.5496485545</v>
      </c>
      <c r="ADO18" s="213">
        <f t="shared" si="168"/>
        <v>3283810.5496485545</v>
      </c>
      <c r="ADP18" s="213">
        <f t="shared" si="168"/>
        <v>3283810.5496485545</v>
      </c>
      <c r="ADQ18" s="213">
        <f t="shared" si="168"/>
        <v>3283810.5496485545</v>
      </c>
      <c r="ADR18" s="213">
        <f t="shared" si="168"/>
        <v>3283810.5496485545</v>
      </c>
      <c r="ADS18" s="213">
        <f t="shared" si="168"/>
        <v>3283810.5496485545</v>
      </c>
      <c r="ADT18" s="213">
        <f t="shared" si="168"/>
        <v>3283810.5496485545</v>
      </c>
      <c r="ADU18" s="213">
        <f t="shared" si="168"/>
        <v>3283810.5496485545</v>
      </c>
      <c r="ADV18" s="213">
        <f t="shared" si="168"/>
        <v>3283810.5496485545</v>
      </c>
      <c r="ADW18" s="213">
        <f t="shared" si="168"/>
        <v>3283810.5496485545</v>
      </c>
      <c r="ADX18" s="213">
        <f t="shared" si="168"/>
        <v>3283810.5496485545</v>
      </c>
      <c r="ADY18" s="213">
        <f t="shared" si="168"/>
        <v>3283810.5496485545</v>
      </c>
      <c r="ADZ18" s="213">
        <f t="shared" si="168"/>
        <v>3283810.5496485545</v>
      </c>
      <c r="AEA18" s="213">
        <f t="shared" si="168"/>
        <v>3283810.5496485545</v>
      </c>
      <c r="AEB18" s="213">
        <f t="shared" si="168"/>
        <v>3283810.5496485545</v>
      </c>
      <c r="AEC18" s="213">
        <f t="shared" si="168"/>
        <v>3283810.5496485545</v>
      </c>
      <c r="AED18" s="213">
        <f t="shared" si="168"/>
        <v>3283810.5496485545</v>
      </c>
      <c r="AEE18" s="213">
        <f t="shared" si="168"/>
        <v>3283810.5496485545</v>
      </c>
      <c r="AEF18" s="213">
        <f t="shared" si="168"/>
        <v>3283810.5496485545</v>
      </c>
      <c r="AEG18" s="213">
        <f t="shared" si="168"/>
        <v>3283810.5496485545</v>
      </c>
      <c r="AEH18" s="213">
        <f t="shared" si="168"/>
        <v>3283810.5496485545</v>
      </c>
      <c r="AEI18" s="213">
        <f t="shared" si="168"/>
        <v>3283810.5496485545</v>
      </c>
      <c r="AEJ18" s="213">
        <f t="shared" si="168"/>
        <v>3283810.5496485545</v>
      </c>
      <c r="AEK18" s="213">
        <f t="shared" si="168"/>
        <v>3283810.5496485545</v>
      </c>
      <c r="AEL18" s="213">
        <f t="shared" si="168"/>
        <v>3283810.5496485545</v>
      </c>
      <c r="AEM18" s="213">
        <f t="shared" si="168"/>
        <v>3283810.5496485545</v>
      </c>
      <c r="AEN18" s="213">
        <f t="shared" si="168"/>
        <v>3283810.5496485545</v>
      </c>
      <c r="AEO18" s="213">
        <f t="shared" si="168"/>
        <v>3283810.5496485545</v>
      </c>
      <c r="AEP18" s="213">
        <f t="shared" si="168"/>
        <v>3283810.5496485545</v>
      </c>
      <c r="AEQ18" s="213">
        <f t="shared" si="168"/>
        <v>3283810.5496485545</v>
      </c>
      <c r="AER18" s="213">
        <f t="shared" si="168"/>
        <v>3283810.5496485545</v>
      </c>
      <c r="AES18" s="213">
        <f t="shared" si="168"/>
        <v>3283810.5496485545</v>
      </c>
      <c r="AET18" s="213">
        <f t="shared" si="168"/>
        <v>3283810.5496485545</v>
      </c>
      <c r="AEU18" s="213">
        <f t="shared" si="168"/>
        <v>3283810.5496485545</v>
      </c>
      <c r="AEV18" s="213">
        <f t="shared" si="168"/>
        <v>3283810.5496485545</v>
      </c>
      <c r="AEW18" s="213">
        <f t="shared" si="168"/>
        <v>3283810.5496485545</v>
      </c>
      <c r="AEX18" s="213">
        <f t="shared" si="168"/>
        <v>3283810.5496485545</v>
      </c>
      <c r="AEY18" s="213">
        <f t="shared" si="168"/>
        <v>3283810.5496485545</v>
      </c>
      <c r="AEZ18" s="213">
        <f t="shared" si="168"/>
        <v>3283810.5496485545</v>
      </c>
      <c r="AFA18" s="213">
        <f t="shared" si="168"/>
        <v>3283810.5496485545</v>
      </c>
      <c r="AFB18" s="213">
        <f t="shared" si="168"/>
        <v>3283810.5496485545</v>
      </c>
      <c r="AFC18" s="213">
        <f t="shared" si="168"/>
        <v>3283810.5496485545</v>
      </c>
      <c r="AFD18" s="213">
        <f t="shared" si="168"/>
        <v>3283810.5496485545</v>
      </c>
      <c r="AFE18" s="213">
        <f t="shared" si="168"/>
        <v>3283810.5496485545</v>
      </c>
      <c r="AFF18" s="213">
        <f t="shared" si="168"/>
        <v>3283810.5496485545</v>
      </c>
      <c r="AFG18" s="213">
        <f t="shared" si="168"/>
        <v>3283810.5496485545</v>
      </c>
      <c r="AFH18" s="213">
        <f t="shared" si="168"/>
        <v>3283810.5496485545</v>
      </c>
      <c r="AFI18" s="213">
        <f t="shared" ref="AFI18:AHT18" si="169">AFH18+AFI17</f>
        <v>3283810.5496485545</v>
      </c>
      <c r="AFJ18" s="213">
        <f t="shared" si="169"/>
        <v>3283810.5496485545</v>
      </c>
      <c r="AFK18" s="213">
        <f t="shared" si="169"/>
        <v>3283810.5496485545</v>
      </c>
      <c r="AFL18" s="213">
        <f t="shared" si="169"/>
        <v>3283810.5496485545</v>
      </c>
      <c r="AFM18" s="213">
        <f t="shared" si="169"/>
        <v>3283810.5496485545</v>
      </c>
      <c r="AFN18" s="213">
        <f t="shared" si="169"/>
        <v>3283810.5496485545</v>
      </c>
      <c r="AFO18" s="213">
        <f t="shared" si="169"/>
        <v>3283810.5496485545</v>
      </c>
      <c r="AFP18" s="213">
        <f t="shared" si="169"/>
        <v>3283810.5496485545</v>
      </c>
      <c r="AFQ18" s="213">
        <f t="shared" si="169"/>
        <v>3283810.5496485545</v>
      </c>
      <c r="AFR18" s="213">
        <f t="shared" si="169"/>
        <v>3283810.5496485545</v>
      </c>
      <c r="AFS18" s="213">
        <f t="shared" si="169"/>
        <v>3283810.5496485545</v>
      </c>
      <c r="AFT18" s="213">
        <f t="shared" si="169"/>
        <v>3283810.5496485545</v>
      </c>
      <c r="AFU18" s="213">
        <f t="shared" si="169"/>
        <v>3283810.5496485545</v>
      </c>
      <c r="AFV18" s="213">
        <f t="shared" si="169"/>
        <v>3283810.5496485545</v>
      </c>
      <c r="AFW18" s="213">
        <f t="shared" si="169"/>
        <v>3283810.5496485545</v>
      </c>
      <c r="AFX18" s="213">
        <f t="shared" si="169"/>
        <v>3283810.5496485545</v>
      </c>
      <c r="AFY18" s="213">
        <f t="shared" si="169"/>
        <v>3283810.5496485545</v>
      </c>
      <c r="AFZ18" s="213">
        <f t="shared" si="169"/>
        <v>3283810.5496485545</v>
      </c>
      <c r="AGA18" s="213">
        <f t="shared" si="169"/>
        <v>3283810.5496485545</v>
      </c>
      <c r="AGB18" s="213">
        <f t="shared" si="169"/>
        <v>3283810.5496485545</v>
      </c>
      <c r="AGC18" s="213">
        <f t="shared" si="169"/>
        <v>3283810.5496485545</v>
      </c>
      <c r="AGD18" s="213">
        <f t="shared" si="169"/>
        <v>3283810.5496485545</v>
      </c>
      <c r="AGE18" s="213">
        <f t="shared" si="169"/>
        <v>3283810.5496485545</v>
      </c>
      <c r="AGF18" s="213">
        <f t="shared" si="169"/>
        <v>3283810.5496485545</v>
      </c>
      <c r="AGG18" s="213">
        <f t="shared" si="169"/>
        <v>3283810.5496485545</v>
      </c>
      <c r="AGH18" s="213">
        <f t="shared" si="169"/>
        <v>3283810.5496485545</v>
      </c>
      <c r="AGI18" s="213">
        <f t="shared" si="169"/>
        <v>3283810.5496485545</v>
      </c>
      <c r="AGJ18" s="213">
        <f t="shared" si="169"/>
        <v>3283810.5496485545</v>
      </c>
      <c r="AGK18" s="213">
        <f t="shared" si="169"/>
        <v>3283810.5496485545</v>
      </c>
      <c r="AGL18" s="213">
        <f t="shared" si="169"/>
        <v>3283810.5496485545</v>
      </c>
      <c r="AGM18" s="213">
        <f t="shared" si="169"/>
        <v>3283810.5496485545</v>
      </c>
      <c r="AGN18" s="213">
        <f t="shared" si="169"/>
        <v>3283810.5496485545</v>
      </c>
      <c r="AGO18" s="213">
        <f t="shared" si="169"/>
        <v>3283810.5496485545</v>
      </c>
      <c r="AGP18" s="213">
        <f t="shared" si="169"/>
        <v>3283810.5496485545</v>
      </c>
      <c r="AGQ18" s="213">
        <f t="shared" si="169"/>
        <v>3283810.5496485545</v>
      </c>
      <c r="AGR18" s="213">
        <f t="shared" si="169"/>
        <v>3283810.5496485545</v>
      </c>
      <c r="AGS18" s="213">
        <f t="shared" si="169"/>
        <v>3283810.5496485545</v>
      </c>
      <c r="AGT18" s="213">
        <f t="shared" si="169"/>
        <v>3283810.5496485545</v>
      </c>
      <c r="AGU18" s="213">
        <f t="shared" si="169"/>
        <v>3283810.5496485545</v>
      </c>
      <c r="AGV18" s="213">
        <f t="shared" si="169"/>
        <v>3283810.5496485545</v>
      </c>
      <c r="AGW18" s="213">
        <f t="shared" si="169"/>
        <v>3283810.5496485545</v>
      </c>
      <c r="AGX18" s="213">
        <f t="shared" si="169"/>
        <v>3283810.5496485545</v>
      </c>
      <c r="AGY18" s="213">
        <f t="shared" si="169"/>
        <v>3283810.5496485545</v>
      </c>
      <c r="AGZ18" s="213">
        <f t="shared" si="169"/>
        <v>3283810.5496485545</v>
      </c>
      <c r="AHA18" s="213">
        <f t="shared" si="169"/>
        <v>3283810.5496485545</v>
      </c>
      <c r="AHB18" s="213">
        <f t="shared" si="169"/>
        <v>3283810.5496485545</v>
      </c>
      <c r="AHC18" s="213">
        <f t="shared" si="169"/>
        <v>3283810.5496485545</v>
      </c>
      <c r="AHD18" s="213">
        <f t="shared" si="169"/>
        <v>3283810.5496485545</v>
      </c>
      <c r="AHE18" s="213">
        <f t="shared" si="169"/>
        <v>3283810.5496485545</v>
      </c>
      <c r="AHF18" s="213">
        <f t="shared" si="169"/>
        <v>3283810.5496485545</v>
      </c>
      <c r="AHG18" s="213">
        <f t="shared" si="169"/>
        <v>3283810.5496485545</v>
      </c>
      <c r="AHH18" s="213">
        <f t="shared" si="169"/>
        <v>3283810.5496485545</v>
      </c>
      <c r="AHI18" s="213">
        <f t="shared" si="169"/>
        <v>3283810.5496485545</v>
      </c>
      <c r="AHJ18" s="213">
        <f t="shared" si="169"/>
        <v>3283810.5496485545</v>
      </c>
      <c r="AHK18" s="213">
        <f t="shared" si="169"/>
        <v>3283810.5496485545</v>
      </c>
      <c r="AHL18" s="213">
        <f t="shared" si="169"/>
        <v>3283810.5496485545</v>
      </c>
      <c r="AHM18" s="213">
        <f t="shared" si="169"/>
        <v>3283810.5496485545</v>
      </c>
      <c r="AHN18" s="213">
        <f t="shared" si="169"/>
        <v>3283810.5496485545</v>
      </c>
      <c r="AHO18" s="213">
        <f t="shared" si="169"/>
        <v>3283810.5496485545</v>
      </c>
      <c r="AHP18" s="213">
        <f t="shared" si="169"/>
        <v>3283810.5496485545</v>
      </c>
      <c r="AHQ18" s="213">
        <f t="shared" si="169"/>
        <v>3283810.5496485545</v>
      </c>
      <c r="AHR18" s="213">
        <f t="shared" si="169"/>
        <v>3283810.5496485545</v>
      </c>
      <c r="AHS18" s="213">
        <f t="shared" si="169"/>
        <v>3283810.5496485545</v>
      </c>
      <c r="AHT18" s="213">
        <f t="shared" si="169"/>
        <v>3283810.5496485545</v>
      </c>
      <c r="AHU18" s="213">
        <f t="shared" ref="AHU18:AKF18" si="170">AHT18+AHU17</f>
        <v>3283810.5496485545</v>
      </c>
      <c r="AHV18" s="213">
        <f t="shared" si="170"/>
        <v>3283810.5496485545</v>
      </c>
      <c r="AHW18" s="213">
        <f t="shared" si="170"/>
        <v>3283810.5496485545</v>
      </c>
      <c r="AHX18" s="213">
        <f t="shared" si="170"/>
        <v>3283810.5496485545</v>
      </c>
      <c r="AHY18" s="213">
        <f t="shared" si="170"/>
        <v>3283810.5496485545</v>
      </c>
      <c r="AHZ18" s="213">
        <f t="shared" si="170"/>
        <v>3283810.5496485545</v>
      </c>
      <c r="AIA18" s="213">
        <f t="shared" si="170"/>
        <v>3283810.5496485545</v>
      </c>
      <c r="AIB18" s="213">
        <f t="shared" si="170"/>
        <v>3283810.5496485545</v>
      </c>
      <c r="AIC18" s="213">
        <f t="shared" si="170"/>
        <v>3283810.5496485545</v>
      </c>
      <c r="AID18" s="213">
        <f t="shared" si="170"/>
        <v>3283810.5496485545</v>
      </c>
      <c r="AIE18" s="213">
        <f t="shared" si="170"/>
        <v>3283810.5496485545</v>
      </c>
      <c r="AIF18" s="213">
        <f t="shared" si="170"/>
        <v>3283810.5496485545</v>
      </c>
      <c r="AIG18" s="213">
        <f t="shared" si="170"/>
        <v>3283810.5496485545</v>
      </c>
      <c r="AIH18" s="213">
        <f t="shared" si="170"/>
        <v>3283810.5496485545</v>
      </c>
      <c r="AII18" s="213">
        <f t="shared" si="170"/>
        <v>3283810.5496485545</v>
      </c>
      <c r="AIJ18" s="213">
        <f t="shared" si="170"/>
        <v>3283810.5496485545</v>
      </c>
      <c r="AIK18" s="213">
        <f t="shared" si="170"/>
        <v>3283810.5496485545</v>
      </c>
      <c r="AIL18" s="213">
        <f t="shared" si="170"/>
        <v>3283810.5496485545</v>
      </c>
      <c r="AIM18" s="213">
        <f t="shared" si="170"/>
        <v>3283810.5496485545</v>
      </c>
      <c r="AIN18" s="213">
        <f t="shared" si="170"/>
        <v>3283810.5496485545</v>
      </c>
      <c r="AIO18" s="213">
        <f t="shared" si="170"/>
        <v>3283810.5496485545</v>
      </c>
      <c r="AIP18" s="213">
        <f t="shared" si="170"/>
        <v>3283810.5496485545</v>
      </c>
      <c r="AIQ18" s="213">
        <f t="shared" si="170"/>
        <v>3283810.5496485545</v>
      </c>
      <c r="AIR18" s="213">
        <f t="shared" si="170"/>
        <v>3283810.5496485545</v>
      </c>
      <c r="AIS18" s="213">
        <f t="shared" si="170"/>
        <v>3283810.5496485545</v>
      </c>
      <c r="AIT18" s="213">
        <f t="shared" si="170"/>
        <v>3283810.5496485545</v>
      </c>
      <c r="AIU18" s="213">
        <f t="shared" si="170"/>
        <v>3283810.5496485545</v>
      </c>
      <c r="AIV18" s="213">
        <f t="shared" si="170"/>
        <v>3283810.5496485545</v>
      </c>
      <c r="AIW18" s="213">
        <f t="shared" si="170"/>
        <v>3283810.5496485545</v>
      </c>
      <c r="AIX18" s="213">
        <f t="shared" si="170"/>
        <v>3283810.5496485545</v>
      </c>
      <c r="AIY18" s="213">
        <f t="shared" si="170"/>
        <v>3283810.5496485545</v>
      </c>
      <c r="AIZ18" s="213">
        <f t="shared" si="170"/>
        <v>3283810.5496485545</v>
      </c>
      <c r="AJA18" s="213">
        <f t="shared" si="170"/>
        <v>3283810.5496485545</v>
      </c>
      <c r="AJB18" s="213">
        <f t="shared" si="170"/>
        <v>3283810.5496485545</v>
      </c>
      <c r="AJC18" s="213">
        <f t="shared" si="170"/>
        <v>3283810.5496485545</v>
      </c>
      <c r="AJD18" s="213">
        <f t="shared" si="170"/>
        <v>3283810.5496485545</v>
      </c>
      <c r="AJE18" s="213">
        <f t="shared" si="170"/>
        <v>3283810.5496485545</v>
      </c>
      <c r="AJF18" s="213">
        <f t="shared" si="170"/>
        <v>3283810.5496485545</v>
      </c>
      <c r="AJG18" s="213">
        <f t="shared" si="170"/>
        <v>3283810.5496485545</v>
      </c>
      <c r="AJH18" s="213">
        <f t="shared" si="170"/>
        <v>3283810.5496485545</v>
      </c>
      <c r="AJI18" s="213">
        <f t="shared" si="170"/>
        <v>3283810.5496485545</v>
      </c>
      <c r="AJJ18" s="213">
        <f t="shared" si="170"/>
        <v>3283810.5496485545</v>
      </c>
      <c r="AJK18" s="213">
        <f t="shared" si="170"/>
        <v>3283810.5496485545</v>
      </c>
      <c r="AJL18" s="213">
        <f t="shared" si="170"/>
        <v>3283810.5496485545</v>
      </c>
      <c r="AJM18" s="213">
        <f t="shared" si="170"/>
        <v>3283810.5496485545</v>
      </c>
      <c r="AJN18" s="213">
        <f t="shared" si="170"/>
        <v>3283810.5496485545</v>
      </c>
      <c r="AJO18" s="213">
        <f t="shared" si="170"/>
        <v>3283810.5496485545</v>
      </c>
      <c r="AJP18" s="213">
        <f t="shared" si="170"/>
        <v>3283810.5496485545</v>
      </c>
      <c r="AJQ18" s="213">
        <f t="shared" si="170"/>
        <v>3283810.5496485545</v>
      </c>
      <c r="AJR18" s="213">
        <f t="shared" si="170"/>
        <v>3283810.5496485545</v>
      </c>
      <c r="AJS18" s="213">
        <f t="shared" si="170"/>
        <v>3283810.5496485545</v>
      </c>
      <c r="AJT18" s="213">
        <f t="shared" si="170"/>
        <v>3283810.5496485545</v>
      </c>
      <c r="AJU18" s="213">
        <f t="shared" si="170"/>
        <v>3283810.5496485545</v>
      </c>
      <c r="AJV18" s="213">
        <f t="shared" si="170"/>
        <v>3283810.5496485545</v>
      </c>
      <c r="AJW18" s="213">
        <f t="shared" si="170"/>
        <v>3283810.5496485545</v>
      </c>
      <c r="AJX18" s="213">
        <f t="shared" si="170"/>
        <v>3283810.5496485545</v>
      </c>
      <c r="AJY18" s="213">
        <f t="shared" si="170"/>
        <v>3283810.5496485545</v>
      </c>
      <c r="AJZ18" s="213">
        <f t="shared" si="170"/>
        <v>3283810.5496485545</v>
      </c>
      <c r="AKA18" s="213">
        <f t="shared" si="170"/>
        <v>3283810.5496485545</v>
      </c>
      <c r="AKB18" s="213">
        <f t="shared" si="170"/>
        <v>3283810.5496485545</v>
      </c>
      <c r="AKC18" s="213">
        <f t="shared" si="170"/>
        <v>3283810.5496485545</v>
      </c>
      <c r="AKD18" s="213">
        <f t="shared" si="170"/>
        <v>3283810.5496485545</v>
      </c>
      <c r="AKE18" s="213">
        <f t="shared" si="170"/>
        <v>3283810.5496485545</v>
      </c>
      <c r="AKF18" s="213">
        <f t="shared" si="170"/>
        <v>3283810.5496485545</v>
      </c>
      <c r="AKG18" s="213">
        <f t="shared" ref="AKG18:AMR18" si="171">AKF18+AKG17</f>
        <v>3283810.5496485545</v>
      </c>
      <c r="AKH18" s="213">
        <f t="shared" si="171"/>
        <v>3283810.5496485545</v>
      </c>
      <c r="AKI18" s="213">
        <f t="shared" si="171"/>
        <v>3283810.5496485545</v>
      </c>
      <c r="AKJ18" s="213">
        <f t="shared" si="171"/>
        <v>3283810.5496485545</v>
      </c>
      <c r="AKK18" s="213">
        <f t="shared" si="171"/>
        <v>3283810.5496485545</v>
      </c>
      <c r="AKL18" s="213">
        <f t="shared" si="171"/>
        <v>3283810.5496485545</v>
      </c>
      <c r="AKM18" s="213">
        <f t="shared" si="171"/>
        <v>3283810.5496485545</v>
      </c>
      <c r="AKN18" s="213">
        <f t="shared" si="171"/>
        <v>3283810.5496485545</v>
      </c>
      <c r="AKO18" s="213">
        <f t="shared" si="171"/>
        <v>3283810.5496485545</v>
      </c>
      <c r="AKP18" s="213">
        <f t="shared" si="171"/>
        <v>3283810.5496485545</v>
      </c>
      <c r="AKQ18" s="213">
        <f t="shared" si="171"/>
        <v>3283810.5496485545</v>
      </c>
      <c r="AKR18" s="213">
        <f t="shared" si="171"/>
        <v>3283810.5496485545</v>
      </c>
      <c r="AKS18" s="213">
        <f t="shared" si="171"/>
        <v>3283810.5496485545</v>
      </c>
      <c r="AKT18" s="213">
        <f t="shared" si="171"/>
        <v>3283810.5496485545</v>
      </c>
      <c r="AKU18" s="213">
        <f t="shared" si="171"/>
        <v>3283810.5496485545</v>
      </c>
      <c r="AKV18" s="213">
        <f t="shared" si="171"/>
        <v>3283810.5496485545</v>
      </c>
      <c r="AKW18" s="213">
        <f t="shared" si="171"/>
        <v>3283810.5496485545</v>
      </c>
      <c r="AKX18" s="213">
        <f t="shared" si="171"/>
        <v>3283810.5496485545</v>
      </c>
      <c r="AKY18" s="213">
        <f t="shared" si="171"/>
        <v>3283810.5496485545</v>
      </c>
      <c r="AKZ18" s="213">
        <f t="shared" si="171"/>
        <v>3283810.5496485545</v>
      </c>
      <c r="ALA18" s="213">
        <f t="shared" si="171"/>
        <v>3283810.5496485545</v>
      </c>
      <c r="ALB18" s="213">
        <f t="shared" si="171"/>
        <v>3283810.5496485545</v>
      </c>
      <c r="ALC18" s="213">
        <f t="shared" si="171"/>
        <v>3283810.5496485545</v>
      </c>
      <c r="ALD18" s="213">
        <f t="shared" si="171"/>
        <v>3283810.5496485545</v>
      </c>
      <c r="ALE18" s="213">
        <f t="shared" si="171"/>
        <v>3283810.5496485545</v>
      </c>
      <c r="ALF18" s="213">
        <f t="shared" si="171"/>
        <v>3283810.5496485545</v>
      </c>
      <c r="ALG18" s="213">
        <f t="shared" si="171"/>
        <v>3283810.5496485545</v>
      </c>
      <c r="ALH18" s="213">
        <f t="shared" si="171"/>
        <v>3283810.5496485545</v>
      </c>
      <c r="ALI18" s="213">
        <f t="shared" si="171"/>
        <v>3283810.5496485545</v>
      </c>
      <c r="ALJ18" s="213">
        <f t="shared" si="171"/>
        <v>3283810.5496485545</v>
      </c>
      <c r="ALK18" s="213">
        <f t="shared" si="171"/>
        <v>3283810.5496485545</v>
      </c>
      <c r="ALL18" s="213">
        <f t="shared" si="171"/>
        <v>3283810.5496485545</v>
      </c>
      <c r="ALM18" s="213">
        <f t="shared" si="171"/>
        <v>3283810.5496485545</v>
      </c>
      <c r="ALN18" s="213">
        <f t="shared" si="171"/>
        <v>3283810.5496485545</v>
      </c>
      <c r="ALO18" s="213">
        <f t="shared" si="171"/>
        <v>3283810.5496485545</v>
      </c>
      <c r="ALP18" s="213">
        <f t="shared" si="171"/>
        <v>3283810.5496485545</v>
      </c>
      <c r="ALQ18" s="213">
        <f t="shared" si="171"/>
        <v>3283810.5496485545</v>
      </c>
      <c r="ALR18" s="213">
        <f t="shared" si="171"/>
        <v>3283810.5496485545</v>
      </c>
      <c r="ALS18" s="213">
        <f t="shared" si="171"/>
        <v>3283810.5496485545</v>
      </c>
      <c r="ALT18" s="213">
        <f t="shared" si="171"/>
        <v>3283810.5496485545</v>
      </c>
      <c r="ALU18" s="213">
        <f t="shared" si="171"/>
        <v>3283810.5496485545</v>
      </c>
      <c r="ALV18" s="213">
        <f t="shared" si="171"/>
        <v>3283810.5496485545</v>
      </c>
      <c r="ALW18" s="213">
        <f t="shared" si="171"/>
        <v>3283810.5496485545</v>
      </c>
      <c r="ALX18" s="213">
        <f t="shared" si="171"/>
        <v>3283810.5496485545</v>
      </c>
      <c r="ALY18" s="213">
        <f t="shared" si="171"/>
        <v>3283810.5496485545</v>
      </c>
      <c r="ALZ18" s="213">
        <f t="shared" si="171"/>
        <v>3283810.5496485545</v>
      </c>
      <c r="AMA18" s="213">
        <f t="shared" si="171"/>
        <v>3283810.5496485545</v>
      </c>
      <c r="AMB18" s="213">
        <f t="shared" si="171"/>
        <v>3283810.5496485545</v>
      </c>
      <c r="AMC18" s="213">
        <f t="shared" si="171"/>
        <v>3283810.5496485545</v>
      </c>
      <c r="AMD18" s="213">
        <f t="shared" si="171"/>
        <v>3283810.5496485545</v>
      </c>
      <c r="AME18" s="213">
        <f t="shared" si="171"/>
        <v>3283810.5496485545</v>
      </c>
      <c r="AMF18" s="213">
        <f t="shared" si="171"/>
        <v>3283810.5496485545</v>
      </c>
      <c r="AMG18" s="213">
        <f t="shared" si="171"/>
        <v>3283810.5496485545</v>
      </c>
      <c r="AMH18" s="213">
        <f t="shared" si="171"/>
        <v>3283810.5496485545</v>
      </c>
      <c r="AMI18" s="213">
        <f t="shared" si="171"/>
        <v>3283810.5496485545</v>
      </c>
      <c r="AMJ18" s="213">
        <f t="shared" si="171"/>
        <v>3283810.5496485545</v>
      </c>
      <c r="AMK18" s="213">
        <f t="shared" si="171"/>
        <v>3283810.5496485545</v>
      </c>
      <c r="AML18" s="213">
        <f t="shared" si="171"/>
        <v>3283810.5496485545</v>
      </c>
      <c r="AMM18" s="213">
        <f t="shared" si="171"/>
        <v>3283810.5496485545</v>
      </c>
      <c r="AMN18" s="213">
        <f t="shared" si="171"/>
        <v>3283810.5496485545</v>
      </c>
      <c r="AMO18" s="213">
        <f t="shared" si="171"/>
        <v>3283810.5496485545</v>
      </c>
      <c r="AMP18" s="213">
        <f t="shared" si="171"/>
        <v>3283810.5496485545</v>
      </c>
      <c r="AMQ18" s="213">
        <f t="shared" si="171"/>
        <v>3283810.5496485545</v>
      </c>
      <c r="AMR18" s="213">
        <f t="shared" si="171"/>
        <v>3283810.5496485545</v>
      </c>
      <c r="AMS18" s="213">
        <f t="shared" ref="AMS18:APD18" si="172">AMR18+AMS17</f>
        <v>3283810.5496485545</v>
      </c>
      <c r="AMT18" s="213">
        <f t="shared" si="172"/>
        <v>3283810.5496485545</v>
      </c>
      <c r="AMU18" s="213">
        <f t="shared" si="172"/>
        <v>3283810.5496485545</v>
      </c>
      <c r="AMV18" s="213">
        <f t="shared" si="172"/>
        <v>3283810.5496485545</v>
      </c>
      <c r="AMW18" s="213">
        <f t="shared" si="172"/>
        <v>3283810.5496485545</v>
      </c>
      <c r="AMX18" s="213">
        <f t="shared" si="172"/>
        <v>3283810.5496485545</v>
      </c>
      <c r="AMY18" s="213">
        <f t="shared" si="172"/>
        <v>3283810.5496485545</v>
      </c>
      <c r="AMZ18" s="213">
        <f t="shared" si="172"/>
        <v>3283810.5496485545</v>
      </c>
      <c r="ANA18" s="213">
        <f t="shared" si="172"/>
        <v>3283810.5496485545</v>
      </c>
      <c r="ANB18" s="213">
        <f t="shared" si="172"/>
        <v>3283810.5496485545</v>
      </c>
      <c r="ANC18" s="213">
        <f t="shared" si="172"/>
        <v>3283810.5496485545</v>
      </c>
      <c r="AND18" s="213">
        <f t="shared" si="172"/>
        <v>3283810.5496485545</v>
      </c>
      <c r="ANE18" s="213">
        <f t="shared" si="172"/>
        <v>3283810.5496485545</v>
      </c>
      <c r="ANF18" s="213">
        <f t="shared" si="172"/>
        <v>3283810.5496485545</v>
      </c>
      <c r="ANG18" s="213">
        <f t="shared" si="172"/>
        <v>3283810.5496485545</v>
      </c>
      <c r="ANH18" s="213">
        <f t="shared" si="172"/>
        <v>3283810.5496485545</v>
      </c>
      <c r="ANI18" s="213">
        <f t="shared" si="172"/>
        <v>3283810.5496485545</v>
      </c>
      <c r="ANJ18" s="213">
        <f t="shared" si="172"/>
        <v>3283810.5496485545</v>
      </c>
      <c r="ANK18" s="213">
        <f t="shared" si="172"/>
        <v>3283810.5496485545</v>
      </c>
      <c r="ANL18" s="213">
        <f t="shared" si="172"/>
        <v>3283810.5496485545</v>
      </c>
      <c r="ANM18" s="213">
        <f t="shared" si="172"/>
        <v>3283810.5496485545</v>
      </c>
      <c r="ANN18" s="213">
        <f t="shared" si="172"/>
        <v>3283810.5496485545</v>
      </c>
      <c r="ANO18" s="213">
        <f t="shared" si="172"/>
        <v>3283810.5496485545</v>
      </c>
      <c r="ANP18" s="213">
        <f t="shared" si="172"/>
        <v>3283810.5496485545</v>
      </c>
      <c r="ANQ18" s="213">
        <f t="shared" si="172"/>
        <v>3283810.5496485545</v>
      </c>
      <c r="ANR18" s="213">
        <f t="shared" si="172"/>
        <v>3283810.5496485545</v>
      </c>
      <c r="ANS18" s="213">
        <f t="shared" si="172"/>
        <v>3283810.5496485545</v>
      </c>
      <c r="ANT18" s="213">
        <f t="shared" si="172"/>
        <v>3283810.5496485545</v>
      </c>
      <c r="ANU18" s="213">
        <f t="shared" si="172"/>
        <v>3283810.5496485545</v>
      </c>
      <c r="ANV18" s="213">
        <f t="shared" si="172"/>
        <v>3283810.5496485545</v>
      </c>
      <c r="ANW18" s="213">
        <f t="shared" si="172"/>
        <v>3283810.5496485545</v>
      </c>
      <c r="ANX18" s="213">
        <f t="shared" si="172"/>
        <v>3283810.5496485545</v>
      </c>
      <c r="ANY18" s="213">
        <f t="shared" si="172"/>
        <v>3283810.5496485545</v>
      </c>
      <c r="ANZ18" s="213">
        <f t="shared" si="172"/>
        <v>3283810.5496485545</v>
      </c>
      <c r="AOA18" s="213">
        <f t="shared" si="172"/>
        <v>3283810.5496485545</v>
      </c>
      <c r="AOB18" s="213">
        <f t="shared" si="172"/>
        <v>3283810.5496485545</v>
      </c>
      <c r="AOC18" s="213">
        <f t="shared" si="172"/>
        <v>3283810.5496485545</v>
      </c>
      <c r="AOD18" s="213">
        <f t="shared" si="172"/>
        <v>3283810.5496485545</v>
      </c>
      <c r="AOE18" s="213">
        <f t="shared" si="172"/>
        <v>3283810.5496485545</v>
      </c>
      <c r="AOF18" s="213">
        <f t="shared" si="172"/>
        <v>3283810.5496485545</v>
      </c>
      <c r="AOG18" s="213">
        <f t="shared" si="172"/>
        <v>3283810.5496485545</v>
      </c>
      <c r="AOH18" s="213">
        <f t="shared" si="172"/>
        <v>3283810.5496485545</v>
      </c>
      <c r="AOI18" s="213">
        <f t="shared" si="172"/>
        <v>3283810.5496485545</v>
      </c>
      <c r="AOJ18" s="213">
        <f t="shared" si="172"/>
        <v>3283810.5496485545</v>
      </c>
      <c r="AOK18" s="213">
        <f t="shared" si="172"/>
        <v>3283810.5496485545</v>
      </c>
      <c r="AOL18" s="213">
        <f t="shared" si="172"/>
        <v>3283810.5496485545</v>
      </c>
      <c r="AOM18" s="213">
        <f t="shared" si="172"/>
        <v>3283810.5496485545</v>
      </c>
      <c r="AON18" s="213">
        <f t="shared" si="172"/>
        <v>3283810.5496485545</v>
      </c>
      <c r="AOO18" s="213">
        <f t="shared" si="172"/>
        <v>3283810.5496485545</v>
      </c>
      <c r="AOP18" s="213">
        <f t="shared" si="172"/>
        <v>3283810.5496485545</v>
      </c>
      <c r="AOQ18" s="213">
        <f t="shared" si="172"/>
        <v>3283810.5496485545</v>
      </c>
      <c r="AOR18" s="213">
        <f t="shared" si="172"/>
        <v>3283810.5496485545</v>
      </c>
      <c r="AOS18" s="213">
        <f t="shared" si="172"/>
        <v>3283810.5496485545</v>
      </c>
      <c r="AOT18" s="213">
        <f t="shared" si="172"/>
        <v>3283810.5496485545</v>
      </c>
      <c r="AOU18" s="213">
        <f t="shared" si="172"/>
        <v>3283810.5496485545</v>
      </c>
      <c r="AOV18" s="213">
        <f t="shared" si="172"/>
        <v>3283810.5496485545</v>
      </c>
      <c r="AOW18" s="213">
        <f t="shared" si="172"/>
        <v>3283810.5496485545</v>
      </c>
      <c r="AOX18" s="213">
        <f t="shared" si="172"/>
        <v>3283810.5496485545</v>
      </c>
      <c r="AOY18" s="213">
        <f t="shared" si="172"/>
        <v>3283810.5496485545</v>
      </c>
      <c r="AOZ18" s="213">
        <f t="shared" si="172"/>
        <v>3283810.5496485545</v>
      </c>
      <c r="APA18" s="213">
        <f t="shared" si="172"/>
        <v>3283810.5496485545</v>
      </c>
      <c r="APB18" s="213">
        <f t="shared" si="172"/>
        <v>3283810.5496485545</v>
      </c>
      <c r="APC18" s="213">
        <f t="shared" si="172"/>
        <v>3283810.5496485545</v>
      </c>
      <c r="APD18" s="213">
        <f t="shared" si="172"/>
        <v>3283810.5496485545</v>
      </c>
      <c r="APE18" s="213">
        <f t="shared" ref="APE18:ARP18" si="173">APD18+APE17</f>
        <v>3283810.5496485545</v>
      </c>
      <c r="APF18" s="213">
        <f t="shared" si="173"/>
        <v>3283810.5496485545</v>
      </c>
      <c r="APG18" s="213">
        <f t="shared" si="173"/>
        <v>3283810.5496485545</v>
      </c>
      <c r="APH18" s="213">
        <f t="shared" si="173"/>
        <v>3283810.5496485545</v>
      </c>
      <c r="API18" s="213">
        <f t="shared" si="173"/>
        <v>3283810.5496485545</v>
      </c>
      <c r="APJ18" s="213">
        <f t="shared" si="173"/>
        <v>3283810.5496485545</v>
      </c>
      <c r="APK18" s="213">
        <f t="shared" si="173"/>
        <v>3283810.5496485545</v>
      </c>
      <c r="APL18" s="213">
        <f t="shared" si="173"/>
        <v>3283810.5496485545</v>
      </c>
      <c r="APM18" s="213">
        <f t="shared" si="173"/>
        <v>3283810.5496485545</v>
      </c>
      <c r="APN18" s="213">
        <f t="shared" si="173"/>
        <v>3283810.5496485545</v>
      </c>
      <c r="APO18" s="213">
        <f t="shared" si="173"/>
        <v>3283810.5496485545</v>
      </c>
      <c r="APP18" s="213">
        <f t="shared" si="173"/>
        <v>3283810.5496485545</v>
      </c>
      <c r="APQ18" s="213">
        <f t="shared" si="173"/>
        <v>3283810.5496485545</v>
      </c>
      <c r="APR18" s="213">
        <f t="shared" si="173"/>
        <v>3283810.5496485545</v>
      </c>
      <c r="APS18" s="213">
        <f t="shared" si="173"/>
        <v>3283810.5496485545</v>
      </c>
      <c r="APT18" s="213">
        <f t="shared" si="173"/>
        <v>3283810.5496485545</v>
      </c>
      <c r="APU18" s="213">
        <f t="shared" si="173"/>
        <v>3283810.5496485545</v>
      </c>
      <c r="APV18" s="213">
        <f t="shared" si="173"/>
        <v>3283810.5496485545</v>
      </c>
      <c r="APW18" s="213">
        <f t="shared" si="173"/>
        <v>3283810.5496485545</v>
      </c>
      <c r="APX18" s="213">
        <f t="shared" si="173"/>
        <v>3283810.5496485545</v>
      </c>
      <c r="APY18" s="213">
        <f t="shared" si="173"/>
        <v>3283810.5496485545</v>
      </c>
      <c r="APZ18" s="213">
        <f t="shared" si="173"/>
        <v>3283810.5496485545</v>
      </c>
      <c r="AQA18" s="213">
        <f t="shared" si="173"/>
        <v>3283810.5496485545</v>
      </c>
      <c r="AQB18" s="213">
        <f t="shared" si="173"/>
        <v>3283810.5496485545</v>
      </c>
      <c r="AQC18" s="213">
        <f t="shared" si="173"/>
        <v>3283810.5496485545</v>
      </c>
      <c r="AQD18" s="213">
        <f t="shared" si="173"/>
        <v>3283810.5496485545</v>
      </c>
      <c r="AQE18" s="213">
        <f t="shared" si="173"/>
        <v>3283810.5496485545</v>
      </c>
      <c r="AQF18" s="213">
        <f t="shared" si="173"/>
        <v>3283810.5496485545</v>
      </c>
      <c r="AQG18" s="213">
        <f t="shared" si="173"/>
        <v>3283810.5496485545</v>
      </c>
      <c r="AQH18" s="213">
        <f t="shared" si="173"/>
        <v>3283810.5496485545</v>
      </c>
      <c r="AQI18" s="213">
        <f t="shared" si="173"/>
        <v>3283810.5496485545</v>
      </c>
      <c r="AQJ18" s="213">
        <f t="shared" si="173"/>
        <v>3283810.5496485545</v>
      </c>
      <c r="AQK18" s="213">
        <f t="shared" si="173"/>
        <v>3283810.5496485545</v>
      </c>
      <c r="AQL18" s="213">
        <f t="shared" si="173"/>
        <v>3283810.5496485545</v>
      </c>
      <c r="AQM18" s="213">
        <f t="shared" si="173"/>
        <v>3283810.5496485545</v>
      </c>
      <c r="AQN18" s="213">
        <f t="shared" si="173"/>
        <v>3283810.5496485545</v>
      </c>
      <c r="AQO18" s="213">
        <f t="shared" si="173"/>
        <v>3283810.5496485545</v>
      </c>
      <c r="AQP18" s="213">
        <f t="shared" si="173"/>
        <v>3283810.5496485545</v>
      </c>
      <c r="AQQ18" s="213">
        <f t="shared" si="173"/>
        <v>3283810.5496485545</v>
      </c>
      <c r="AQR18" s="213">
        <f t="shared" si="173"/>
        <v>3283810.5496485545</v>
      </c>
      <c r="AQS18" s="213">
        <f t="shared" si="173"/>
        <v>3283810.5496485545</v>
      </c>
      <c r="AQT18" s="213">
        <f t="shared" si="173"/>
        <v>3283810.5496485545</v>
      </c>
      <c r="AQU18" s="213">
        <f t="shared" si="173"/>
        <v>3283810.5496485545</v>
      </c>
      <c r="AQV18" s="213">
        <f t="shared" si="173"/>
        <v>3283810.5496485545</v>
      </c>
      <c r="AQW18" s="213">
        <f t="shared" si="173"/>
        <v>3283810.5496485545</v>
      </c>
      <c r="AQX18" s="213">
        <f t="shared" si="173"/>
        <v>3283810.5496485545</v>
      </c>
      <c r="AQY18" s="213">
        <f t="shared" si="173"/>
        <v>3283810.5496485545</v>
      </c>
      <c r="AQZ18" s="213">
        <f t="shared" si="173"/>
        <v>3283810.5496485545</v>
      </c>
      <c r="ARA18" s="213">
        <f t="shared" si="173"/>
        <v>3283810.5496485545</v>
      </c>
      <c r="ARB18" s="213">
        <f t="shared" si="173"/>
        <v>3283810.5496485545</v>
      </c>
      <c r="ARC18" s="213">
        <f t="shared" si="173"/>
        <v>3283810.5496485545</v>
      </c>
      <c r="ARD18" s="213">
        <f t="shared" si="173"/>
        <v>3283810.5496485545</v>
      </c>
      <c r="ARE18" s="213">
        <f t="shared" si="173"/>
        <v>3283810.5496485545</v>
      </c>
      <c r="ARF18" s="213">
        <f t="shared" si="173"/>
        <v>3283810.5496485545</v>
      </c>
      <c r="ARG18" s="213">
        <f t="shared" si="173"/>
        <v>3283810.5496485545</v>
      </c>
      <c r="ARH18" s="213">
        <f t="shared" si="173"/>
        <v>3283810.5496485545</v>
      </c>
      <c r="ARI18" s="213">
        <f t="shared" si="173"/>
        <v>3283810.5496485545</v>
      </c>
      <c r="ARJ18" s="213">
        <f t="shared" si="173"/>
        <v>3283810.5496485545</v>
      </c>
      <c r="ARK18" s="213">
        <f t="shared" si="173"/>
        <v>3283810.5496485545</v>
      </c>
      <c r="ARL18" s="213">
        <f t="shared" si="173"/>
        <v>3283810.5496485545</v>
      </c>
      <c r="ARM18" s="213">
        <f t="shared" si="173"/>
        <v>3283810.5496485545</v>
      </c>
      <c r="ARN18" s="213">
        <f t="shared" si="173"/>
        <v>3283810.5496485545</v>
      </c>
      <c r="ARO18" s="213">
        <f t="shared" si="173"/>
        <v>3283810.5496485545</v>
      </c>
      <c r="ARP18" s="213">
        <f t="shared" si="173"/>
        <v>3283810.5496485545</v>
      </c>
      <c r="ARQ18" s="213">
        <f t="shared" ref="ARQ18:AUB18" si="174">ARP18+ARQ17</f>
        <v>3283810.5496485545</v>
      </c>
      <c r="ARR18" s="213">
        <f t="shared" si="174"/>
        <v>3283810.5496485545</v>
      </c>
      <c r="ARS18" s="213">
        <f t="shared" si="174"/>
        <v>3283810.5496485545</v>
      </c>
      <c r="ART18" s="213">
        <f t="shared" si="174"/>
        <v>3283810.5496485545</v>
      </c>
      <c r="ARU18" s="213">
        <f t="shared" si="174"/>
        <v>3283810.5496485545</v>
      </c>
      <c r="ARV18" s="213">
        <f t="shared" si="174"/>
        <v>3283810.5496485545</v>
      </c>
      <c r="ARW18" s="213">
        <f t="shared" si="174"/>
        <v>3283810.5496485545</v>
      </c>
      <c r="ARX18" s="213">
        <f t="shared" si="174"/>
        <v>3283810.5496485545</v>
      </c>
      <c r="ARY18" s="213">
        <f t="shared" si="174"/>
        <v>3283810.5496485545</v>
      </c>
      <c r="ARZ18" s="213">
        <f t="shared" si="174"/>
        <v>3283810.5496485545</v>
      </c>
      <c r="ASA18" s="213">
        <f t="shared" si="174"/>
        <v>3283810.5496485545</v>
      </c>
      <c r="ASB18" s="213">
        <f t="shared" si="174"/>
        <v>3283810.5496485545</v>
      </c>
      <c r="ASC18" s="213">
        <f t="shared" si="174"/>
        <v>3283810.5496485545</v>
      </c>
      <c r="ASD18" s="213">
        <f t="shared" si="174"/>
        <v>3283810.5496485545</v>
      </c>
      <c r="ASE18" s="213">
        <f t="shared" si="174"/>
        <v>3283810.5496485545</v>
      </c>
      <c r="ASF18" s="213">
        <f t="shared" si="174"/>
        <v>3283810.5496485545</v>
      </c>
      <c r="ASG18" s="213">
        <f t="shared" si="174"/>
        <v>3283810.5496485545</v>
      </c>
      <c r="ASH18" s="213">
        <f t="shared" si="174"/>
        <v>3283810.5496485545</v>
      </c>
      <c r="ASI18" s="213">
        <f t="shared" si="174"/>
        <v>3283810.5496485545</v>
      </c>
      <c r="ASJ18" s="213">
        <f t="shared" si="174"/>
        <v>3283810.5496485545</v>
      </c>
      <c r="ASK18" s="213">
        <f t="shared" si="174"/>
        <v>3283810.5496485545</v>
      </c>
      <c r="ASL18" s="213">
        <f t="shared" si="174"/>
        <v>3283810.5496485545</v>
      </c>
      <c r="ASM18" s="213">
        <f t="shared" si="174"/>
        <v>3283810.5496485545</v>
      </c>
      <c r="ASN18" s="213">
        <f t="shared" si="174"/>
        <v>3283810.5496485545</v>
      </c>
      <c r="ASO18" s="213">
        <f t="shared" si="174"/>
        <v>3283810.5496485545</v>
      </c>
      <c r="ASP18" s="213">
        <f t="shared" si="174"/>
        <v>3283810.5496485545</v>
      </c>
      <c r="ASQ18" s="213">
        <f t="shared" si="174"/>
        <v>3283810.5496485545</v>
      </c>
      <c r="ASR18" s="213">
        <f t="shared" si="174"/>
        <v>3283810.5496485545</v>
      </c>
      <c r="ASS18" s="213">
        <f t="shared" si="174"/>
        <v>3283810.5496485545</v>
      </c>
      <c r="AST18" s="213">
        <f t="shared" si="174"/>
        <v>3283810.5496485545</v>
      </c>
      <c r="ASU18" s="213">
        <f t="shared" si="174"/>
        <v>3283810.5496485545</v>
      </c>
      <c r="ASV18" s="213">
        <f t="shared" si="174"/>
        <v>3283810.5496485545</v>
      </c>
      <c r="ASW18" s="213">
        <f t="shared" si="174"/>
        <v>3283810.5496485545</v>
      </c>
      <c r="ASX18" s="213">
        <f t="shared" si="174"/>
        <v>3283810.5496485545</v>
      </c>
      <c r="ASY18" s="213">
        <f t="shared" si="174"/>
        <v>3283810.5496485545</v>
      </c>
      <c r="ASZ18" s="213">
        <f t="shared" si="174"/>
        <v>3283810.5496485545</v>
      </c>
      <c r="ATA18" s="213">
        <f t="shared" si="174"/>
        <v>3283810.5496485545</v>
      </c>
      <c r="ATB18" s="213">
        <f t="shared" si="174"/>
        <v>3283810.5496485545</v>
      </c>
      <c r="ATC18" s="213">
        <f t="shared" si="174"/>
        <v>3283810.5496485545</v>
      </c>
      <c r="ATD18" s="213">
        <f t="shared" si="174"/>
        <v>3283810.5496485545</v>
      </c>
      <c r="ATE18" s="213">
        <f t="shared" si="174"/>
        <v>3283810.5496485545</v>
      </c>
      <c r="ATF18" s="213">
        <f t="shared" si="174"/>
        <v>3283810.5496485545</v>
      </c>
      <c r="ATG18" s="213">
        <f t="shared" si="174"/>
        <v>3283810.5496485545</v>
      </c>
      <c r="ATH18" s="213">
        <f t="shared" si="174"/>
        <v>3283810.5496485545</v>
      </c>
      <c r="ATI18" s="213">
        <f t="shared" si="174"/>
        <v>3283810.5496485545</v>
      </c>
      <c r="ATJ18" s="213">
        <f t="shared" si="174"/>
        <v>3283810.5496485545</v>
      </c>
      <c r="ATK18" s="213">
        <f t="shared" si="174"/>
        <v>3283810.5496485545</v>
      </c>
      <c r="ATL18" s="213">
        <f t="shared" si="174"/>
        <v>3283810.5496485545</v>
      </c>
      <c r="ATM18" s="213">
        <f t="shared" si="174"/>
        <v>3283810.5496485545</v>
      </c>
      <c r="ATN18" s="213">
        <f t="shared" si="174"/>
        <v>3283810.5496485545</v>
      </c>
      <c r="ATO18" s="213">
        <f t="shared" si="174"/>
        <v>3283810.5496485545</v>
      </c>
      <c r="ATP18" s="213">
        <f t="shared" si="174"/>
        <v>3283810.5496485545</v>
      </c>
      <c r="ATQ18" s="213">
        <f t="shared" si="174"/>
        <v>3283810.5496485545</v>
      </c>
      <c r="ATR18" s="213">
        <f t="shared" si="174"/>
        <v>3283810.5496485545</v>
      </c>
      <c r="ATS18" s="213">
        <f t="shared" si="174"/>
        <v>3283810.5496485545</v>
      </c>
      <c r="ATT18" s="213">
        <f t="shared" si="174"/>
        <v>3283810.5496485545</v>
      </c>
      <c r="ATU18" s="213">
        <f t="shared" si="174"/>
        <v>3283810.5496485545</v>
      </c>
      <c r="ATV18" s="213">
        <f t="shared" si="174"/>
        <v>3283810.5496485545</v>
      </c>
      <c r="ATW18" s="213">
        <f t="shared" si="174"/>
        <v>3283810.5496485545</v>
      </c>
      <c r="ATX18" s="213">
        <f t="shared" si="174"/>
        <v>3283810.5496485545</v>
      </c>
      <c r="ATY18" s="213">
        <f t="shared" si="174"/>
        <v>3283810.5496485545</v>
      </c>
      <c r="ATZ18" s="213">
        <f t="shared" si="174"/>
        <v>3283810.5496485545</v>
      </c>
      <c r="AUA18" s="213">
        <f t="shared" si="174"/>
        <v>3283810.5496485545</v>
      </c>
      <c r="AUB18" s="213">
        <f t="shared" si="174"/>
        <v>3283810.5496485545</v>
      </c>
      <c r="AUC18" s="213">
        <f t="shared" ref="AUC18:AWN18" si="175">AUB18+AUC17</f>
        <v>3283810.5496485545</v>
      </c>
      <c r="AUD18" s="213">
        <f t="shared" si="175"/>
        <v>3283810.5496485545</v>
      </c>
      <c r="AUE18" s="213">
        <f t="shared" si="175"/>
        <v>3283810.5496485545</v>
      </c>
      <c r="AUF18" s="213">
        <f t="shared" si="175"/>
        <v>3283810.5496485545</v>
      </c>
      <c r="AUG18" s="213">
        <f t="shared" si="175"/>
        <v>3283810.5496485545</v>
      </c>
      <c r="AUH18" s="213">
        <f t="shared" si="175"/>
        <v>3283810.5496485545</v>
      </c>
      <c r="AUI18" s="213">
        <f t="shared" si="175"/>
        <v>3283810.5496485545</v>
      </c>
      <c r="AUJ18" s="213">
        <f t="shared" si="175"/>
        <v>3283810.5496485545</v>
      </c>
      <c r="AUK18" s="213">
        <f t="shared" si="175"/>
        <v>3283810.5496485545</v>
      </c>
      <c r="AUL18" s="213">
        <f t="shared" si="175"/>
        <v>3283810.5496485545</v>
      </c>
      <c r="AUM18" s="213">
        <f t="shared" si="175"/>
        <v>3283810.5496485545</v>
      </c>
      <c r="AUN18" s="213">
        <f t="shared" si="175"/>
        <v>3283810.5496485545</v>
      </c>
      <c r="AUO18" s="213">
        <f t="shared" si="175"/>
        <v>3283810.5496485545</v>
      </c>
      <c r="AUP18" s="213">
        <f t="shared" si="175"/>
        <v>3283810.5496485545</v>
      </c>
      <c r="AUQ18" s="213">
        <f t="shared" si="175"/>
        <v>3283810.5496485545</v>
      </c>
      <c r="AUR18" s="213">
        <f t="shared" si="175"/>
        <v>3283810.5496485545</v>
      </c>
      <c r="AUS18" s="213">
        <f t="shared" si="175"/>
        <v>3283810.5496485545</v>
      </c>
      <c r="AUT18" s="213">
        <f t="shared" si="175"/>
        <v>3283810.5496485545</v>
      </c>
      <c r="AUU18" s="213">
        <f t="shared" si="175"/>
        <v>3283810.5496485545</v>
      </c>
      <c r="AUV18" s="213">
        <f t="shared" si="175"/>
        <v>3283810.5496485545</v>
      </c>
      <c r="AUW18" s="213">
        <f t="shared" si="175"/>
        <v>3283810.5496485545</v>
      </c>
      <c r="AUX18" s="213">
        <f t="shared" si="175"/>
        <v>3283810.5496485545</v>
      </c>
      <c r="AUY18" s="213">
        <f t="shared" si="175"/>
        <v>3283810.5496485545</v>
      </c>
      <c r="AUZ18" s="213">
        <f t="shared" si="175"/>
        <v>3283810.5496485545</v>
      </c>
      <c r="AVA18" s="213">
        <f t="shared" si="175"/>
        <v>3283810.5496485545</v>
      </c>
      <c r="AVB18" s="213">
        <f t="shared" si="175"/>
        <v>3283810.5496485545</v>
      </c>
      <c r="AVC18" s="213">
        <f t="shared" si="175"/>
        <v>3283810.5496485545</v>
      </c>
      <c r="AVD18" s="213">
        <f t="shared" si="175"/>
        <v>3283810.5496485545</v>
      </c>
      <c r="AVE18" s="213">
        <f t="shared" si="175"/>
        <v>3283810.5496485545</v>
      </c>
      <c r="AVF18" s="213">
        <f t="shared" si="175"/>
        <v>3283810.5496485545</v>
      </c>
      <c r="AVG18" s="213">
        <f t="shared" si="175"/>
        <v>3283810.5496485545</v>
      </c>
      <c r="AVH18" s="213">
        <f t="shared" si="175"/>
        <v>3283810.5496485545</v>
      </c>
      <c r="AVI18" s="213">
        <f t="shared" si="175"/>
        <v>3283810.5496485545</v>
      </c>
      <c r="AVJ18" s="213">
        <f t="shared" si="175"/>
        <v>3283810.5496485545</v>
      </c>
      <c r="AVK18" s="213">
        <f t="shared" si="175"/>
        <v>3283810.5496485545</v>
      </c>
      <c r="AVL18" s="213">
        <f t="shared" si="175"/>
        <v>3283810.5496485545</v>
      </c>
      <c r="AVM18" s="213">
        <f t="shared" si="175"/>
        <v>3283810.5496485545</v>
      </c>
      <c r="AVN18" s="213">
        <f t="shared" si="175"/>
        <v>3283810.5496485545</v>
      </c>
      <c r="AVO18" s="213">
        <f t="shared" si="175"/>
        <v>3283810.5496485545</v>
      </c>
      <c r="AVP18" s="213">
        <f t="shared" si="175"/>
        <v>3283810.5496485545</v>
      </c>
      <c r="AVQ18" s="213">
        <f t="shared" si="175"/>
        <v>3283810.5496485545</v>
      </c>
      <c r="AVR18" s="213">
        <f t="shared" si="175"/>
        <v>3283810.5496485545</v>
      </c>
      <c r="AVS18" s="213">
        <f t="shared" si="175"/>
        <v>3283810.5496485545</v>
      </c>
      <c r="AVT18" s="213">
        <f t="shared" si="175"/>
        <v>3283810.5496485545</v>
      </c>
      <c r="AVU18" s="213">
        <f t="shared" si="175"/>
        <v>3283810.5496485545</v>
      </c>
      <c r="AVV18" s="213">
        <f t="shared" si="175"/>
        <v>3283810.5496485545</v>
      </c>
      <c r="AVW18" s="213">
        <f t="shared" si="175"/>
        <v>3283810.5496485545</v>
      </c>
      <c r="AVX18" s="213">
        <f t="shared" si="175"/>
        <v>3283810.5496485545</v>
      </c>
      <c r="AVY18" s="213">
        <f t="shared" si="175"/>
        <v>3283810.5496485545</v>
      </c>
      <c r="AVZ18" s="213">
        <f t="shared" si="175"/>
        <v>3283810.5496485545</v>
      </c>
      <c r="AWA18" s="213">
        <f t="shared" si="175"/>
        <v>3283810.5496485545</v>
      </c>
      <c r="AWB18" s="213">
        <f t="shared" si="175"/>
        <v>3283810.5496485545</v>
      </c>
      <c r="AWC18" s="213">
        <f t="shared" si="175"/>
        <v>3283810.5496485545</v>
      </c>
      <c r="AWD18" s="213">
        <f t="shared" si="175"/>
        <v>3283810.5496485545</v>
      </c>
      <c r="AWE18" s="213">
        <f t="shared" si="175"/>
        <v>3283810.5496485545</v>
      </c>
      <c r="AWF18" s="213">
        <f t="shared" si="175"/>
        <v>3283810.5496485545</v>
      </c>
      <c r="AWG18" s="213">
        <f t="shared" si="175"/>
        <v>3283810.5496485545</v>
      </c>
      <c r="AWH18" s="213">
        <f t="shared" si="175"/>
        <v>3283810.5496485545</v>
      </c>
      <c r="AWI18" s="213">
        <f t="shared" si="175"/>
        <v>3283810.5496485545</v>
      </c>
      <c r="AWJ18" s="213">
        <f t="shared" si="175"/>
        <v>3283810.5496485545</v>
      </c>
      <c r="AWK18" s="213">
        <f t="shared" si="175"/>
        <v>3283810.5496485545</v>
      </c>
      <c r="AWL18" s="213">
        <f t="shared" si="175"/>
        <v>3283810.5496485545</v>
      </c>
      <c r="AWM18" s="213">
        <f t="shared" si="175"/>
        <v>3283810.5496485545</v>
      </c>
      <c r="AWN18" s="213">
        <f t="shared" si="175"/>
        <v>3283810.5496485545</v>
      </c>
      <c r="AWO18" s="213">
        <f t="shared" ref="AWO18:AYZ18" si="176">AWN18+AWO17</f>
        <v>3283810.5496485545</v>
      </c>
      <c r="AWP18" s="213">
        <f t="shared" si="176"/>
        <v>3283810.5496485545</v>
      </c>
      <c r="AWQ18" s="213">
        <f t="shared" si="176"/>
        <v>3283810.5496485545</v>
      </c>
      <c r="AWR18" s="213">
        <f t="shared" si="176"/>
        <v>3283810.5496485545</v>
      </c>
      <c r="AWS18" s="213">
        <f t="shared" si="176"/>
        <v>3283810.5496485545</v>
      </c>
      <c r="AWT18" s="213">
        <f t="shared" si="176"/>
        <v>3283810.5496485545</v>
      </c>
      <c r="AWU18" s="213">
        <f t="shared" si="176"/>
        <v>3283810.5496485545</v>
      </c>
      <c r="AWV18" s="213">
        <f t="shared" si="176"/>
        <v>3283810.5496485545</v>
      </c>
      <c r="AWW18" s="213">
        <f t="shared" si="176"/>
        <v>3283810.5496485545</v>
      </c>
      <c r="AWX18" s="213">
        <f t="shared" si="176"/>
        <v>3283810.5496485545</v>
      </c>
      <c r="AWY18" s="213">
        <f t="shared" si="176"/>
        <v>3283810.5496485545</v>
      </c>
      <c r="AWZ18" s="213">
        <f t="shared" si="176"/>
        <v>3283810.5496485545</v>
      </c>
      <c r="AXA18" s="213">
        <f t="shared" si="176"/>
        <v>3283810.5496485545</v>
      </c>
      <c r="AXB18" s="213">
        <f t="shared" si="176"/>
        <v>3283810.5496485545</v>
      </c>
      <c r="AXC18" s="213">
        <f t="shared" si="176"/>
        <v>3283810.5496485545</v>
      </c>
      <c r="AXD18" s="213">
        <f t="shared" si="176"/>
        <v>3283810.5496485545</v>
      </c>
      <c r="AXE18" s="213">
        <f t="shared" si="176"/>
        <v>3283810.5496485545</v>
      </c>
      <c r="AXF18" s="213">
        <f t="shared" si="176"/>
        <v>3283810.5496485545</v>
      </c>
      <c r="AXG18" s="213">
        <f t="shared" si="176"/>
        <v>3283810.5496485545</v>
      </c>
      <c r="AXH18" s="213">
        <f t="shared" si="176"/>
        <v>3283810.5496485545</v>
      </c>
      <c r="AXI18" s="213">
        <f t="shared" si="176"/>
        <v>3283810.5496485545</v>
      </c>
      <c r="AXJ18" s="213">
        <f t="shared" si="176"/>
        <v>3283810.5496485545</v>
      </c>
      <c r="AXK18" s="213">
        <f t="shared" si="176"/>
        <v>3283810.5496485545</v>
      </c>
      <c r="AXL18" s="213">
        <f t="shared" si="176"/>
        <v>3283810.5496485545</v>
      </c>
      <c r="AXM18" s="213">
        <f t="shared" si="176"/>
        <v>3283810.5496485545</v>
      </c>
      <c r="AXN18" s="213">
        <f t="shared" si="176"/>
        <v>3283810.5496485545</v>
      </c>
      <c r="AXO18" s="213">
        <f t="shared" si="176"/>
        <v>3283810.5496485545</v>
      </c>
      <c r="AXP18" s="213">
        <f t="shared" si="176"/>
        <v>3283810.5496485545</v>
      </c>
      <c r="AXQ18" s="213">
        <f t="shared" si="176"/>
        <v>3283810.5496485545</v>
      </c>
      <c r="AXR18" s="213">
        <f t="shared" si="176"/>
        <v>3283810.5496485545</v>
      </c>
      <c r="AXS18" s="213">
        <f t="shared" si="176"/>
        <v>3283810.5496485545</v>
      </c>
      <c r="AXT18" s="213">
        <f t="shared" si="176"/>
        <v>3283810.5496485545</v>
      </c>
      <c r="AXU18" s="213">
        <f t="shared" si="176"/>
        <v>3283810.5496485545</v>
      </c>
      <c r="AXV18" s="213">
        <f t="shared" si="176"/>
        <v>3283810.5496485545</v>
      </c>
      <c r="AXW18" s="213">
        <f t="shared" si="176"/>
        <v>3283810.5496485545</v>
      </c>
      <c r="AXX18" s="213">
        <f t="shared" si="176"/>
        <v>3283810.5496485545</v>
      </c>
      <c r="AXY18" s="213">
        <f t="shared" si="176"/>
        <v>3283810.5496485545</v>
      </c>
      <c r="AXZ18" s="213">
        <f t="shared" si="176"/>
        <v>3283810.5496485545</v>
      </c>
      <c r="AYA18" s="213">
        <f t="shared" si="176"/>
        <v>3283810.5496485545</v>
      </c>
      <c r="AYB18" s="213">
        <f t="shared" si="176"/>
        <v>3283810.5496485545</v>
      </c>
      <c r="AYC18" s="213">
        <f t="shared" si="176"/>
        <v>3283810.5496485545</v>
      </c>
      <c r="AYD18" s="213">
        <f t="shared" si="176"/>
        <v>3283810.5496485545</v>
      </c>
      <c r="AYE18" s="213">
        <f t="shared" si="176"/>
        <v>3283810.5496485545</v>
      </c>
      <c r="AYF18" s="213">
        <f t="shared" si="176"/>
        <v>3283810.5496485545</v>
      </c>
      <c r="AYG18" s="213">
        <f t="shared" si="176"/>
        <v>3283810.5496485545</v>
      </c>
      <c r="AYH18" s="213">
        <f t="shared" si="176"/>
        <v>3283810.5496485545</v>
      </c>
      <c r="AYI18" s="213">
        <f t="shared" si="176"/>
        <v>3283810.5496485545</v>
      </c>
      <c r="AYJ18" s="213">
        <f t="shared" si="176"/>
        <v>3283810.5496485545</v>
      </c>
      <c r="AYK18" s="213">
        <f t="shared" si="176"/>
        <v>3283810.5496485545</v>
      </c>
      <c r="AYL18" s="213">
        <f t="shared" si="176"/>
        <v>3283810.5496485545</v>
      </c>
      <c r="AYM18" s="213">
        <f t="shared" si="176"/>
        <v>3283810.5496485545</v>
      </c>
      <c r="AYN18" s="213">
        <f t="shared" si="176"/>
        <v>3283810.5496485545</v>
      </c>
      <c r="AYO18" s="213">
        <f t="shared" si="176"/>
        <v>3283810.5496485545</v>
      </c>
      <c r="AYP18" s="213">
        <f t="shared" si="176"/>
        <v>3283810.5496485545</v>
      </c>
      <c r="AYQ18" s="213">
        <f t="shared" si="176"/>
        <v>3283810.5496485545</v>
      </c>
      <c r="AYR18" s="213">
        <f t="shared" si="176"/>
        <v>3283810.5496485545</v>
      </c>
      <c r="AYS18" s="213">
        <f t="shared" si="176"/>
        <v>3283810.5496485545</v>
      </c>
      <c r="AYT18" s="213">
        <f t="shared" si="176"/>
        <v>3283810.5496485545</v>
      </c>
      <c r="AYU18" s="213">
        <f t="shared" si="176"/>
        <v>3283810.5496485545</v>
      </c>
      <c r="AYV18" s="213">
        <f t="shared" si="176"/>
        <v>3283810.5496485545</v>
      </c>
      <c r="AYW18" s="213">
        <f t="shared" si="176"/>
        <v>3283810.5496485545</v>
      </c>
      <c r="AYX18" s="213">
        <f t="shared" si="176"/>
        <v>3283810.5496485545</v>
      </c>
      <c r="AYY18" s="213">
        <f t="shared" si="176"/>
        <v>3283810.5496485545</v>
      </c>
      <c r="AYZ18" s="213">
        <f t="shared" si="176"/>
        <v>3283810.5496485545</v>
      </c>
      <c r="AZA18" s="213">
        <f t="shared" ref="AZA18:AZG18" si="177">AYZ18+AZA17</f>
        <v>3283810.5496485545</v>
      </c>
      <c r="AZB18" s="213">
        <f t="shared" si="177"/>
        <v>3283810.5496485545</v>
      </c>
      <c r="AZC18" s="213">
        <f t="shared" si="177"/>
        <v>3283810.5496485545</v>
      </c>
      <c r="AZD18" s="213">
        <f t="shared" si="177"/>
        <v>3283810.5496485545</v>
      </c>
      <c r="AZE18" s="213">
        <f t="shared" si="177"/>
        <v>3283810.5496485545</v>
      </c>
      <c r="AZF18" s="213">
        <f t="shared" si="177"/>
        <v>3283810.5496485545</v>
      </c>
      <c r="AZG18" s="213">
        <f t="shared" si="177"/>
        <v>3283810.5496485545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1" sqref="H11"/>
    </sheetView>
  </sheetViews>
  <sheetFormatPr defaultColWidth="12" defaultRowHeight="14.45"/>
  <cols>
    <col min="1" max="1" width="39.42578125" style="365" bestFit="1" customWidth="1"/>
    <col min="2" max="2" width="17.42578125" style="366" bestFit="1" customWidth="1"/>
    <col min="3" max="3" width="13.42578125" style="365" bestFit="1" customWidth="1"/>
    <col min="4" max="4" width="14.7109375" style="365" bestFit="1" customWidth="1"/>
    <col min="5" max="6" width="13.42578125" style="365" bestFit="1" customWidth="1"/>
    <col min="7" max="7" width="4.7109375" style="365" bestFit="1" customWidth="1"/>
    <col min="8" max="8" width="13.42578125" style="365" bestFit="1" customWidth="1"/>
    <col min="9" max="9" width="10.7109375" style="365" bestFit="1" customWidth="1"/>
    <col min="10" max="10" width="14.7109375" style="365" bestFit="1" customWidth="1"/>
    <col min="11" max="11" width="11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496</v>
      </c>
      <c r="K4"/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>
        <v>1022028.048780488</v>
      </c>
      <c r="K6"/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>
        <v>256097.56097560975</v>
      </c>
      <c r="K7"/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>
        <v>178536.58536585365</v>
      </c>
      <c r="K8"/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>
        <v>349146.34146341466</v>
      </c>
      <c r="K9"/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>
        <v>59756.09558459359</v>
      </c>
      <c r="K10"/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>
        <v>606162.92152704136</v>
      </c>
      <c r="K11"/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>
        <v>239241.19241192413</v>
      </c>
      <c r="K12"/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>
        <v>323333.33333333331</v>
      </c>
      <c r="K13"/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>
        <v>85494.962962962978</v>
      </c>
      <c r="K14"/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121444.44444444444</v>
      </c>
      <c r="I15" s="370"/>
      <c r="J15" s="370">
        <v>121444.44444444444</v>
      </c>
      <c r="K15"/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>
        <v>35569.063385210808</v>
      </c>
      <c r="I16" s="370"/>
      <c r="J16" s="370">
        <v>35569.063385210808</v>
      </c>
      <c r="K16"/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3018.0739514348784</v>
      </c>
      <c r="I17" s="370">
        <v>3018.0739514348784</v>
      </c>
      <c r="J17" s="370">
        <v>6999.999413677313</v>
      </c>
      <c r="K17"/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160031.58178109012</v>
      </c>
      <c r="I22" s="370">
        <v>3018.0739514348784</v>
      </c>
      <c r="J22" s="370">
        <v>3283810.549648555</v>
      </c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9" sqref="F9"/>
    </sheetView>
  </sheetViews>
  <sheetFormatPr defaultColWidth="8.42578125" defaultRowHeight="14.45"/>
  <cols>
    <col min="1" max="1" width="21.5703125" bestFit="1" customWidth="1"/>
    <col min="2" max="2" width="17.42578125" style="406" bestFit="1" customWidth="1"/>
    <col min="3" max="3" width="13.42578125" style="406" bestFit="1" customWidth="1"/>
    <col min="4" max="4" width="14.7109375" style="406" bestFit="1" customWidth="1"/>
    <col min="5" max="6" width="13.42578125" style="406" bestFit="1" customWidth="1"/>
    <col min="7" max="7" width="11.7109375" style="406" bestFit="1" customWidth="1"/>
    <col min="8" max="8" width="12" style="406" bestFit="1" customWidth="1"/>
    <col min="9" max="9" width="10.5703125" style="406" bestFit="1" customWidth="1"/>
    <col min="10" max="10" width="14.7109375" bestFit="1" customWidth="1"/>
    <col min="11" max="11" width="11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0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496</v>
      </c>
    </row>
    <row r="5" spans="1:10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</row>
    <row r="6" spans="1:10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>
        <v>706622.74</v>
      </c>
    </row>
    <row r="7" spans="1:10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>
        <v>195738</v>
      </c>
    </row>
    <row r="8" spans="1:10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>
        <v>69250</v>
      </c>
    </row>
    <row r="9" spans="1:10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>
        <v>257154.89999999997</v>
      </c>
    </row>
    <row r="10" spans="1:10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>
        <v>44864.75</v>
      </c>
    </row>
    <row r="11" spans="1:10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>
        <v>247722.28</v>
      </c>
    </row>
    <row r="12" spans="1:10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10436.700000000001</v>
      </c>
      <c r="I12" s="446"/>
      <c r="J12" s="446">
        <v>231279</v>
      </c>
    </row>
    <row r="13" spans="1:10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>
        <v>321250</v>
      </c>
    </row>
    <row r="14" spans="1:10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>
        <v>92395.69</v>
      </c>
    </row>
    <row r="15" spans="1:10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18577.5</v>
      </c>
      <c r="I15" s="446"/>
      <c r="J15" s="446">
        <v>18577.5</v>
      </c>
    </row>
    <row r="16" spans="1:10">
      <c r="A16" s="444" t="s">
        <v>450</v>
      </c>
      <c r="B16" s="446"/>
      <c r="C16" s="446"/>
      <c r="D16" s="446"/>
      <c r="E16" s="446"/>
      <c r="F16" s="446"/>
      <c r="G16" s="446"/>
      <c r="H16" s="446">
        <v>41047.631874999999</v>
      </c>
      <c r="I16" s="446"/>
      <c r="J16" s="446">
        <v>41047.631874999999</v>
      </c>
    </row>
    <row r="17" spans="1:10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500</v>
      </c>
      <c r="I17" s="446">
        <v>500</v>
      </c>
      <c r="J17" s="446">
        <v>1159.68</v>
      </c>
    </row>
    <row r="18" spans="1:10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</row>
    <row r="19" spans="1:10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>
        <v>0</v>
      </c>
    </row>
    <row r="20" spans="1:10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</row>
    <row r="21" spans="1:10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</row>
    <row r="22" spans="1:10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70561.831875000003</v>
      </c>
      <c r="I22" s="446">
        <v>500</v>
      </c>
      <c r="J22" s="446">
        <v>2227062.171875</v>
      </c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532</v>
      </c>
      <c r="C32" s="103"/>
      <c r="D32" s="103"/>
    </row>
    <row r="33" spans="2:4" ht="13.9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19.570312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A82BD4C9-7750-43A0-9F40-C2EC90C0B974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2026-02-02T10:27:18Z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