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an\Desktop\Calculators\"/>
    </mc:Choice>
  </mc:AlternateContent>
  <xr:revisionPtr revIDLastSave="0" documentId="13_ncr:1_{C72A16F1-8CF3-4407-B585-B8235844A4F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verter 1" sheetId="1" r:id="rId1"/>
    <sheet name="Inverter 2" sheetId="21" r:id="rId2"/>
    <sheet name="Inverter 3" sheetId="22" r:id="rId3"/>
    <sheet name="Inverter 4" sheetId="23" r:id="rId4"/>
    <sheet name="Inverter 5" sheetId="24" r:id="rId5"/>
    <sheet name="Inverter 6" sheetId="25" r:id="rId6"/>
    <sheet name="Inverter 7" sheetId="26" r:id="rId7"/>
    <sheet name="Inverter 8" sheetId="27" r:id="rId8"/>
    <sheet name="Inverter 9" sheetId="28" r:id="rId9"/>
    <sheet name="Inverter 10" sheetId="2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qWVws4mGFzcsAoI6kstTxekJYLA=="/>
    </ext>
  </extLst>
</workbook>
</file>

<file path=xl/calcChain.xml><?xml version="1.0" encoding="utf-8"?>
<calcChain xmlns="http://schemas.openxmlformats.org/spreadsheetml/2006/main">
  <c r="C8" i="1" l="1"/>
  <c r="C9" i="1" s="1"/>
  <c r="V21" i="29" l="1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R20" i="29"/>
  <c r="Q20" i="29"/>
  <c r="P20" i="29"/>
  <c r="O20" i="29"/>
  <c r="F20" i="29"/>
  <c r="E20" i="29"/>
  <c r="D20" i="29"/>
  <c r="C20" i="29"/>
  <c r="Q19" i="29"/>
  <c r="Q24" i="29" s="1"/>
  <c r="P19" i="29"/>
  <c r="P24" i="29" s="1"/>
  <c r="O19" i="29"/>
  <c r="O24" i="29" s="1"/>
  <c r="N19" i="29"/>
  <c r="M19" i="29"/>
  <c r="L19" i="29"/>
  <c r="L24" i="29" s="1"/>
  <c r="K19" i="29"/>
  <c r="K24" i="29" s="1"/>
  <c r="E19" i="29"/>
  <c r="E24" i="29" s="1"/>
  <c r="D19" i="29"/>
  <c r="D24" i="29" s="1"/>
  <c r="C19" i="29"/>
  <c r="C24" i="29" s="1"/>
  <c r="V18" i="29"/>
  <c r="V19" i="29" s="1"/>
  <c r="U18" i="29"/>
  <c r="U19" i="29" s="1"/>
  <c r="T18" i="29"/>
  <c r="T20" i="29" s="1"/>
  <c r="S18" i="29"/>
  <c r="S20" i="29" s="1"/>
  <c r="R18" i="29"/>
  <c r="R19" i="29" s="1"/>
  <c r="R24" i="29" s="1"/>
  <c r="Q18" i="29"/>
  <c r="P18" i="29"/>
  <c r="O18" i="29"/>
  <c r="N18" i="29"/>
  <c r="N20" i="29" s="1"/>
  <c r="M18" i="29"/>
  <c r="M20" i="29" s="1"/>
  <c r="L18" i="29"/>
  <c r="L20" i="29" s="1"/>
  <c r="K18" i="29"/>
  <c r="K20" i="29" s="1"/>
  <c r="J18" i="29"/>
  <c r="J19" i="29" s="1"/>
  <c r="I18" i="29"/>
  <c r="I19" i="29" s="1"/>
  <c r="H18" i="29"/>
  <c r="H19" i="29" s="1"/>
  <c r="G18" i="29"/>
  <c r="G20" i="29" s="1"/>
  <c r="F18" i="29"/>
  <c r="F19" i="29" s="1"/>
  <c r="F24" i="29" s="1"/>
  <c r="E18" i="29"/>
  <c r="D18" i="29"/>
  <c r="C18" i="29"/>
  <c r="AT11" i="29"/>
  <c r="AS11" i="29"/>
  <c r="AR11" i="29"/>
  <c r="AQ11" i="29"/>
  <c r="AP11" i="29"/>
  <c r="AO11" i="29"/>
  <c r="AN11" i="29"/>
  <c r="AM11" i="29"/>
  <c r="AL11" i="29"/>
  <c r="AK11" i="29"/>
  <c r="AJ11" i="29"/>
  <c r="AI11" i="29"/>
  <c r="AH11" i="29"/>
  <c r="AG11" i="29"/>
  <c r="AF11" i="29"/>
  <c r="AE11" i="29"/>
  <c r="AD11" i="29"/>
  <c r="AC11" i="29"/>
  <c r="AB11" i="29"/>
  <c r="AA11" i="29"/>
  <c r="V10" i="29"/>
  <c r="U10" i="29"/>
  <c r="T10" i="29"/>
  <c r="S10" i="29"/>
  <c r="R10" i="29"/>
  <c r="J10" i="29"/>
  <c r="I10" i="29"/>
  <c r="H10" i="29"/>
  <c r="G10" i="29"/>
  <c r="F10" i="29"/>
  <c r="U9" i="29"/>
  <c r="U13" i="29" s="1"/>
  <c r="T9" i="29"/>
  <c r="T13" i="29" s="1"/>
  <c r="S9" i="29"/>
  <c r="S13" i="29" s="1"/>
  <c r="R9" i="29"/>
  <c r="R13" i="29" s="1"/>
  <c r="Q9" i="29"/>
  <c r="P9" i="29"/>
  <c r="P13" i="29" s="1"/>
  <c r="O9" i="29"/>
  <c r="O13" i="29" s="1"/>
  <c r="I9" i="29"/>
  <c r="I13" i="29" s="1"/>
  <c r="H9" i="29"/>
  <c r="H13" i="29" s="1"/>
  <c r="G9" i="29"/>
  <c r="G13" i="29" s="1"/>
  <c r="F9" i="29"/>
  <c r="F13" i="29" s="1"/>
  <c r="E9" i="29"/>
  <c r="D9" i="29"/>
  <c r="D13" i="29" s="1"/>
  <c r="C9" i="29"/>
  <c r="C13" i="29" s="1"/>
  <c r="V8" i="29"/>
  <c r="V9" i="29" s="1"/>
  <c r="V13" i="29" s="1"/>
  <c r="U8" i="29"/>
  <c r="T8" i="29"/>
  <c r="S8" i="29"/>
  <c r="R8" i="29"/>
  <c r="Q8" i="29"/>
  <c r="Q10" i="29" s="1"/>
  <c r="P8" i="29"/>
  <c r="P10" i="29" s="1"/>
  <c r="O8" i="29"/>
  <c r="O10" i="29" s="1"/>
  <c r="N8" i="29"/>
  <c r="N9" i="29" s="1"/>
  <c r="M8" i="29"/>
  <c r="M9" i="29" s="1"/>
  <c r="L8" i="29"/>
  <c r="L9" i="29" s="1"/>
  <c r="K8" i="29"/>
  <c r="K9" i="29" s="1"/>
  <c r="J8" i="29"/>
  <c r="J9" i="29" s="1"/>
  <c r="J13" i="29" s="1"/>
  <c r="I8" i="29"/>
  <c r="H8" i="29"/>
  <c r="G8" i="29"/>
  <c r="F8" i="29"/>
  <c r="E8" i="29"/>
  <c r="E10" i="29" s="1"/>
  <c r="D8" i="29"/>
  <c r="D10" i="29" s="1"/>
  <c r="C8" i="29"/>
  <c r="C10" i="29" s="1"/>
  <c r="C1" i="29"/>
  <c r="E24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R20" i="28"/>
  <c r="Q20" i="28"/>
  <c r="P20" i="28"/>
  <c r="O20" i="28"/>
  <c r="N20" i="28"/>
  <c r="F20" i="28"/>
  <c r="E20" i="28"/>
  <c r="D20" i="28"/>
  <c r="C20" i="28"/>
  <c r="C24" i="28" s="1"/>
  <c r="Q19" i="28"/>
  <c r="Q24" i="28" s="1"/>
  <c r="P19" i="28"/>
  <c r="P24" i="28" s="1"/>
  <c r="O19" i="28"/>
  <c r="O24" i="28" s="1"/>
  <c r="N19" i="28"/>
  <c r="N24" i="28" s="1"/>
  <c r="M19" i="28"/>
  <c r="M24" i="28" s="1"/>
  <c r="L19" i="28"/>
  <c r="L24" i="28" s="1"/>
  <c r="K19" i="28"/>
  <c r="K24" i="28" s="1"/>
  <c r="E19" i="28"/>
  <c r="D19" i="28"/>
  <c r="D24" i="28" s="1"/>
  <c r="C19" i="28"/>
  <c r="V18" i="28"/>
  <c r="V19" i="28" s="1"/>
  <c r="U18" i="28"/>
  <c r="U19" i="28" s="1"/>
  <c r="T18" i="28"/>
  <c r="T19" i="28" s="1"/>
  <c r="S18" i="28"/>
  <c r="S19" i="28" s="1"/>
  <c r="R18" i="28"/>
  <c r="R19" i="28" s="1"/>
  <c r="R24" i="28" s="1"/>
  <c r="Q18" i="28"/>
  <c r="P18" i="28"/>
  <c r="O18" i="28"/>
  <c r="N18" i="28"/>
  <c r="M18" i="28"/>
  <c r="M20" i="28" s="1"/>
  <c r="L18" i="28"/>
  <c r="L20" i="28" s="1"/>
  <c r="K18" i="28"/>
  <c r="K20" i="28" s="1"/>
  <c r="J18" i="28"/>
  <c r="J19" i="28" s="1"/>
  <c r="I18" i="28"/>
  <c r="I19" i="28" s="1"/>
  <c r="H18" i="28"/>
  <c r="H19" i="28" s="1"/>
  <c r="G18" i="28"/>
  <c r="G19" i="28" s="1"/>
  <c r="F18" i="28"/>
  <c r="F19" i="28" s="1"/>
  <c r="F24" i="28" s="1"/>
  <c r="E18" i="28"/>
  <c r="D18" i="28"/>
  <c r="C18" i="28"/>
  <c r="AT11" i="28"/>
  <c r="AS11" i="28"/>
  <c r="AR11" i="28"/>
  <c r="AQ11" i="28"/>
  <c r="AP11" i="28"/>
  <c r="AO11" i="28"/>
  <c r="AN11" i="28"/>
  <c r="AM11" i="28"/>
  <c r="AL11" i="28"/>
  <c r="AK11" i="28"/>
  <c r="AJ11" i="28"/>
  <c r="AI11" i="28"/>
  <c r="AH11" i="28"/>
  <c r="AG11" i="28"/>
  <c r="AF11" i="28"/>
  <c r="AE11" i="28"/>
  <c r="AD11" i="28"/>
  <c r="AC11" i="28"/>
  <c r="AB11" i="28"/>
  <c r="AA11" i="28"/>
  <c r="V10" i="28"/>
  <c r="U10" i="28"/>
  <c r="T10" i="28"/>
  <c r="S10" i="28"/>
  <c r="R10" i="28"/>
  <c r="J10" i="28"/>
  <c r="I10" i="28"/>
  <c r="H10" i="28"/>
  <c r="G10" i="28"/>
  <c r="F10" i="28"/>
  <c r="U9" i="28"/>
  <c r="U13" i="28" s="1"/>
  <c r="T9" i="28"/>
  <c r="T13" i="28" s="1"/>
  <c r="S9" i="28"/>
  <c r="S13" i="28" s="1"/>
  <c r="R9" i="28"/>
  <c r="R13" i="28" s="1"/>
  <c r="Q9" i="28"/>
  <c r="P9" i="28"/>
  <c r="O9" i="28"/>
  <c r="O13" i="28" s="1"/>
  <c r="I9" i="28"/>
  <c r="I13" i="28" s="1"/>
  <c r="H9" i="28"/>
  <c r="H13" i="28" s="1"/>
  <c r="G9" i="28"/>
  <c r="G13" i="28" s="1"/>
  <c r="F9" i="28"/>
  <c r="F13" i="28" s="1"/>
  <c r="E9" i="28"/>
  <c r="D9" i="28"/>
  <c r="D13" i="28" s="1"/>
  <c r="C9" i="28"/>
  <c r="C13" i="28" s="1"/>
  <c r="V8" i="28"/>
  <c r="V9" i="28" s="1"/>
  <c r="V13" i="28" s="1"/>
  <c r="U8" i="28"/>
  <c r="T8" i="28"/>
  <c r="S8" i="28"/>
  <c r="R8" i="28"/>
  <c r="Q8" i="28"/>
  <c r="Q10" i="28" s="1"/>
  <c r="P8" i="28"/>
  <c r="P10" i="28" s="1"/>
  <c r="P13" i="28" s="1"/>
  <c r="O8" i="28"/>
  <c r="O10" i="28" s="1"/>
  <c r="N8" i="28"/>
  <c r="N9" i="28" s="1"/>
  <c r="M8" i="28"/>
  <c r="M9" i="28" s="1"/>
  <c r="L8" i="28"/>
  <c r="L9" i="28" s="1"/>
  <c r="K8" i="28"/>
  <c r="K9" i="28" s="1"/>
  <c r="J8" i="28"/>
  <c r="J9" i="28" s="1"/>
  <c r="J13" i="28" s="1"/>
  <c r="I8" i="28"/>
  <c r="H8" i="28"/>
  <c r="G8" i="28"/>
  <c r="F8" i="28"/>
  <c r="E8" i="28"/>
  <c r="E10" i="28" s="1"/>
  <c r="E13" i="28" s="1"/>
  <c r="D8" i="28"/>
  <c r="D10" i="28" s="1"/>
  <c r="C8" i="28"/>
  <c r="C10" i="28" s="1"/>
  <c r="C1" i="28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R20" i="27"/>
  <c r="Q20" i="27"/>
  <c r="P20" i="27"/>
  <c r="O20" i="27"/>
  <c r="N20" i="27"/>
  <c r="F20" i="27"/>
  <c r="E20" i="27"/>
  <c r="D20" i="27"/>
  <c r="C20" i="27"/>
  <c r="Q19" i="27"/>
  <c r="Q24" i="27" s="1"/>
  <c r="P19" i="27"/>
  <c r="P24" i="27" s="1"/>
  <c r="O19" i="27"/>
  <c r="O24" i="27" s="1"/>
  <c r="N19" i="27"/>
  <c r="N24" i="27" s="1"/>
  <c r="M19" i="27"/>
  <c r="M24" i="27" s="1"/>
  <c r="L19" i="27"/>
  <c r="L24" i="27" s="1"/>
  <c r="K19" i="27"/>
  <c r="K24" i="27" s="1"/>
  <c r="E19" i="27"/>
  <c r="E24" i="27" s="1"/>
  <c r="D19" i="27"/>
  <c r="D24" i="27" s="1"/>
  <c r="C19" i="27"/>
  <c r="C24" i="27" s="1"/>
  <c r="V18" i="27"/>
  <c r="V19" i="27" s="1"/>
  <c r="U18" i="27"/>
  <c r="U19" i="27" s="1"/>
  <c r="T18" i="27"/>
  <c r="T19" i="27" s="1"/>
  <c r="S18" i="27"/>
  <c r="S19" i="27" s="1"/>
  <c r="R18" i="27"/>
  <c r="R19" i="27" s="1"/>
  <c r="R24" i="27" s="1"/>
  <c r="Q18" i="27"/>
  <c r="P18" i="27"/>
  <c r="O18" i="27"/>
  <c r="N18" i="27"/>
  <c r="M18" i="27"/>
  <c r="M20" i="27" s="1"/>
  <c r="L18" i="27"/>
  <c r="L20" i="27" s="1"/>
  <c r="K18" i="27"/>
  <c r="K20" i="27" s="1"/>
  <c r="J18" i="27"/>
  <c r="J19" i="27" s="1"/>
  <c r="I18" i="27"/>
  <c r="I19" i="27" s="1"/>
  <c r="H18" i="27"/>
  <c r="H19" i="27" s="1"/>
  <c r="G18" i="27"/>
  <c r="G19" i="27" s="1"/>
  <c r="F18" i="27"/>
  <c r="F19" i="27" s="1"/>
  <c r="F24" i="27" s="1"/>
  <c r="E18" i="27"/>
  <c r="D18" i="27"/>
  <c r="C18" i="27"/>
  <c r="AT11" i="27"/>
  <c r="AS11" i="27"/>
  <c r="AR11" i="27"/>
  <c r="AQ11" i="27"/>
  <c r="AP11" i="27"/>
  <c r="AO11" i="27"/>
  <c r="AN11" i="27"/>
  <c r="AM11" i="27"/>
  <c r="AL11" i="27"/>
  <c r="AK11" i="27"/>
  <c r="AJ11" i="27"/>
  <c r="AI11" i="27"/>
  <c r="AH11" i="27"/>
  <c r="AG11" i="27"/>
  <c r="AF11" i="27"/>
  <c r="AE11" i="27"/>
  <c r="AD11" i="27"/>
  <c r="AC11" i="27"/>
  <c r="AB11" i="27"/>
  <c r="AA11" i="27"/>
  <c r="V10" i="27"/>
  <c r="U10" i="27"/>
  <c r="T10" i="27"/>
  <c r="S10" i="27"/>
  <c r="R10" i="27"/>
  <c r="J10" i="27"/>
  <c r="I10" i="27"/>
  <c r="H10" i="27"/>
  <c r="G10" i="27"/>
  <c r="F10" i="27"/>
  <c r="U9" i="27"/>
  <c r="U13" i="27" s="1"/>
  <c r="T9" i="27"/>
  <c r="T13" i="27" s="1"/>
  <c r="S9" i="27"/>
  <c r="S13" i="27" s="1"/>
  <c r="R9" i="27"/>
  <c r="R13" i="27" s="1"/>
  <c r="Q9" i="27"/>
  <c r="Q13" i="27" s="1"/>
  <c r="P9" i="27"/>
  <c r="P13" i="27" s="1"/>
  <c r="O9" i="27"/>
  <c r="O13" i="27" s="1"/>
  <c r="I9" i="27"/>
  <c r="I13" i="27" s="1"/>
  <c r="H9" i="27"/>
  <c r="H13" i="27" s="1"/>
  <c r="G9" i="27"/>
  <c r="G13" i="27" s="1"/>
  <c r="F9" i="27"/>
  <c r="F13" i="27" s="1"/>
  <c r="E9" i="27"/>
  <c r="D9" i="27"/>
  <c r="D13" i="27" s="1"/>
  <c r="C9" i="27"/>
  <c r="C13" i="27" s="1"/>
  <c r="V8" i="27"/>
  <c r="V9" i="27" s="1"/>
  <c r="V13" i="27" s="1"/>
  <c r="U8" i="27"/>
  <c r="T8" i="27"/>
  <c r="S8" i="27"/>
  <c r="R8" i="27"/>
  <c r="Q8" i="27"/>
  <c r="Q10" i="27" s="1"/>
  <c r="P8" i="27"/>
  <c r="P10" i="27" s="1"/>
  <c r="O8" i="27"/>
  <c r="O10" i="27" s="1"/>
  <c r="N8" i="27"/>
  <c r="N9" i="27" s="1"/>
  <c r="M8" i="27"/>
  <c r="M9" i="27" s="1"/>
  <c r="L8" i="27"/>
  <c r="L9" i="27" s="1"/>
  <c r="K8" i="27"/>
  <c r="K9" i="27" s="1"/>
  <c r="J8" i="27"/>
  <c r="J9" i="27" s="1"/>
  <c r="J13" i="27" s="1"/>
  <c r="I8" i="27"/>
  <c r="H8" i="27"/>
  <c r="G8" i="27"/>
  <c r="F8" i="27"/>
  <c r="E8" i="27"/>
  <c r="E10" i="27" s="1"/>
  <c r="D8" i="27"/>
  <c r="D10" i="27" s="1"/>
  <c r="C8" i="27"/>
  <c r="C10" i="27" s="1"/>
  <c r="C1" i="27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R20" i="26"/>
  <c r="Q20" i="26"/>
  <c r="P20" i="26"/>
  <c r="O20" i="26"/>
  <c r="M20" i="26"/>
  <c r="L20" i="26"/>
  <c r="K20" i="26"/>
  <c r="F20" i="26"/>
  <c r="E20" i="26"/>
  <c r="D20" i="26"/>
  <c r="C20" i="26"/>
  <c r="R19" i="26"/>
  <c r="R24" i="26" s="1"/>
  <c r="N19" i="26"/>
  <c r="M19" i="26"/>
  <c r="M24" i="26" s="1"/>
  <c r="L19" i="26"/>
  <c r="L24" i="26" s="1"/>
  <c r="K19" i="26"/>
  <c r="K24" i="26" s="1"/>
  <c r="F19" i="26"/>
  <c r="F24" i="26" s="1"/>
  <c r="V18" i="26"/>
  <c r="V19" i="26" s="1"/>
  <c r="U18" i="26"/>
  <c r="U19" i="26" s="1"/>
  <c r="T18" i="26"/>
  <c r="T19" i="26" s="1"/>
  <c r="S18" i="26"/>
  <c r="S19" i="26" s="1"/>
  <c r="R18" i="26"/>
  <c r="Q18" i="26"/>
  <c r="Q19" i="26" s="1"/>
  <c r="Q24" i="26" s="1"/>
  <c r="P18" i="26"/>
  <c r="P19" i="26" s="1"/>
  <c r="P24" i="26" s="1"/>
  <c r="O18" i="26"/>
  <c r="O19" i="26" s="1"/>
  <c r="O24" i="26" s="1"/>
  <c r="N18" i="26"/>
  <c r="N20" i="26" s="1"/>
  <c r="M18" i="26"/>
  <c r="L18" i="26"/>
  <c r="K18" i="26"/>
  <c r="J18" i="26"/>
  <c r="J19" i="26" s="1"/>
  <c r="I18" i="26"/>
  <c r="I19" i="26" s="1"/>
  <c r="H18" i="26"/>
  <c r="H19" i="26" s="1"/>
  <c r="G18" i="26"/>
  <c r="G19" i="26" s="1"/>
  <c r="F18" i="26"/>
  <c r="E18" i="26"/>
  <c r="E19" i="26" s="1"/>
  <c r="E24" i="26" s="1"/>
  <c r="D18" i="26"/>
  <c r="D19" i="26" s="1"/>
  <c r="D24" i="26" s="1"/>
  <c r="C18" i="26"/>
  <c r="C19" i="26" s="1"/>
  <c r="C24" i="26" s="1"/>
  <c r="AT11" i="26"/>
  <c r="AS11" i="26"/>
  <c r="AR11" i="26"/>
  <c r="AQ11" i="26"/>
  <c r="AP11" i="26"/>
  <c r="AO11" i="26"/>
  <c r="AN11" i="26"/>
  <c r="AM11" i="26"/>
  <c r="AL11" i="26"/>
  <c r="AK11" i="26"/>
  <c r="AJ11" i="26"/>
  <c r="AI11" i="26"/>
  <c r="AH11" i="26"/>
  <c r="AG11" i="26"/>
  <c r="AF11" i="26"/>
  <c r="AE11" i="26"/>
  <c r="AD11" i="26"/>
  <c r="AC11" i="26"/>
  <c r="AB11" i="26"/>
  <c r="AA11" i="26"/>
  <c r="V10" i="26"/>
  <c r="U10" i="26"/>
  <c r="T10" i="26"/>
  <c r="S10" i="26"/>
  <c r="Q10" i="26"/>
  <c r="P10" i="26"/>
  <c r="O10" i="26"/>
  <c r="J10" i="26"/>
  <c r="I10" i="26"/>
  <c r="H10" i="26"/>
  <c r="G10" i="26"/>
  <c r="E10" i="26"/>
  <c r="D10" i="26"/>
  <c r="C10" i="26"/>
  <c r="V9" i="26"/>
  <c r="V13" i="26" s="1"/>
  <c r="R9" i="26"/>
  <c r="Q9" i="26"/>
  <c r="Q13" i="26" s="1"/>
  <c r="P9" i="26"/>
  <c r="P13" i="26" s="1"/>
  <c r="O9" i="26"/>
  <c r="O13" i="26" s="1"/>
  <c r="J9" i="26"/>
  <c r="J13" i="26" s="1"/>
  <c r="F9" i="26"/>
  <c r="E9" i="26"/>
  <c r="E13" i="26" s="1"/>
  <c r="D9" i="26"/>
  <c r="D13" i="26" s="1"/>
  <c r="C9" i="26"/>
  <c r="C13" i="26" s="1"/>
  <c r="V8" i="26"/>
  <c r="U8" i="26"/>
  <c r="U9" i="26" s="1"/>
  <c r="U13" i="26" s="1"/>
  <c r="T8" i="26"/>
  <c r="T9" i="26" s="1"/>
  <c r="T13" i="26" s="1"/>
  <c r="S8" i="26"/>
  <c r="S9" i="26" s="1"/>
  <c r="S13" i="26" s="1"/>
  <c r="R8" i="26"/>
  <c r="R10" i="26" s="1"/>
  <c r="Q8" i="26"/>
  <c r="P8" i="26"/>
  <c r="O8" i="26"/>
  <c r="N8" i="26"/>
  <c r="N9" i="26" s="1"/>
  <c r="M8" i="26"/>
  <c r="M9" i="26" s="1"/>
  <c r="L8" i="26"/>
  <c r="L9" i="26" s="1"/>
  <c r="K8" i="26"/>
  <c r="K9" i="26" s="1"/>
  <c r="J8" i="26"/>
  <c r="I8" i="26"/>
  <c r="I9" i="26" s="1"/>
  <c r="I13" i="26" s="1"/>
  <c r="H8" i="26"/>
  <c r="H9" i="26" s="1"/>
  <c r="H13" i="26" s="1"/>
  <c r="G8" i="26"/>
  <c r="G9" i="26" s="1"/>
  <c r="G13" i="26" s="1"/>
  <c r="F8" i="26"/>
  <c r="F10" i="26" s="1"/>
  <c r="E8" i="26"/>
  <c r="D8" i="26"/>
  <c r="C8" i="26"/>
  <c r="C1" i="26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R20" i="25"/>
  <c r="Q20" i="25"/>
  <c r="P20" i="25"/>
  <c r="O20" i="25"/>
  <c r="N20" i="25"/>
  <c r="F20" i="25"/>
  <c r="E20" i="25"/>
  <c r="D20" i="25"/>
  <c r="C20" i="25"/>
  <c r="Q19" i="25"/>
  <c r="Q24" i="25" s="1"/>
  <c r="P19" i="25"/>
  <c r="P24" i="25" s="1"/>
  <c r="O19" i="25"/>
  <c r="O24" i="25" s="1"/>
  <c r="N19" i="25"/>
  <c r="N24" i="25" s="1"/>
  <c r="M19" i="25"/>
  <c r="L19" i="25"/>
  <c r="L24" i="25" s="1"/>
  <c r="K19" i="25"/>
  <c r="K24" i="25" s="1"/>
  <c r="E19" i="25"/>
  <c r="E24" i="25" s="1"/>
  <c r="D19" i="25"/>
  <c r="D24" i="25" s="1"/>
  <c r="C19" i="25"/>
  <c r="C24" i="25" s="1"/>
  <c r="V18" i="25"/>
  <c r="V19" i="25" s="1"/>
  <c r="U18" i="25"/>
  <c r="U19" i="25" s="1"/>
  <c r="T18" i="25"/>
  <c r="T19" i="25" s="1"/>
  <c r="S18" i="25"/>
  <c r="S19" i="25" s="1"/>
  <c r="R18" i="25"/>
  <c r="R19" i="25" s="1"/>
  <c r="R24" i="25" s="1"/>
  <c r="Q18" i="25"/>
  <c r="P18" i="25"/>
  <c r="O18" i="25"/>
  <c r="N18" i="25"/>
  <c r="M18" i="25"/>
  <c r="M20" i="25" s="1"/>
  <c r="L18" i="25"/>
  <c r="L20" i="25" s="1"/>
  <c r="K18" i="25"/>
  <c r="K20" i="25" s="1"/>
  <c r="J18" i="25"/>
  <c r="J19" i="25" s="1"/>
  <c r="I18" i="25"/>
  <c r="I19" i="25" s="1"/>
  <c r="H18" i="25"/>
  <c r="H19" i="25" s="1"/>
  <c r="G18" i="25"/>
  <c r="G19" i="25" s="1"/>
  <c r="F18" i="25"/>
  <c r="F19" i="25" s="1"/>
  <c r="F24" i="25" s="1"/>
  <c r="E18" i="25"/>
  <c r="D18" i="25"/>
  <c r="C18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U10" i="25"/>
  <c r="T10" i="25"/>
  <c r="S10" i="25"/>
  <c r="R10" i="25"/>
  <c r="I10" i="25"/>
  <c r="H10" i="25"/>
  <c r="G10" i="25"/>
  <c r="F10" i="25"/>
  <c r="U9" i="25"/>
  <c r="U13" i="25" s="1"/>
  <c r="T9" i="25"/>
  <c r="T13" i="25" s="1"/>
  <c r="S9" i="25"/>
  <c r="S13" i="25" s="1"/>
  <c r="R9" i="25"/>
  <c r="R13" i="25" s="1"/>
  <c r="Q9" i="25"/>
  <c r="P9" i="25"/>
  <c r="O9" i="25"/>
  <c r="O13" i="25" s="1"/>
  <c r="N9" i="25"/>
  <c r="N13" i="25" s="1"/>
  <c r="I9" i="25"/>
  <c r="I13" i="25" s="1"/>
  <c r="H9" i="25"/>
  <c r="H13" i="25" s="1"/>
  <c r="G9" i="25"/>
  <c r="G13" i="25" s="1"/>
  <c r="F9" i="25"/>
  <c r="F13" i="25" s="1"/>
  <c r="E9" i="25"/>
  <c r="D9" i="25"/>
  <c r="C9" i="25"/>
  <c r="C13" i="25" s="1"/>
  <c r="V8" i="25"/>
  <c r="V9" i="25" s="1"/>
  <c r="U8" i="25"/>
  <c r="T8" i="25"/>
  <c r="S8" i="25"/>
  <c r="R8" i="25"/>
  <c r="Q8" i="25"/>
  <c r="Q10" i="25" s="1"/>
  <c r="P8" i="25"/>
  <c r="P10" i="25" s="1"/>
  <c r="O8" i="25"/>
  <c r="O10" i="25" s="1"/>
  <c r="N8" i="25"/>
  <c r="N10" i="25" s="1"/>
  <c r="M8" i="25"/>
  <c r="M9" i="25" s="1"/>
  <c r="L8" i="25"/>
  <c r="L9" i="25" s="1"/>
  <c r="K8" i="25"/>
  <c r="K9" i="25" s="1"/>
  <c r="J8" i="25"/>
  <c r="J9" i="25" s="1"/>
  <c r="I8" i="25"/>
  <c r="H8" i="25"/>
  <c r="G8" i="25"/>
  <c r="F8" i="25"/>
  <c r="E8" i="25"/>
  <c r="E10" i="25" s="1"/>
  <c r="D8" i="25"/>
  <c r="D10" i="25" s="1"/>
  <c r="C8" i="25"/>
  <c r="C10" i="25" s="1"/>
  <c r="C1" i="25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R20" i="24"/>
  <c r="Q20" i="24"/>
  <c r="P20" i="24"/>
  <c r="O20" i="24"/>
  <c r="F20" i="24"/>
  <c r="E20" i="24"/>
  <c r="D20" i="24"/>
  <c r="C20" i="24"/>
  <c r="R19" i="24"/>
  <c r="R24" i="24" s="1"/>
  <c r="Q19" i="24"/>
  <c r="Q24" i="24" s="1"/>
  <c r="P19" i="24"/>
  <c r="P24" i="24" s="1"/>
  <c r="O19" i="24"/>
  <c r="O24" i="24" s="1"/>
  <c r="N19" i="24"/>
  <c r="N24" i="24" s="1"/>
  <c r="M19" i="24"/>
  <c r="M24" i="24" s="1"/>
  <c r="L19" i="24"/>
  <c r="L24" i="24" s="1"/>
  <c r="K19" i="24"/>
  <c r="K24" i="24" s="1"/>
  <c r="F19" i="24"/>
  <c r="F24" i="24" s="1"/>
  <c r="E19" i="24"/>
  <c r="E24" i="24" s="1"/>
  <c r="D19" i="24"/>
  <c r="D24" i="24" s="1"/>
  <c r="C19" i="24"/>
  <c r="C24" i="24" s="1"/>
  <c r="V18" i="24"/>
  <c r="V19" i="24" s="1"/>
  <c r="U18" i="24"/>
  <c r="U19" i="24" s="1"/>
  <c r="T18" i="24"/>
  <c r="T19" i="24" s="1"/>
  <c r="S18" i="24"/>
  <c r="S19" i="24" s="1"/>
  <c r="R18" i="24"/>
  <c r="Q18" i="24"/>
  <c r="P18" i="24"/>
  <c r="O18" i="24"/>
  <c r="N18" i="24"/>
  <c r="N20" i="24" s="1"/>
  <c r="M18" i="24"/>
  <c r="M20" i="24" s="1"/>
  <c r="L18" i="24"/>
  <c r="L20" i="24" s="1"/>
  <c r="K18" i="24"/>
  <c r="K20" i="24" s="1"/>
  <c r="J18" i="24"/>
  <c r="J19" i="24" s="1"/>
  <c r="I18" i="24"/>
  <c r="I19" i="24" s="1"/>
  <c r="H18" i="24"/>
  <c r="H20" i="24" s="1"/>
  <c r="G18" i="24"/>
  <c r="G20" i="24" s="1"/>
  <c r="F18" i="24"/>
  <c r="E18" i="24"/>
  <c r="D18" i="24"/>
  <c r="C18" i="24"/>
  <c r="AT11" i="24"/>
  <c r="AS11" i="24"/>
  <c r="AR11" i="24"/>
  <c r="AQ11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V10" i="24"/>
  <c r="U10" i="24"/>
  <c r="T10" i="24"/>
  <c r="S10" i="24"/>
  <c r="J10" i="24"/>
  <c r="I10" i="24"/>
  <c r="H10" i="24"/>
  <c r="G10" i="24"/>
  <c r="V9" i="24"/>
  <c r="V13" i="24" s="1"/>
  <c r="U9" i="24"/>
  <c r="U13" i="24" s="1"/>
  <c r="T9" i="24"/>
  <c r="T13" i="24" s="1"/>
  <c r="S9" i="24"/>
  <c r="S13" i="24" s="1"/>
  <c r="R9" i="24"/>
  <c r="R13" i="24" s="1"/>
  <c r="Q9" i="24"/>
  <c r="Q13" i="24" s="1"/>
  <c r="P9" i="24"/>
  <c r="P13" i="24" s="1"/>
  <c r="O9" i="24"/>
  <c r="O13" i="24" s="1"/>
  <c r="J9" i="24"/>
  <c r="J13" i="24" s="1"/>
  <c r="I9" i="24"/>
  <c r="I13" i="24" s="1"/>
  <c r="H9" i="24"/>
  <c r="H13" i="24" s="1"/>
  <c r="G9" i="24"/>
  <c r="G13" i="24" s="1"/>
  <c r="F9" i="24"/>
  <c r="F13" i="24" s="1"/>
  <c r="E9" i="24"/>
  <c r="E13" i="24" s="1"/>
  <c r="D9" i="24"/>
  <c r="D13" i="24" s="1"/>
  <c r="C9" i="24"/>
  <c r="C13" i="24" s="1"/>
  <c r="V8" i="24"/>
  <c r="U8" i="24"/>
  <c r="T8" i="24"/>
  <c r="S8" i="24"/>
  <c r="R8" i="24"/>
  <c r="R10" i="24" s="1"/>
  <c r="Q8" i="24"/>
  <c r="Q10" i="24" s="1"/>
  <c r="P8" i="24"/>
  <c r="P10" i="24" s="1"/>
  <c r="O8" i="24"/>
  <c r="O10" i="24" s="1"/>
  <c r="N8" i="24"/>
  <c r="N9" i="24" s="1"/>
  <c r="M8" i="24"/>
  <c r="M9" i="24" s="1"/>
  <c r="L8" i="24"/>
  <c r="L10" i="24" s="1"/>
  <c r="K8" i="24"/>
  <c r="K9" i="24" s="1"/>
  <c r="J8" i="24"/>
  <c r="I8" i="24"/>
  <c r="H8" i="24"/>
  <c r="G8" i="24"/>
  <c r="F8" i="24"/>
  <c r="F10" i="24" s="1"/>
  <c r="E8" i="24"/>
  <c r="E10" i="24" s="1"/>
  <c r="D8" i="24"/>
  <c r="D10" i="24" s="1"/>
  <c r="C8" i="24"/>
  <c r="C10" i="24" s="1"/>
  <c r="C1" i="24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R20" i="23"/>
  <c r="Q20" i="23"/>
  <c r="P20" i="23"/>
  <c r="O20" i="23"/>
  <c r="N20" i="23"/>
  <c r="F20" i="23"/>
  <c r="E20" i="23"/>
  <c r="D20" i="23"/>
  <c r="C20" i="23"/>
  <c r="Q19" i="23"/>
  <c r="Q24" i="23" s="1"/>
  <c r="P19" i="23"/>
  <c r="P24" i="23" s="1"/>
  <c r="O19" i="23"/>
  <c r="O24" i="23" s="1"/>
  <c r="N19" i="23"/>
  <c r="N24" i="23" s="1"/>
  <c r="M19" i="23"/>
  <c r="L19" i="23"/>
  <c r="L24" i="23" s="1"/>
  <c r="K19" i="23"/>
  <c r="K24" i="23" s="1"/>
  <c r="E19" i="23"/>
  <c r="E24" i="23" s="1"/>
  <c r="D19" i="23"/>
  <c r="D24" i="23" s="1"/>
  <c r="C19" i="23"/>
  <c r="C24" i="23" s="1"/>
  <c r="V18" i="23"/>
  <c r="V19" i="23" s="1"/>
  <c r="U18" i="23"/>
  <c r="U19" i="23" s="1"/>
  <c r="T18" i="23"/>
  <c r="T19" i="23" s="1"/>
  <c r="S18" i="23"/>
  <c r="S20" i="23" s="1"/>
  <c r="R18" i="23"/>
  <c r="R19" i="23" s="1"/>
  <c r="R24" i="23" s="1"/>
  <c r="Q18" i="23"/>
  <c r="P18" i="23"/>
  <c r="O18" i="23"/>
  <c r="N18" i="23"/>
  <c r="M18" i="23"/>
  <c r="M20" i="23" s="1"/>
  <c r="L18" i="23"/>
  <c r="L20" i="23" s="1"/>
  <c r="K18" i="23"/>
  <c r="K20" i="23" s="1"/>
  <c r="J18" i="23"/>
  <c r="J19" i="23" s="1"/>
  <c r="I18" i="23"/>
  <c r="I19" i="23" s="1"/>
  <c r="H18" i="23"/>
  <c r="H20" i="23" s="1"/>
  <c r="G18" i="23"/>
  <c r="G19" i="23" s="1"/>
  <c r="F18" i="23"/>
  <c r="F19" i="23" s="1"/>
  <c r="F24" i="23" s="1"/>
  <c r="E18" i="23"/>
  <c r="D18" i="23"/>
  <c r="C18" i="23"/>
  <c r="AT11" i="23"/>
  <c r="AS11" i="23"/>
  <c r="AR11" i="23"/>
  <c r="AQ11" i="23"/>
  <c r="AP11" i="23"/>
  <c r="AO11" i="23"/>
  <c r="AN11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V10" i="23"/>
  <c r="U10" i="23"/>
  <c r="T10" i="23"/>
  <c r="S10" i="23"/>
  <c r="R10" i="23"/>
  <c r="J10" i="23"/>
  <c r="I10" i="23"/>
  <c r="H10" i="23"/>
  <c r="G10" i="23"/>
  <c r="F10" i="23"/>
  <c r="U9" i="23"/>
  <c r="U13" i="23" s="1"/>
  <c r="T9" i="23"/>
  <c r="T13" i="23" s="1"/>
  <c r="S9" i="23"/>
  <c r="S13" i="23" s="1"/>
  <c r="R9" i="23"/>
  <c r="R13" i="23" s="1"/>
  <c r="Q9" i="23"/>
  <c r="P9" i="23"/>
  <c r="P13" i="23" s="1"/>
  <c r="O9" i="23"/>
  <c r="O13" i="23" s="1"/>
  <c r="I9" i="23"/>
  <c r="I13" i="23" s="1"/>
  <c r="H9" i="23"/>
  <c r="H13" i="23" s="1"/>
  <c r="G9" i="23"/>
  <c r="G13" i="23" s="1"/>
  <c r="F9" i="23"/>
  <c r="F13" i="23" s="1"/>
  <c r="E9" i="23"/>
  <c r="D9" i="23"/>
  <c r="D13" i="23" s="1"/>
  <c r="C9" i="23"/>
  <c r="C13" i="23" s="1"/>
  <c r="V8" i="23"/>
  <c r="V9" i="23" s="1"/>
  <c r="V13" i="23" s="1"/>
  <c r="U8" i="23"/>
  <c r="T8" i="23"/>
  <c r="S8" i="23"/>
  <c r="R8" i="23"/>
  <c r="Q8" i="23"/>
  <c r="Q10" i="23" s="1"/>
  <c r="P8" i="23"/>
  <c r="P10" i="23" s="1"/>
  <c r="O8" i="23"/>
  <c r="O10" i="23" s="1"/>
  <c r="N8" i="23"/>
  <c r="N9" i="23" s="1"/>
  <c r="M8" i="23"/>
  <c r="M9" i="23" s="1"/>
  <c r="L8" i="23"/>
  <c r="L9" i="23" s="1"/>
  <c r="K8" i="23"/>
  <c r="K10" i="23" s="1"/>
  <c r="J8" i="23"/>
  <c r="J9" i="23" s="1"/>
  <c r="J13" i="23" s="1"/>
  <c r="I8" i="23"/>
  <c r="H8" i="23"/>
  <c r="G8" i="23"/>
  <c r="F8" i="23"/>
  <c r="E8" i="23"/>
  <c r="E10" i="23" s="1"/>
  <c r="D8" i="23"/>
  <c r="D10" i="23" s="1"/>
  <c r="C8" i="23"/>
  <c r="C10" i="23" s="1"/>
  <c r="C1" i="23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C20" i="22"/>
  <c r="O19" i="22"/>
  <c r="C19" i="22"/>
  <c r="V18" i="22"/>
  <c r="V20" i="22" s="1"/>
  <c r="U18" i="22"/>
  <c r="U19" i="22" s="1"/>
  <c r="T18" i="22"/>
  <c r="T19" i="22" s="1"/>
  <c r="S18" i="22"/>
  <c r="S19" i="22" s="1"/>
  <c r="R18" i="22"/>
  <c r="R19" i="22" s="1"/>
  <c r="Q18" i="22"/>
  <c r="Q20" i="22" s="1"/>
  <c r="P18" i="22"/>
  <c r="P20" i="22" s="1"/>
  <c r="O18" i="22"/>
  <c r="O20" i="22" s="1"/>
  <c r="N18" i="22"/>
  <c r="N20" i="22" s="1"/>
  <c r="M18" i="22"/>
  <c r="M20" i="22" s="1"/>
  <c r="L18" i="22"/>
  <c r="L20" i="22" s="1"/>
  <c r="K18" i="22"/>
  <c r="K20" i="22" s="1"/>
  <c r="J18" i="22"/>
  <c r="J20" i="22" s="1"/>
  <c r="I18" i="22"/>
  <c r="I19" i="22" s="1"/>
  <c r="H18" i="22"/>
  <c r="H19" i="22" s="1"/>
  <c r="G18" i="22"/>
  <c r="G19" i="22" s="1"/>
  <c r="F18" i="22"/>
  <c r="F19" i="22" s="1"/>
  <c r="E18" i="22"/>
  <c r="E20" i="22" s="1"/>
  <c r="D18" i="22"/>
  <c r="D20" i="22" s="1"/>
  <c r="C18" i="22"/>
  <c r="AT11" i="22"/>
  <c r="AS11" i="22"/>
  <c r="AR11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AE11" i="22"/>
  <c r="AD11" i="22"/>
  <c r="AC11" i="22"/>
  <c r="AB11" i="22"/>
  <c r="AA11" i="22"/>
  <c r="S10" i="22"/>
  <c r="F10" i="22"/>
  <c r="R9" i="22"/>
  <c r="Q9" i="22"/>
  <c r="P9" i="22"/>
  <c r="P13" i="22" s="1"/>
  <c r="O9" i="22"/>
  <c r="O13" i="22" s="1"/>
  <c r="V8" i="22"/>
  <c r="V9" i="22" s="1"/>
  <c r="U8" i="22"/>
  <c r="U10" i="22" s="1"/>
  <c r="T8" i="22"/>
  <c r="T10" i="22" s="1"/>
  <c r="S8" i="22"/>
  <c r="S9" i="22" s="1"/>
  <c r="S13" i="22" s="1"/>
  <c r="R8" i="22"/>
  <c r="R10" i="22" s="1"/>
  <c r="Q8" i="22"/>
  <c r="Q10" i="22" s="1"/>
  <c r="P8" i="22"/>
  <c r="P10" i="22" s="1"/>
  <c r="O8" i="22"/>
  <c r="O10" i="22" s="1"/>
  <c r="N8" i="22"/>
  <c r="N10" i="22" s="1"/>
  <c r="M8" i="22"/>
  <c r="M9" i="22" s="1"/>
  <c r="L8" i="22"/>
  <c r="L9" i="22" s="1"/>
  <c r="K8" i="22"/>
  <c r="K9" i="22" s="1"/>
  <c r="J8" i="22"/>
  <c r="J9" i="22" s="1"/>
  <c r="I8" i="22"/>
  <c r="I10" i="22" s="1"/>
  <c r="H8" i="22"/>
  <c r="H10" i="22" s="1"/>
  <c r="G8" i="22"/>
  <c r="G10" i="22" s="1"/>
  <c r="F8" i="22"/>
  <c r="F9" i="22" s="1"/>
  <c r="F13" i="22" s="1"/>
  <c r="E8" i="22"/>
  <c r="E10" i="22" s="1"/>
  <c r="D8" i="22"/>
  <c r="D10" i="22" s="1"/>
  <c r="C8" i="22"/>
  <c r="C10" i="22" s="1"/>
  <c r="C1" i="22"/>
  <c r="C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V19" i="21"/>
  <c r="U19" i="21"/>
  <c r="V18" i="21"/>
  <c r="V20" i="21" s="1"/>
  <c r="U18" i="21"/>
  <c r="U20" i="21" s="1"/>
  <c r="T18" i="21"/>
  <c r="T19" i="21" s="1"/>
  <c r="S18" i="21"/>
  <c r="S19" i="21" s="1"/>
  <c r="R18" i="21"/>
  <c r="R19" i="21" s="1"/>
  <c r="Q18" i="21"/>
  <c r="Q19" i="21" s="1"/>
  <c r="P18" i="21"/>
  <c r="P19" i="21" s="1"/>
  <c r="O18" i="21"/>
  <c r="O19" i="21" s="1"/>
  <c r="N18" i="21"/>
  <c r="N19" i="21" s="1"/>
  <c r="M18" i="21"/>
  <c r="M19" i="21" s="1"/>
  <c r="L18" i="21"/>
  <c r="L20" i="21" s="1"/>
  <c r="K18" i="21"/>
  <c r="K20" i="21" s="1"/>
  <c r="J18" i="21"/>
  <c r="J20" i="21" s="1"/>
  <c r="I18" i="21"/>
  <c r="I20" i="21" s="1"/>
  <c r="H18" i="21"/>
  <c r="H19" i="21" s="1"/>
  <c r="G18" i="21"/>
  <c r="G19" i="21" s="1"/>
  <c r="F18" i="21"/>
  <c r="F19" i="21" s="1"/>
  <c r="E18" i="21"/>
  <c r="E19" i="21" s="1"/>
  <c r="D18" i="21"/>
  <c r="D19" i="21" s="1"/>
  <c r="C18" i="21"/>
  <c r="C19" i="21" s="1"/>
  <c r="AT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T10" i="21"/>
  <c r="S10" i="21"/>
  <c r="R10" i="21"/>
  <c r="Q10" i="21"/>
  <c r="P9" i="21"/>
  <c r="O9" i="21"/>
  <c r="V8" i="21"/>
  <c r="V9" i="21" s="1"/>
  <c r="U8" i="21"/>
  <c r="U9" i="21" s="1"/>
  <c r="T8" i="21"/>
  <c r="T9" i="21" s="1"/>
  <c r="S8" i="21"/>
  <c r="S9" i="21" s="1"/>
  <c r="R8" i="21"/>
  <c r="R9" i="21" s="1"/>
  <c r="Q8" i="21"/>
  <c r="Q9" i="21" s="1"/>
  <c r="P8" i="21"/>
  <c r="P10" i="21" s="1"/>
  <c r="O8" i="21"/>
  <c r="O10" i="21" s="1"/>
  <c r="N8" i="21"/>
  <c r="N10" i="21" s="1"/>
  <c r="M8" i="21"/>
  <c r="M10" i="21" s="1"/>
  <c r="L8" i="21"/>
  <c r="L9" i="21" s="1"/>
  <c r="K8" i="21"/>
  <c r="K9" i="21" s="1"/>
  <c r="J8" i="21"/>
  <c r="J9" i="21" s="1"/>
  <c r="I8" i="21"/>
  <c r="I9" i="21" s="1"/>
  <c r="H8" i="21"/>
  <c r="H9" i="21" s="1"/>
  <c r="G8" i="21"/>
  <c r="G9" i="21" s="1"/>
  <c r="F8" i="21"/>
  <c r="F9" i="21" s="1"/>
  <c r="E8" i="21"/>
  <c r="E9" i="21" s="1"/>
  <c r="D8" i="21"/>
  <c r="D10" i="21" s="1"/>
  <c r="C8" i="21"/>
  <c r="C10" i="21" s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V18" i="1"/>
  <c r="V19" i="1" s="1"/>
  <c r="U18" i="1"/>
  <c r="U19" i="1" s="1"/>
  <c r="T18" i="1"/>
  <c r="T19" i="1" s="1"/>
  <c r="S18" i="1"/>
  <c r="S19" i="1" s="1"/>
  <c r="R18" i="1"/>
  <c r="R20" i="1" s="1"/>
  <c r="Q18" i="1"/>
  <c r="Q19" i="1" s="1"/>
  <c r="P18" i="1"/>
  <c r="O18" i="1"/>
  <c r="O20" i="1" s="1"/>
  <c r="N18" i="1"/>
  <c r="N19" i="1" s="1"/>
  <c r="M18" i="1"/>
  <c r="M20" i="1" s="1"/>
  <c r="L18" i="1"/>
  <c r="L20" i="1" s="1"/>
  <c r="K18" i="1"/>
  <c r="K20" i="1" s="1"/>
  <c r="J18" i="1"/>
  <c r="I18" i="1"/>
  <c r="I19" i="1" s="1"/>
  <c r="H18" i="1"/>
  <c r="H19" i="1" s="1"/>
  <c r="G18" i="1"/>
  <c r="G19" i="1" s="1"/>
  <c r="F18" i="1"/>
  <c r="F20" i="1" s="1"/>
  <c r="E18" i="1"/>
  <c r="E19" i="1" s="1"/>
  <c r="D18" i="1"/>
  <c r="D19" i="1"/>
  <c r="V8" i="1"/>
  <c r="V9" i="1" s="1"/>
  <c r="U8" i="1"/>
  <c r="U10" i="1" s="1"/>
  <c r="T8" i="1"/>
  <c r="T10" i="1" s="1"/>
  <c r="S8" i="1"/>
  <c r="S10" i="1" s="1"/>
  <c r="R8" i="1"/>
  <c r="R9" i="1" s="1"/>
  <c r="Q8" i="1"/>
  <c r="Q9" i="1" s="1"/>
  <c r="P8" i="1"/>
  <c r="P9" i="1" s="1"/>
  <c r="O8" i="1"/>
  <c r="O10" i="1" s="1"/>
  <c r="N8" i="1"/>
  <c r="N9" i="1" s="1"/>
  <c r="M8" i="1"/>
  <c r="M9" i="1" s="1"/>
  <c r="L8" i="1"/>
  <c r="L9" i="1" s="1"/>
  <c r="K8" i="1"/>
  <c r="K10" i="1" s="1"/>
  <c r="J8" i="1"/>
  <c r="J9" i="1" s="1"/>
  <c r="I8" i="1"/>
  <c r="I10" i="1" s="1"/>
  <c r="H8" i="1"/>
  <c r="H10" i="1" s="1"/>
  <c r="G8" i="1"/>
  <c r="G10" i="1" s="1"/>
  <c r="F8" i="1"/>
  <c r="F9" i="1" s="1"/>
  <c r="E8" i="1"/>
  <c r="E9" i="1" s="1"/>
  <c r="D8" i="1"/>
  <c r="D9" i="1" s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P19" i="1"/>
  <c r="J19" i="1"/>
  <c r="N19" i="22" l="1"/>
  <c r="M19" i="22"/>
  <c r="M24" i="22" s="1"/>
  <c r="L19" i="22"/>
  <c r="L24" i="22" s="1"/>
  <c r="J19" i="22"/>
  <c r="J24" i="22" s="1"/>
  <c r="C24" i="22"/>
  <c r="D9" i="22"/>
  <c r="D13" i="22" s="1"/>
  <c r="C9" i="22"/>
  <c r="C13" i="22" s="1"/>
  <c r="L19" i="21"/>
  <c r="K19" i="21"/>
  <c r="K24" i="21" s="1"/>
  <c r="R13" i="22"/>
  <c r="T9" i="22"/>
  <c r="T13" i="22" s="1"/>
  <c r="Q19" i="22"/>
  <c r="Q24" i="22" s="1"/>
  <c r="P19" i="22"/>
  <c r="P24" i="22" s="1"/>
  <c r="E9" i="22"/>
  <c r="U9" i="22"/>
  <c r="U13" i="22" s="1"/>
  <c r="V19" i="22"/>
  <c r="V24" i="22" s="1"/>
  <c r="G9" i="22"/>
  <c r="G13" i="22" s="1"/>
  <c r="D19" i="22"/>
  <c r="D24" i="22" s="1"/>
  <c r="H9" i="22"/>
  <c r="H13" i="22" s="1"/>
  <c r="E19" i="22"/>
  <c r="E24" i="22" s="1"/>
  <c r="N24" i="22"/>
  <c r="O24" i="22"/>
  <c r="I9" i="22"/>
  <c r="I13" i="22" s="1"/>
  <c r="N9" i="22"/>
  <c r="N13" i="22" s="1"/>
  <c r="K19" i="22"/>
  <c r="K24" i="22" s="1"/>
  <c r="Q13" i="21"/>
  <c r="S13" i="21"/>
  <c r="P20" i="21"/>
  <c r="M24" i="21"/>
  <c r="N24" i="21"/>
  <c r="O24" i="21"/>
  <c r="P24" i="21"/>
  <c r="C20" i="21"/>
  <c r="C24" i="21" s="1"/>
  <c r="R13" i="21"/>
  <c r="D20" i="21"/>
  <c r="D24" i="21" s="1"/>
  <c r="M20" i="21"/>
  <c r="T13" i="21"/>
  <c r="N20" i="21"/>
  <c r="O20" i="21"/>
  <c r="C9" i="21"/>
  <c r="C13" i="21" s="1"/>
  <c r="I19" i="21"/>
  <c r="I24" i="21" s="1"/>
  <c r="D9" i="21"/>
  <c r="D13" i="21" s="1"/>
  <c r="J19" i="21"/>
  <c r="J24" i="21" s="1"/>
  <c r="G10" i="21"/>
  <c r="G13" i="21" s="1"/>
  <c r="M9" i="21"/>
  <c r="M13" i="21" s="1"/>
  <c r="H10" i="21"/>
  <c r="H13" i="21" s="1"/>
  <c r="N9" i="21"/>
  <c r="E10" i="21"/>
  <c r="E13" i="21" s="1"/>
  <c r="F10" i="21"/>
  <c r="F13" i="21" s="1"/>
  <c r="O9" i="1"/>
  <c r="F10" i="1"/>
  <c r="F13" i="1" s="1"/>
  <c r="M24" i="29"/>
  <c r="Q13" i="29"/>
  <c r="N24" i="29"/>
  <c r="K13" i="29"/>
  <c r="L13" i="29"/>
  <c r="E13" i="29"/>
  <c r="N13" i="29"/>
  <c r="K10" i="29"/>
  <c r="L10" i="29"/>
  <c r="H20" i="29"/>
  <c r="H24" i="29" s="1"/>
  <c r="M10" i="29"/>
  <c r="M13" i="29" s="1"/>
  <c r="U20" i="29"/>
  <c r="U24" i="29" s="1"/>
  <c r="N10" i="29"/>
  <c r="J20" i="29"/>
  <c r="J24" i="29" s="1"/>
  <c r="V20" i="29"/>
  <c r="V24" i="29" s="1"/>
  <c r="S19" i="29"/>
  <c r="S24" i="29" s="1"/>
  <c r="T19" i="29"/>
  <c r="T24" i="29" s="1"/>
  <c r="I20" i="29"/>
  <c r="I24" i="29" s="1"/>
  <c r="G19" i="29"/>
  <c r="G24" i="29" s="1"/>
  <c r="G24" i="28"/>
  <c r="Q13" i="28"/>
  <c r="K13" i="28"/>
  <c r="L13" i="28"/>
  <c r="M13" i="28"/>
  <c r="K10" i="28"/>
  <c r="G20" i="28"/>
  <c r="S20" i="28"/>
  <c r="S24" i="28" s="1"/>
  <c r="L10" i="28"/>
  <c r="H20" i="28"/>
  <c r="H24" i="28" s="1"/>
  <c r="T20" i="28"/>
  <c r="T24" i="28" s="1"/>
  <c r="M10" i="28"/>
  <c r="I20" i="28"/>
  <c r="I24" i="28" s="1"/>
  <c r="U20" i="28"/>
  <c r="U24" i="28" s="1"/>
  <c r="V20" i="28"/>
  <c r="V24" i="28" s="1"/>
  <c r="N10" i="28"/>
  <c r="N13" i="28" s="1"/>
  <c r="J20" i="28"/>
  <c r="J24" i="28" s="1"/>
  <c r="S24" i="27"/>
  <c r="E13" i="27"/>
  <c r="N13" i="27"/>
  <c r="J24" i="27"/>
  <c r="K10" i="27"/>
  <c r="K13" i="27" s="1"/>
  <c r="S20" i="27"/>
  <c r="L10" i="27"/>
  <c r="L13" i="27" s="1"/>
  <c r="H20" i="27"/>
  <c r="H24" i="27" s="1"/>
  <c r="T20" i="27"/>
  <c r="T24" i="27" s="1"/>
  <c r="M10" i="27"/>
  <c r="M13" i="27" s="1"/>
  <c r="I20" i="27"/>
  <c r="I24" i="27" s="1"/>
  <c r="U20" i="27"/>
  <c r="U24" i="27" s="1"/>
  <c r="N10" i="27"/>
  <c r="J20" i="27"/>
  <c r="V20" i="27"/>
  <c r="V24" i="27" s="1"/>
  <c r="G20" i="27"/>
  <c r="G24" i="27" s="1"/>
  <c r="R13" i="26"/>
  <c r="N24" i="26"/>
  <c r="G24" i="26"/>
  <c r="H24" i="26"/>
  <c r="T24" i="26"/>
  <c r="M13" i="26"/>
  <c r="F13" i="26"/>
  <c r="K10" i="26"/>
  <c r="K13" i="26" s="1"/>
  <c r="G20" i="26"/>
  <c r="S20" i="26"/>
  <c r="S24" i="26" s="1"/>
  <c r="L10" i="26"/>
  <c r="L13" i="26" s="1"/>
  <c r="H20" i="26"/>
  <c r="T20" i="26"/>
  <c r="M10" i="26"/>
  <c r="I20" i="26"/>
  <c r="I24" i="26" s="1"/>
  <c r="U20" i="26"/>
  <c r="U24" i="26" s="1"/>
  <c r="N10" i="26"/>
  <c r="N13" i="26" s="1"/>
  <c r="J20" i="26"/>
  <c r="J24" i="26" s="1"/>
  <c r="V20" i="26"/>
  <c r="V24" i="26" s="1"/>
  <c r="P13" i="25"/>
  <c r="T24" i="25"/>
  <c r="D13" i="25"/>
  <c r="I24" i="25"/>
  <c r="U24" i="25"/>
  <c r="G24" i="25"/>
  <c r="M24" i="25"/>
  <c r="Q13" i="25"/>
  <c r="E13" i="25"/>
  <c r="J10" i="25"/>
  <c r="J13" i="25" s="1"/>
  <c r="V10" i="25"/>
  <c r="V13" i="25" s="1"/>
  <c r="K10" i="25"/>
  <c r="K13" i="25" s="1"/>
  <c r="G20" i="25"/>
  <c r="S20" i="25"/>
  <c r="S24" i="25" s="1"/>
  <c r="L10" i="25"/>
  <c r="L13" i="25" s="1"/>
  <c r="H20" i="25"/>
  <c r="H24" i="25" s="1"/>
  <c r="T20" i="25"/>
  <c r="M10" i="25"/>
  <c r="M13" i="25" s="1"/>
  <c r="I20" i="25"/>
  <c r="U20" i="25"/>
  <c r="J20" i="25"/>
  <c r="J24" i="25" s="1"/>
  <c r="V20" i="25"/>
  <c r="V24" i="25" s="1"/>
  <c r="V24" i="24"/>
  <c r="I24" i="24"/>
  <c r="K10" i="24"/>
  <c r="K13" i="24" s="1"/>
  <c r="S20" i="24"/>
  <c r="S24" i="24" s="1"/>
  <c r="T20" i="24"/>
  <c r="T24" i="24" s="1"/>
  <c r="I20" i="24"/>
  <c r="V20" i="24"/>
  <c r="G19" i="24"/>
  <c r="G24" i="24" s="1"/>
  <c r="L9" i="24"/>
  <c r="L13" i="24" s="1"/>
  <c r="H19" i="24"/>
  <c r="H24" i="24" s="1"/>
  <c r="M10" i="24"/>
  <c r="M13" i="24" s="1"/>
  <c r="U20" i="24"/>
  <c r="U24" i="24" s="1"/>
  <c r="N10" i="24"/>
  <c r="N13" i="24" s="1"/>
  <c r="J20" i="24"/>
  <c r="J24" i="24" s="1"/>
  <c r="Q13" i="23"/>
  <c r="M24" i="23"/>
  <c r="G24" i="23"/>
  <c r="T24" i="23"/>
  <c r="M13" i="23"/>
  <c r="E13" i="23"/>
  <c r="I24" i="23"/>
  <c r="U24" i="23"/>
  <c r="N13" i="23"/>
  <c r="J24" i="23"/>
  <c r="V24" i="23"/>
  <c r="G20" i="23"/>
  <c r="T20" i="23"/>
  <c r="M10" i="23"/>
  <c r="I20" i="23"/>
  <c r="U20" i="23"/>
  <c r="N10" i="23"/>
  <c r="J20" i="23"/>
  <c r="V20" i="23"/>
  <c r="L10" i="23"/>
  <c r="L13" i="23" s="1"/>
  <c r="K9" i="23"/>
  <c r="K13" i="23" s="1"/>
  <c r="S19" i="23"/>
  <c r="S24" i="23" s="1"/>
  <c r="H19" i="23"/>
  <c r="H24" i="23" s="1"/>
  <c r="U24" i="22"/>
  <c r="E13" i="22"/>
  <c r="Q13" i="22"/>
  <c r="J13" i="22"/>
  <c r="V13" i="22"/>
  <c r="S24" i="22"/>
  <c r="J10" i="22"/>
  <c r="V10" i="22"/>
  <c r="F20" i="22"/>
  <c r="F24" i="22" s="1"/>
  <c r="R20" i="22"/>
  <c r="R24" i="22" s="1"/>
  <c r="K10" i="22"/>
  <c r="K13" i="22" s="1"/>
  <c r="G20" i="22"/>
  <c r="G24" i="22" s="1"/>
  <c r="S20" i="22"/>
  <c r="L10" i="22"/>
  <c r="L13" i="22" s="1"/>
  <c r="H20" i="22"/>
  <c r="H24" i="22" s="1"/>
  <c r="T20" i="22"/>
  <c r="T24" i="22" s="1"/>
  <c r="M10" i="22"/>
  <c r="M13" i="22" s="1"/>
  <c r="I20" i="22"/>
  <c r="I24" i="22" s="1"/>
  <c r="U20" i="22"/>
  <c r="L24" i="21"/>
  <c r="V24" i="21"/>
  <c r="N13" i="21"/>
  <c r="O13" i="21"/>
  <c r="P13" i="21"/>
  <c r="U13" i="21"/>
  <c r="U24" i="21"/>
  <c r="S24" i="21"/>
  <c r="H24" i="21"/>
  <c r="I10" i="21"/>
  <c r="I13" i="21" s="1"/>
  <c r="U10" i="21"/>
  <c r="E20" i="21"/>
  <c r="E24" i="21" s="1"/>
  <c r="Q20" i="21"/>
  <c r="Q24" i="21" s="1"/>
  <c r="J10" i="21"/>
  <c r="J13" i="21" s="1"/>
  <c r="V10" i="21"/>
  <c r="V13" i="21" s="1"/>
  <c r="F20" i="21"/>
  <c r="F24" i="21" s="1"/>
  <c r="R20" i="21"/>
  <c r="R24" i="21" s="1"/>
  <c r="K10" i="21"/>
  <c r="K13" i="21" s="1"/>
  <c r="G20" i="21"/>
  <c r="G24" i="21" s="1"/>
  <c r="S20" i="21"/>
  <c r="L10" i="21"/>
  <c r="L13" i="21" s="1"/>
  <c r="H20" i="21"/>
  <c r="T20" i="21"/>
  <c r="T24" i="21" s="1"/>
  <c r="F19" i="1"/>
  <c r="F24" i="1" s="1"/>
  <c r="O19" i="1"/>
  <c r="O24" i="1" s="1"/>
  <c r="N10" i="1"/>
  <c r="N13" i="1"/>
  <c r="G20" i="1"/>
  <c r="G24" i="1" s="1"/>
  <c r="J20" i="1"/>
  <c r="J24" i="1" s="1"/>
  <c r="R10" i="1"/>
  <c r="R13" i="1" s="1"/>
  <c r="R19" i="1"/>
  <c r="R24" i="1" s="1"/>
  <c r="S20" i="1"/>
  <c r="S24" i="1" s="1"/>
  <c r="V20" i="1"/>
  <c r="V24" i="1" s="1"/>
  <c r="K9" i="1"/>
  <c r="K13" i="1" s="1"/>
  <c r="O13" i="1"/>
  <c r="J10" i="1"/>
  <c r="J13" i="1" s="1"/>
  <c r="V10" i="1"/>
  <c r="V13" i="1" s="1"/>
  <c r="N20" i="1"/>
  <c r="N24" i="1" s="1"/>
  <c r="G9" i="1"/>
  <c r="G13" i="1" s="1"/>
  <c r="S9" i="1"/>
  <c r="S13" i="1" s="1"/>
  <c r="K19" i="1"/>
  <c r="K24" i="1" s="1"/>
  <c r="H9" i="1"/>
  <c r="H13" i="1" s="1"/>
  <c r="T9" i="1"/>
  <c r="T13" i="1" s="1"/>
  <c r="L10" i="1"/>
  <c r="L13" i="1" s="1"/>
  <c r="L19" i="1"/>
  <c r="L24" i="1" s="1"/>
  <c r="D20" i="1"/>
  <c r="D24" i="1" s="1"/>
  <c r="P20" i="1"/>
  <c r="P24" i="1" s="1"/>
  <c r="I9" i="1"/>
  <c r="I13" i="1" s="1"/>
  <c r="U9" i="1"/>
  <c r="U13" i="1" s="1"/>
  <c r="M10" i="1"/>
  <c r="M13" i="1" s="1"/>
  <c r="M19" i="1"/>
  <c r="M24" i="1" s="1"/>
  <c r="E20" i="1"/>
  <c r="E24" i="1" s="1"/>
  <c r="Q20" i="1"/>
  <c r="Q24" i="1" s="1"/>
  <c r="D10" i="1"/>
  <c r="D13" i="1" s="1"/>
  <c r="P10" i="1"/>
  <c r="P13" i="1" s="1"/>
  <c r="H20" i="1"/>
  <c r="H24" i="1" s="1"/>
  <c r="T20" i="1"/>
  <c r="T24" i="1" s="1"/>
  <c r="E10" i="1"/>
  <c r="E13" i="1" s="1"/>
  <c r="Q10" i="1"/>
  <c r="Q13" i="1" s="1"/>
  <c r="I20" i="1"/>
  <c r="I24" i="1" s="1"/>
  <c r="U20" i="1"/>
  <c r="U24" i="1" s="1"/>
  <c r="C21" i="1" l="1"/>
  <c r="C18" i="1" l="1"/>
  <c r="C10" i="1" l="1"/>
  <c r="C20" i="1"/>
  <c r="C19" i="1"/>
  <c r="C24" i="1" l="1"/>
  <c r="C13" i="1"/>
</calcChain>
</file>

<file path=xl/sharedStrings.xml><?xml version="1.0" encoding="utf-8"?>
<sst xmlns="http://schemas.openxmlformats.org/spreadsheetml/2006/main" count="1072" uniqueCount="80">
  <si>
    <t>SITE:</t>
  </si>
  <si>
    <t>DATE:</t>
  </si>
  <si>
    <t>Open Circuit volatge test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</si>
  <si>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</si>
  <si>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</si>
  <si>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</si>
  <si>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</si>
  <si>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</si>
  <si>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</si>
  <si>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</si>
  <si>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</si>
  <si>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</si>
  <si>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</si>
  <si>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</si>
  <si>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</si>
  <si>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</si>
  <si>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</si>
  <si>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</si>
  <si>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</si>
  <si>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</si>
  <si>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</si>
  <si>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</si>
  <si>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</si>
  <si>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V_theo</t>
  </si>
  <si>
    <t>Inverter 1</t>
  </si>
  <si>
    <t>(1-7%)</t>
  </si>
  <si>
    <t>Module No.</t>
  </si>
  <si>
    <t>(1+7%)</t>
  </si>
  <si>
    <t>Open Circuit Voltage (Voc in V)</t>
  </si>
  <si>
    <t>Short Circuit Voltage (Vsc in V)</t>
  </si>
  <si>
    <t>Insulation Resistance (mΩ)</t>
  </si>
  <si>
    <t>Irradiance (W)</t>
  </si>
  <si>
    <t>Isc (A)</t>
  </si>
  <si>
    <t>Vo</t>
  </si>
  <si>
    <t>V</t>
  </si>
  <si>
    <t>JAM72S30 545/MR</t>
  </si>
  <si>
    <t>I_theo</t>
  </si>
  <si>
    <t>CT</t>
  </si>
  <si>
    <t>%/Degree C</t>
  </si>
  <si>
    <t>Temperature coefficient</t>
  </si>
  <si>
    <t>(1-10%)</t>
  </si>
  <si>
    <t>(1+10%)</t>
  </si>
  <si>
    <t>Vsc</t>
  </si>
  <si>
    <t>Iscm</t>
  </si>
  <si>
    <t>A</t>
  </si>
  <si>
    <t>Nominal short circuit of pv modules from data sheet</t>
  </si>
  <si>
    <t>I</t>
  </si>
  <si>
    <t>Table above</t>
  </si>
  <si>
    <t>W/m^2</t>
  </si>
  <si>
    <t>Irradiation on on strings of tested panel</t>
  </si>
  <si>
    <t>C_I</t>
  </si>
  <si>
    <t>Current Temp coefficient</t>
  </si>
  <si>
    <t>I_STC</t>
  </si>
  <si>
    <t>Standard irradiation</t>
  </si>
  <si>
    <t xml:space="preserve"> </t>
  </si>
  <si>
    <t>INVERTER 1</t>
  </si>
  <si>
    <t>INVERTER 2</t>
  </si>
  <si>
    <t>Inverter 2</t>
  </si>
  <si>
    <t>INVERTER 3</t>
  </si>
  <si>
    <t>Inverter 3</t>
  </si>
  <si>
    <t>Module Details</t>
  </si>
  <si>
    <t>INVERTER 4</t>
  </si>
  <si>
    <t>Inverter 4</t>
  </si>
  <si>
    <t>INVERTER 5</t>
  </si>
  <si>
    <t>Inverter 5</t>
  </si>
  <si>
    <t>INVERTER 6</t>
  </si>
  <si>
    <t>Inverter 6</t>
  </si>
  <si>
    <t>INVERTER 7</t>
  </si>
  <si>
    <t>Inverter 7</t>
  </si>
  <si>
    <t>INVERTER 8</t>
  </si>
  <si>
    <t>Inverter 8</t>
  </si>
  <si>
    <t>INVERTER 9</t>
  </si>
  <si>
    <t>Inverter 9</t>
  </si>
  <si>
    <t>INVERTER 10</t>
  </si>
  <si>
    <t>Inverter 10</t>
  </si>
  <si>
    <t>Cell Temp</t>
  </si>
  <si>
    <t>Jinko 620 BDV</t>
  </si>
  <si>
    <t>N/A</t>
  </si>
  <si>
    <t>Kroonstad PnP</t>
  </si>
  <si>
    <t>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</si>
</sst>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 wrapText="1"/>
    </xf>
    <xf numFmtId="49" fontId="3" fillId="0" borderId="0" xfId="0" applyNumberFormat="1" applyFont="1"/>
    <xf numFmtId="0" fontId="6" fillId="0" borderId="0" xfId="0" applyFont="1"/>
    <xf numFmtId="0" fontId="3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40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heet1-style" pivot="0" count="3" xr9:uid="{00000000-0011-0000-FFFF-FFFF00000000}">
      <tableStyleElement type="headerRow" dxfId="402"/>
      <tableStyleElement type="firstRowStripe" dxfId="401"/>
      <tableStyleElement type="secondRowStripe" dxfId="4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2225" y="3924300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8" name="Picture 4" descr="signature_892943837">
          <a:extLst>
            <a:ext uri="{FF2B5EF4-FFF2-40B4-BE49-F238E27FC236}">
              <a16:creationId xmlns:a16="http://schemas.microsoft.com/office/drawing/2014/main" id="{0F9E47B8-2F99-F234-D5F1-DA42BBFD7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90500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9" name="Picture 4" descr="signature_892943837">
          <a:extLst>
            <a:ext uri="{FF2B5EF4-FFF2-40B4-BE49-F238E27FC236}">
              <a16:creationId xmlns:a16="http://schemas.microsoft.com/office/drawing/2014/main" id="{E87A85A3-E267-45AA-843F-ED97D76CE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9550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7DE65728-DB06-4821-B3B2-DC53189C8D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C18FC309-4266-44AD-A2E9-06FD80BCC64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7B64DE2A-94E4-49E3-89EB-9257DE16B37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E1BEFCB1-72CF-4F85-AF94-2472CF8AAE6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7FCED587-141B-4A9F-868C-B1AB8087C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F8A42EED-6865-4515-BE91-C11D55115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4F53F18A-BEAD-409B-B9D6-327B92EC9F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39618021-E37E-43DD-A265-6C7E91E3C3B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33A8FA43-9725-454B-9272-A1704ED85C4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4CEB0874-C29A-45A1-A49A-CB5C8D9F94C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84B4F0B6-BB06-42D6-903F-3E21AD0D0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7C2A0E6D-98A7-4ACD-ACB6-292AD5421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26D453C9-A10A-444D-BD8D-BB5811B2E2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88744A31-3D13-44D2-A695-FE31A0723DF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B8D77A32-F96E-47A0-A7DD-9AA56E58684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18F2027F-E339-4BBA-80E5-88D3248B9D0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85364411-75FE-4292-9CD9-D6BDC57A1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87A0F7B8-DAA6-43BF-8511-CF3099183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2F1BFF5C-992E-419D-B141-6D72DDBA97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C54DE6E0-690E-408E-ABF5-C3DE9A6C546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4CCA5C40-3058-40CC-B129-8F1BB158E0D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FAD57AE3-AFD8-4231-9351-A6895065167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846CA0BD-E762-4851-9B0A-31EE178D7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EDAE2FBB-2C14-49C6-AAFA-A42ACAEF0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DA3CFEDE-C8E7-4A39-91F1-22BE184857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DE62217D-9A3A-4318-A340-ADC5BC8F524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6DEE5DB5-9CA9-4997-A0DE-31901FDCA2F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50A8C65F-8D94-49CD-BE37-DF24DFB72DD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F7ECD303-F637-4B2E-B0D3-FB48F8AE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ADEB9A19-8A5C-4204-9031-F8DF5DCB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3733C940-93EA-434E-B096-3B7765C6EC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1B7FE352-079C-4CE9-AFD8-FCB030FEA4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C85554F3-E453-4C40-A744-235D285090C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FE3E102D-2F4A-40E4-B802-2D924B4B50C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7D7FF492-856C-4074-B930-CD17A8F2C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FEEC3BF1-83E6-442E-AC52-7BC1A3306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441C8200-D70F-4F17-9CCC-05880587BE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DBE014C4-EC52-4BEE-AEC3-380CF033AEF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65FE5176-0FB4-430D-BFF9-91D2E405CE8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B98C9BC2-C39B-4AF1-9E12-A6C1E056D89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A22C476A-000A-44A7-831E-6AE286A39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10923A86-D9AB-435A-88F5-04A544469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76A3D22F-4A53-403A-B011-31694125A7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713179D2-064A-49CA-B388-BECD41E2C54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EF0BEE58-BC12-4127-A908-8FC5C1B1814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A396A5CE-CCE2-4C60-A0CD-553FCE26F63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6C60B6DF-56D2-4B7F-B1FC-42B33B5DB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97A2F9AA-9D5E-46ED-B4B4-A860DF229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21</xdr:row>
      <xdr:rowOff>123825</xdr:rowOff>
    </xdr:from>
    <xdr:ext cx="226695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B738C51-3574-49E7-AB63-433CFD5D19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3921125"/>
          <a:ext cx="22669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</xdr:row>
      <xdr:rowOff>0</xdr:rowOff>
    </xdr:from>
    <xdr:ext cx="2371725" cy="333375"/>
    <xdr:pic>
      <xdr:nvPicPr>
        <xdr:cNvPr id="3" name="image4.png">
          <a:extLst>
            <a:ext uri="{FF2B5EF4-FFF2-40B4-BE49-F238E27FC236}">
              <a16:creationId xmlns:a16="http://schemas.microsoft.com/office/drawing/2014/main" id="{ED992353-CB47-4EA9-AAD4-CAF5C26EBA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0325" y="2533650"/>
          <a:ext cx="23717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4</xdr:row>
      <xdr:rowOff>0</xdr:rowOff>
    </xdr:from>
    <xdr:ext cx="3238500" cy="323850"/>
    <xdr:pic>
      <xdr:nvPicPr>
        <xdr:cNvPr id="4" name="image2.png">
          <a:extLst>
            <a:ext uri="{FF2B5EF4-FFF2-40B4-BE49-F238E27FC236}">
              <a16:creationId xmlns:a16="http://schemas.microsoft.com/office/drawing/2014/main" id="{F9546579-B671-4DB1-AF40-4A2E1DC5B35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54125" y="723900"/>
          <a:ext cx="32385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10</xdr:row>
      <xdr:rowOff>114300</xdr:rowOff>
    </xdr:from>
    <xdr:ext cx="1924050" cy="1714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0A8ADF40-7D8C-46CE-A6D7-57D09ED86D0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4125" y="1924050"/>
          <a:ext cx="1924050" cy="171450"/>
        </a:xfrm>
        <a:prstGeom prst="rect">
          <a:avLst/>
        </a:prstGeom>
        <a:noFill/>
      </xdr:spPr>
    </xdr:pic>
    <xdr:clientData fLocksWithSheet="0"/>
  </xdr:oneCellAnchor>
  <xdr:twoCellAnchor>
    <xdr:from>
      <xdr:col>17</xdr:col>
      <xdr:colOff>419100</xdr:colOff>
      <xdr:row>1</xdr:row>
      <xdr:rowOff>9525</xdr:rowOff>
    </xdr:from>
    <xdr:to>
      <xdr:col>21</xdr:col>
      <xdr:colOff>723900</xdr:colOff>
      <xdr:row>5</xdr:row>
      <xdr:rowOff>67637</xdr:rowOff>
    </xdr:to>
    <xdr:pic>
      <xdr:nvPicPr>
        <xdr:cNvPr id="6" name="Picture 4" descr="signature_892943837">
          <a:extLst>
            <a:ext uri="{FF2B5EF4-FFF2-40B4-BE49-F238E27FC236}">
              <a16:creationId xmlns:a16="http://schemas.microsoft.com/office/drawing/2014/main" id="{26D4C93B-53E3-405B-9A9E-67D05C41D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8732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400050</xdr:colOff>
      <xdr:row>1</xdr:row>
      <xdr:rowOff>28575</xdr:rowOff>
    </xdr:from>
    <xdr:to>
      <xdr:col>45</xdr:col>
      <xdr:colOff>590550</xdr:colOff>
      <xdr:row>5</xdr:row>
      <xdr:rowOff>86687</xdr:rowOff>
    </xdr:to>
    <xdr:pic>
      <xdr:nvPicPr>
        <xdr:cNvPr id="7" name="Picture 4" descr="signature_892943837">
          <a:extLst>
            <a:ext uri="{FF2B5EF4-FFF2-40B4-BE49-F238E27FC236}">
              <a16:creationId xmlns:a16="http://schemas.microsoft.com/office/drawing/2014/main" id="{E5349265-D117-42BA-8F7C-9293D302A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2225" y="206375"/>
          <a:ext cx="3238500" cy="782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Z8:AT15" headerRowDxfId="399" totalsRowDxfId="396" headerRowBorderDxfId="398" tableBorderDxfId="397">
  <tableColumns count="21">
    <tableColumn id="1" xr3:uid="{00000000-0010-0000-0000-000001000000}" name="Inverter 1" dataDxfId="395"/>
    <tableColumn id="2" xr3:uid="{00000000-0010-0000-0000-000002000000}" name="S1" dataDxfId="394"/>
    <tableColumn id="3" xr3:uid="{00000000-0010-0000-0000-000003000000}" name="S2" dataDxfId="393"/>
    <tableColumn id="4" xr3:uid="{00000000-0010-0000-0000-000004000000}" name="S3" dataDxfId="392"/>
    <tableColumn id="5" xr3:uid="{00000000-0010-0000-0000-000005000000}" name="S4" dataDxfId="391"/>
    <tableColumn id="6" xr3:uid="{00000000-0010-0000-0000-000006000000}" name="S5" dataDxfId="390"/>
    <tableColumn id="7" xr3:uid="{00000000-0010-0000-0000-000007000000}" name="S6" dataDxfId="389"/>
    <tableColumn id="8" xr3:uid="{00000000-0010-0000-0000-000008000000}" name="S7" dataDxfId="388"/>
    <tableColumn id="9" xr3:uid="{00000000-0010-0000-0000-000009000000}" name="S8" dataDxfId="387"/>
    <tableColumn id="10" xr3:uid="{00000000-0010-0000-0000-00000A000000}" name="S9" dataDxfId="386"/>
    <tableColumn id="11" xr3:uid="{00000000-0010-0000-0000-00000B000000}" name="S10" dataDxfId="385"/>
    <tableColumn id="12" xr3:uid="{00000000-0010-0000-0000-00000C000000}" name="S11" dataDxfId="384"/>
    <tableColumn id="13" xr3:uid="{00000000-0010-0000-0000-00000D000000}" name="S12" dataDxfId="383"/>
    <tableColumn id="14" xr3:uid="{00000000-0010-0000-0000-00000E000000}" name="S13" dataDxfId="382"/>
    <tableColumn id="15" xr3:uid="{00000000-0010-0000-0000-00000F000000}" name="S14" dataDxfId="381"/>
    <tableColumn id="16" xr3:uid="{00000000-0010-0000-0000-000010000000}" name="S15" dataDxfId="380"/>
    <tableColumn id="17" xr3:uid="{00000000-0010-0000-0000-000011000000}" name="S16" dataDxfId="379"/>
    <tableColumn id="18" xr3:uid="{00000000-0010-0000-0000-000012000000}" name="S17" dataDxfId="378"/>
    <tableColumn id="19" xr3:uid="{00000000-0010-0000-0000-000013000000}" name="S18" dataDxfId="377"/>
    <tableColumn id="20" xr3:uid="{00000000-0010-0000-0000-000014000000}" name="S19" dataDxfId="376"/>
    <tableColumn id="21" xr3:uid="{00000000-0010-0000-0000-000015000000}" name="S20" dataDxfId="375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57B331-28F9-438C-BAB9-B6A10ACD029A}" name="Table_113" displayName="Table_113" ref="Z8:AT15" headerRowDxfId="374" totalsRowDxfId="371" headerRowBorderDxfId="373" tableBorderDxfId="372">
  <tableColumns count="21">
    <tableColumn id="1" xr3:uid="{0CA8B8AB-D8FD-4EB2-AEF3-F7482F1EF774}" name="Inverter 2" dataDxfId="370"/>
    <tableColumn id="2" xr3:uid="{78312B3F-E787-4570-98D4-C65C12CC4834}" name="S1" dataDxfId="369"/>
    <tableColumn id="3" xr3:uid="{5D12DDC2-A205-4074-92C8-D53A95E2A0BD}" name="S2" dataDxfId="368"/>
    <tableColumn id="4" xr3:uid="{5AB59A66-1E79-4B6A-9610-577765D2ABEA}" name="S3" dataDxfId="367"/>
    <tableColumn id="5" xr3:uid="{EAF260BE-9805-4FD7-924E-8B10B54FD739}" name="S4" dataDxfId="366"/>
    <tableColumn id="6" xr3:uid="{629C69AF-B7DA-4217-96B0-6AFFFBDD051F}" name="S5" dataDxfId="365"/>
    <tableColumn id="7" xr3:uid="{59F1D20E-8886-4F30-9FE1-E654142CD91E}" name="S6" dataDxfId="364"/>
    <tableColumn id="8" xr3:uid="{F0D28E33-6582-42A7-9968-C9D50D34F75B}" name="S7" dataDxfId="363"/>
    <tableColumn id="9" xr3:uid="{A61F3250-4A6A-4F7E-B7A9-DE0E20193742}" name="S8" dataDxfId="362"/>
    <tableColumn id="10" xr3:uid="{1F9673EC-B467-4AC1-B854-837E51E0C3E6}" name="S9" dataDxfId="361"/>
    <tableColumn id="11" xr3:uid="{68A7069B-2DE2-46B4-9335-21CDA1E64C7F}" name="S10" dataDxfId="360"/>
    <tableColumn id="12" xr3:uid="{727AA0F3-93EC-4E30-9217-3B4CC23310F0}" name="S11" dataDxfId="359"/>
    <tableColumn id="13" xr3:uid="{0DFB8701-1B90-4CEC-B1CB-9463F41AE895}" name="S12" dataDxfId="358"/>
    <tableColumn id="14" xr3:uid="{129C6D43-D380-4FE2-B9C6-6F467FB267CD}" name="S13" dataDxfId="357"/>
    <tableColumn id="15" xr3:uid="{637F4A2E-B838-4EE7-8D51-AF26EB1A2F57}" name="S14" dataDxfId="356"/>
    <tableColumn id="16" xr3:uid="{6FEE2C23-2C9B-4934-BE1D-6F2DACD82AC1}" name="S15" dataDxfId="355"/>
    <tableColumn id="17" xr3:uid="{CD598449-67B0-4C7B-A187-742241C856E0}" name="S16" dataDxfId="354"/>
    <tableColumn id="18" xr3:uid="{B33B6ED0-40D1-4175-8CB0-01BC79986539}" name="S17" dataDxfId="353"/>
    <tableColumn id="19" xr3:uid="{CCDECE35-79A2-4D91-BD85-B5233B495E22}" name="S18" dataDxfId="352"/>
    <tableColumn id="20" xr3:uid="{3E341EAC-48BF-44E9-AA3F-C14328B727F1}" name="S19" dataDxfId="351"/>
    <tableColumn id="21" xr3:uid="{E6B9B608-580E-4252-AD50-9932145C52C3}" name="S20" dataDxfId="350"/>
  </tableColumns>
  <tableStyleInfo name="Sheet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E34173-4EB1-470D-AC1A-B4D46051EE93}" name="Table_11314" displayName="Table_11314" ref="Z8:AT15" headerRowDxfId="349" totalsRowDxfId="346" headerRowBorderDxfId="348" tableBorderDxfId="347">
  <tableColumns count="21">
    <tableColumn id="1" xr3:uid="{099BBA87-A7E5-4B52-833B-A4486DE898DC}" name="Inverter 3" dataDxfId="345"/>
    <tableColumn id="2" xr3:uid="{A2EF341A-44CD-4220-9253-696047FC4B68}" name="S1" dataDxfId="344"/>
    <tableColumn id="3" xr3:uid="{408F9722-5562-4E54-9EC0-E9002AF9774F}" name="S2" dataDxfId="343"/>
    <tableColumn id="4" xr3:uid="{9D6E79CB-522E-4145-84BE-AAFB8C39AD71}" name="S3" dataDxfId="342"/>
    <tableColumn id="5" xr3:uid="{8EA14C8D-49FD-4E59-87CE-C8CA34967926}" name="S4" dataDxfId="341"/>
    <tableColumn id="6" xr3:uid="{45829C59-D145-4704-A113-AA73ECAB123B}" name="S5" dataDxfId="340"/>
    <tableColumn id="7" xr3:uid="{F3E37431-4222-43F2-A85E-7BC7EC61CBF8}" name="S6" dataDxfId="339"/>
    <tableColumn id="8" xr3:uid="{248B26A7-8DBE-419D-B6F5-250C207B9B99}" name="S7" dataDxfId="338"/>
    <tableColumn id="9" xr3:uid="{198E7E29-DB57-47BE-92BB-4F2FF6327B8D}" name="S8" dataDxfId="337"/>
    <tableColumn id="10" xr3:uid="{B54682E4-2066-487E-AEE7-BF5D643162C6}" name="S9" dataDxfId="336"/>
    <tableColumn id="11" xr3:uid="{5D833924-7C66-4FF9-BEB4-26014616AB71}" name="S10" dataDxfId="335"/>
    <tableColumn id="12" xr3:uid="{2173E532-06E2-44A8-A66D-F423196F425C}" name="S11" dataDxfId="334"/>
    <tableColumn id="13" xr3:uid="{A982BF90-1E7E-4434-B108-47790DD3FBF1}" name="S12" dataDxfId="333"/>
    <tableColumn id="14" xr3:uid="{37102C10-06D4-4A12-A777-021FB81524C8}" name="S13" dataDxfId="332"/>
    <tableColumn id="15" xr3:uid="{12D274E8-BDDE-45F3-816B-223F69B88ACF}" name="S14" dataDxfId="331"/>
    <tableColumn id="16" xr3:uid="{CBA61FF1-ABA7-413C-82BA-C8277C2D2D8D}" name="S15" dataDxfId="330"/>
    <tableColumn id="17" xr3:uid="{B5F27C4E-46FB-4A1D-BF51-2878A5575240}" name="S16" dataDxfId="329"/>
    <tableColumn id="18" xr3:uid="{5AC3F746-0523-440F-9400-FFF5618DC68F}" name="S17" dataDxfId="328"/>
    <tableColumn id="19" xr3:uid="{5E0C2AA3-E470-4C50-8D2D-8E0DC1880F4E}" name="S18" dataDxfId="327"/>
    <tableColumn id="20" xr3:uid="{7150E710-F724-4C49-9BC9-CF688F11A423}" name="S19" dataDxfId="326"/>
    <tableColumn id="21" xr3:uid="{C8697C1F-2245-4AED-AFB1-B2D936D56E31}" name="S20" dataDxfId="325"/>
  </tableColumns>
  <tableStyleInfo name="Sheet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BCEF7A4-75AA-42BB-ADF0-817CB7C16C25}" name="Table_1131415" displayName="Table_1131415" ref="Z8:AT15" headerRowDxfId="324" totalsRowDxfId="321" headerRowBorderDxfId="323" tableBorderDxfId="322">
  <tableColumns count="21">
    <tableColumn id="1" xr3:uid="{C822029C-DB3F-4667-BAA1-D44FEBE9DCDB}" name="Inverter 4" dataDxfId="320"/>
    <tableColumn id="2" xr3:uid="{0220B740-EB2C-42E8-BCBD-75D4364406D3}" name="S1" dataDxfId="319"/>
    <tableColumn id="3" xr3:uid="{C7D1A52D-0F14-4B91-AB1F-F08A68ADF417}" name="S2" dataDxfId="318"/>
    <tableColumn id="4" xr3:uid="{BAF22B76-461D-4D11-AB63-1C6F09F4DADC}" name="S3" dataDxfId="317"/>
    <tableColumn id="5" xr3:uid="{3BF11354-DEB8-4B92-AE00-01A84E6741AC}" name="S4" dataDxfId="316"/>
    <tableColumn id="6" xr3:uid="{65C1E8F8-4358-4619-B6B6-091A8BA4CA99}" name="S5" dataDxfId="315"/>
    <tableColumn id="7" xr3:uid="{CA5C9013-5A95-41D9-87DA-C876C0D5B717}" name="S6" dataDxfId="314"/>
    <tableColumn id="8" xr3:uid="{181D3D7F-452E-4327-91F8-328FF2657415}" name="S7" dataDxfId="313"/>
    <tableColumn id="9" xr3:uid="{9B0BB1A4-82F9-4D86-95CE-A82A0EEDC1D3}" name="S8" dataDxfId="312"/>
    <tableColumn id="10" xr3:uid="{684DD5E8-5078-4B4D-9C8B-6717AC0A9295}" name="S9" dataDxfId="311"/>
    <tableColumn id="11" xr3:uid="{F43C66EC-FD55-47C4-BC0D-819C75292683}" name="S10" dataDxfId="310"/>
    <tableColumn id="12" xr3:uid="{FBAE28A9-C14E-4635-935E-4C7A6A0AC0F8}" name="S11" dataDxfId="309"/>
    <tableColumn id="13" xr3:uid="{3D2D3CF8-D343-4DC9-979C-F00F64374207}" name="S12" dataDxfId="308"/>
    <tableColumn id="14" xr3:uid="{D3CD5ABE-F7C2-4E41-925C-4471E22E5EA4}" name="S13" dataDxfId="307"/>
    <tableColumn id="15" xr3:uid="{B4AEF1A8-880E-4782-A815-16045AEF4C68}" name="S14" dataDxfId="306"/>
    <tableColumn id="16" xr3:uid="{24E9A04B-1DBC-48CF-A104-3CF7CE871D7D}" name="S15" dataDxfId="305"/>
    <tableColumn id="17" xr3:uid="{733F3F90-12A1-4AD0-B630-437CABEA0661}" name="S16" dataDxfId="304"/>
    <tableColumn id="18" xr3:uid="{4F3B45A2-9620-4C83-9A6C-A448440AC24E}" name="S17" dataDxfId="303"/>
    <tableColumn id="19" xr3:uid="{0C768077-ABA5-421F-8B65-65B671495C59}" name="S18" dataDxfId="302"/>
    <tableColumn id="20" xr3:uid="{65FCEB40-0B9A-4B6A-9945-C62FF452043A}" name="S19" dataDxfId="301"/>
    <tableColumn id="21" xr3:uid="{74547F96-F727-4E8C-9263-E7E30EA79CA0}" name="S20" dataDxfId="300"/>
  </tableColumns>
  <tableStyleInfo name="Sheet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36C2B05-B353-4AAA-A286-2837DA4A6A7B}" name="Table_113141516" displayName="Table_113141516" ref="Z8:AT15" headerRowDxfId="299" totalsRowDxfId="296" headerRowBorderDxfId="298" tableBorderDxfId="297">
  <tableColumns count="21">
    <tableColumn id="1" xr3:uid="{0F0863BE-C683-4D6E-9F4C-00D5024ABE8E}" name="Inverter 5" dataDxfId="295"/>
    <tableColumn id="2" xr3:uid="{A460D29A-E4D2-4572-A421-3A93C990E40C}" name="S1" dataDxfId="294"/>
    <tableColumn id="3" xr3:uid="{C3FFDA22-52D6-467F-92A6-A67E2C3A0153}" name="S2" dataDxfId="293"/>
    <tableColumn id="4" xr3:uid="{6B49B245-2712-4D72-8453-833156D1E85E}" name="S3" dataDxfId="292"/>
    <tableColumn id="5" xr3:uid="{00C0539A-B82D-422B-9466-76D18FB16D18}" name="S4" dataDxfId="291"/>
    <tableColumn id="6" xr3:uid="{37200736-0BB1-4F39-8F3D-C6A07F526F6C}" name="S5" dataDxfId="290"/>
    <tableColumn id="7" xr3:uid="{FED02625-646F-43DF-A7FB-DBA8D94CFCB9}" name="S6" dataDxfId="289"/>
    <tableColumn id="8" xr3:uid="{37435BF2-530C-4A90-8680-0B713B6DE12D}" name="S7" dataDxfId="288"/>
    <tableColumn id="9" xr3:uid="{BE7DE333-F055-4802-B29F-0050EEC600B6}" name="S8" dataDxfId="287"/>
    <tableColumn id="10" xr3:uid="{9A5609C2-35C1-41B9-8BAD-573B0FB22175}" name="S9" dataDxfId="286"/>
    <tableColumn id="11" xr3:uid="{5828E148-3EF7-4920-8B6F-9F7C5C5DBB08}" name="S10" dataDxfId="285"/>
    <tableColumn id="12" xr3:uid="{ABD4F2FA-DCB3-4189-A59A-1D75DDC75A3B}" name="S11" dataDxfId="284"/>
    <tableColumn id="13" xr3:uid="{259C002C-46AD-4C9F-A9A8-56F01E8FBFAC}" name="S12" dataDxfId="283"/>
    <tableColumn id="14" xr3:uid="{5903C442-26D0-41B3-9C13-E3BEC49C926D}" name="S13" dataDxfId="282"/>
    <tableColumn id="15" xr3:uid="{C4067BE0-6700-4B36-920E-FA070C310744}" name="S14" dataDxfId="281"/>
    <tableColumn id="16" xr3:uid="{A7E3420D-E375-48D1-9758-DCB0AE9D473C}" name="S15" dataDxfId="280"/>
    <tableColumn id="17" xr3:uid="{934B4C71-E8C3-4450-9B18-DE81BAD29FA4}" name="S16" dataDxfId="279"/>
    <tableColumn id="18" xr3:uid="{2BDB715B-5347-45FA-B2C6-8F6D8A66A80B}" name="S17" dataDxfId="278"/>
    <tableColumn id="19" xr3:uid="{B307AB3F-17A9-4AB0-87E9-996A3286EE75}" name="S18" dataDxfId="277"/>
    <tableColumn id="20" xr3:uid="{C4F43EE0-0EF9-489A-ADBF-6CBF933B8915}" name="S19" dataDxfId="276"/>
    <tableColumn id="21" xr3:uid="{1C95FEF8-C484-4E83-A720-E65937CBBB24}" name="S20" dataDxfId="275"/>
  </tableColumns>
  <tableStyleInfo name="Sheet1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19A2810-5A85-4294-9E80-07F00E5F3D99}" name="Table_11314151617" displayName="Table_11314151617" ref="Z8:AT15" headerRowDxfId="274" totalsRowDxfId="271" headerRowBorderDxfId="273" tableBorderDxfId="272">
  <tableColumns count="21">
    <tableColumn id="1" xr3:uid="{7E08FE85-A66D-46C9-A58A-FDE52AF15EA5}" name="Inverter 6" dataDxfId="270"/>
    <tableColumn id="2" xr3:uid="{149C3B75-55E8-4CB7-AB71-10100F548C3D}" name="S1" dataDxfId="269"/>
    <tableColumn id="3" xr3:uid="{7224179B-6E69-47E8-AE13-7629CAD3773F}" name="S2" dataDxfId="268"/>
    <tableColumn id="4" xr3:uid="{F693232C-BBFE-49EC-AEA1-8088011A5679}" name="S3" dataDxfId="267"/>
    <tableColumn id="5" xr3:uid="{FF333D3F-894D-4141-ADDB-E74F45397643}" name="S4" dataDxfId="266"/>
    <tableColumn id="6" xr3:uid="{9A87423F-5284-402F-B9B2-4B3803D6B322}" name="S5" dataDxfId="265"/>
    <tableColumn id="7" xr3:uid="{442E9A94-9EB5-4489-9C83-12FDEB7948F3}" name="S6" dataDxfId="264"/>
    <tableColumn id="8" xr3:uid="{75513692-B7BD-4DF6-8EFD-96A97B6F7586}" name="S7" dataDxfId="263"/>
    <tableColumn id="9" xr3:uid="{AA2BBEE9-2EE6-477C-97CF-040D333C5C4C}" name="S8" dataDxfId="262"/>
    <tableColumn id="10" xr3:uid="{97D32288-3E09-4714-8A38-39F2344A50C5}" name="S9" dataDxfId="261"/>
    <tableColumn id="11" xr3:uid="{54F2E718-6F9E-4166-BB32-524709705EC6}" name="S10" dataDxfId="260"/>
    <tableColumn id="12" xr3:uid="{B18D45B7-01A6-4DBB-83CA-767909DF1B2B}" name="S11" dataDxfId="259"/>
    <tableColumn id="13" xr3:uid="{D0BF3B2F-0052-49AE-AF6A-814EE1F0A0E3}" name="S12" dataDxfId="258"/>
    <tableColumn id="14" xr3:uid="{9F8EF2EC-1828-40A3-B5B7-D128FAD386C9}" name="S13" dataDxfId="257"/>
    <tableColumn id="15" xr3:uid="{E4E1C52D-9C94-4053-AB7B-936C018703BD}" name="S14" dataDxfId="256"/>
    <tableColumn id="16" xr3:uid="{B1C128D5-DCAD-4EFB-B26B-14A8CBF1BF4B}" name="S15" dataDxfId="255"/>
    <tableColumn id="17" xr3:uid="{F6D4E440-1671-4AC2-93F1-82B32F8FDF20}" name="S16" dataDxfId="254"/>
    <tableColumn id="18" xr3:uid="{67F1C0F2-9C2A-459F-8AA9-74AAAF17BDBC}" name="S17" dataDxfId="253"/>
    <tableColumn id="19" xr3:uid="{71B5B3A4-24AB-486D-B470-60F653C2E564}" name="S18" dataDxfId="252"/>
    <tableColumn id="20" xr3:uid="{B56E607E-145E-45C3-AF96-1C513D16DCFD}" name="S19" dataDxfId="251"/>
    <tableColumn id="21" xr3:uid="{F9F893D2-B4FA-4545-A18A-427370C3C948}" name="S20" dataDxfId="250"/>
  </tableColumns>
  <tableStyleInfo name="Sheet1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B9A9DD3-616C-4BF1-A432-CB9D4E2E4036}" name="Table_1131415161718" displayName="Table_1131415161718" ref="Z8:AT15" headerRowDxfId="249" totalsRowDxfId="246" headerRowBorderDxfId="248" tableBorderDxfId="247">
  <tableColumns count="21">
    <tableColumn id="1" xr3:uid="{83813C66-3226-4DD8-AB1B-0EADFFD93886}" name="Inverter 7" dataDxfId="245"/>
    <tableColumn id="2" xr3:uid="{3A453659-395F-4864-8234-079055D10078}" name="S1" dataDxfId="244"/>
    <tableColumn id="3" xr3:uid="{9C8AF44A-4A58-46D6-AF9F-3B2732CCCC46}" name="S2" dataDxfId="243"/>
    <tableColumn id="4" xr3:uid="{7D774343-402B-4BE4-98F4-6AA4C8660A38}" name="S3" dataDxfId="242"/>
    <tableColumn id="5" xr3:uid="{C0EFD829-2F6E-4FAA-AB08-A092597839AA}" name="S4" dataDxfId="241"/>
    <tableColumn id="6" xr3:uid="{3FD251E6-3486-409D-830D-A5EF48B54D69}" name="S5" dataDxfId="240"/>
    <tableColumn id="7" xr3:uid="{C3F30E51-ECAD-49B1-B1DF-BF230B799F58}" name="S6" dataDxfId="239"/>
    <tableColumn id="8" xr3:uid="{BA1ED12E-77DA-4D5A-ADB6-A78A7D09A46E}" name="S7" dataDxfId="238"/>
    <tableColumn id="9" xr3:uid="{15F413BA-DF35-4952-956B-175C26D35C95}" name="S8" dataDxfId="237"/>
    <tableColumn id="10" xr3:uid="{ACD40F4F-EEB8-4053-94D7-6A4FE6291C28}" name="S9" dataDxfId="236"/>
    <tableColumn id="11" xr3:uid="{54A99680-35E7-4069-8713-DE03A297DBCE}" name="S10" dataDxfId="235"/>
    <tableColumn id="12" xr3:uid="{1624F276-ACC6-4AA2-B9EC-966DA78D80B7}" name="S11" dataDxfId="234"/>
    <tableColumn id="13" xr3:uid="{743ADD6C-372B-4374-8BB2-FBFE3223B8D3}" name="S12" dataDxfId="233"/>
    <tableColumn id="14" xr3:uid="{913387EC-5A45-42CF-B24B-1C9B66E6D923}" name="S13" dataDxfId="232"/>
    <tableColumn id="15" xr3:uid="{86D9D590-DAEB-44CE-A01D-34E2B5BD9EC1}" name="S14" dataDxfId="231"/>
    <tableColumn id="16" xr3:uid="{E5564965-4E4C-4302-8D02-C4C55EF435AA}" name="S15" dataDxfId="230"/>
    <tableColumn id="17" xr3:uid="{220858D9-D0CF-484A-849B-3FE638386574}" name="S16" dataDxfId="229"/>
    <tableColumn id="18" xr3:uid="{04491CAE-4F80-4F7D-A91A-A05F901CAB91}" name="S17" dataDxfId="228"/>
    <tableColumn id="19" xr3:uid="{8B4A3E3B-CBA1-43B7-A7CE-842F63AF901C}" name="S18" dataDxfId="227"/>
    <tableColumn id="20" xr3:uid="{40D3856B-B3FB-47AB-9F4D-4F7CB2076BCC}" name="S19" dataDxfId="226"/>
    <tableColumn id="21" xr3:uid="{4D89B8EF-C9EC-403B-822A-EC24D619A014}" name="S20" dataDxfId="225"/>
  </tableColumns>
  <tableStyleInfo name="Sheet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86FA556-B003-49A5-A282-D485E2CDB910}" name="Table_113141516171819" displayName="Table_113141516171819" ref="Z8:AT15" headerRowDxfId="224" totalsRowDxfId="221" headerRowBorderDxfId="223" tableBorderDxfId="222">
  <tableColumns count="21">
    <tableColumn id="1" xr3:uid="{A858DF1E-EDC0-4D8C-AD2A-92ED7AB9CB0C}" name="Inverter 8" dataDxfId="220"/>
    <tableColumn id="2" xr3:uid="{4E036FEA-3D07-40F2-A69D-BD58D40C8FF2}" name="S1" dataDxfId="219"/>
    <tableColumn id="3" xr3:uid="{865DC2F6-B28D-43DC-853E-32BB18EE805C}" name="S2" dataDxfId="218"/>
    <tableColumn id="4" xr3:uid="{A65FD8C8-4944-4335-8954-525BCDF9BF11}" name="S3" dataDxfId="217"/>
    <tableColumn id="5" xr3:uid="{89CAF56C-DD20-42DC-91F5-2DF9924DE3F0}" name="S4" dataDxfId="216"/>
    <tableColumn id="6" xr3:uid="{F76CCA08-0CF5-4CEA-8226-779B6C72C6B6}" name="S5" dataDxfId="215"/>
    <tableColumn id="7" xr3:uid="{98A2D2B9-6151-477D-8422-A571616A6703}" name="S6" dataDxfId="214"/>
    <tableColumn id="8" xr3:uid="{0363BD98-B690-49D2-A913-B7CAA3CC03F0}" name="S7" dataDxfId="213"/>
    <tableColumn id="9" xr3:uid="{D7F64D75-F493-44CB-9160-583FD7BC5110}" name="S8" dataDxfId="212"/>
    <tableColumn id="10" xr3:uid="{8F0B67E3-A8FE-4376-8A33-2A8ED41AE5A3}" name="S9" dataDxfId="211"/>
    <tableColumn id="11" xr3:uid="{61112A15-974A-4E3E-B604-7A802C593BC5}" name="S10" dataDxfId="210"/>
    <tableColumn id="12" xr3:uid="{DA981818-F489-4DE2-9B5B-E353906E257C}" name="S11" dataDxfId="209"/>
    <tableColumn id="13" xr3:uid="{0918C515-BABF-4652-BB34-5A5EE61E29C0}" name="S12" dataDxfId="208"/>
    <tableColumn id="14" xr3:uid="{CFDEA839-F51D-4C61-ADDF-9801BF15B9C6}" name="S13" dataDxfId="207"/>
    <tableColumn id="15" xr3:uid="{BA34AAED-53D9-4761-88E8-9BE8F69F50A9}" name="S14" dataDxfId="206"/>
    <tableColumn id="16" xr3:uid="{46583B79-C446-4150-B7EC-72FE885C269D}" name="S15" dataDxfId="205"/>
    <tableColumn id="17" xr3:uid="{773F878F-FF46-4864-8BCF-045A0CA68285}" name="S16" dataDxfId="204"/>
    <tableColumn id="18" xr3:uid="{11B739C0-A71B-4AB8-B99B-21E01F2106D6}" name="S17" dataDxfId="203"/>
    <tableColumn id="19" xr3:uid="{6A095BDC-B135-47A9-B41E-BBC39A150321}" name="S18" dataDxfId="202"/>
    <tableColumn id="20" xr3:uid="{31262467-8338-41C5-B82E-433693E9F2DF}" name="S19" dataDxfId="201"/>
    <tableColumn id="21" xr3:uid="{D39B10EE-1762-4D47-B352-D666F7E5ACF9}" name="S20" dataDxfId="200"/>
  </tableColumns>
  <tableStyleInfo name="Sheet1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EDA025-31EA-4B70-8BBC-3E7516D082BA}" name="Table_11314151617181920" displayName="Table_11314151617181920" ref="Z8:AT15" headerRowDxfId="199" totalsRowDxfId="196" headerRowBorderDxfId="198" tableBorderDxfId="197">
  <tableColumns count="21">
    <tableColumn id="1" xr3:uid="{01AFC276-1D4F-49D5-8EAB-FA2F956C4FA1}" name="Inverter 9" dataDxfId="195"/>
    <tableColumn id="2" xr3:uid="{E60B8F8B-861C-4B22-A204-EA92678690A8}" name="S1" dataDxfId="194"/>
    <tableColumn id="3" xr3:uid="{5C2C0B64-C326-444B-913E-75BB362D66D0}" name="S2" dataDxfId="193"/>
    <tableColumn id="4" xr3:uid="{B48A0B48-30C0-49C9-AC26-813BAC2FB2E7}" name="S3" dataDxfId="192"/>
    <tableColumn id="5" xr3:uid="{2C939E2E-AD41-42BB-AD5F-A4F1433402AC}" name="S4" dataDxfId="191"/>
    <tableColumn id="6" xr3:uid="{CE9802B8-0D04-40D3-B462-E2AF7945DA74}" name="S5" dataDxfId="190"/>
    <tableColumn id="7" xr3:uid="{EEF92785-6ABD-49E9-8BAC-04FDF9046415}" name="S6" dataDxfId="189"/>
    <tableColumn id="8" xr3:uid="{EDF880C2-85C0-4644-A219-6CE2E8F477CC}" name="S7" dataDxfId="188"/>
    <tableColumn id="9" xr3:uid="{A2B8099B-D448-4CC9-AAA9-B55D048903E4}" name="S8" dataDxfId="187"/>
    <tableColumn id="10" xr3:uid="{CA3F1678-6461-4AB2-8698-0EBBBA429160}" name="S9" dataDxfId="186"/>
    <tableColumn id="11" xr3:uid="{3852A4A2-07DB-44FC-A9B0-AB0C163DC33E}" name="S10" dataDxfId="185"/>
    <tableColumn id="12" xr3:uid="{588963EE-8270-4AD7-878F-09F285C3EDB4}" name="S11" dataDxfId="184"/>
    <tableColumn id="13" xr3:uid="{4D0718F3-5950-4248-8D0B-5F5844823416}" name="S12" dataDxfId="183"/>
    <tableColumn id="14" xr3:uid="{0A65F519-FAFB-42A7-AEB5-5C05F1E98E59}" name="S13" dataDxfId="182"/>
    <tableColumn id="15" xr3:uid="{B51D7F08-D96A-4B0A-BD43-D6871A48A861}" name="S14" dataDxfId="181"/>
    <tableColumn id="16" xr3:uid="{599EF5A5-2FF5-421A-BA10-D344554C7651}" name="S15" dataDxfId="180"/>
    <tableColumn id="17" xr3:uid="{00224782-C2BD-43C9-8254-F9AFA50F7CF1}" name="S16" dataDxfId="179"/>
    <tableColumn id="18" xr3:uid="{49F9E0DB-767C-446C-8191-72E324C37DD7}" name="S17" dataDxfId="178"/>
    <tableColumn id="19" xr3:uid="{12E8D84E-AF29-4488-A3F5-397ED2DFA105}" name="S18" dataDxfId="177"/>
    <tableColumn id="20" xr3:uid="{76021DD3-8E07-412A-9895-5609F6179FBF}" name="S19" dataDxfId="176"/>
    <tableColumn id="21" xr3:uid="{E4E7E95C-94BD-465B-BC95-F18059737F2E}" name="S20" dataDxfId="175"/>
  </tableColumns>
  <tableStyleInfo name="Sheet1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1B52E1-8C10-4DFF-BF82-528A337E5823}" name="Table_1131415161718192021" displayName="Table_1131415161718192021" ref="Z8:AT15" headerRowDxfId="174" totalsRowDxfId="171" headerRowBorderDxfId="173" tableBorderDxfId="172">
  <tableColumns count="21">
    <tableColumn id="1" xr3:uid="{0C889595-CF69-4757-BF19-3CA86A6119C4}" name="Inverter 10" dataDxfId="170"/>
    <tableColumn id="2" xr3:uid="{977DE727-FA97-40C8-BF39-52C93C83509A}" name="S1" dataDxfId="169"/>
    <tableColumn id="3" xr3:uid="{E816501D-C931-4BFD-B86B-BC3FAB79B675}" name="S2" dataDxfId="168"/>
    <tableColumn id="4" xr3:uid="{22C94A15-876E-4F57-BC88-3BDE44859332}" name="S3" dataDxfId="167"/>
    <tableColumn id="5" xr3:uid="{BECA566F-3AE7-4C42-89B6-D6A422CF7882}" name="S4" dataDxfId="166"/>
    <tableColumn id="6" xr3:uid="{98FA1AFA-F4CF-44A4-A1AB-709C5C46BBD0}" name="S5" dataDxfId="165"/>
    <tableColumn id="7" xr3:uid="{43F182A1-2626-4C13-9E5E-25722D6166DE}" name="S6" dataDxfId="164"/>
    <tableColumn id="8" xr3:uid="{26E54ED8-E32A-409A-8F0A-00AC7DFD5D24}" name="S7" dataDxfId="163"/>
    <tableColumn id="9" xr3:uid="{F659E790-EDDA-44E4-9CDA-AAD26A65CBF4}" name="S8" dataDxfId="162"/>
    <tableColumn id="10" xr3:uid="{7CD68C57-6303-4C7E-9908-5942FC40DD7F}" name="S9" dataDxfId="161"/>
    <tableColumn id="11" xr3:uid="{EFC67F59-AE5A-4887-9E86-8D8BA4DFD47F}" name="S10" dataDxfId="160"/>
    <tableColumn id="12" xr3:uid="{64A6749E-916B-4459-82E9-32817F62765C}" name="S11" dataDxfId="159"/>
    <tableColumn id="13" xr3:uid="{60B20ED2-4321-4F32-A36C-F58C37702506}" name="S12" dataDxfId="158"/>
    <tableColumn id="14" xr3:uid="{7A2E0DA6-13D1-456C-856C-912BC3228392}" name="S13" dataDxfId="157"/>
    <tableColumn id="15" xr3:uid="{83F5C750-EE92-4619-AF1B-C7D74A0F9D2B}" name="S14" dataDxfId="156"/>
    <tableColumn id="16" xr3:uid="{7886167C-1EAD-47C2-AF07-1EC9D167F0D5}" name="S15" dataDxfId="155"/>
    <tableColumn id="17" xr3:uid="{5904BC1C-7BA9-4974-A454-C049A30E4CD0}" name="S16" dataDxfId="154"/>
    <tableColumn id="18" xr3:uid="{938F31C0-38E2-4663-8AB6-6F129BB3703A}" name="S17" dataDxfId="153"/>
    <tableColumn id="19" xr3:uid="{743BC52D-F6CA-441B-B24C-30D491CCCAA7}" name="S18" dataDxfId="152"/>
    <tableColumn id="20" xr3:uid="{85CAA1E6-D811-4D29-B19D-8F8DBC463F09}" name="S19" dataDxfId="151"/>
    <tableColumn id="21" xr3:uid="{62EB927B-9C2A-4E2E-95CF-334CF7B88CE1}" name="S20" dataDxfId="15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1000"/>
  <sheetViews>
    <sheetView topLeftCell="S1" zoomScaleNormal="100" workbookViewId="0">
      <selection activeCell="AA18" sqref="AA18:AD25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">
        <v>78</v>
      </c>
      <c r="D1" s="23"/>
      <c r="E1" s="23"/>
      <c r="F1" s="1" t="s">
        <v>1</v>
      </c>
      <c r="G1" s="22" t="s">
        <v>79</v>
      </c>
      <c r="H1" s="23"/>
      <c r="I1" s="23"/>
      <c r="J1" s="1" t="s">
        <v>55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884.68999999999994</v>
      </c>
      <c r="D8" s="19">
        <f>AB9*$AA$18+(1+$AA$19*($AB$15-25))</f>
        <v>884.43999999999994</v>
      </c>
      <c r="E8" s="19">
        <f>AC9*$AA$18+(1+$AA$19*($AC$15-25))</f>
        <v>884.43999999999994</v>
      </c>
      <c r="F8" s="19">
        <f>AD9*$AA$18+(1+$AA$19*($AD$15-25))</f>
        <v>884.43999999999994</v>
      </c>
      <c r="G8" s="19">
        <f>AE9*$AA$18+(1+$AA$19*($AE$15-25))</f>
        <v>884.43999999999994</v>
      </c>
      <c r="H8" s="19">
        <f>AF9*$AA$18+(1+$AA$19*($AF$15-25))</f>
        <v>884.43999999999994</v>
      </c>
      <c r="I8" s="19">
        <f>AG9*$AA$18+(1+$AA$19*($AG$15-25))</f>
        <v>884.43999999999994</v>
      </c>
      <c r="J8" s="19">
        <f>AH9*$AA$18+(1+$AA$19*($AH$15-25))</f>
        <v>884.43999999999994</v>
      </c>
      <c r="K8" s="19">
        <f>AI9*$AA$18+(1+$AA$19*($AI$15-25))</f>
        <v>884.43999999999994</v>
      </c>
      <c r="L8" s="19">
        <f>AJ9*$AA$18+(1+$AA$19*($AJ$15-25))</f>
        <v>884.43999999999994</v>
      </c>
      <c r="M8" s="19">
        <f>AK9*$AA$18+(1+$AA$19*($AK$15-25))</f>
        <v>884.43999999999994</v>
      </c>
      <c r="N8" s="19">
        <f>AL9*$AA$18+(1+$AA$19*($AL$15-25))</f>
        <v>884.43999999999994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24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>C8*(1-7%)</f>
        <v>822.76169999999991</v>
      </c>
      <c r="D9" s="19">
        <f t="shared" ref="D9:V9" si="0">D8*(1-7%)</f>
        <v>822.52919999999995</v>
      </c>
      <c r="E9" s="19">
        <f t="shared" si="0"/>
        <v>822.52919999999995</v>
      </c>
      <c r="F9" s="19">
        <f t="shared" si="0"/>
        <v>822.52919999999995</v>
      </c>
      <c r="G9" s="19">
        <f t="shared" si="0"/>
        <v>822.52919999999995</v>
      </c>
      <c r="H9" s="19">
        <f t="shared" si="0"/>
        <v>822.52919999999995</v>
      </c>
      <c r="I9" s="19">
        <f t="shared" si="0"/>
        <v>822.52919999999995</v>
      </c>
      <c r="J9" s="19">
        <f t="shared" si="0"/>
        <v>822.52919999999995</v>
      </c>
      <c r="K9" s="19">
        <f t="shared" si="0"/>
        <v>822.52919999999995</v>
      </c>
      <c r="L9" s="19">
        <f t="shared" si="0"/>
        <v>822.52919999999995</v>
      </c>
      <c r="M9" s="19">
        <f t="shared" si="0"/>
        <v>822.52919999999995</v>
      </c>
      <c r="N9" s="19">
        <f t="shared" si="0"/>
        <v>822.52919999999995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>
        <v>18</v>
      </c>
      <c r="AB9" s="8">
        <v>18</v>
      </c>
      <c r="AC9" s="8">
        <v>18</v>
      </c>
      <c r="AD9" s="8">
        <v>18</v>
      </c>
      <c r="AE9" s="8">
        <v>18</v>
      </c>
      <c r="AF9" s="8">
        <v>18</v>
      </c>
      <c r="AG9" s="8">
        <v>18</v>
      </c>
      <c r="AH9" s="8">
        <v>18</v>
      </c>
      <c r="AI9" s="8">
        <v>18</v>
      </c>
      <c r="AJ9" s="8">
        <v>18</v>
      </c>
      <c r="AK9" s="8">
        <v>18</v>
      </c>
      <c r="AL9" s="8">
        <v>18</v>
      </c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946.61829999999998</v>
      </c>
      <c r="D10" s="19">
        <f t="shared" si="1"/>
        <v>946.35079999999994</v>
      </c>
      <c r="E10" s="19">
        <f t="shared" si="1"/>
        <v>946.35079999999994</v>
      </c>
      <c r="F10" s="19">
        <f t="shared" si="1"/>
        <v>946.35079999999994</v>
      </c>
      <c r="G10" s="19">
        <f t="shared" si="1"/>
        <v>946.35079999999994</v>
      </c>
      <c r="H10" s="19">
        <f t="shared" si="1"/>
        <v>946.35079999999994</v>
      </c>
      <c r="I10" s="19">
        <f t="shared" si="1"/>
        <v>946.35079999999994</v>
      </c>
      <c r="J10" s="19">
        <f t="shared" si="1"/>
        <v>946.35079999999994</v>
      </c>
      <c r="K10" s="19">
        <f t="shared" si="1"/>
        <v>946.35079999999994</v>
      </c>
      <c r="L10" s="19">
        <f t="shared" si="1"/>
        <v>946.35079999999994</v>
      </c>
      <c r="M10" s="19">
        <f t="shared" si="1"/>
        <v>946.35079999999994</v>
      </c>
      <c r="N10" s="19">
        <f t="shared" si="1"/>
        <v>946.35079999999994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>
        <v>826</v>
      </c>
      <c r="AB10" s="8">
        <v>825</v>
      </c>
      <c r="AC10" s="8">
        <v>823</v>
      </c>
      <c r="AD10" s="8">
        <v>824</v>
      </c>
      <c r="AE10" s="8">
        <v>829</v>
      </c>
      <c r="AF10" s="8">
        <v>823</v>
      </c>
      <c r="AG10" s="8">
        <v>823</v>
      </c>
      <c r="AH10" s="8">
        <v>823</v>
      </c>
      <c r="AI10" s="8">
        <v>829</v>
      </c>
      <c r="AJ10" s="8">
        <v>829</v>
      </c>
      <c r="AK10" s="8">
        <v>829</v>
      </c>
      <c r="AL10" s="8">
        <v>828</v>
      </c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675.88000000000011</v>
      </c>
      <c r="AB11" s="8">
        <f>AB10-((AA18-AA20)*AB9)</f>
        <v>674.88000000000011</v>
      </c>
      <c r="AC11" s="8">
        <f>AC10-((AA18-AA20)*AC9)</f>
        <v>672.88000000000011</v>
      </c>
      <c r="AD11" s="8">
        <f>AD10-((AA18-AA20)*AD9)</f>
        <v>673.88000000000011</v>
      </c>
      <c r="AE11" s="8">
        <f>AE10-((AA18-AA20)*AE9)</f>
        <v>678.88000000000011</v>
      </c>
      <c r="AF11" s="8">
        <f>AF10-((AA18-AA20)*AF9)</f>
        <v>672.88000000000011</v>
      </c>
      <c r="AG11" s="8">
        <f>AG10-((AA18-AA20)*AG9)</f>
        <v>672.88000000000011</v>
      </c>
      <c r="AH11" s="8">
        <f>AH10-((AA18-AA20)*AH9)</f>
        <v>672.88000000000011</v>
      </c>
      <c r="AI11" s="8">
        <f>AI10-((AA18-AA20)*AI9)</f>
        <v>678.88000000000011</v>
      </c>
      <c r="AJ11" s="8">
        <f>AJ10-((AA18-AA20)*AJ9)</f>
        <v>678.88000000000011</v>
      </c>
      <c r="AK11" s="8">
        <f>AK10-((AA18-AA20)*AK9)</f>
        <v>678.88000000000011</v>
      </c>
      <c r="AL11" s="8">
        <f>AL10-((AA18-AA20)*AL9)</f>
        <v>677.88000000000011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>
        <v>323.3</v>
      </c>
      <c r="AB12" s="8">
        <v>337.7</v>
      </c>
      <c r="AC12" s="8">
        <v>315</v>
      </c>
      <c r="AD12" s="8">
        <v>327</v>
      </c>
      <c r="AE12" s="8">
        <v>377</v>
      </c>
      <c r="AF12" s="8">
        <v>388</v>
      </c>
      <c r="AG12" s="8">
        <v>383</v>
      </c>
      <c r="AH12" s="8">
        <v>408</v>
      </c>
      <c r="AI12" s="8">
        <v>374</v>
      </c>
      <c r="AJ12" s="8">
        <v>365</v>
      </c>
      <c r="AK12" s="8">
        <v>376</v>
      </c>
      <c r="AL12" s="8">
        <v>356</v>
      </c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Passed</v>
      </c>
      <c r="D13" s="19" t="str">
        <f t="shared" si="2"/>
        <v>Passed</v>
      </c>
      <c r="E13" s="19" t="str">
        <f t="shared" si="2"/>
        <v>Passed</v>
      </c>
      <c r="F13" s="19" t="str">
        <f t="shared" si="2"/>
        <v>Passed</v>
      </c>
      <c r="G13" s="19" t="str">
        <f t="shared" si="2"/>
        <v>Passed</v>
      </c>
      <c r="H13" s="19" t="str">
        <f t="shared" si="2"/>
        <v>Passed</v>
      </c>
      <c r="I13" s="19" t="str">
        <f t="shared" si="2"/>
        <v>Passed</v>
      </c>
      <c r="J13" s="19" t="str">
        <f t="shared" si="2"/>
        <v>Passed</v>
      </c>
      <c r="K13" s="19" t="str">
        <f t="shared" si="2"/>
        <v>Passed</v>
      </c>
      <c r="L13" s="19" t="str">
        <f t="shared" si="2"/>
        <v>Passed</v>
      </c>
      <c r="M13" s="19" t="str">
        <f t="shared" si="2"/>
        <v>Passed</v>
      </c>
      <c r="N13" s="19" t="str">
        <f t="shared" si="2"/>
        <v>Passed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>
        <v>647</v>
      </c>
      <c r="AB13" s="8">
        <v>603</v>
      </c>
      <c r="AC13" s="8">
        <v>646</v>
      </c>
      <c r="AD13" s="8">
        <v>642</v>
      </c>
      <c r="AE13" s="8">
        <v>630</v>
      </c>
      <c r="AF13" s="8">
        <v>642</v>
      </c>
      <c r="AG13" s="8">
        <v>628</v>
      </c>
      <c r="AH13" s="8">
        <v>637</v>
      </c>
      <c r="AI13" s="8">
        <v>634</v>
      </c>
      <c r="AJ13" s="8">
        <v>648</v>
      </c>
      <c r="AK13" s="8">
        <v>651</v>
      </c>
      <c r="AL13" s="8">
        <v>598</v>
      </c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 t="s">
        <v>77</v>
      </c>
      <c r="P14" s="21" t="s">
        <v>77</v>
      </c>
      <c r="Q14" s="21" t="s">
        <v>77</v>
      </c>
      <c r="R14" s="21" t="s">
        <v>77</v>
      </c>
      <c r="S14" s="21" t="s">
        <v>77</v>
      </c>
      <c r="T14" s="21" t="s">
        <v>77</v>
      </c>
      <c r="U14" s="21" t="s">
        <v>77</v>
      </c>
      <c r="V14" s="21" t="s">
        <v>77</v>
      </c>
      <c r="Z14" s="15" t="s">
        <v>32</v>
      </c>
      <c r="AA14" s="16">
        <v>10.37</v>
      </c>
      <c r="AB14" s="16">
        <v>11.01</v>
      </c>
      <c r="AC14" s="16">
        <v>10.41</v>
      </c>
      <c r="AD14" s="16">
        <v>10.49</v>
      </c>
      <c r="AE14" s="16">
        <v>10.52</v>
      </c>
      <c r="AF14" s="16">
        <v>10.41</v>
      </c>
      <c r="AG14" s="16">
        <v>10.46</v>
      </c>
      <c r="AH14" s="16">
        <v>10.5</v>
      </c>
      <c r="AI14" s="16">
        <v>10.48</v>
      </c>
      <c r="AJ14" s="16">
        <v>10.53</v>
      </c>
      <c r="AK14" s="16">
        <v>10.45</v>
      </c>
      <c r="AL14" s="16">
        <v>10.45</v>
      </c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24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11.358759999999998</v>
      </c>
      <c r="D18" s="19">
        <f>($AA$22*(AB13/$AA$25))+(1+$AA$24*($AB$15-25))</f>
        <v>10.69624</v>
      </c>
      <c r="E18" s="19">
        <f>($AA$22*(AC13/$AA$25))+(1+$AA$24*($AC$15-25))</f>
        <v>11.38768</v>
      </c>
      <c r="F18" s="19">
        <f>($AA$22*(AD13/$AA$25))+(1+$AA$24*($AD$15-25))</f>
        <v>11.323359999999999</v>
      </c>
      <c r="G18" s="19">
        <f>($AA$22*(AE13/$AA$25))+(1+$AA$24*($AE$15-25))</f>
        <v>11.1304</v>
      </c>
      <c r="H18" s="19">
        <f>($AA$22*(AF13/$AA$25))+(1+$AA$24*($AF$15-25))</f>
        <v>11.323359999999999</v>
      </c>
      <c r="I18" s="19">
        <f>($AA$22*(AG13/$AA$25))+(1+$AA$24*($AG$15-25))</f>
        <v>11.098239999999999</v>
      </c>
      <c r="J18" s="19">
        <f>($AA$22*(AH13/$AA$25))+(1+$AA$24*($AH$15-25))</f>
        <v>11.242959999999998</v>
      </c>
      <c r="K18" s="19">
        <f>($AA$22*(AI13/$AA$25))+(1+$AA$24*($AI$15-25))</f>
        <v>11.194719999999998</v>
      </c>
      <c r="L18" s="19">
        <f>($AA$22*(AJ13/$AA$25))+(1+$AA$24*($AJ$15-25))</f>
        <v>11.419839999999999</v>
      </c>
      <c r="M18" s="19">
        <f>($AA$22*(AK13/$AA$25))+(1+$AA$24*($AK$15-25))</f>
        <v>11.468079999999999</v>
      </c>
      <c r="N18" s="19">
        <f>($AA$22*(AL13/$AA$25))+(1+$AA$24*($AL$15-25))</f>
        <v>10.615839999999999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49.08</v>
      </c>
      <c r="AB18" s="4" t="s">
        <v>34</v>
      </c>
      <c r="AC18" s="6" t="s">
        <v>76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10.222883999999999</v>
      </c>
      <c r="D19" s="19">
        <f t="shared" si="3"/>
        <v>9.6266160000000003</v>
      </c>
      <c r="E19" s="19">
        <f t="shared" si="3"/>
        <v>10.248912000000001</v>
      </c>
      <c r="F19" s="19">
        <f t="shared" si="3"/>
        <v>10.191023999999999</v>
      </c>
      <c r="G19" s="19">
        <f t="shared" si="3"/>
        <v>10.01736</v>
      </c>
      <c r="H19" s="19">
        <f t="shared" si="3"/>
        <v>10.191023999999999</v>
      </c>
      <c r="I19" s="19">
        <f t="shared" si="3"/>
        <v>9.9884159999999991</v>
      </c>
      <c r="J19" s="19">
        <f t="shared" si="3"/>
        <v>10.118663999999999</v>
      </c>
      <c r="K19" s="19">
        <f t="shared" si="3"/>
        <v>10.075247999999998</v>
      </c>
      <c r="L19" s="19">
        <f t="shared" si="3"/>
        <v>10.277856</v>
      </c>
      <c r="M19" s="19">
        <f t="shared" si="3"/>
        <v>10.321271999999999</v>
      </c>
      <c r="N19" s="19">
        <f t="shared" si="3"/>
        <v>9.5542559999999987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-0.25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12.494636</v>
      </c>
      <c r="D20" s="19">
        <f t="shared" si="4"/>
        <v>11.765864000000001</v>
      </c>
      <c r="E20" s="19">
        <f t="shared" si="4"/>
        <v>12.526448</v>
      </c>
      <c r="F20" s="19">
        <f t="shared" si="4"/>
        <v>12.455696</v>
      </c>
      <c r="G20" s="19">
        <f t="shared" si="4"/>
        <v>12.243440000000001</v>
      </c>
      <c r="H20" s="19">
        <f t="shared" si="4"/>
        <v>12.455696</v>
      </c>
      <c r="I20" s="19">
        <f t="shared" si="4"/>
        <v>12.208064</v>
      </c>
      <c r="J20" s="19">
        <f t="shared" si="4"/>
        <v>12.367255999999999</v>
      </c>
      <c r="K20" s="19">
        <f t="shared" si="4"/>
        <v>12.314191999999998</v>
      </c>
      <c r="L20" s="19">
        <f t="shared" si="4"/>
        <v>12.561824</v>
      </c>
      <c r="M20" s="19">
        <f t="shared" si="4"/>
        <v>12.614887999999999</v>
      </c>
      <c r="N20" s="19">
        <f t="shared" si="4"/>
        <v>11.677424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40.74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10.37</v>
      </c>
      <c r="D21" s="20">
        <f t="shared" si="5"/>
        <v>11.01</v>
      </c>
      <c r="E21" s="20">
        <f t="shared" si="5"/>
        <v>10.41</v>
      </c>
      <c r="F21" s="20">
        <f t="shared" si="5"/>
        <v>10.49</v>
      </c>
      <c r="G21" s="20">
        <f t="shared" si="5"/>
        <v>10.52</v>
      </c>
      <c r="H21" s="20">
        <f t="shared" si="5"/>
        <v>10.41</v>
      </c>
      <c r="I21" s="20">
        <f t="shared" si="5"/>
        <v>10.46</v>
      </c>
      <c r="J21" s="20">
        <f t="shared" si="5"/>
        <v>10.5</v>
      </c>
      <c r="K21" s="20">
        <f t="shared" si="5"/>
        <v>10.48</v>
      </c>
      <c r="L21" s="20">
        <f t="shared" si="5"/>
        <v>10.53</v>
      </c>
      <c r="M21" s="20">
        <f t="shared" si="5"/>
        <v>10.45</v>
      </c>
      <c r="N21" s="20">
        <f t="shared" si="5"/>
        <v>10.45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Z22" s="4" t="s">
        <v>43</v>
      </c>
      <c r="AA22" s="4">
        <v>16.079999999999998</v>
      </c>
      <c r="AB22" s="4" t="s">
        <v>44</v>
      </c>
      <c r="AC22" s="4" t="s">
        <v>45</v>
      </c>
    </row>
    <row r="23" spans="2:30" ht="14.25" customHeight="1" x14ac:dyDescent="0.3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Passed</v>
      </c>
      <c r="D24" s="19" t="str">
        <f t="shared" si="6"/>
        <v>Passed</v>
      </c>
      <c r="E24" s="19" t="str">
        <f t="shared" si="6"/>
        <v>Passed</v>
      </c>
      <c r="F24" s="19" t="str">
        <f t="shared" si="6"/>
        <v>Passed</v>
      </c>
      <c r="G24" s="19" t="str">
        <f t="shared" si="6"/>
        <v>Passed</v>
      </c>
      <c r="H24" s="19" t="str">
        <f t="shared" si="6"/>
        <v>Passed</v>
      </c>
      <c r="I24" s="19" t="str">
        <f t="shared" si="6"/>
        <v>Passed</v>
      </c>
      <c r="J24" s="19" t="str">
        <f t="shared" si="6"/>
        <v>Passed</v>
      </c>
      <c r="K24" s="19" t="str">
        <f t="shared" si="6"/>
        <v>Passed</v>
      </c>
      <c r="L24" s="19" t="str">
        <f t="shared" si="6"/>
        <v>Passed</v>
      </c>
      <c r="M24" s="19" t="str">
        <f t="shared" si="6"/>
        <v>Passed</v>
      </c>
      <c r="N24" s="19" t="str">
        <f t="shared" si="6"/>
        <v>Passed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O25" s="21" t="s">
        <v>77</v>
      </c>
      <c r="P25" s="21" t="s">
        <v>77</v>
      </c>
      <c r="Q25" s="21" t="s">
        <v>77</v>
      </c>
      <c r="R25" s="21" t="s">
        <v>77</v>
      </c>
      <c r="S25" s="21" t="s">
        <v>77</v>
      </c>
      <c r="T25" s="21" t="s">
        <v>77</v>
      </c>
      <c r="U25" s="21" t="s">
        <v>77</v>
      </c>
      <c r="V25" s="21" t="s">
        <v>77</v>
      </c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4">
    <cfRule type="containsText" dxfId="149" priority="3" operator="containsText" text="Failed">
      <formula>NOT(ISERROR(SEARCH(("Failed"),(C13))))</formula>
    </cfRule>
    <cfRule type="containsText" dxfId="148" priority="4" operator="containsText" text="Passed">
      <formula>NOT(ISERROR(SEARCH(("Passed"),(C13))))</formula>
    </cfRule>
  </conditionalFormatting>
  <conditionalFormatting sqref="C24:W24">
    <cfRule type="containsText" dxfId="147" priority="7" operator="containsText" text="Failed">
      <formula>NOT(ISERROR(SEARCH(("Failed"),(C24))))</formula>
    </cfRule>
    <cfRule type="containsText" dxfId="146" priority="8" operator="containsText" text="Passed">
      <formula>NOT(ISERROR(SEARCH(("Passed"),(C24))))</formula>
    </cfRule>
  </conditionalFormatting>
  <conditionalFormatting sqref="F25">
    <cfRule type="containsText" dxfId="145" priority="17" operator="containsText" text="Failed">
      <formula>NOT(ISERROR(SEARCH(("Failed"),(F25))))</formula>
    </cfRule>
    <cfRule type="containsText" dxfId="144" priority="18" operator="containsText" text="Passed">
      <formula>NOT(ISERROR(SEARCH(("Passed"),(F25))))</formula>
    </cfRule>
  </conditionalFormatting>
  <conditionalFormatting sqref="H25">
    <cfRule type="containsText" dxfId="143" priority="15" operator="containsText" text="Failed">
      <formula>NOT(ISERROR(SEARCH(("Failed"),(H25))))</formula>
    </cfRule>
    <cfRule type="containsText" dxfId="142" priority="16" operator="containsText" text="Passed">
      <formula>NOT(ISERROR(SEARCH(("Passed"),(H25))))</formula>
    </cfRule>
  </conditionalFormatting>
  <conditionalFormatting sqref="J25">
    <cfRule type="containsText" dxfId="141" priority="13" operator="containsText" text="Failed">
      <formula>NOT(ISERROR(SEARCH(("Failed"),(J25))))</formula>
    </cfRule>
    <cfRule type="containsText" dxfId="140" priority="14" operator="containsText" text="Passed">
      <formula>NOT(ISERROR(SEARCH(("Passed"),(J25))))</formula>
    </cfRule>
  </conditionalFormatting>
  <conditionalFormatting sqref="L25">
    <cfRule type="containsText" dxfId="139" priority="11" operator="containsText" text="Failed">
      <formula>NOT(ISERROR(SEARCH(("Failed"),(L25))))</formula>
    </cfRule>
    <cfRule type="containsText" dxfId="138" priority="12" operator="containsText" text="Passed">
      <formula>NOT(ISERROR(SEARCH(("Passed"),(L25))))</formula>
    </cfRule>
  </conditionalFormatting>
  <conditionalFormatting sqref="N25">
    <cfRule type="containsText" dxfId="137" priority="9" operator="containsText" text="Failed">
      <formula>NOT(ISERROR(SEARCH(("Failed"),(N25))))</formula>
    </cfRule>
    <cfRule type="containsText" dxfId="136" priority="10" operator="containsText" text="Passed">
      <formula>NOT(ISERROR(SEARCH(("Passed"),(N25))))</formula>
    </cfRule>
  </conditionalFormatting>
  <conditionalFormatting sqref="O25:V25">
    <cfRule type="containsText" dxfId="9" priority="1" operator="containsText" text="Failed">
      <formula>NOT(ISERROR(SEARCH(("Failed"),(O25))))</formula>
    </cfRule>
    <cfRule type="containsText" dxfId="8" priority="2" operator="containsText" text="Passed">
      <formula>NOT(ISERROR(SEARCH(("Passed"),(O25))))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59E8-68ED-406A-9D78-E3B76F431B6B}">
  <dimension ref="B1:AT1000"/>
  <sheetViews>
    <sheetView zoomScaleNormal="100" workbookViewId="0">
      <selection activeCell="O14" sqref="O14:V14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 t="s">
        <v>79</v>
      </c>
      <c r="H1" s="23"/>
      <c r="I1" s="23"/>
      <c r="J1" s="1" t="s">
        <v>56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884.43999999999994</v>
      </c>
      <c r="D8" s="19">
        <f>AB9*$AA$18+(1+$AA$19*($AB$15-25))</f>
        <v>884.43999999999994</v>
      </c>
      <c r="E8" s="19">
        <f>AC9*$AA$18+(1+$AA$19*($AC$15-25))</f>
        <v>884.43999999999994</v>
      </c>
      <c r="F8" s="19">
        <f>AD9*$AA$18+(1+$AA$19*($AD$15-25))</f>
        <v>884.43999999999994</v>
      </c>
      <c r="G8" s="19">
        <f>AE9*$AA$18+(1+$AA$19*($AE$15-25))</f>
        <v>884.43999999999994</v>
      </c>
      <c r="H8" s="19">
        <f>AF9*$AA$18+(1+$AA$19*($AF$15-25))</f>
        <v>835.36</v>
      </c>
      <c r="I8" s="19">
        <f>AG9*$AA$18+(1+$AA$19*($AG$15-25))</f>
        <v>786.28</v>
      </c>
      <c r="J8" s="19">
        <f>AH9*$AA$18+(1+$AA$19*($AH$15-25))</f>
        <v>786.28</v>
      </c>
      <c r="K8" s="19">
        <f>AI9*$AA$18+(1+$AA$19*($AI$15-25))</f>
        <v>884.43999999999994</v>
      </c>
      <c r="L8" s="19">
        <f>AJ9*$AA$18+(1+$AA$19*($AJ$15-25))</f>
        <v>884.43999999999994</v>
      </c>
      <c r="M8" s="19">
        <f>AK9*$AA$18+(1+$AA$19*($AK$15-25))</f>
        <v>884.43999999999994</v>
      </c>
      <c r="N8" s="19">
        <f>AL9*$AA$18+(1+$AA$19*($AL$15-25))</f>
        <v>884.43999999999994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57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822.52919999999995</v>
      </c>
      <c r="D9" s="19">
        <f t="shared" si="0"/>
        <v>822.52919999999995</v>
      </c>
      <c r="E9" s="19">
        <f t="shared" si="0"/>
        <v>822.52919999999995</v>
      </c>
      <c r="F9" s="19">
        <f t="shared" si="0"/>
        <v>822.52919999999995</v>
      </c>
      <c r="G9" s="19">
        <f t="shared" si="0"/>
        <v>822.52919999999995</v>
      </c>
      <c r="H9" s="19">
        <f t="shared" si="0"/>
        <v>776.88479999999993</v>
      </c>
      <c r="I9" s="19">
        <f t="shared" si="0"/>
        <v>731.24039999999991</v>
      </c>
      <c r="J9" s="19">
        <f t="shared" si="0"/>
        <v>731.24039999999991</v>
      </c>
      <c r="K9" s="19">
        <f t="shared" si="0"/>
        <v>822.52919999999995</v>
      </c>
      <c r="L9" s="19">
        <f t="shared" si="0"/>
        <v>822.52919999999995</v>
      </c>
      <c r="M9" s="19">
        <f t="shared" si="0"/>
        <v>822.52919999999995</v>
      </c>
      <c r="N9" s="19">
        <f t="shared" si="0"/>
        <v>822.52919999999995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>
        <v>18</v>
      </c>
      <c r="AB9" s="8">
        <v>18</v>
      </c>
      <c r="AC9" s="8">
        <v>18</v>
      </c>
      <c r="AD9" s="8">
        <v>18</v>
      </c>
      <c r="AE9" s="8">
        <v>18</v>
      </c>
      <c r="AF9" s="8">
        <v>17</v>
      </c>
      <c r="AG9" s="8">
        <v>16</v>
      </c>
      <c r="AH9" s="8">
        <v>16</v>
      </c>
      <c r="AI9" s="8">
        <v>18</v>
      </c>
      <c r="AJ9" s="8">
        <v>18</v>
      </c>
      <c r="AK9" s="8">
        <v>18</v>
      </c>
      <c r="AL9" s="8">
        <v>18</v>
      </c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946.35079999999994</v>
      </c>
      <c r="D10" s="19">
        <f t="shared" si="1"/>
        <v>946.35079999999994</v>
      </c>
      <c r="E10" s="19">
        <f t="shared" si="1"/>
        <v>946.35079999999994</v>
      </c>
      <c r="F10" s="19">
        <f t="shared" si="1"/>
        <v>946.35079999999994</v>
      </c>
      <c r="G10" s="19">
        <f t="shared" si="1"/>
        <v>946.35079999999994</v>
      </c>
      <c r="H10" s="19">
        <f t="shared" si="1"/>
        <v>893.8352000000001</v>
      </c>
      <c r="I10" s="19">
        <f t="shared" si="1"/>
        <v>841.31960000000004</v>
      </c>
      <c r="J10" s="19">
        <f t="shared" si="1"/>
        <v>841.31960000000004</v>
      </c>
      <c r="K10" s="19">
        <f t="shared" si="1"/>
        <v>946.35079999999994</v>
      </c>
      <c r="L10" s="19">
        <f t="shared" si="1"/>
        <v>946.35079999999994</v>
      </c>
      <c r="M10" s="19">
        <f t="shared" si="1"/>
        <v>946.35079999999994</v>
      </c>
      <c r="N10" s="19">
        <f t="shared" si="1"/>
        <v>946.35079999999994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>
        <v>827</v>
      </c>
      <c r="AB10" s="8">
        <v>826</v>
      </c>
      <c r="AC10" s="8">
        <v>824</v>
      </c>
      <c r="AD10" s="8">
        <v>826</v>
      </c>
      <c r="AE10" s="8">
        <v>824</v>
      </c>
      <c r="AF10" s="8">
        <v>778</v>
      </c>
      <c r="AG10" s="8">
        <v>732</v>
      </c>
      <c r="AH10" s="8">
        <v>733</v>
      </c>
      <c r="AI10" s="8">
        <v>823</v>
      </c>
      <c r="AJ10" s="8">
        <v>829</v>
      </c>
      <c r="AK10" s="8">
        <v>823</v>
      </c>
      <c r="AL10" s="8">
        <v>828</v>
      </c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676.88000000000011</v>
      </c>
      <c r="AB11" s="8">
        <f>AB10-((AA18-AA20)*AB9)</f>
        <v>675.88000000000011</v>
      </c>
      <c r="AC11" s="8">
        <f>AC10-((AA18-AA20)*AC9)</f>
        <v>673.88000000000011</v>
      </c>
      <c r="AD11" s="8">
        <f>AD10-((AA18-AA20)*AD9)</f>
        <v>675.88000000000011</v>
      </c>
      <c r="AE11" s="8">
        <f>AE10-((AA18-AA20)*AE9)</f>
        <v>673.88000000000011</v>
      </c>
      <c r="AF11" s="8">
        <f>AF10-((AA18-AA20)*AF9)</f>
        <v>636.22</v>
      </c>
      <c r="AG11" s="8">
        <f>AG10-((AA18-AA20)*AG9)</f>
        <v>598.56000000000006</v>
      </c>
      <c r="AH11" s="8">
        <f>AH10-((AA18-AA20)*AH9)</f>
        <v>599.56000000000006</v>
      </c>
      <c r="AI11" s="8">
        <f>AI10-((AA18-AA20)*AI9)</f>
        <v>672.88000000000011</v>
      </c>
      <c r="AJ11" s="8">
        <f>AJ10-((AA18-AA20)*AJ9)</f>
        <v>678.88000000000011</v>
      </c>
      <c r="AK11" s="8">
        <f>AK10-((AA18-AA20)*AK9)</f>
        <v>672.88000000000011</v>
      </c>
      <c r="AL11" s="8">
        <f>AL10-((AA18-AA20)*AL9)</f>
        <v>677.88000000000011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>
        <v>366</v>
      </c>
      <c r="AB12" s="8">
        <v>356</v>
      </c>
      <c r="AC12" s="8">
        <v>345</v>
      </c>
      <c r="AD12" s="8">
        <v>358</v>
      </c>
      <c r="AE12" s="8">
        <v>357</v>
      </c>
      <c r="AF12" s="8">
        <v>411</v>
      </c>
      <c r="AG12" s="8">
        <v>450</v>
      </c>
      <c r="AH12" s="8">
        <v>427</v>
      </c>
      <c r="AI12" s="8">
        <v>414</v>
      </c>
      <c r="AJ12" s="8">
        <v>407</v>
      </c>
      <c r="AK12" s="8">
        <v>358</v>
      </c>
      <c r="AL12" s="8">
        <v>392</v>
      </c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Passed</v>
      </c>
      <c r="D13" s="19" t="str">
        <f t="shared" si="2"/>
        <v>Passed</v>
      </c>
      <c r="E13" s="19" t="str">
        <f t="shared" si="2"/>
        <v>Passed</v>
      </c>
      <c r="F13" s="19" t="str">
        <f t="shared" si="2"/>
        <v>Passed</v>
      </c>
      <c r="G13" s="19" t="str">
        <f t="shared" si="2"/>
        <v>Passed</v>
      </c>
      <c r="H13" s="19" t="str">
        <f t="shared" si="2"/>
        <v>Passed</v>
      </c>
      <c r="I13" s="19" t="str">
        <f t="shared" si="2"/>
        <v>Passed</v>
      </c>
      <c r="J13" s="19" t="str">
        <f t="shared" si="2"/>
        <v>Passed</v>
      </c>
      <c r="K13" s="19" t="str">
        <f t="shared" si="2"/>
        <v>Passed</v>
      </c>
      <c r="L13" s="19" t="str">
        <f t="shared" si="2"/>
        <v>Passed</v>
      </c>
      <c r="M13" s="19" t="str">
        <f t="shared" si="2"/>
        <v>Passed</v>
      </c>
      <c r="N13" s="19" t="str">
        <f t="shared" si="2"/>
        <v>Passed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>
        <v>636</v>
      </c>
      <c r="AB13" s="8">
        <v>644</v>
      </c>
      <c r="AC13" s="8">
        <v>633</v>
      </c>
      <c r="AD13" s="8">
        <v>644</v>
      </c>
      <c r="AE13" s="8">
        <v>641</v>
      </c>
      <c r="AF13" s="8">
        <v>634</v>
      </c>
      <c r="AG13" s="8">
        <v>598</v>
      </c>
      <c r="AH13" s="8">
        <v>590</v>
      </c>
      <c r="AI13" s="8">
        <v>592</v>
      </c>
      <c r="AJ13" s="8">
        <v>617</v>
      </c>
      <c r="AK13" s="8">
        <v>635</v>
      </c>
      <c r="AL13" s="8">
        <v>632</v>
      </c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 t="s">
        <v>77</v>
      </c>
      <c r="P14" s="21" t="s">
        <v>77</v>
      </c>
      <c r="Q14" s="21" t="s">
        <v>77</v>
      </c>
      <c r="R14" s="21" t="s">
        <v>77</v>
      </c>
      <c r="S14" s="21" t="s">
        <v>77</v>
      </c>
      <c r="T14" s="21" t="s">
        <v>77</v>
      </c>
      <c r="U14" s="21" t="s">
        <v>77</v>
      </c>
      <c r="V14" s="21" t="s">
        <v>77</v>
      </c>
      <c r="Z14" s="15" t="s">
        <v>32</v>
      </c>
      <c r="AA14" s="16">
        <v>10.65</v>
      </c>
      <c r="AB14" s="16">
        <v>10.6</v>
      </c>
      <c r="AC14" s="16">
        <v>10.48</v>
      </c>
      <c r="AD14" s="16">
        <v>10.6</v>
      </c>
      <c r="AE14" s="16">
        <v>10.6</v>
      </c>
      <c r="AF14" s="16">
        <v>10.38</v>
      </c>
      <c r="AG14" s="16">
        <v>9.8699999999999992</v>
      </c>
      <c r="AH14" s="16">
        <v>9.82</v>
      </c>
      <c r="AI14" s="16">
        <v>9.84</v>
      </c>
      <c r="AJ14" s="16">
        <v>10.09</v>
      </c>
      <c r="AK14" s="16">
        <v>10.19</v>
      </c>
      <c r="AL14" s="16">
        <v>10.14</v>
      </c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11.22688</v>
      </c>
      <c r="D18" s="19">
        <f>($AA$22*(AB13/$AA$25))+(1+$AA$24*($AB$15-25))</f>
        <v>11.355519999999999</v>
      </c>
      <c r="E18" s="19">
        <f>($AA$22*(AC13/$AA$25))+(1+$AA$24*($AC$15-25))</f>
        <v>11.17864</v>
      </c>
      <c r="F18" s="19">
        <f>($AA$22*(AD13/$AA$25))+(1+$AA$24*($AD$15-25))</f>
        <v>11.355519999999999</v>
      </c>
      <c r="G18" s="19">
        <f>($AA$22*(AE13/$AA$25))+(1+$AA$24*($AE$15-25))</f>
        <v>11.307279999999999</v>
      </c>
      <c r="H18" s="19">
        <f>($AA$22*(AF13/$AA$25))+(1+$AA$24*($AF$15-25))</f>
        <v>11.194719999999998</v>
      </c>
      <c r="I18" s="19">
        <f>($AA$22*(AG13/$AA$25))+(1+$AA$24*($AG$15-25))</f>
        <v>10.615839999999999</v>
      </c>
      <c r="J18" s="19">
        <f>($AA$22*(AH13/$AA$25))+(1+$AA$24*($AH$15-25))</f>
        <v>10.487199999999998</v>
      </c>
      <c r="K18" s="19">
        <f>($AA$22*(AI13/$AA$25))+(1+$AA$24*($AI$15-25))</f>
        <v>10.519359999999999</v>
      </c>
      <c r="L18" s="19">
        <f>($AA$22*(AJ13/$AA$25))+(1+$AA$24*($AJ$15-25))</f>
        <v>10.921359999999998</v>
      </c>
      <c r="M18" s="19">
        <f>($AA$22*(AK13/$AA$25))+(1+$AA$24*($AK$15-25))</f>
        <v>11.210799999999999</v>
      </c>
      <c r="N18" s="19">
        <f>($AA$22*(AL13/$AA$25))+(1+$AA$24*($AL$15-25))</f>
        <v>11.162559999999999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49.08</v>
      </c>
      <c r="AB18" s="4" t="s">
        <v>34</v>
      </c>
      <c r="AC18" s="6" t="s">
        <v>76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10.104191999999999</v>
      </c>
      <c r="D19" s="19">
        <f t="shared" si="3"/>
        <v>10.219968</v>
      </c>
      <c r="E19" s="19">
        <f t="shared" si="3"/>
        <v>10.060776000000001</v>
      </c>
      <c r="F19" s="19">
        <f t="shared" si="3"/>
        <v>10.219968</v>
      </c>
      <c r="G19" s="19">
        <f t="shared" si="3"/>
        <v>10.176551999999999</v>
      </c>
      <c r="H19" s="19">
        <f t="shared" si="3"/>
        <v>10.075247999999998</v>
      </c>
      <c r="I19" s="19">
        <f t="shared" si="3"/>
        <v>9.5542559999999987</v>
      </c>
      <c r="J19" s="19">
        <f t="shared" si="3"/>
        <v>9.4384799999999984</v>
      </c>
      <c r="K19" s="19">
        <f t="shared" si="3"/>
        <v>9.4674239999999994</v>
      </c>
      <c r="L19" s="19">
        <f t="shared" si="3"/>
        <v>9.8292239999999982</v>
      </c>
      <c r="M19" s="19">
        <f t="shared" si="3"/>
        <v>10.08972</v>
      </c>
      <c r="N19" s="19">
        <f t="shared" si="3"/>
        <v>10.046303999999999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-0.25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12.349568</v>
      </c>
      <c r="D20" s="19">
        <f t="shared" si="4"/>
        <v>12.491071999999999</v>
      </c>
      <c r="E20" s="19">
        <f t="shared" si="4"/>
        <v>12.296504000000001</v>
      </c>
      <c r="F20" s="19">
        <f t="shared" si="4"/>
        <v>12.491071999999999</v>
      </c>
      <c r="G20" s="19">
        <f t="shared" si="4"/>
        <v>12.438008</v>
      </c>
      <c r="H20" s="19">
        <f t="shared" si="4"/>
        <v>12.314191999999998</v>
      </c>
      <c r="I20" s="19">
        <f t="shared" si="4"/>
        <v>11.677424</v>
      </c>
      <c r="J20" s="19">
        <f t="shared" si="4"/>
        <v>11.535919999999999</v>
      </c>
      <c r="K20" s="19">
        <f t="shared" si="4"/>
        <v>11.571296</v>
      </c>
      <c r="L20" s="19">
        <f t="shared" si="4"/>
        <v>12.013495999999998</v>
      </c>
      <c r="M20" s="19">
        <f t="shared" si="4"/>
        <v>12.33188</v>
      </c>
      <c r="N20" s="19">
        <f t="shared" si="4"/>
        <v>12.278816000000001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40.74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10.65</v>
      </c>
      <c r="D21" s="20">
        <f t="shared" si="5"/>
        <v>10.6</v>
      </c>
      <c r="E21" s="20">
        <f t="shared" si="5"/>
        <v>10.48</v>
      </c>
      <c r="F21" s="20">
        <f t="shared" si="5"/>
        <v>10.6</v>
      </c>
      <c r="G21" s="20">
        <f t="shared" si="5"/>
        <v>10.6</v>
      </c>
      <c r="H21" s="20">
        <f t="shared" si="5"/>
        <v>10.38</v>
      </c>
      <c r="I21" s="20">
        <f t="shared" si="5"/>
        <v>9.8699999999999992</v>
      </c>
      <c r="J21" s="20">
        <f t="shared" si="5"/>
        <v>9.82</v>
      </c>
      <c r="K21" s="20">
        <f t="shared" si="5"/>
        <v>9.84</v>
      </c>
      <c r="L21" s="20">
        <f t="shared" si="5"/>
        <v>10.09</v>
      </c>
      <c r="M21" s="20">
        <f t="shared" si="5"/>
        <v>10.19</v>
      </c>
      <c r="N21" s="20">
        <f t="shared" si="5"/>
        <v>10.14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Z22" s="4" t="s">
        <v>43</v>
      </c>
      <c r="AA22" s="4">
        <v>16.079999999999998</v>
      </c>
      <c r="AB22" s="4" t="s">
        <v>44</v>
      </c>
      <c r="AC22" s="4" t="s">
        <v>45</v>
      </c>
    </row>
    <row r="23" spans="2:30" ht="14.25" customHeight="1" x14ac:dyDescent="0.3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Passed</v>
      </c>
      <c r="D24" s="19" t="str">
        <f t="shared" si="6"/>
        <v>Passed</v>
      </c>
      <c r="E24" s="19" t="str">
        <f t="shared" si="6"/>
        <v>Passed</v>
      </c>
      <c r="F24" s="19" t="str">
        <f t="shared" si="6"/>
        <v>Passed</v>
      </c>
      <c r="G24" s="19" t="str">
        <f t="shared" si="6"/>
        <v>Passed</v>
      </c>
      <c r="H24" s="19" t="str">
        <f t="shared" si="6"/>
        <v>Passed</v>
      </c>
      <c r="I24" s="19" t="str">
        <f t="shared" si="6"/>
        <v>Passed</v>
      </c>
      <c r="J24" s="19" t="str">
        <f t="shared" si="6"/>
        <v>Passed</v>
      </c>
      <c r="K24" s="19" t="str">
        <f t="shared" si="6"/>
        <v>Passed</v>
      </c>
      <c r="L24" s="19" t="str">
        <f t="shared" si="6"/>
        <v>Passed</v>
      </c>
      <c r="M24" s="19" t="str">
        <f t="shared" si="6"/>
        <v>Passed</v>
      </c>
      <c r="N24" s="19" t="str">
        <f t="shared" si="6"/>
        <v>Passed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O25" s="21" t="s">
        <v>77</v>
      </c>
      <c r="P25" s="21" t="s">
        <v>77</v>
      </c>
      <c r="Q25" s="21" t="s">
        <v>77</v>
      </c>
      <c r="R25" s="21" t="s">
        <v>77</v>
      </c>
      <c r="S25" s="21" t="s">
        <v>77</v>
      </c>
      <c r="T25" s="21" t="s">
        <v>77</v>
      </c>
      <c r="U25" s="21" t="s">
        <v>77</v>
      </c>
      <c r="V25" s="21" t="s">
        <v>77</v>
      </c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3 C14:N14 W14">
    <cfRule type="containsText" dxfId="135" priority="5" operator="containsText" text="Failed">
      <formula>NOT(ISERROR(SEARCH(("Failed"),(C13))))</formula>
    </cfRule>
    <cfRule type="containsText" dxfId="134" priority="6" operator="containsText" text="Passed">
      <formula>NOT(ISERROR(SEARCH(("Passed"),(C13))))</formula>
    </cfRule>
  </conditionalFormatting>
  <conditionalFormatting sqref="C24:W24">
    <cfRule type="containsText" dxfId="133" priority="7" operator="containsText" text="Failed">
      <formula>NOT(ISERROR(SEARCH(("Failed"),(C24))))</formula>
    </cfRule>
    <cfRule type="containsText" dxfId="132" priority="8" operator="containsText" text="Passed">
      <formula>NOT(ISERROR(SEARCH(("Passed"),(C24))))</formula>
    </cfRule>
  </conditionalFormatting>
  <conditionalFormatting sqref="F25">
    <cfRule type="containsText" dxfId="131" priority="17" operator="containsText" text="Failed">
      <formula>NOT(ISERROR(SEARCH(("Failed"),(F25))))</formula>
    </cfRule>
    <cfRule type="containsText" dxfId="130" priority="18" operator="containsText" text="Passed">
      <formula>NOT(ISERROR(SEARCH(("Passed"),(F25))))</formula>
    </cfRule>
  </conditionalFormatting>
  <conditionalFormatting sqref="H25">
    <cfRule type="containsText" dxfId="129" priority="15" operator="containsText" text="Failed">
      <formula>NOT(ISERROR(SEARCH(("Failed"),(H25))))</formula>
    </cfRule>
    <cfRule type="containsText" dxfId="128" priority="16" operator="containsText" text="Passed">
      <formula>NOT(ISERROR(SEARCH(("Passed"),(H25))))</formula>
    </cfRule>
  </conditionalFormatting>
  <conditionalFormatting sqref="J25">
    <cfRule type="containsText" dxfId="127" priority="13" operator="containsText" text="Failed">
      <formula>NOT(ISERROR(SEARCH(("Failed"),(J25))))</formula>
    </cfRule>
    <cfRule type="containsText" dxfId="126" priority="14" operator="containsText" text="Passed">
      <formula>NOT(ISERROR(SEARCH(("Passed"),(J25))))</formula>
    </cfRule>
  </conditionalFormatting>
  <conditionalFormatting sqref="L25">
    <cfRule type="containsText" dxfId="125" priority="11" operator="containsText" text="Failed">
      <formula>NOT(ISERROR(SEARCH(("Failed"),(L25))))</formula>
    </cfRule>
    <cfRule type="containsText" dxfId="124" priority="12" operator="containsText" text="Passed">
      <formula>NOT(ISERROR(SEARCH(("Passed"),(L25))))</formula>
    </cfRule>
  </conditionalFormatting>
  <conditionalFormatting sqref="N25">
    <cfRule type="containsText" dxfId="123" priority="9" operator="containsText" text="Failed">
      <formula>NOT(ISERROR(SEARCH(("Failed"),(N25))))</formula>
    </cfRule>
    <cfRule type="containsText" dxfId="122" priority="10" operator="containsText" text="Passed">
      <formula>NOT(ISERROR(SEARCH(("Passed"),(N25))))</formula>
    </cfRule>
  </conditionalFormatting>
  <conditionalFormatting sqref="O14:V14">
    <cfRule type="containsText" dxfId="7" priority="3" operator="containsText" text="Failed">
      <formula>NOT(ISERROR(SEARCH(("Failed"),(O14))))</formula>
    </cfRule>
    <cfRule type="containsText" dxfId="6" priority="4" operator="containsText" text="Passed">
      <formula>NOT(ISERROR(SEARCH(("Passed"),(O14))))</formula>
    </cfRule>
  </conditionalFormatting>
  <conditionalFormatting sqref="O25:V25">
    <cfRule type="containsText" dxfId="5" priority="1" operator="containsText" text="Failed">
      <formula>NOT(ISERROR(SEARCH(("Failed"),(O25))))</formula>
    </cfRule>
    <cfRule type="containsText" dxfId="4" priority="2" operator="containsText" text="Passed">
      <formula>NOT(ISERROR(SEARCH(("Passed"),(O25))))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1690-FE2F-45A8-BE2D-43A0D42FEA4A}">
  <dimension ref="B1:AT1000"/>
  <sheetViews>
    <sheetView tabSelected="1" zoomScaleNormal="100" workbookViewId="0">
      <selection activeCell="AL11" sqref="AL11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 t="s">
        <v>79</v>
      </c>
      <c r="H1" s="23"/>
      <c r="I1" s="23"/>
      <c r="J1" s="1" t="s">
        <v>58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884.43999999999994</v>
      </c>
      <c r="D8" s="19">
        <f>AB9*$AA$18+(1+$AA$19*($AB$15-25))</f>
        <v>884.43999999999994</v>
      </c>
      <c r="E8" s="19">
        <f>AC9*$AA$18+(1+$AA$19*($AC$15-25))</f>
        <v>884.43999999999994</v>
      </c>
      <c r="F8" s="19">
        <f>AD9*$AA$18+(1+$AA$19*($AD$15-25))</f>
        <v>884.43999999999994</v>
      </c>
      <c r="G8" s="19">
        <f>AE9*$AA$18+(1+$AA$19*($AE$15-25))</f>
        <v>884.43999999999994</v>
      </c>
      <c r="H8" s="19">
        <f>AF9*$AA$18+(1+$AA$19*($AF$15-25))</f>
        <v>786.28</v>
      </c>
      <c r="I8" s="19">
        <f>AG9*$AA$18+(1+$AA$19*($AG$15-25))</f>
        <v>786.28</v>
      </c>
      <c r="J8" s="19">
        <f>AH9*$AA$18+(1+$AA$19*($AH$15-25))</f>
        <v>786.28</v>
      </c>
      <c r="K8" s="19">
        <f>AI9*$AA$18+(1+$AA$19*($AI$15-25))</f>
        <v>786.28</v>
      </c>
      <c r="L8" s="19">
        <f>AJ9*$AA$18+(1+$AA$19*($AJ$15-25))</f>
        <v>786.28</v>
      </c>
      <c r="M8" s="19">
        <f>AK9*$AA$18+(1+$AA$19*($AK$15-25))</f>
        <v>786.28</v>
      </c>
      <c r="N8" s="19">
        <f>AL9*$AA$18+(1+$AA$19*($AL$15-25))</f>
        <v>786.28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59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822.52919999999995</v>
      </c>
      <c r="D9" s="19">
        <f t="shared" si="0"/>
        <v>822.52919999999995</v>
      </c>
      <c r="E9" s="19">
        <f t="shared" si="0"/>
        <v>822.52919999999995</v>
      </c>
      <c r="F9" s="19">
        <f t="shared" si="0"/>
        <v>822.52919999999995</v>
      </c>
      <c r="G9" s="19">
        <f t="shared" si="0"/>
        <v>822.52919999999995</v>
      </c>
      <c r="H9" s="19">
        <f t="shared" si="0"/>
        <v>731.24039999999991</v>
      </c>
      <c r="I9" s="19">
        <f t="shared" si="0"/>
        <v>731.24039999999991</v>
      </c>
      <c r="J9" s="19">
        <f t="shared" si="0"/>
        <v>731.24039999999991</v>
      </c>
      <c r="K9" s="19">
        <f t="shared" si="0"/>
        <v>731.24039999999991</v>
      </c>
      <c r="L9" s="19">
        <f t="shared" si="0"/>
        <v>731.24039999999991</v>
      </c>
      <c r="M9" s="19">
        <f t="shared" si="0"/>
        <v>731.24039999999991</v>
      </c>
      <c r="N9" s="19">
        <f t="shared" si="0"/>
        <v>731.24039999999991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>
        <v>18</v>
      </c>
      <c r="AB9" s="8">
        <v>18</v>
      </c>
      <c r="AC9" s="8">
        <v>18</v>
      </c>
      <c r="AD9" s="8">
        <v>18</v>
      </c>
      <c r="AE9" s="8">
        <v>18</v>
      </c>
      <c r="AF9" s="8">
        <v>16</v>
      </c>
      <c r="AG9" s="8">
        <v>16</v>
      </c>
      <c r="AH9" s="8">
        <v>16</v>
      </c>
      <c r="AI9" s="8">
        <v>16</v>
      </c>
      <c r="AJ9" s="8">
        <v>16</v>
      </c>
      <c r="AK9" s="8">
        <v>16</v>
      </c>
      <c r="AL9" s="8">
        <v>16</v>
      </c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946.35079999999994</v>
      </c>
      <c r="D10" s="19">
        <f t="shared" si="1"/>
        <v>946.35079999999994</v>
      </c>
      <c r="E10" s="19">
        <f t="shared" si="1"/>
        <v>946.35079999999994</v>
      </c>
      <c r="F10" s="19">
        <f t="shared" si="1"/>
        <v>946.35079999999994</v>
      </c>
      <c r="G10" s="19">
        <f t="shared" si="1"/>
        <v>946.35079999999994</v>
      </c>
      <c r="H10" s="19">
        <f t="shared" si="1"/>
        <v>841.31960000000004</v>
      </c>
      <c r="I10" s="19">
        <f t="shared" si="1"/>
        <v>841.31960000000004</v>
      </c>
      <c r="J10" s="19">
        <f t="shared" si="1"/>
        <v>841.31960000000004</v>
      </c>
      <c r="K10" s="19">
        <f t="shared" si="1"/>
        <v>841.31960000000004</v>
      </c>
      <c r="L10" s="19">
        <f t="shared" si="1"/>
        <v>841.31960000000004</v>
      </c>
      <c r="M10" s="19">
        <f t="shared" si="1"/>
        <v>841.31960000000004</v>
      </c>
      <c r="N10" s="19">
        <f t="shared" si="1"/>
        <v>841.31960000000004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>
        <v>824</v>
      </c>
      <c r="AB10" s="8">
        <v>825</v>
      </c>
      <c r="AC10" s="8">
        <v>825</v>
      </c>
      <c r="AD10" s="8">
        <v>825</v>
      </c>
      <c r="AE10" s="8">
        <v>824</v>
      </c>
      <c r="AF10" s="8">
        <v>733</v>
      </c>
      <c r="AG10" s="8">
        <v>739</v>
      </c>
      <c r="AH10" s="8">
        <v>738</v>
      </c>
      <c r="AI10" s="8">
        <v>737</v>
      </c>
      <c r="AJ10" s="8">
        <v>737</v>
      </c>
      <c r="AK10" s="8">
        <v>738</v>
      </c>
      <c r="AL10" s="8">
        <v>739</v>
      </c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673.88000000000011</v>
      </c>
      <c r="AB11" s="8">
        <f>AB10-((AA18-AA20)*AB9)</f>
        <v>674.88000000000011</v>
      </c>
      <c r="AC11" s="8">
        <f>AC10-((AA18-AA20)*AC9)</f>
        <v>674.88000000000011</v>
      </c>
      <c r="AD11" s="8">
        <f>AD10-((AA18-AA20)*AD9)</f>
        <v>674.88000000000011</v>
      </c>
      <c r="AE11" s="8">
        <f>AE10-((AA18-AA20)*AE9)</f>
        <v>673.88000000000011</v>
      </c>
      <c r="AF11" s="8">
        <f>AF10-((AA18-AA20)*AF9)</f>
        <v>599.56000000000006</v>
      </c>
      <c r="AG11" s="8">
        <f>AG10-((AA18-AA20)*AG9)</f>
        <v>605.56000000000006</v>
      </c>
      <c r="AH11" s="8">
        <f>AH10-((AA18-AA20)*AH9)</f>
        <v>604.56000000000006</v>
      </c>
      <c r="AI11" s="8">
        <f>AI10-((AA18-AA20)*AI9)</f>
        <v>603.56000000000006</v>
      </c>
      <c r="AJ11" s="8">
        <f>AJ10-((AA18-AA20)*AJ9)</f>
        <v>603.56000000000006</v>
      </c>
      <c r="AK11" s="8">
        <f>AK10-((AA18-AA20)*AK9)</f>
        <v>604.56000000000006</v>
      </c>
      <c r="AL11" s="8">
        <f>AL10-((AA18-AA20)*AL9)</f>
        <v>605.56000000000006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>
        <v>345</v>
      </c>
      <c r="AB12" s="8">
        <v>375</v>
      </c>
      <c r="AC12" s="8">
        <v>399</v>
      </c>
      <c r="AD12" s="8">
        <v>346</v>
      </c>
      <c r="AE12" s="8">
        <v>356</v>
      </c>
      <c r="AF12" s="8">
        <v>405</v>
      </c>
      <c r="AG12" s="8">
        <v>454</v>
      </c>
      <c r="AH12" s="8">
        <v>401</v>
      </c>
      <c r="AI12" s="8">
        <v>392</v>
      </c>
      <c r="AJ12" s="8">
        <v>402</v>
      </c>
      <c r="AK12" s="8">
        <v>377</v>
      </c>
      <c r="AL12" s="8">
        <v>415</v>
      </c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Passed</v>
      </c>
      <c r="D13" s="19" t="str">
        <f t="shared" si="2"/>
        <v>Passed</v>
      </c>
      <c r="E13" s="19" t="str">
        <f t="shared" si="2"/>
        <v>Passed</v>
      </c>
      <c r="F13" s="19" t="str">
        <f t="shared" si="2"/>
        <v>Passed</v>
      </c>
      <c r="G13" s="19" t="str">
        <f t="shared" si="2"/>
        <v>Passed</v>
      </c>
      <c r="H13" s="19" t="str">
        <f t="shared" si="2"/>
        <v>Passed</v>
      </c>
      <c r="I13" s="19" t="str">
        <f t="shared" si="2"/>
        <v>Passed</v>
      </c>
      <c r="J13" s="19" t="str">
        <f t="shared" si="2"/>
        <v>Passed</v>
      </c>
      <c r="K13" s="19" t="str">
        <f t="shared" si="2"/>
        <v>Passed</v>
      </c>
      <c r="L13" s="19" t="str">
        <f t="shared" si="2"/>
        <v>Passed</v>
      </c>
      <c r="M13" s="19" t="str">
        <f t="shared" si="2"/>
        <v>Passed</v>
      </c>
      <c r="N13" s="19" t="str">
        <f t="shared" si="2"/>
        <v>Passed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>
        <v>635</v>
      </c>
      <c r="AB13" s="8">
        <v>638</v>
      </c>
      <c r="AC13" s="8">
        <v>631</v>
      </c>
      <c r="AD13" s="8">
        <v>633</v>
      </c>
      <c r="AE13" s="8">
        <v>630</v>
      </c>
      <c r="AF13" s="8">
        <v>634</v>
      </c>
      <c r="AG13" s="8">
        <v>658</v>
      </c>
      <c r="AH13" s="8">
        <v>640</v>
      </c>
      <c r="AI13" s="8">
        <v>655</v>
      </c>
      <c r="AJ13" s="8">
        <v>632</v>
      </c>
      <c r="AK13" s="8">
        <v>636</v>
      </c>
      <c r="AL13" s="8">
        <v>640</v>
      </c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 t="s">
        <v>77</v>
      </c>
      <c r="P14" s="21" t="s">
        <v>77</v>
      </c>
      <c r="Q14" s="21" t="s">
        <v>77</v>
      </c>
      <c r="R14" s="21" t="s">
        <v>77</v>
      </c>
      <c r="S14" s="21" t="s">
        <v>77</v>
      </c>
      <c r="T14" s="21" t="s">
        <v>77</v>
      </c>
      <c r="U14" s="21" t="s">
        <v>77</v>
      </c>
      <c r="V14" s="21" t="s">
        <v>77</v>
      </c>
      <c r="Z14" s="15" t="s">
        <v>32</v>
      </c>
      <c r="AA14" s="16">
        <v>10.28</v>
      </c>
      <c r="AB14" s="16">
        <v>10.18</v>
      </c>
      <c r="AC14" s="16">
        <v>10.34</v>
      </c>
      <c r="AD14" s="16">
        <v>10.45</v>
      </c>
      <c r="AE14" s="16">
        <v>10.53</v>
      </c>
      <c r="AF14" s="16">
        <v>10.27</v>
      </c>
      <c r="AG14" s="16">
        <v>11.12</v>
      </c>
      <c r="AH14" s="16">
        <v>10.3</v>
      </c>
      <c r="AI14" s="16">
        <v>10.49</v>
      </c>
      <c r="AJ14" s="16">
        <v>10.79</v>
      </c>
      <c r="AK14" s="16">
        <v>10.84</v>
      </c>
      <c r="AL14" s="16">
        <v>11.05</v>
      </c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11.210799999999999</v>
      </c>
      <c r="D18" s="19">
        <f>($AA$22*(AB13/$AA$25))+(1+$AA$24*($AB$15-25))</f>
        <v>11.259039999999999</v>
      </c>
      <c r="E18" s="19">
        <f>($AA$22*(AC13/$AA$25))+(1+$AA$24*($AC$15-25))</f>
        <v>11.146479999999999</v>
      </c>
      <c r="F18" s="19">
        <f>($AA$22*(AD13/$AA$25))+(1+$AA$24*($AD$15-25))</f>
        <v>11.17864</v>
      </c>
      <c r="G18" s="19">
        <f>($AA$22*(AE13/$AA$25))+(1+$AA$24*($AE$15-25))</f>
        <v>11.1304</v>
      </c>
      <c r="H18" s="19">
        <f>($AA$22*(AF13/$AA$25))+(1+$AA$24*($AF$15-25))</f>
        <v>11.194719999999998</v>
      </c>
      <c r="I18" s="19">
        <f>($AA$22*(AG13/$AA$25))+(1+$AA$24*($AG$15-25))</f>
        <v>11.580639999999999</v>
      </c>
      <c r="J18" s="19">
        <f>($AA$22*(AH13/$AA$25))+(1+$AA$24*($AH$15-25))</f>
        <v>11.2912</v>
      </c>
      <c r="K18" s="19">
        <f>($AA$22*(AI13/$AA$25))+(1+$AA$24*($AI$15-25))</f>
        <v>11.532399999999999</v>
      </c>
      <c r="L18" s="19">
        <f>($AA$22*(AJ13/$AA$25))+(1+$AA$24*($AJ$15-25))</f>
        <v>11.162559999999999</v>
      </c>
      <c r="M18" s="19">
        <f>($AA$22*(AK13/$AA$25))+(1+$AA$24*($AK$15-25))</f>
        <v>11.22688</v>
      </c>
      <c r="N18" s="19">
        <f>($AA$22*(AL13/$AA$25))+(1+$AA$24*($AL$15-25))</f>
        <v>11.2912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49.08</v>
      </c>
      <c r="AB18" s="4" t="s">
        <v>34</v>
      </c>
      <c r="AC18" s="6" t="s">
        <v>76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10.08972</v>
      </c>
      <c r="D19" s="19">
        <f t="shared" si="3"/>
        <v>10.133135999999999</v>
      </c>
      <c r="E19" s="19">
        <f t="shared" si="3"/>
        <v>10.031832</v>
      </c>
      <c r="F19" s="19">
        <f t="shared" si="3"/>
        <v>10.060776000000001</v>
      </c>
      <c r="G19" s="19">
        <f t="shared" si="3"/>
        <v>10.01736</v>
      </c>
      <c r="H19" s="19">
        <f t="shared" si="3"/>
        <v>10.075247999999998</v>
      </c>
      <c r="I19" s="19">
        <f t="shared" si="3"/>
        <v>10.422575999999999</v>
      </c>
      <c r="J19" s="19">
        <f t="shared" si="3"/>
        <v>10.16208</v>
      </c>
      <c r="K19" s="19">
        <f t="shared" si="3"/>
        <v>10.379159999999999</v>
      </c>
      <c r="L19" s="19">
        <f t="shared" si="3"/>
        <v>10.046303999999999</v>
      </c>
      <c r="M19" s="19">
        <f t="shared" si="3"/>
        <v>10.104191999999999</v>
      </c>
      <c r="N19" s="19">
        <f t="shared" si="3"/>
        <v>10.16208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-0.25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12.33188</v>
      </c>
      <c r="D20" s="19">
        <f t="shared" si="4"/>
        <v>12.384943999999999</v>
      </c>
      <c r="E20" s="19">
        <f t="shared" si="4"/>
        <v>12.261127999999999</v>
      </c>
      <c r="F20" s="19">
        <f t="shared" si="4"/>
        <v>12.296504000000001</v>
      </c>
      <c r="G20" s="19">
        <f t="shared" si="4"/>
        <v>12.243440000000001</v>
      </c>
      <c r="H20" s="19">
        <f t="shared" si="4"/>
        <v>12.314191999999998</v>
      </c>
      <c r="I20" s="19">
        <f t="shared" si="4"/>
        <v>12.738704</v>
      </c>
      <c r="J20" s="19">
        <f t="shared" si="4"/>
        <v>12.42032</v>
      </c>
      <c r="K20" s="19">
        <f t="shared" si="4"/>
        <v>12.685639999999999</v>
      </c>
      <c r="L20" s="19">
        <f t="shared" si="4"/>
        <v>12.278816000000001</v>
      </c>
      <c r="M20" s="19">
        <f t="shared" si="4"/>
        <v>12.349568</v>
      </c>
      <c r="N20" s="19">
        <f t="shared" si="4"/>
        <v>12.42032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40.74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10.28</v>
      </c>
      <c r="D21" s="20">
        <f t="shared" si="5"/>
        <v>10.18</v>
      </c>
      <c r="E21" s="20">
        <f t="shared" si="5"/>
        <v>10.34</v>
      </c>
      <c r="F21" s="20">
        <f t="shared" si="5"/>
        <v>10.45</v>
      </c>
      <c r="G21" s="20">
        <f t="shared" si="5"/>
        <v>10.53</v>
      </c>
      <c r="H21" s="20">
        <f t="shared" si="5"/>
        <v>10.27</v>
      </c>
      <c r="I21" s="20">
        <f t="shared" si="5"/>
        <v>11.12</v>
      </c>
      <c r="J21" s="20">
        <f t="shared" si="5"/>
        <v>10.3</v>
      </c>
      <c r="K21" s="20">
        <f t="shared" si="5"/>
        <v>10.49</v>
      </c>
      <c r="L21" s="20">
        <f t="shared" si="5"/>
        <v>10.79</v>
      </c>
      <c r="M21" s="20">
        <f t="shared" si="5"/>
        <v>10.84</v>
      </c>
      <c r="N21" s="20">
        <f t="shared" si="5"/>
        <v>11.05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Z22" s="4" t="s">
        <v>43</v>
      </c>
      <c r="AA22" s="4">
        <v>16.079999999999998</v>
      </c>
      <c r="AB22" s="4" t="s">
        <v>44</v>
      </c>
      <c r="AC22" s="4" t="s">
        <v>45</v>
      </c>
    </row>
    <row r="23" spans="2:30" ht="14.25" customHeight="1" x14ac:dyDescent="0.3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Passed</v>
      </c>
      <c r="D24" s="19" t="str">
        <f t="shared" si="6"/>
        <v>Passed</v>
      </c>
      <c r="E24" s="19" t="str">
        <f t="shared" si="6"/>
        <v>Passed</v>
      </c>
      <c r="F24" s="19" t="str">
        <f t="shared" si="6"/>
        <v>Passed</v>
      </c>
      <c r="G24" s="19" t="str">
        <f t="shared" si="6"/>
        <v>Passed</v>
      </c>
      <c r="H24" s="19" t="str">
        <f t="shared" si="6"/>
        <v>Passed</v>
      </c>
      <c r="I24" s="19" t="str">
        <f t="shared" si="6"/>
        <v>Passed</v>
      </c>
      <c r="J24" s="19" t="str">
        <f t="shared" si="6"/>
        <v>Passed</v>
      </c>
      <c r="K24" s="19" t="str">
        <f t="shared" si="6"/>
        <v>Passed</v>
      </c>
      <c r="L24" s="19" t="str">
        <f t="shared" si="6"/>
        <v>Passed</v>
      </c>
      <c r="M24" s="19" t="str">
        <f t="shared" si="6"/>
        <v>Passed</v>
      </c>
      <c r="N24" s="19" t="str">
        <f t="shared" si="6"/>
        <v>Passed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O25" s="21" t="s">
        <v>77</v>
      </c>
      <c r="P25" s="21" t="s">
        <v>77</v>
      </c>
      <c r="Q25" s="21" t="s">
        <v>77</v>
      </c>
      <c r="R25" s="21" t="s">
        <v>77</v>
      </c>
      <c r="S25" s="21" t="s">
        <v>77</v>
      </c>
      <c r="T25" s="21" t="s">
        <v>77</v>
      </c>
      <c r="U25" s="21" t="s">
        <v>77</v>
      </c>
      <c r="V25" s="21" t="s">
        <v>77</v>
      </c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3 C14:N14 W14">
    <cfRule type="containsText" dxfId="121" priority="5" operator="containsText" text="Failed">
      <formula>NOT(ISERROR(SEARCH(("Failed"),(C13))))</formula>
    </cfRule>
    <cfRule type="containsText" dxfId="120" priority="6" operator="containsText" text="Passed">
      <formula>NOT(ISERROR(SEARCH(("Passed"),(C13))))</formula>
    </cfRule>
  </conditionalFormatting>
  <conditionalFormatting sqref="C24:W24">
    <cfRule type="containsText" dxfId="119" priority="7" operator="containsText" text="Failed">
      <formula>NOT(ISERROR(SEARCH(("Failed"),(C24))))</formula>
    </cfRule>
    <cfRule type="containsText" dxfId="118" priority="8" operator="containsText" text="Passed">
      <formula>NOT(ISERROR(SEARCH(("Passed"),(C24))))</formula>
    </cfRule>
  </conditionalFormatting>
  <conditionalFormatting sqref="F25">
    <cfRule type="containsText" dxfId="117" priority="17" operator="containsText" text="Failed">
      <formula>NOT(ISERROR(SEARCH(("Failed"),(F25))))</formula>
    </cfRule>
    <cfRule type="containsText" dxfId="116" priority="18" operator="containsText" text="Passed">
      <formula>NOT(ISERROR(SEARCH(("Passed"),(F25))))</formula>
    </cfRule>
  </conditionalFormatting>
  <conditionalFormatting sqref="H25">
    <cfRule type="containsText" dxfId="115" priority="15" operator="containsText" text="Failed">
      <formula>NOT(ISERROR(SEARCH(("Failed"),(H25))))</formula>
    </cfRule>
    <cfRule type="containsText" dxfId="114" priority="16" operator="containsText" text="Passed">
      <formula>NOT(ISERROR(SEARCH(("Passed"),(H25))))</formula>
    </cfRule>
  </conditionalFormatting>
  <conditionalFormatting sqref="J25">
    <cfRule type="containsText" dxfId="113" priority="13" operator="containsText" text="Failed">
      <formula>NOT(ISERROR(SEARCH(("Failed"),(J25))))</formula>
    </cfRule>
    <cfRule type="containsText" dxfId="112" priority="14" operator="containsText" text="Passed">
      <formula>NOT(ISERROR(SEARCH(("Passed"),(J25))))</formula>
    </cfRule>
  </conditionalFormatting>
  <conditionalFormatting sqref="L25">
    <cfRule type="containsText" dxfId="111" priority="11" operator="containsText" text="Failed">
      <formula>NOT(ISERROR(SEARCH(("Failed"),(L25))))</formula>
    </cfRule>
    <cfRule type="containsText" dxfId="110" priority="12" operator="containsText" text="Passed">
      <formula>NOT(ISERROR(SEARCH(("Passed"),(L25))))</formula>
    </cfRule>
  </conditionalFormatting>
  <conditionalFormatting sqref="N25">
    <cfRule type="containsText" dxfId="109" priority="9" operator="containsText" text="Failed">
      <formula>NOT(ISERROR(SEARCH(("Failed"),(N25))))</formula>
    </cfRule>
    <cfRule type="containsText" dxfId="108" priority="10" operator="containsText" text="Passed">
      <formula>NOT(ISERROR(SEARCH(("Passed"),(N25))))</formula>
    </cfRule>
  </conditionalFormatting>
  <conditionalFormatting sqref="O14:V14">
    <cfRule type="containsText" dxfId="3" priority="3" operator="containsText" text="Failed">
      <formula>NOT(ISERROR(SEARCH(("Failed"),(O14))))</formula>
    </cfRule>
    <cfRule type="containsText" dxfId="2" priority="4" operator="containsText" text="Passed">
      <formula>NOT(ISERROR(SEARCH(("Passed"),(O14))))</formula>
    </cfRule>
  </conditionalFormatting>
  <conditionalFormatting sqref="O25:V25">
    <cfRule type="containsText" dxfId="1" priority="1" operator="containsText" text="Failed">
      <formula>NOT(ISERROR(SEARCH(("Failed"),(O25))))</formula>
    </cfRule>
    <cfRule type="containsText" dxfId="0" priority="2" operator="containsText" text="Passed">
      <formula>NOT(ISERROR(SEARCH(("Passed"),(O25))))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29A6-9EA6-4CDB-9EC1-87C33A9F7C91}">
  <dimension ref="B1:AT1000"/>
  <sheetViews>
    <sheetView topLeftCell="G15" zoomScaleNormal="100" workbookViewId="0">
      <selection activeCell="G38" sqref="G38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/>
      <c r="H1" s="23"/>
      <c r="I1" s="23"/>
      <c r="J1" s="1" t="s">
        <v>61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1</v>
      </c>
      <c r="D8" s="19">
        <f>AB9*$AA$18+(1+$AA$19*($AB$15-25))</f>
        <v>1</v>
      </c>
      <c r="E8" s="19">
        <f>AC9*$AA$18+(1+$AA$19*($AC$15-25))</f>
        <v>1</v>
      </c>
      <c r="F8" s="19">
        <f>AD9*$AA$18+(1+$AA$19*($AD$15-25))</f>
        <v>1</v>
      </c>
      <c r="G8" s="19">
        <f>AE9*$AA$18+(1+$AA$19*($AE$15-25))</f>
        <v>1</v>
      </c>
      <c r="H8" s="19">
        <f>AF9*$AA$18+(1+$AA$19*($AF$15-25))</f>
        <v>1</v>
      </c>
      <c r="I8" s="19">
        <f>AG9*$AA$18+(1+$AA$19*($AG$15-25))</f>
        <v>1</v>
      </c>
      <c r="J8" s="19">
        <f>AH9*$AA$18+(1+$AA$19*($AH$15-25))</f>
        <v>1</v>
      </c>
      <c r="K8" s="19">
        <f>AI9*$AA$18+(1+$AA$19*($AI$15-25))</f>
        <v>1</v>
      </c>
      <c r="L8" s="19">
        <f>AJ9*$AA$18+(1+$AA$19*($AJ$15-25))</f>
        <v>1</v>
      </c>
      <c r="M8" s="19">
        <f>AK9*$AA$18+(1+$AA$19*($AK$15-25))</f>
        <v>1</v>
      </c>
      <c r="N8" s="19">
        <f>AL9*$AA$18+(1+$AA$19*($AL$15-25))</f>
        <v>1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62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0.92999999999999994</v>
      </c>
      <c r="D9" s="19">
        <f t="shared" si="0"/>
        <v>0.92999999999999994</v>
      </c>
      <c r="E9" s="19">
        <f t="shared" si="0"/>
        <v>0.92999999999999994</v>
      </c>
      <c r="F9" s="19">
        <f t="shared" si="0"/>
        <v>0.92999999999999994</v>
      </c>
      <c r="G9" s="19">
        <f t="shared" si="0"/>
        <v>0.92999999999999994</v>
      </c>
      <c r="H9" s="19">
        <f t="shared" si="0"/>
        <v>0.92999999999999994</v>
      </c>
      <c r="I9" s="19">
        <f t="shared" si="0"/>
        <v>0.92999999999999994</v>
      </c>
      <c r="J9" s="19">
        <f t="shared" si="0"/>
        <v>0.92999999999999994</v>
      </c>
      <c r="K9" s="19">
        <f t="shared" si="0"/>
        <v>0.92999999999999994</v>
      </c>
      <c r="L9" s="19">
        <f t="shared" si="0"/>
        <v>0.92999999999999994</v>
      </c>
      <c r="M9" s="19">
        <f t="shared" si="0"/>
        <v>0.92999999999999994</v>
      </c>
      <c r="N9" s="19">
        <f t="shared" si="0"/>
        <v>0.92999999999999994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1.07</v>
      </c>
      <c r="D10" s="19">
        <f t="shared" si="1"/>
        <v>1.07</v>
      </c>
      <c r="E10" s="19">
        <f t="shared" si="1"/>
        <v>1.07</v>
      </c>
      <c r="F10" s="19">
        <f t="shared" si="1"/>
        <v>1.07</v>
      </c>
      <c r="G10" s="19">
        <f t="shared" si="1"/>
        <v>1.07</v>
      </c>
      <c r="H10" s="19">
        <f t="shared" si="1"/>
        <v>1.07</v>
      </c>
      <c r="I10" s="19">
        <f t="shared" si="1"/>
        <v>1.07</v>
      </c>
      <c r="J10" s="19">
        <f t="shared" si="1"/>
        <v>1.07</v>
      </c>
      <c r="K10" s="19">
        <f t="shared" si="1"/>
        <v>1.07</v>
      </c>
      <c r="L10" s="19">
        <f t="shared" si="1"/>
        <v>1.07</v>
      </c>
      <c r="M10" s="19">
        <f t="shared" si="1"/>
        <v>1.07</v>
      </c>
      <c r="N10" s="19">
        <f t="shared" si="1"/>
        <v>1.07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0</v>
      </c>
      <c r="AB11" s="8">
        <f>AB10-((AA18-AA20)*AB9)</f>
        <v>0</v>
      </c>
      <c r="AC11" s="8">
        <f>AC10-((AA18-AA20)*AC9)</f>
        <v>0</v>
      </c>
      <c r="AD11" s="8">
        <f>AD10-((AA18-AA20)*AD9)</f>
        <v>0</v>
      </c>
      <c r="AE11" s="8">
        <f>AE10-((AA18-AA20)*AE9)</f>
        <v>0</v>
      </c>
      <c r="AF11" s="8">
        <f>AF10-((AA18-AA20)*AF9)</f>
        <v>0</v>
      </c>
      <c r="AG11" s="8">
        <f>AG10-((AA18-AA20)*AG9)</f>
        <v>0</v>
      </c>
      <c r="AH11" s="8">
        <f>AH10-((AA18-AA20)*AH9)</f>
        <v>0</v>
      </c>
      <c r="AI11" s="8">
        <f>AI10-((AA18-AA20)*AI9)</f>
        <v>0</v>
      </c>
      <c r="AJ11" s="8">
        <f>AJ10-((AA18-AA20)*AJ9)</f>
        <v>0</v>
      </c>
      <c r="AK11" s="8">
        <f>AK10-((AA18-AA20)*AK9)</f>
        <v>0</v>
      </c>
      <c r="AL11" s="8">
        <f>AL10-((AA18-AA20)*AL9)</f>
        <v>0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Failed</v>
      </c>
      <c r="D13" s="19" t="str">
        <f t="shared" si="2"/>
        <v>Failed</v>
      </c>
      <c r="E13" s="19" t="str">
        <f t="shared" si="2"/>
        <v>Failed</v>
      </c>
      <c r="F13" s="19" t="str">
        <f t="shared" si="2"/>
        <v>Failed</v>
      </c>
      <c r="G13" s="19" t="str">
        <f t="shared" si="2"/>
        <v>Failed</v>
      </c>
      <c r="H13" s="19" t="str">
        <f t="shared" si="2"/>
        <v>Failed</v>
      </c>
      <c r="I13" s="19" t="str">
        <f t="shared" si="2"/>
        <v>Failed</v>
      </c>
      <c r="J13" s="19" t="str">
        <f t="shared" si="2"/>
        <v>Failed</v>
      </c>
      <c r="K13" s="19" t="str">
        <f t="shared" si="2"/>
        <v>Failed</v>
      </c>
      <c r="L13" s="19" t="str">
        <f t="shared" si="2"/>
        <v>Failed</v>
      </c>
      <c r="M13" s="19" t="str">
        <f t="shared" si="2"/>
        <v>Failed</v>
      </c>
      <c r="N13" s="19" t="str">
        <f t="shared" si="2"/>
        <v>Failed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Z14" s="15" t="s">
        <v>32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</v>
      </c>
      <c r="D18" s="19">
        <f>($AA$22*(AB13/$AA$25))+(1+$AA$24*($AB$15-25))</f>
        <v>1</v>
      </c>
      <c r="E18" s="19">
        <f>($AA$22*(AC13/$AA$25))+(1+$AA$24*($AC$15-25))</f>
        <v>1</v>
      </c>
      <c r="F18" s="19">
        <f>($AA$22*(AD13/$AA$25))+(1+$AA$24*($AD$15-25))</f>
        <v>1</v>
      </c>
      <c r="G18" s="19">
        <f>($AA$22*(AE13/$AA$25))+(1+$AA$24*($AE$15-25))</f>
        <v>1</v>
      </c>
      <c r="H18" s="19">
        <f>($AA$22*(AF13/$AA$25))+(1+$AA$24*($AF$15-25))</f>
        <v>1</v>
      </c>
      <c r="I18" s="19">
        <f>($AA$22*(AG13/$AA$25))+(1+$AA$24*($AG$15-25))</f>
        <v>1</v>
      </c>
      <c r="J18" s="19">
        <f>($AA$22*(AH13/$AA$25))+(1+$AA$24*($AH$15-25))</f>
        <v>1</v>
      </c>
      <c r="K18" s="19">
        <f>($AA$22*(AI13/$AA$25))+(1+$AA$24*($AI$15-25))</f>
        <v>1</v>
      </c>
      <c r="L18" s="19">
        <f>($AA$22*(AJ13/$AA$25))+(1+$AA$24*($AJ$15-25))</f>
        <v>1</v>
      </c>
      <c r="M18" s="19">
        <f>($AA$22*(AK13/$AA$25))+(1+$AA$24*($AK$15-25))</f>
        <v>1</v>
      </c>
      <c r="N18" s="19">
        <f>($AA$22*(AL13/$AA$25))+(1+$AA$24*($AL$15-25))</f>
        <v>1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49.75</v>
      </c>
      <c r="AB18" s="4" t="s">
        <v>34</v>
      </c>
      <c r="AC18" s="6" t="s">
        <v>35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0.9</v>
      </c>
      <c r="D19" s="19">
        <f t="shared" si="3"/>
        <v>0.9</v>
      </c>
      <c r="E19" s="19">
        <f t="shared" si="3"/>
        <v>0.9</v>
      </c>
      <c r="F19" s="19">
        <f t="shared" si="3"/>
        <v>0.9</v>
      </c>
      <c r="G19" s="19">
        <f t="shared" si="3"/>
        <v>0.9</v>
      </c>
      <c r="H19" s="19">
        <f t="shared" si="3"/>
        <v>0.9</v>
      </c>
      <c r="I19" s="19">
        <f t="shared" si="3"/>
        <v>0.9</v>
      </c>
      <c r="J19" s="19">
        <f t="shared" si="3"/>
        <v>0.9</v>
      </c>
      <c r="K19" s="19">
        <f t="shared" si="3"/>
        <v>0.9</v>
      </c>
      <c r="L19" s="19">
        <f t="shared" si="3"/>
        <v>0.9</v>
      </c>
      <c r="M19" s="19">
        <f t="shared" si="3"/>
        <v>0.9</v>
      </c>
      <c r="N19" s="19">
        <f t="shared" si="3"/>
        <v>0.9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-0.27500000000000002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1.1000000000000001</v>
      </c>
      <c r="D20" s="19">
        <f t="shared" si="4"/>
        <v>1.1000000000000001</v>
      </c>
      <c r="E20" s="19">
        <f t="shared" si="4"/>
        <v>1.1000000000000001</v>
      </c>
      <c r="F20" s="19">
        <f t="shared" si="4"/>
        <v>1.1000000000000001</v>
      </c>
      <c r="G20" s="19">
        <f t="shared" si="4"/>
        <v>1.1000000000000001</v>
      </c>
      <c r="H20" s="19">
        <f t="shared" si="4"/>
        <v>1.1000000000000001</v>
      </c>
      <c r="I20" s="19">
        <f t="shared" si="4"/>
        <v>1.1000000000000001</v>
      </c>
      <c r="J20" s="19">
        <f t="shared" si="4"/>
        <v>1.1000000000000001</v>
      </c>
      <c r="K20" s="19">
        <f t="shared" si="4"/>
        <v>1.1000000000000001</v>
      </c>
      <c r="L20" s="19">
        <f t="shared" si="4"/>
        <v>1.1000000000000001</v>
      </c>
      <c r="M20" s="19">
        <f t="shared" si="4"/>
        <v>1.1000000000000001</v>
      </c>
      <c r="N20" s="19">
        <f t="shared" si="4"/>
        <v>1.1000000000000001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41.8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Z22" s="4" t="s">
        <v>43</v>
      </c>
      <c r="AA22" s="4">
        <v>13.93</v>
      </c>
      <c r="AB22" s="4" t="s">
        <v>44</v>
      </c>
      <c r="AC22" s="4" t="s">
        <v>45</v>
      </c>
    </row>
    <row r="23" spans="2:30" ht="14.25" customHeight="1" x14ac:dyDescent="0.3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Failed</v>
      </c>
      <c r="D24" s="19" t="str">
        <f t="shared" si="6"/>
        <v>Failed</v>
      </c>
      <c r="E24" s="19" t="str">
        <f t="shared" si="6"/>
        <v>Failed</v>
      </c>
      <c r="F24" s="19" t="str">
        <f t="shared" si="6"/>
        <v>Failed</v>
      </c>
      <c r="G24" s="19" t="str">
        <f t="shared" si="6"/>
        <v>Failed</v>
      </c>
      <c r="H24" s="19" t="str">
        <f t="shared" si="6"/>
        <v>Failed</v>
      </c>
      <c r="I24" s="19" t="str">
        <f t="shared" si="6"/>
        <v>Failed</v>
      </c>
      <c r="J24" s="19" t="str">
        <f t="shared" si="6"/>
        <v>Failed</v>
      </c>
      <c r="K24" s="19" t="str">
        <f t="shared" si="6"/>
        <v>Failed</v>
      </c>
      <c r="L24" s="19" t="str">
        <f t="shared" si="6"/>
        <v>Failed</v>
      </c>
      <c r="M24" s="19" t="str">
        <f t="shared" si="6"/>
        <v>Failed</v>
      </c>
      <c r="N24" s="19" t="str">
        <f t="shared" si="6"/>
        <v>Failed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4">
    <cfRule type="containsText" dxfId="107" priority="1" operator="containsText" text="Failed">
      <formula>NOT(ISERROR(SEARCH(("Failed"),(C13))))</formula>
    </cfRule>
    <cfRule type="containsText" dxfId="106" priority="2" operator="containsText" text="Passed">
      <formula>NOT(ISERROR(SEARCH(("Passed"),(C13))))</formula>
    </cfRule>
  </conditionalFormatting>
  <conditionalFormatting sqref="C24:W24">
    <cfRule type="containsText" dxfId="105" priority="3" operator="containsText" text="Failed">
      <formula>NOT(ISERROR(SEARCH(("Failed"),(C24))))</formula>
    </cfRule>
    <cfRule type="containsText" dxfId="104" priority="4" operator="containsText" text="Passed">
      <formula>NOT(ISERROR(SEARCH(("Passed"),(C24))))</formula>
    </cfRule>
  </conditionalFormatting>
  <conditionalFormatting sqref="F25">
    <cfRule type="containsText" dxfId="103" priority="13" operator="containsText" text="Failed">
      <formula>NOT(ISERROR(SEARCH(("Failed"),(F25))))</formula>
    </cfRule>
    <cfRule type="containsText" dxfId="102" priority="14" operator="containsText" text="Passed">
      <formula>NOT(ISERROR(SEARCH(("Passed"),(F25))))</formula>
    </cfRule>
  </conditionalFormatting>
  <conditionalFormatting sqref="H25">
    <cfRule type="containsText" dxfId="101" priority="11" operator="containsText" text="Failed">
      <formula>NOT(ISERROR(SEARCH(("Failed"),(H25))))</formula>
    </cfRule>
    <cfRule type="containsText" dxfId="100" priority="12" operator="containsText" text="Passed">
      <formula>NOT(ISERROR(SEARCH(("Passed"),(H25))))</formula>
    </cfRule>
  </conditionalFormatting>
  <conditionalFormatting sqref="J25">
    <cfRule type="containsText" dxfId="99" priority="9" operator="containsText" text="Failed">
      <formula>NOT(ISERROR(SEARCH(("Failed"),(J25))))</formula>
    </cfRule>
    <cfRule type="containsText" dxfId="98" priority="10" operator="containsText" text="Passed">
      <formula>NOT(ISERROR(SEARCH(("Passed"),(J25))))</formula>
    </cfRule>
  </conditionalFormatting>
  <conditionalFormatting sqref="L25">
    <cfRule type="containsText" dxfId="97" priority="7" operator="containsText" text="Failed">
      <formula>NOT(ISERROR(SEARCH(("Failed"),(L25))))</formula>
    </cfRule>
    <cfRule type="containsText" dxfId="96" priority="8" operator="containsText" text="Passed">
      <formula>NOT(ISERROR(SEARCH(("Passed"),(L25))))</formula>
    </cfRule>
  </conditionalFormatting>
  <conditionalFormatting sqref="N25:V25">
    <cfRule type="containsText" dxfId="95" priority="5" operator="containsText" text="Failed">
      <formula>NOT(ISERROR(SEARCH(("Failed"),(N25))))</formula>
    </cfRule>
    <cfRule type="containsText" dxfId="94" priority="6" operator="containsText" text="Passed">
      <formula>NOT(ISERROR(SEARCH(("Passed"),(N25))))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ABC5-3B72-4D64-BA35-43C3E615712E}">
  <dimension ref="B1:AT1000"/>
  <sheetViews>
    <sheetView topLeftCell="F7" zoomScaleNormal="100" workbookViewId="0">
      <selection activeCell="F30" sqref="F30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/>
      <c r="H1" s="23"/>
      <c r="I1" s="23"/>
      <c r="J1" s="1" t="s">
        <v>63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1</v>
      </c>
      <c r="D8" s="19">
        <f>AB9*$AA$18+(1+$AA$19*($AB$15-25))</f>
        <v>1</v>
      </c>
      <c r="E8" s="19">
        <f>AC9*$AA$18+(1+$AA$19*($AC$15-25))</f>
        <v>1</v>
      </c>
      <c r="F8" s="19">
        <f>AD9*$AA$18+(1+$AA$19*($AD$15-25))</f>
        <v>1</v>
      </c>
      <c r="G8" s="19">
        <f>AE9*$AA$18+(1+$AA$19*($AE$15-25))</f>
        <v>1</v>
      </c>
      <c r="H8" s="19">
        <f>AF9*$AA$18+(1+$AA$19*($AF$15-25))</f>
        <v>1</v>
      </c>
      <c r="I8" s="19">
        <f>AG9*$AA$18+(1+$AA$19*($AG$15-25))</f>
        <v>1</v>
      </c>
      <c r="J8" s="19">
        <f>AH9*$AA$18+(1+$AA$19*($AH$15-25))</f>
        <v>1</v>
      </c>
      <c r="K8" s="19">
        <f>AI9*$AA$18+(1+$AA$19*($AI$15-25))</f>
        <v>1</v>
      </c>
      <c r="L8" s="19">
        <f>AJ9*$AA$18+(1+$AA$19*($AJ$15-25))</f>
        <v>1</v>
      </c>
      <c r="M8" s="19">
        <f>AK9*$AA$18+(1+$AA$19*($AK$15-25))</f>
        <v>1</v>
      </c>
      <c r="N8" s="19">
        <f>AL9*$AA$18+(1+$AA$19*($AL$15-25))</f>
        <v>1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64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0.92999999999999994</v>
      </c>
      <c r="D9" s="19">
        <f t="shared" si="0"/>
        <v>0.92999999999999994</v>
      </c>
      <c r="E9" s="19">
        <f t="shared" si="0"/>
        <v>0.92999999999999994</v>
      </c>
      <c r="F9" s="19">
        <f t="shared" si="0"/>
        <v>0.92999999999999994</v>
      </c>
      <c r="G9" s="19">
        <f t="shared" si="0"/>
        <v>0.92999999999999994</v>
      </c>
      <c r="H9" s="19">
        <f t="shared" si="0"/>
        <v>0.92999999999999994</v>
      </c>
      <c r="I9" s="19">
        <f t="shared" si="0"/>
        <v>0.92999999999999994</v>
      </c>
      <c r="J9" s="19">
        <f t="shared" si="0"/>
        <v>0.92999999999999994</v>
      </c>
      <c r="K9" s="19">
        <f t="shared" si="0"/>
        <v>0.92999999999999994</v>
      </c>
      <c r="L9" s="19">
        <f t="shared" si="0"/>
        <v>0.92999999999999994</v>
      </c>
      <c r="M9" s="19">
        <f t="shared" si="0"/>
        <v>0.92999999999999994</v>
      </c>
      <c r="N9" s="19">
        <f t="shared" si="0"/>
        <v>0.92999999999999994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1.07</v>
      </c>
      <c r="D10" s="19">
        <f t="shared" si="1"/>
        <v>1.07</v>
      </c>
      <c r="E10" s="19">
        <f t="shared" si="1"/>
        <v>1.07</v>
      </c>
      <c r="F10" s="19">
        <f t="shared" si="1"/>
        <v>1.07</v>
      </c>
      <c r="G10" s="19">
        <f t="shared" si="1"/>
        <v>1.07</v>
      </c>
      <c r="H10" s="19">
        <f t="shared" si="1"/>
        <v>1.07</v>
      </c>
      <c r="I10" s="19">
        <f t="shared" si="1"/>
        <v>1.07</v>
      </c>
      <c r="J10" s="19">
        <f t="shared" si="1"/>
        <v>1.07</v>
      </c>
      <c r="K10" s="19">
        <f t="shared" si="1"/>
        <v>1.07</v>
      </c>
      <c r="L10" s="19">
        <f t="shared" si="1"/>
        <v>1.07</v>
      </c>
      <c r="M10" s="19">
        <f t="shared" si="1"/>
        <v>1.07</v>
      </c>
      <c r="N10" s="19">
        <f t="shared" si="1"/>
        <v>1.07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0</v>
      </c>
      <c r="AB11" s="8">
        <f>AB10-((AA18-AA20)*AB9)</f>
        <v>0</v>
      </c>
      <c r="AC11" s="8">
        <f>AC10-((AA18-AA20)*AC9)</f>
        <v>0</v>
      </c>
      <c r="AD11" s="8">
        <f>AD10-((AA18-AA20)*AD9)</f>
        <v>0</v>
      </c>
      <c r="AE11" s="8">
        <f>AE10-((AA18-AA20)*AE9)</f>
        <v>0</v>
      </c>
      <c r="AF11" s="8">
        <f>AF10-((AA18-AA20)*AF9)</f>
        <v>0</v>
      </c>
      <c r="AG11" s="8">
        <f>AG10-((AA18-AA20)*AG9)</f>
        <v>0</v>
      </c>
      <c r="AH11" s="8">
        <f>AH10-((AA18-AA20)*AH9)</f>
        <v>0</v>
      </c>
      <c r="AI11" s="8">
        <f>AI10-((AA18-AA20)*AI9)</f>
        <v>0</v>
      </c>
      <c r="AJ11" s="8">
        <f>AJ10-((AA18-AA20)*AJ9)</f>
        <v>0</v>
      </c>
      <c r="AK11" s="8">
        <f>AK10-((AA18-AA20)*AK9)</f>
        <v>0</v>
      </c>
      <c r="AL11" s="8">
        <f>AL10-((AA18-AA20)*AL9)</f>
        <v>0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Failed</v>
      </c>
      <c r="D13" s="19" t="str">
        <f t="shared" si="2"/>
        <v>Failed</v>
      </c>
      <c r="E13" s="19" t="str">
        <f t="shared" si="2"/>
        <v>Failed</v>
      </c>
      <c r="F13" s="19" t="str">
        <f t="shared" si="2"/>
        <v>Failed</v>
      </c>
      <c r="G13" s="19" t="str">
        <f t="shared" si="2"/>
        <v>Failed</v>
      </c>
      <c r="H13" s="19" t="str">
        <f t="shared" si="2"/>
        <v>Failed</v>
      </c>
      <c r="I13" s="19" t="str">
        <f t="shared" si="2"/>
        <v>Failed</v>
      </c>
      <c r="J13" s="19" t="str">
        <f t="shared" si="2"/>
        <v>Failed</v>
      </c>
      <c r="K13" s="19" t="str">
        <f t="shared" si="2"/>
        <v>Failed</v>
      </c>
      <c r="L13" s="19" t="str">
        <f t="shared" si="2"/>
        <v>Failed</v>
      </c>
      <c r="M13" s="19" t="str">
        <f t="shared" si="2"/>
        <v>Failed</v>
      </c>
      <c r="N13" s="19" t="str">
        <f t="shared" si="2"/>
        <v>Failed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Z14" s="15" t="s">
        <v>32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</v>
      </c>
      <c r="D18" s="19">
        <f>($AA$22*(AB13/$AA$25))+(1+$AA$24*($AB$15-25))</f>
        <v>1</v>
      </c>
      <c r="E18" s="19">
        <f>($AA$22*(AC13/$AA$25))+(1+$AA$24*($AC$15-25))</f>
        <v>1</v>
      </c>
      <c r="F18" s="19">
        <f>($AA$22*(AD13/$AA$25))+(1+$AA$24*($AD$15-25))</f>
        <v>1</v>
      </c>
      <c r="G18" s="19">
        <f>($AA$22*(AE13/$AA$25))+(1+$AA$24*($AE$15-25))</f>
        <v>1</v>
      </c>
      <c r="H18" s="19">
        <f>($AA$22*(AF13/$AA$25))+(1+$AA$24*($AF$15-25))</f>
        <v>1</v>
      </c>
      <c r="I18" s="19">
        <f>($AA$22*(AG13/$AA$25))+(1+$AA$24*($AG$15-25))</f>
        <v>1</v>
      </c>
      <c r="J18" s="19">
        <f>($AA$22*(AH13/$AA$25))+(1+$AA$24*($AH$15-25))</f>
        <v>1</v>
      </c>
      <c r="K18" s="19">
        <f>($AA$22*(AI13/$AA$25))+(1+$AA$24*($AI$15-25))</f>
        <v>1</v>
      </c>
      <c r="L18" s="19">
        <f>($AA$22*(AJ13/$AA$25))+(1+$AA$24*($AJ$15-25))</f>
        <v>1</v>
      </c>
      <c r="M18" s="19">
        <f>($AA$22*(AK13/$AA$25))+(1+$AA$24*($AK$15-25))</f>
        <v>1</v>
      </c>
      <c r="N18" s="19">
        <f>($AA$22*(AL13/$AA$25))+(1+$AA$24*($AL$15-25))</f>
        <v>1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49.75</v>
      </c>
      <c r="AB18" s="4" t="s">
        <v>34</v>
      </c>
      <c r="AC18" s="6" t="s">
        <v>35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0.9</v>
      </c>
      <c r="D19" s="19">
        <f t="shared" si="3"/>
        <v>0.9</v>
      </c>
      <c r="E19" s="19">
        <f t="shared" si="3"/>
        <v>0.9</v>
      </c>
      <c r="F19" s="19">
        <f t="shared" si="3"/>
        <v>0.9</v>
      </c>
      <c r="G19" s="19">
        <f t="shared" si="3"/>
        <v>0.9</v>
      </c>
      <c r="H19" s="19">
        <f t="shared" si="3"/>
        <v>0.9</v>
      </c>
      <c r="I19" s="19">
        <f t="shared" si="3"/>
        <v>0.9</v>
      </c>
      <c r="J19" s="19">
        <f t="shared" si="3"/>
        <v>0.9</v>
      </c>
      <c r="K19" s="19">
        <f t="shared" si="3"/>
        <v>0.9</v>
      </c>
      <c r="L19" s="19">
        <f t="shared" si="3"/>
        <v>0.9</v>
      </c>
      <c r="M19" s="19">
        <f t="shared" si="3"/>
        <v>0.9</v>
      </c>
      <c r="N19" s="19">
        <f t="shared" si="3"/>
        <v>0.9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-0.27500000000000002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1.1000000000000001</v>
      </c>
      <c r="D20" s="19">
        <f t="shared" si="4"/>
        <v>1.1000000000000001</v>
      </c>
      <c r="E20" s="19">
        <f t="shared" si="4"/>
        <v>1.1000000000000001</v>
      </c>
      <c r="F20" s="19">
        <f t="shared" si="4"/>
        <v>1.1000000000000001</v>
      </c>
      <c r="G20" s="19">
        <f t="shared" si="4"/>
        <v>1.1000000000000001</v>
      </c>
      <c r="H20" s="19">
        <f t="shared" si="4"/>
        <v>1.1000000000000001</v>
      </c>
      <c r="I20" s="19">
        <f t="shared" si="4"/>
        <v>1.1000000000000001</v>
      </c>
      <c r="J20" s="19">
        <f t="shared" si="4"/>
        <v>1.1000000000000001</v>
      </c>
      <c r="K20" s="19">
        <f t="shared" si="4"/>
        <v>1.1000000000000001</v>
      </c>
      <c r="L20" s="19">
        <f t="shared" si="4"/>
        <v>1.1000000000000001</v>
      </c>
      <c r="M20" s="19">
        <f t="shared" si="4"/>
        <v>1.1000000000000001</v>
      </c>
      <c r="N20" s="19">
        <f t="shared" si="4"/>
        <v>1.1000000000000001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41.8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Z22" s="4" t="s">
        <v>43</v>
      </c>
      <c r="AA22" s="4">
        <v>13.93</v>
      </c>
      <c r="AB22" s="4" t="s">
        <v>44</v>
      </c>
      <c r="AC22" s="4" t="s">
        <v>45</v>
      </c>
    </row>
    <row r="23" spans="2:30" ht="14.25" customHeight="1" x14ac:dyDescent="0.3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Failed</v>
      </c>
      <c r="D24" s="19" t="str">
        <f t="shared" si="6"/>
        <v>Failed</v>
      </c>
      <c r="E24" s="19" t="str">
        <f t="shared" si="6"/>
        <v>Failed</v>
      </c>
      <c r="F24" s="19" t="str">
        <f t="shared" si="6"/>
        <v>Failed</v>
      </c>
      <c r="G24" s="19" t="str">
        <f t="shared" si="6"/>
        <v>Failed</v>
      </c>
      <c r="H24" s="19" t="str">
        <f t="shared" si="6"/>
        <v>Failed</v>
      </c>
      <c r="I24" s="19" t="str">
        <f t="shared" si="6"/>
        <v>Failed</v>
      </c>
      <c r="J24" s="19" t="str">
        <f t="shared" si="6"/>
        <v>Failed</v>
      </c>
      <c r="K24" s="19" t="str">
        <f t="shared" si="6"/>
        <v>Failed</v>
      </c>
      <c r="L24" s="19" t="str">
        <f t="shared" si="6"/>
        <v>Failed</v>
      </c>
      <c r="M24" s="19" t="str">
        <f t="shared" si="6"/>
        <v>Failed</v>
      </c>
      <c r="N24" s="19" t="str">
        <f t="shared" si="6"/>
        <v>Failed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4">
    <cfRule type="containsText" dxfId="93" priority="1" operator="containsText" text="Failed">
      <formula>NOT(ISERROR(SEARCH(("Failed"),(C13))))</formula>
    </cfRule>
    <cfRule type="containsText" dxfId="92" priority="2" operator="containsText" text="Passed">
      <formula>NOT(ISERROR(SEARCH(("Passed"),(C13))))</formula>
    </cfRule>
  </conditionalFormatting>
  <conditionalFormatting sqref="C24:W24">
    <cfRule type="containsText" dxfId="91" priority="3" operator="containsText" text="Failed">
      <formula>NOT(ISERROR(SEARCH(("Failed"),(C24))))</formula>
    </cfRule>
    <cfRule type="containsText" dxfId="90" priority="4" operator="containsText" text="Passed">
      <formula>NOT(ISERROR(SEARCH(("Passed"),(C24))))</formula>
    </cfRule>
  </conditionalFormatting>
  <conditionalFormatting sqref="F25">
    <cfRule type="containsText" dxfId="89" priority="13" operator="containsText" text="Failed">
      <formula>NOT(ISERROR(SEARCH(("Failed"),(F25))))</formula>
    </cfRule>
    <cfRule type="containsText" dxfId="88" priority="14" operator="containsText" text="Passed">
      <formula>NOT(ISERROR(SEARCH(("Passed"),(F25))))</formula>
    </cfRule>
  </conditionalFormatting>
  <conditionalFormatting sqref="H25">
    <cfRule type="containsText" dxfId="87" priority="11" operator="containsText" text="Failed">
      <formula>NOT(ISERROR(SEARCH(("Failed"),(H25))))</formula>
    </cfRule>
    <cfRule type="containsText" dxfId="86" priority="12" operator="containsText" text="Passed">
      <formula>NOT(ISERROR(SEARCH(("Passed"),(H25))))</formula>
    </cfRule>
  </conditionalFormatting>
  <conditionalFormatting sqref="J25">
    <cfRule type="containsText" dxfId="85" priority="9" operator="containsText" text="Failed">
      <formula>NOT(ISERROR(SEARCH(("Failed"),(J25))))</formula>
    </cfRule>
    <cfRule type="containsText" dxfId="84" priority="10" operator="containsText" text="Passed">
      <formula>NOT(ISERROR(SEARCH(("Passed"),(J25))))</formula>
    </cfRule>
  </conditionalFormatting>
  <conditionalFormatting sqref="L25">
    <cfRule type="containsText" dxfId="83" priority="7" operator="containsText" text="Failed">
      <formula>NOT(ISERROR(SEARCH(("Failed"),(L25))))</formula>
    </cfRule>
    <cfRule type="containsText" dxfId="82" priority="8" operator="containsText" text="Passed">
      <formula>NOT(ISERROR(SEARCH(("Passed"),(L25))))</formula>
    </cfRule>
  </conditionalFormatting>
  <conditionalFormatting sqref="N25:V25">
    <cfRule type="containsText" dxfId="81" priority="5" operator="containsText" text="Failed">
      <formula>NOT(ISERROR(SEARCH(("Failed"),(N25))))</formula>
    </cfRule>
    <cfRule type="containsText" dxfId="80" priority="6" operator="containsText" text="Passed">
      <formula>NOT(ISERROR(SEARCH(("Passed"),(N25))))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BDEE-637D-43C8-9074-302DF441EC69}">
  <dimension ref="B1:AT1000"/>
  <sheetViews>
    <sheetView topLeftCell="E6" zoomScaleNormal="100" workbookViewId="0">
      <selection activeCell="E29" sqref="E29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/>
      <c r="H1" s="23"/>
      <c r="I1" s="23"/>
      <c r="J1" s="1" t="s">
        <v>65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1</v>
      </c>
      <c r="D8" s="19">
        <f>AB9*$AA$18+(1+$AA$19*($AB$15-25))</f>
        <v>1</v>
      </c>
      <c r="E8" s="19">
        <f>AC9*$AA$18+(1+$AA$19*($AC$15-25))</f>
        <v>1</v>
      </c>
      <c r="F8" s="19">
        <f>AD9*$AA$18+(1+$AA$19*($AD$15-25))</f>
        <v>1</v>
      </c>
      <c r="G8" s="19">
        <f>AE9*$AA$18+(1+$AA$19*($AE$15-25))</f>
        <v>1</v>
      </c>
      <c r="H8" s="19">
        <f>AF9*$AA$18+(1+$AA$19*($AF$15-25))</f>
        <v>1</v>
      </c>
      <c r="I8" s="19">
        <f>AG9*$AA$18+(1+$AA$19*($AG$15-25))</f>
        <v>1</v>
      </c>
      <c r="J8" s="19">
        <f>AH9*$AA$18+(1+$AA$19*($AH$15-25))</f>
        <v>1</v>
      </c>
      <c r="K8" s="19">
        <f>AI9*$AA$18+(1+$AA$19*($AI$15-25))</f>
        <v>1</v>
      </c>
      <c r="L8" s="19">
        <f>AJ9*$AA$18+(1+$AA$19*($AJ$15-25))</f>
        <v>1</v>
      </c>
      <c r="M8" s="19">
        <f>AK9*$AA$18+(1+$AA$19*($AK$15-25))</f>
        <v>1</v>
      </c>
      <c r="N8" s="19">
        <f>AL9*$AA$18+(1+$AA$19*($AL$15-25))</f>
        <v>1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66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0.92999999999999994</v>
      </c>
      <c r="D9" s="19">
        <f t="shared" si="0"/>
        <v>0.92999999999999994</v>
      </c>
      <c r="E9" s="19">
        <f t="shared" si="0"/>
        <v>0.92999999999999994</v>
      </c>
      <c r="F9" s="19">
        <f t="shared" si="0"/>
        <v>0.92999999999999994</v>
      </c>
      <c r="G9" s="19">
        <f t="shared" si="0"/>
        <v>0.92999999999999994</v>
      </c>
      <c r="H9" s="19">
        <f t="shared" si="0"/>
        <v>0.92999999999999994</v>
      </c>
      <c r="I9" s="19">
        <f t="shared" si="0"/>
        <v>0.92999999999999994</v>
      </c>
      <c r="J9" s="19">
        <f t="shared" si="0"/>
        <v>0.92999999999999994</v>
      </c>
      <c r="K9" s="19">
        <f t="shared" si="0"/>
        <v>0.92999999999999994</v>
      </c>
      <c r="L9" s="19">
        <f t="shared" si="0"/>
        <v>0.92999999999999994</v>
      </c>
      <c r="M9" s="19">
        <f t="shared" si="0"/>
        <v>0.92999999999999994</v>
      </c>
      <c r="N9" s="19">
        <f t="shared" si="0"/>
        <v>0.92999999999999994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1.07</v>
      </c>
      <c r="D10" s="19">
        <f t="shared" si="1"/>
        <v>1.07</v>
      </c>
      <c r="E10" s="19">
        <f t="shared" si="1"/>
        <v>1.07</v>
      </c>
      <c r="F10" s="19">
        <f t="shared" si="1"/>
        <v>1.07</v>
      </c>
      <c r="G10" s="19">
        <f t="shared" si="1"/>
        <v>1.07</v>
      </c>
      <c r="H10" s="19">
        <f t="shared" si="1"/>
        <v>1.07</v>
      </c>
      <c r="I10" s="19">
        <f t="shared" si="1"/>
        <v>1.07</v>
      </c>
      <c r="J10" s="19">
        <f t="shared" si="1"/>
        <v>1.07</v>
      </c>
      <c r="K10" s="19">
        <f t="shared" si="1"/>
        <v>1.07</v>
      </c>
      <c r="L10" s="19">
        <f t="shared" si="1"/>
        <v>1.07</v>
      </c>
      <c r="M10" s="19">
        <f t="shared" si="1"/>
        <v>1.07</v>
      </c>
      <c r="N10" s="19">
        <f t="shared" si="1"/>
        <v>1.07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0</v>
      </c>
      <c r="AB11" s="8">
        <f>AB10-((AA18-AA20)*AB9)</f>
        <v>0</v>
      </c>
      <c r="AC11" s="8">
        <f>AC10-((AA18-AA20)*AC9)</f>
        <v>0</v>
      </c>
      <c r="AD11" s="8">
        <f>AD10-((AA18-AA20)*AD9)</f>
        <v>0</v>
      </c>
      <c r="AE11" s="8">
        <f>AE10-((AA18-AA20)*AE9)</f>
        <v>0</v>
      </c>
      <c r="AF11" s="8">
        <f>AF10-((AA18-AA20)*AF9)</f>
        <v>0</v>
      </c>
      <c r="AG11" s="8">
        <f>AG10-((AA18-AA20)*AG9)</f>
        <v>0</v>
      </c>
      <c r="AH11" s="8">
        <f>AH10-((AA18-AA20)*AH9)</f>
        <v>0</v>
      </c>
      <c r="AI11" s="8">
        <f>AI10-((AA18-AA20)*AI9)</f>
        <v>0</v>
      </c>
      <c r="AJ11" s="8">
        <f>AJ10-((AA18-AA20)*AJ9)</f>
        <v>0</v>
      </c>
      <c r="AK11" s="8">
        <f>AK10-((AA18-AA20)*AK9)</f>
        <v>0</v>
      </c>
      <c r="AL11" s="8">
        <f>AL10-((AA18-AA20)*AL9)</f>
        <v>0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Failed</v>
      </c>
      <c r="D13" s="19" t="str">
        <f t="shared" si="2"/>
        <v>Failed</v>
      </c>
      <c r="E13" s="19" t="str">
        <f t="shared" si="2"/>
        <v>Failed</v>
      </c>
      <c r="F13" s="19" t="str">
        <f t="shared" si="2"/>
        <v>Failed</v>
      </c>
      <c r="G13" s="19" t="str">
        <f t="shared" si="2"/>
        <v>Failed</v>
      </c>
      <c r="H13" s="19" t="str">
        <f t="shared" si="2"/>
        <v>Failed</v>
      </c>
      <c r="I13" s="19" t="str">
        <f t="shared" si="2"/>
        <v>Failed</v>
      </c>
      <c r="J13" s="19" t="str">
        <f t="shared" si="2"/>
        <v>Failed</v>
      </c>
      <c r="K13" s="19" t="str">
        <f t="shared" si="2"/>
        <v>Failed</v>
      </c>
      <c r="L13" s="19" t="str">
        <f t="shared" si="2"/>
        <v>Failed</v>
      </c>
      <c r="M13" s="19" t="str">
        <f t="shared" si="2"/>
        <v>Failed</v>
      </c>
      <c r="N13" s="19" t="str">
        <f t="shared" si="2"/>
        <v>Failed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Z14" s="15" t="s">
        <v>32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</v>
      </c>
      <c r="D18" s="19">
        <f>($AA$22*(AB13/$AA$25))+(1+$AA$24*($AB$15-25))</f>
        <v>1</v>
      </c>
      <c r="E18" s="19">
        <f>($AA$22*(AC13/$AA$25))+(1+$AA$24*($AC$15-25))</f>
        <v>1</v>
      </c>
      <c r="F18" s="19">
        <f>($AA$22*(AD13/$AA$25))+(1+$AA$24*($AD$15-25))</f>
        <v>1</v>
      </c>
      <c r="G18" s="19">
        <f>($AA$22*(AE13/$AA$25))+(1+$AA$24*($AE$15-25))</f>
        <v>1</v>
      </c>
      <c r="H18" s="19">
        <f>($AA$22*(AF13/$AA$25))+(1+$AA$24*($AF$15-25))</f>
        <v>1</v>
      </c>
      <c r="I18" s="19">
        <f>($AA$22*(AG13/$AA$25))+(1+$AA$24*($AG$15-25))</f>
        <v>1</v>
      </c>
      <c r="J18" s="19">
        <f>($AA$22*(AH13/$AA$25))+(1+$AA$24*($AH$15-25))</f>
        <v>1</v>
      </c>
      <c r="K18" s="19">
        <f>($AA$22*(AI13/$AA$25))+(1+$AA$24*($AI$15-25))</f>
        <v>1</v>
      </c>
      <c r="L18" s="19">
        <f>($AA$22*(AJ13/$AA$25))+(1+$AA$24*($AJ$15-25))</f>
        <v>1</v>
      </c>
      <c r="M18" s="19">
        <f>($AA$22*(AK13/$AA$25))+(1+$AA$24*($AK$15-25))</f>
        <v>1</v>
      </c>
      <c r="N18" s="19">
        <f>($AA$22*(AL13/$AA$25))+(1+$AA$24*($AL$15-25))</f>
        <v>1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49.75</v>
      </c>
      <c r="AB18" s="4" t="s">
        <v>34</v>
      </c>
      <c r="AC18" s="6" t="s">
        <v>35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0.9</v>
      </c>
      <c r="D19" s="19">
        <f t="shared" si="3"/>
        <v>0.9</v>
      </c>
      <c r="E19" s="19">
        <f t="shared" si="3"/>
        <v>0.9</v>
      </c>
      <c r="F19" s="19">
        <f t="shared" si="3"/>
        <v>0.9</v>
      </c>
      <c r="G19" s="19">
        <f t="shared" si="3"/>
        <v>0.9</v>
      </c>
      <c r="H19" s="19">
        <f t="shared" si="3"/>
        <v>0.9</v>
      </c>
      <c r="I19" s="19">
        <f t="shared" si="3"/>
        <v>0.9</v>
      </c>
      <c r="J19" s="19">
        <f t="shared" si="3"/>
        <v>0.9</v>
      </c>
      <c r="K19" s="19">
        <f t="shared" si="3"/>
        <v>0.9</v>
      </c>
      <c r="L19" s="19">
        <f t="shared" si="3"/>
        <v>0.9</v>
      </c>
      <c r="M19" s="19">
        <f t="shared" si="3"/>
        <v>0.9</v>
      </c>
      <c r="N19" s="19">
        <f t="shared" si="3"/>
        <v>0.9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-0.27500000000000002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1.1000000000000001</v>
      </c>
      <c r="D20" s="19">
        <f t="shared" si="4"/>
        <v>1.1000000000000001</v>
      </c>
      <c r="E20" s="19">
        <f t="shared" si="4"/>
        <v>1.1000000000000001</v>
      </c>
      <c r="F20" s="19">
        <f t="shared" si="4"/>
        <v>1.1000000000000001</v>
      </c>
      <c r="G20" s="19">
        <f t="shared" si="4"/>
        <v>1.1000000000000001</v>
      </c>
      <c r="H20" s="19">
        <f t="shared" si="4"/>
        <v>1.1000000000000001</v>
      </c>
      <c r="I20" s="19">
        <f t="shared" si="4"/>
        <v>1.1000000000000001</v>
      </c>
      <c r="J20" s="19">
        <f t="shared" si="4"/>
        <v>1.1000000000000001</v>
      </c>
      <c r="K20" s="19">
        <f t="shared" si="4"/>
        <v>1.1000000000000001</v>
      </c>
      <c r="L20" s="19">
        <f t="shared" si="4"/>
        <v>1.1000000000000001</v>
      </c>
      <c r="M20" s="19">
        <f t="shared" si="4"/>
        <v>1.1000000000000001</v>
      </c>
      <c r="N20" s="19">
        <f t="shared" si="4"/>
        <v>1.1000000000000001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41.8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Z22" s="4" t="s">
        <v>43</v>
      </c>
      <c r="AA22" s="4">
        <v>13.93</v>
      </c>
      <c r="AB22" s="4" t="s">
        <v>44</v>
      </c>
      <c r="AC22" s="4" t="s">
        <v>45</v>
      </c>
    </row>
    <row r="23" spans="2:30" ht="14.25" customHeight="1" x14ac:dyDescent="0.3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Failed</v>
      </c>
      <c r="D24" s="19" t="str">
        <f t="shared" si="6"/>
        <v>Failed</v>
      </c>
      <c r="E24" s="19" t="str">
        <f t="shared" si="6"/>
        <v>Failed</v>
      </c>
      <c r="F24" s="19" t="str">
        <f t="shared" si="6"/>
        <v>Failed</v>
      </c>
      <c r="G24" s="19" t="str">
        <f t="shared" si="6"/>
        <v>Failed</v>
      </c>
      <c r="H24" s="19" t="str">
        <f t="shared" si="6"/>
        <v>Failed</v>
      </c>
      <c r="I24" s="19" t="str">
        <f t="shared" si="6"/>
        <v>Failed</v>
      </c>
      <c r="J24" s="19" t="str">
        <f t="shared" si="6"/>
        <v>Failed</v>
      </c>
      <c r="K24" s="19" t="str">
        <f t="shared" si="6"/>
        <v>Failed</v>
      </c>
      <c r="L24" s="19" t="str">
        <f t="shared" si="6"/>
        <v>Failed</v>
      </c>
      <c r="M24" s="19" t="str">
        <f t="shared" si="6"/>
        <v>Failed</v>
      </c>
      <c r="N24" s="19" t="str">
        <f t="shared" si="6"/>
        <v>Failed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4">
    <cfRule type="containsText" dxfId="79" priority="1" operator="containsText" text="Failed">
      <formula>NOT(ISERROR(SEARCH(("Failed"),(C13))))</formula>
    </cfRule>
    <cfRule type="containsText" dxfId="78" priority="2" operator="containsText" text="Passed">
      <formula>NOT(ISERROR(SEARCH(("Passed"),(C13))))</formula>
    </cfRule>
  </conditionalFormatting>
  <conditionalFormatting sqref="C24:W24">
    <cfRule type="containsText" dxfId="77" priority="3" operator="containsText" text="Failed">
      <formula>NOT(ISERROR(SEARCH(("Failed"),(C24))))</formula>
    </cfRule>
    <cfRule type="containsText" dxfId="76" priority="4" operator="containsText" text="Passed">
      <formula>NOT(ISERROR(SEARCH(("Passed"),(C24))))</formula>
    </cfRule>
  </conditionalFormatting>
  <conditionalFormatting sqref="F25">
    <cfRule type="containsText" dxfId="75" priority="13" operator="containsText" text="Failed">
      <formula>NOT(ISERROR(SEARCH(("Failed"),(F25))))</formula>
    </cfRule>
    <cfRule type="containsText" dxfId="74" priority="14" operator="containsText" text="Passed">
      <formula>NOT(ISERROR(SEARCH(("Passed"),(F25))))</formula>
    </cfRule>
  </conditionalFormatting>
  <conditionalFormatting sqref="H25">
    <cfRule type="containsText" dxfId="73" priority="11" operator="containsText" text="Failed">
      <formula>NOT(ISERROR(SEARCH(("Failed"),(H25))))</formula>
    </cfRule>
    <cfRule type="containsText" dxfId="72" priority="12" operator="containsText" text="Passed">
      <formula>NOT(ISERROR(SEARCH(("Passed"),(H25))))</formula>
    </cfRule>
  </conditionalFormatting>
  <conditionalFormatting sqref="J25">
    <cfRule type="containsText" dxfId="71" priority="9" operator="containsText" text="Failed">
      <formula>NOT(ISERROR(SEARCH(("Failed"),(J25))))</formula>
    </cfRule>
    <cfRule type="containsText" dxfId="70" priority="10" operator="containsText" text="Passed">
      <formula>NOT(ISERROR(SEARCH(("Passed"),(J25))))</formula>
    </cfRule>
  </conditionalFormatting>
  <conditionalFormatting sqref="L25">
    <cfRule type="containsText" dxfId="69" priority="7" operator="containsText" text="Failed">
      <formula>NOT(ISERROR(SEARCH(("Failed"),(L25))))</formula>
    </cfRule>
    <cfRule type="containsText" dxfId="68" priority="8" operator="containsText" text="Passed">
      <formula>NOT(ISERROR(SEARCH(("Passed"),(L25))))</formula>
    </cfRule>
  </conditionalFormatting>
  <conditionalFormatting sqref="N25:V25">
    <cfRule type="containsText" dxfId="67" priority="5" operator="containsText" text="Failed">
      <formula>NOT(ISERROR(SEARCH(("Failed"),(N25))))</formula>
    </cfRule>
    <cfRule type="containsText" dxfId="66" priority="6" operator="containsText" text="Passed">
      <formula>NOT(ISERROR(SEARCH(("Passed"),(N25))))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ED85-6C44-4D95-AEA5-9698F450C5DB}">
  <dimension ref="B1:AT1000"/>
  <sheetViews>
    <sheetView topLeftCell="G6" zoomScaleNormal="100" workbookViewId="0">
      <selection activeCell="G29" sqref="G29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/>
      <c r="H1" s="23"/>
      <c r="I1" s="23"/>
      <c r="J1" s="1" t="s">
        <v>67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1</v>
      </c>
      <c r="D8" s="19">
        <f>AB9*$AA$18+(1+$AA$19*($AB$15-25))</f>
        <v>1</v>
      </c>
      <c r="E8" s="19">
        <f>AC9*$AA$18+(1+$AA$19*($AC$15-25))</f>
        <v>1</v>
      </c>
      <c r="F8" s="19">
        <f>AD9*$AA$18+(1+$AA$19*($AD$15-25))</f>
        <v>1</v>
      </c>
      <c r="G8" s="19">
        <f>AE9*$AA$18+(1+$AA$19*($AE$15-25))</f>
        <v>1</v>
      </c>
      <c r="H8" s="19">
        <f>AF9*$AA$18+(1+$AA$19*($AF$15-25))</f>
        <v>1</v>
      </c>
      <c r="I8" s="19">
        <f>AG9*$AA$18+(1+$AA$19*($AG$15-25))</f>
        <v>1</v>
      </c>
      <c r="J8" s="19">
        <f>AH9*$AA$18+(1+$AA$19*($AH$15-25))</f>
        <v>1</v>
      </c>
      <c r="K8" s="19">
        <f>AI9*$AA$18+(1+$AA$19*($AI$15-25))</f>
        <v>1</v>
      </c>
      <c r="L8" s="19">
        <f>AJ9*$AA$18+(1+$AA$19*($AJ$15-25))</f>
        <v>1</v>
      </c>
      <c r="M8" s="19">
        <f>AK9*$AA$18+(1+$AA$19*($AK$15-25))</f>
        <v>1</v>
      </c>
      <c r="N8" s="19">
        <f>AL9*$AA$18+(1+$AA$19*($AL$15-25))</f>
        <v>1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68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0.92999999999999994</v>
      </c>
      <c r="D9" s="19">
        <f t="shared" si="0"/>
        <v>0.92999999999999994</v>
      </c>
      <c r="E9" s="19">
        <f t="shared" si="0"/>
        <v>0.92999999999999994</v>
      </c>
      <c r="F9" s="19">
        <f t="shared" si="0"/>
        <v>0.92999999999999994</v>
      </c>
      <c r="G9" s="19">
        <f t="shared" si="0"/>
        <v>0.92999999999999994</v>
      </c>
      <c r="H9" s="19">
        <f t="shared" si="0"/>
        <v>0.92999999999999994</v>
      </c>
      <c r="I9" s="19">
        <f t="shared" si="0"/>
        <v>0.92999999999999994</v>
      </c>
      <c r="J9" s="19">
        <f t="shared" si="0"/>
        <v>0.92999999999999994</v>
      </c>
      <c r="K9" s="19">
        <f t="shared" si="0"/>
        <v>0.92999999999999994</v>
      </c>
      <c r="L9" s="19">
        <f t="shared" si="0"/>
        <v>0.92999999999999994</v>
      </c>
      <c r="M9" s="19">
        <f t="shared" si="0"/>
        <v>0.92999999999999994</v>
      </c>
      <c r="N9" s="19">
        <f t="shared" si="0"/>
        <v>0.92999999999999994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1.07</v>
      </c>
      <c r="D10" s="19">
        <f t="shared" si="1"/>
        <v>1.07</v>
      </c>
      <c r="E10" s="19">
        <f t="shared" si="1"/>
        <v>1.07</v>
      </c>
      <c r="F10" s="19">
        <f t="shared" si="1"/>
        <v>1.07</v>
      </c>
      <c r="G10" s="19">
        <f t="shared" si="1"/>
        <v>1.07</v>
      </c>
      <c r="H10" s="19">
        <f t="shared" si="1"/>
        <v>1.07</v>
      </c>
      <c r="I10" s="19">
        <f t="shared" si="1"/>
        <v>1.07</v>
      </c>
      <c r="J10" s="19">
        <f t="shared" si="1"/>
        <v>1.07</v>
      </c>
      <c r="K10" s="19">
        <f t="shared" si="1"/>
        <v>1.07</v>
      </c>
      <c r="L10" s="19">
        <f t="shared" si="1"/>
        <v>1.07</v>
      </c>
      <c r="M10" s="19">
        <f t="shared" si="1"/>
        <v>1.07</v>
      </c>
      <c r="N10" s="19">
        <f t="shared" si="1"/>
        <v>1.07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0</v>
      </c>
      <c r="AB11" s="8">
        <f>AB10-((AA18-AA20)*AB9)</f>
        <v>0</v>
      </c>
      <c r="AC11" s="8">
        <f>AC10-((AA18-AA20)*AC9)</f>
        <v>0</v>
      </c>
      <c r="AD11" s="8">
        <f>AD10-((AA18-AA20)*AD9)</f>
        <v>0</v>
      </c>
      <c r="AE11" s="8">
        <f>AE10-((AA18-AA20)*AE9)</f>
        <v>0</v>
      </c>
      <c r="AF11" s="8">
        <f>AF10-((AA18-AA20)*AF9)</f>
        <v>0</v>
      </c>
      <c r="AG11" s="8">
        <f>AG10-((AA18-AA20)*AG9)</f>
        <v>0</v>
      </c>
      <c r="AH11" s="8">
        <f>AH10-((AA18-AA20)*AH9)</f>
        <v>0</v>
      </c>
      <c r="AI11" s="8">
        <f>AI10-((AA18-AA20)*AI9)</f>
        <v>0</v>
      </c>
      <c r="AJ11" s="8">
        <f>AJ10-((AA18-AA20)*AJ9)</f>
        <v>0</v>
      </c>
      <c r="AK11" s="8">
        <f>AK10-((AA18-AA20)*AK9)</f>
        <v>0</v>
      </c>
      <c r="AL11" s="8">
        <f>AL10-((AA18-AA20)*AL9)</f>
        <v>0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Failed</v>
      </c>
      <c r="D13" s="19" t="str">
        <f t="shared" si="2"/>
        <v>Failed</v>
      </c>
      <c r="E13" s="19" t="str">
        <f t="shared" si="2"/>
        <v>Failed</v>
      </c>
      <c r="F13" s="19" t="str">
        <f t="shared" si="2"/>
        <v>Failed</v>
      </c>
      <c r="G13" s="19" t="str">
        <f t="shared" si="2"/>
        <v>Failed</v>
      </c>
      <c r="H13" s="19" t="str">
        <f t="shared" si="2"/>
        <v>Failed</v>
      </c>
      <c r="I13" s="19" t="str">
        <f t="shared" si="2"/>
        <v>Failed</v>
      </c>
      <c r="J13" s="19" t="str">
        <f t="shared" si="2"/>
        <v>Failed</v>
      </c>
      <c r="K13" s="19" t="str">
        <f t="shared" si="2"/>
        <v>Failed</v>
      </c>
      <c r="L13" s="19" t="str">
        <f t="shared" si="2"/>
        <v>Failed</v>
      </c>
      <c r="M13" s="19" t="str">
        <f t="shared" si="2"/>
        <v>Failed</v>
      </c>
      <c r="N13" s="19" t="str">
        <f t="shared" si="2"/>
        <v>Failed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Z14" s="15" t="s">
        <v>32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</v>
      </c>
      <c r="D18" s="19">
        <f>($AA$22*(AB13/$AA$25))+(1+$AA$24*($AB$15-25))</f>
        <v>1</v>
      </c>
      <c r="E18" s="19">
        <f>($AA$22*(AC13/$AA$25))+(1+$AA$24*($AC$15-25))</f>
        <v>1</v>
      </c>
      <c r="F18" s="19">
        <f>($AA$22*(AD13/$AA$25))+(1+$AA$24*($AD$15-25))</f>
        <v>1</v>
      </c>
      <c r="G18" s="19">
        <f>($AA$22*(AE13/$AA$25))+(1+$AA$24*($AE$15-25))</f>
        <v>1</v>
      </c>
      <c r="H18" s="19">
        <f>($AA$22*(AF13/$AA$25))+(1+$AA$24*($AF$15-25))</f>
        <v>1</v>
      </c>
      <c r="I18" s="19">
        <f>($AA$22*(AG13/$AA$25))+(1+$AA$24*($AG$15-25))</f>
        <v>1</v>
      </c>
      <c r="J18" s="19">
        <f>($AA$22*(AH13/$AA$25))+(1+$AA$24*($AH$15-25))</f>
        <v>1</v>
      </c>
      <c r="K18" s="19">
        <f>($AA$22*(AI13/$AA$25))+(1+$AA$24*($AI$15-25))</f>
        <v>1</v>
      </c>
      <c r="L18" s="19">
        <f>($AA$22*(AJ13/$AA$25))+(1+$AA$24*($AJ$15-25))</f>
        <v>1</v>
      </c>
      <c r="M18" s="19">
        <f>($AA$22*(AK13/$AA$25))+(1+$AA$24*($AK$15-25))</f>
        <v>1</v>
      </c>
      <c r="N18" s="19">
        <f>($AA$22*(AL13/$AA$25))+(1+$AA$24*($AL$15-25))</f>
        <v>1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49.75</v>
      </c>
      <c r="AB18" s="4" t="s">
        <v>34</v>
      </c>
      <c r="AC18" s="6" t="s">
        <v>35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0.9</v>
      </c>
      <c r="D19" s="19">
        <f t="shared" si="3"/>
        <v>0.9</v>
      </c>
      <c r="E19" s="19">
        <f t="shared" si="3"/>
        <v>0.9</v>
      </c>
      <c r="F19" s="19">
        <f t="shared" si="3"/>
        <v>0.9</v>
      </c>
      <c r="G19" s="19">
        <f t="shared" si="3"/>
        <v>0.9</v>
      </c>
      <c r="H19" s="19">
        <f t="shared" si="3"/>
        <v>0.9</v>
      </c>
      <c r="I19" s="19">
        <f t="shared" si="3"/>
        <v>0.9</v>
      </c>
      <c r="J19" s="19">
        <f t="shared" si="3"/>
        <v>0.9</v>
      </c>
      <c r="K19" s="19">
        <f t="shared" si="3"/>
        <v>0.9</v>
      </c>
      <c r="L19" s="19">
        <f t="shared" si="3"/>
        <v>0.9</v>
      </c>
      <c r="M19" s="19">
        <f t="shared" si="3"/>
        <v>0.9</v>
      </c>
      <c r="N19" s="19">
        <f t="shared" si="3"/>
        <v>0.9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-0.27500000000000002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1.1000000000000001</v>
      </c>
      <c r="D20" s="19">
        <f t="shared" si="4"/>
        <v>1.1000000000000001</v>
      </c>
      <c r="E20" s="19">
        <f t="shared" si="4"/>
        <v>1.1000000000000001</v>
      </c>
      <c r="F20" s="19">
        <f t="shared" si="4"/>
        <v>1.1000000000000001</v>
      </c>
      <c r="G20" s="19">
        <f t="shared" si="4"/>
        <v>1.1000000000000001</v>
      </c>
      <c r="H20" s="19">
        <f t="shared" si="4"/>
        <v>1.1000000000000001</v>
      </c>
      <c r="I20" s="19">
        <f t="shared" si="4"/>
        <v>1.1000000000000001</v>
      </c>
      <c r="J20" s="19">
        <f t="shared" si="4"/>
        <v>1.1000000000000001</v>
      </c>
      <c r="K20" s="19">
        <f t="shared" si="4"/>
        <v>1.1000000000000001</v>
      </c>
      <c r="L20" s="19">
        <f t="shared" si="4"/>
        <v>1.1000000000000001</v>
      </c>
      <c r="M20" s="19">
        <f t="shared" si="4"/>
        <v>1.1000000000000001</v>
      </c>
      <c r="N20" s="19">
        <f t="shared" si="4"/>
        <v>1.1000000000000001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41.8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Z22" s="4" t="s">
        <v>43</v>
      </c>
      <c r="AA22" s="4">
        <v>13.93</v>
      </c>
      <c r="AB22" s="4" t="s">
        <v>44</v>
      </c>
      <c r="AC22" s="4" t="s">
        <v>45</v>
      </c>
    </row>
    <row r="23" spans="2:30" ht="14.25" customHeight="1" x14ac:dyDescent="0.3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Failed</v>
      </c>
      <c r="D24" s="19" t="str">
        <f t="shared" si="6"/>
        <v>Failed</v>
      </c>
      <c r="E24" s="19" t="str">
        <f t="shared" si="6"/>
        <v>Failed</v>
      </c>
      <c r="F24" s="19" t="str">
        <f t="shared" si="6"/>
        <v>Failed</v>
      </c>
      <c r="G24" s="19" t="str">
        <f t="shared" si="6"/>
        <v>Failed</v>
      </c>
      <c r="H24" s="19" t="str">
        <f t="shared" si="6"/>
        <v>Failed</v>
      </c>
      <c r="I24" s="19" t="str">
        <f t="shared" si="6"/>
        <v>Failed</v>
      </c>
      <c r="J24" s="19" t="str">
        <f t="shared" si="6"/>
        <v>Failed</v>
      </c>
      <c r="K24" s="19" t="str">
        <f t="shared" si="6"/>
        <v>Failed</v>
      </c>
      <c r="L24" s="19" t="str">
        <f t="shared" si="6"/>
        <v>Failed</v>
      </c>
      <c r="M24" s="19" t="str">
        <f t="shared" si="6"/>
        <v>Failed</v>
      </c>
      <c r="N24" s="19" t="str">
        <f t="shared" si="6"/>
        <v>Failed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4">
    <cfRule type="containsText" dxfId="65" priority="1" operator="containsText" text="Failed">
      <formula>NOT(ISERROR(SEARCH(("Failed"),(C13))))</formula>
    </cfRule>
    <cfRule type="containsText" dxfId="64" priority="2" operator="containsText" text="Passed">
      <formula>NOT(ISERROR(SEARCH(("Passed"),(C13))))</formula>
    </cfRule>
  </conditionalFormatting>
  <conditionalFormatting sqref="C24:W24">
    <cfRule type="containsText" dxfId="63" priority="3" operator="containsText" text="Failed">
      <formula>NOT(ISERROR(SEARCH(("Failed"),(C24))))</formula>
    </cfRule>
    <cfRule type="containsText" dxfId="62" priority="4" operator="containsText" text="Passed">
      <formula>NOT(ISERROR(SEARCH(("Passed"),(C24))))</formula>
    </cfRule>
  </conditionalFormatting>
  <conditionalFormatting sqref="F25">
    <cfRule type="containsText" dxfId="61" priority="13" operator="containsText" text="Failed">
      <formula>NOT(ISERROR(SEARCH(("Failed"),(F25))))</formula>
    </cfRule>
    <cfRule type="containsText" dxfId="60" priority="14" operator="containsText" text="Passed">
      <formula>NOT(ISERROR(SEARCH(("Passed"),(F25))))</formula>
    </cfRule>
  </conditionalFormatting>
  <conditionalFormatting sqref="H25">
    <cfRule type="containsText" dxfId="59" priority="11" operator="containsText" text="Failed">
      <formula>NOT(ISERROR(SEARCH(("Failed"),(H25))))</formula>
    </cfRule>
    <cfRule type="containsText" dxfId="58" priority="12" operator="containsText" text="Passed">
      <formula>NOT(ISERROR(SEARCH(("Passed"),(H25))))</formula>
    </cfRule>
  </conditionalFormatting>
  <conditionalFormatting sqref="J25">
    <cfRule type="containsText" dxfId="57" priority="9" operator="containsText" text="Failed">
      <formula>NOT(ISERROR(SEARCH(("Failed"),(J25))))</formula>
    </cfRule>
    <cfRule type="containsText" dxfId="56" priority="10" operator="containsText" text="Passed">
      <formula>NOT(ISERROR(SEARCH(("Passed"),(J25))))</formula>
    </cfRule>
  </conditionalFormatting>
  <conditionalFormatting sqref="L25">
    <cfRule type="containsText" dxfId="55" priority="7" operator="containsText" text="Failed">
      <formula>NOT(ISERROR(SEARCH(("Failed"),(L25))))</formula>
    </cfRule>
    <cfRule type="containsText" dxfId="54" priority="8" operator="containsText" text="Passed">
      <formula>NOT(ISERROR(SEARCH(("Passed"),(L25))))</formula>
    </cfRule>
  </conditionalFormatting>
  <conditionalFormatting sqref="N25:V25">
    <cfRule type="containsText" dxfId="53" priority="5" operator="containsText" text="Failed">
      <formula>NOT(ISERROR(SEARCH(("Failed"),(N25))))</formula>
    </cfRule>
    <cfRule type="containsText" dxfId="52" priority="6" operator="containsText" text="Passed">
      <formula>NOT(ISERROR(SEARCH(("Passed"),(N25))))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0C11-DB4A-4B67-892F-31E9A2AF6A9D}">
  <dimension ref="B1:AT1000"/>
  <sheetViews>
    <sheetView topLeftCell="J9" zoomScaleNormal="100" workbookViewId="0">
      <selection activeCell="J32" sqref="J32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/>
      <c r="H1" s="23"/>
      <c r="I1" s="23"/>
      <c r="J1" s="1" t="s">
        <v>69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1</v>
      </c>
      <c r="D8" s="19">
        <f>AB9*$AA$18+(1+$AA$19*($AB$15-25))</f>
        <v>1</v>
      </c>
      <c r="E8" s="19">
        <f>AC9*$AA$18+(1+$AA$19*($AC$15-25))</f>
        <v>1</v>
      </c>
      <c r="F8" s="19">
        <f>AD9*$AA$18+(1+$AA$19*($AD$15-25))</f>
        <v>1</v>
      </c>
      <c r="G8" s="19">
        <f>AE9*$AA$18+(1+$AA$19*($AE$15-25))</f>
        <v>1</v>
      </c>
      <c r="H8" s="19">
        <f>AF9*$AA$18+(1+$AA$19*($AF$15-25))</f>
        <v>1</v>
      </c>
      <c r="I8" s="19">
        <f>AG9*$AA$18+(1+$AA$19*($AG$15-25))</f>
        <v>1</v>
      </c>
      <c r="J8" s="19">
        <f>AH9*$AA$18+(1+$AA$19*($AH$15-25))</f>
        <v>1</v>
      </c>
      <c r="K8" s="19">
        <f>AI9*$AA$18+(1+$AA$19*($AI$15-25))</f>
        <v>1</v>
      </c>
      <c r="L8" s="19">
        <f>AJ9*$AA$18+(1+$AA$19*($AJ$15-25))</f>
        <v>1</v>
      </c>
      <c r="M8" s="19">
        <f>AK9*$AA$18+(1+$AA$19*($AK$15-25))</f>
        <v>1</v>
      </c>
      <c r="N8" s="19">
        <f>AL9*$AA$18+(1+$AA$19*($AL$15-25))</f>
        <v>1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70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0.92999999999999994</v>
      </c>
      <c r="D9" s="19">
        <f t="shared" si="0"/>
        <v>0.92999999999999994</v>
      </c>
      <c r="E9" s="19">
        <f t="shared" si="0"/>
        <v>0.92999999999999994</v>
      </c>
      <c r="F9" s="19">
        <f t="shared" si="0"/>
        <v>0.92999999999999994</v>
      </c>
      <c r="G9" s="19">
        <f t="shared" si="0"/>
        <v>0.92999999999999994</v>
      </c>
      <c r="H9" s="19">
        <f t="shared" si="0"/>
        <v>0.92999999999999994</v>
      </c>
      <c r="I9" s="19">
        <f t="shared" si="0"/>
        <v>0.92999999999999994</v>
      </c>
      <c r="J9" s="19">
        <f t="shared" si="0"/>
        <v>0.92999999999999994</v>
      </c>
      <c r="K9" s="19">
        <f t="shared" si="0"/>
        <v>0.92999999999999994</v>
      </c>
      <c r="L9" s="19">
        <f t="shared" si="0"/>
        <v>0.92999999999999994</v>
      </c>
      <c r="M9" s="19">
        <f t="shared" si="0"/>
        <v>0.92999999999999994</v>
      </c>
      <c r="N9" s="19">
        <f t="shared" si="0"/>
        <v>0.92999999999999994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1.07</v>
      </c>
      <c r="D10" s="19">
        <f t="shared" si="1"/>
        <v>1.07</v>
      </c>
      <c r="E10" s="19">
        <f t="shared" si="1"/>
        <v>1.07</v>
      </c>
      <c r="F10" s="19">
        <f t="shared" si="1"/>
        <v>1.07</v>
      </c>
      <c r="G10" s="19">
        <f t="shared" si="1"/>
        <v>1.07</v>
      </c>
      <c r="H10" s="19">
        <f t="shared" si="1"/>
        <v>1.07</v>
      </c>
      <c r="I10" s="19">
        <f t="shared" si="1"/>
        <v>1.07</v>
      </c>
      <c r="J10" s="19">
        <f t="shared" si="1"/>
        <v>1.07</v>
      </c>
      <c r="K10" s="19">
        <f t="shared" si="1"/>
        <v>1.07</v>
      </c>
      <c r="L10" s="19">
        <f t="shared" si="1"/>
        <v>1.07</v>
      </c>
      <c r="M10" s="19">
        <f t="shared" si="1"/>
        <v>1.07</v>
      </c>
      <c r="N10" s="19">
        <f t="shared" si="1"/>
        <v>1.07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0</v>
      </c>
      <c r="AB11" s="8">
        <f>AB10-((AA18-AA20)*AB9)</f>
        <v>0</v>
      </c>
      <c r="AC11" s="8">
        <f>AC10-((AA18-AA20)*AC9)</f>
        <v>0</v>
      </c>
      <c r="AD11" s="8">
        <f>AD10-((AA18-AA20)*AD9)</f>
        <v>0</v>
      </c>
      <c r="AE11" s="8">
        <f>AE10-((AA18-AA20)*AE9)</f>
        <v>0</v>
      </c>
      <c r="AF11" s="8">
        <f>AF10-((AA18-AA20)*AF9)</f>
        <v>0</v>
      </c>
      <c r="AG11" s="8">
        <f>AG10-((AA18-AA20)*AG9)</f>
        <v>0</v>
      </c>
      <c r="AH11" s="8">
        <f>AH10-((AA18-AA20)*AH9)</f>
        <v>0</v>
      </c>
      <c r="AI11" s="8">
        <f>AI10-((AA18-AA20)*AI9)</f>
        <v>0</v>
      </c>
      <c r="AJ11" s="8">
        <f>AJ10-((AA18-AA20)*AJ9)</f>
        <v>0</v>
      </c>
      <c r="AK11" s="8">
        <f>AK10-((AA18-AA20)*AK9)</f>
        <v>0</v>
      </c>
      <c r="AL11" s="8">
        <f>AL10-((AA18-AA20)*AL9)</f>
        <v>0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Failed</v>
      </c>
      <c r="D13" s="19" t="str">
        <f t="shared" si="2"/>
        <v>Failed</v>
      </c>
      <c r="E13" s="19" t="str">
        <f t="shared" si="2"/>
        <v>Failed</v>
      </c>
      <c r="F13" s="19" t="str">
        <f t="shared" si="2"/>
        <v>Failed</v>
      </c>
      <c r="G13" s="19" t="str">
        <f t="shared" si="2"/>
        <v>Failed</v>
      </c>
      <c r="H13" s="19" t="str">
        <f t="shared" si="2"/>
        <v>Failed</v>
      </c>
      <c r="I13" s="19" t="str">
        <f t="shared" si="2"/>
        <v>Failed</v>
      </c>
      <c r="J13" s="19" t="str">
        <f t="shared" si="2"/>
        <v>Failed</v>
      </c>
      <c r="K13" s="19" t="str">
        <f t="shared" si="2"/>
        <v>Failed</v>
      </c>
      <c r="L13" s="19" t="str">
        <f t="shared" si="2"/>
        <v>Failed</v>
      </c>
      <c r="M13" s="19" t="str">
        <f t="shared" si="2"/>
        <v>Failed</v>
      </c>
      <c r="N13" s="19" t="str">
        <f t="shared" si="2"/>
        <v>Failed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Z14" s="15" t="s">
        <v>32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</v>
      </c>
      <c r="D18" s="19">
        <f>($AA$22*(AB13/$AA$25))+(1+$AA$24*($AB$15-25))</f>
        <v>1</v>
      </c>
      <c r="E18" s="19">
        <f>($AA$22*(AC13/$AA$25))+(1+$AA$24*($AC$15-25))</f>
        <v>1</v>
      </c>
      <c r="F18" s="19">
        <f>($AA$22*(AD13/$AA$25))+(1+$AA$24*($AD$15-25))</f>
        <v>1</v>
      </c>
      <c r="G18" s="19">
        <f>($AA$22*(AE13/$AA$25))+(1+$AA$24*($AE$15-25))</f>
        <v>1</v>
      </c>
      <c r="H18" s="19">
        <f>($AA$22*(AF13/$AA$25))+(1+$AA$24*($AF$15-25))</f>
        <v>1</v>
      </c>
      <c r="I18" s="19">
        <f>($AA$22*(AG13/$AA$25))+(1+$AA$24*($AG$15-25))</f>
        <v>1</v>
      </c>
      <c r="J18" s="19">
        <f>($AA$22*(AH13/$AA$25))+(1+$AA$24*($AH$15-25))</f>
        <v>1</v>
      </c>
      <c r="K18" s="19">
        <f>($AA$22*(AI13/$AA$25))+(1+$AA$24*($AI$15-25))</f>
        <v>1</v>
      </c>
      <c r="L18" s="19">
        <f>($AA$22*(AJ13/$AA$25))+(1+$AA$24*($AJ$15-25))</f>
        <v>1</v>
      </c>
      <c r="M18" s="19">
        <f>($AA$22*(AK13/$AA$25))+(1+$AA$24*($AK$15-25))</f>
        <v>1</v>
      </c>
      <c r="N18" s="19">
        <f>($AA$22*(AL13/$AA$25))+(1+$AA$24*($AL$15-25))</f>
        <v>1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49.75</v>
      </c>
      <c r="AB18" s="4" t="s">
        <v>34</v>
      </c>
      <c r="AC18" s="6" t="s">
        <v>35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0.9</v>
      </c>
      <c r="D19" s="19">
        <f t="shared" si="3"/>
        <v>0.9</v>
      </c>
      <c r="E19" s="19">
        <f t="shared" si="3"/>
        <v>0.9</v>
      </c>
      <c r="F19" s="19">
        <f t="shared" si="3"/>
        <v>0.9</v>
      </c>
      <c r="G19" s="19">
        <f t="shared" si="3"/>
        <v>0.9</v>
      </c>
      <c r="H19" s="19">
        <f t="shared" si="3"/>
        <v>0.9</v>
      </c>
      <c r="I19" s="19">
        <f t="shared" si="3"/>
        <v>0.9</v>
      </c>
      <c r="J19" s="19">
        <f t="shared" si="3"/>
        <v>0.9</v>
      </c>
      <c r="K19" s="19">
        <f t="shared" si="3"/>
        <v>0.9</v>
      </c>
      <c r="L19" s="19">
        <f t="shared" si="3"/>
        <v>0.9</v>
      </c>
      <c r="M19" s="19">
        <f t="shared" si="3"/>
        <v>0.9</v>
      </c>
      <c r="N19" s="19">
        <f t="shared" si="3"/>
        <v>0.9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-0.27500000000000002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1.1000000000000001</v>
      </c>
      <c r="D20" s="19">
        <f t="shared" si="4"/>
        <v>1.1000000000000001</v>
      </c>
      <c r="E20" s="19">
        <f t="shared" si="4"/>
        <v>1.1000000000000001</v>
      </c>
      <c r="F20" s="19">
        <f t="shared" si="4"/>
        <v>1.1000000000000001</v>
      </c>
      <c r="G20" s="19">
        <f t="shared" si="4"/>
        <v>1.1000000000000001</v>
      </c>
      <c r="H20" s="19">
        <f t="shared" si="4"/>
        <v>1.1000000000000001</v>
      </c>
      <c r="I20" s="19">
        <f t="shared" si="4"/>
        <v>1.1000000000000001</v>
      </c>
      <c r="J20" s="19">
        <f t="shared" si="4"/>
        <v>1.1000000000000001</v>
      </c>
      <c r="K20" s="19">
        <f t="shared" si="4"/>
        <v>1.1000000000000001</v>
      </c>
      <c r="L20" s="19">
        <f t="shared" si="4"/>
        <v>1.1000000000000001</v>
      </c>
      <c r="M20" s="19">
        <f t="shared" si="4"/>
        <v>1.1000000000000001</v>
      </c>
      <c r="N20" s="19">
        <f t="shared" si="4"/>
        <v>1.1000000000000001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41.8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Z22" s="4" t="s">
        <v>43</v>
      </c>
      <c r="AA22" s="4">
        <v>13.93</v>
      </c>
      <c r="AB22" s="4" t="s">
        <v>44</v>
      </c>
      <c r="AC22" s="4" t="s">
        <v>45</v>
      </c>
    </row>
    <row r="23" spans="2:30" ht="14.25" customHeight="1" x14ac:dyDescent="0.35"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Failed</v>
      </c>
      <c r="D24" s="19" t="str">
        <f t="shared" si="6"/>
        <v>Failed</v>
      </c>
      <c r="E24" s="19" t="str">
        <f t="shared" si="6"/>
        <v>Failed</v>
      </c>
      <c r="F24" s="19" t="str">
        <f t="shared" si="6"/>
        <v>Failed</v>
      </c>
      <c r="G24" s="19" t="str">
        <f t="shared" si="6"/>
        <v>Failed</v>
      </c>
      <c r="H24" s="19" t="str">
        <f t="shared" si="6"/>
        <v>Failed</v>
      </c>
      <c r="I24" s="19" t="str">
        <f t="shared" si="6"/>
        <v>Failed</v>
      </c>
      <c r="J24" s="19" t="str">
        <f t="shared" si="6"/>
        <v>Failed</v>
      </c>
      <c r="K24" s="19" t="str">
        <f t="shared" si="6"/>
        <v>Failed</v>
      </c>
      <c r="L24" s="19" t="str">
        <f t="shared" si="6"/>
        <v>Failed</v>
      </c>
      <c r="M24" s="19" t="str">
        <f t="shared" si="6"/>
        <v>Failed</v>
      </c>
      <c r="N24" s="19" t="str">
        <f t="shared" si="6"/>
        <v>Failed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4">
    <cfRule type="containsText" dxfId="51" priority="1" operator="containsText" text="Failed">
      <formula>NOT(ISERROR(SEARCH(("Failed"),(C13))))</formula>
    </cfRule>
    <cfRule type="containsText" dxfId="50" priority="2" operator="containsText" text="Passed">
      <formula>NOT(ISERROR(SEARCH(("Passed"),(C13))))</formula>
    </cfRule>
  </conditionalFormatting>
  <conditionalFormatting sqref="C24:W24">
    <cfRule type="containsText" dxfId="49" priority="3" operator="containsText" text="Failed">
      <formula>NOT(ISERROR(SEARCH(("Failed"),(C24))))</formula>
    </cfRule>
    <cfRule type="containsText" dxfId="48" priority="4" operator="containsText" text="Passed">
      <formula>NOT(ISERROR(SEARCH(("Passed"),(C24))))</formula>
    </cfRule>
  </conditionalFormatting>
  <conditionalFormatting sqref="F25">
    <cfRule type="containsText" dxfId="47" priority="13" operator="containsText" text="Failed">
      <formula>NOT(ISERROR(SEARCH(("Failed"),(F25))))</formula>
    </cfRule>
    <cfRule type="containsText" dxfId="46" priority="14" operator="containsText" text="Passed">
      <formula>NOT(ISERROR(SEARCH(("Passed"),(F25))))</formula>
    </cfRule>
  </conditionalFormatting>
  <conditionalFormatting sqref="H25">
    <cfRule type="containsText" dxfId="45" priority="11" operator="containsText" text="Failed">
      <formula>NOT(ISERROR(SEARCH(("Failed"),(H25))))</formula>
    </cfRule>
    <cfRule type="containsText" dxfId="44" priority="12" operator="containsText" text="Passed">
      <formula>NOT(ISERROR(SEARCH(("Passed"),(H25))))</formula>
    </cfRule>
  </conditionalFormatting>
  <conditionalFormatting sqref="J25">
    <cfRule type="containsText" dxfId="43" priority="9" operator="containsText" text="Failed">
      <formula>NOT(ISERROR(SEARCH(("Failed"),(J25))))</formula>
    </cfRule>
    <cfRule type="containsText" dxfId="42" priority="10" operator="containsText" text="Passed">
      <formula>NOT(ISERROR(SEARCH(("Passed"),(J25))))</formula>
    </cfRule>
  </conditionalFormatting>
  <conditionalFormatting sqref="L25">
    <cfRule type="containsText" dxfId="41" priority="7" operator="containsText" text="Failed">
      <formula>NOT(ISERROR(SEARCH(("Failed"),(L25))))</formula>
    </cfRule>
    <cfRule type="containsText" dxfId="40" priority="8" operator="containsText" text="Passed">
      <formula>NOT(ISERROR(SEARCH(("Passed"),(L25))))</formula>
    </cfRule>
  </conditionalFormatting>
  <conditionalFormatting sqref="N25:V25">
    <cfRule type="containsText" dxfId="39" priority="5" operator="containsText" text="Failed">
      <formula>NOT(ISERROR(SEARCH(("Failed"),(N25))))</formula>
    </cfRule>
    <cfRule type="containsText" dxfId="38" priority="6" operator="containsText" text="Passed">
      <formula>NOT(ISERROR(SEARCH(("Passed"),(N25))))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D9B0-7A3C-4C3C-9D28-A38399A18264}">
  <dimension ref="B1:AT1000"/>
  <sheetViews>
    <sheetView topLeftCell="J4" zoomScaleNormal="100" workbookViewId="0">
      <selection activeCell="J27" sqref="J27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/>
      <c r="H1" s="23"/>
      <c r="I1" s="23"/>
      <c r="J1" s="1" t="s">
        <v>71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1</v>
      </c>
      <c r="D8" s="19">
        <f>AB9*$AA$18+(1+$AA$19*($AB$15-25))</f>
        <v>1</v>
      </c>
      <c r="E8" s="19">
        <f>AC9*$AA$18+(1+$AA$19*($AC$15-25))</f>
        <v>1</v>
      </c>
      <c r="F8" s="19">
        <f>AD9*$AA$18+(1+$AA$19*($AD$15-25))</f>
        <v>1</v>
      </c>
      <c r="G8" s="19">
        <f>AE9*$AA$18+(1+$AA$19*($AE$15-25))</f>
        <v>1</v>
      </c>
      <c r="H8" s="19">
        <f>AF9*$AA$18+(1+$AA$19*($AF$15-25))</f>
        <v>1</v>
      </c>
      <c r="I8" s="19">
        <f>AG9*$AA$18+(1+$AA$19*($AG$15-25))</f>
        <v>1</v>
      </c>
      <c r="J8" s="19">
        <f>AH9*$AA$18+(1+$AA$19*($AH$15-25))</f>
        <v>1</v>
      </c>
      <c r="K8" s="19">
        <f>AI9*$AA$18+(1+$AA$19*($AI$15-25))</f>
        <v>1</v>
      </c>
      <c r="L8" s="19">
        <f>AJ9*$AA$18+(1+$AA$19*($AJ$15-25))</f>
        <v>1</v>
      </c>
      <c r="M8" s="19">
        <f>AK9*$AA$18+(1+$AA$19*($AK$15-25))</f>
        <v>1</v>
      </c>
      <c r="N8" s="19">
        <f>AL9*$AA$18+(1+$AA$19*($AL$15-25))</f>
        <v>1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72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0.92999999999999994</v>
      </c>
      <c r="D9" s="19">
        <f t="shared" si="0"/>
        <v>0.92999999999999994</v>
      </c>
      <c r="E9" s="19">
        <f t="shared" si="0"/>
        <v>0.92999999999999994</v>
      </c>
      <c r="F9" s="19">
        <f t="shared" si="0"/>
        <v>0.92999999999999994</v>
      </c>
      <c r="G9" s="19">
        <f t="shared" si="0"/>
        <v>0.92999999999999994</v>
      </c>
      <c r="H9" s="19">
        <f t="shared" si="0"/>
        <v>0.92999999999999994</v>
      </c>
      <c r="I9" s="19">
        <f t="shared" si="0"/>
        <v>0.92999999999999994</v>
      </c>
      <c r="J9" s="19">
        <f t="shared" si="0"/>
        <v>0.92999999999999994</v>
      </c>
      <c r="K9" s="19">
        <f t="shared" si="0"/>
        <v>0.92999999999999994</v>
      </c>
      <c r="L9" s="19">
        <f t="shared" si="0"/>
        <v>0.92999999999999994</v>
      </c>
      <c r="M9" s="19">
        <f t="shared" si="0"/>
        <v>0.92999999999999994</v>
      </c>
      <c r="N9" s="19">
        <f t="shared" si="0"/>
        <v>0.92999999999999994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1.07</v>
      </c>
      <c r="D10" s="19">
        <f t="shared" si="1"/>
        <v>1.07</v>
      </c>
      <c r="E10" s="19">
        <f t="shared" si="1"/>
        <v>1.07</v>
      </c>
      <c r="F10" s="19">
        <f t="shared" si="1"/>
        <v>1.07</v>
      </c>
      <c r="G10" s="19">
        <f t="shared" si="1"/>
        <v>1.07</v>
      </c>
      <c r="H10" s="19">
        <f t="shared" si="1"/>
        <v>1.07</v>
      </c>
      <c r="I10" s="19">
        <f t="shared" si="1"/>
        <v>1.07</v>
      </c>
      <c r="J10" s="19">
        <f t="shared" si="1"/>
        <v>1.07</v>
      </c>
      <c r="K10" s="19">
        <f t="shared" si="1"/>
        <v>1.07</v>
      </c>
      <c r="L10" s="19">
        <f t="shared" si="1"/>
        <v>1.07</v>
      </c>
      <c r="M10" s="19">
        <f t="shared" si="1"/>
        <v>1.07</v>
      </c>
      <c r="N10" s="19">
        <f t="shared" si="1"/>
        <v>1.07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Z11" s="13" t="s">
        <v>29</v>
      </c>
      <c r="AA11" s="8">
        <f>AA10-((AA18-AA20)*AA9)</f>
        <v>0</v>
      </c>
      <c r="AB11" s="8">
        <f>AB10-((AA18-AA20)*AB9)</f>
        <v>0</v>
      </c>
      <c r="AC11" s="8">
        <f>AC10-((AA18-AA20)*AC9)</f>
        <v>0</v>
      </c>
      <c r="AD11" s="8">
        <f>AD10-((AA18-AA20)*AD9)</f>
        <v>0</v>
      </c>
      <c r="AE11" s="8">
        <f>AE10-((AA18-AA20)*AE9)</f>
        <v>0</v>
      </c>
      <c r="AF11" s="8">
        <f>AF10-((AA18-AA20)*AF9)</f>
        <v>0</v>
      </c>
      <c r="AG11" s="8">
        <f>AG10-((AA18-AA20)*AG9)</f>
        <v>0</v>
      </c>
      <c r="AH11" s="8">
        <f>AH10-((AA18-AA20)*AH9)</f>
        <v>0</v>
      </c>
      <c r="AI11" s="8">
        <f>AI10-((AA18-AA20)*AI9)</f>
        <v>0</v>
      </c>
      <c r="AJ11" s="8">
        <f>AJ10-((AA18-AA20)*AJ9)</f>
        <v>0</v>
      </c>
      <c r="AK11" s="8">
        <f>AK10-((AA18-AA20)*AK9)</f>
        <v>0</v>
      </c>
      <c r="AL11" s="8">
        <f>AL10-((AA18-AA20)*AL9)</f>
        <v>0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Z12" s="13" t="s">
        <v>30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Failed</v>
      </c>
      <c r="D13" s="19" t="str">
        <f t="shared" si="2"/>
        <v>Failed</v>
      </c>
      <c r="E13" s="19" t="str">
        <f t="shared" si="2"/>
        <v>Failed</v>
      </c>
      <c r="F13" s="19" t="str">
        <f t="shared" si="2"/>
        <v>Failed</v>
      </c>
      <c r="G13" s="19" t="str">
        <f t="shared" si="2"/>
        <v>Failed</v>
      </c>
      <c r="H13" s="19" t="str">
        <f t="shared" si="2"/>
        <v>Failed</v>
      </c>
      <c r="I13" s="19" t="str">
        <f t="shared" si="2"/>
        <v>Failed</v>
      </c>
      <c r="J13" s="19" t="str">
        <f t="shared" si="2"/>
        <v>Failed</v>
      </c>
      <c r="K13" s="19" t="str">
        <f t="shared" si="2"/>
        <v>Failed</v>
      </c>
      <c r="L13" s="19" t="str">
        <f t="shared" si="2"/>
        <v>Failed</v>
      </c>
      <c r="M13" s="19" t="str">
        <f t="shared" si="2"/>
        <v>Failed</v>
      </c>
      <c r="N13" s="19" t="str">
        <f t="shared" si="2"/>
        <v>Failed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Z14" s="15" t="s">
        <v>32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</v>
      </c>
      <c r="D18" s="19">
        <f>($AA$22*(AB13/$AA$25))+(1+$AA$24*($AB$15-25))</f>
        <v>1</v>
      </c>
      <c r="E18" s="19">
        <f>($AA$22*(AC13/$AA$25))+(1+$AA$24*($AC$15-25))</f>
        <v>1</v>
      </c>
      <c r="F18" s="19">
        <f>($AA$22*(AD13/$AA$25))+(1+$AA$24*($AD$15-25))</f>
        <v>1</v>
      </c>
      <c r="G18" s="19">
        <f>($AA$22*(AE13/$AA$25))+(1+$AA$24*($AE$15-25))</f>
        <v>1</v>
      </c>
      <c r="H18" s="19">
        <f>($AA$22*(AF13/$AA$25))+(1+$AA$24*($AF$15-25))</f>
        <v>1</v>
      </c>
      <c r="I18" s="19">
        <f>($AA$22*(AG13/$AA$25))+(1+$AA$24*($AG$15-25))</f>
        <v>1</v>
      </c>
      <c r="J18" s="19">
        <f>($AA$22*(AH13/$AA$25))+(1+$AA$24*($AH$15-25))</f>
        <v>1</v>
      </c>
      <c r="K18" s="19">
        <f>($AA$22*(AI13/$AA$25))+(1+$AA$24*($AI$15-25))</f>
        <v>1</v>
      </c>
      <c r="L18" s="19">
        <f>($AA$22*(AJ13/$AA$25))+(1+$AA$24*($AJ$15-25))</f>
        <v>1</v>
      </c>
      <c r="M18" s="19">
        <f>($AA$22*(AK13/$AA$25))+(1+$AA$24*($AK$15-25))</f>
        <v>1</v>
      </c>
      <c r="N18" s="19">
        <f>($AA$22*(AL13/$AA$25))+(1+$AA$24*($AL$15-25))</f>
        <v>1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49.75</v>
      </c>
      <c r="AB18" s="4" t="s">
        <v>34</v>
      </c>
      <c r="AC18" s="6" t="s">
        <v>35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0.9</v>
      </c>
      <c r="D19" s="19">
        <f t="shared" si="3"/>
        <v>0.9</v>
      </c>
      <c r="E19" s="19">
        <f t="shared" si="3"/>
        <v>0.9</v>
      </c>
      <c r="F19" s="19">
        <f t="shared" si="3"/>
        <v>0.9</v>
      </c>
      <c r="G19" s="19">
        <f t="shared" si="3"/>
        <v>0.9</v>
      </c>
      <c r="H19" s="19">
        <f t="shared" si="3"/>
        <v>0.9</v>
      </c>
      <c r="I19" s="19">
        <f t="shared" si="3"/>
        <v>0.9</v>
      </c>
      <c r="J19" s="19">
        <f t="shared" si="3"/>
        <v>0.9</v>
      </c>
      <c r="K19" s="19">
        <f t="shared" si="3"/>
        <v>0.9</v>
      </c>
      <c r="L19" s="19">
        <f t="shared" si="3"/>
        <v>0.9</v>
      </c>
      <c r="M19" s="19">
        <f t="shared" si="3"/>
        <v>0.9</v>
      </c>
      <c r="N19" s="19">
        <f t="shared" si="3"/>
        <v>0.9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-0.27500000000000002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1.1000000000000001</v>
      </c>
      <c r="D20" s="19">
        <f t="shared" si="4"/>
        <v>1.1000000000000001</v>
      </c>
      <c r="E20" s="19">
        <f t="shared" si="4"/>
        <v>1.1000000000000001</v>
      </c>
      <c r="F20" s="19">
        <f t="shared" si="4"/>
        <v>1.1000000000000001</v>
      </c>
      <c r="G20" s="19">
        <f t="shared" si="4"/>
        <v>1.1000000000000001</v>
      </c>
      <c r="H20" s="19">
        <f t="shared" si="4"/>
        <v>1.1000000000000001</v>
      </c>
      <c r="I20" s="19">
        <f t="shared" si="4"/>
        <v>1.1000000000000001</v>
      </c>
      <c r="J20" s="19">
        <f t="shared" si="4"/>
        <v>1.1000000000000001</v>
      </c>
      <c r="K20" s="19">
        <f t="shared" si="4"/>
        <v>1.1000000000000001</v>
      </c>
      <c r="L20" s="19">
        <f t="shared" si="4"/>
        <v>1.1000000000000001</v>
      </c>
      <c r="M20" s="19">
        <f t="shared" si="4"/>
        <v>1.1000000000000001</v>
      </c>
      <c r="N20" s="19">
        <f t="shared" si="4"/>
        <v>1.1000000000000001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41.8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Z22" s="4" t="s">
        <v>43</v>
      </c>
      <c r="AA22" s="4">
        <v>13.93</v>
      </c>
      <c r="AB22" s="4" t="s">
        <v>44</v>
      </c>
      <c r="AC22" s="4" t="s">
        <v>45</v>
      </c>
    </row>
    <row r="23" spans="2:30" ht="14.25" customHeight="1" x14ac:dyDescent="0.35"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Failed</v>
      </c>
      <c r="D24" s="19" t="str">
        <f t="shared" si="6"/>
        <v>Failed</v>
      </c>
      <c r="E24" s="19" t="str">
        <f t="shared" si="6"/>
        <v>Failed</v>
      </c>
      <c r="F24" s="19" t="str">
        <f t="shared" si="6"/>
        <v>Failed</v>
      </c>
      <c r="G24" s="19" t="str">
        <f t="shared" si="6"/>
        <v>Failed</v>
      </c>
      <c r="H24" s="19" t="str">
        <f t="shared" si="6"/>
        <v>Failed</v>
      </c>
      <c r="I24" s="19" t="str">
        <f t="shared" si="6"/>
        <v>Failed</v>
      </c>
      <c r="J24" s="19" t="str">
        <f t="shared" si="6"/>
        <v>Failed</v>
      </c>
      <c r="K24" s="19" t="str">
        <f t="shared" si="6"/>
        <v>Failed</v>
      </c>
      <c r="L24" s="19" t="str">
        <f t="shared" si="6"/>
        <v>Failed</v>
      </c>
      <c r="M24" s="19" t="str">
        <f t="shared" si="6"/>
        <v>Failed</v>
      </c>
      <c r="N24" s="19" t="str">
        <f t="shared" si="6"/>
        <v>Failed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4">
    <cfRule type="containsText" dxfId="37" priority="1" operator="containsText" text="Failed">
      <formula>NOT(ISERROR(SEARCH(("Failed"),(C13))))</formula>
    </cfRule>
    <cfRule type="containsText" dxfId="36" priority="2" operator="containsText" text="Passed">
      <formula>NOT(ISERROR(SEARCH(("Passed"),(C13))))</formula>
    </cfRule>
  </conditionalFormatting>
  <conditionalFormatting sqref="C24:W24">
    <cfRule type="containsText" dxfId="35" priority="3" operator="containsText" text="Failed">
      <formula>NOT(ISERROR(SEARCH(("Failed"),(C24))))</formula>
    </cfRule>
    <cfRule type="containsText" dxfId="34" priority="4" operator="containsText" text="Passed">
      <formula>NOT(ISERROR(SEARCH(("Passed"),(C24))))</formula>
    </cfRule>
  </conditionalFormatting>
  <conditionalFormatting sqref="F25">
    <cfRule type="containsText" dxfId="33" priority="13" operator="containsText" text="Failed">
      <formula>NOT(ISERROR(SEARCH(("Failed"),(F25))))</formula>
    </cfRule>
    <cfRule type="containsText" dxfId="32" priority="14" operator="containsText" text="Passed">
      <formula>NOT(ISERROR(SEARCH(("Passed"),(F25))))</formula>
    </cfRule>
  </conditionalFormatting>
  <conditionalFormatting sqref="H25">
    <cfRule type="containsText" dxfId="31" priority="11" operator="containsText" text="Failed">
      <formula>NOT(ISERROR(SEARCH(("Failed"),(H25))))</formula>
    </cfRule>
    <cfRule type="containsText" dxfId="30" priority="12" operator="containsText" text="Passed">
      <formula>NOT(ISERROR(SEARCH(("Passed"),(H25))))</formula>
    </cfRule>
  </conditionalFormatting>
  <conditionalFormatting sqref="J25">
    <cfRule type="containsText" dxfId="29" priority="9" operator="containsText" text="Failed">
      <formula>NOT(ISERROR(SEARCH(("Failed"),(J25))))</formula>
    </cfRule>
    <cfRule type="containsText" dxfId="28" priority="10" operator="containsText" text="Passed">
      <formula>NOT(ISERROR(SEARCH(("Passed"),(J25))))</formula>
    </cfRule>
  </conditionalFormatting>
  <conditionalFormatting sqref="L25">
    <cfRule type="containsText" dxfId="27" priority="7" operator="containsText" text="Failed">
      <formula>NOT(ISERROR(SEARCH(("Failed"),(L25))))</formula>
    </cfRule>
    <cfRule type="containsText" dxfId="26" priority="8" operator="containsText" text="Passed">
      <formula>NOT(ISERROR(SEARCH(("Passed"),(L25))))</formula>
    </cfRule>
  </conditionalFormatting>
  <conditionalFormatting sqref="N25:V25">
    <cfRule type="containsText" dxfId="25" priority="5" operator="containsText" text="Failed">
      <formula>NOT(ISERROR(SEARCH(("Failed"),(N25))))</formula>
    </cfRule>
    <cfRule type="containsText" dxfId="24" priority="6" operator="containsText" text="Passed">
      <formula>NOT(ISERROR(SEARCH(("Passed"),(N25))))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D5A6-AA1A-45EA-839D-744E61A3BAA3}">
  <dimension ref="B1:AT1000"/>
  <sheetViews>
    <sheetView topLeftCell="G1" zoomScaleNormal="100" workbookViewId="0">
      <selection activeCell="G31" sqref="G31"/>
    </sheetView>
  </sheetViews>
  <sheetFormatPr defaultColWidth="14.453125" defaultRowHeight="15" customHeight="1" x14ac:dyDescent="0.35"/>
  <cols>
    <col min="1" max="1" width="8.7265625" customWidth="1"/>
    <col min="2" max="2" width="9.08984375" customWidth="1"/>
    <col min="3" max="23" width="10.453125" customWidth="1"/>
    <col min="24" max="25" width="8.7265625" customWidth="1"/>
    <col min="26" max="26" width="27.54296875" customWidth="1"/>
    <col min="27" max="27" width="12.08984375" customWidth="1"/>
    <col min="28" max="28" width="12.54296875" customWidth="1"/>
    <col min="29" max="46" width="8.7265625" customWidth="1"/>
  </cols>
  <sheetData>
    <row r="1" spans="2:46" ht="14.25" customHeight="1" x14ac:dyDescent="0.45">
      <c r="B1" s="1" t="s">
        <v>0</v>
      </c>
      <c r="C1" s="22" t="str">
        <f>'Inverter 1'!C1</f>
        <v>Kroonstad PnP</v>
      </c>
      <c r="D1" s="23"/>
      <c r="E1" s="23"/>
      <c r="F1" s="1" t="s">
        <v>1</v>
      </c>
      <c r="G1" s="22"/>
      <c r="H1" s="23"/>
      <c r="I1" s="23"/>
      <c r="J1" s="1" t="s">
        <v>73</v>
      </c>
    </row>
    <row r="2" spans="2:46" ht="14.25" customHeight="1" x14ac:dyDescent="0.35"/>
    <row r="3" spans="2:46" ht="14.25" customHeight="1" x14ac:dyDescent="0.45">
      <c r="B3" s="24" t="s">
        <v>2</v>
      </c>
      <c r="C3" s="23"/>
      <c r="D3" s="23"/>
      <c r="E3" s="2"/>
    </row>
    <row r="4" spans="2:46" ht="14.25" customHeight="1" x14ac:dyDescent="0.35"/>
    <row r="5" spans="2:46" ht="14.25" customHeight="1" x14ac:dyDescent="0.35">
      <c r="C5" s="2"/>
      <c r="D5" s="2"/>
      <c r="E5" s="2"/>
    </row>
    <row r="6" spans="2:46" ht="14.25" customHeight="1" x14ac:dyDescent="0.35"/>
    <row r="7" spans="2:46" ht="14.25" customHeight="1" x14ac:dyDescent="0.35"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2:46" ht="14.25" customHeight="1" x14ac:dyDescent="0.35">
      <c r="B8" s="4" t="s">
        <v>23</v>
      </c>
      <c r="C8" s="19">
        <f>AA9*$AA$18+(1+$AA$19*($AA$15-25))</f>
        <v>1</v>
      </c>
      <c r="D8" s="19">
        <f>AB9*$AA$18+(1+$AA$19*($AB$15-25))</f>
        <v>1</v>
      </c>
      <c r="E8" s="19">
        <f>AC9*$AA$18+(1+$AA$19*($AC$15-25))</f>
        <v>1</v>
      </c>
      <c r="F8" s="19">
        <f>AD9*$AA$18+(1+$AA$19*($AD$15-25))</f>
        <v>1</v>
      </c>
      <c r="G8" s="19">
        <f>AE9*$AA$18+(1+$AA$19*($AE$15-25))</f>
        <v>1</v>
      </c>
      <c r="H8" s="19">
        <f>AF9*$AA$18+(1+$AA$19*($AF$15-25))</f>
        <v>1</v>
      </c>
      <c r="I8" s="19">
        <f>AG9*$AA$18+(1+$AA$19*($AG$15-25))</f>
        <v>1</v>
      </c>
      <c r="J8" s="19">
        <f>AH9*$AA$18+(1+$AA$19*($AH$15-25))</f>
        <v>1</v>
      </c>
      <c r="K8" s="19">
        <f>AI9*$AA$18+(1+$AA$19*($AI$15-25))</f>
        <v>1</v>
      </c>
      <c r="L8" s="19">
        <f>AJ9*$AA$18+(1+$AA$19*($AJ$15-25))</f>
        <v>1</v>
      </c>
      <c r="M8" s="19">
        <f>AK9*$AA$18+(1+$AA$19*($AK$15-25))</f>
        <v>1</v>
      </c>
      <c r="N8" s="19">
        <f>AL9*$AA$18+(1+$AA$19*($AL$15-25))</f>
        <v>1</v>
      </c>
      <c r="O8" s="19">
        <f>AM9*$AA$18+(1+$AA$19*($AM$15-25))</f>
        <v>1</v>
      </c>
      <c r="P8" s="19">
        <f>AN9*$AA$18+(1+$AA$19*($AN$15-25))</f>
        <v>1</v>
      </c>
      <c r="Q8" s="19">
        <f>AO9*$AA$18+(1+$AA$19*($AO$15-25))</f>
        <v>1</v>
      </c>
      <c r="R8" s="19">
        <f>AP9*$AA$18+(1+$AA$19*($AP$15-25))</f>
        <v>1</v>
      </c>
      <c r="S8" s="19">
        <f>AQ9*$AA$18+(1+$AA$19*($AQ$15-25))</f>
        <v>1</v>
      </c>
      <c r="T8" s="19">
        <f>AR9*$AA$18+(1+$AA$19*($AR$15-25))</f>
        <v>1</v>
      </c>
      <c r="U8" s="19">
        <f>AS9*$AA$18+(1+$AA$19*($AS$15-25))</f>
        <v>1</v>
      </c>
      <c r="V8" s="19">
        <f>AT9*$AA$18+(1+$AA$19*($AT$15-25))</f>
        <v>1</v>
      </c>
      <c r="Z8" s="10" t="s">
        <v>74</v>
      </c>
      <c r="AA8" s="11" t="s">
        <v>3</v>
      </c>
      <c r="AB8" s="11" t="s">
        <v>4</v>
      </c>
      <c r="AC8" s="11" t="s">
        <v>5</v>
      </c>
      <c r="AD8" s="11" t="s">
        <v>6</v>
      </c>
      <c r="AE8" s="11" t="s">
        <v>7</v>
      </c>
      <c r="AF8" s="11" t="s">
        <v>8</v>
      </c>
      <c r="AG8" s="11" t="s">
        <v>9</v>
      </c>
      <c r="AH8" s="11" t="s">
        <v>10</v>
      </c>
      <c r="AI8" s="11" t="s">
        <v>11</v>
      </c>
      <c r="AJ8" s="11" t="s">
        <v>12</v>
      </c>
      <c r="AK8" s="11" t="s">
        <v>13</v>
      </c>
      <c r="AL8" s="11" t="s">
        <v>14</v>
      </c>
      <c r="AM8" s="11" t="s">
        <v>15</v>
      </c>
      <c r="AN8" s="11" t="s">
        <v>16</v>
      </c>
      <c r="AO8" s="11" t="s">
        <v>17</v>
      </c>
      <c r="AP8" s="11" t="s">
        <v>18</v>
      </c>
      <c r="AQ8" s="11" t="s">
        <v>19</v>
      </c>
      <c r="AR8" s="11" t="s">
        <v>20</v>
      </c>
      <c r="AS8" s="11" t="s">
        <v>21</v>
      </c>
      <c r="AT8" s="12" t="s">
        <v>22</v>
      </c>
    </row>
    <row r="9" spans="2:46" ht="14.25" customHeight="1" x14ac:dyDescent="0.35">
      <c r="B9" s="4" t="s">
        <v>25</v>
      </c>
      <c r="C9" s="19">
        <f t="shared" ref="C9:V9" si="0">C8*(1-7%)</f>
        <v>0.92999999999999994</v>
      </c>
      <c r="D9" s="19">
        <f t="shared" si="0"/>
        <v>0.92999999999999994</v>
      </c>
      <c r="E9" s="19">
        <f t="shared" si="0"/>
        <v>0.92999999999999994</v>
      </c>
      <c r="F9" s="19">
        <f t="shared" si="0"/>
        <v>0.92999999999999994</v>
      </c>
      <c r="G9" s="19">
        <f t="shared" si="0"/>
        <v>0.92999999999999994</v>
      </c>
      <c r="H9" s="19">
        <f t="shared" si="0"/>
        <v>0.92999999999999994</v>
      </c>
      <c r="I9" s="19">
        <f t="shared" si="0"/>
        <v>0.92999999999999994</v>
      </c>
      <c r="J9" s="19">
        <f t="shared" si="0"/>
        <v>0.92999999999999994</v>
      </c>
      <c r="K9" s="19">
        <f t="shared" si="0"/>
        <v>0.92999999999999994</v>
      </c>
      <c r="L9" s="19">
        <f t="shared" si="0"/>
        <v>0.92999999999999994</v>
      </c>
      <c r="M9" s="19">
        <f t="shared" si="0"/>
        <v>0.92999999999999994</v>
      </c>
      <c r="N9" s="19">
        <f t="shared" si="0"/>
        <v>0.92999999999999994</v>
      </c>
      <c r="O9" s="19">
        <f t="shared" si="0"/>
        <v>0.92999999999999994</v>
      </c>
      <c r="P9" s="19">
        <f t="shared" si="0"/>
        <v>0.92999999999999994</v>
      </c>
      <c r="Q9" s="19">
        <f t="shared" si="0"/>
        <v>0.92999999999999994</v>
      </c>
      <c r="R9" s="19">
        <f t="shared" si="0"/>
        <v>0.92999999999999994</v>
      </c>
      <c r="S9" s="19">
        <f t="shared" si="0"/>
        <v>0.92999999999999994</v>
      </c>
      <c r="T9" s="19">
        <f t="shared" si="0"/>
        <v>0.92999999999999994</v>
      </c>
      <c r="U9" s="19">
        <f t="shared" si="0"/>
        <v>0.92999999999999994</v>
      </c>
      <c r="V9" s="19">
        <f t="shared" si="0"/>
        <v>0.92999999999999994</v>
      </c>
      <c r="Z9" s="13" t="s">
        <v>26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14.25" customHeight="1" x14ac:dyDescent="0.35">
      <c r="B10" s="4" t="s">
        <v>27</v>
      </c>
      <c r="C10" s="19">
        <f t="shared" ref="C10:V10" si="1">C8*(1+7%)</f>
        <v>1.07</v>
      </c>
      <c r="D10" s="19">
        <f t="shared" si="1"/>
        <v>1.07</v>
      </c>
      <c r="E10" s="19">
        <f t="shared" si="1"/>
        <v>1.07</v>
      </c>
      <c r="F10" s="19">
        <f t="shared" si="1"/>
        <v>1.07</v>
      </c>
      <c r="G10" s="19">
        <f t="shared" si="1"/>
        <v>1.07</v>
      </c>
      <c r="H10" s="19">
        <f t="shared" si="1"/>
        <v>1.07</v>
      </c>
      <c r="I10" s="19">
        <f t="shared" si="1"/>
        <v>1.07</v>
      </c>
      <c r="J10" s="19">
        <f t="shared" si="1"/>
        <v>1.07</v>
      </c>
      <c r="K10" s="19">
        <f t="shared" si="1"/>
        <v>1.07</v>
      </c>
      <c r="L10" s="19">
        <f t="shared" si="1"/>
        <v>1.07</v>
      </c>
      <c r="M10" s="19">
        <f t="shared" si="1"/>
        <v>1.07</v>
      </c>
      <c r="N10" s="19">
        <f t="shared" si="1"/>
        <v>1.07</v>
      </c>
      <c r="O10" s="19">
        <f t="shared" si="1"/>
        <v>1.07</v>
      </c>
      <c r="P10" s="19">
        <f t="shared" si="1"/>
        <v>1.07</v>
      </c>
      <c r="Q10" s="19">
        <f t="shared" si="1"/>
        <v>1.07</v>
      </c>
      <c r="R10" s="19">
        <f t="shared" si="1"/>
        <v>1.07</v>
      </c>
      <c r="S10" s="19">
        <f t="shared" si="1"/>
        <v>1.07</v>
      </c>
      <c r="T10" s="19">
        <f t="shared" si="1"/>
        <v>1.07</v>
      </c>
      <c r="U10" s="19">
        <f t="shared" si="1"/>
        <v>1.07</v>
      </c>
      <c r="V10" s="19">
        <f t="shared" si="1"/>
        <v>1.07</v>
      </c>
      <c r="Z10" s="13" t="s">
        <v>28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4"/>
    </row>
    <row r="11" spans="2:46" ht="14.25" customHeight="1" x14ac:dyDescent="0.35">
      <c r="Z11" s="13" t="s">
        <v>29</v>
      </c>
      <c r="AA11" s="8">
        <f>AA10-((AA18-AA20)*AA9)</f>
        <v>0</v>
      </c>
      <c r="AB11" s="8">
        <f>AB10-((AA18-AA20)*AB9)</f>
        <v>0</v>
      </c>
      <c r="AC11" s="8">
        <f>AC10-((AA18-AA20)*AC9)</f>
        <v>0</v>
      </c>
      <c r="AD11" s="8">
        <f>AD10-((AA18-AA20)*AD9)</f>
        <v>0</v>
      </c>
      <c r="AE11" s="8">
        <f>AE10-((AA18-AA20)*AE9)</f>
        <v>0</v>
      </c>
      <c r="AF11" s="8">
        <f>AF10-((AA18-AA20)*AF9)</f>
        <v>0</v>
      </c>
      <c r="AG11" s="8">
        <f>AG10-((AA18-AA20)*AG9)</f>
        <v>0</v>
      </c>
      <c r="AH11" s="8">
        <f>AH10-((AA18-AA20)*AH9)</f>
        <v>0</v>
      </c>
      <c r="AI11" s="8">
        <f>AI10-((AA18-AA20)*AI9)</f>
        <v>0</v>
      </c>
      <c r="AJ11" s="8">
        <f>AJ10-((AA18-AA20)*AJ9)</f>
        <v>0</v>
      </c>
      <c r="AK11" s="8">
        <f>AK10-((AA18-AA20)*AK9)</f>
        <v>0</v>
      </c>
      <c r="AL11" s="8">
        <f>AL10-((AA18-AA20)*AL9)</f>
        <v>0</v>
      </c>
      <c r="AM11" s="8">
        <f>AM10-((AA18-AA20)*AM9)</f>
        <v>0</v>
      </c>
      <c r="AN11" s="8">
        <f>AN10-((AA18-AA20)*AN9)</f>
        <v>0</v>
      </c>
      <c r="AO11" s="8">
        <f>AO10-((AA18-AA20)*AO9)</f>
        <v>0</v>
      </c>
      <c r="AP11" s="8">
        <f>AP10-((AA18-AA20)*AP9)</f>
        <v>0</v>
      </c>
      <c r="AQ11" s="8">
        <f>AQ10-((AA18-AA20)*AQ9)</f>
        <v>0</v>
      </c>
      <c r="AR11" s="8">
        <f>AR10-((AA18-AA20)*AR9)</f>
        <v>0</v>
      </c>
      <c r="AS11" s="8">
        <f>AS10-((AA18-AA20)*AS9)</f>
        <v>0</v>
      </c>
      <c r="AT11" s="8">
        <f>AT10-((AA18-AA20)*AT9)</f>
        <v>0</v>
      </c>
    </row>
    <row r="12" spans="2:46" ht="14.25" customHeight="1" x14ac:dyDescent="0.35">
      <c r="Z12" s="13" t="s">
        <v>30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4"/>
    </row>
    <row r="13" spans="2:46" ht="14.25" customHeight="1" x14ac:dyDescent="0.35">
      <c r="C13" s="19" t="str">
        <f t="shared" ref="C13:V13" si="2">IF(AND(C9&lt;AA10,AA10&lt;C10),"Passed","Failed")</f>
        <v>Failed</v>
      </c>
      <c r="D13" s="19" t="str">
        <f t="shared" si="2"/>
        <v>Failed</v>
      </c>
      <c r="E13" s="19" t="str">
        <f t="shared" si="2"/>
        <v>Failed</v>
      </c>
      <c r="F13" s="19" t="str">
        <f t="shared" si="2"/>
        <v>Failed</v>
      </c>
      <c r="G13" s="19" t="str">
        <f t="shared" si="2"/>
        <v>Failed</v>
      </c>
      <c r="H13" s="19" t="str">
        <f t="shared" si="2"/>
        <v>Failed</v>
      </c>
      <c r="I13" s="19" t="str">
        <f t="shared" si="2"/>
        <v>Failed</v>
      </c>
      <c r="J13" s="19" t="str">
        <f t="shared" si="2"/>
        <v>Failed</v>
      </c>
      <c r="K13" s="19" t="str">
        <f t="shared" si="2"/>
        <v>Failed</v>
      </c>
      <c r="L13" s="19" t="str">
        <f t="shared" si="2"/>
        <v>Failed</v>
      </c>
      <c r="M13" s="19" t="str">
        <f t="shared" si="2"/>
        <v>Failed</v>
      </c>
      <c r="N13" s="19" t="str">
        <f t="shared" si="2"/>
        <v>Failed</v>
      </c>
      <c r="O13" s="19" t="str">
        <f t="shared" si="2"/>
        <v>Failed</v>
      </c>
      <c r="P13" s="19" t="str">
        <f t="shared" si="2"/>
        <v>Failed</v>
      </c>
      <c r="Q13" s="19" t="str">
        <f t="shared" si="2"/>
        <v>Failed</v>
      </c>
      <c r="R13" s="19" t="str">
        <f t="shared" si="2"/>
        <v>Failed</v>
      </c>
      <c r="S13" s="19" t="str">
        <f t="shared" si="2"/>
        <v>Failed</v>
      </c>
      <c r="T13" s="19" t="str">
        <f t="shared" si="2"/>
        <v>Failed</v>
      </c>
      <c r="U13" s="19" t="str">
        <f t="shared" si="2"/>
        <v>Failed</v>
      </c>
      <c r="V13" s="19" t="str">
        <f t="shared" si="2"/>
        <v>Failed</v>
      </c>
      <c r="Z13" s="13" t="s">
        <v>31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4"/>
    </row>
    <row r="14" spans="2:46" ht="14.25" customHeight="1" x14ac:dyDescent="0.3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Z14" s="15" t="s">
        <v>32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2:46" ht="14.25" customHeight="1" x14ac:dyDescent="0.3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Z15" s="15" t="s">
        <v>75</v>
      </c>
      <c r="AA15" s="16">
        <v>25</v>
      </c>
      <c r="AB15" s="16">
        <v>25</v>
      </c>
      <c r="AC15" s="16">
        <v>25</v>
      </c>
      <c r="AD15" s="16">
        <v>25</v>
      </c>
      <c r="AE15" s="16">
        <v>25</v>
      </c>
      <c r="AF15" s="16">
        <v>25</v>
      </c>
      <c r="AG15" s="16">
        <v>25</v>
      </c>
      <c r="AH15" s="16">
        <v>25</v>
      </c>
      <c r="AI15" s="16">
        <v>25</v>
      </c>
      <c r="AJ15" s="16">
        <v>25</v>
      </c>
      <c r="AK15" s="16">
        <v>25</v>
      </c>
      <c r="AL15" s="16">
        <v>25</v>
      </c>
      <c r="AM15" s="16">
        <v>25</v>
      </c>
      <c r="AN15" s="16">
        <v>25</v>
      </c>
      <c r="AO15" s="16">
        <v>25</v>
      </c>
      <c r="AP15" s="16">
        <v>25</v>
      </c>
      <c r="AQ15" s="16">
        <v>25</v>
      </c>
      <c r="AR15" s="16">
        <v>25</v>
      </c>
      <c r="AS15" s="16">
        <v>25</v>
      </c>
      <c r="AT15" s="17">
        <v>25</v>
      </c>
    </row>
    <row r="16" spans="2:46" ht="14.25" customHeight="1" x14ac:dyDescent="0.35"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AA16" s="25"/>
      <c r="AB16" s="23"/>
      <c r="AC16" s="23"/>
      <c r="AD16" s="23"/>
      <c r="AE16" s="23"/>
      <c r="AF16" s="23"/>
      <c r="AG16" s="23"/>
      <c r="AH16" s="23"/>
    </row>
    <row r="17" spans="2:30" ht="14.25" customHeight="1" x14ac:dyDescent="0.35"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7</v>
      </c>
      <c r="H17" s="18" t="s">
        <v>8</v>
      </c>
      <c r="I17" s="18" t="s">
        <v>9</v>
      </c>
      <c r="J17" s="18" t="s">
        <v>10</v>
      </c>
      <c r="K17" s="18" t="s">
        <v>11</v>
      </c>
      <c r="L17" s="18" t="s">
        <v>12</v>
      </c>
      <c r="M17" s="18" t="s">
        <v>13</v>
      </c>
      <c r="N17" s="18" t="s">
        <v>14</v>
      </c>
      <c r="O17" s="18" t="s">
        <v>15</v>
      </c>
      <c r="P17" s="18" t="s">
        <v>16</v>
      </c>
      <c r="Q17" s="18" t="s">
        <v>17</v>
      </c>
      <c r="R17" s="18" t="s">
        <v>18</v>
      </c>
      <c r="S17" s="18" t="s">
        <v>19</v>
      </c>
      <c r="T17" s="18" t="s">
        <v>20</v>
      </c>
      <c r="U17" s="18" t="s">
        <v>21</v>
      </c>
      <c r="V17" s="18" t="s">
        <v>22</v>
      </c>
      <c r="W17" s="3"/>
      <c r="Z17" s="9" t="s">
        <v>60</v>
      </c>
    </row>
    <row r="18" spans="2:30" ht="14.25" customHeight="1" x14ac:dyDescent="0.35">
      <c r="B18" s="4" t="s">
        <v>36</v>
      </c>
      <c r="C18" s="19">
        <f>($AA$22*(AA13/$AA$25))+(1+$AA$24*($AA$15-25))</f>
        <v>1</v>
      </c>
      <c r="D18" s="19">
        <f>($AA$22*(AB13/$AA$25))+(1+$AA$24*($AB$15-25))</f>
        <v>1</v>
      </c>
      <c r="E18" s="19">
        <f>($AA$22*(AC13/$AA$25))+(1+$AA$24*($AC$15-25))</f>
        <v>1</v>
      </c>
      <c r="F18" s="19">
        <f>($AA$22*(AD13/$AA$25))+(1+$AA$24*($AD$15-25))</f>
        <v>1</v>
      </c>
      <c r="G18" s="19">
        <f>($AA$22*(AE13/$AA$25))+(1+$AA$24*($AE$15-25))</f>
        <v>1</v>
      </c>
      <c r="H18" s="19">
        <f>($AA$22*(AF13/$AA$25))+(1+$AA$24*($AF$15-25))</f>
        <v>1</v>
      </c>
      <c r="I18" s="19">
        <f>($AA$22*(AG13/$AA$25))+(1+$AA$24*($AG$15-25))</f>
        <v>1</v>
      </c>
      <c r="J18" s="19">
        <f>($AA$22*(AH13/$AA$25))+(1+$AA$24*($AH$15-25))</f>
        <v>1</v>
      </c>
      <c r="K18" s="19">
        <f>($AA$22*(AI13/$AA$25))+(1+$AA$24*($AI$15-25))</f>
        <v>1</v>
      </c>
      <c r="L18" s="19">
        <f>($AA$22*(AJ13/$AA$25))+(1+$AA$24*($AJ$15-25))</f>
        <v>1</v>
      </c>
      <c r="M18" s="19">
        <f>($AA$22*(AK13/$AA$25))+(1+$AA$24*($AK$15-25))</f>
        <v>1</v>
      </c>
      <c r="N18" s="19">
        <f>($AA$22*(AL13/$AA$25))+(1+$AA$24*($AL$15-25))</f>
        <v>1</v>
      </c>
      <c r="O18" s="19">
        <f>($AA$22*(AM13/$AA$25))+(1+$AA$24*($AM$15-25))</f>
        <v>1</v>
      </c>
      <c r="P18" s="19">
        <f>($AA$22*(AN13/$AA$25))+(1+$AA$24*($AN$15-25))</f>
        <v>1</v>
      </c>
      <c r="Q18" s="19">
        <f>($AA$22*(AO13/$AA$25))+(1+$AA$24*($AO$15-25))</f>
        <v>1</v>
      </c>
      <c r="R18" s="19">
        <f>($AA$22*(AP13/$AA$25))+(1+$AA$24*($AP$15-25))</f>
        <v>1</v>
      </c>
      <c r="S18" s="19">
        <f>($AA$22*(AQ13/$AA$25))+(1+$AA$24*($AQ$15-25))</f>
        <v>1</v>
      </c>
      <c r="T18" s="19">
        <f>($AA$22*(AR13/$AA$25))+(1+$AA$24*($AR$15-25))</f>
        <v>1</v>
      </c>
      <c r="U18" s="19">
        <f>($AA$22*(AS13/$AA$25))+(1+$AA$24*($AS$15-25))</f>
        <v>1</v>
      </c>
      <c r="V18" s="19">
        <f>($AA$22*(AT13/$AA$25))+(1+$AA$24*($AT$15-25))</f>
        <v>1</v>
      </c>
      <c r="Z18" s="4" t="s">
        <v>33</v>
      </c>
      <c r="AA18" s="4">
        <v>49.75</v>
      </c>
      <c r="AB18" s="4" t="s">
        <v>34</v>
      </c>
      <c r="AC18" s="6" t="s">
        <v>35</v>
      </c>
      <c r="AD18" s="6"/>
    </row>
    <row r="19" spans="2:30" ht="14.25" customHeight="1" x14ac:dyDescent="0.35">
      <c r="B19" s="4" t="s">
        <v>40</v>
      </c>
      <c r="C19" s="19">
        <f t="shared" ref="C19:V19" si="3">C18*(1-10%)</f>
        <v>0.9</v>
      </c>
      <c r="D19" s="19">
        <f t="shared" si="3"/>
        <v>0.9</v>
      </c>
      <c r="E19" s="19">
        <f t="shared" si="3"/>
        <v>0.9</v>
      </c>
      <c r="F19" s="19">
        <f t="shared" si="3"/>
        <v>0.9</v>
      </c>
      <c r="G19" s="19">
        <f t="shared" si="3"/>
        <v>0.9</v>
      </c>
      <c r="H19" s="19">
        <f t="shared" si="3"/>
        <v>0.9</v>
      </c>
      <c r="I19" s="19">
        <f t="shared" si="3"/>
        <v>0.9</v>
      </c>
      <c r="J19" s="19">
        <f t="shared" si="3"/>
        <v>0.9</v>
      </c>
      <c r="K19" s="19">
        <f t="shared" si="3"/>
        <v>0.9</v>
      </c>
      <c r="L19" s="19">
        <f t="shared" si="3"/>
        <v>0.9</v>
      </c>
      <c r="M19" s="19">
        <f t="shared" si="3"/>
        <v>0.9</v>
      </c>
      <c r="N19" s="19">
        <f t="shared" si="3"/>
        <v>0.9</v>
      </c>
      <c r="O19" s="19">
        <f t="shared" si="3"/>
        <v>0.9</v>
      </c>
      <c r="P19" s="19">
        <f t="shared" si="3"/>
        <v>0.9</v>
      </c>
      <c r="Q19" s="19">
        <f t="shared" si="3"/>
        <v>0.9</v>
      </c>
      <c r="R19" s="19">
        <f t="shared" si="3"/>
        <v>0.9</v>
      </c>
      <c r="S19" s="19">
        <f t="shared" si="3"/>
        <v>0.9</v>
      </c>
      <c r="T19" s="19">
        <f t="shared" si="3"/>
        <v>0.9</v>
      </c>
      <c r="U19" s="19">
        <f t="shared" si="3"/>
        <v>0.9</v>
      </c>
      <c r="V19" s="19">
        <f t="shared" si="3"/>
        <v>0.9</v>
      </c>
      <c r="Z19" s="4" t="s">
        <v>37</v>
      </c>
      <c r="AA19" s="4">
        <v>-0.27500000000000002</v>
      </c>
      <c r="AB19" s="4" t="s">
        <v>38</v>
      </c>
      <c r="AC19" s="6" t="s">
        <v>39</v>
      </c>
    </row>
    <row r="20" spans="2:30" ht="14.25" customHeight="1" x14ac:dyDescent="0.35">
      <c r="B20" s="4" t="s">
        <v>41</v>
      </c>
      <c r="C20" s="19">
        <f t="shared" ref="C20:V20" si="4">C18*(1+10%)</f>
        <v>1.1000000000000001</v>
      </c>
      <c r="D20" s="19">
        <f t="shared" si="4"/>
        <v>1.1000000000000001</v>
      </c>
      <c r="E20" s="19">
        <f t="shared" si="4"/>
        <v>1.1000000000000001</v>
      </c>
      <c r="F20" s="19">
        <f t="shared" si="4"/>
        <v>1.1000000000000001</v>
      </c>
      <c r="G20" s="19">
        <f t="shared" si="4"/>
        <v>1.1000000000000001</v>
      </c>
      <c r="H20" s="19">
        <f t="shared" si="4"/>
        <v>1.1000000000000001</v>
      </c>
      <c r="I20" s="19">
        <f t="shared" si="4"/>
        <v>1.1000000000000001</v>
      </c>
      <c r="J20" s="19">
        <f t="shared" si="4"/>
        <v>1.1000000000000001</v>
      </c>
      <c r="K20" s="19">
        <f t="shared" si="4"/>
        <v>1.1000000000000001</v>
      </c>
      <c r="L20" s="19">
        <f t="shared" si="4"/>
        <v>1.1000000000000001</v>
      </c>
      <c r="M20" s="19">
        <f t="shared" si="4"/>
        <v>1.1000000000000001</v>
      </c>
      <c r="N20" s="19">
        <f t="shared" si="4"/>
        <v>1.1000000000000001</v>
      </c>
      <c r="O20" s="19">
        <f t="shared" si="4"/>
        <v>1.1000000000000001</v>
      </c>
      <c r="P20" s="19">
        <f t="shared" si="4"/>
        <v>1.1000000000000001</v>
      </c>
      <c r="Q20" s="19">
        <f t="shared" si="4"/>
        <v>1.1000000000000001</v>
      </c>
      <c r="R20" s="19">
        <f t="shared" si="4"/>
        <v>1.1000000000000001</v>
      </c>
      <c r="S20" s="19">
        <f t="shared" si="4"/>
        <v>1.1000000000000001</v>
      </c>
      <c r="T20" s="19">
        <f t="shared" si="4"/>
        <v>1.1000000000000001</v>
      </c>
      <c r="U20" s="19">
        <f t="shared" si="4"/>
        <v>1.1000000000000001</v>
      </c>
      <c r="V20" s="19">
        <f t="shared" si="4"/>
        <v>1.1000000000000001</v>
      </c>
      <c r="Z20" s="4" t="s">
        <v>42</v>
      </c>
      <c r="AA20" s="4">
        <v>41.8</v>
      </c>
      <c r="AB20" s="4" t="s">
        <v>34</v>
      </c>
    </row>
    <row r="21" spans="2:30" ht="14.25" customHeight="1" x14ac:dyDescent="0.35">
      <c r="B21" s="5" t="s">
        <v>32</v>
      </c>
      <c r="C21" s="20">
        <f t="shared" ref="C21:V21" si="5">AA14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20">
        <f t="shared" si="5"/>
        <v>0</v>
      </c>
      <c r="P21" s="20">
        <f t="shared" si="5"/>
        <v>0</v>
      </c>
      <c r="Q21" s="20">
        <f t="shared" si="5"/>
        <v>0</v>
      </c>
      <c r="R21" s="20">
        <f t="shared" si="5"/>
        <v>0</v>
      </c>
      <c r="S21" s="20">
        <f t="shared" si="5"/>
        <v>0</v>
      </c>
      <c r="T21" s="20">
        <f t="shared" si="5"/>
        <v>0</v>
      </c>
      <c r="U21" s="20">
        <f t="shared" si="5"/>
        <v>0</v>
      </c>
      <c r="V21" s="20">
        <f t="shared" si="5"/>
        <v>0</v>
      </c>
      <c r="W21" s="5"/>
    </row>
    <row r="22" spans="2:30" ht="14.25" customHeight="1" x14ac:dyDescent="0.3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Z22" s="4" t="s">
        <v>43</v>
      </c>
      <c r="AA22" s="4">
        <v>13.93</v>
      </c>
      <c r="AB22" s="4" t="s">
        <v>44</v>
      </c>
      <c r="AC22" s="4" t="s">
        <v>45</v>
      </c>
    </row>
    <row r="23" spans="2:30" ht="14.25" customHeight="1" x14ac:dyDescent="0.3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Z23" s="4" t="s">
        <v>46</v>
      </c>
      <c r="AA23" s="7" t="s">
        <v>47</v>
      </c>
      <c r="AB23" s="4" t="s">
        <v>48</v>
      </c>
      <c r="AC23" s="4" t="s">
        <v>49</v>
      </c>
    </row>
    <row r="24" spans="2:30" ht="14.25" customHeight="1" x14ac:dyDescent="0.35">
      <c r="C24" s="19" t="str">
        <f t="shared" ref="C24:V24" si="6">IF(AND(C19&lt;C21,C21&lt;C20),"Passed","Failed")</f>
        <v>Failed</v>
      </c>
      <c r="D24" s="19" t="str">
        <f t="shared" si="6"/>
        <v>Failed</v>
      </c>
      <c r="E24" s="19" t="str">
        <f t="shared" si="6"/>
        <v>Failed</v>
      </c>
      <c r="F24" s="19" t="str">
        <f t="shared" si="6"/>
        <v>Failed</v>
      </c>
      <c r="G24" s="19" t="str">
        <f t="shared" si="6"/>
        <v>Failed</v>
      </c>
      <c r="H24" s="19" t="str">
        <f t="shared" si="6"/>
        <v>Failed</v>
      </c>
      <c r="I24" s="19" t="str">
        <f t="shared" si="6"/>
        <v>Failed</v>
      </c>
      <c r="J24" s="19" t="str">
        <f t="shared" si="6"/>
        <v>Failed</v>
      </c>
      <c r="K24" s="19" t="str">
        <f t="shared" si="6"/>
        <v>Failed</v>
      </c>
      <c r="L24" s="19" t="str">
        <f t="shared" si="6"/>
        <v>Failed</v>
      </c>
      <c r="M24" s="19" t="str">
        <f t="shared" si="6"/>
        <v>Failed</v>
      </c>
      <c r="N24" s="19" t="str">
        <f t="shared" si="6"/>
        <v>Failed</v>
      </c>
      <c r="O24" s="19" t="str">
        <f t="shared" si="6"/>
        <v>Failed</v>
      </c>
      <c r="P24" s="19" t="str">
        <f t="shared" si="6"/>
        <v>Failed</v>
      </c>
      <c r="Q24" s="19" t="str">
        <f t="shared" si="6"/>
        <v>Failed</v>
      </c>
      <c r="R24" s="19" t="str">
        <f t="shared" si="6"/>
        <v>Failed</v>
      </c>
      <c r="S24" s="19" t="str">
        <f t="shared" si="6"/>
        <v>Failed</v>
      </c>
      <c r="T24" s="19" t="str">
        <f t="shared" si="6"/>
        <v>Failed</v>
      </c>
      <c r="U24" s="19" t="str">
        <f t="shared" si="6"/>
        <v>Failed</v>
      </c>
      <c r="V24" s="19" t="str">
        <f t="shared" si="6"/>
        <v>Failed</v>
      </c>
      <c r="Z24" s="4" t="s">
        <v>50</v>
      </c>
      <c r="AA24" s="4">
        <v>4.4999999999999998E-2</v>
      </c>
      <c r="AB24" s="4" t="s">
        <v>38</v>
      </c>
      <c r="AC24" s="4" t="s">
        <v>51</v>
      </c>
    </row>
    <row r="25" spans="2:30" ht="14.25" customHeight="1" x14ac:dyDescent="0.35">
      <c r="Z25" s="4" t="s">
        <v>52</v>
      </c>
      <c r="AA25" s="4">
        <v>1000</v>
      </c>
      <c r="AB25" s="4" t="s">
        <v>48</v>
      </c>
      <c r="AC25" s="4" t="s">
        <v>53</v>
      </c>
    </row>
    <row r="26" spans="2:30" ht="14.25" customHeight="1" x14ac:dyDescent="0.35"/>
    <row r="27" spans="2:30" ht="14.25" customHeight="1" x14ac:dyDescent="0.35"/>
    <row r="28" spans="2:30" ht="14.25" customHeight="1" x14ac:dyDescent="0.35"/>
    <row r="29" spans="2:30" ht="14.25" customHeight="1" x14ac:dyDescent="0.35"/>
    <row r="30" spans="2:30" ht="14.25" customHeight="1" x14ac:dyDescent="0.35"/>
    <row r="31" spans="2:30" ht="14.25" customHeight="1" x14ac:dyDescent="0.35"/>
    <row r="32" spans="2:30" ht="14.25" customHeight="1" x14ac:dyDescent="0.35">
      <c r="I32" s="4" t="s">
        <v>54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1:E1"/>
    <mergeCell ref="G1:I1"/>
    <mergeCell ref="B3:D3"/>
    <mergeCell ref="AA16:AH16"/>
  </mergeCells>
  <conditionalFormatting sqref="C13:W14">
    <cfRule type="containsText" dxfId="23" priority="1" operator="containsText" text="Failed">
      <formula>NOT(ISERROR(SEARCH(("Failed"),(C13))))</formula>
    </cfRule>
    <cfRule type="containsText" dxfId="22" priority="2" operator="containsText" text="Passed">
      <formula>NOT(ISERROR(SEARCH(("Passed"),(C13))))</formula>
    </cfRule>
  </conditionalFormatting>
  <conditionalFormatting sqref="C24:W24">
    <cfRule type="containsText" dxfId="21" priority="3" operator="containsText" text="Failed">
      <formula>NOT(ISERROR(SEARCH(("Failed"),(C24))))</formula>
    </cfRule>
    <cfRule type="containsText" dxfId="20" priority="4" operator="containsText" text="Passed">
      <formula>NOT(ISERROR(SEARCH(("Passed"),(C24))))</formula>
    </cfRule>
  </conditionalFormatting>
  <conditionalFormatting sqref="F25">
    <cfRule type="containsText" dxfId="19" priority="13" operator="containsText" text="Failed">
      <formula>NOT(ISERROR(SEARCH(("Failed"),(F25))))</formula>
    </cfRule>
    <cfRule type="containsText" dxfId="18" priority="14" operator="containsText" text="Passed">
      <formula>NOT(ISERROR(SEARCH(("Passed"),(F25))))</formula>
    </cfRule>
  </conditionalFormatting>
  <conditionalFormatting sqref="H25">
    <cfRule type="containsText" dxfId="17" priority="11" operator="containsText" text="Failed">
      <formula>NOT(ISERROR(SEARCH(("Failed"),(H25))))</formula>
    </cfRule>
    <cfRule type="containsText" dxfId="16" priority="12" operator="containsText" text="Passed">
      <formula>NOT(ISERROR(SEARCH(("Passed"),(H25))))</formula>
    </cfRule>
  </conditionalFormatting>
  <conditionalFormatting sqref="J25">
    <cfRule type="containsText" dxfId="15" priority="9" operator="containsText" text="Failed">
      <formula>NOT(ISERROR(SEARCH(("Failed"),(J25))))</formula>
    </cfRule>
    <cfRule type="containsText" dxfId="14" priority="10" operator="containsText" text="Passed">
      <formula>NOT(ISERROR(SEARCH(("Passed"),(J25))))</formula>
    </cfRule>
  </conditionalFormatting>
  <conditionalFormatting sqref="L25">
    <cfRule type="containsText" dxfId="13" priority="7" operator="containsText" text="Failed">
      <formula>NOT(ISERROR(SEARCH(("Failed"),(L25))))</formula>
    </cfRule>
    <cfRule type="containsText" dxfId="12" priority="8" operator="containsText" text="Passed">
      <formula>NOT(ISERROR(SEARCH(("Passed"),(L25))))</formula>
    </cfRule>
  </conditionalFormatting>
  <conditionalFormatting sqref="N25:V25">
    <cfRule type="containsText" dxfId="11" priority="5" operator="containsText" text="Failed">
      <formula>NOT(ISERROR(SEARCH(("Failed"),(N25))))</formula>
    </cfRule>
    <cfRule type="containsText" dxfId="10" priority="6" operator="containsText" text="Passed">
      <formula>NOT(ISERROR(SEARCH(("Passed"),(N25))))</formula>
    </cfRule>
  </conditionalFormatting>
  <pageMargins left="0.25" right="0.25" top="0.75" bottom="0.75" header="0" footer="0"/>
  <pageSetup scale="56" orientation="landscape" r:id="rId1"/>
  <headerFooter>
    <oddHeader>&amp;LDOC NO: STCS1 REV: 01&amp;CREVISED BY: DEAN CORNELIUS REVISION DATE: 03/03/2022&amp;R&amp;P OF</oddHeader>
  </headerFooter>
  <colBreaks count="1" manualBreakCount="1">
    <brk id="23" max="1048575" man="1"/>
  </colBreak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FAA3B830-7ADF-4E24-A686-252D632ACFD6}"/>
</file>

<file path=customXml/itemProps2.xml><?xml version="1.0" encoding="utf-8"?>
<ds:datastoreItem xmlns:ds="http://schemas.openxmlformats.org/officeDocument/2006/customXml" ds:itemID="{A9468B40-003A-485A-910C-E58C2EB2387F}"/>
</file>

<file path=customXml/itemProps3.xml><?xml version="1.0" encoding="utf-8"?>
<ds:datastoreItem xmlns:ds="http://schemas.openxmlformats.org/officeDocument/2006/customXml" ds:itemID="{15C96E1E-11A1-4E8E-A8A6-C6D56247D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Inverter 1</vt:lpstr>
      <vt:lpstr>Inverter 2</vt:lpstr>
      <vt:lpstr>Inverter 3</vt:lpstr>
      <vt:lpstr>Inverter 4</vt:lpstr>
      <vt:lpstr>Inverter 5</vt:lpstr>
      <vt:lpstr>Inverter 6</vt:lpstr>
      <vt:lpstr>Inverter 7</vt:lpstr>
      <vt:lpstr>Inverter 8</vt:lpstr>
      <vt:lpstr>Inverter 9</vt:lpstr>
      <vt:lpstr>Inverter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</dc:creator>
  <cp:lastModifiedBy>Dean Cornelius</cp:lastModifiedBy>
  <dcterms:created xsi:type="dcterms:W3CDTF">2021-09-03T09:04:52Z</dcterms:created>
  <dcterms:modified xsi:type="dcterms:W3CDTF">2025-09-22T05:20:54Z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</Properties>
</file>