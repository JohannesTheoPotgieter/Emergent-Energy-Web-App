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9" documentId="13_ncr:1_{6DFCE840-3A14-475C-AE54-82253AC5B1E1}" xr6:coauthVersionLast="47" xr6:coauthVersionMax="47" xr10:uidLastSave="{0682430F-6D13-4C37-833A-31F6BB8EC895}"/>
  <bookViews>
    <workbookView xWindow="-28920" yWindow="720" windowWidth="29040" windowHeight="15720" tabRatio="805" firstSheet="8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02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E13" i="2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<sst xmlns="http://schemas.openxmlformats.org/spreadsheetml/2006/main" count="743" uniqueCount="417">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</sst>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5" fontId="5" fillId="5" borderId="0" xfId="0" applyNumberFormat="1" applyFont="1" applyFill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0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0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4"/>
      <c r="H8" s="639"/>
      <c r="I8" s="640"/>
      <c r="J8" s="640"/>
      <c r="K8" s="640"/>
      <c r="L8" s="640"/>
      <c r="M8" s="640"/>
      <c r="N8" s="640"/>
      <c r="O8" s="641"/>
    </row>
    <row r="9" spans="2:15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" thickBot="1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34" t="s">
        <v>17</v>
      </c>
      <c r="C18" s="634"/>
      <c r="D18" s="634"/>
      <c r="E18" s="63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25</v>
      </c>
      <c r="C7" s="616" t="str">
        <f>'Project Plan'!E5</f>
        <v>Justin Franke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>
      <c r="B9" s="614"/>
      <c r="H9" s="639"/>
      <c r="I9" s="640"/>
      <c r="J9" s="640"/>
      <c r="K9" s="640"/>
      <c r="L9" s="640"/>
      <c r="M9" s="640"/>
      <c r="N9" s="640"/>
      <c r="O9" s="641"/>
    </row>
    <row r="10" spans="2:15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" thickBot="1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4.9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4.9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34" t="s">
        <v>17</v>
      </c>
      <c r="C24" s="634"/>
      <c r="D24" s="634"/>
      <c r="E24" s="63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140625" customWidth="1"/>
    <col min="11" max="11" width="77.4257812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5703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I11" sqref="I11"/>
    </sheetView>
  </sheetViews>
  <sheetFormatPr defaultColWidth="8.42578125" defaultRowHeight="14.1"/>
  <cols>
    <col min="1" max="1" width="1.42578125" style="26" customWidth="1"/>
    <col min="2" max="2" width="6.42578125" style="83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5.4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I7" s="723">
        <f>I20</f>
        <v>46105</v>
      </c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42</v>
      </c>
      <c r="G9" s="659"/>
      <c r="H9" s="149"/>
      <c r="I9" s="659"/>
      <c r="J9" s="41">
        <f>K40-I20</f>
        <v>42</v>
      </c>
      <c r="K9" s="659"/>
      <c r="M9" s="265">
        <f>AVERAGE(M11,M19,M22,M29,M36,M40,M49,M45)</f>
        <v>1.953125E-3</v>
      </c>
      <c r="N9" s="265">
        <f>AVERAGE(N11,N19,N22,N29,N36,N40,N49,N45)</f>
        <v>1.953125E-3</v>
      </c>
      <c r="O9" s="656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142</v>
      </c>
      <c r="C13" s="158" t="s">
        <v>143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0.63076923076923075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144</v>
      </c>
      <c r="C14" s="158" t="s">
        <v>145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146</v>
      </c>
      <c r="C15" s="158" t="s">
        <v>147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148</v>
      </c>
      <c r="C16" s="158" t="s">
        <v>149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150</v>
      </c>
      <c r="C17" s="158" t="s">
        <v>151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152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153</v>
      </c>
      <c r="C20" s="158" t="s">
        <v>154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155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156</v>
      </c>
      <c r="C23" s="158" t="s">
        <v>157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158</v>
      </c>
      <c r="C24" s="158" t="s">
        <v>159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166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167</v>
      </c>
      <c r="C31" s="158" t="s">
        <v>168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171</v>
      </c>
      <c r="C33" s="158" t="s">
        <v>172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173</v>
      </c>
      <c r="C34" s="154" t="s">
        <v>174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175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176</v>
      </c>
      <c r="C37" s="158" t="s">
        <v>177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180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181</v>
      </c>
      <c r="C41" s="154" t="s">
        <v>180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182</v>
      </c>
      <c r="C42" s="154" t="s">
        <v>183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186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187</v>
      </c>
      <c r="C46" s="154" t="s">
        <v>188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189</v>
      </c>
      <c r="C47" s="154" t="s">
        <v>190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191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192</v>
      </c>
      <c r="C50" s="154" t="s">
        <v>193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194</v>
      </c>
      <c r="C51" s="154" t="s">
        <v>195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5703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18.1406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199</v>
      </c>
      <c r="V2" s="623" t="s">
        <v>200</v>
      </c>
      <c r="W2" s="623" t="s">
        <v>201</v>
      </c>
      <c r="X2" s="623" t="s">
        <v>202</v>
      </c>
    </row>
    <row r="3" spans="1:42" s="24" customFormat="1" ht="12.95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207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208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209</v>
      </c>
      <c r="H5" s="631" t="s">
        <v>210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211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212</v>
      </c>
      <c r="T6" s="53"/>
    </row>
    <row r="7" spans="1:42" s="24" customFormat="1" ht="15" customHeight="1" thickBot="1">
      <c r="B7" s="256">
        <v>4</v>
      </c>
      <c r="C7" s="257" t="s">
        <v>213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626" t="s">
        <v>223</v>
      </c>
      <c r="T12" s="53"/>
    </row>
    <row r="13" spans="1:42" s="24" customFormat="1" ht="12.95">
      <c r="B13" s="589">
        <v>1</v>
      </c>
      <c r="C13" s="662" t="s">
        <v>224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2" t="s">
        <v>225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2.95">
      <c r="B15" s="589">
        <v>3</v>
      </c>
      <c r="C15" s="662" t="s">
        <v>226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2.95">
      <c r="B16" s="589">
        <v>4</v>
      </c>
      <c r="C16" s="660" t="s">
        <v>183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2.95">
      <c r="B17" s="589">
        <v>5</v>
      </c>
      <c r="C17" s="660" t="s">
        <v>227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2.95">
      <c r="B18" s="589">
        <v>6</v>
      </c>
      <c r="C18" s="660" t="s">
        <v>228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2.95">
      <c r="B19" s="589">
        <v>7</v>
      </c>
      <c r="C19" s="662" t="s">
        <v>228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229</v>
      </c>
      <c r="C23" s="57" t="s">
        <v>230</v>
      </c>
      <c r="D23" s="57"/>
      <c r="F23" s="58"/>
      <c r="H23" s="30"/>
    </row>
    <row r="24" spans="2:20" s="24" customFormat="1" ht="12.6">
      <c r="C24" s="59" t="s">
        <v>231</v>
      </c>
      <c r="D24" s="60"/>
      <c r="F24" s="61"/>
    </row>
    <row r="25" spans="2:20" s="24" customFormat="1" ht="12.6">
      <c r="C25" s="59" t="s">
        <v>232</v>
      </c>
      <c r="D25" s="60"/>
    </row>
    <row r="26" spans="2:20" s="24" customFormat="1" ht="12.6">
      <c r="C26" s="62" t="s">
        <v>233</v>
      </c>
      <c r="D26" s="63"/>
    </row>
    <row r="27" spans="2:20" s="24" customFormat="1" ht="12.6">
      <c r="C27" s="64" t="s">
        <v>234</v>
      </c>
      <c r="D27" s="60"/>
    </row>
    <row r="28" spans="2:20" s="24" customFormat="1" ht="12.6">
      <c r="B28" s="31"/>
      <c r="C28" s="64" t="s">
        <v>235</v>
      </c>
      <c r="D28" s="60"/>
    </row>
    <row r="29" spans="2:20" s="24" customFormat="1" ht="12.6">
      <c r="B29" s="31"/>
      <c r="C29" s="24" t="s">
        <v>236</v>
      </c>
    </row>
    <row r="30" spans="2:20" s="24" customFormat="1" ht="27.75" customHeight="1">
      <c r="B30" s="31"/>
      <c r="C30" s="65" t="s">
        <v>237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238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225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226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239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227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240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4"/>
      <c r="C4" s="664"/>
      <c r="D4" s="664"/>
      <c r="E4" s="313"/>
      <c r="F4" s="131" t="s">
        <v>203</v>
      </c>
      <c r="G4" s="126"/>
      <c r="H4" s="131" t="s">
        <v>204</v>
      </c>
      <c r="I4" s="126"/>
      <c r="J4" s="132" t="s">
        <v>242</v>
      </c>
      <c r="K4" s="26"/>
      <c r="L4" s="26"/>
    </row>
    <row r="5" spans="1:12" ht="14.45" thickBot="1">
      <c r="A5" s="126"/>
      <c r="B5" s="665" t="s">
        <v>243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244</v>
      </c>
      <c r="G7" s="139"/>
      <c r="H7" s="138" t="s">
        <v>245</v>
      </c>
      <c r="I7" s="139"/>
      <c r="J7" s="138" t="s">
        <v>246</v>
      </c>
      <c r="K7" s="84"/>
      <c r="L7" s="29" t="s">
        <v>247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J1" zoomScale="70" zoomScaleNormal="70" workbookViewId="0">
      <pane ySplit="4" topLeftCell="A5" activePane="bottomLeft" state="frozen"/>
      <selection pane="bottomLeft" activeCell="S138" sqref="S138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249</v>
      </c>
      <c r="C2" s="667"/>
      <c r="D2" s="667"/>
      <c r="E2" s="667"/>
      <c r="F2" s="667"/>
      <c r="G2" s="667"/>
      <c r="H2" s="395"/>
      <c r="I2" s="162">
        <f>SUM(I6:I159)</f>
        <v>2371126.2425380363</v>
      </c>
      <c r="J2" s="162">
        <f>SUM(J6:J159)</f>
        <v>2718200.0524241957</v>
      </c>
      <c r="L2" s="668" t="s">
        <v>250</v>
      </c>
      <c r="M2" s="669"/>
      <c r="N2" s="669"/>
      <c r="O2" s="669"/>
      <c r="P2" s="669"/>
      <c r="Q2" s="669"/>
      <c r="R2" s="676" t="s">
        <v>251</v>
      </c>
      <c r="S2" s="677"/>
      <c r="T2" s="677"/>
      <c r="U2" s="677"/>
      <c r="V2" s="677"/>
      <c r="W2" s="678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252</v>
      </c>
      <c r="C4" s="164" t="s">
        <v>253</v>
      </c>
      <c r="D4" s="164" t="s">
        <v>254</v>
      </c>
      <c r="E4" s="164" t="s">
        <v>255</v>
      </c>
      <c r="F4" s="363" t="s">
        <v>256</v>
      </c>
      <c r="G4" s="165" t="s">
        <v>257</v>
      </c>
      <c r="H4" s="273" t="s">
        <v>258</v>
      </c>
      <c r="I4" s="166" t="s">
        <v>259</v>
      </c>
      <c r="J4" s="166" t="str">
        <f>IF(J2-'Revenue Tracking'!D4&gt;=0, "Total Revenue", "ERROR on REV" )</f>
        <v>Total Revenue</v>
      </c>
      <c r="K4" s="77"/>
      <c r="L4" s="163" t="s">
        <v>252</v>
      </c>
      <c r="M4" s="164" t="s">
        <v>260</v>
      </c>
      <c r="N4" s="164" t="s">
        <v>254</v>
      </c>
      <c r="O4" s="164" t="s">
        <v>255</v>
      </c>
      <c r="P4" s="363" t="s">
        <v>256</v>
      </c>
      <c r="Q4" s="274" t="s">
        <v>261</v>
      </c>
      <c r="R4" s="497" t="s">
        <v>262</v>
      </c>
      <c r="S4" s="498" t="s">
        <v>219</v>
      </c>
      <c r="T4" s="522" t="s">
        <v>220</v>
      </c>
      <c r="U4" s="523" t="s">
        <v>263</v>
      </c>
      <c r="V4" s="274" t="s">
        <v>264</v>
      </c>
      <c r="W4" s="522" t="s">
        <v>265</v>
      </c>
      <c r="X4" s="166" t="s">
        <v>259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266</v>
      </c>
      <c r="D6" s="186" t="s">
        <v>267</v>
      </c>
      <c r="E6" s="187"/>
      <c r="F6" s="336"/>
      <c r="G6" s="292">
        <f>D160</f>
        <v>766638.43200000003</v>
      </c>
      <c r="H6" s="550">
        <f>'Project Plan'!E37+60</f>
        <v>46165</v>
      </c>
      <c r="I6" s="670">
        <f>SUM(G6:G11)</f>
        <v>766638.43200000003</v>
      </c>
      <c r="J6" s="673">
        <f>F160</f>
        <v>901927.56705882354</v>
      </c>
      <c r="K6" s="289"/>
      <c r="L6" s="185">
        <v>1</v>
      </c>
      <c r="M6" s="316" t="s">
        <v>268</v>
      </c>
      <c r="N6" s="186" t="s">
        <v>269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85">
        <f>J6-SUM(U6:U11)</f>
        <v>0</v>
      </c>
      <c r="W6" s="453">
        <f>'Project Plan'!K37+60</f>
        <v>46166</v>
      </c>
      <c r="X6" s="670">
        <f>SUM(Q6:Q11)</f>
        <v>809233.87096774194</v>
      </c>
    </row>
    <row r="7" spans="1:76" ht="15" customHeight="1">
      <c r="B7" s="215">
        <v>1</v>
      </c>
      <c r="C7" s="317"/>
      <c r="D7" s="290" t="s">
        <v>270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268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268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268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268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268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7"/>
      <c r="W11" s="456"/>
      <c r="X11" s="672"/>
      <c r="Y11" s="606" t="s">
        <v>271</v>
      </c>
      <c r="Z11" s="487" t="s">
        <v>272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273</v>
      </c>
      <c r="Z12" s="488">
        <f>G52</f>
        <v>420372.81304347824</v>
      </c>
      <c r="AA12" s="527" t="s">
        <v>274</v>
      </c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D161</f>
        <v>206610</v>
      </c>
      <c r="H13" s="554">
        <f>'Project Plan'!E23+60</f>
        <v>46166</v>
      </c>
      <c r="I13" s="679">
        <f>SUM(G13:G19)</f>
        <v>206610</v>
      </c>
      <c r="J13" s="682">
        <f>F161</f>
        <v>243070.58823529413</v>
      </c>
      <c r="K13" s="201"/>
      <c r="L13" s="197">
        <v>2</v>
      </c>
      <c r="M13" s="319" t="s">
        <v>276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79">
        <f>SUM(Q13:Q19)</f>
        <v>204000</v>
      </c>
      <c r="Y13" s="607" t="s">
        <v>277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276</v>
      </c>
      <c r="N14" s="309" t="s">
        <v>278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89"/>
      <c r="W14" s="459">
        <f>W6</f>
        <v>46166</v>
      </c>
      <c r="X14" s="680"/>
      <c r="Y14" s="607" t="s">
        <v>279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276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9"/>
      <c r="W15" s="459"/>
      <c r="X15" s="680"/>
      <c r="Y15" s="607" t="s">
        <v>280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276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9"/>
      <c r="W16" s="459"/>
      <c r="X16" s="680"/>
      <c r="Y16" s="607" t="s">
        <v>281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276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9"/>
      <c r="W17" s="459"/>
      <c r="X17" s="680"/>
      <c r="Y17" s="607" t="s">
        <v>282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276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9"/>
      <c r="W18" s="459"/>
      <c r="X18" s="680"/>
      <c r="Y18" s="607" t="s">
        <v>283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276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0"/>
      <c r="W19" s="460"/>
      <c r="X19" s="681"/>
      <c r="Y19" s="607" t="s">
        <v>284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285</v>
      </c>
      <c r="Z20" s="488">
        <v>0</v>
      </c>
      <c r="AA20" s="527"/>
    </row>
    <row r="21" spans="1:27" ht="14.25" customHeight="1">
      <c r="B21" s="185">
        <v>3</v>
      </c>
      <c r="C21" s="213" t="s">
        <v>286</v>
      </c>
      <c r="D21" s="231" t="s">
        <v>287</v>
      </c>
      <c r="E21" s="187"/>
      <c r="F21" s="336"/>
      <c r="G21" s="188">
        <f>D162</f>
        <v>139872</v>
      </c>
      <c r="H21" s="542">
        <f>'Project Plan'!E31+30</f>
        <v>46135</v>
      </c>
      <c r="I21" s="670">
        <f>SUM(G21:G26)</f>
        <v>139872</v>
      </c>
      <c r="J21" s="673">
        <f>F162</f>
        <v>164555.29411764705</v>
      </c>
      <c r="K21" s="189"/>
      <c r="L21" s="185">
        <v>3</v>
      </c>
      <c r="M21" s="321" t="s">
        <v>288</v>
      </c>
      <c r="N21" s="231" t="s">
        <v>289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5">
        <f>J21-SUM(U21:U26)</f>
        <v>0</v>
      </c>
      <c r="W21" s="461">
        <f>T21+30</f>
        <v>46142</v>
      </c>
      <c r="X21" s="670">
        <f>SUM(Q21:Q26)</f>
        <v>80000</v>
      </c>
      <c r="Y21" s="607" t="s">
        <v>290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288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6"/>
      <c r="W22" s="454"/>
      <c r="X22" s="671"/>
      <c r="Y22" s="607" t="s">
        <v>240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288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6"/>
      <c r="W23" s="454"/>
      <c r="X23" s="671"/>
      <c r="Y23" s="607" t="s">
        <v>291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288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6"/>
      <c r="W24" s="455"/>
      <c r="X24" s="671"/>
      <c r="Y24" s="608" t="s">
        <v>292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288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288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7"/>
      <c r="W26" s="456"/>
      <c r="X26" s="672"/>
      <c r="Y26" s="609" t="s">
        <v>204</v>
      </c>
      <c r="Z26" s="492" t="s">
        <v>293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277</v>
      </c>
      <c r="D28" s="198" t="s">
        <v>294</v>
      </c>
      <c r="E28" s="268">
        <v>6435</v>
      </c>
      <c r="F28" s="355"/>
      <c r="G28" s="200">
        <v>90090</v>
      </c>
      <c r="H28" s="554">
        <f>'Project Plan'!E33+60</f>
        <v>46165</v>
      </c>
      <c r="I28" s="679">
        <f>SUM(G28:G42)</f>
        <v>227224.9</v>
      </c>
      <c r="J28" s="682">
        <f>F163</f>
        <v>267323.4117647059</v>
      </c>
      <c r="K28" s="201"/>
      <c r="L28" s="197">
        <v>4</v>
      </c>
      <c r="M28" s="324" t="s">
        <v>295</v>
      </c>
      <c r="N28" s="198" t="s">
        <v>296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88">
        <f>J28-SUM(U28:U42)</f>
        <v>0</v>
      </c>
      <c r="W28" s="458">
        <f>W6</f>
        <v>46166</v>
      </c>
      <c r="X28" s="679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297</v>
      </c>
      <c r="E29" s="295"/>
      <c r="F29" s="351"/>
      <c r="G29" s="517">
        <f>D163-G28</f>
        <v>137134.9</v>
      </c>
      <c r="H29" s="545">
        <f>'Project Plan'!G29</f>
        <v>46134</v>
      </c>
      <c r="I29" s="680"/>
      <c r="J29" s="683"/>
      <c r="K29" s="205"/>
      <c r="L29" s="202">
        <v>4</v>
      </c>
      <c r="M29" s="325" t="s">
        <v>295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9"/>
      <c r="W29" s="459"/>
      <c r="X29" s="680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295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9"/>
      <c r="W30" s="459"/>
      <c r="X30" s="680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295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9"/>
      <c r="W31" s="459"/>
      <c r="X31" s="680"/>
      <c r="Y31" s="610" t="s">
        <v>298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295</v>
      </c>
      <c r="N32" s="309" t="s">
        <v>299</v>
      </c>
      <c r="O32" s="447">
        <f>Z28</f>
        <v>116564.66499999999</v>
      </c>
      <c r="P32" s="448">
        <v>0.1</v>
      </c>
      <c r="Q32" s="204">
        <f>$O$32*P32</f>
        <v>11656.4665</v>
      </c>
      <c r="R32" s="694"/>
      <c r="S32" s="506"/>
      <c r="T32" s="416">
        <f>T90</f>
        <v>46112</v>
      </c>
      <c r="U32" s="401">
        <f t="shared" si="4"/>
        <v>13633.106385455512</v>
      </c>
      <c r="V32" s="689"/>
      <c r="W32" s="459">
        <f>W90</f>
        <v>46105</v>
      </c>
      <c r="X32" s="680"/>
      <c r="Y32" s="610" t="s">
        <v>300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295</v>
      </c>
      <c r="N33" s="309" t="s">
        <v>152</v>
      </c>
      <c r="O33" s="438"/>
      <c r="P33" s="448">
        <v>0.15</v>
      </c>
      <c r="Q33" s="204">
        <f t="shared" ref="Q33:Q39" si="7">$O$32*P33</f>
        <v>17484.69975</v>
      </c>
      <c r="R33" s="695"/>
      <c r="S33" s="506"/>
      <c r="T33" s="416">
        <f t="shared" ref="T33:T39" si="8">T91</f>
        <v>46112</v>
      </c>
      <c r="U33" s="401">
        <f t="shared" si="4"/>
        <v>20449.659578183269</v>
      </c>
      <c r="V33" s="689"/>
      <c r="W33" s="459">
        <f t="shared" ref="W33:W39" si="9">W91</f>
        <v>46105</v>
      </c>
      <c r="X33" s="680"/>
      <c r="Y33" s="610" t="s">
        <v>301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295</v>
      </c>
      <c r="N34" s="309" t="s">
        <v>302</v>
      </c>
      <c r="O34" s="438"/>
      <c r="P34" s="448">
        <v>0.2</v>
      </c>
      <c r="Q34" s="204">
        <f t="shared" si="7"/>
        <v>23312.933000000001</v>
      </c>
      <c r="R34" s="695"/>
      <c r="S34" s="506"/>
      <c r="T34" s="416">
        <f t="shared" si="8"/>
        <v>46142</v>
      </c>
      <c r="U34" s="401">
        <f t="shared" si="4"/>
        <v>27266.212770911025</v>
      </c>
      <c r="V34" s="689"/>
      <c r="W34" s="459">
        <f t="shared" si="9"/>
        <v>46136</v>
      </c>
      <c r="X34" s="680"/>
      <c r="Y34" s="610" t="s">
        <v>303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295</v>
      </c>
      <c r="N35" s="309" t="s">
        <v>304</v>
      </c>
      <c r="O35" s="438"/>
      <c r="P35" s="448">
        <v>0.25</v>
      </c>
      <c r="Q35" s="204">
        <f t="shared" si="7"/>
        <v>29141.166249999998</v>
      </c>
      <c r="R35" s="695"/>
      <c r="S35" s="506"/>
      <c r="T35" s="416">
        <f t="shared" si="8"/>
        <v>46142</v>
      </c>
      <c r="U35" s="401">
        <f t="shared" si="4"/>
        <v>34082.765963638783</v>
      </c>
      <c r="V35" s="689"/>
      <c r="W35" s="459">
        <f t="shared" si="9"/>
        <v>46141</v>
      </c>
      <c r="X35" s="680"/>
      <c r="Y35" s="610" t="s">
        <v>285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295</v>
      </c>
      <c r="N36" s="309" t="s">
        <v>305</v>
      </c>
      <c r="O36" s="438"/>
      <c r="P36" s="448">
        <v>0.1</v>
      </c>
      <c r="Q36" s="204">
        <f t="shared" si="7"/>
        <v>11656.4665</v>
      </c>
      <c r="R36" s="695"/>
      <c r="S36" s="506"/>
      <c r="T36" s="416">
        <f t="shared" si="8"/>
        <v>46173</v>
      </c>
      <c r="U36" s="401">
        <f t="shared" si="4"/>
        <v>13633.106385455512</v>
      </c>
      <c r="V36" s="689"/>
      <c r="W36" s="459">
        <f t="shared" si="9"/>
        <v>46154</v>
      </c>
      <c r="X36" s="680"/>
      <c r="Y36" s="610" t="s">
        <v>290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295</v>
      </c>
      <c r="N37" s="309" t="s">
        <v>306</v>
      </c>
      <c r="O37" s="438"/>
      <c r="P37" s="448">
        <v>0.1</v>
      </c>
      <c r="Q37" s="204">
        <f t="shared" si="7"/>
        <v>11656.4665</v>
      </c>
      <c r="R37" s="695"/>
      <c r="S37" s="506"/>
      <c r="T37" s="416">
        <f t="shared" si="8"/>
        <v>46173</v>
      </c>
      <c r="U37" s="401">
        <f t="shared" si="4"/>
        <v>13633.106385455512</v>
      </c>
      <c r="V37" s="689"/>
      <c r="W37" s="459">
        <f t="shared" si="9"/>
        <v>46155</v>
      </c>
      <c r="X37" s="680"/>
      <c r="Y37" s="610" t="s">
        <v>290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295</v>
      </c>
      <c r="N38" s="309" t="s">
        <v>307</v>
      </c>
      <c r="O38" s="438"/>
      <c r="P38" s="448">
        <v>0.05</v>
      </c>
      <c r="Q38" s="204">
        <f t="shared" si="7"/>
        <v>5828.2332500000002</v>
      </c>
      <c r="R38" s="695"/>
      <c r="S38" s="506"/>
      <c r="T38" s="416">
        <f t="shared" si="8"/>
        <v>46173</v>
      </c>
      <c r="U38" s="401">
        <f t="shared" si="4"/>
        <v>6816.5531927277561</v>
      </c>
      <c r="V38" s="689"/>
      <c r="W38" s="459">
        <f t="shared" si="9"/>
        <v>46155</v>
      </c>
      <c r="X38" s="680"/>
      <c r="Y38" s="610" t="s">
        <v>240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295</v>
      </c>
      <c r="N39" s="309" t="s">
        <v>308</v>
      </c>
      <c r="O39" s="438"/>
      <c r="P39" s="448">
        <v>0.05</v>
      </c>
      <c r="Q39" s="204">
        <f t="shared" si="7"/>
        <v>5828.2332500000002</v>
      </c>
      <c r="R39" s="696"/>
      <c r="S39" s="506"/>
      <c r="T39" s="416">
        <f t="shared" si="8"/>
        <v>46203</v>
      </c>
      <c r="U39" s="401">
        <f t="shared" si="4"/>
        <v>6816.5531927277561</v>
      </c>
      <c r="V39" s="689"/>
      <c r="W39" s="459">
        <f t="shared" si="9"/>
        <v>46178</v>
      </c>
      <c r="X39" s="680"/>
      <c r="Y39" s="611" t="s">
        <v>292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295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295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295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0"/>
      <c r="W42" s="460"/>
      <c r="X42" s="681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309</v>
      </c>
      <c r="D44" s="231" t="s">
        <v>310</v>
      </c>
      <c r="E44" s="187"/>
      <c r="F44" s="336"/>
      <c r="G44" s="188">
        <v>26000</v>
      </c>
      <c r="H44" s="542">
        <f>H52</f>
        <v>46155</v>
      </c>
      <c r="I44" s="670">
        <f>D165</f>
        <v>49000</v>
      </c>
      <c r="J44" s="673">
        <f>F165</f>
        <v>57647.058823529413</v>
      </c>
      <c r="K44" s="189"/>
      <c r="L44" s="185">
        <v>5</v>
      </c>
      <c r="M44" s="321" t="s">
        <v>311</v>
      </c>
      <c r="N44" s="231" t="s">
        <v>310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5">
        <f>J44-SUM(U44:U50)</f>
        <v>0</v>
      </c>
      <c r="W44" s="461">
        <f>W14</f>
        <v>46166</v>
      </c>
      <c r="X44" s="670">
        <f>SUM(Q44:Q50)</f>
        <v>49500</v>
      </c>
    </row>
    <row r="45" spans="1:26" ht="14.25" customHeight="1">
      <c r="B45" s="190">
        <v>5</v>
      </c>
      <c r="C45" s="214"/>
      <c r="D45" s="217" t="s">
        <v>312</v>
      </c>
      <c r="E45" s="349"/>
      <c r="F45" s="350"/>
      <c r="G45" s="219">
        <v>8000</v>
      </c>
      <c r="H45" s="541">
        <f>H44</f>
        <v>46155</v>
      </c>
      <c r="I45" s="671"/>
      <c r="J45" s="674"/>
      <c r="K45" s="192"/>
      <c r="L45" s="190">
        <v>5</v>
      </c>
      <c r="M45" s="327" t="s">
        <v>311</v>
      </c>
      <c r="N45" s="191" t="s">
        <v>312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6"/>
      <c r="W45" s="454">
        <f>T45+30</f>
        <v>46142</v>
      </c>
      <c r="X45" s="671"/>
    </row>
    <row r="46" spans="1:26" ht="14.25" customHeight="1">
      <c r="B46" s="190">
        <v>5</v>
      </c>
      <c r="C46" s="214"/>
      <c r="D46" s="288" t="s">
        <v>313</v>
      </c>
      <c r="E46" s="218"/>
      <c r="F46" s="357"/>
      <c r="G46" s="219">
        <v>15000</v>
      </c>
      <c r="H46" s="541">
        <f>H45</f>
        <v>46155</v>
      </c>
      <c r="I46" s="671"/>
      <c r="J46" s="674"/>
      <c r="K46" s="192"/>
      <c r="L46" s="190">
        <v>5</v>
      </c>
      <c r="M46" s="327" t="s">
        <v>311</v>
      </c>
      <c r="N46" s="217" t="s">
        <v>313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311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311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311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311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7"/>
      <c r="W50" s="456"/>
      <c r="X50" s="672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273</v>
      </c>
      <c r="D52" s="199" t="s">
        <v>314</v>
      </c>
      <c r="E52" s="373"/>
      <c r="F52" s="355"/>
      <c r="G52" s="200">
        <f>D164</f>
        <v>420372.81304347824</v>
      </c>
      <c r="H52" s="554">
        <f>'Project Plan'!G25+30</f>
        <v>46155</v>
      </c>
      <c r="I52" s="679">
        <f>SUM(G52:G68)</f>
        <v>420372.81304347824</v>
      </c>
      <c r="J52" s="682">
        <f>F164</f>
        <v>494556.25063938618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8">
        <f>J52-SUM(U52:U68)</f>
        <v>0</v>
      </c>
      <c r="W52" s="458"/>
      <c r="X52" s="679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134235.32</v>
      </c>
      <c r="R53" s="475" t="s">
        <v>316</v>
      </c>
      <c r="S53" s="506"/>
      <c r="T53" s="416">
        <v>46112</v>
      </c>
      <c r="U53" s="401">
        <f t="shared" si="11"/>
        <v>320219.52584043448</v>
      </c>
      <c r="V53" s="689"/>
      <c r="W53" s="459">
        <f>T53+30</f>
        <v>46142</v>
      </c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315</v>
      </c>
      <c r="N58" s="309" t="s">
        <v>299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4"/>
      <c r="S58" s="506"/>
      <c r="T58" s="419">
        <f>T90</f>
        <v>46112</v>
      </c>
      <c r="U58" s="401">
        <f t="shared" si="11"/>
        <v>17433.672479895162</v>
      </c>
      <c r="V58" s="689"/>
      <c r="W58" s="459">
        <f>W90</f>
        <v>46105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315</v>
      </c>
      <c r="N59" s="309" t="s">
        <v>152</v>
      </c>
      <c r="O59" s="438"/>
      <c r="P59" s="448">
        <v>0.15</v>
      </c>
      <c r="Q59" s="204">
        <f t="shared" ref="Q59:Q65" si="12">$O$58*P59</f>
        <v>10962.235663043472</v>
      </c>
      <c r="R59" s="695"/>
      <c r="S59" s="506"/>
      <c r="T59" s="419">
        <f t="shared" si="1"/>
        <v>46112</v>
      </c>
      <c r="U59" s="401">
        <f t="shared" si="11"/>
        <v>26150.508719842743</v>
      </c>
      <c r="V59" s="689"/>
      <c r="W59" s="459">
        <f t="shared" ref="W59:W65" si="13">W91</f>
        <v>46105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315</v>
      </c>
      <c r="N60" s="309" t="s">
        <v>302</v>
      </c>
      <c r="O60" s="438"/>
      <c r="P60" s="448">
        <v>0.2</v>
      </c>
      <c r="Q60" s="204">
        <f t="shared" si="12"/>
        <v>14616.314217391297</v>
      </c>
      <c r="R60" s="695"/>
      <c r="S60" s="506"/>
      <c r="T60" s="419">
        <f t="shared" si="1"/>
        <v>46142</v>
      </c>
      <c r="U60" s="401">
        <f t="shared" si="11"/>
        <v>34867.344959790324</v>
      </c>
      <c r="V60" s="689"/>
      <c r="W60" s="459">
        <f t="shared" si="13"/>
        <v>46136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315</v>
      </c>
      <c r="N61" s="309" t="s">
        <v>304</v>
      </c>
      <c r="O61" s="438"/>
      <c r="P61" s="448">
        <v>0.25</v>
      </c>
      <c r="Q61" s="204">
        <f t="shared" si="12"/>
        <v>18270.39277173912</v>
      </c>
      <c r="R61" s="695"/>
      <c r="S61" s="506"/>
      <c r="T61" s="419">
        <f t="shared" si="1"/>
        <v>46142</v>
      </c>
      <c r="U61" s="401">
        <f t="shared" si="11"/>
        <v>43584.181199737905</v>
      </c>
      <c r="V61" s="689"/>
      <c r="W61" s="459">
        <f t="shared" si="13"/>
        <v>46141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315</v>
      </c>
      <c r="N62" s="309" t="s">
        <v>305</v>
      </c>
      <c r="O62" s="438"/>
      <c r="P62" s="448">
        <v>0.1</v>
      </c>
      <c r="Q62" s="204">
        <f t="shared" si="12"/>
        <v>7308.1571086956483</v>
      </c>
      <c r="R62" s="695"/>
      <c r="S62" s="506"/>
      <c r="T62" s="419">
        <f t="shared" si="1"/>
        <v>46173</v>
      </c>
      <c r="U62" s="401">
        <f t="shared" si="11"/>
        <v>17433.672479895162</v>
      </c>
      <c r="V62" s="689"/>
      <c r="W62" s="459">
        <f t="shared" si="13"/>
        <v>46154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315</v>
      </c>
      <c r="N63" s="309" t="s">
        <v>306</v>
      </c>
      <c r="O63" s="438"/>
      <c r="P63" s="448">
        <v>0.1</v>
      </c>
      <c r="Q63" s="204">
        <f t="shared" si="12"/>
        <v>7308.1571086956483</v>
      </c>
      <c r="R63" s="695"/>
      <c r="S63" s="510"/>
      <c r="T63" s="419">
        <f t="shared" si="1"/>
        <v>46173</v>
      </c>
      <c r="U63" s="406">
        <f t="shared" si="11"/>
        <v>17433.672479895162</v>
      </c>
      <c r="V63" s="689"/>
      <c r="W63" s="459">
        <f t="shared" si="13"/>
        <v>46155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315</v>
      </c>
      <c r="N64" s="309" t="s">
        <v>307</v>
      </c>
      <c r="O64" s="438"/>
      <c r="P64" s="448">
        <v>0.05</v>
      </c>
      <c r="Q64" s="204">
        <f t="shared" si="12"/>
        <v>3654.0785543478241</v>
      </c>
      <c r="R64" s="695"/>
      <c r="S64" s="510"/>
      <c r="T64" s="419">
        <f t="shared" si="1"/>
        <v>46173</v>
      </c>
      <c r="U64" s="406">
        <f t="shared" si="11"/>
        <v>8716.8362399475809</v>
      </c>
      <c r="V64" s="689"/>
      <c r="W64" s="459">
        <f t="shared" si="13"/>
        <v>46155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315</v>
      </c>
      <c r="N65" s="309" t="s">
        <v>308</v>
      </c>
      <c r="O65" s="438"/>
      <c r="P65" s="448">
        <v>0.05</v>
      </c>
      <c r="Q65" s="204">
        <f t="shared" si="12"/>
        <v>3654.0785543478241</v>
      </c>
      <c r="R65" s="696"/>
      <c r="S65" s="510"/>
      <c r="T65" s="419">
        <f t="shared" si="1"/>
        <v>46203</v>
      </c>
      <c r="U65" s="406">
        <f t="shared" si="11"/>
        <v>8716.8362399475809</v>
      </c>
      <c r="V65" s="689"/>
      <c r="W65" s="459">
        <f t="shared" si="13"/>
        <v>46178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0"/>
      <c r="W68" s="460"/>
      <c r="X68" s="681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317</v>
      </c>
      <c r="D70" s="282"/>
      <c r="E70" s="360"/>
      <c r="F70" s="366"/>
      <c r="G70" s="283"/>
      <c r="H70" s="558"/>
      <c r="I70" s="670">
        <f>SUM(G70:G77)</f>
        <v>0</v>
      </c>
      <c r="J70" s="673">
        <v>0</v>
      </c>
      <c r="K70" s="189"/>
      <c r="L70" s="281">
        <v>7</v>
      </c>
      <c r="M70" s="213" t="s">
        <v>318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1">
        <f>J70-SUM(U70:U77)</f>
        <v>0</v>
      </c>
      <c r="W70" s="464"/>
      <c r="X70" s="67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71"/>
      <c r="J71" s="674"/>
      <c r="K71" s="192"/>
      <c r="L71" s="284">
        <v>7</v>
      </c>
      <c r="M71" s="285" t="s">
        <v>318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2"/>
      <c r="W71" s="455"/>
      <c r="X71" s="67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71"/>
      <c r="J72" s="674"/>
      <c r="K72" s="192"/>
      <c r="L72" s="284">
        <v>7</v>
      </c>
      <c r="M72" s="285" t="s">
        <v>318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2"/>
      <c r="W72" s="455"/>
      <c r="X72" s="67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71"/>
      <c r="J73" s="674"/>
      <c r="K73" s="192"/>
      <c r="L73" s="284">
        <v>7</v>
      </c>
      <c r="M73" s="285" t="s">
        <v>318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2"/>
      <c r="W73" s="455"/>
      <c r="X73" s="67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71"/>
      <c r="J74" s="674"/>
      <c r="K74" s="192"/>
      <c r="L74" s="284">
        <v>7</v>
      </c>
      <c r="M74" s="285" t="s">
        <v>318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2"/>
      <c r="W74" s="455"/>
      <c r="X74" s="67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71"/>
      <c r="J75" s="674"/>
      <c r="K75" s="192"/>
      <c r="L75" s="284">
        <v>7</v>
      </c>
      <c r="M75" s="285" t="s">
        <v>318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2"/>
      <c r="W75" s="455"/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318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318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3"/>
      <c r="W77" s="456"/>
      <c r="X77" s="672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319</v>
      </c>
      <c r="D79" s="237"/>
      <c r="E79" s="361"/>
      <c r="F79" s="315"/>
      <c r="G79" s="238"/>
      <c r="H79" s="554"/>
      <c r="I79" s="679">
        <f>SUM(G79:G87)</f>
        <v>160000</v>
      </c>
      <c r="J79" s="682">
        <f>F168+F169+F166</f>
        <v>181699.34640522877</v>
      </c>
      <c r="K79" s="201"/>
      <c r="L79" s="236">
        <v>8</v>
      </c>
      <c r="M79" s="324" t="s">
        <v>320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160000</v>
      </c>
    </row>
    <row r="80" spans="1:24" ht="14.25" customHeight="1">
      <c r="B80" s="226">
        <v>8</v>
      </c>
      <c r="C80" s="227"/>
      <c r="D80" s="239" t="s">
        <v>321</v>
      </c>
      <c r="E80" s="314"/>
      <c r="F80" s="359"/>
      <c r="G80" s="228">
        <v>55000</v>
      </c>
      <c r="H80" s="545">
        <v>46111</v>
      </c>
      <c r="I80" s="680"/>
      <c r="J80" s="683"/>
      <c r="K80" s="205"/>
      <c r="L80" s="226">
        <v>8</v>
      </c>
      <c r="M80" s="332" t="s">
        <v>320</v>
      </c>
      <c r="N80" s="239" t="s">
        <v>321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0"/>
      <c r="W80" s="458">
        <f>T80-14</f>
        <v>46098</v>
      </c>
      <c r="X80" s="680"/>
    </row>
    <row r="81" spans="1:24" ht="14.25" customHeight="1">
      <c r="B81" s="226">
        <v>8</v>
      </c>
      <c r="C81" s="227"/>
      <c r="D81" s="239" t="s">
        <v>322</v>
      </c>
      <c r="E81" s="314"/>
      <c r="F81" s="359"/>
      <c r="G81" s="228">
        <v>45000</v>
      </c>
      <c r="H81" s="545">
        <v>46111</v>
      </c>
      <c r="I81" s="680"/>
      <c r="J81" s="683"/>
      <c r="K81" s="205"/>
      <c r="L81" s="226">
        <v>8</v>
      </c>
      <c r="M81" s="332" t="s">
        <v>320</v>
      </c>
      <c r="N81" s="239" t="s">
        <v>322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0"/>
      <c r="W81" s="458">
        <f t="shared" ref="W81:W82" si="16">T81-14</f>
        <v>46098</v>
      </c>
      <c r="X81" s="680"/>
    </row>
    <row r="82" spans="1:24" ht="14.25" customHeight="1">
      <c r="B82" s="226">
        <v>8</v>
      </c>
      <c r="C82" s="227"/>
      <c r="D82" s="239" t="s">
        <v>323</v>
      </c>
      <c r="E82" s="314"/>
      <c r="F82" s="359"/>
      <c r="G82" s="228">
        <v>60000</v>
      </c>
      <c r="H82" s="545">
        <v>46111</v>
      </c>
      <c r="I82" s="680"/>
      <c r="J82" s="683"/>
      <c r="K82" s="205"/>
      <c r="L82" s="226">
        <v>8</v>
      </c>
      <c r="M82" s="332" t="s">
        <v>320</v>
      </c>
      <c r="N82" s="239" t="s">
        <v>323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0"/>
      <c r="W82" s="458">
        <f t="shared" si="16"/>
        <v>46098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320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0"/>
      <c r="W83" s="458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320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320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320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320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324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325</v>
      </c>
      <c r="D89" s="231" t="s">
        <v>326</v>
      </c>
      <c r="E89" s="218"/>
      <c r="F89" s="336"/>
      <c r="G89" s="496">
        <f>D173</f>
        <v>87420</v>
      </c>
      <c r="H89" s="542">
        <f>'Project Plan'!G22+7</f>
        <v>46136</v>
      </c>
      <c r="I89" s="703">
        <f>SUM(G89:G100)</f>
        <v>274950</v>
      </c>
      <c r="J89" s="673">
        <f>F173+F174</f>
        <v>305500</v>
      </c>
      <c r="K89" s="192"/>
      <c r="L89" s="215">
        <v>9</v>
      </c>
      <c r="M89" s="322" t="s">
        <v>327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5">
        <f>J89-SUM(U89:U100)</f>
        <v>0</v>
      </c>
      <c r="W89" s="461"/>
      <c r="X89" s="670">
        <f>SUM(Q89:Q100)</f>
        <v>233707.5</v>
      </c>
    </row>
    <row r="90" spans="1:24" ht="15" customHeight="1">
      <c r="B90" s="215">
        <v>9</v>
      </c>
      <c r="C90" s="341"/>
      <c r="D90" s="232" t="s">
        <v>328</v>
      </c>
      <c r="E90" s="218"/>
      <c r="F90" s="357"/>
      <c r="G90" s="496">
        <f>D174</f>
        <v>187530.00000000003</v>
      </c>
      <c r="H90" s="541">
        <f>'Project Plan'!G29+7</f>
        <v>46141</v>
      </c>
      <c r="I90" s="704"/>
      <c r="J90" s="674"/>
      <c r="K90" s="192"/>
      <c r="L90" s="215">
        <v>9</v>
      </c>
      <c r="M90" s="322" t="s">
        <v>327</v>
      </c>
      <c r="N90" s="232" t="s">
        <v>299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5"/>
      <c r="S90" s="501"/>
      <c r="T90" s="412">
        <f t="shared" si="14"/>
        <v>46112</v>
      </c>
      <c r="U90" s="397">
        <f t="shared" si="17"/>
        <v>30550.000000000007</v>
      </c>
      <c r="V90" s="686"/>
      <c r="W90" s="454">
        <f>'Project Plan'!I20</f>
        <v>46105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327</v>
      </c>
      <c r="N91" s="286" t="s">
        <v>152</v>
      </c>
      <c r="O91" s="434"/>
      <c r="P91" s="449">
        <v>0.15</v>
      </c>
      <c r="Q91" s="219">
        <f t="shared" ref="Q91:Q97" si="18">$O$90*P91</f>
        <v>35056.125</v>
      </c>
      <c r="R91" s="716"/>
      <c r="S91" s="502"/>
      <c r="T91" s="412">
        <f t="shared" si="14"/>
        <v>46112</v>
      </c>
      <c r="U91" s="397">
        <f t="shared" si="17"/>
        <v>45825</v>
      </c>
      <c r="V91" s="686"/>
      <c r="W91" s="455">
        <f>'Project Plan'!I20</f>
        <v>46105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327</v>
      </c>
      <c r="N92" s="286" t="s">
        <v>302</v>
      </c>
      <c r="O92" s="434"/>
      <c r="P92" s="449">
        <v>0.2</v>
      </c>
      <c r="Q92" s="219">
        <f t="shared" si="18"/>
        <v>46741.500000000007</v>
      </c>
      <c r="R92" s="716"/>
      <c r="S92" s="502"/>
      <c r="T92" s="412">
        <f t="shared" si="14"/>
        <v>46142</v>
      </c>
      <c r="U92" s="397">
        <f t="shared" si="17"/>
        <v>61100.000000000015</v>
      </c>
      <c r="V92" s="686"/>
      <c r="W92" s="455">
        <f>'Project Plan'!K22+7</f>
        <v>46136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327</v>
      </c>
      <c r="N93" s="286" t="s">
        <v>304</v>
      </c>
      <c r="O93" s="434"/>
      <c r="P93" s="449">
        <v>0.25</v>
      </c>
      <c r="Q93" s="219">
        <f t="shared" si="18"/>
        <v>58426.875000000007</v>
      </c>
      <c r="R93" s="716"/>
      <c r="S93" s="502"/>
      <c r="T93" s="412">
        <f t="shared" si="14"/>
        <v>46142</v>
      </c>
      <c r="U93" s="397">
        <f t="shared" si="17"/>
        <v>76375.000000000015</v>
      </c>
      <c r="V93" s="686"/>
      <c r="W93" s="455">
        <f>'Project Plan'!K29+7</f>
        <v>46141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327</v>
      </c>
      <c r="N94" s="286" t="s">
        <v>305</v>
      </c>
      <c r="O94" s="434"/>
      <c r="P94" s="449">
        <v>0.1</v>
      </c>
      <c r="Q94" s="219">
        <f t="shared" si="18"/>
        <v>23370.750000000004</v>
      </c>
      <c r="R94" s="716"/>
      <c r="S94" s="502"/>
      <c r="T94" s="412">
        <f t="shared" si="14"/>
        <v>46173</v>
      </c>
      <c r="U94" s="397">
        <f t="shared" si="17"/>
        <v>30550.000000000007</v>
      </c>
      <c r="V94" s="686"/>
      <c r="W94" s="455">
        <f>'Project Plan'!K40+7</f>
        <v>46154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327</v>
      </c>
      <c r="N95" s="286" t="s">
        <v>306</v>
      </c>
      <c r="O95" s="434"/>
      <c r="P95" s="449">
        <v>0.1</v>
      </c>
      <c r="Q95" s="219">
        <f t="shared" si="18"/>
        <v>23370.750000000004</v>
      </c>
      <c r="R95" s="716"/>
      <c r="S95" s="502"/>
      <c r="T95" s="412">
        <f t="shared" si="14"/>
        <v>46173</v>
      </c>
      <c r="U95" s="397">
        <f t="shared" si="17"/>
        <v>30550.000000000007</v>
      </c>
      <c r="V95" s="686"/>
      <c r="W95" s="455">
        <f>'Project Plan'!K47+7</f>
        <v>46155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327</v>
      </c>
      <c r="N96" s="286" t="s">
        <v>307</v>
      </c>
      <c r="O96" s="434"/>
      <c r="P96" s="449">
        <v>0.05</v>
      </c>
      <c r="Q96" s="219">
        <f t="shared" si="18"/>
        <v>11685.375000000002</v>
      </c>
      <c r="R96" s="716"/>
      <c r="S96" s="502"/>
      <c r="T96" s="412">
        <f t="shared" si="14"/>
        <v>46173</v>
      </c>
      <c r="U96" s="397">
        <f t="shared" si="17"/>
        <v>15275.000000000004</v>
      </c>
      <c r="V96" s="686"/>
      <c r="W96" s="455">
        <f>'Project Plan'!K47+7</f>
        <v>46155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327</v>
      </c>
      <c r="N97" s="286" t="s">
        <v>308</v>
      </c>
      <c r="O97" s="434"/>
      <c r="P97" s="449">
        <v>0.05</v>
      </c>
      <c r="Q97" s="219">
        <f t="shared" si="18"/>
        <v>11685.375000000002</v>
      </c>
      <c r="R97" s="717"/>
      <c r="S97" s="502"/>
      <c r="T97" s="412">
        <f t="shared" si="14"/>
        <v>46203</v>
      </c>
      <c r="U97" s="397">
        <f t="shared" si="17"/>
        <v>15275.000000000004</v>
      </c>
      <c r="V97" s="686"/>
      <c r="W97" s="455">
        <f>'Project Plan'!K47+30</f>
        <v>46178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327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327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327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7"/>
      <c r="W100" s="456"/>
      <c r="X100" s="672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329</v>
      </c>
      <c r="D102" s="174" t="s">
        <v>281</v>
      </c>
      <c r="E102" s="175"/>
      <c r="F102" s="368"/>
      <c r="G102" s="242">
        <f>D177</f>
        <v>8500</v>
      </c>
      <c r="H102" s="561">
        <f>H89</f>
        <v>46136</v>
      </c>
      <c r="I102" s="697">
        <f>SUM(G102:G116)</f>
        <v>22919.155555555557</v>
      </c>
      <c r="J102" s="700">
        <f>F177+F180+F181+F179+F178</f>
        <v>25465.728395061727</v>
      </c>
      <c r="K102" s="243"/>
      <c r="L102" s="173">
        <v>10</v>
      </c>
      <c r="M102" s="333" t="s">
        <v>330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6">
        <f>J102-SUM(U102:U116)</f>
        <v>0</v>
      </c>
      <c r="W102" s="465"/>
      <c r="X102" s="697">
        <f>SUM(Q102:Q116)</f>
        <v>19481.28222222222</v>
      </c>
    </row>
    <row r="103" spans="1:24" ht="14.25" customHeight="1">
      <c r="B103" s="244">
        <v>10</v>
      </c>
      <c r="C103" s="245"/>
      <c r="D103" s="245" t="s">
        <v>282</v>
      </c>
      <c r="E103" s="246"/>
      <c r="F103" s="369"/>
      <c r="G103" s="247">
        <f>D181</f>
        <v>13720.266666666666</v>
      </c>
      <c r="H103" s="562">
        <f>H89</f>
        <v>46136</v>
      </c>
      <c r="I103" s="698"/>
      <c r="J103" s="701"/>
      <c r="K103" s="176"/>
      <c r="L103" s="244">
        <v>10</v>
      </c>
      <c r="M103" s="334" t="s">
        <v>330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331</v>
      </c>
      <c r="E104" s="246"/>
      <c r="F104" s="369"/>
      <c r="G104" s="247">
        <f>D180</f>
        <v>0</v>
      </c>
      <c r="H104" s="562">
        <f>H89</f>
        <v>46136</v>
      </c>
      <c r="I104" s="698"/>
      <c r="J104" s="701"/>
      <c r="K104" s="176"/>
      <c r="L104" s="244">
        <v>10</v>
      </c>
      <c r="M104" s="334" t="s">
        <v>330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283</v>
      </c>
      <c r="E105" s="246"/>
      <c r="F105" s="369"/>
      <c r="G105" s="247">
        <f>D179</f>
        <v>698.88888888888891</v>
      </c>
      <c r="H105" s="562">
        <f>H89</f>
        <v>46136</v>
      </c>
      <c r="I105" s="698"/>
      <c r="J105" s="701"/>
      <c r="K105" s="176"/>
      <c r="L105" s="244">
        <v>10</v>
      </c>
      <c r="M105" s="334" t="s">
        <v>330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330</v>
      </c>
      <c r="N106" s="245" t="s">
        <v>299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2"/>
      <c r="S106" s="515"/>
      <c r="T106" s="425">
        <f>T90</f>
        <v>46112</v>
      </c>
      <c r="U106" s="409">
        <f t="shared" si="19"/>
        <v>2546.5728395061728</v>
      </c>
      <c r="V106" s="707"/>
      <c r="W106" s="467">
        <f>W90</f>
        <v>46105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330</v>
      </c>
      <c r="N107" s="245" t="s">
        <v>152</v>
      </c>
      <c r="O107" s="445"/>
      <c r="P107" s="452">
        <v>0.15</v>
      </c>
      <c r="Q107" s="247">
        <f t="shared" ref="Q107:Q113" si="20">$O$106*P107</f>
        <v>2922.192333333333</v>
      </c>
      <c r="R107" s="713"/>
      <c r="S107" s="520"/>
      <c r="T107" s="425">
        <f t="shared" ref="T107:T113" si="21">T91</f>
        <v>46112</v>
      </c>
      <c r="U107" s="409">
        <f t="shared" si="19"/>
        <v>3819.859259259259</v>
      </c>
      <c r="V107" s="707"/>
      <c r="W107" s="467">
        <f t="shared" ref="W107:W113" si="22">W91</f>
        <v>46105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330</v>
      </c>
      <c r="N108" s="245" t="s">
        <v>302</v>
      </c>
      <c r="O108" s="445"/>
      <c r="P108" s="452">
        <v>0.2</v>
      </c>
      <c r="Q108" s="247">
        <f t="shared" si="20"/>
        <v>3896.2564444444442</v>
      </c>
      <c r="R108" s="713"/>
      <c r="S108" s="515"/>
      <c r="T108" s="425">
        <f t="shared" si="21"/>
        <v>46142</v>
      </c>
      <c r="U108" s="409">
        <f t="shared" si="19"/>
        <v>5093.1456790123457</v>
      </c>
      <c r="V108" s="707"/>
      <c r="W108" s="467">
        <f t="shared" si="22"/>
        <v>46136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330</v>
      </c>
      <c r="N109" s="245" t="s">
        <v>304</v>
      </c>
      <c r="O109" s="445"/>
      <c r="P109" s="452">
        <v>0.25</v>
      </c>
      <c r="Q109" s="247">
        <f t="shared" si="20"/>
        <v>4870.3205555555551</v>
      </c>
      <c r="R109" s="713"/>
      <c r="S109" s="515"/>
      <c r="T109" s="425">
        <f t="shared" si="21"/>
        <v>46142</v>
      </c>
      <c r="U109" s="409">
        <f t="shared" si="19"/>
        <v>6366.4320987654319</v>
      </c>
      <c r="V109" s="707"/>
      <c r="W109" s="467">
        <f t="shared" si="22"/>
        <v>46141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330</v>
      </c>
      <c r="N110" s="245" t="s">
        <v>305</v>
      </c>
      <c r="O110" s="445"/>
      <c r="P110" s="452">
        <v>0.1</v>
      </c>
      <c r="Q110" s="247">
        <f t="shared" si="20"/>
        <v>1948.1282222222221</v>
      </c>
      <c r="R110" s="713"/>
      <c r="S110" s="515"/>
      <c r="T110" s="425">
        <f t="shared" si="21"/>
        <v>46173</v>
      </c>
      <c r="U110" s="409">
        <f t="shared" si="19"/>
        <v>2546.5728395061728</v>
      </c>
      <c r="V110" s="707"/>
      <c r="W110" s="467">
        <f t="shared" si="22"/>
        <v>46154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330</v>
      </c>
      <c r="N111" s="245" t="s">
        <v>306</v>
      </c>
      <c r="O111" s="445"/>
      <c r="P111" s="452">
        <v>0.1</v>
      </c>
      <c r="Q111" s="247">
        <f t="shared" si="20"/>
        <v>1948.1282222222221</v>
      </c>
      <c r="R111" s="713"/>
      <c r="S111" s="515"/>
      <c r="T111" s="425">
        <f t="shared" si="21"/>
        <v>46173</v>
      </c>
      <c r="U111" s="409">
        <f t="shared" si="19"/>
        <v>2546.5728395061728</v>
      </c>
      <c r="V111" s="707"/>
      <c r="W111" s="467">
        <f t="shared" si="22"/>
        <v>46155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330</v>
      </c>
      <c r="N112" s="245" t="s">
        <v>307</v>
      </c>
      <c r="O112" s="445"/>
      <c r="P112" s="452">
        <v>0.05</v>
      </c>
      <c r="Q112" s="247">
        <f t="shared" si="20"/>
        <v>974.06411111111106</v>
      </c>
      <c r="R112" s="713"/>
      <c r="S112" s="515"/>
      <c r="T112" s="425">
        <f t="shared" si="21"/>
        <v>46173</v>
      </c>
      <c r="U112" s="409">
        <f t="shared" si="19"/>
        <v>1273.2864197530864</v>
      </c>
      <c r="V112" s="707"/>
      <c r="W112" s="467">
        <f t="shared" si="22"/>
        <v>46155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330</v>
      </c>
      <c r="N113" s="245" t="s">
        <v>308</v>
      </c>
      <c r="O113" s="445"/>
      <c r="P113" s="452">
        <v>0.05</v>
      </c>
      <c r="Q113" s="247">
        <f t="shared" si="20"/>
        <v>974.06411111111106</v>
      </c>
      <c r="R113" s="714"/>
      <c r="S113" s="515"/>
      <c r="T113" s="425">
        <f t="shared" si="21"/>
        <v>46203</v>
      </c>
      <c r="U113" s="409">
        <f t="shared" si="19"/>
        <v>1273.2864197530864</v>
      </c>
      <c r="V113" s="707"/>
      <c r="W113" s="467">
        <f t="shared" si="22"/>
        <v>46178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330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330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330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8"/>
      <c r="W116" s="468"/>
      <c r="X116" s="699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332</v>
      </c>
      <c r="D118" s="255" t="s">
        <v>333</v>
      </c>
      <c r="E118" s="187"/>
      <c r="F118" s="336"/>
      <c r="G118" s="188">
        <v>11000</v>
      </c>
      <c r="H118" s="542">
        <f>'Project Plan'!G40</f>
        <v>46147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334</v>
      </c>
      <c r="N118" s="255" t="s">
        <v>333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46161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335</v>
      </c>
      <c r="E119" s="218"/>
      <c r="F119" s="357"/>
      <c r="G119" s="219">
        <v>18000</v>
      </c>
      <c r="H119" s="542">
        <f>H118</f>
        <v>46147</v>
      </c>
      <c r="I119" s="671"/>
      <c r="J119" s="674"/>
      <c r="K119" s="192"/>
      <c r="L119" s="215">
        <v>11</v>
      </c>
      <c r="M119" s="290" t="s">
        <v>334</v>
      </c>
      <c r="N119" s="217" t="s">
        <v>336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6"/>
      <c r="W119" s="461">
        <f>'Project Plan'!K41+14</f>
        <v>46149</v>
      </c>
      <c r="X119" s="671"/>
    </row>
    <row r="120" spans="1:24" ht="15" customHeight="1">
      <c r="B120" s="215">
        <v>11</v>
      </c>
      <c r="C120" s="217"/>
      <c r="D120" s="217" t="s">
        <v>337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334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334</v>
      </c>
      <c r="N121" s="288" t="s">
        <v>338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6"/>
      <c r="W121" s="455">
        <f>W118</f>
        <v>46161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334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339</v>
      </c>
      <c r="D124" s="174" t="s">
        <v>339</v>
      </c>
      <c r="E124" s="175"/>
      <c r="F124" s="368"/>
      <c r="G124" s="242">
        <v>35336.600681514545</v>
      </c>
      <c r="H124" s="561">
        <f>H127</f>
        <v>46161</v>
      </c>
      <c r="I124" s="697">
        <f>SUM(G124:G125)</f>
        <v>35336.600681514545</v>
      </c>
      <c r="J124" s="700">
        <v>0</v>
      </c>
      <c r="K124" s="718"/>
      <c r="L124" s="173">
        <v>12</v>
      </c>
      <c r="M124" s="174" t="s">
        <v>340</v>
      </c>
      <c r="N124" s="174" t="s">
        <v>339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97">
        <f>SUM(Q124:Q125)</f>
        <v>35336.600681514545</v>
      </c>
    </row>
    <row r="125" spans="1:24" ht="15" customHeight="1" thickBot="1">
      <c r="B125" s="177">
        <v>12</v>
      </c>
      <c r="C125" s="248" t="s">
        <v>339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340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9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341</v>
      </c>
      <c r="D127" s="255" t="s">
        <v>342</v>
      </c>
      <c r="E127" s="187"/>
      <c r="F127" s="336"/>
      <c r="G127" s="188">
        <f>D175</f>
        <v>26707.341257487926</v>
      </c>
      <c r="H127" s="542">
        <f>'Project Plan'!G49</f>
        <v>46161</v>
      </c>
      <c r="I127" s="670">
        <f>SUM(G127:G131)</f>
        <v>26707.341257487926</v>
      </c>
      <c r="J127" s="673">
        <f>F175</f>
        <v>30349.251428963551</v>
      </c>
      <c r="K127" s="189"/>
      <c r="L127" s="185">
        <v>13</v>
      </c>
      <c r="M127" s="255" t="s">
        <v>343</v>
      </c>
      <c r="N127" s="255" t="s">
        <v>344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85">
        <f>J127-SUM(U127:U132)</f>
        <v>0</v>
      </c>
      <c r="W127" s="461">
        <f>'Project Plan'!K40</f>
        <v>46147</v>
      </c>
      <c r="X127" s="670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343</v>
      </c>
      <c r="N128" s="217" t="s">
        <v>345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6"/>
      <c r="W128" s="454">
        <f>W127</f>
        <v>46147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343</v>
      </c>
      <c r="N129" s="217" t="s">
        <v>346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6"/>
      <c r="W129" s="454">
        <f t="shared" ref="W129:W131" si="24">W128</f>
        <v>46147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343</v>
      </c>
      <c r="N130" s="217" t="s">
        <v>347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6"/>
      <c r="W130" s="454">
        <f t="shared" si="24"/>
        <v>46147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343</v>
      </c>
      <c r="N131" s="217" t="s">
        <v>348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6"/>
      <c r="W131" s="454">
        <f t="shared" si="24"/>
        <v>46147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343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7"/>
      <c r="W132" s="456"/>
      <c r="X132" s="672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349</v>
      </c>
      <c r="D134" s="174" t="s">
        <v>350</v>
      </c>
      <c r="E134" s="175"/>
      <c r="F134" s="368"/>
      <c r="G134" s="242">
        <f>D186</f>
        <v>12495</v>
      </c>
      <c r="H134" s="561">
        <f>'Project Plan'!G49</f>
        <v>46161</v>
      </c>
      <c r="I134" s="697">
        <f>SUM(G134:G145)</f>
        <v>12495</v>
      </c>
      <c r="J134" s="700">
        <f>F186</f>
        <v>13883.333333333334</v>
      </c>
      <c r="K134" s="243"/>
      <c r="L134" s="173">
        <v>14</v>
      </c>
      <c r="M134" s="333" t="s">
        <v>351</v>
      </c>
      <c r="N134" s="174" t="s">
        <v>352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6">
        <f>J134-SUM(U134:U145)</f>
        <v>0</v>
      </c>
      <c r="W134" s="467">
        <f>T134+7</f>
        <v>46088</v>
      </c>
      <c r="X134" s="697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351</v>
      </c>
      <c r="N135" s="245" t="s">
        <v>352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7"/>
      <c r="W135" s="467">
        <f>T135+7</f>
        <v>46119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351</v>
      </c>
      <c r="N136" s="245" t="s">
        <v>352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7"/>
      <c r="W136" s="467">
        <f>T136+7</f>
        <v>46149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351</v>
      </c>
      <c r="N137" s="245" t="s">
        <v>352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7"/>
      <c r="W137" s="467">
        <f>T137+7</f>
        <v>46180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351</v>
      </c>
      <c r="N138" s="245" t="s">
        <v>352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351</v>
      </c>
      <c r="N139" s="245" t="s">
        <v>352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351</v>
      </c>
      <c r="N140" s="245" t="s">
        <v>352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351</v>
      </c>
      <c r="N141" s="245" t="s">
        <v>352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351</v>
      </c>
      <c r="N142" s="245" t="s">
        <v>352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351</v>
      </c>
      <c r="N143" s="245" t="s">
        <v>352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351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351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8"/>
      <c r="W145" s="468"/>
      <c r="X145" s="699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353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354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354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354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354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354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354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354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354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354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354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354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355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356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357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297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358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359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360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361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365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366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367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368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371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372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373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376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378</v>
      </c>
      <c r="B2" s="103"/>
      <c r="C2" s="104" t="s">
        <v>264</v>
      </c>
      <c r="D2" s="104" t="s">
        <v>264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207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208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204</v>
      </c>
      <c r="B8" s="103"/>
      <c r="C8" s="104" t="s">
        <v>264</v>
      </c>
      <c r="D8" s="104" t="s">
        <v>264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382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384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264</v>
      </c>
      <c r="D16" s="104" t="s">
        <v>264</v>
      </c>
    </row>
    <row r="17" spans="1:291">
      <c r="A17" s="722"/>
      <c r="B17" s="106" t="s">
        <v>387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388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140625" style="269" bestFit="1" customWidth="1"/>
    <col min="2" max="2" width="15.42578125" style="270" bestFit="1" customWidth="1"/>
    <col min="3" max="3" width="6.140625" style="269" bestFit="1" customWidth="1"/>
    <col min="4" max="4" width="10.42578125" style="269" bestFit="1" customWidth="1"/>
    <col min="5" max="5" width="13.7109375" style="269" bestFit="1" customWidth="1"/>
    <col min="6" max="7" width="12.28515625" style="269" bestFit="1" customWidth="1"/>
    <col min="8" max="8" width="11.140625" style="269" bestFit="1" customWidth="1"/>
    <col min="9" max="9" width="13.71093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389</v>
      </c>
      <c r="B3" s="540" t="s">
        <v>390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268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288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295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311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320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327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330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334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343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351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340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318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393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2578125" defaultRowHeight="14.45"/>
  <cols>
    <col min="1" max="1" width="21" bestFit="1" customWidth="1"/>
    <col min="2" max="2" width="15.42578125" style="308" bestFit="1" customWidth="1"/>
    <col min="3" max="3" width="11.140625" style="308" bestFit="1" customWidth="1"/>
    <col min="4" max="4" width="10.42578125" style="308" bestFit="1" customWidth="1"/>
    <col min="5" max="5" width="13.7109375" style="308" bestFit="1" customWidth="1"/>
    <col min="6" max="7" width="12.28515625" style="308" bestFit="1" customWidth="1"/>
    <col min="8" max="8" width="11.140625" style="308" bestFit="1" customWidth="1"/>
    <col min="9" max="9" width="13.7109375" style="308" bestFit="1" customWidth="1"/>
    <col min="10" max="10" width="12.285156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394</v>
      </c>
      <c r="B3" s="540" t="s">
        <v>390</v>
      </c>
      <c r="C3"/>
      <c r="D3"/>
      <c r="E3"/>
      <c r="F3"/>
      <c r="G3"/>
      <c r="H3"/>
      <c r="I3"/>
    </row>
    <row r="4" spans="1:9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</row>
    <row r="5" spans="1:9">
      <c r="A5" s="345" t="s">
        <v>392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268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276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288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295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311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315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320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327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330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334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343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351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340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318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393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395</v>
      </c>
      <c r="F2" s="19" t="s">
        <v>396</v>
      </c>
    </row>
    <row r="3" spans="3:8">
      <c r="C3" s="15">
        <v>45658</v>
      </c>
      <c r="D3" s="9" t="s">
        <v>397</v>
      </c>
      <c r="F3" s="17" t="s">
        <v>398</v>
      </c>
    </row>
    <row r="4" spans="3:8">
      <c r="C4" s="15">
        <v>45737</v>
      </c>
      <c r="D4" s="9" t="s">
        <v>399</v>
      </c>
      <c r="F4" s="17" t="s">
        <v>400</v>
      </c>
    </row>
    <row r="5" spans="3:8">
      <c r="C5" s="15">
        <v>45765</v>
      </c>
      <c r="D5" s="9" t="s">
        <v>401</v>
      </c>
      <c r="F5" s="17" t="s">
        <v>402</v>
      </c>
    </row>
    <row r="6" spans="3:8" ht="12.95" thickBot="1">
      <c r="C6" s="15">
        <v>45768</v>
      </c>
      <c r="D6" s="9" t="s">
        <v>403</v>
      </c>
      <c r="F6" s="18" t="s">
        <v>404</v>
      </c>
    </row>
    <row r="7" spans="3:8">
      <c r="C7" s="15">
        <v>45774</v>
      </c>
      <c r="D7" s="9" t="s">
        <v>405</v>
      </c>
    </row>
    <row r="8" spans="3:8">
      <c r="C8" s="15">
        <v>45765</v>
      </c>
      <c r="D8" s="9" t="s">
        <v>406</v>
      </c>
    </row>
    <row r="9" spans="3:8">
      <c r="C9" s="15">
        <v>45778</v>
      </c>
      <c r="D9" s="9" t="s">
        <v>407</v>
      </c>
    </row>
    <row r="10" spans="3:8">
      <c r="C10" s="15">
        <v>45824</v>
      </c>
      <c r="D10" s="9" t="s">
        <v>408</v>
      </c>
    </row>
    <row r="11" spans="3:8">
      <c r="C11" s="15">
        <v>45878</v>
      </c>
      <c r="D11" s="9" t="s">
        <v>409</v>
      </c>
    </row>
    <row r="12" spans="3:8">
      <c r="C12" s="15">
        <v>45924</v>
      </c>
      <c r="D12" s="9" t="s">
        <v>410</v>
      </c>
    </row>
    <row r="13" spans="3:8">
      <c r="C13" s="15">
        <v>46007</v>
      </c>
      <c r="D13" s="9" t="s">
        <v>411</v>
      </c>
      <c r="F13" s="20"/>
      <c r="H13" s="9" t="s">
        <v>412</v>
      </c>
    </row>
    <row r="14" spans="3:8">
      <c r="C14" s="15">
        <v>46016</v>
      </c>
      <c r="D14" s="9" t="s">
        <v>413</v>
      </c>
    </row>
    <row r="15" spans="3:8">
      <c r="C15" s="15">
        <v>46017</v>
      </c>
      <c r="D15" s="9" t="s">
        <v>414</v>
      </c>
    </row>
    <row r="16" spans="3:8">
      <c r="C16" s="15">
        <v>46006</v>
      </c>
      <c r="D16" s="9" t="s">
        <v>415</v>
      </c>
    </row>
    <row r="17" spans="3:4">
      <c r="C17" s="15">
        <v>46007</v>
      </c>
      <c r="D17" s="9" t="s">
        <v>415</v>
      </c>
    </row>
    <row r="18" spans="3:4">
      <c r="C18" s="15">
        <v>46008</v>
      </c>
      <c r="D18" s="9" t="s">
        <v>415</v>
      </c>
    </row>
    <row r="19" spans="3:4">
      <c r="C19" s="15">
        <v>46009</v>
      </c>
      <c r="D19" s="9" t="s">
        <v>415</v>
      </c>
    </row>
    <row r="20" spans="3:4">
      <c r="C20" s="15">
        <v>46010</v>
      </c>
      <c r="D20" s="9" t="s">
        <v>415</v>
      </c>
    </row>
    <row r="21" spans="3:4">
      <c r="C21" s="15">
        <v>46011</v>
      </c>
      <c r="D21" s="9" t="s">
        <v>415</v>
      </c>
    </row>
    <row r="22" spans="3:4">
      <c r="C22" s="15">
        <v>46012</v>
      </c>
      <c r="D22" s="9" t="s">
        <v>415</v>
      </c>
    </row>
    <row r="23" spans="3:4">
      <c r="C23" s="15">
        <v>46013</v>
      </c>
      <c r="D23" s="9" t="s">
        <v>415</v>
      </c>
    </row>
    <row r="24" spans="3:4">
      <c r="C24" s="15">
        <v>46014</v>
      </c>
      <c r="D24" s="9" t="s">
        <v>415</v>
      </c>
    </row>
    <row r="25" spans="3:4">
      <c r="C25" s="15">
        <v>46015</v>
      </c>
      <c r="D25" s="9" t="s">
        <v>415</v>
      </c>
    </row>
    <row r="26" spans="3:4">
      <c r="C26" s="15">
        <v>46016</v>
      </c>
      <c r="D26" s="9" t="s">
        <v>415</v>
      </c>
    </row>
    <row r="27" spans="3:4">
      <c r="C27" s="15">
        <v>46017</v>
      </c>
      <c r="D27" s="9" t="s">
        <v>415</v>
      </c>
    </row>
    <row r="28" spans="3:4">
      <c r="C28" s="15">
        <v>46018</v>
      </c>
      <c r="D28" s="9" t="s">
        <v>415</v>
      </c>
    </row>
    <row r="29" spans="3:4">
      <c r="C29" s="15">
        <v>46019</v>
      </c>
      <c r="D29" s="9" t="s">
        <v>415</v>
      </c>
    </row>
    <row r="30" spans="3:4">
      <c r="C30" s="15">
        <v>46020</v>
      </c>
      <c r="D30" s="9" t="s">
        <v>415</v>
      </c>
    </row>
    <row r="31" spans="3:4">
      <c r="C31" s="15">
        <v>46021</v>
      </c>
      <c r="D31" s="9" t="s">
        <v>415</v>
      </c>
    </row>
    <row r="32" spans="3:4">
      <c r="C32" s="15">
        <v>46022</v>
      </c>
      <c r="D32" s="9" t="s">
        <v>415</v>
      </c>
    </row>
    <row r="33" spans="3:4">
      <c r="C33" s="15">
        <v>46023</v>
      </c>
      <c r="D33" s="9" t="s">
        <v>415</v>
      </c>
    </row>
    <row r="34" spans="3:4">
      <c r="C34" s="15">
        <v>46024</v>
      </c>
      <c r="D34" s="9" t="s">
        <v>415</v>
      </c>
    </row>
    <row r="35" spans="3:4">
      <c r="C35" s="15">
        <v>46025</v>
      </c>
      <c r="D35" s="9" t="s">
        <v>415</v>
      </c>
    </row>
    <row r="36" spans="3:4">
      <c r="C36" s="15">
        <v>46026</v>
      </c>
      <c r="D36" s="9" t="s">
        <v>415</v>
      </c>
    </row>
    <row r="37" spans="3:4">
      <c r="C37" s="15">
        <v>46027</v>
      </c>
      <c r="D37" s="9" t="s">
        <v>415</v>
      </c>
    </row>
    <row r="38" spans="3:4">
      <c r="C38" s="15">
        <v>46028</v>
      </c>
      <c r="D38" s="9" t="s">
        <v>415</v>
      </c>
    </row>
    <row r="39" spans="3:4">
      <c r="C39" s="15">
        <v>46029</v>
      </c>
      <c r="D39" s="9" t="s">
        <v>415</v>
      </c>
    </row>
    <row r="40" spans="3:4">
      <c r="C40" s="15">
        <v>46030</v>
      </c>
      <c r="D40" s="9" t="s">
        <v>415</v>
      </c>
    </row>
    <row r="41" spans="3:4">
      <c r="C41" s="15">
        <v>46031</v>
      </c>
      <c r="D41" s="9" t="s">
        <v>415</v>
      </c>
    </row>
    <row r="42" spans="3:4">
      <c r="C42" s="15">
        <v>46032</v>
      </c>
      <c r="D42" s="9" t="s">
        <v>415</v>
      </c>
    </row>
    <row r="43" spans="3:4">
      <c r="C43" s="15">
        <v>46033</v>
      </c>
      <c r="D43" s="9" t="s">
        <v>415</v>
      </c>
    </row>
    <row r="44" spans="3:4">
      <c r="C44" s="15">
        <v>46034</v>
      </c>
      <c r="D44" s="9" t="s">
        <v>415</v>
      </c>
    </row>
    <row r="45" spans="3:4">
      <c r="C45" s="15">
        <v>46035</v>
      </c>
      <c r="D45" s="9" t="s">
        <v>415</v>
      </c>
    </row>
    <row r="46" spans="3:4">
      <c r="C46" s="15">
        <v>46036</v>
      </c>
      <c r="D46" s="9" t="s">
        <v>415</v>
      </c>
    </row>
    <row r="47" spans="3:4">
      <c r="C47" s="15">
        <v>46037</v>
      </c>
      <c r="D47" s="9" t="s">
        <v>415</v>
      </c>
    </row>
    <row r="48" spans="3:4">
      <c r="C48" s="15">
        <v>46038</v>
      </c>
      <c r="D48" s="9" t="s">
        <v>415</v>
      </c>
    </row>
    <row r="49" spans="3:4">
      <c r="C49" s="15">
        <v>46102</v>
      </c>
      <c r="D49" s="9" t="s">
        <v>399</v>
      </c>
    </row>
    <row r="50" spans="3:4">
      <c r="C50" s="15">
        <v>46115</v>
      </c>
      <c r="D50" s="9" t="s">
        <v>401</v>
      </c>
    </row>
    <row r="51" spans="3:4">
      <c r="C51" s="15">
        <v>46118</v>
      </c>
      <c r="D51" s="9" t="s">
        <v>403</v>
      </c>
    </row>
    <row r="52" spans="3:4">
      <c r="C52" s="15">
        <v>46139</v>
      </c>
      <c r="D52" s="9" t="s">
        <v>405</v>
      </c>
    </row>
    <row r="53" spans="3:4">
      <c r="C53" s="15">
        <v>46143</v>
      </c>
      <c r="D53" s="9" t="s">
        <v>407</v>
      </c>
    </row>
    <row r="54" spans="3:4">
      <c r="C54" s="15">
        <v>46189</v>
      </c>
      <c r="D54" s="9" t="s">
        <v>408</v>
      </c>
    </row>
    <row r="55" spans="3:4">
      <c r="C55" s="15">
        <v>46243</v>
      </c>
      <c r="D55" s="9" t="s">
        <v>409</v>
      </c>
    </row>
    <row r="56" spans="3:4">
      <c r="C56" s="15">
        <v>46244</v>
      </c>
      <c r="D56" s="9" t="s">
        <v>416</v>
      </c>
    </row>
    <row r="57" spans="3:4">
      <c r="C57" s="15">
        <v>46289</v>
      </c>
      <c r="D57" s="9" t="s">
        <v>410</v>
      </c>
    </row>
    <row r="58" spans="3:4">
      <c r="C58" s="15">
        <v>46372</v>
      </c>
      <c r="D58" s="9" t="s">
        <v>411</v>
      </c>
    </row>
    <row r="59" spans="3:4">
      <c r="C59" s="15">
        <v>46381</v>
      </c>
      <c r="D59" s="9" t="s">
        <v>413</v>
      </c>
    </row>
    <row r="60" spans="3:4" ht="12.95" thickBot="1">
      <c r="C60" s="16">
        <v>46382</v>
      </c>
      <c r="D60" s="9" t="s">
        <v>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F62830A-5339-4AA6-89F6-89E44A6934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