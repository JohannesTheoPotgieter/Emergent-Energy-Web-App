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7" documentId="13_ncr:1_{9F2BE52E-091D-4F6F-828B-FF64C17CECDC}" xr6:coauthVersionLast="47" xr6:coauthVersionMax="47" xr10:uidLastSave="{D2105BAC-DF69-4D75-818F-98F6650D985D}"/>
  <bookViews>
    <workbookView minimized="1" xWindow="-18240" yWindow="795" windowWidth="19185" windowHeight="11265" tabRatio="67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3" i="18" l="1"/>
  <c r="W162" i="18"/>
  <c r="Q162" i="18"/>
  <c r="Q161" i="18"/>
  <c r="N26" i="2"/>
  <c r="K26" i="2"/>
  <c r="I50" i="2"/>
  <c r="I49" i="2"/>
  <c r="H6" i="5" l="1"/>
  <c r="W153" i="18" l="1"/>
  <c r="W86" i="18"/>
  <c r="Q86" i="18"/>
  <c r="Q85" i="18"/>
  <c r="Q82" i="18"/>
  <c r="Q81" i="18"/>
  <c r="X81" i="18" s="1"/>
  <c r="Q84" i="18"/>
  <c r="Q83" i="18"/>
  <c r="K42" i="2"/>
  <c r="N42" i="2" s="1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 s="1"/>
  <c r="H66" i="18"/>
  <c r="H99" i="18"/>
  <c r="H38" i="18" s="1"/>
  <c r="H98" i="18"/>
  <c r="H64" i="18" s="1"/>
  <c r="H96" i="18"/>
  <c r="H62" i="18" s="1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116" i="18"/>
  <c r="H40" i="18"/>
  <c r="H122" i="18"/>
  <c r="I25" i="2"/>
  <c r="W137" i="18"/>
  <c r="W8" i="18"/>
  <c r="Q14" i="18"/>
  <c r="X14" i="18" s="1"/>
  <c r="H10" i="3" s="1"/>
  <c r="T107" i="18"/>
  <c r="I32" i="2"/>
  <c r="K32" i="2" s="1"/>
  <c r="T60" i="18"/>
  <c r="T33" i="18" s="1"/>
  <c r="T114" i="18"/>
  <c r="Q156" i="18"/>
  <c r="X156" i="18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4" i="18"/>
  <c r="T160" i="18"/>
  <c r="T163" i="18"/>
  <c r="T166" i="18"/>
  <c r="J143" i="18"/>
  <c r="J136" i="18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5" i="2"/>
  <c r="M40" i="2"/>
  <c r="O19" i="2"/>
  <c r="W33" i="18"/>
  <c r="W60" i="18"/>
  <c r="W114" i="18"/>
  <c r="G12" i="2"/>
  <c r="G11" i="2" s="1"/>
  <c r="F11" i="2" s="1"/>
  <c r="M48" i="2"/>
  <c r="M36" i="2"/>
  <c r="M2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 s="1"/>
  <c r="F16" i="5"/>
  <c r="F13" i="5"/>
  <c r="F15" i="5"/>
  <c r="F1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I18" i="2"/>
  <c r="I24" i="2"/>
  <c r="K19" i="2"/>
  <c r="K18" i="2" s="1"/>
  <c r="J18" i="2" s="1"/>
  <c r="N19" i="2"/>
  <c r="K11" i="2"/>
  <c r="J11" i="2" s="1"/>
  <c r="O11" i="2" s="1"/>
  <c r="I11" i="2"/>
  <c r="K27" i="2"/>
  <c r="N27" i="2" s="1"/>
  <c r="W61" i="18"/>
  <c r="W115" i="18"/>
  <c r="W34" i="18"/>
  <c r="I33" i="2"/>
  <c r="K33" i="2"/>
  <c r="N33" i="2" s="1"/>
  <c r="K31" i="2"/>
  <c r="N31" i="2"/>
  <c r="K37" i="2"/>
  <c r="N37" i="2" s="1"/>
  <c r="K23" i="2"/>
  <c r="N23" i="2"/>
  <c r="T29" i="18"/>
  <c r="K34" i="2"/>
  <c r="N34" i="2"/>
  <c r="W118" i="18"/>
  <c r="W63" i="18"/>
  <c r="W36" i="18"/>
  <c r="W139" i="18"/>
  <c r="W140" i="18"/>
  <c r="W138" i="18"/>
  <c r="C3" i="6"/>
  <c r="K24" i="2"/>
  <c r="N24" i="2"/>
  <c r="I29" i="2"/>
  <c r="N1" i="6"/>
  <c r="U25" i="18"/>
  <c r="I106" i="18"/>
  <c r="F18" i="3" s="1"/>
  <c r="X136" i="18"/>
  <c r="U137" i="18" s="1"/>
  <c r="U139" i="18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 s="1"/>
  <c r="E13" i="2"/>
  <c r="G13" i="2"/>
  <c r="E15" i="2"/>
  <c r="G15" i="2"/>
  <c r="E24" i="2"/>
  <c r="G24" i="2" s="1"/>
  <c r="E18" i="2"/>
  <c r="E33" i="2"/>
  <c r="G33" i="2"/>
  <c r="G31" i="2"/>
  <c r="G19" i="2"/>
  <c r="O1" i="6"/>
  <c r="J11" i="3"/>
  <c r="J15" i="3"/>
  <c r="V127" i="18"/>
  <c r="E11" i="2"/>
  <c r="G18" i="2"/>
  <c r="F18" i="2" s="1"/>
  <c r="E22" i="2"/>
  <c r="P1" i="6"/>
  <c r="W116" i="18"/>
  <c r="H15" i="5"/>
  <c r="G22" i="2"/>
  <c r="K41" i="2"/>
  <c r="Q1" i="6"/>
  <c r="E23" i="2"/>
  <c r="N41" i="2"/>
  <c r="R1" i="6"/>
  <c r="G23" i="2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/>
  <c r="K40" i="2"/>
  <c r="D24" i="13"/>
  <c r="G24" i="13"/>
  <c r="F24" i="13"/>
  <c r="E24" i="13"/>
  <c r="C24" i="13"/>
  <c r="U158" i="18" l="1"/>
  <c r="K25" i="2"/>
  <c r="J25" i="2" s="1"/>
  <c r="M21" i="2" s="1"/>
  <c r="N25" i="2"/>
  <c r="M18" i="2"/>
  <c r="O18" i="2"/>
  <c r="K29" i="2"/>
  <c r="J29" i="2" s="1"/>
  <c r="O29" i="2" s="1"/>
  <c r="N32" i="2"/>
  <c r="N29" i="2" s="1"/>
  <c r="E25" i="2"/>
  <c r="H65" i="18"/>
  <c r="EO5" i="6" s="1"/>
  <c r="H120" i="18"/>
  <c r="KD5" i="6" s="1"/>
  <c r="N18" i="2"/>
  <c r="E32" i="2"/>
  <c r="G32" i="2" s="1"/>
  <c r="E37" i="2" s="1"/>
  <c r="I38" i="2"/>
  <c r="H119" i="18"/>
  <c r="H39" i="18"/>
  <c r="I22" i="2"/>
  <c r="F18" i="5"/>
  <c r="F21" i="5" s="1"/>
  <c r="H37" i="18"/>
  <c r="DE5" i="6" s="1"/>
  <c r="H35" i="18"/>
  <c r="H21" i="3"/>
  <c r="J21" i="3" s="1"/>
  <c r="U138" i="18"/>
  <c r="U136" i="18"/>
  <c r="U160" i="18"/>
  <c r="F5" i="3"/>
  <c r="D5" i="5" s="1"/>
  <c r="JE5" i="6"/>
  <c r="HV5" i="6"/>
  <c r="GB5" i="6"/>
  <c r="KC5" i="6"/>
  <c r="HP17" i="6"/>
  <c r="FW17" i="6"/>
  <c r="FA17" i="6"/>
  <c r="AW17" i="6"/>
  <c r="V22" i="18"/>
  <c r="HE17" i="6"/>
  <c r="GI17" i="6"/>
  <c r="EP17" i="6"/>
  <c r="BU5" i="6"/>
  <c r="H9" i="3"/>
  <c r="J9" i="3" s="1"/>
  <c r="U12" i="18"/>
  <c r="V6" i="18" s="1"/>
  <c r="IS17" i="6"/>
  <c r="DY17" i="6"/>
  <c r="CB17" i="6"/>
  <c r="HT5" i="6"/>
  <c r="G17" i="6"/>
  <c r="KP17" i="6"/>
  <c r="JV17" i="6"/>
  <c r="HT17" i="6"/>
  <c r="HI17" i="6"/>
  <c r="GB17" i="6"/>
  <c r="FF17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BB5" i="6"/>
  <c r="BM5" i="6"/>
  <c r="CI5" i="6"/>
  <c r="CT5" i="6"/>
  <c r="JJ5" i="6"/>
  <c r="KQ5" i="6"/>
  <c r="KJ5" i="6"/>
  <c r="IS5" i="6"/>
  <c r="CO5" i="6"/>
  <c r="CZ5" i="6"/>
  <c r="EG5" i="6"/>
  <c r="ER5" i="6"/>
  <c r="AL5" i="6"/>
  <c r="BC5" i="6"/>
  <c r="BN5" i="6"/>
  <c r="BZ5" i="6"/>
  <c r="HW5" i="6"/>
  <c r="IO5" i="6"/>
  <c r="JD5" i="6"/>
  <c r="KG5" i="6"/>
  <c r="DA5" i="6"/>
  <c r="DL5" i="6"/>
  <c r="DW5" i="6"/>
  <c r="ES5" i="6"/>
  <c r="BW5" i="6"/>
  <c r="CH5" i="6"/>
  <c r="CS5" i="6"/>
  <c r="DD5" i="6"/>
  <c r="LA5" i="6"/>
  <c r="BA5" i="6"/>
  <c r="DK5" i="6"/>
  <c r="EF5" i="6"/>
  <c r="GI5" i="6"/>
  <c r="GT5" i="6"/>
  <c r="HE5" i="6"/>
  <c r="HP5" i="6"/>
  <c r="KR5" i="6"/>
  <c r="J5" i="6"/>
  <c r="Z5" i="6"/>
  <c r="AY5" i="6"/>
  <c r="HB5" i="6"/>
  <c r="AI5" i="6"/>
  <c r="BP5" i="6"/>
  <c r="EL5" i="6"/>
  <c r="ED5" i="6"/>
  <c r="F5" i="6"/>
  <c r="CG5" i="6"/>
  <c r="FJ5" i="6"/>
  <c r="ET5" i="6"/>
  <c r="FA5" i="6"/>
  <c r="GF5" i="6"/>
  <c r="GM5" i="6"/>
  <c r="DN5" i="6"/>
  <c r="II5" i="6"/>
  <c r="JK5" i="6"/>
  <c r="AA5" i="6"/>
  <c r="EW17" i="6"/>
  <c r="Y17" i="6"/>
  <c r="KI5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 s="1"/>
  <c r="U152" i="18"/>
  <c r="U52" i="18"/>
  <c r="U51" i="18"/>
  <c r="V45" i="18" s="1"/>
  <c r="GM17" i="6"/>
  <c r="CM17" i="6"/>
  <c r="IR17" i="6"/>
  <c r="L17" i="6"/>
  <c r="V17" i="6"/>
  <c r="H14" i="3"/>
  <c r="J14" i="3" s="1"/>
  <c r="DX5" i="6"/>
  <c r="FG17" i="6"/>
  <c r="DH5" i="6"/>
  <c r="IJ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K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GC17" i="6"/>
  <c r="JA17" i="6"/>
  <c r="EI17" i="6"/>
  <c r="BE17" i="6"/>
  <c r="DI5" i="6"/>
  <c r="U50" i="18"/>
  <c r="IE17" i="6"/>
  <c r="FE5" i="6"/>
  <c r="JU17" i="6"/>
  <c r="AX17" i="6"/>
  <c r="BL17" i="6"/>
  <c r="AN17" i="6"/>
  <c r="U124" i="18"/>
  <c r="HM5" i="6"/>
  <c r="CB5" i="6"/>
  <c r="KH5" i="6"/>
  <c r="KI17" i="6"/>
  <c r="AC17" i="6"/>
  <c r="KR17" i="6"/>
  <c r="JM17" i="6"/>
  <c r="JB17" i="6"/>
  <c r="EJ17" i="6"/>
  <c r="BN17" i="6"/>
  <c r="IZ5" i="6"/>
  <c r="FN17" i="6"/>
  <c r="CL17" i="6"/>
  <c r="EP5" i="6"/>
  <c r="DI17" i="6"/>
  <c r="KN17" i="6"/>
  <c r="GJ17" i="6"/>
  <c r="EQ17" i="6"/>
  <c r="CU17" i="6"/>
  <c r="J19" i="3"/>
  <c r="KW5" i="6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 s="1"/>
  <c r="JO17" i="6"/>
  <c r="IB17" i="6"/>
  <c r="KK17" i="6"/>
  <c r="JY17" i="6"/>
  <c r="IC17" i="6"/>
  <c r="EH17" i="6"/>
  <c r="BY17" i="6"/>
  <c r="T17" i="6"/>
  <c r="H16" i="3"/>
  <c r="N40" i="2"/>
  <c r="W98" i="18"/>
  <c r="W127" i="18"/>
  <c r="J40" i="2"/>
  <c r="O40" i="2" s="1"/>
  <c r="P16" i="5"/>
  <c r="W157" i="18"/>
  <c r="K46" i="2"/>
  <c r="N46" i="2" s="1"/>
  <c r="N45" i="2" s="1"/>
  <c r="I45" i="2"/>
  <c r="J9" i="2"/>
  <c r="T19" i="2"/>
  <c r="T21" i="2" s="1"/>
  <c r="T22" i="2" s="1"/>
  <c r="M9" i="2"/>
  <c r="N11" i="2"/>
  <c r="F47" i="5" l="1"/>
  <c r="F4" i="5"/>
  <c r="C9" i="6" s="1"/>
  <c r="G37" i="2"/>
  <c r="H14" i="5"/>
  <c r="FO5" i="6"/>
  <c r="X5" i="6"/>
  <c r="KE5" i="6"/>
  <c r="JC5" i="6"/>
  <c r="GA5" i="6"/>
  <c r="M5" i="6"/>
  <c r="BL5" i="6"/>
  <c r="AV5" i="6"/>
  <c r="HO5" i="6"/>
  <c r="IH5" i="6"/>
  <c r="DY5" i="6"/>
  <c r="IW5" i="6"/>
  <c r="H5" i="6"/>
  <c r="IV5" i="6"/>
  <c r="CF5" i="6"/>
  <c r="IN5" i="6"/>
  <c r="FB5" i="6"/>
  <c r="IQ5" i="6"/>
  <c r="AJ5" i="6"/>
  <c r="AR5" i="6"/>
  <c r="GP5" i="6"/>
  <c r="EB5" i="6"/>
  <c r="AQ5" i="6"/>
  <c r="HK5" i="6"/>
  <c r="O5" i="6"/>
  <c r="IA5" i="6"/>
  <c r="G25" i="2"/>
  <c r="G21" i="2" s="1"/>
  <c r="E27" i="2"/>
  <c r="G27" i="2" s="1"/>
  <c r="FW5" i="6"/>
  <c r="CP5" i="6"/>
  <c r="CD5" i="6"/>
  <c r="KP5" i="6"/>
  <c r="IE5" i="6"/>
  <c r="LC5" i="6"/>
  <c r="R5" i="6"/>
  <c r="JW5" i="6"/>
  <c r="JT5" i="6"/>
  <c r="BT5" i="6"/>
  <c r="BH5" i="6"/>
  <c r="DR5" i="6"/>
  <c r="HX5" i="6"/>
  <c r="KO5" i="6"/>
  <c r="HZ5" i="6"/>
  <c r="IG5" i="6"/>
  <c r="KL5" i="6"/>
  <c r="GS5" i="6"/>
  <c r="EQ5" i="6"/>
  <c r="HJ5" i="6"/>
  <c r="LB5" i="6"/>
  <c r="AG5" i="6"/>
  <c r="GE5" i="6"/>
  <c r="AW5" i="6"/>
  <c r="AF5" i="6"/>
  <c r="GZ5" i="6"/>
  <c r="IM5" i="6"/>
  <c r="K38" i="2"/>
  <c r="N38" i="2" s="1"/>
  <c r="I36" i="2"/>
  <c r="CW5" i="6"/>
  <c r="W5" i="6"/>
  <c r="BK5" i="6"/>
  <c r="JN5" i="6"/>
  <c r="DG5" i="6"/>
  <c r="AZ5" i="6"/>
  <c r="FM5" i="6"/>
  <c r="AU5" i="6"/>
  <c r="HA5" i="6"/>
  <c r="IR5" i="6"/>
  <c r="AK5" i="6"/>
  <c r="CL5" i="6"/>
  <c r="GQ5" i="6"/>
  <c r="EE5" i="6"/>
  <c r="AO5" i="6"/>
  <c r="KY5" i="6"/>
  <c r="KX5" i="6"/>
  <c r="FQ5" i="6"/>
  <c r="JX5" i="6"/>
  <c r="BY5" i="6"/>
  <c r="JR5" i="6"/>
  <c r="GL5" i="6"/>
  <c r="DU5" i="6"/>
  <c r="GY5" i="6"/>
  <c r="JU5" i="6"/>
  <c r="HR5" i="6"/>
  <c r="FT5" i="6"/>
  <c r="JP5" i="6"/>
  <c r="DQ5" i="6"/>
  <c r="GO5" i="6"/>
  <c r="AN5" i="6"/>
  <c r="FF5" i="6"/>
  <c r="JH5" i="6"/>
  <c r="HL5" i="6"/>
  <c r="GR5" i="6"/>
  <c r="AT5" i="6"/>
  <c r="DT5" i="6"/>
  <c r="BO5" i="6"/>
  <c r="BD5" i="6"/>
  <c r="JA5" i="6"/>
  <c r="P5" i="6"/>
  <c r="I5" i="6"/>
  <c r="L5" i="6"/>
  <c r="JI5" i="6"/>
  <c r="EZ5" i="6"/>
  <c r="CY5" i="6"/>
  <c r="GN5" i="6"/>
  <c r="IY5" i="6"/>
  <c r="GV5" i="6"/>
  <c r="FP5" i="6"/>
  <c r="IB5" i="6"/>
  <c r="JY5" i="6"/>
  <c r="GD5" i="6"/>
  <c r="JL5" i="6"/>
  <c r="JF5" i="6"/>
  <c r="HN5" i="6"/>
  <c r="JO5" i="6"/>
  <c r="BF5" i="6"/>
  <c r="T5" i="6"/>
  <c r="FK5" i="6"/>
  <c r="Y5" i="6"/>
  <c r="IT5" i="6"/>
  <c r="FU5" i="6"/>
  <c r="IK5" i="6"/>
  <c r="EY5" i="6"/>
  <c r="CR5" i="6"/>
  <c r="KA5" i="6"/>
  <c r="BQ5" i="6"/>
  <c r="GX5" i="6"/>
  <c r="IL5" i="6"/>
  <c r="HH5" i="6"/>
  <c r="FV5" i="6"/>
  <c r="G5" i="6"/>
  <c r="EN5" i="6"/>
  <c r="EU5" i="6"/>
  <c r="IF5" i="6"/>
  <c r="EJ5" i="6"/>
  <c r="CN5" i="6"/>
  <c r="GC5" i="6"/>
  <c r="IC5" i="6"/>
  <c r="EH5" i="6"/>
  <c r="FI5" i="6"/>
  <c r="HF5" i="6"/>
  <c r="HQ5" i="6"/>
  <c r="FS5" i="6"/>
  <c r="LD5" i="6"/>
  <c r="CK5" i="6"/>
  <c r="JG5" i="6"/>
  <c r="EX5" i="6"/>
  <c r="AM5" i="6"/>
  <c r="FX5" i="6"/>
  <c r="JV5" i="6"/>
  <c r="HD5" i="6"/>
  <c r="BR5" i="6"/>
  <c r="DS5" i="6"/>
  <c r="FH5" i="6"/>
  <c r="IU5" i="6"/>
  <c r="FL5" i="6"/>
  <c r="KM5" i="6"/>
  <c r="HI5" i="6"/>
  <c r="BG5" i="6"/>
  <c r="CE5" i="6"/>
  <c r="GJ5" i="6"/>
  <c r="BX5" i="6"/>
  <c r="EW5" i="6"/>
  <c r="KS5" i="6"/>
  <c r="V136" i="18"/>
  <c r="KB5" i="6"/>
  <c r="HU5" i="6"/>
  <c r="ID5" i="6"/>
  <c r="AX5" i="6"/>
  <c r="KF5" i="6"/>
  <c r="BJ5" i="6"/>
  <c r="IX5" i="6"/>
  <c r="EC5" i="6"/>
  <c r="U5" i="6"/>
  <c r="AP5" i="6"/>
  <c r="EV5" i="6"/>
  <c r="GK5" i="6"/>
  <c r="AC5" i="6"/>
  <c r="DF5" i="6"/>
  <c r="FY5" i="6"/>
  <c r="BS5" i="6"/>
  <c r="EA5" i="6"/>
  <c r="BE5" i="6"/>
  <c r="N22" i="2"/>
  <c r="I21" i="2"/>
  <c r="K22" i="2"/>
  <c r="DM5" i="6"/>
  <c r="KZ5" i="6"/>
  <c r="HY5" i="6"/>
  <c r="FR5" i="6"/>
  <c r="GU5" i="6"/>
  <c r="GW5" i="6"/>
  <c r="CC5" i="6"/>
  <c r="BV5" i="6"/>
  <c r="KU5" i="6"/>
  <c r="HC5" i="6"/>
  <c r="AB5" i="6"/>
  <c r="AS5" i="6"/>
  <c r="JZ5" i="6"/>
  <c r="KT5" i="6"/>
  <c r="V5" i="6"/>
  <c r="CV5" i="6"/>
  <c r="K5" i="6"/>
  <c r="Q5" i="6"/>
  <c r="DZ5" i="6"/>
  <c r="FZ5" i="6"/>
  <c r="N5" i="6"/>
  <c r="CU5" i="6"/>
  <c r="FN5" i="6"/>
  <c r="BI5" i="6"/>
  <c r="DP5" i="6"/>
  <c r="JB5" i="6"/>
  <c r="JM5" i="6"/>
  <c r="GH5" i="6"/>
  <c r="DB5" i="6"/>
  <c r="DJ5" i="6"/>
  <c r="CX5" i="6"/>
  <c r="DC5" i="6"/>
  <c r="HG5" i="6"/>
  <c r="DV5" i="6"/>
  <c r="JS5" i="6"/>
  <c r="KN5" i="6"/>
  <c r="CA5" i="6"/>
  <c r="GG5" i="6"/>
  <c r="AH5" i="6"/>
  <c r="FG5" i="6"/>
  <c r="EM5" i="6"/>
  <c r="AD5" i="6"/>
  <c r="CQ5" i="6"/>
  <c r="EI5" i="6"/>
  <c r="AE5" i="6"/>
  <c r="D5" i="6" s="1"/>
  <c r="JQ5" i="6"/>
  <c r="HS5" i="6"/>
  <c r="IP5" i="6"/>
  <c r="CM5" i="6"/>
  <c r="KK5" i="6"/>
  <c r="EK5" i="6"/>
  <c r="DO5" i="6"/>
  <c r="FD5" i="6"/>
  <c r="KV5" i="6"/>
  <c r="CJ5" i="6"/>
  <c r="FC5" i="6"/>
  <c r="S5" i="6"/>
  <c r="E21" i="2"/>
  <c r="V156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F6" i="6"/>
  <c r="G6" i="6" s="1"/>
  <c r="H6" i="6" s="1"/>
  <c r="I6" i="6" s="1"/>
  <c r="J6" i="6" s="1"/>
  <c r="K6" i="6" s="1"/>
  <c r="U30" i="18"/>
  <c r="H12" i="3"/>
  <c r="J12" i="3" s="1"/>
  <c r="U32" i="18"/>
  <c r="U41" i="18"/>
  <c r="U43" i="18"/>
  <c r="U31" i="18"/>
  <c r="U42" i="18"/>
  <c r="D6" i="5"/>
  <c r="G6" i="5" s="1"/>
  <c r="C5" i="6"/>
  <c r="D17" i="6"/>
  <c r="C17" i="6" s="1"/>
  <c r="J16" i="3"/>
  <c r="J5" i="3" s="1"/>
  <c r="H5" i="3"/>
  <c r="K45" i="2"/>
  <c r="J45" i="2" s="1"/>
  <c r="O45" i="2" s="1"/>
  <c r="W119" i="18"/>
  <c r="W64" i="18"/>
  <c r="W37" i="18"/>
  <c r="F21" i="2" l="1"/>
  <c r="L6" i="6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K36" i="2"/>
  <c r="J36" i="2" s="1"/>
  <c r="O36" i="2" s="1"/>
  <c r="N36" i="2"/>
  <c r="E38" i="2"/>
  <c r="K21" i="2"/>
  <c r="J21" i="2" s="1"/>
  <c r="O21" i="2" s="1"/>
  <c r="N21" i="2"/>
  <c r="F45" i="5"/>
  <c r="F41" i="5"/>
  <c r="F46" i="5" s="1"/>
  <c r="F44" i="5"/>
  <c r="F42" i="5"/>
  <c r="F43" i="5"/>
  <c r="D18" i="6"/>
  <c r="C18" i="6" s="1"/>
  <c r="D7" i="5"/>
  <c r="V29" i="18"/>
  <c r="F5" i="5"/>
  <c r="H25" i="3"/>
  <c r="I54" i="2"/>
  <c r="K50" i="2"/>
  <c r="N50" i="2" s="1"/>
  <c r="I52" i="2"/>
  <c r="K49" i="2"/>
  <c r="N49" i="2" s="1"/>
  <c r="G38" i="2" l="1"/>
  <c r="E36" i="2"/>
  <c r="F6" i="5"/>
  <c r="F7" i="5" s="1"/>
  <c r="C11" i="6"/>
  <c r="K54" i="2"/>
  <c r="N54" i="2" s="1"/>
  <c r="W99" i="18"/>
  <c r="W101" i="18"/>
  <c r="W100" i="18"/>
  <c r="I51" i="2"/>
  <c r="K52" i="2"/>
  <c r="I53" i="2" s="1"/>
  <c r="P17" i="5"/>
  <c r="N52" i="2" l="1"/>
  <c r="E34" i="2"/>
  <c r="G36" i="2"/>
  <c r="F36" i="2" s="1"/>
  <c r="K53" i="2"/>
  <c r="N53" i="2" s="1"/>
  <c r="K51" i="2"/>
  <c r="N51" i="2" s="1"/>
  <c r="I48" i="2"/>
  <c r="W121" i="18"/>
  <c r="W66" i="18"/>
  <c r="W39" i="18"/>
  <c r="W67" i="18"/>
  <c r="W40" i="18"/>
  <c r="W122" i="18"/>
  <c r="W120" i="18"/>
  <c r="W65" i="18"/>
  <c r="W38" i="18"/>
  <c r="G34" i="2" l="1"/>
  <c r="G29" i="2" s="1"/>
  <c r="E29" i="2"/>
  <c r="P18" i="5"/>
  <c r="H18" i="5"/>
  <c r="K48" i="2"/>
  <c r="J48" i="2" s="1"/>
  <c r="O48" i="2" s="1"/>
  <c r="N48" i="2"/>
  <c r="N9" i="2" s="1"/>
  <c r="T11" i="6"/>
  <c r="DB11" i="6"/>
  <c r="KU11" i="6"/>
  <c r="IX11" i="6"/>
  <c r="BE11" i="6"/>
  <c r="GD11" i="6"/>
  <c r="CS11" i="6"/>
  <c r="DA11" i="6"/>
  <c r="HP11" i="6"/>
  <c r="J11" i="6"/>
  <c r="JG11" i="6"/>
  <c r="HX11" i="6"/>
  <c r="KF11" i="6"/>
  <c r="JU11" i="6"/>
  <c r="FS11" i="6"/>
  <c r="HS11" i="6"/>
  <c r="KE11" i="6"/>
  <c r="BN11" i="6"/>
  <c r="HY11" i="6"/>
  <c r="HF11" i="6"/>
  <c r="K11" i="6"/>
  <c r="DS11" i="6"/>
  <c r="IU11" i="6"/>
  <c r="CQ11" i="6"/>
  <c r="HJ11" i="6"/>
  <c r="ET11" i="6"/>
  <c r="GQ11" i="6"/>
  <c r="BZ11" i="6"/>
  <c r="V11" i="6"/>
  <c r="BI11" i="6"/>
  <c r="IK11" i="6"/>
  <c r="U11" i="6"/>
  <c r="FF11" i="6"/>
  <c r="FK11" i="6"/>
  <c r="HU11" i="6"/>
  <c r="JB11" i="6"/>
  <c r="FA11" i="6"/>
  <c r="AW11" i="6"/>
  <c r="BB11" i="6"/>
  <c r="FZ11" i="6"/>
  <c r="KM11" i="6"/>
  <c r="T4" i="5"/>
  <c r="HI11" i="6"/>
  <c r="BL11" i="6"/>
  <c r="GP11" i="6"/>
  <c r="KR11" i="6"/>
  <c r="AZ11" i="6"/>
  <c r="JV11" i="6"/>
  <c r="DK11" i="6"/>
  <c r="G11" i="6"/>
  <c r="KZ11" i="6"/>
  <c r="AK11" i="6"/>
  <c r="KC11" i="6"/>
  <c r="DL11" i="6"/>
  <c r="KT11" i="6"/>
  <c r="AN11" i="6"/>
  <c r="CH11" i="6"/>
  <c r="KI11" i="6"/>
  <c r="AE11" i="6"/>
  <c r="AF11" i="6"/>
  <c r="AL11" i="6"/>
  <c r="CM11" i="6"/>
  <c r="JR11" i="6"/>
  <c r="DV11" i="6"/>
  <c r="IH11" i="6"/>
  <c r="FN11" i="6"/>
  <c r="GY11" i="6"/>
  <c r="JY11" i="6"/>
  <c r="EF11" i="6"/>
  <c r="BW11" i="6"/>
  <c r="DE11" i="6"/>
  <c r="ER11" i="6"/>
  <c r="N11" i="6"/>
  <c r="EN11" i="6"/>
  <c r="JF11" i="6"/>
  <c r="CK11" i="6"/>
  <c r="KL11" i="6"/>
  <c r="L11" i="6"/>
  <c r="IP11" i="6"/>
  <c r="HC11" i="6"/>
  <c r="CU11" i="6"/>
  <c r="CF11" i="6"/>
  <c r="BU11" i="6"/>
  <c r="LC11" i="6"/>
  <c r="KN11" i="6"/>
  <c r="FR11" i="6"/>
  <c r="KV11" i="6"/>
  <c r="AU11" i="6"/>
  <c r="IT11" i="6"/>
  <c r="JC11" i="6"/>
  <c r="BX11" i="6"/>
  <c r="CZ11" i="6"/>
  <c r="GR11" i="6"/>
  <c r="IN11" i="6"/>
  <c r="HL11" i="6"/>
  <c r="JM11" i="6"/>
  <c r="EZ11" i="6"/>
  <c r="HZ11" i="6"/>
  <c r="IE11" i="6"/>
  <c r="AV11" i="6"/>
  <c r="DP11" i="6"/>
  <c r="GV11" i="6"/>
  <c r="X11" i="6"/>
  <c r="DQ11" i="6"/>
  <c r="IY11" i="6"/>
  <c r="HQ11" i="6"/>
  <c r="EM11" i="6"/>
  <c r="EW11" i="6"/>
  <c r="DD11" i="6"/>
  <c r="FI11" i="6"/>
  <c r="Q4" i="5"/>
  <c r="HE11" i="6"/>
  <c r="W11" i="6"/>
  <c r="IQ11" i="6"/>
  <c r="AH11" i="6"/>
  <c r="KQ11" i="6"/>
  <c r="IS11" i="6"/>
  <c r="FT11" i="6"/>
  <c r="KJ11" i="6"/>
  <c r="Q11" i="6"/>
  <c r="ID11" i="6"/>
  <c r="HN11" i="6"/>
  <c r="KA11" i="6"/>
  <c r="HD11" i="6"/>
  <c r="P11" i="6"/>
  <c r="CW11" i="6"/>
  <c r="FL11" i="6"/>
  <c r="EP11" i="6"/>
  <c r="FU11" i="6"/>
  <c r="IB11" i="6"/>
  <c r="CV11" i="6"/>
  <c r="JA11" i="6"/>
  <c r="BD11" i="6"/>
  <c r="HO11" i="6"/>
  <c r="JD11" i="6"/>
  <c r="KD11" i="6"/>
  <c r="DJ11" i="6"/>
  <c r="IG11" i="6"/>
  <c r="S4" i="5"/>
  <c r="DN11" i="6"/>
  <c r="JK11" i="6"/>
  <c r="AR11" i="6"/>
  <c r="BV11" i="6"/>
  <c r="KB11" i="6"/>
  <c r="FV11" i="6"/>
  <c r="DY11" i="6"/>
  <c r="JQ11" i="6"/>
  <c r="CD11" i="6"/>
  <c r="EI11" i="6"/>
  <c r="KK11" i="6"/>
  <c r="ES11" i="6"/>
  <c r="FW11" i="6"/>
  <c r="IO11" i="6"/>
  <c r="AQ11" i="6"/>
  <c r="EQ11" i="6"/>
  <c r="KP11" i="6"/>
  <c r="JT11" i="6"/>
  <c r="HK11" i="6"/>
  <c r="CN11" i="6"/>
  <c r="BS11" i="6"/>
  <c r="EB11" i="6"/>
  <c r="HG11" i="6"/>
  <c r="IA11" i="6"/>
  <c r="FE11" i="6"/>
  <c r="AA11" i="6"/>
  <c r="BR11" i="6"/>
  <c r="GL11" i="6"/>
  <c r="DI11" i="6"/>
  <c r="GM11" i="6"/>
  <c r="GH11" i="6"/>
  <c r="JH11" i="6"/>
  <c r="JN11" i="6"/>
  <c r="GB11" i="6"/>
  <c r="GC11" i="6"/>
  <c r="HT11" i="6"/>
  <c r="JO11" i="6"/>
  <c r="CI11" i="6"/>
  <c r="IJ11" i="6"/>
  <c r="GN11" i="6"/>
  <c r="DG11" i="6"/>
  <c r="CR11" i="6"/>
  <c r="GW11" i="6"/>
  <c r="M11" i="6"/>
  <c r="IF11" i="6"/>
  <c r="DX11" i="6"/>
  <c r="BQ11" i="6"/>
  <c r="EK11" i="6"/>
  <c r="IR11" i="6"/>
  <c r="JE11" i="6"/>
  <c r="DZ11" i="6"/>
  <c r="GI11" i="6"/>
  <c r="GG11" i="6"/>
  <c r="R11" i="6"/>
  <c r="JZ11" i="6"/>
  <c r="FJ11" i="6"/>
  <c r="KY11" i="6"/>
  <c r="BO11" i="6"/>
  <c r="Y11" i="6"/>
  <c r="GK11" i="6"/>
  <c r="Z11" i="6"/>
  <c r="GA11" i="6"/>
  <c r="CP11" i="6"/>
  <c r="KG11" i="6"/>
  <c r="FC11" i="6"/>
  <c r="HV11" i="6"/>
  <c r="LA11" i="6"/>
  <c r="FM11" i="6"/>
  <c r="FB11" i="6"/>
  <c r="HH11" i="6"/>
  <c r="DO11" i="6"/>
  <c r="S11" i="6"/>
  <c r="JS11" i="6"/>
  <c r="CA11" i="6"/>
  <c r="AT11" i="6"/>
  <c r="EG11" i="6"/>
  <c r="AP11" i="6"/>
  <c r="HB11" i="6"/>
  <c r="FH11" i="6"/>
  <c r="CB11" i="6"/>
  <c r="AB11" i="6"/>
  <c r="EO11" i="6"/>
  <c r="GT11" i="6"/>
  <c r="CG11" i="6"/>
  <c r="P4" i="5"/>
  <c r="AM11" i="6"/>
  <c r="H11" i="6"/>
  <c r="IL11" i="6"/>
  <c r="JL11" i="6"/>
  <c r="CL11" i="6"/>
  <c r="BP11" i="6"/>
  <c r="CT11" i="6"/>
  <c r="IV11" i="6"/>
  <c r="U4" i="5"/>
  <c r="BF11" i="6"/>
  <c r="CJ11" i="6"/>
  <c r="AC11" i="6"/>
  <c r="EX11" i="6"/>
  <c r="CX11" i="6"/>
  <c r="BK11" i="6"/>
  <c r="BH11" i="6"/>
  <c r="DU11" i="6"/>
  <c r="R4" i="5"/>
  <c r="EA11" i="6"/>
  <c r="EY11" i="6"/>
  <c r="GF11" i="6"/>
  <c r="JJ11" i="6"/>
  <c r="FQ11" i="6"/>
  <c r="DF11" i="6"/>
  <c r="LD11" i="6"/>
  <c r="EC11" i="6"/>
  <c r="EL11" i="6"/>
  <c r="EJ11" i="6"/>
  <c r="II11" i="6"/>
  <c r="LB11" i="6"/>
  <c r="EE11" i="6"/>
  <c r="CY11" i="6"/>
  <c r="GS11" i="6"/>
  <c r="DW11" i="6"/>
  <c r="FP11" i="6"/>
  <c r="F11" i="6"/>
  <c r="BC11" i="6"/>
  <c r="DH11" i="6"/>
  <c r="JW11" i="6"/>
  <c r="ED11" i="6"/>
  <c r="HW11" i="6"/>
  <c r="BA11" i="6"/>
  <c r="KO11" i="6"/>
  <c r="DM11" i="6"/>
  <c r="HA11" i="6"/>
  <c r="DC11" i="6"/>
  <c r="IM11" i="6"/>
  <c r="GX11" i="6"/>
  <c r="CE11" i="6"/>
  <c r="BJ11" i="6"/>
  <c r="FG11" i="6"/>
  <c r="FO11" i="6"/>
  <c r="HM11" i="6"/>
  <c r="AG11" i="6"/>
  <c r="KH11" i="6"/>
  <c r="GZ11" i="6"/>
  <c r="IZ11" i="6"/>
  <c r="GJ11" i="6"/>
  <c r="BM11" i="6"/>
  <c r="BY11" i="6"/>
  <c r="FD11" i="6"/>
  <c r="AS11" i="6"/>
  <c r="JX11" i="6"/>
  <c r="FY11" i="6"/>
  <c r="DR11" i="6"/>
  <c r="CC11" i="6"/>
  <c r="AJ11" i="6"/>
  <c r="BT11" i="6"/>
  <c r="IW11" i="6"/>
  <c r="I11" i="6"/>
  <c r="GU11" i="6"/>
  <c r="IC11" i="6"/>
  <c r="KX11" i="6"/>
  <c r="O11" i="6"/>
  <c r="HR11" i="6"/>
  <c r="EV11" i="6"/>
  <c r="FX11" i="6"/>
  <c r="JP11" i="6"/>
  <c r="BG11" i="6"/>
  <c r="CO11" i="6"/>
  <c r="JI11" i="6"/>
  <c r="EH11" i="6"/>
  <c r="DT11" i="6"/>
  <c r="EU11" i="6"/>
  <c r="AD11" i="6"/>
  <c r="KW11" i="6"/>
  <c r="AX11" i="6"/>
  <c r="AY11" i="6"/>
  <c r="AO11" i="6"/>
  <c r="GE11" i="6"/>
  <c r="AI11" i="6"/>
  <c r="KS11" i="6"/>
  <c r="GO11" i="6"/>
  <c r="F29" i="2" l="1"/>
  <c r="E41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Q9" i="6"/>
  <c r="CQ9" i="6"/>
  <c r="FG9" i="6"/>
  <c r="CO9" i="6"/>
  <c r="KL9" i="6"/>
  <c r="HW9" i="6"/>
  <c r="H9" i="6"/>
  <c r="O9" i="6"/>
  <c r="DG9" i="6"/>
  <c r="DZ9" i="6"/>
  <c r="AS9" i="6"/>
  <c r="BX9" i="6"/>
  <c r="IA9" i="6"/>
  <c r="KF9" i="6"/>
  <c r="GJ9" i="6"/>
  <c r="ID9" i="6"/>
  <c r="IP9" i="6"/>
  <c r="FU9" i="6"/>
  <c r="AB9" i="6"/>
  <c r="BN9" i="6"/>
  <c r="DJ9" i="6"/>
  <c r="X9" i="6"/>
  <c r="IW9" i="6"/>
  <c r="CB9" i="6"/>
  <c r="CS9" i="6"/>
  <c r="CV9" i="6"/>
  <c r="HQ9" i="6"/>
  <c r="EB9" i="6"/>
  <c r="AO9" i="6"/>
  <c r="CP9" i="6"/>
  <c r="CK9" i="6"/>
  <c r="ES9" i="6"/>
  <c r="EA9" i="6"/>
  <c r="JA9" i="6"/>
  <c r="HA9" i="6"/>
  <c r="CZ9" i="6"/>
  <c r="LA9" i="6"/>
  <c r="DO9" i="6"/>
  <c r="DE9" i="6"/>
  <c r="JK9" i="6"/>
  <c r="JT9" i="6"/>
  <c r="JV9" i="6"/>
  <c r="GK9" i="6"/>
  <c r="AA9" i="6"/>
  <c r="DT9" i="6"/>
  <c r="FP9" i="6"/>
  <c r="CM9" i="6"/>
  <c r="HN9" i="6"/>
  <c r="LB9" i="6"/>
  <c r="AZ9" i="6"/>
  <c r="KW9" i="6"/>
  <c r="CA9" i="6"/>
  <c r="CG9" i="6"/>
  <c r="LC9" i="6"/>
  <c r="HG9" i="6"/>
  <c r="HP9" i="6"/>
  <c r="KX9" i="6"/>
  <c r="GQ9" i="6"/>
  <c r="GT9" i="6"/>
  <c r="KU9" i="6"/>
  <c r="ER9" i="6"/>
  <c r="FI9" i="6"/>
  <c r="GP9" i="6"/>
  <c r="EC9" i="6"/>
  <c r="JF9" i="6"/>
  <c r="II9" i="6"/>
  <c r="JG9" i="6"/>
  <c r="L9" i="6"/>
  <c r="FO9" i="6"/>
  <c r="IM9" i="6"/>
  <c r="BG9" i="6"/>
  <c r="Y9" i="6"/>
  <c r="GN9" i="6"/>
  <c r="GH9" i="6"/>
  <c r="EG9" i="6"/>
  <c r="EO9" i="6"/>
  <c r="HZ9" i="6"/>
  <c r="BT9" i="6"/>
  <c r="F9" i="6"/>
  <c r="IK9" i="6"/>
  <c r="DB9" i="6"/>
  <c r="CH9" i="6"/>
  <c r="DL9" i="6"/>
  <c r="FM9" i="6"/>
  <c r="LD9" i="6"/>
  <c r="IC9" i="6"/>
  <c r="DP9" i="6"/>
  <c r="GA9" i="6"/>
  <c r="FH9" i="6"/>
  <c r="IZ9" i="6"/>
  <c r="GL9" i="6"/>
  <c r="DD9" i="6"/>
  <c r="DR9" i="6"/>
  <c r="FS9" i="6"/>
  <c r="DU9" i="6"/>
  <c r="FQ9" i="6"/>
  <c r="BH9" i="6"/>
  <c r="IL9" i="6"/>
  <c r="EW9" i="6"/>
  <c r="CW9" i="6"/>
  <c r="BP9" i="6"/>
  <c r="JI9" i="6"/>
  <c r="IE9" i="6"/>
  <c r="HI9" i="6"/>
  <c r="AC9" i="6"/>
  <c r="EZ9" i="6"/>
  <c r="BY9" i="6"/>
  <c r="EF9" i="6"/>
  <c r="BE9" i="6"/>
  <c r="GG9" i="6"/>
  <c r="KO9" i="6"/>
  <c r="BJ9" i="6"/>
  <c r="EL9" i="6"/>
  <c r="AN9" i="6"/>
  <c r="CI9" i="6"/>
  <c r="GB9" i="6"/>
  <c r="EM9" i="6"/>
  <c r="GC9" i="6"/>
  <c r="CE9" i="6"/>
  <c r="BL9" i="6"/>
  <c r="HB9" i="6"/>
  <c r="DA9" i="6"/>
  <c r="HF9" i="6"/>
  <c r="KT9" i="6"/>
  <c r="V9" i="6"/>
  <c r="JM9" i="6"/>
  <c r="AJ9" i="6"/>
  <c r="IO9" i="6"/>
  <c r="AK9" i="6"/>
  <c r="JR9" i="6"/>
  <c r="EV9" i="6"/>
  <c r="KH9" i="6"/>
  <c r="EH9" i="6"/>
  <c r="CT9" i="6"/>
  <c r="HX9" i="6"/>
  <c r="BB9" i="6"/>
  <c r="AL9" i="6"/>
  <c r="DY9" i="6"/>
  <c r="JY9" i="6"/>
  <c r="K9" i="6"/>
  <c r="JW9" i="6"/>
  <c r="BS9" i="6"/>
  <c r="IB9" i="6"/>
  <c r="AH9" i="6"/>
  <c r="KA9" i="6"/>
  <c r="KG9" i="6"/>
  <c r="JO9" i="6"/>
  <c r="BA9" i="6"/>
  <c r="CL9" i="6"/>
  <c r="GD9" i="6"/>
  <c r="DI9" i="6"/>
  <c r="FN9" i="6"/>
  <c r="EN9" i="6"/>
  <c r="IU9" i="6"/>
  <c r="HU9" i="6"/>
  <c r="CY9" i="6"/>
  <c r="BD9" i="6"/>
  <c r="IY9" i="6"/>
  <c r="BZ9" i="6"/>
  <c r="JU9" i="6"/>
  <c r="KQ9" i="6"/>
  <c r="HE9" i="6"/>
  <c r="BC9" i="6"/>
  <c r="JS9" i="6"/>
  <c r="CF9" i="6"/>
  <c r="AQ9" i="6"/>
  <c r="HJ9" i="6"/>
  <c r="GS9" i="6"/>
  <c r="JJ9" i="6"/>
  <c r="HS9" i="6"/>
  <c r="HT9" i="6"/>
  <c r="T9" i="6"/>
  <c r="JQ9" i="6"/>
  <c r="KB9" i="6"/>
  <c r="CC9" i="6"/>
  <c r="FZ9" i="6"/>
  <c r="BR9" i="6"/>
  <c r="KD9" i="6"/>
  <c r="DV9" i="6"/>
  <c r="JD9" i="6"/>
  <c r="FX9" i="6"/>
  <c r="EU9" i="6"/>
  <c r="DK9" i="6"/>
  <c r="FT9" i="6"/>
  <c r="EQ9" i="6"/>
  <c r="HM9" i="6"/>
  <c r="HD9" i="6"/>
  <c r="IR9" i="6"/>
  <c r="GW9" i="6"/>
  <c r="DH9" i="6"/>
  <c r="FA9" i="6"/>
  <c r="FB9" i="6"/>
  <c r="IJ9" i="6"/>
  <c r="KM9" i="6"/>
  <c r="IV9" i="6"/>
  <c r="JE9" i="6"/>
  <c r="IQ9" i="6"/>
  <c r="FJ9" i="6"/>
  <c r="DM9" i="6"/>
  <c r="GE9" i="6"/>
  <c r="ET9" i="6"/>
  <c r="AG9" i="6"/>
  <c r="BI9" i="6"/>
  <c r="EX9" i="6"/>
  <c r="KN9" i="6"/>
  <c r="IG9" i="6"/>
  <c r="GY9" i="6"/>
  <c r="JC9" i="6"/>
  <c r="IH9" i="6"/>
  <c r="HR9" i="6"/>
  <c r="ED9" i="6"/>
  <c r="KR9" i="6"/>
  <c r="DF9" i="6"/>
  <c r="R9" i="6"/>
  <c r="IT9" i="6"/>
  <c r="KZ9" i="6"/>
  <c r="I9" i="6"/>
  <c r="AE9" i="6"/>
  <c r="KI9" i="6"/>
  <c r="HO9" i="6"/>
  <c r="FV9" i="6"/>
  <c r="AU9" i="6"/>
  <c r="JX9" i="6"/>
  <c r="J9" i="6"/>
  <c r="KY9" i="6"/>
  <c r="JL9" i="6"/>
  <c r="EP9" i="6"/>
  <c r="GZ9" i="6"/>
  <c r="AF9" i="6"/>
  <c r="KP9" i="6"/>
  <c r="FR9" i="6"/>
  <c r="Q9" i="6"/>
  <c r="CX9" i="6"/>
  <c r="M9" i="6"/>
  <c r="CJ9" i="6"/>
  <c r="GX9" i="6"/>
  <c r="FD9" i="6"/>
  <c r="S9" i="6"/>
  <c r="JZ9" i="6"/>
  <c r="CN9" i="6"/>
  <c r="JP9" i="6"/>
  <c r="IX9" i="6"/>
  <c r="GO9" i="6"/>
  <c r="AM9" i="6"/>
  <c r="U9" i="6"/>
  <c r="DN9" i="6"/>
  <c r="CU9" i="6"/>
  <c r="BM9" i="6"/>
  <c r="HH9" i="6"/>
  <c r="FF9" i="6"/>
  <c r="DS9" i="6"/>
  <c r="GI9" i="6"/>
  <c r="AD9" i="6"/>
  <c r="AT9" i="6"/>
  <c r="FL9" i="6"/>
  <c r="CR9" i="6"/>
  <c r="GU9" i="6"/>
  <c r="AR9" i="6"/>
  <c r="FK9" i="6"/>
  <c r="BO9" i="6"/>
  <c r="N9" i="6"/>
  <c r="KC9" i="6"/>
  <c r="W9" i="6"/>
  <c r="KS9" i="6"/>
  <c r="GV9" i="6"/>
  <c r="FE9" i="6"/>
  <c r="KV9" i="6"/>
  <c r="DX9" i="6"/>
  <c r="BV9" i="6"/>
  <c r="KE9" i="6"/>
  <c r="JN9" i="6"/>
  <c r="EE9" i="6"/>
  <c r="AY9" i="6"/>
  <c r="JB9" i="6"/>
  <c r="DW9" i="6"/>
  <c r="GR9" i="6"/>
  <c r="IF9" i="6"/>
  <c r="EY9" i="6"/>
  <c r="AW9" i="6"/>
  <c r="DC9" i="6"/>
  <c r="KJ9" i="6"/>
  <c r="HY9" i="6"/>
  <c r="EJ9" i="6"/>
  <c r="CD9" i="6"/>
  <c r="HV9" i="6"/>
  <c r="BU9" i="6"/>
  <c r="BF9" i="6"/>
  <c r="EK9" i="6"/>
  <c r="HK9" i="6"/>
  <c r="FC9" i="6"/>
  <c r="HC9" i="6"/>
  <c r="AX9" i="6"/>
  <c r="AP9" i="6"/>
  <c r="P9" i="6"/>
  <c r="IN9" i="6"/>
  <c r="FW9" i="6"/>
  <c r="KK9" i="6"/>
  <c r="AV9" i="6"/>
  <c r="BQ9" i="6"/>
  <c r="HL9" i="6"/>
  <c r="EI9" i="6"/>
  <c r="AI9" i="6"/>
  <c r="BW9" i="6"/>
  <c r="GM9" i="6"/>
  <c r="FY9" i="6"/>
  <c r="IS9" i="6"/>
  <c r="G9" i="6"/>
  <c r="GF9" i="6"/>
  <c r="Z9" i="6"/>
  <c r="BK9" i="6"/>
  <c r="JH9" i="6"/>
  <c r="G41" i="2" l="1"/>
  <c r="D9" i="6"/>
  <c r="F10" i="6"/>
  <c r="E43" i="2" l="1"/>
  <c r="F14" i="6"/>
  <c r="G10" i="6"/>
  <c r="G43" i="2" l="1"/>
  <c r="E40" i="2"/>
  <c r="G14" i="6"/>
  <c r="H10" i="6"/>
  <c r="E46" i="2" l="1"/>
  <c r="F9" i="2"/>
  <c r="G40" i="2"/>
  <c r="I10" i="6"/>
  <c r="H14" i="6"/>
  <c r="F40" i="2" l="1"/>
  <c r="H16" i="5"/>
  <c r="E45" i="2"/>
  <c r="G46" i="2"/>
  <c r="I14" i="6"/>
  <c r="J10" i="6"/>
  <c r="E50" i="2" l="1"/>
  <c r="E49" i="2"/>
  <c r="G45" i="2"/>
  <c r="F45" i="2" s="1"/>
  <c r="K10" i="6"/>
  <c r="J14" i="6"/>
  <c r="G49" i="2" l="1"/>
  <c r="E54" i="2"/>
  <c r="G54" i="2" s="1"/>
  <c r="G50" i="2"/>
  <c r="E51" i="2" s="1"/>
  <c r="G51" i="2" s="1"/>
  <c r="E52" i="2"/>
  <c r="K14" i="6"/>
  <c r="L10" i="6"/>
  <c r="H17" i="5" l="1"/>
  <c r="G52" i="2"/>
  <c r="E53" i="2" s="1"/>
  <c r="G53" i="2" s="1"/>
  <c r="L14" i="6"/>
  <c r="M10" i="6"/>
  <c r="G48" i="2" l="1"/>
  <c r="E48" i="2"/>
  <c r="IV3" i="6"/>
  <c r="BD3" i="6"/>
  <c r="EM3" i="6"/>
  <c r="N3" i="6"/>
  <c r="IZ3" i="6"/>
  <c r="GI3" i="6"/>
  <c r="AA3" i="6"/>
  <c r="BG3" i="6"/>
  <c r="EG3" i="6"/>
  <c r="EB3" i="6"/>
  <c r="BB3" i="6"/>
  <c r="BQ3" i="6"/>
  <c r="DB3" i="6"/>
  <c r="AF3" i="6"/>
  <c r="FJ3" i="6"/>
  <c r="FT3" i="6"/>
  <c r="IA3" i="6"/>
  <c r="AP3" i="6"/>
  <c r="JH3" i="6"/>
  <c r="EW3" i="6"/>
  <c r="AX3" i="6"/>
  <c r="DD3" i="6"/>
  <c r="BN3" i="6"/>
  <c r="JX3" i="6"/>
  <c r="CH3" i="6"/>
  <c r="GC3" i="6"/>
  <c r="GX3" i="6"/>
  <c r="DW3" i="6"/>
  <c r="HC3" i="6"/>
  <c r="JF3" i="6"/>
  <c r="IC3" i="6"/>
  <c r="GE3" i="6"/>
  <c r="IJ3" i="6"/>
  <c r="LB3" i="6"/>
  <c r="AV3" i="6"/>
  <c r="GV3" i="6"/>
  <c r="BJ3" i="6"/>
  <c r="CG3" i="6"/>
  <c r="HW3" i="6"/>
  <c r="FQ3" i="6"/>
  <c r="U3" i="6"/>
  <c r="CL3" i="6"/>
  <c r="HG3" i="6"/>
  <c r="FG3" i="6"/>
  <c r="EJ3" i="6"/>
  <c r="IP3" i="6"/>
  <c r="GO3" i="6"/>
  <c r="HD3" i="6"/>
  <c r="KI3" i="6"/>
  <c r="KE3" i="6"/>
  <c r="AW3" i="6"/>
  <c r="GM3" i="6"/>
  <c r="BH3" i="6"/>
  <c r="BV3" i="6"/>
  <c r="KB3" i="6"/>
  <c r="HS3" i="6"/>
  <c r="FU3" i="6"/>
  <c r="EL3" i="6"/>
  <c r="GS3" i="6"/>
  <c r="AH3" i="6"/>
  <c r="AY3" i="6"/>
  <c r="FO3" i="6"/>
  <c r="BW3" i="6"/>
  <c r="JJ3" i="6"/>
  <c r="FD3" i="6"/>
  <c r="AL3" i="6"/>
  <c r="JV3" i="6"/>
  <c r="CN3" i="6"/>
  <c r="JO3" i="6"/>
  <c r="JE3" i="6"/>
  <c r="CV3" i="6"/>
  <c r="GA3" i="6"/>
  <c r="F3" i="6"/>
  <c r="HQ3" i="6"/>
  <c r="IS3" i="6"/>
  <c r="DS3" i="6"/>
  <c r="BK3" i="6"/>
  <c r="BY3" i="6"/>
  <c r="FV3" i="6"/>
  <c r="IK3" i="6"/>
  <c r="IU3" i="6"/>
  <c r="CI3" i="6"/>
  <c r="EY3" i="6"/>
  <c r="HK3" i="6"/>
  <c r="DZ3" i="6"/>
  <c r="BA3" i="6"/>
  <c r="FB3" i="6"/>
  <c r="AR3" i="6"/>
  <c r="EQ3" i="6"/>
  <c r="DJ3" i="6"/>
  <c r="EO3" i="6"/>
  <c r="DF3" i="6"/>
  <c r="AQ3" i="6"/>
  <c r="CA3" i="6"/>
  <c r="IR3" i="6"/>
  <c r="JD3" i="6"/>
  <c r="BU3" i="6"/>
  <c r="HF3" i="6"/>
  <c r="KL3" i="6"/>
  <c r="ER3" i="6"/>
  <c r="IM3" i="6"/>
  <c r="CO3" i="6"/>
  <c r="HE3" i="6"/>
  <c r="BZ3" i="6"/>
  <c r="BL3" i="6"/>
  <c r="FX3" i="6"/>
  <c r="IW3" i="6"/>
  <c r="GH3" i="6"/>
  <c r="DX3" i="6"/>
  <c r="DM3" i="6"/>
  <c r="AK3" i="6"/>
  <c r="HM3" i="6"/>
  <c r="CQ3" i="6"/>
  <c r="CU3" i="6"/>
  <c r="GQ3" i="6"/>
  <c r="ED3" i="6"/>
  <c r="JY3" i="6"/>
  <c r="AU3" i="6"/>
  <c r="CB3" i="6"/>
  <c r="AD3" i="6"/>
  <c r="KR3" i="6"/>
  <c r="HY3" i="6"/>
  <c r="EU3" i="6"/>
  <c r="EF3" i="6"/>
  <c r="KG3" i="6"/>
  <c r="JW3" i="6"/>
  <c r="FN3" i="6"/>
  <c r="IN3" i="6"/>
  <c r="IH3" i="6"/>
  <c r="FH3" i="6"/>
  <c r="JN3" i="6"/>
  <c r="JQ3" i="6"/>
  <c r="AC3" i="6"/>
  <c r="BO3" i="6"/>
  <c r="CZ3" i="6"/>
  <c r="EV3" i="6"/>
  <c r="IQ3" i="6"/>
  <c r="L3" i="6"/>
  <c r="DA3" i="6"/>
  <c r="BX3" i="6"/>
  <c r="KQ3" i="6"/>
  <c r="EC3" i="6"/>
  <c r="P3" i="6"/>
  <c r="KF3" i="6"/>
  <c r="JG3" i="6"/>
  <c r="CM3" i="6"/>
  <c r="AM3" i="6"/>
  <c r="J3" i="6"/>
  <c r="GT3" i="6"/>
  <c r="HB3" i="6"/>
  <c r="FR3" i="6"/>
  <c r="DR3" i="6"/>
  <c r="DO3" i="6"/>
  <c r="CW3" i="6"/>
  <c r="EA3" i="6"/>
  <c r="CX3" i="6"/>
  <c r="GJ3" i="6"/>
  <c r="GZ3" i="6"/>
  <c r="BC3" i="6"/>
  <c r="JT3" i="6"/>
  <c r="DE3" i="6"/>
  <c r="DL3" i="6"/>
  <c r="EH3" i="6"/>
  <c r="FZ3" i="6"/>
  <c r="CJ3" i="6"/>
  <c r="CE3" i="6"/>
  <c r="JC3" i="6"/>
  <c r="EP3" i="6"/>
  <c r="FP3" i="6"/>
  <c r="DK3" i="6"/>
  <c r="ES3" i="6"/>
  <c r="KJ3" i="6"/>
  <c r="KV3" i="6"/>
  <c r="DI3" i="6"/>
  <c r="Q3" i="6"/>
  <c r="BT3" i="6"/>
  <c r="DY3" i="6"/>
  <c r="HX3" i="6"/>
  <c r="M3" i="6"/>
  <c r="AI3" i="6"/>
  <c r="BP3" i="6"/>
  <c r="DT3" i="6"/>
  <c r="FM3" i="6"/>
  <c r="FI3" i="6"/>
  <c r="H3" i="6"/>
  <c r="W3" i="6"/>
  <c r="ET3" i="6"/>
  <c r="T3" i="6"/>
  <c r="DQ3" i="6"/>
  <c r="JP3" i="6"/>
  <c r="KK3" i="6"/>
  <c r="R3" i="6"/>
  <c r="K3" i="6"/>
  <c r="O3" i="6"/>
  <c r="DH3" i="6"/>
  <c r="BI3" i="6"/>
  <c r="KD3" i="6"/>
  <c r="JU3" i="6"/>
  <c r="CS3" i="6"/>
  <c r="BR3" i="6"/>
  <c r="AN3" i="6"/>
  <c r="ID3" i="6"/>
  <c r="KC3" i="6"/>
  <c r="FY3" i="6"/>
  <c r="FC3" i="6"/>
  <c r="KX3" i="6"/>
  <c r="GB3" i="6"/>
  <c r="HV3" i="6"/>
  <c r="V3" i="6"/>
  <c r="HT3" i="6"/>
  <c r="AE3" i="6"/>
  <c r="FA3" i="6"/>
  <c r="IX3" i="6"/>
  <c r="AG3" i="6"/>
  <c r="JA3" i="6"/>
  <c r="CY3" i="6"/>
  <c r="HJ3" i="6"/>
  <c r="KA3" i="6"/>
  <c r="Y3" i="6"/>
  <c r="KN3" i="6"/>
  <c r="DG3" i="6"/>
  <c r="FW3" i="6"/>
  <c r="LC3" i="6"/>
  <c r="IO3" i="6"/>
  <c r="HA3" i="6"/>
  <c r="IE3" i="6"/>
  <c r="JL3" i="6"/>
  <c r="CT3" i="6"/>
  <c r="EX3" i="6"/>
  <c r="KS3" i="6"/>
  <c r="I3" i="6"/>
  <c r="DN3" i="6"/>
  <c r="FF3" i="6"/>
  <c r="KT3" i="6"/>
  <c r="HN3" i="6"/>
  <c r="GD3" i="6"/>
  <c r="CD3" i="6"/>
  <c r="FK3" i="6"/>
  <c r="AO3" i="6"/>
  <c r="FL3" i="6"/>
  <c r="HI3" i="6"/>
  <c r="BF3" i="6"/>
  <c r="GL3" i="6"/>
  <c r="DU3" i="6"/>
  <c r="AJ3" i="6"/>
  <c r="JZ3" i="6"/>
  <c r="FE3" i="6"/>
  <c r="LD3" i="6"/>
  <c r="JR3" i="6"/>
  <c r="EI3" i="6"/>
  <c r="KP3" i="6"/>
  <c r="Z3" i="6"/>
  <c r="EZ3" i="6"/>
  <c r="JB3" i="6"/>
  <c r="CR3" i="6"/>
  <c r="HU3" i="6"/>
  <c r="KO3" i="6"/>
  <c r="GK3" i="6"/>
  <c r="AS3" i="6"/>
  <c r="KW3" i="6"/>
  <c r="HL3" i="6"/>
  <c r="FS3" i="6"/>
  <c r="IG3" i="6"/>
  <c r="AB3" i="6"/>
  <c r="HR3" i="6"/>
  <c r="KU3" i="6"/>
  <c r="KM3" i="6"/>
  <c r="JS3" i="6"/>
  <c r="JM3" i="6"/>
  <c r="JK3" i="6"/>
  <c r="S3" i="6"/>
  <c r="BM3" i="6"/>
  <c r="IY3" i="6"/>
  <c r="IL3" i="6"/>
  <c r="GW3" i="6"/>
  <c r="GG3" i="6"/>
  <c r="CC3" i="6"/>
  <c r="X3" i="6"/>
  <c r="HP3" i="6"/>
  <c r="GR3" i="6"/>
  <c r="KZ3" i="6"/>
  <c r="JI3" i="6"/>
  <c r="BS3" i="6"/>
  <c r="AZ3" i="6"/>
  <c r="HH3" i="6"/>
  <c r="EK3" i="6"/>
  <c r="DP3" i="6"/>
  <c r="AT3" i="6"/>
  <c r="CF3" i="6"/>
  <c r="EE3" i="6"/>
  <c r="IB3" i="6"/>
  <c r="CK3" i="6"/>
  <c r="DV3" i="6"/>
  <c r="CP3" i="6"/>
  <c r="GU3" i="6"/>
  <c r="EN3" i="6"/>
  <c r="LA3" i="6"/>
  <c r="II3" i="6"/>
  <c r="G3" i="6"/>
  <c r="HZ3" i="6"/>
  <c r="DC3" i="6"/>
  <c r="KH3" i="6"/>
  <c r="GY3" i="6"/>
  <c r="IT3" i="6"/>
  <c r="HO3" i="6"/>
  <c r="IF3" i="6"/>
  <c r="KY3" i="6"/>
  <c r="GN3" i="6"/>
  <c r="BE3" i="6"/>
  <c r="GF3" i="6"/>
  <c r="GP3" i="6"/>
  <c r="M14" i="6"/>
  <c r="N10" i="6"/>
  <c r="D3" i="6" l="1"/>
  <c r="F4" i="6"/>
  <c r="F48" i="2"/>
  <c r="N14" i="6"/>
  <c r="O10" i="6"/>
  <c r="G4" i="6" l="1"/>
  <c r="F7" i="6"/>
  <c r="O14" i="6"/>
  <c r="P10" i="6"/>
  <c r="G7" i="6" l="1"/>
  <c r="H4" i="6"/>
  <c r="Q10" i="6"/>
  <c r="P14" i="6"/>
  <c r="I4" i="6" l="1"/>
  <c r="H7" i="6"/>
  <c r="R10" i="6"/>
  <c r="Q14" i="6"/>
  <c r="I7" i="6" l="1"/>
  <c r="J4" i="6"/>
  <c r="S10" i="6"/>
  <c r="R14" i="6"/>
  <c r="K4" i="6" l="1"/>
  <c r="J7" i="6"/>
  <c r="T10" i="6"/>
  <c r="S14" i="6"/>
  <c r="L4" i="6" l="1"/>
  <c r="K7" i="6"/>
  <c r="U10" i="6"/>
  <c r="T14" i="6"/>
  <c r="M4" i="6" l="1"/>
  <c r="L7" i="6"/>
  <c r="U14" i="6"/>
  <c r="V10" i="6"/>
  <c r="M7" i="6" l="1"/>
  <c r="N4" i="6"/>
  <c r="V14" i="6"/>
  <c r="W10" i="6"/>
  <c r="N7" i="6" l="1"/>
  <c r="O4" i="6"/>
  <c r="W14" i="6"/>
  <c r="X10" i="6"/>
  <c r="O7" i="6" l="1"/>
  <c r="P4" i="6"/>
  <c r="X14" i="6"/>
  <c r="Y10" i="6"/>
  <c r="P7" i="6" l="1"/>
  <c r="Q4" i="6"/>
  <c r="Y14" i="6"/>
  <c r="Z10" i="6"/>
  <c r="R4" i="6" l="1"/>
  <c r="Q7" i="6"/>
  <c r="AA10" i="6"/>
  <c r="Z14" i="6"/>
  <c r="R7" i="6" l="1"/>
  <c r="S4" i="6"/>
  <c r="AA14" i="6"/>
  <c r="AB10" i="6"/>
  <c r="S7" i="6" l="1"/>
  <c r="T4" i="6"/>
  <c r="AB14" i="6"/>
  <c r="AC10" i="6"/>
  <c r="U4" i="6" l="1"/>
  <c r="T7" i="6"/>
  <c r="AC14" i="6"/>
  <c r="AD10" i="6"/>
  <c r="V4" i="6" l="1"/>
  <c r="U7" i="6"/>
  <c r="AD14" i="6"/>
  <c r="AE10" i="6"/>
  <c r="W4" i="6" l="1"/>
  <c r="V7" i="6"/>
  <c r="AE14" i="6"/>
  <c r="AF10" i="6"/>
  <c r="W7" i="6" l="1"/>
  <c r="X4" i="6"/>
  <c r="AG10" i="6"/>
  <c r="AF14" i="6"/>
  <c r="Y4" i="6" l="1"/>
  <c r="X7" i="6"/>
  <c r="AG14" i="6"/>
  <c r="AH10" i="6"/>
  <c r="Y7" i="6" l="1"/>
  <c r="Z4" i="6"/>
  <c r="AH14" i="6"/>
  <c r="AI10" i="6"/>
  <c r="Z7" i="6" l="1"/>
  <c r="AA4" i="6"/>
  <c r="AJ10" i="6"/>
  <c r="AI14" i="6"/>
  <c r="AB4" i="6" l="1"/>
  <c r="AA7" i="6"/>
  <c r="AK10" i="6"/>
  <c r="AJ14" i="6"/>
  <c r="AB7" i="6" l="1"/>
  <c r="AC4" i="6"/>
  <c r="AK14" i="6"/>
  <c r="AL10" i="6"/>
  <c r="AC7" i="6" l="1"/>
  <c r="AD4" i="6"/>
  <c r="AL14" i="6"/>
  <c r="AM10" i="6"/>
  <c r="AD7" i="6" l="1"/>
  <c r="AE4" i="6"/>
  <c r="AN10" i="6"/>
  <c r="AM14" i="6"/>
  <c r="AF4" i="6" l="1"/>
  <c r="AE7" i="6"/>
  <c r="AO10" i="6"/>
  <c r="AN14" i="6"/>
  <c r="AF7" i="6" l="1"/>
  <c r="AG4" i="6"/>
  <c r="AP10" i="6"/>
  <c r="AO14" i="6"/>
  <c r="AH4" i="6" l="1"/>
  <c r="AG7" i="6"/>
  <c r="AQ10" i="6"/>
  <c r="AP14" i="6"/>
  <c r="AH7" i="6" l="1"/>
  <c r="AI4" i="6"/>
  <c r="AQ14" i="6"/>
  <c r="AR10" i="6"/>
  <c r="AJ4" i="6" l="1"/>
  <c r="AI7" i="6"/>
  <c r="AS10" i="6"/>
  <c r="AR14" i="6"/>
  <c r="AK4" i="6" l="1"/>
  <c r="AJ7" i="6"/>
  <c r="AT10" i="6"/>
  <c r="AS14" i="6"/>
  <c r="AK7" i="6" l="1"/>
  <c r="AL4" i="6"/>
  <c r="AT14" i="6"/>
  <c r="AU10" i="6"/>
  <c r="AM4" i="6" l="1"/>
  <c r="AL7" i="6"/>
  <c r="AU14" i="6"/>
  <c r="AV10" i="6"/>
  <c r="AN4" i="6" l="1"/>
  <c r="AM7" i="6"/>
  <c r="AW10" i="6"/>
  <c r="AV14" i="6"/>
  <c r="AN7" i="6" l="1"/>
  <c r="AO4" i="6"/>
  <c r="AX10" i="6"/>
  <c r="AW14" i="6"/>
  <c r="AO7" i="6" l="1"/>
  <c r="AP4" i="6"/>
  <c r="AX14" i="6"/>
  <c r="AY10" i="6"/>
  <c r="AP7" i="6" l="1"/>
  <c r="AQ4" i="6"/>
  <c r="AY14" i="6"/>
  <c r="AZ10" i="6"/>
  <c r="AQ7" i="6" l="1"/>
  <c r="AR4" i="6"/>
  <c r="BA10" i="6"/>
  <c r="AZ14" i="6"/>
  <c r="AS4" i="6" l="1"/>
  <c r="AR7" i="6"/>
  <c r="BB10" i="6"/>
  <c r="BA14" i="6"/>
  <c r="AT4" i="6" l="1"/>
  <c r="AS7" i="6"/>
  <c r="BC10" i="6"/>
  <c r="BB14" i="6"/>
  <c r="AT7" i="6" l="1"/>
  <c r="AU4" i="6"/>
  <c r="BC14" i="6"/>
  <c r="BD10" i="6"/>
  <c r="AU7" i="6" l="1"/>
  <c r="AV4" i="6"/>
  <c r="BE10" i="6"/>
  <c r="BD14" i="6"/>
  <c r="AV7" i="6" l="1"/>
  <c r="AW4" i="6"/>
  <c r="BE14" i="6"/>
  <c r="BF10" i="6"/>
  <c r="AW7" i="6" l="1"/>
  <c r="AX4" i="6"/>
  <c r="BG10" i="6"/>
  <c r="BF14" i="6"/>
  <c r="AY4" i="6" l="1"/>
  <c r="AX7" i="6"/>
  <c r="BG14" i="6"/>
  <c r="BH10" i="6"/>
  <c r="AY7" i="6" l="1"/>
  <c r="AZ4" i="6"/>
  <c r="BH14" i="6"/>
  <c r="BI10" i="6"/>
  <c r="BA4" i="6" l="1"/>
  <c r="AZ7" i="6"/>
  <c r="BI14" i="6"/>
  <c r="BJ10" i="6"/>
  <c r="BA7" i="6" l="1"/>
  <c r="BB4" i="6"/>
  <c r="BK10" i="6"/>
  <c r="BJ14" i="6"/>
  <c r="BC4" i="6" l="1"/>
  <c r="BB7" i="6"/>
  <c r="BK14" i="6"/>
  <c r="BL10" i="6"/>
  <c r="BC7" i="6" l="1"/>
  <c r="BD4" i="6"/>
  <c r="BL14" i="6"/>
  <c r="BM10" i="6"/>
  <c r="BE4" i="6" l="1"/>
  <c r="BD7" i="6"/>
  <c r="BM14" i="6"/>
  <c r="BN10" i="6"/>
  <c r="BF4" i="6" l="1"/>
  <c r="BE7" i="6"/>
  <c r="BN14" i="6"/>
  <c r="BO10" i="6"/>
  <c r="BF7" i="6" l="1"/>
  <c r="BG4" i="6"/>
  <c r="BO14" i="6"/>
  <c r="BP10" i="6"/>
  <c r="BH4" i="6" l="1"/>
  <c r="BG7" i="6"/>
  <c r="BP14" i="6"/>
  <c r="BQ10" i="6"/>
  <c r="BI4" i="6" l="1"/>
  <c r="BH7" i="6"/>
  <c r="BQ14" i="6"/>
  <c r="BR10" i="6"/>
  <c r="BI7" i="6" l="1"/>
  <c r="BJ4" i="6"/>
  <c r="BR14" i="6"/>
  <c r="BS10" i="6"/>
  <c r="BJ7" i="6" l="1"/>
  <c r="BK4" i="6"/>
  <c r="BT10" i="6"/>
  <c r="BS14" i="6"/>
  <c r="BK7" i="6" l="1"/>
  <c r="BL4" i="6"/>
  <c r="BT14" i="6"/>
  <c r="BU10" i="6"/>
  <c r="BM4" i="6" l="1"/>
  <c r="BL7" i="6"/>
  <c r="BV10" i="6"/>
  <c r="BU14" i="6"/>
  <c r="BM7" i="6" l="1"/>
  <c r="BN4" i="6"/>
  <c r="BW10" i="6"/>
  <c r="BV14" i="6"/>
  <c r="BN7" i="6" l="1"/>
  <c r="BO4" i="6"/>
  <c r="BX10" i="6"/>
  <c r="BW14" i="6"/>
  <c r="BP4" i="6" l="1"/>
  <c r="BO7" i="6"/>
  <c r="BX14" i="6"/>
  <c r="BY10" i="6"/>
  <c r="BP7" i="6" l="1"/>
  <c r="BQ4" i="6"/>
  <c r="BZ10" i="6"/>
  <c r="BY14" i="6"/>
  <c r="BQ7" i="6" l="1"/>
  <c r="BR4" i="6"/>
  <c r="CA10" i="6"/>
  <c r="BZ14" i="6"/>
  <c r="BS4" i="6" l="1"/>
  <c r="BR7" i="6"/>
  <c r="CB10" i="6"/>
  <c r="CA14" i="6"/>
  <c r="BT4" i="6" l="1"/>
  <c r="BS7" i="6"/>
  <c r="CC10" i="6"/>
  <c r="CB14" i="6"/>
  <c r="BU4" i="6" l="1"/>
  <c r="BT7" i="6"/>
  <c r="CC14" i="6"/>
  <c r="CD10" i="6"/>
  <c r="BU7" i="6" l="1"/>
  <c r="BV4" i="6"/>
  <c r="CE10" i="6"/>
  <c r="CD14" i="6"/>
  <c r="BW4" i="6" l="1"/>
  <c r="BV7" i="6"/>
  <c r="CF10" i="6"/>
  <c r="CE14" i="6"/>
  <c r="BW7" i="6" l="1"/>
  <c r="BX4" i="6"/>
  <c r="CG10" i="6"/>
  <c r="CF14" i="6"/>
  <c r="BX7" i="6" l="1"/>
  <c r="BY4" i="6"/>
  <c r="CH10" i="6"/>
  <c r="CG14" i="6"/>
  <c r="BZ4" i="6" l="1"/>
  <c r="BY7" i="6"/>
  <c r="CI10" i="6"/>
  <c r="CH14" i="6"/>
  <c r="CA4" i="6" l="1"/>
  <c r="BZ7" i="6"/>
  <c r="CI14" i="6"/>
  <c r="CJ10" i="6"/>
  <c r="CA7" i="6" l="1"/>
  <c r="CB4" i="6"/>
  <c r="CK10" i="6"/>
  <c r="CJ14" i="6"/>
  <c r="CC4" i="6" l="1"/>
  <c r="CB7" i="6"/>
  <c r="CK14" i="6"/>
  <c r="CL10" i="6"/>
  <c r="CC7" i="6" l="1"/>
  <c r="CD4" i="6"/>
  <c r="CM10" i="6"/>
  <c r="CL14" i="6"/>
  <c r="CE4" i="6" l="1"/>
  <c r="CD7" i="6"/>
  <c r="CN10" i="6"/>
  <c r="CM14" i="6"/>
  <c r="CE7" i="6" l="1"/>
  <c r="CF4" i="6"/>
  <c r="CN14" i="6"/>
  <c r="CO10" i="6"/>
  <c r="CG4" i="6" l="1"/>
  <c r="CF7" i="6"/>
  <c r="CO14" i="6"/>
  <c r="CP10" i="6"/>
  <c r="CG7" i="6" l="1"/>
  <c r="CH4" i="6"/>
  <c r="CP14" i="6"/>
  <c r="CQ10" i="6"/>
  <c r="CH7" i="6" l="1"/>
  <c r="CI4" i="6"/>
  <c r="CQ14" i="6"/>
  <c r="CR10" i="6"/>
  <c r="CJ4" i="6" l="1"/>
  <c r="CI7" i="6"/>
  <c r="CR14" i="6"/>
  <c r="CS10" i="6"/>
  <c r="CJ7" i="6" l="1"/>
  <c r="CK4" i="6"/>
  <c r="CT10" i="6"/>
  <c r="CS14" i="6"/>
  <c r="CK7" i="6" l="1"/>
  <c r="CL4" i="6"/>
  <c r="CU10" i="6"/>
  <c r="CT14" i="6"/>
  <c r="CL7" i="6" l="1"/>
  <c r="CM4" i="6"/>
  <c r="CV10" i="6"/>
  <c r="CU14" i="6"/>
  <c r="CN4" i="6" l="1"/>
  <c r="CM7" i="6"/>
  <c r="CW10" i="6"/>
  <c r="CV14" i="6"/>
  <c r="CN7" i="6" l="1"/>
  <c r="CO4" i="6"/>
  <c r="CX10" i="6"/>
  <c r="CW14" i="6"/>
  <c r="CO7" i="6" l="1"/>
  <c r="CP4" i="6"/>
  <c r="CY10" i="6"/>
  <c r="CX14" i="6"/>
  <c r="CP7" i="6" l="1"/>
  <c r="CQ4" i="6"/>
  <c r="CZ10" i="6"/>
  <c r="CY14" i="6"/>
  <c r="CQ7" i="6" l="1"/>
  <c r="CR4" i="6"/>
  <c r="DA10" i="6"/>
  <c r="CZ14" i="6"/>
  <c r="CR7" i="6" l="1"/>
  <c r="CS4" i="6"/>
  <c r="DA14" i="6"/>
  <c r="DB10" i="6"/>
  <c r="CT4" i="6" l="1"/>
  <c r="CS7" i="6"/>
  <c r="DC10" i="6"/>
  <c r="DB14" i="6"/>
  <c r="CU4" i="6" l="1"/>
  <c r="CT7" i="6"/>
  <c r="DD10" i="6"/>
  <c r="DC14" i="6"/>
  <c r="CU7" i="6" l="1"/>
  <c r="CV4" i="6"/>
  <c r="DD14" i="6"/>
  <c r="DE10" i="6"/>
  <c r="CW4" i="6" l="1"/>
  <c r="CV7" i="6"/>
  <c r="DF10" i="6"/>
  <c r="DE14" i="6"/>
  <c r="CW7" i="6" l="1"/>
  <c r="CX4" i="6"/>
  <c r="DF14" i="6"/>
  <c r="DG10" i="6"/>
  <c r="CY4" i="6" l="1"/>
  <c r="CX7" i="6"/>
  <c r="DH10" i="6"/>
  <c r="DG14" i="6"/>
  <c r="CZ4" i="6" l="1"/>
  <c r="CY7" i="6"/>
  <c r="DI10" i="6"/>
  <c r="DH14" i="6"/>
  <c r="DA4" i="6" l="1"/>
  <c r="CZ7" i="6"/>
  <c r="DI14" i="6"/>
  <c r="DJ10" i="6"/>
  <c r="DA7" i="6" l="1"/>
  <c r="DB4" i="6"/>
  <c r="DK10" i="6"/>
  <c r="DJ14" i="6"/>
  <c r="DC4" i="6" l="1"/>
  <c r="DB7" i="6"/>
  <c r="DK14" i="6"/>
  <c r="DL10" i="6"/>
  <c r="DC7" i="6" l="1"/>
  <c r="DD4" i="6"/>
  <c r="DM10" i="6"/>
  <c r="DL14" i="6"/>
  <c r="DD7" i="6" l="1"/>
  <c r="DE4" i="6"/>
  <c r="DN10" i="6"/>
  <c r="DM14" i="6"/>
  <c r="DF4" i="6" l="1"/>
  <c r="DE7" i="6"/>
  <c r="DN14" i="6"/>
  <c r="DO10" i="6"/>
  <c r="DG4" i="6" l="1"/>
  <c r="DF7" i="6"/>
  <c r="DO14" i="6"/>
  <c r="DP10" i="6"/>
  <c r="DG7" i="6" l="1"/>
  <c r="DH4" i="6"/>
  <c r="DQ10" i="6"/>
  <c r="DP14" i="6"/>
  <c r="DH7" i="6" l="1"/>
  <c r="DI4" i="6"/>
  <c r="DR10" i="6"/>
  <c r="DQ14" i="6"/>
  <c r="DJ4" i="6" l="1"/>
  <c r="DI7" i="6"/>
  <c r="DR14" i="6"/>
  <c r="DS10" i="6"/>
  <c r="DJ7" i="6" l="1"/>
  <c r="DK4" i="6"/>
  <c r="DS14" i="6"/>
  <c r="DT10" i="6"/>
  <c r="DL4" i="6" l="1"/>
  <c r="DK7" i="6"/>
  <c r="DU10" i="6"/>
  <c r="DT14" i="6"/>
  <c r="DM4" i="6" l="1"/>
  <c r="DL7" i="6"/>
  <c r="DU14" i="6"/>
  <c r="DV10" i="6"/>
  <c r="DN4" i="6" l="1"/>
  <c r="DM7" i="6"/>
  <c r="DW10" i="6"/>
  <c r="DV14" i="6"/>
  <c r="DN7" i="6" l="1"/>
  <c r="DO4" i="6"/>
  <c r="DX10" i="6"/>
  <c r="DW14" i="6"/>
  <c r="DO7" i="6" l="1"/>
  <c r="DP4" i="6"/>
  <c r="DY10" i="6"/>
  <c r="DX14" i="6"/>
  <c r="DP7" i="6" l="1"/>
  <c r="DQ4" i="6"/>
  <c r="DY14" i="6"/>
  <c r="DZ10" i="6"/>
  <c r="DQ7" i="6" l="1"/>
  <c r="DR4" i="6"/>
  <c r="EA10" i="6"/>
  <c r="DZ14" i="6"/>
  <c r="DR7" i="6" l="1"/>
  <c r="DS4" i="6"/>
  <c r="EA14" i="6"/>
  <c r="EB10" i="6"/>
  <c r="DT4" i="6" l="1"/>
  <c r="DS7" i="6"/>
  <c r="EB14" i="6"/>
  <c r="EC10" i="6"/>
  <c r="DT7" i="6" l="1"/>
  <c r="DU4" i="6"/>
  <c r="EC14" i="6"/>
  <c r="ED10" i="6"/>
  <c r="DV4" i="6" l="1"/>
  <c r="DU7" i="6"/>
  <c r="EE10" i="6"/>
  <c r="ED14" i="6"/>
  <c r="DW4" i="6" l="1"/>
  <c r="DV7" i="6"/>
  <c r="EF10" i="6"/>
  <c r="EE14" i="6"/>
  <c r="DX4" i="6" l="1"/>
  <c r="DW7" i="6"/>
  <c r="EG10" i="6"/>
  <c r="EF14" i="6"/>
  <c r="DX7" i="6" l="1"/>
  <c r="DY4" i="6"/>
  <c r="EG14" i="6"/>
  <c r="EH10" i="6"/>
  <c r="DY7" i="6" l="1"/>
  <c r="DZ4" i="6"/>
  <c r="EI10" i="6"/>
  <c r="EH14" i="6"/>
  <c r="DZ7" i="6" l="1"/>
  <c r="EA4" i="6"/>
  <c r="EJ10" i="6"/>
  <c r="EI14" i="6"/>
  <c r="EA7" i="6" l="1"/>
  <c r="EB4" i="6"/>
  <c r="EK10" i="6"/>
  <c r="EJ14" i="6"/>
  <c r="EB7" i="6" l="1"/>
  <c r="EC4" i="6"/>
  <c r="EK14" i="6"/>
  <c r="EL10" i="6"/>
  <c r="ED4" i="6" l="1"/>
  <c r="EC7" i="6"/>
  <c r="EM10" i="6"/>
  <c r="EL14" i="6"/>
  <c r="ED7" i="6" l="1"/>
  <c r="EE4" i="6"/>
  <c r="EN10" i="6"/>
  <c r="EM14" i="6"/>
  <c r="EE7" i="6" l="1"/>
  <c r="EF4" i="6"/>
  <c r="EO10" i="6"/>
  <c r="EN14" i="6"/>
  <c r="EG4" i="6" l="1"/>
  <c r="EF7" i="6"/>
  <c r="EP10" i="6"/>
  <c r="EO14" i="6"/>
  <c r="EH4" i="6" l="1"/>
  <c r="EG7" i="6"/>
  <c r="EQ10" i="6"/>
  <c r="EP14" i="6"/>
  <c r="EH7" i="6" l="1"/>
  <c r="EI4" i="6"/>
  <c r="EQ14" i="6"/>
  <c r="ER10" i="6"/>
  <c r="EJ4" i="6" l="1"/>
  <c r="EI7" i="6"/>
  <c r="ER14" i="6"/>
  <c r="ES10" i="6"/>
  <c r="EK4" i="6" l="1"/>
  <c r="EJ7" i="6"/>
  <c r="ET10" i="6"/>
  <c r="ES14" i="6"/>
  <c r="EL4" i="6" l="1"/>
  <c r="EK7" i="6"/>
  <c r="EU10" i="6"/>
  <c r="ET14" i="6"/>
  <c r="EL7" i="6" l="1"/>
  <c r="EM4" i="6"/>
  <c r="EV10" i="6"/>
  <c r="EU14" i="6"/>
  <c r="EM7" i="6" l="1"/>
  <c r="EN4" i="6"/>
  <c r="EW10" i="6"/>
  <c r="EV14" i="6"/>
  <c r="EO4" i="6" l="1"/>
  <c r="EN7" i="6"/>
  <c r="EW14" i="6"/>
  <c r="EX10" i="6"/>
  <c r="EP4" i="6" l="1"/>
  <c r="EO7" i="6"/>
  <c r="EY10" i="6"/>
  <c r="EX14" i="6"/>
  <c r="EQ4" i="6" l="1"/>
  <c r="EP7" i="6"/>
  <c r="EZ10" i="6"/>
  <c r="EY14" i="6"/>
  <c r="ER4" i="6" l="1"/>
  <c r="EQ7" i="6"/>
  <c r="EZ14" i="6"/>
  <c r="FA10" i="6"/>
  <c r="ES4" i="6" l="1"/>
  <c r="ER7" i="6"/>
  <c r="FB10" i="6"/>
  <c r="FA14" i="6"/>
  <c r="ES7" i="6" l="1"/>
  <c r="ET4" i="6"/>
  <c r="FC10" i="6"/>
  <c r="FB14" i="6"/>
  <c r="EU4" i="6" l="1"/>
  <c r="ET7" i="6"/>
  <c r="FD10" i="6"/>
  <c r="FC14" i="6"/>
  <c r="EV4" i="6" l="1"/>
  <c r="EU7" i="6"/>
  <c r="FE10" i="6"/>
  <c r="FD14" i="6"/>
  <c r="EV7" i="6" l="1"/>
  <c r="EW4" i="6"/>
  <c r="FE14" i="6"/>
  <c r="FF10" i="6"/>
  <c r="EX4" i="6" l="1"/>
  <c r="EW7" i="6"/>
  <c r="FG10" i="6"/>
  <c r="FF14" i="6"/>
  <c r="EX7" i="6" l="1"/>
  <c r="EY4" i="6"/>
  <c r="FH10" i="6"/>
  <c r="FG14" i="6"/>
  <c r="EZ4" i="6" l="1"/>
  <c r="EY7" i="6"/>
  <c r="FI10" i="6"/>
  <c r="FH14" i="6"/>
  <c r="FA4" i="6" l="1"/>
  <c r="EZ7" i="6"/>
  <c r="FJ10" i="6"/>
  <c r="FI14" i="6"/>
  <c r="FB4" i="6" l="1"/>
  <c r="FA7" i="6"/>
  <c r="FJ14" i="6"/>
  <c r="FK10" i="6"/>
  <c r="FB7" i="6" l="1"/>
  <c r="FC4" i="6"/>
  <c r="FL10" i="6"/>
  <c r="FK14" i="6"/>
  <c r="FD4" i="6" l="1"/>
  <c r="FC7" i="6"/>
  <c r="FL14" i="6"/>
  <c r="FM10" i="6"/>
  <c r="FE4" i="6" l="1"/>
  <c r="FD7" i="6"/>
  <c r="FM14" i="6"/>
  <c r="FN10" i="6"/>
  <c r="FF4" i="6" l="1"/>
  <c r="FE7" i="6"/>
  <c r="FO10" i="6"/>
  <c r="FN14" i="6"/>
  <c r="FF7" i="6" l="1"/>
  <c r="FG4" i="6"/>
  <c r="FO14" i="6"/>
  <c r="FP10" i="6"/>
  <c r="FG7" i="6" l="1"/>
  <c r="FH4" i="6"/>
  <c r="FQ10" i="6"/>
  <c r="FP14" i="6"/>
  <c r="FH7" i="6" l="1"/>
  <c r="FI4" i="6"/>
  <c r="FR10" i="6"/>
  <c r="FQ14" i="6"/>
  <c r="FJ4" i="6" l="1"/>
  <c r="FI7" i="6"/>
  <c r="FS10" i="6"/>
  <c r="FR14" i="6"/>
  <c r="FJ7" i="6" l="1"/>
  <c r="FK4" i="6"/>
  <c r="FT10" i="6"/>
  <c r="FS14" i="6"/>
  <c r="FL4" i="6" l="1"/>
  <c r="FK7" i="6"/>
  <c r="FU10" i="6"/>
  <c r="FT14" i="6"/>
  <c r="FL7" i="6" l="1"/>
  <c r="FM4" i="6"/>
  <c r="FU14" i="6"/>
  <c r="FV10" i="6"/>
  <c r="FM7" i="6" l="1"/>
  <c r="FN4" i="6"/>
  <c r="FW10" i="6"/>
  <c r="FV14" i="6"/>
  <c r="FN7" i="6" l="1"/>
  <c r="FO4" i="6"/>
  <c r="FW14" i="6"/>
  <c r="FX10" i="6"/>
  <c r="FP4" i="6" l="1"/>
  <c r="FO7" i="6"/>
  <c r="FY10" i="6"/>
  <c r="FX14" i="6"/>
  <c r="FQ4" i="6" l="1"/>
  <c r="FP7" i="6"/>
  <c r="FZ10" i="6"/>
  <c r="FY14" i="6"/>
  <c r="FR4" i="6" l="1"/>
  <c r="FQ7" i="6"/>
  <c r="GA10" i="6"/>
  <c r="FZ14" i="6"/>
  <c r="FS4" i="6" l="1"/>
  <c r="FR7" i="6"/>
  <c r="GB10" i="6"/>
  <c r="GA14" i="6"/>
  <c r="FS7" i="6" l="1"/>
  <c r="FT4" i="6"/>
  <c r="GB14" i="6"/>
  <c r="GC10" i="6"/>
  <c r="FU4" i="6" l="1"/>
  <c r="FT7" i="6"/>
  <c r="GC14" i="6"/>
  <c r="GD10" i="6"/>
  <c r="FV4" i="6" l="1"/>
  <c r="FU7" i="6"/>
  <c r="GD14" i="6"/>
  <c r="GE10" i="6"/>
  <c r="FW4" i="6" l="1"/>
  <c r="FV7" i="6"/>
  <c r="GE14" i="6"/>
  <c r="GF10" i="6"/>
  <c r="FX4" i="6" l="1"/>
  <c r="FW7" i="6"/>
  <c r="GG10" i="6"/>
  <c r="GF14" i="6"/>
  <c r="FY4" i="6" l="1"/>
  <c r="FX7" i="6"/>
  <c r="GH10" i="6"/>
  <c r="GG14" i="6"/>
  <c r="FZ4" i="6" l="1"/>
  <c r="FY7" i="6"/>
  <c r="GI10" i="6"/>
  <c r="GH14" i="6"/>
  <c r="FZ7" i="6" l="1"/>
  <c r="GA4" i="6"/>
  <c r="GI14" i="6"/>
  <c r="GJ10" i="6"/>
  <c r="GB4" i="6" l="1"/>
  <c r="GA7" i="6"/>
  <c r="GJ14" i="6"/>
  <c r="GK10" i="6"/>
  <c r="GC4" i="6" l="1"/>
  <c r="GB7" i="6"/>
  <c r="GK14" i="6"/>
  <c r="GL10" i="6"/>
  <c r="GD4" i="6" l="1"/>
  <c r="GC7" i="6"/>
  <c r="GL14" i="6"/>
  <c r="GM10" i="6"/>
  <c r="GD7" i="6" l="1"/>
  <c r="GE4" i="6"/>
  <c r="GN10" i="6"/>
  <c r="GM14" i="6"/>
  <c r="GF4" i="6" l="1"/>
  <c r="GE7" i="6"/>
  <c r="GO10" i="6"/>
  <c r="GN14" i="6"/>
  <c r="GF7" i="6" l="1"/>
  <c r="GG4" i="6"/>
  <c r="GO14" i="6"/>
  <c r="GP10" i="6"/>
  <c r="GG7" i="6" l="1"/>
  <c r="GH4" i="6"/>
  <c r="GP14" i="6"/>
  <c r="GQ10" i="6"/>
  <c r="GH7" i="6" l="1"/>
  <c r="GI4" i="6"/>
  <c r="GQ14" i="6"/>
  <c r="GR10" i="6"/>
  <c r="GJ4" i="6" l="1"/>
  <c r="GI7" i="6"/>
  <c r="GS10" i="6"/>
  <c r="GR14" i="6"/>
  <c r="GJ7" i="6" l="1"/>
  <c r="GK4" i="6"/>
  <c r="GT10" i="6"/>
  <c r="GS14" i="6"/>
  <c r="GK7" i="6" l="1"/>
  <c r="GL4" i="6"/>
  <c r="GT14" i="6"/>
  <c r="GU10" i="6"/>
  <c r="GM4" i="6" l="1"/>
  <c r="GL7" i="6"/>
  <c r="GV10" i="6"/>
  <c r="GU14" i="6"/>
  <c r="GN4" i="6" l="1"/>
  <c r="GM7" i="6"/>
  <c r="GW10" i="6"/>
  <c r="GV14" i="6"/>
  <c r="GN7" i="6" l="1"/>
  <c r="GO4" i="6"/>
  <c r="GW14" i="6"/>
  <c r="GX10" i="6"/>
  <c r="GP4" i="6" l="1"/>
  <c r="GO7" i="6"/>
  <c r="GX14" i="6"/>
  <c r="GY10" i="6"/>
  <c r="GP7" i="6" l="1"/>
  <c r="GQ4" i="6"/>
  <c r="GZ10" i="6"/>
  <c r="GY14" i="6"/>
  <c r="GR4" i="6" l="1"/>
  <c r="GQ7" i="6"/>
  <c r="GZ14" i="6"/>
  <c r="HA10" i="6"/>
  <c r="GR7" i="6" l="1"/>
  <c r="GS4" i="6"/>
  <c r="HB10" i="6"/>
  <c r="HA14" i="6"/>
  <c r="GT4" i="6" l="1"/>
  <c r="GS7" i="6"/>
  <c r="HB14" i="6"/>
  <c r="HC10" i="6"/>
  <c r="GT7" i="6" l="1"/>
  <c r="GU4" i="6"/>
  <c r="HC14" i="6"/>
  <c r="HD10" i="6"/>
  <c r="GU7" i="6" l="1"/>
  <c r="GV4" i="6"/>
  <c r="HD14" i="6"/>
  <c r="HE10" i="6"/>
  <c r="GW4" i="6" l="1"/>
  <c r="GV7" i="6"/>
  <c r="HF10" i="6"/>
  <c r="HE14" i="6"/>
  <c r="GX4" i="6" l="1"/>
  <c r="GW7" i="6"/>
  <c r="HG10" i="6"/>
  <c r="HF14" i="6"/>
  <c r="GX7" i="6" l="1"/>
  <c r="GY4" i="6"/>
  <c r="HH10" i="6"/>
  <c r="HG14" i="6"/>
  <c r="GZ4" i="6" l="1"/>
  <c r="GY7" i="6"/>
  <c r="HI10" i="6"/>
  <c r="HH14" i="6"/>
  <c r="HA4" i="6" l="1"/>
  <c r="GZ7" i="6"/>
  <c r="HJ10" i="6"/>
  <c r="HI14" i="6"/>
  <c r="HB4" i="6" l="1"/>
  <c r="HA7" i="6"/>
  <c r="HK10" i="6"/>
  <c r="HJ14" i="6"/>
  <c r="HC4" i="6" l="1"/>
  <c r="HB7" i="6"/>
  <c r="HL10" i="6"/>
  <c r="HK14" i="6"/>
  <c r="HC7" i="6" l="1"/>
  <c r="HD4" i="6"/>
  <c r="HL14" i="6"/>
  <c r="HM10" i="6"/>
  <c r="HD7" i="6" l="1"/>
  <c r="HE4" i="6"/>
  <c r="HM14" i="6"/>
  <c r="HN10" i="6"/>
  <c r="HE7" i="6" l="1"/>
  <c r="HF4" i="6"/>
  <c r="HO10" i="6"/>
  <c r="HN14" i="6"/>
  <c r="HG4" i="6" l="1"/>
  <c r="HF7" i="6"/>
  <c r="HP10" i="6"/>
  <c r="HO14" i="6"/>
  <c r="HH4" i="6" l="1"/>
  <c r="HG7" i="6"/>
  <c r="HP14" i="6"/>
  <c r="HQ10" i="6"/>
  <c r="HH7" i="6" l="1"/>
  <c r="HI4" i="6"/>
  <c r="HR10" i="6"/>
  <c r="HQ14" i="6"/>
  <c r="HI7" i="6" l="1"/>
  <c r="HJ4" i="6"/>
  <c r="HS10" i="6"/>
  <c r="HR14" i="6"/>
  <c r="HK4" i="6" l="1"/>
  <c r="HJ7" i="6"/>
  <c r="HT10" i="6"/>
  <c r="HS14" i="6"/>
  <c r="HK7" i="6" l="1"/>
  <c r="HL4" i="6"/>
  <c r="HU10" i="6"/>
  <c r="HT14" i="6"/>
  <c r="HL7" i="6" l="1"/>
  <c r="HM4" i="6"/>
  <c r="HU14" i="6"/>
  <c r="HV10" i="6"/>
  <c r="HM7" i="6" l="1"/>
  <c r="HN4" i="6"/>
  <c r="HW10" i="6"/>
  <c r="HV14" i="6"/>
  <c r="HN7" i="6" l="1"/>
  <c r="HO4" i="6"/>
  <c r="HW14" i="6"/>
  <c r="HX10" i="6"/>
  <c r="HO7" i="6" l="1"/>
  <c r="HP4" i="6"/>
  <c r="HX14" i="6"/>
  <c r="HY10" i="6"/>
  <c r="HQ4" i="6" l="1"/>
  <c r="HP7" i="6"/>
  <c r="HY14" i="6"/>
  <c r="HZ10" i="6"/>
  <c r="HR4" i="6" l="1"/>
  <c r="HQ7" i="6"/>
  <c r="IA10" i="6"/>
  <c r="HZ14" i="6"/>
  <c r="HR7" i="6" l="1"/>
  <c r="HS4" i="6"/>
  <c r="IA14" i="6"/>
  <c r="IB10" i="6"/>
  <c r="HS7" i="6" l="1"/>
  <c r="HT4" i="6"/>
  <c r="IC10" i="6"/>
  <c r="IB14" i="6"/>
  <c r="HT7" i="6" l="1"/>
  <c r="HU4" i="6"/>
  <c r="IC14" i="6"/>
  <c r="ID10" i="6"/>
  <c r="HV4" i="6" l="1"/>
  <c r="HU7" i="6"/>
  <c r="ID14" i="6"/>
  <c r="IE10" i="6"/>
  <c r="HW4" i="6" l="1"/>
  <c r="HV7" i="6"/>
  <c r="IE14" i="6"/>
  <c r="IF10" i="6"/>
  <c r="HW7" i="6" l="1"/>
  <c r="HX4" i="6"/>
  <c r="IG10" i="6"/>
  <c r="IF14" i="6"/>
  <c r="HX7" i="6" l="1"/>
  <c r="HY4" i="6"/>
  <c r="IH10" i="6"/>
  <c r="IG14" i="6"/>
  <c r="HZ4" i="6" l="1"/>
  <c r="HY7" i="6"/>
  <c r="II10" i="6"/>
  <c r="IH14" i="6"/>
  <c r="IA4" i="6" l="1"/>
  <c r="HZ7" i="6"/>
  <c r="IJ10" i="6"/>
  <c r="II14" i="6"/>
  <c r="IA7" i="6" l="1"/>
  <c r="IB4" i="6"/>
  <c r="IK10" i="6"/>
  <c r="IJ14" i="6"/>
  <c r="IC4" i="6" l="1"/>
  <c r="IB7" i="6"/>
  <c r="IK14" i="6"/>
  <c r="IL10" i="6"/>
  <c r="ID4" i="6" l="1"/>
  <c r="IC7" i="6"/>
  <c r="IM10" i="6"/>
  <c r="IL14" i="6"/>
  <c r="ID7" i="6" l="1"/>
  <c r="IE4" i="6"/>
  <c r="IN10" i="6"/>
  <c r="IM14" i="6"/>
  <c r="IE7" i="6" l="1"/>
  <c r="IF4" i="6"/>
  <c r="IO10" i="6"/>
  <c r="IN14" i="6"/>
  <c r="IG4" i="6" l="1"/>
  <c r="IF7" i="6"/>
  <c r="IP10" i="6"/>
  <c r="IO14" i="6"/>
  <c r="IG7" i="6" l="1"/>
  <c r="IH4" i="6"/>
  <c r="IP14" i="6"/>
  <c r="IQ10" i="6"/>
  <c r="IH7" i="6" l="1"/>
  <c r="II4" i="6"/>
  <c r="IR10" i="6"/>
  <c r="IQ14" i="6"/>
  <c r="IJ4" i="6" l="1"/>
  <c r="II7" i="6"/>
  <c r="IS10" i="6"/>
  <c r="IR14" i="6"/>
  <c r="IJ7" i="6" l="1"/>
  <c r="IK4" i="6"/>
  <c r="IS14" i="6"/>
  <c r="IT10" i="6"/>
  <c r="IK7" i="6" l="1"/>
  <c r="IL4" i="6"/>
  <c r="IT14" i="6"/>
  <c r="IU10" i="6"/>
  <c r="IL7" i="6" l="1"/>
  <c r="IM4" i="6"/>
  <c r="IV10" i="6"/>
  <c r="IU14" i="6"/>
  <c r="IM7" i="6" l="1"/>
  <c r="IN4" i="6"/>
  <c r="IW10" i="6"/>
  <c r="IV14" i="6"/>
  <c r="IO4" i="6" l="1"/>
  <c r="IN7" i="6"/>
  <c r="IW14" i="6"/>
  <c r="IX10" i="6"/>
  <c r="IP4" i="6" l="1"/>
  <c r="IO7" i="6"/>
  <c r="IX14" i="6"/>
  <c r="IY10" i="6"/>
  <c r="IP7" i="6" l="1"/>
  <c r="IQ4" i="6"/>
  <c r="IY14" i="6"/>
  <c r="IZ10" i="6"/>
  <c r="IR4" i="6" l="1"/>
  <c r="IQ7" i="6"/>
  <c r="JA10" i="6"/>
  <c r="IZ14" i="6"/>
  <c r="IR7" i="6" l="1"/>
  <c r="IS4" i="6"/>
  <c r="JB10" i="6"/>
  <c r="JA14" i="6"/>
  <c r="IT4" i="6" l="1"/>
  <c r="IS7" i="6"/>
  <c r="JC10" i="6"/>
  <c r="JB14" i="6"/>
  <c r="IU4" i="6" l="1"/>
  <c r="IT7" i="6"/>
  <c r="JC14" i="6"/>
  <c r="JD10" i="6"/>
  <c r="IU7" i="6" l="1"/>
  <c r="IV4" i="6"/>
  <c r="JE10" i="6"/>
  <c r="JD14" i="6"/>
  <c r="IV7" i="6" l="1"/>
  <c r="IW4" i="6"/>
  <c r="JF10" i="6"/>
  <c r="JE14" i="6"/>
  <c r="IW7" i="6" l="1"/>
  <c r="IX4" i="6"/>
  <c r="JG10" i="6"/>
  <c r="JF14" i="6"/>
  <c r="IY4" i="6" l="1"/>
  <c r="IX7" i="6"/>
  <c r="JH10" i="6"/>
  <c r="JG14" i="6"/>
  <c r="IY7" i="6" l="1"/>
  <c r="IZ4" i="6"/>
  <c r="JI10" i="6"/>
  <c r="JH14" i="6"/>
  <c r="JA4" i="6" l="1"/>
  <c r="IZ7" i="6"/>
  <c r="JI14" i="6"/>
  <c r="JJ10" i="6"/>
  <c r="JB4" i="6" l="1"/>
  <c r="JA7" i="6"/>
  <c r="JJ14" i="6"/>
  <c r="JK10" i="6"/>
  <c r="JB7" i="6" l="1"/>
  <c r="JC4" i="6"/>
  <c r="JL10" i="6"/>
  <c r="JK14" i="6"/>
  <c r="JC7" i="6" l="1"/>
  <c r="JD4" i="6"/>
  <c r="JL14" i="6"/>
  <c r="JM10" i="6"/>
  <c r="JE4" i="6" l="1"/>
  <c r="JD7" i="6"/>
  <c r="JM14" i="6"/>
  <c r="JN10" i="6"/>
  <c r="JF4" i="6" l="1"/>
  <c r="JE7" i="6"/>
  <c r="JN14" i="6"/>
  <c r="JO10" i="6"/>
  <c r="JG4" i="6" l="1"/>
  <c r="JF7" i="6"/>
  <c r="JP10" i="6"/>
  <c r="JO14" i="6"/>
  <c r="JG7" i="6" l="1"/>
  <c r="JH4" i="6"/>
  <c r="JQ10" i="6"/>
  <c r="JP14" i="6"/>
  <c r="JI4" i="6" l="1"/>
  <c r="JH7" i="6"/>
  <c r="JR10" i="6"/>
  <c r="JQ14" i="6"/>
  <c r="JJ4" i="6" l="1"/>
  <c r="JI7" i="6"/>
  <c r="JS10" i="6"/>
  <c r="JR14" i="6"/>
  <c r="JK4" i="6" l="1"/>
  <c r="JJ7" i="6"/>
  <c r="JS14" i="6"/>
  <c r="JT10" i="6"/>
  <c r="JK7" i="6" l="1"/>
  <c r="JL4" i="6"/>
  <c r="JT14" i="6"/>
  <c r="JU10" i="6"/>
  <c r="JL7" i="6" l="1"/>
  <c r="JM4" i="6"/>
  <c r="JU14" i="6"/>
  <c r="JV10" i="6"/>
  <c r="JN4" i="6" l="1"/>
  <c r="JM7" i="6"/>
  <c r="JW10" i="6"/>
  <c r="JV14" i="6"/>
  <c r="JO4" i="6" l="1"/>
  <c r="JN7" i="6"/>
  <c r="JX10" i="6"/>
  <c r="JW14" i="6"/>
  <c r="JO7" i="6" l="1"/>
  <c r="JP4" i="6"/>
  <c r="JY10" i="6"/>
  <c r="JX14" i="6"/>
  <c r="JQ4" i="6" l="1"/>
  <c r="JP7" i="6"/>
  <c r="JY14" i="6"/>
  <c r="JZ10" i="6"/>
  <c r="JR4" i="6" l="1"/>
  <c r="JQ7" i="6"/>
  <c r="JZ14" i="6"/>
  <c r="KA10" i="6"/>
  <c r="JR7" i="6" l="1"/>
  <c r="JS4" i="6"/>
  <c r="KB10" i="6"/>
  <c r="KA14" i="6"/>
  <c r="JT4" i="6" l="1"/>
  <c r="JS7" i="6"/>
  <c r="KC10" i="6"/>
  <c r="KB14" i="6"/>
  <c r="JU4" i="6" l="1"/>
  <c r="JT7" i="6"/>
  <c r="KC14" i="6"/>
  <c r="KD10" i="6"/>
  <c r="JU7" i="6" l="1"/>
  <c r="JV4" i="6"/>
  <c r="KE10" i="6"/>
  <c r="KD14" i="6"/>
  <c r="JW4" i="6" l="1"/>
  <c r="JV7" i="6"/>
  <c r="KF10" i="6"/>
  <c r="KE14" i="6"/>
  <c r="JW7" i="6" l="1"/>
  <c r="JX4" i="6"/>
  <c r="KG10" i="6"/>
  <c r="KF14" i="6"/>
  <c r="JY4" i="6" l="1"/>
  <c r="JX7" i="6"/>
  <c r="KH10" i="6"/>
  <c r="KG14" i="6"/>
  <c r="JY7" i="6" l="1"/>
  <c r="JZ4" i="6"/>
  <c r="KI10" i="6"/>
  <c r="KH14" i="6"/>
  <c r="JZ7" i="6" l="1"/>
  <c r="KA4" i="6"/>
  <c r="KJ10" i="6"/>
  <c r="KI14" i="6"/>
  <c r="KB4" i="6" l="1"/>
  <c r="KA7" i="6"/>
  <c r="KJ14" i="6"/>
  <c r="KK10" i="6"/>
  <c r="KC4" i="6" l="1"/>
  <c r="KB7" i="6"/>
  <c r="KL10" i="6"/>
  <c r="KK14" i="6"/>
  <c r="KD4" i="6" l="1"/>
  <c r="KC7" i="6"/>
  <c r="KL14" i="6"/>
  <c r="KM10" i="6"/>
  <c r="KD7" i="6" l="1"/>
  <c r="KE4" i="6"/>
  <c r="KN10" i="6"/>
  <c r="KM14" i="6"/>
  <c r="KF4" i="6" l="1"/>
  <c r="KE7" i="6"/>
  <c r="KN14" i="6"/>
  <c r="KO10" i="6"/>
  <c r="KF7" i="6" l="1"/>
  <c r="KG4" i="6"/>
  <c r="KP10" i="6"/>
  <c r="KO14" i="6"/>
  <c r="KH4" i="6" l="1"/>
  <c r="KG7" i="6"/>
  <c r="KQ10" i="6"/>
  <c r="KP14" i="6"/>
  <c r="KI4" i="6" l="1"/>
  <c r="KH7" i="6"/>
  <c r="KQ14" i="6"/>
  <c r="KR10" i="6"/>
  <c r="KI7" i="6" l="1"/>
  <c r="KJ4" i="6"/>
  <c r="KR14" i="6"/>
  <c r="KS10" i="6"/>
  <c r="KK4" i="6" l="1"/>
  <c r="KJ7" i="6"/>
  <c r="KT10" i="6"/>
  <c r="KS14" i="6"/>
  <c r="KK7" i="6" l="1"/>
  <c r="KL4" i="6"/>
  <c r="KT14" i="6"/>
  <c r="KU10" i="6"/>
  <c r="KM4" i="6" l="1"/>
  <c r="KL7" i="6"/>
  <c r="KV10" i="6"/>
  <c r="KU14" i="6"/>
  <c r="KM7" i="6" l="1"/>
  <c r="KN4" i="6"/>
  <c r="KW10" i="6"/>
  <c r="KV14" i="6"/>
  <c r="KN7" i="6" l="1"/>
  <c r="KO4" i="6"/>
  <c r="KX10" i="6"/>
  <c r="KW14" i="6"/>
  <c r="KO7" i="6" l="1"/>
  <c r="KP4" i="6"/>
  <c r="KY10" i="6"/>
  <c r="KX14" i="6"/>
  <c r="KQ4" i="6" l="1"/>
  <c r="KP7" i="6"/>
  <c r="KY14" i="6"/>
  <c r="KZ10" i="6"/>
  <c r="KR4" i="6" l="1"/>
  <c r="KQ7" i="6"/>
  <c r="LA10" i="6"/>
  <c r="KZ14" i="6"/>
  <c r="KR7" i="6" l="1"/>
  <c r="KS4" i="6"/>
  <c r="LA14" i="6"/>
  <c r="LB10" i="6"/>
  <c r="KT4" i="6" l="1"/>
  <c r="KS7" i="6"/>
  <c r="LC10" i="6"/>
  <c r="LB14" i="6"/>
  <c r="KT7" i="6" l="1"/>
  <c r="KU4" i="6"/>
  <c r="LD10" i="6"/>
  <c r="LD14" i="6" s="1"/>
  <c r="LC14" i="6"/>
  <c r="KU7" i="6" l="1"/>
  <c r="KV4" i="6"/>
  <c r="KW4" i="6" l="1"/>
  <c r="KV7" i="6"/>
  <c r="KW7" i="6" l="1"/>
  <c r="KX4" i="6"/>
  <c r="KY4" i="6" l="1"/>
  <c r="KX7" i="6"/>
  <c r="KY7" i="6" l="1"/>
  <c r="KZ4" i="6"/>
  <c r="KZ7" i="6" l="1"/>
  <c r="LA4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<sst xmlns="http://schemas.openxmlformats.org/spreadsheetml/2006/main" count="890" uniqueCount="516">
  <si>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</si>
  <si>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</si>
  <si>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</si>
  <si>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</si>
  <si>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</si>
  <si>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</si>
  <si>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</si>
  <si>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</si>
  <si>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</si>
  <si>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</si>
  <si>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</si>
  <si>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</si>
  <si>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</si>
  <si>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</si>
  <si>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</si>
  <si>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</si>
  <si>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</si>
  <si>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</si>
  <si>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</si>
  <si>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</si>
  <si>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</si>
  <si>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</si>
  <si>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</si>
  <si>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</si>
  <si>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</si>
  <si>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</si>
  <si>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</si>
  <si>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</si>
  <si>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</si>
  <si>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</si>
  <si>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</si>
  <si>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</si>
  <si>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</si>
  <si>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</si>
  <si>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</si>
  <si>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</si>
  <si>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</si>
  <si>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</si>
  <si>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</si>
  <si>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</si>
  <si>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</si>
  <si>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</si>
  <si>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</si>
  <si>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</si>
  <si>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</si>
  <si>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</si>
  <si>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</si>
  <si>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</si>
  <si>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</si>
  <si>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</si>
  <si>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</si>
  <si>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</si>
  <si>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</si>
  <si>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</si>
  <si>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</si>
  <si>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</si>
  <si>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</si>
  <si>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</si>
  <si>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</si>
  <si>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</si>
  <si>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</si>
  <si>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</si>
  <si>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</si>
  <si>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</si>
  <si>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</si>
  <si>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</si>
  <si>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</si>
  <si>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</si>
  <si>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</si>
  <si>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</si>
  <si>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</si>
  <si>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</si>
  <si>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</si>
  <si>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</si>
  <si>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</si>
  <si>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</si>
  <si>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</si>
  <si>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</si>
  <si>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</si>
  <si>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</si>
  <si>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</si>
  <si>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</si>
  <si>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</si>
  <si>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</si>
  <si>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</si>
  <si>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</si>
  <si>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</si>
  <si>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</si>
  <si>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</si>
  <si>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</si>
  <si>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</si>
  <si>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</si>
  <si>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</si>
  <si>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</si>
  <si>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</si>
  <si>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</si>
  <si>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</si>
  <si>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</si>
  <si>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</si>
  <si>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</si>
  <si>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</si>
  <si>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</si>
  <si>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</si>
  <si>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</si>
  <si>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</si>
  <si>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</si>
  <si>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</si>
  <si>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</si>
  <si>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</si>
  <si>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</si>
  <si>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</si>
  <si>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</si>
  <si>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</si>
  <si>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</si>
  <si>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</si>
  <si>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</si>
  <si>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</si>
  <si>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new route in progress - Plan B</t>
  </si>
  <si>
    <t>3.6</t>
  </si>
  <si>
    <t>AC Tie-In</t>
  </si>
  <si>
    <t>Going ahead with Plan B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</si>
  <si>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</si>
  <si>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</si>
  <si>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</si>
  <si>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</si>
  <si>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</si>
  <si>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</si>
  <si>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</si>
  <si>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</si>
  <si>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</si>
  <si>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</si>
  <si>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</si>
  <si>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</si>
  <si>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</si>
  <si>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</si>
  <si>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</si>
  <si>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</si>
  <si>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Factoring in a 45 day roof delay</t>
  </si>
  <si>
    <t>6.2</t>
  </si>
  <si>
    <t>Work because of Roof remidial</t>
  </si>
  <si>
    <t>6.3</t>
  </si>
  <si>
    <t>Practical Completion</t>
  </si>
  <si>
    <t>linked to AC tie complexity</t>
  </si>
  <si>
    <t>QA Inspections</t>
  </si>
  <si>
    <t>Red-Team Inspection</t>
  </si>
  <si>
    <t>Red team has been done prior to AC tie in change. Only need to redo AC portion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</si>
  <si>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</si>
  <si>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</si>
  <si>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</si>
  <si>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</si>
  <si>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</si>
  <si>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</si>
  <si>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</si>
  <si>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</si>
  <si>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</si>
  <si>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</si>
  <si>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</si>
  <si>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</si>
  <si>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</si>
  <si>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</si>
  <si>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</si>
  <si>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</si>
  <si>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</si>
  <si>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</si>
  <si>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</si>
  <si>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</si>
  <si>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</si>
  <si>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</si>
  <si>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</si>
  <si>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</si>
  <si>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</si>
  <si>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</si>
  <si>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</si>
  <si>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</si>
  <si>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</si>
  <si>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</si>
  <si>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</si>
  <si>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</si>
  <si>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</si>
  <si>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</si>
  <si>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</si>
  <si>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</si>
  <si>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</si>
  <si>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</si>
  <si>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</si>
  <si>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</si>
  <si>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</si>
  <si>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</si>
  <si>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</si>
  <si>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</si>
  <si>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</si>
  <si>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</si>
  <si>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</si>
  <si>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</si>
  <si>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</si>
  <si>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</si>
  <si>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</si>
  <si>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</si>
  <si>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</si>
  <si>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</si>
  <si>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</si>
  <si>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</si>
  <si>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</si>
  <si>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</si>
  <si>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</si>
  <si>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</si>
  <si>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</si>
  <si>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</si>
  <si>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</si>
  <si>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</si>
  <si>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</si>
  <si>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</si>
  <si>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</si>
  <si>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</si>
  <si>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</si>
  <si>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</si>
  <si>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</si>
  <si>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</si>
  <si>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</si>
  <si>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</si>
  <si>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</si>
  <si>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</si>
  <si>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</si>
  <si>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</si>
  <si>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</si>
  <si>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</si>
  <si>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</si>
  <si>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</si>
  <si>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</si>
  <si>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</si>
  <si>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</si>
  <si>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</si>
  <si>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</si>
  <si>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</si>
  <si>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</si>
  <si>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</si>
  <si>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</si>
  <si>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</si>
  <si>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</si>
  <si>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</si>
  <si>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</si>
  <si>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</si>
  <si>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</si>
  <si>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</si>
  <si>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</si>
  <si>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</si>
  <si>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</si>
  <si>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</si>
  <si>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</si>
  <si>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</si>
  <si>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</si>
  <si>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</si>
  <si>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</si>
  <si>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</si>
  <si>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</si>
  <si>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</si>
  <si>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</si>
  <si>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</si>
  <si>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</si>
  <si>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</si>
  <si>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</si>
  <si>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</si>
  <si>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</si>
  <si>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</si>
  <si>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</si>
  <si>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</si>
  <si>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</si>
  <si>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</si>
  <si>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</si>
  <si>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</si>
  <si>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</si>
  <si>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</si>
  <si>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</si>
  <si>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</si>
  <si>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</si>
  <si>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</si>
  <si>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</si>
  <si>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</si>
  <si>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</si>
  <si>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</si>
  <si>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</si>
  <si>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</si>
  <si>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</si>
  <si>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</si>
  <si>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</si>
  <si>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</si>
  <si>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</si>
  <si>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</si>
  <si>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</si>
  <si>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</si>
  <si>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</si>
  <si>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</si>
  <si>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</si>
  <si>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</si>
  <si>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</si>
  <si>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</si>
  <si>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</si>
  <si>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</si>
  <si>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</si>
  <si>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</si>
  <si>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</si>
  <si>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</si>
  <si>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</si>
  <si>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</si>
  <si>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</si>
  <si>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</si>
  <si>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</si>
  <si>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</si>
  <si>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</si>
  <si>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</si>
  <si>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</si>
  <si>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</si>
  <si>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</si>
  <si>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</si>
  <si>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</si>
  <si>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</si>
  <si>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</si>
  <si>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</si>
  <si>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</si>
  <si>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</si>
  <si>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</si>
  <si>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</si>
  <si>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</si>
  <si>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</si>
  <si>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</si>
  <si>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</si>
  <si>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</si>
  <si>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</si>
  <si>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</si>
  <si>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</si>
  <si>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</si>
  <si>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</si>
  <si>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</si>
  <si>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</si>
  <si>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</si>
  <si>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</si>
  <si>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</si>
  <si>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</si>
  <si>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</si>
  <si>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</si>
  <si>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</si>
  <si>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</si>
  <si>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</si>
  <si>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</si>
  <si>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</si>
  <si>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</si>
  <si>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</si>
  <si>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</si>
  <si>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</si>
  <si>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</si>
  <si>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</si>
  <si>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</si>
  <si>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</si>
  <si>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</si>
  <si>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</si>
  <si>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</si>
  <si>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</si>
  <si>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</si>
  <si>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</si>
  <si>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</si>
  <si>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</si>
  <si>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</si>
  <si>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</si>
  <si>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</si>
  <si>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</si>
  <si>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</si>
  <si>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</si>
  <si>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</si>
  <si>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</si>
  <si>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</si>
  <si>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</si>
  <si>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</si>
  <si>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</si>
  <si>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</si>
  <si>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</si>
  <si>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</si>
  <si>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</si>
  <si>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</si>
  <si>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</si>
  <si>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</si>
  <si>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</si>
  <si>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</si>
  <si>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</si>
  <si>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</si>
  <si>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</si>
  <si>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</si>
  <si>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</si>
  <si>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</si>
  <si>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</si>
  <si>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</si>
  <si>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</si>
  <si>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</si>
  <si>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</si>
  <si>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</si>
  <si>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</si>
  <si>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</si>
  <si>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</si>
  <si>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</si>
  <si>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</si>
  <si>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</si>
  <si>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</si>
  <si>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</si>
  <si>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</si>
  <si>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</si>
  <si>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</si>
  <si>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</si>
  <si>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</si>
  <si>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</si>
  <si>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</si>
  <si>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</si>
  <si>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</si>
  <si>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</si>
  <si>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</si>
  <si>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</si>
  <si>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</si>
  <si>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</si>
  <si>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</si>
  <si>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</si>
  <si>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</si>
  <si>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</si>
  <si>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</si>
  <si>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</si>
  <si>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</si>
  <si>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</si>
  <si>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</si>
  <si>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</si>
  <si>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</si>
  <si>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</si>
  <si>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</si>
  <si>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</si>
  <si>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</si>
  <si>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</si>
  <si>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</si>
  <si>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</si>
  <si>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</si>
  <si>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</si>
  <si>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</si>
  <si>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</si>
  <si>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</si>
  <si>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</si>
  <si>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</si>
  <si>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</si>
  <si>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</si>
  <si>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</si>
  <si>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</si>
  <si>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</si>
  <si>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</si>
  <si>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</si>
  <si>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</si>
  <si>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</si>
  <si>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</si>
  <si>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</si>
  <si>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</si>
  <si>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</si>
  <si>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</si>
  <si>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</si>
  <si>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</si>
  <si>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</si>
  <si>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</si>
  <si>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</si>
  <si>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</si>
  <si>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</si>
  <si>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</si>
  <si>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</si>
  <si>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</si>
  <si>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</si>
  <si>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</si>
  <si>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</si>
  <si>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</si>
  <si>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</si>
  <si>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</si>
  <si>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</si>
  <si>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</si>
  <si>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</si>
  <si>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</si>
  <si>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</si>
  <si>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</si>
  <si>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</si>
  <si>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</si>
  <si>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</si>
  <si>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</si>
  <si>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</si>
  <si>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</si>
  <si>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</si>
  <si>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</si>
  <si>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</si>
  <si>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</si>
  <si>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</si>
  <si>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</si>
  <si>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</si>
  <si>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</si>
  <si>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</si>
  <si>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</si>
  <si>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</si>
  <si>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</si>
  <si>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</si>
  <si>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</si>
  <si>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</si>
  <si>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</si>
  <si>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</si>
  <si>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</si>
  <si>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</si>
  <si>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</si>
  <si>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</si>
  <si>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</si>
  <si>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</si>
  <si>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</si>
  <si>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</si>
  <si>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</si>
  <si>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</si>
  <si>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</si>
  <si>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</si>
  <si>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</si>
  <si>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</si>
  <si>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</si>
  <si>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Cosmic Sun - CS_TSK_014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</si>
</sst>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51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6" fillId="6" borderId="2" xfId="0" applyFont="1" applyFill="1" applyBorder="1"/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2085397.696</c:v>
                </c:pt>
                <c:pt idx="56">
                  <c:v>2115782.0660000001</c:v>
                </c:pt>
                <c:pt idx="57">
                  <c:v>2370188.054</c:v>
                </c:pt>
                <c:pt idx="58">
                  <c:v>2457955.216</c:v>
                </c:pt>
                <c:pt idx="59">
                  <c:v>2457955.216</c:v>
                </c:pt>
                <c:pt idx="60">
                  <c:v>2457955.216</c:v>
                </c:pt>
                <c:pt idx="61">
                  <c:v>2484158.21</c:v>
                </c:pt>
                <c:pt idx="62">
                  <c:v>2523865.0225</c:v>
                </c:pt>
                <c:pt idx="63">
                  <c:v>2523865.0225</c:v>
                </c:pt>
                <c:pt idx="64">
                  <c:v>2523865.0225</c:v>
                </c:pt>
                <c:pt idx="65">
                  <c:v>2523865.0225</c:v>
                </c:pt>
                <c:pt idx="66">
                  <c:v>2523865.0225</c:v>
                </c:pt>
                <c:pt idx="67">
                  <c:v>2523865.0225</c:v>
                </c:pt>
                <c:pt idx="68">
                  <c:v>2523865.0225</c:v>
                </c:pt>
                <c:pt idx="69">
                  <c:v>2523865.0225</c:v>
                </c:pt>
                <c:pt idx="70">
                  <c:v>2523865.0225</c:v>
                </c:pt>
                <c:pt idx="71">
                  <c:v>2523865.0225</c:v>
                </c:pt>
                <c:pt idx="72">
                  <c:v>2523865.0225</c:v>
                </c:pt>
                <c:pt idx="73">
                  <c:v>2523865.0225</c:v>
                </c:pt>
                <c:pt idx="74">
                  <c:v>2523865.0225</c:v>
                </c:pt>
                <c:pt idx="75">
                  <c:v>2523865.0225</c:v>
                </c:pt>
                <c:pt idx="76">
                  <c:v>2523865.0225</c:v>
                </c:pt>
                <c:pt idx="77">
                  <c:v>2523865.0225</c:v>
                </c:pt>
                <c:pt idx="78">
                  <c:v>2523865.0225</c:v>
                </c:pt>
                <c:pt idx="79">
                  <c:v>2523865.0225</c:v>
                </c:pt>
                <c:pt idx="80">
                  <c:v>2523865.0225</c:v>
                </c:pt>
                <c:pt idx="81">
                  <c:v>2523865.0225</c:v>
                </c:pt>
                <c:pt idx="82">
                  <c:v>2523865.0225</c:v>
                </c:pt>
                <c:pt idx="83">
                  <c:v>2523865.0225</c:v>
                </c:pt>
                <c:pt idx="84">
                  <c:v>2523865.0225</c:v>
                </c:pt>
                <c:pt idx="85">
                  <c:v>2523865.0225</c:v>
                </c:pt>
                <c:pt idx="86">
                  <c:v>2523865.0225</c:v>
                </c:pt>
                <c:pt idx="87">
                  <c:v>2523865.0225</c:v>
                </c:pt>
                <c:pt idx="88">
                  <c:v>2523865.0225</c:v>
                </c:pt>
                <c:pt idx="89">
                  <c:v>2523865.0225</c:v>
                </c:pt>
                <c:pt idx="90">
                  <c:v>2523865.0225</c:v>
                </c:pt>
                <c:pt idx="91">
                  <c:v>2523865.0225</c:v>
                </c:pt>
                <c:pt idx="92">
                  <c:v>2523865.0225</c:v>
                </c:pt>
                <c:pt idx="93">
                  <c:v>2523865.0225</c:v>
                </c:pt>
                <c:pt idx="94">
                  <c:v>2523865.0225</c:v>
                </c:pt>
                <c:pt idx="95">
                  <c:v>2523865.0225</c:v>
                </c:pt>
                <c:pt idx="96">
                  <c:v>2523865.0225</c:v>
                </c:pt>
                <c:pt idx="97">
                  <c:v>2523865.0225</c:v>
                </c:pt>
                <c:pt idx="98">
                  <c:v>2523865.0225</c:v>
                </c:pt>
                <c:pt idx="99">
                  <c:v>2523865.0225</c:v>
                </c:pt>
                <c:pt idx="100">
                  <c:v>2523865.0225</c:v>
                </c:pt>
                <c:pt idx="101">
                  <c:v>2523865.0225</c:v>
                </c:pt>
                <c:pt idx="102">
                  <c:v>2523865.0225</c:v>
                </c:pt>
                <c:pt idx="103">
                  <c:v>2523865.0225</c:v>
                </c:pt>
                <c:pt idx="104">
                  <c:v>2523865.0225</c:v>
                </c:pt>
                <c:pt idx="105">
                  <c:v>2523865.0225</c:v>
                </c:pt>
                <c:pt idx="106">
                  <c:v>2523865.0225</c:v>
                </c:pt>
                <c:pt idx="107">
                  <c:v>2523865.0225</c:v>
                </c:pt>
                <c:pt idx="108">
                  <c:v>2523865.0225</c:v>
                </c:pt>
                <c:pt idx="109">
                  <c:v>2523865.0225</c:v>
                </c:pt>
                <c:pt idx="110">
                  <c:v>2523865.0225</c:v>
                </c:pt>
                <c:pt idx="111">
                  <c:v>2523865.0225</c:v>
                </c:pt>
                <c:pt idx="112">
                  <c:v>2523865.0225</c:v>
                </c:pt>
                <c:pt idx="113">
                  <c:v>2523865.0225</c:v>
                </c:pt>
                <c:pt idx="114">
                  <c:v>2523865.0225</c:v>
                </c:pt>
                <c:pt idx="115">
                  <c:v>2523865.0225</c:v>
                </c:pt>
                <c:pt idx="116">
                  <c:v>2523865.0225</c:v>
                </c:pt>
                <c:pt idx="117">
                  <c:v>2523865.0225</c:v>
                </c:pt>
                <c:pt idx="118">
                  <c:v>2523865.0225</c:v>
                </c:pt>
                <c:pt idx="119">
                  <c:v>2523865.0225</c:v>
                </c:pt>
                <c:pt idx="120">
                  <c:v>2523865.0225</c:v>
                </c:pt>
                <c:pt idx="121">
                  <c:v>2523865.0225</c:v>
                </c:pt>
                <c:pt idx="122">
                  <c:v>2523865.0225</c:v>
                </c:pt>
                <c:pt idx="123">
                  <c:v>2523865.0225</c:v>
                </c:pt>
                <c:pt idx="124">
                  <c:v>2523865.0225</c:v>
                </c:pt>
                <c:pt idx="125">
                  <c:v>2523865.0225</c:v>
                </c:pt>
                <c:pt idx="126">
                  <c:v>2523865.0225</c:v>
                </c:pt>
                <c:pt idx="127">
                  <c:v>2523865.0225</c:v>
                </c:pt>
                <c:pt idx="128">
                  <c:v>2523865.0225</c:v>
                </c:pt>
                <c:pt idx="129">
                  <c:v>2523865.0225</c:v>
                </c:pt>
                <c:pt idx="130">
                  <c:v>2523865.0225</c:v>
                </c:pt>
                <c:pt idx="131">
                  <c:v>2523865.0225</c:v>
                </c:pt>
                <c:pt idx="132">
                  <c:v>2523865.0225</c:v>
                </c:pt>
                <c:pt idx="133">
                  <c:v>2523865.0225</c:v>
                </c:pt>
                <c:pt idx="134">
                  <c:v>2523865.0225</c:v>
                </c:pt>
                <c:pt idx="135">
                  <c:v>2523865.0225</c:v>
                </c:pt>
                <c:pt idx="136">
                  <c:v>2523865.0225</c:v>
                </c:pt>
                <c:pt idx="137">
                  <c:v>2523865.0225</c:v>
                </c:pt>
                <c:pt idx="138">
                  <c:v>2523865.0225</c:v>
                </c:pt>
                <c:pt idx="139">
                  <c:v>2523865.0225</c:v>
                </c:pt>
                <c:pt idx="140">
                  <c:v>2523865.0225</c:v>
                </c:pt>
                <c:pt idx="141">
                  <c:v>2523865.0225</c:v>
                </c:pt>
                <c:pt idx="142">
                  <c:v>2523865.0225</c:v>
                </c:pt>
                <c:pt idx="143">
                  <c:v>2523865.0225</c:v>
                </c:pt>
                <c:pt idx="144">
                  <c:v>2523865.0225</c:v>
                </c:pt>
                <c:pt idx="145">
                  <c:v>2523865.0225</c:v>
                </c:pt>
                <c:pt idx="146">
                  <c:v>2523865.0225</c:v>
                </c:pt>
                <c:pt idx="147">
                  <c:v>2523865.0225</c:v>
                </c:pt>
                <c:pt idx="148">
                  <c:v>2523865.0225</c:v>
                </c:pt>
                <c:pt idx="149">
                  <c:v>2523865.0225</c:v>
                </c:pt>
                <c:pt idx="150">
                  <c:v>2523865.0225</c:v>
                </c:pt>
                <c:pt idx="151">
                  <c:v>2523865.0225</c:v>
                </c:pt>
                <c:pt idx="152">
                  <c:v>2523865.0225</c:v>
                </c:pt>
                <c:pt idx="153">
                  <c:v>2523865.0225</c:v>
                </c:pt>
                <c:pt idx="154">
                  <c:v>2523865.0225</c:v>
                </c:pt>
                <c:pt idx="155">
                  <c:v>2523865.0225</c:v>
                </c:pt>
                <c:pt idx="156">
                  <c:v>2523865.0225</c:v>
                </c:pt>
                <c:pt idx="157">
                  <c:v>2523865.0225</c:v>
                </c:pt>
                <c:pt idx="158">
                  <c:v>2523865.0225</c:v>
                </c:pt>
                <c:pt idx="159">
                  <c:v>2523865.0225</c:v>
                </c:pt>
                <c:pt idx="160">
                  <c:v>2523865.0225</c:v>
                </c:pt>
                <c:pt idx="161">
                  <c:v>2523865.0225</c:v>
                </c:pt>
                <c:pt idx="162">
                  <c:v>2523865.0225</c:v>
                </c:pt>
                <c:pt idx="163">
                  <c:v>2523865.0225</c:v>
                </c:pt>
                <c:pt idx="164">
                  <c:v>2523865.0225</c:v>
                </c:pt>
                <c:pt idx="165">
                  <c:v>2523865.0225</c:v>
                </c:pt>
                <c:pt idx="166">
                  <c:v>2523865.0225</c:v>
                </c:pt>
                <c:pt idx="167">
                  <c:v>2523865.0225</c:v>
                </c:pt>
                <c:pt idx="168">
                  <c:v>2523865.0225</c:v>
                </c:pt>
                <c:pt idx="169">
                  <c:v>2523865.0225</c:v>
                </c:pt>
                <c:pt idx="170">
                  <c:v>2523865.0225</c:v>
                </c:pt>
                <c:pt idx="171">
                  <c:v>2523865.0225</c:v>
                </c:pt>
                <c:pt idx="172">
                  <c:v>2523865.0225</c:v>
                </c:pt>
                <c:pt idx="173">
                  <c:v>2523865.0225</c:v>
                </c:pt>
                <c:pt idx="174">
                  <c:v>2523865.0225</c:v>
                </c:pt>
                <c:pt idx="175">
                  <c:v>2523865.0225</c:v>
                </c:pt>
                <c:pt idx="176">
                  <c:v>2523865.0225</c:v>
                </c:pt>
                <c:pt idx="177">
                  <c:v>2523865.0225</c:v>
                </c:pt>
                <c:pt idx="178">
                  <c:v>2523865.0225</c:v>
                </c:pt>
                <c:pt idx="179">
                  <c:v>2523865.0225</c:v>
                </c:pt>
                <c:pt idx="180">
                  <c:v>2523865.0225</c:v>
                </c:pt>
                <c:pt idx="181">
                  <c:v>2523865.0225</c:v>
                </c:pt>
                <c:pt idx="182">
                  <c:v>2523865.0225</c:v>
                </c:pt>
                <c:pt idx="183">
                  <c:v>2523865.0225</c:v>
                </c:pt>
                <c:pt idx="184">
                  <c:v>2523865.0225</c:v>
                </c:pt>
                <c:pt idx="185">
                  <c:v>2523865.0225</c:v>
                </c:pt>
                <c:pt idx="186">
                  <c:v>2523865.0225</c:v>
                </c:pt>
                <c:pt idx="187">
                  <c:v>2523865.0225</c:v>
                </c:pt>
                <c:pt idx="188">
                  <c:v>2523865.0225</c:v>
                </c:pt>
                <c:pt idx="189">
                  <c:v>2523865.0225</c:v>
                </c:pt>
                <c:pt idx="190">
                  <c:v>2523865.0225</c:v>
                </c:pt>
                <c:pt idx="191">
                  <c:v>2523865.0225</c:v>
                </c:pt>
                <c:pt idx="192">
                  <c:v>2523865.0225</c:v>
                </c:pt>
                <c:pt idx="193">
                  <c:v>2523865.0225</c:v>
                </c:pt>
                <c:pt idx="194">
                  <c:v>2523865.0225</c:v>
                </c:pt>
                <c:pt idx="195">
                  <c:v>2523865.0225</c:v>
                </c:pt>
                <c:pt idx="196">
                  <c:v>2523865.0225</c:v>
                </c:pt>
                <c:pt idx="197">
                  <c:v>2523865.0225</c:v>
                </c:pt>
                <c:pt idx="198">
                  <c:v>2523865.0225</c:v>
                </c:pt>
                <c:pt idx="199">
                  <c:v>2523865.0225</c:v>
                </c:pt>
                <c:pt idx="200">
                  <c:v>2523865.0225</c:v>
                </c:pt>
                <c:pt idx="201">
                  <c:v>2523865.0225</c:v>
                </c:pt>
                <c:pt idx="202">
                  <c:v>2523865.0225</c:v>
                </c:pt>
                <c:pt idx="203">
                  <c:v>2523865.0225</c:v>
                </c:pt>
                <c:pt idx="204">
                  <c:v>2523865.0225</c:v>
                </c:pt>
                <c:pt idx="205">
                  <c:v>2523865.0225</c:v>
                </c:pt>
                <c:pt idx="206">
                  <c:v>2523865.0225</c:v>
                </c:pt>
                <c:pt idx="207">
                  <c:v>2523865.0225</c:v>
                </c:pt>
                <c:pt idx="208">
                  <c:v>2523865.0225</c:v>
                </c:pt>
                <c:pt idx="209">
                  <c:v>2523865.0225</c:v>
                </c:pt>
                <c:pt idx="210">
                  <c:v>2523865.0225</c:v>
                </c:pt>
                <c:pt idx="211">
                  <c:v>2523865.0225</c:v>
                </c:pt>
                <c:pt idx="212">
                  <c:v>2523865.0225</c:v>
                </c:pt>
                <c:pt idx="213">
                  <c:v>2523865.0225</c:v>
                </c:pt>
                <c:pt idx="214">
                  <c:v>2523865.0225</c:v>
                </c:pt>
                <c:pt idx="215">
                  <c:v>2523865.0225</c:v>
                </c:pt>
                <c:pt idx="216">
                  <c:v>2523865.0225</c:v>
                </c:pt>
                <c:pt idx="217">
                  <c:v>2523865.0225</c:v>
                </c:pt>
                <c:pt idx="218">
                  <c:v>2523865.0225</c:v>
                </c:pt>
                <c:pt idx="219">
                  <c:v>2523865.0225</c:v>
                </c:pt>
                <c:pt idx="220">
                  <c:v>2523865.0225</c:v>
                </c:pt>
                <c:pt idx="221">
                  <c:v>2523865.0225</c:v>
                </c:pt>
                <c:pt idx="222">
                  <c:v>2523865.0225</c:v>
                </c:pt>
                <c:pt idx="223">
                  <c:v>2523865.0225</c:v>
                </c:pt>
                <c:pt idx="224">
                  <c:v>2523865.0225</c:v>
                </c:pt>
                <c:pt idx="225">
                  <c:v>2523865.0225</c:v>
                </c:pt>
                <c:pt idx="226">
                  <c:v>2523865.0225</c:v>
                </c:pt>
                <c:pt idx="227">
                  <c:v>2523865.0225</c:v>
                </c:pt>
                <c:pt idx="228">
                  <c:v>2523865.0225</c:v>
                </c:pt>
                <c:pt idx="229">
                  <c:v>2523865.0225</c:v>
                </c:pt>
                <c:pt idx="230">
                  <c:v>2523865.0225</c:v>
                </c:pt>
                <c:pt idx="231">
                  <c:v>2523865.0225</c:v>
                </c:pt>
                <c:pt idx="232">
                  <c:v>2523865.0225</c:v>
                </c:pt>
                <c:pt idx="233">
                  <c:v>2523865.0225</c:v>
                </c:pt>
                <c:pt idx="234">
                  <c:v>2523865.0225</c:v>
                </c:pt>
                <c:pt idx="235">
                  <c:v>2523865.0225</c:v>
                </c:pt>
                <c:pt idx="236">
                  <c:v>2523865.0225</c:v>
                </c:pt>
                <c:pt idx="237">
                  <c:v>2523865.0225</c:v>
                </c:pt>
                <c:pt idx="238">
                  <c:v>2523865.0225</c:v>
                </c:pt>
                <c:pt idx="239">
                  <c:v>2523865.0225</c:v>
                </c:pt>
                <c:pt idx="240">
                  <c:v>2523865.0225</c:v>
                </c:pt>
                <c:pt idx="241">
                  <c:v>2523865.0225</c:v>
                </c:pt>
                <c:pt idx="242">
                  <c:v>2523865.0225</c:v>
                </c:pt>
                <c:pt idx="243">
                  <c:v>2523865.0225</c:v>
                </c:pt>
                <c:pt idx="244">
                  <c:v>2523865.0225</c:v>
                </c:pt>
                <c:pt idx="245">
                  <c:v>2523865.0225</c:v>
                </c:pt>
                <c:pt idx="246">
                  <c:v>2523865.0225</c:v>
                </c:pt>
                <c:pt idx="247">
                  <c:v>2523865.0225</c:v>
                </c:pt>
                <c:pt idx="248">
                  <c:v>2523865.0225</c:v>
                </c:pt>
                <c:pt idx="249">
                  <c:v>2523865.0225</c:v>
                </c:pt>
                <c:pt idx="250">
                  <c:v>2523865.0225</c:v>
                </c:pt>
                <c:pt idx="251">
                  <c:v>2523865.0225</c:v>
                </c:pt>
                <c:pt idx="252">
                  <c:v>2523865.0225</c:v>
                </c:pt>
                <c:pt idx="253">
                  <c:v>2523865.0225</c:v>
                </c:pt>
                <c:pt idx="254">
                  <c:v>2523865.0225</c:v>
                </c:pt>
                <c:pt idx="255">
                  <c:v>2523865.0225</c:v>
                </c:pt>
                <c:pt idx="256">
                  <c:v>2523865.0225</c:v>
                </c:pt>
                <c:pt idx="257">
                  <c:v>2523865.0225</c:v>
                </c:pt>
                <c:pt idx="258">
                  <c:v>2523865.0225</c:v>
                </c:pt>
                <c:pt idx="259">
                  <c:v>2523865.0225</c:v>
                </c:pt>
                <c:pt idx="260">
                  <c:v>2523865.0225</c:v>
                </c:pt>
                <c:pt idx="261">
                  <c:v>2523865.0225</c:v>
                </c:pt>
                <c:pt idx="262">
                  <c:v>2523865.0225</c:v>
                </c:pt>
                <c:pt idx="263">
                  <c:v>2523865.0225</c:v>
                </c:pt>
                <c:pt idx="264">
                  <c:v>2523865.0225</c:v>
                </c:pt>
                <c:pt idx="265">
                  <c:v>2523865.0225</c:v>
                </c:pt>
                <c:pt idx="266">
                  <c:v>2523865.0225</c:v>
                </c:pt>
                <c:pt idx="267">
                  <c:v>2523865.0225</c:v>
                </c:pt>
                <c:pt idx="268">
                  <c:v>2523865.0225</c:v>
                </c:pt>
                <c:pt idx="269">
                  <c:v>2523865.0225</c:v>
                </c:pt>
                <c:pt idx="270">
                  <c:v>2523865.0225</c:v>
                </c:pt>
                <c:pt idx="271">
                  <c:v>2523865.0225</c:v>
                </c:pt>
                <c:pt idx="272">
                  <c:v>2523865.0225</c:v>
                </c:pt>
                <c:pt idx="273">
                  <c:v>2523865.0225</c:v>
                </c:pt>
                <c:pt idx="274">
                  <c:v>2523865.0225</c:v>
                </c:pt>
                <c:pt idx="275">
                  <c:v>2523865.0225</c:v>
                </c:pt>
                <c:pt idx="276">
                  <c:v>2523865.0225</c:v>
                </c:pt>
                <c:pt idx="277">
                  <c:v>2523865.0225</c:v>
                </c:pt>
                <c:pt idx="278">
                  <c:v>2523865.0225</c:v>
                </c:pt>
                <c:pt idx="279">
                  <c:v>2523865.0225</c:v>
                </c:pt>
                <c:pt idx="280">
                  <c:v>2523865.0225</c:v>
                </c:pt>
                <c:pt idx="281">
                  <c:v>2523865.0225</c:v>
                </c:pt>
                <c:pt idx="282">
                  <c:v>2523865.0225</c:v>
                </c:pt>
                <c:pt idx="283">
                  <c:v>2523865.0225</c:v>
                </c:pt>
                <c:pt idx="284">
                  <c:v>2523865.0225</c:v>
                </c:pt>
                <c:pt idx="285">
                  <c:v>2523865.0225</c:v>
                </c:pt>
                <c:pt idx="286">
                  <c:v>2523865.0225</c:v>
                </c:pt>
                <c:pt idx="287">
                  <c:v>2523865.0225</c:v>
                </c:pt>
                <c:pt idx="288">
                  <c:v>2523865.0225</c:v>
                </c:pt>
                <c:pt idx="289">
                  <c:v>2523865.0225</c:v>
                </c:pt>
                <c:pt idx="290">
                  <c:v>2523865.0225</c:v>
                </c:pt>
                <c:pt idx="291">
                  <c:v>2523865.0225</c:v>
                </c:pt>
                <c:pt idx="292">
                  <c:v>2523865.0225</c:v>
                </c:pt>
                <c:pt idx="293">
                  <c:v>2523865.0225</c:v>
                </c:pt>
                <c:pt idx="294">
                  <c:v>2523865.0225</c:v>
                </c:pt>
                <c:pt idx="295">
                  <c:v>2523865.0225</c:v>
                </c:pt>
                <c:pt idx="296">
                  <c:v>2523865.0225</c:v>
                </c:pt>
                <c:pt idx="297">
                  <c:v>2523865.0225</c:v>
                </c:pt>
                <c:pt idx="298">
                  <c:v>2523865.0225</c:v>
                </c:pt>
                <c:pt idx="299">
                  <c:v>2523865.0225</c:v>
                </c:pt>
                <c:pt idx="300">
                  <c:v>2523865.0225</c:v>
                </c:pt>
                <c:pt idx="301">
                  <c:v>2523865.0225</c:v>
                </c:pt>
                <c:pt idx="302">
                  <c:v>2523865.0225</c:v>
                </c:pt>
                <c:pt idx="303">
                  <c:v>2523865.0225</c:v>
                </c:pt>
                <c:pt idx="304">
                  <c:v>2523865.0225</c:v>
                </c:pt>
                <c:pt idx="305">
                  <c:v>2523865.0225</c:v>
                </c:pt>
                <c:pt idx="306">
                  <c:v>2523865.0225</c:v>
                </c:pt>
                <c:pt idx="307">
                  <c:v>2523865.0225</c:v>
                </c:pt>
                <c:pt idx="308">
                  <c:v>2523865.0225</c:v>
                </c:pt>
                <c:pt idx="309">
                  <c:v>2523865.0225</c:v>
                </c:pt>
                <c:pt idx="310">
                  <c:v>2523865.0225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-602297.946</c:v>
                </c:pt>
                <c:pt idx="56">
                  <c:v>-632682.31600000011</c:v>
                </c:pt>
                <c:pt idx="57">
                  <c:v>191529.696</c:v>
                </c:pt>
                <c:pt idx="58">
                  <c:v>103762.53399999999</c:v>
                </c:pt>
                <c:pt idx="59">
                  <c:v>238589.78399999999</c:v>
                </c:pt>
                <c:pt idx="60">
                  <c:v>238589.78399999999</c:v>
                </c:pt>
                <c:pt idx="61">
                  <c:v>212386.79000000004</c:v>
                </c:pt>
                <c:pt idx="62">
                  <c:v>172679.97750000004</c:v>
                </c:pt>
                <c:pt idx="63">
                  <c:v>172679.97750000004</c:v>
                </c:pt>
                <c:pt idx="64">
                  <c:v>172679.97750000004</c:v>
                </c:pt>
                <c:pt idx="65">
                  <c:v>172679.97750000004</c:v>
                </c:pt>
                <c:pt idx="66">
                  <c:v>172679.97750000004</c:v>
                </c:pt>
                <c:pt idx="67">
                  <c:v>172679.97750000004</c:v>
                </c:pt>
                <c:pt idx="68">
                  <c:v>172679.97750000004</c:v>
                </c:pt>
                <c:pt idx="69">
                  <c:v>172679.97750000004</c:v>
                </c:pt>
                <c:pt idx="70">
                  <c:v>172679.97750000004</c:v>
                </c:pt>
                <c:pt idx="71">
                  <c:v>172679.97750000004</c:v>
                </c:pt>
                <c:pt idx="72">
                  <c:v>172679.97750000004</c:v>
                </c:pt>
                <c:pt idx="73">
                  <c:v>172679.97750000004</c:v>
                </c:pt>
                <c:pt idx="74">
                  <c:v>172679.97750000004</c:v>
                </c:pt>
                <c:pt idx="75">
                  <c:v>172679.97750000004</c:v>
                </c:pt>
                <c:pt idx="76">
                  <c:v>172679.97750000004</c:v>
                </c:pt>
                <c:pt idx="77">
                  <c:v>172679.97750000004</c:v>
                </c:pt>
                <c:pt idx="78">
                  <c:v>172679.97750000004</c:v>
                </c:pt>
                <c:pt idx="79">
                  <c:v>172679.97750000004</c:v>
                </c:pt>
                <c:pt idx="80">
                  <c:v>172679.97750000004</c:v>
                </c:pt>
                <c:pt idx="81">
                  <c:v>172679.97750000004</c:v>
                </c:pt>
                <c:pt idx="82">
                  <c:v>172679.97750000004</c:v>
                </c:pt>
                <c:pt idx="83">
                  <c:v>172679.97750000004</c:v>
                </c:pt>
                <c:pt idx="84">
                  <c:v>172679.97750000004</c:v>
                </c:pt>
                <c:pt idx="85">
                  <c:v>172679.97750000004</c:v>
                </c:pt>
                <c:pt idx="86">
                  <c:v>172679.97750000004</c:v>
                </c:pt>
                <c:pt idx="87">
                  <c:v>172679.97750000004</c:v>
                </c:pt>
                <c:pt idx="88">
                  <c:v>172679.97750000004</c:v>
                </c:pt>
                <c:pt idx="89">
                  <c:v>172679.97750000004</c:v>
                </c:pt>
                <c:pt idx="90">
                  <c:v>172679.97750000004</c:v>
                </c:pt>
                <c:pt idx="91">
                  <c:v>172679.97750000004</c:v>
                </c:pt>
                <c:pt idx="92">
                  <c:v>172679.97750000004</c:v>
                </c:pt>
                <c:pt idx="93">
                  <c:v>172679.97750000004</c:v>
                </c:pt>
                <c:pt idx="94">
                  <c:v>172679.97750000004</c:v>
                </c:pt>
                <c:pt idx="95">
                  <c:v>172679.97750000004</c:v>
                </c:pt>
                <c:pt idx="96">
                  <c:v>172679.97750000004</c:v>
                </c:pt>
                <c:pt idx="97">
                  <c:v>172679.97750000004</c:v>
                </c:pt>
                <c:pt idx="98">
                  <c:v>172679.97750000004</c:v>
                </c:pt>
                <c:pt idx="99">
                  <c:v>172679.97750000004</c:v>
                </c:pt>
                <c:pt idx="100">
                  <c:v>172679.97750000004</c:v>
                </c:pt>
                <c:pt idx="101">
                  <c:v>172679.97750000004</c:v>
                </c:pt>
                <c:pt idx="102">
                  <c:v>172679.97750000004</c:v>
                </c:pt>
                <c:pt idx="103">
                  <c:v>172679.97750000004</c:v>
                </c:pt>
                <c:pt idx="104">
                  <c:v>172679.97750000004</c:v>
                </c:pt>
                <c:pt idx="105">
                  <c:v>172679.97750000004</c:v>
                </c:pt>
                <c:pt idx="106">
                  <c:v>172679.97750000004</c:v>
                </c:pt>
                <c:pt idx="107">
                  <c:v>172679.97750000004</c:v>
                </c:pt>
                <c:pt idx="108">
                  <c:v>172679.97750000004</c:v>
                </c:pt>
                <c:pt idx="109">
                  <c:v>172679.97750000004</c:v>
                </c:pt>
                <c:pt idx="110">
                  <c:v>172679.97750000004</c:v>
                </c:pt>
                <c:pt idx="111">
                  <c:v>172679.97750000004</c:v>
                </c:pt>
                <c:pt idx="112">
                  <c:v>172679.97750000004</c:v>
                </c:pt>
                <c:pt idx="113">
                  <c:v>172679.97750000004</c:v>
                </c:pt>
                <c:pt idx="114">
                  <c:v>172679.97750000004</c:v>
                </c:pt>
                <c:pt idx="115">
                  <c:v>172679.97750000004</c:v>
                </c:pt>
                <c:pt idx="116">
                  <c:v>172679.97750000004</c:v>
                </c:pt>
                <c:pt idx="117">
                  <c:v>172679.97750000004</c:v>
                </c:pt>
                <c:pt idx="118">
                  <c:v>172679.97750000004</c:v>
                </c:pt>
                <c:pt idx="119">
                  <c:v>172679.97750000004</c:v>
                </c:pt>
                <c:pt idx="120">
                  <c:v>172679.97750000004</c:v>
                </c:pt>
                <c:pt idx="121">
                  <c:v>172679.97750000004</c:v>
                </c:pt>
                <c:pt idx="122">
                  <c:v>172679.97750000004</c:v>
                </c:pt>
                <c:pt idx="123">
                  <c:v>172679.97750000004</c:v>
                </c:pt>
                <c:pt idx="124">
                  <c:v>172679.97750000004</c:v>
                </c:pt>
                <c:pt idx="125">
                  <c:v>172679.97750000004</c:v>
                </c:pt>
                <c:pt idx="126">
                  <c:v>172679.97750000004</c:v>
                </c:pt>
                <c:pt idx="127">
                  <c:v>172679.97750000004</c:v>
                </c:pt>
                <c:pt idx="128">
                  <c:v>172679.97750000004</c:v>
                </c:pt>
                <c:pt idx="129">
                  <c:v>172679.97750000004</c:v>
                </c:pt>
                <c:pt idx="130">
                  <c:v>172679.97750000004</c:v>
                </c:pt>
                <c:pt idx="131">
                  <c:v>172679.97750000004</c:v>
                </c:pt>
                <c:pt idx="132">
                  <c:v>172679.97750000004</c:v>
                </c:pt>
                <c:pt idx="133">
                  <c:v>172679.97750000004</c:v>
                </c:pt>
                <c:pt idx="134">
                  <c:v>172679.97750000004</c:v>
                </c:pt>
                <c:pt idx="135">
                  <c:v>172679.97750000004</c:v>
                </c:pt>
                <c:pt idx="136">
                  <c:v>172679.97750000004</c:v>
                </c:pt>
                <c:pt idx="137">
                  <c:v>172679.97750000004</c:v>
                </c:pt>
                <c:pt idx="138">
                  <c:v>172679.97750000004</c:v>
                </c:pt>
                <c:pt idx="139">
                  <c:v>172679.97750000004</c:v>
                </c:pt>
                <c:pt idx="140">
                  <c:v>172679.97750000004</c:v>
                </c:pt>
                <c:pt idx="141">
                  <c:v>172679.97750000004</c:v>
                </c:pt>
                <c:pt idx="142">
                  <c:v>172679.97750000004</c:v>
                </c:pt>
                <c:pt idx="143">
                  <c:v>172679.97750000004</c:v>
                </c:pt>
                <c:pt idx="144">
                  <c:v>172679.97750000004</c:v>
                </c:pt>
                <c:pt idx="145">
                  <c:v>172679.97750000004</c:v>
                </c:pt>
                <c:pt idx="146">
                  <c:v>172679.97750000004</c:v>
                </c:pt>
                <c:pt idx="147">
                  <c:v>172679.97750000004</c:v>
                </c:pt>
                <c:pt idx="148">
                  <c:v>172679.97750000004</c:v>
                </c:pt>
                <c:pt idx="149">
                  <c:v>172679.97750000004</c:v>
                </c:pt>
                <c:pt idx="150">
                  <c:v>172679.97750000004</c:v>
                </c:pt>
                <c:pt idx="151">
                  <c:v>172679.97750000004</c:v>
                </c:pt>
                <c:pt idx="152">
                  <c:v>172679.97750000004</c:v>
                </c:pt>
                <c:pt idx="153">
                  <c:v>172679.97750000004</c:v>
                </c:pt>
                <c:pt idx="154">
                  <c:v>172679.97750000004</c:v>
                </c:pt>
                <c:pt idx="155">
                  <c:v>172679.97750000004</c:v>
                </c:pt>
                <c:pt idx="156">
                  <c:v>172679.97750000004</c:v>
                </c:pt>
                <c:pt idx="157">
                  <c:v>172679.97750000004</c:v>
                </c:pt>
                <c:pt idx="158">
                  <c:v>172679.97750000004</c:v>
                </c:pt>
                <c:pt idx="159">
                  <c:v>172679.97750000004</c:v>
                </c:pt>
                <c:pt idx="160">
                  <c:v>172679.97750000004</c:v>
                </c:pt>
                <c:pt idx="161">
                  <c:v>172679.97750000004</c:v>
                </c:pt>
                <c:pt idx="162">
                  <c:v>172679.97750000004</c:v>
                </c:pt>
                <c:pt idx="163">
                  <c:v>172679.97750000004</c:v>
                </c:pt>
                <c:pt idx="164">
                  <c:v>172679.97750000004</c:v>
                </c:pt>
                <c:pt idx="165">
                  <c:v>172679.97750000004</c:v>
                </c:pt>
                <c:pt idx="166">
                  <c:v>172679.97750000004</c:v>
                </c:pt>
                <c:pt idx="167">
                  <c:v>172679.97750000004</c:v>
                </c:pt>
                <c:pt idx="168">
                  <c:v>172679.97750000004</c:v>
                </c:pt>
                <c:pt idx="169">
                  <c:v>172679.97750000004</c:v>
                </c:pt>
                <c:pt idx="170">
                  <c:v>172679.97750000004</c:v>
                </c:pt>
                <c:pt idx="171">
                  <c:v>172679.97750000004</c:v>
                </c:pt>
                <c:pt idx="172">
                  <c:v>172679.97750000004</c:v>
                </c:pt>
                <c:pt idx="173">
                  <c:v>172679.97750000004</c:v>
                </c:pt>
                <c:pt idx="174">
                  <c:v>172679.97750000004</c:v>
                </c:pt>
                <c:pt idx="175">
                  <c:v>172679.97750000004</c:v>
                </c:pt>
                <c:pt idx="176">
                  <c:v>172679.97750000004</c:v>
                </c:pt>
                <c:pt idx="177">
                  <c:v>172679.97750000004</c:v>
                </c:pt>
                <c:pt idx="178">
                  <c:v>172679.97750000004</c:v>
                </c:pt>
                <c:pt idx="179">
                  <c:v>172679.97750000004</c:v>
                </c:pt>
                <c:pt idx="180">
                  <c:v>172679.97750000004</c:v>
                </c:pt>
                <c:pt idx="181">
                  <c:v>172679.97750000004</c:v>
                </c:pt>
                <c:pt idx="182">
                  <c:v>172679.97750000004</c:v>
                </c:pt>
                <c:pt idx="183">
                  <c:v>172679.97750000004</c:v>
                </c:pt>
                <c:pt idx="184">
                  <c:v>172679.97750000004</c:v>
                </c:pt>
                <c:pt idx="185">
                  <c:v>172679.97750000004</c:v>
                </c:pt>
                <c:pt idx="186">
                  <c:v>172679.97750000004</c:v>
                </c:pt>
                <c:pt idx="187">
                  <c:v>172679.97750000004</c:v>
                </c:pt>
                <c:pt idx="188">
                  <c:v>172679.97750000004</c:v>
                </c:pt>
                <c:pt idx="189">
                  <c:v>172679.97750000004</c:v>
                </c:pt>
                <c:pt idx="190">
                  <c:v>172679.97750000004</c:v>
                </c:pt>
                <c:pt idx="191">
                  <c:v>172679.97750000004</c:v>
                </c:pt>
                <c:pt idx="192">
                  <c:v>172679.97750000004</c:v>
                </c:pt>
                <c:pt idx="193">
                  <c:v>172679.97750000004</c:v>
                </c:pt>
                <c:pt idx="194">
                  <c:v>172679.97750000004</c:v>
                </c:pt>
                <c:pt idx="195">
                  <c:v>172679.97750000004</c:v>
                </c:pt>
                <c:pt idx="196">
                  <c:v>172679.97750000004</c:v>
                </c:pt>
                <c:pt idx="197">
                  <c:v>172679.97750000004</c:v>
                </c:pt>
                <c:pt idx="198">
                  <c:v>172679.97750000004</c:v>
                </c:pt>
                <c:pt idx="199">
                  <c:v>172679.97750000004</c:v>
                </c:pt>
                <c:pt idx="200">
                  <c:v>172679.97750000004</c:v>
                </c:pt>
                <c:pt idx="201">
                  <c:v>172679.97750000004</c:v>
                </c:pt>
                <c:pt idx="202">
                  <c:v>172679.97750000004</c:v>
                </c:pt>
                <c:pt idx="203">
                  <c:v>172679.97750000004</c:v>
                </c:pt>
                <c:pt idx="204">
                  <c:v>172679.97750000004</c:v>
                </c:pt>
                <c:pt idx="205">
                  <c:v>172679.97750000004</c:v>
                </c:pt>
                <c:pt idx="206">
                  <c:v>172679.97750000004</c:v>
                </c:pt>
                <c:pt idx="207">
                  <c:v>172679.97750000004</c:v>
                </c:pt>
                <c:pt idx="208">
                  <c:v>172679.97750000004</c:v>
                </c:pt>
                <c:pt idx="209">
                  <c:v>172679.97750000004</c:v>
                </c:pt>
                <c:pt idx="210">
                  <c:v>172679.97750000004</c:v>
                </c:pt>
                <c:pt idx="211">
                  <c:v>172679.97750000004</c:v>
                </c:pt>
                <c:pt idx="212">
                  <c:v>172679.97750000004</c:v>
                </c:pt>
                <c:pt idx="213">
                  <c:v>172679.97750000004</c:v>
                </c:pt>
                <c:pt idx="214">
                  <c:v>172679.97750000004</c:v>
                </c:pt>
                <c:pt idx="215">
                  <c:v>172679.97750000004</c:v>
                </c:pt>
                <c:pt idx="216">
                  <c:v>172679.97750000004</c:v>
                </c:pt>
                <c:pt idx="217">
                  <c:v>172679.97750000004</c:v>
                </c:pt>
                <c:pt idx="218">
                  <c:v>172679.97750000004</c:v>
                </c:pt>
                <c:pt idx="219">
                  <c:v>172679.97750000004</c:v>
                </c:pt>
                <c:pt idx="220">
                  <c:v>172679.97750000004</c:v>
                </c:pt>
                <c:pt idx="221">
                  <c:v>172679.97750000004</c:v>
                </c:pt>
                <c:pt idx="222">
                  <c:v>172679.97750000004</c:v>
                </c:pt>
                <c:pt idx="223">
                  <c:v>172679.97750000004</c:v>
                </c:pt>
                <c:pt idx="224">
                  <c:v>172679.97750000004</c:v>
                </c:pt>
                <c:pt idx="225">
                  <c:v>172679.97750000004</c:v>
                </c:pt>
                <c:pt idx="226">
                  <c:v>172679.97750000004</c:v>
                </c:pt>
                <c:pt idx="227">
                  <c:v>172679.97750000004</c:v>
                </c:pt>
                <c:pt idx="228">
                  <c:v>172679.97750000004</c:v>
                </c:pt>
                <c:pt idx="229">
                  <c:v>172679.97750000004</c:v>
                </c:pt>
                <c:pt idx="230">
                  <c:v>172679.97750000004</c:v>
                </c:pt>
                <c:pt idx="231">
                  <c:v>172679.97750000004</c:v>
                </c:pt>
                <c:pt idx="232">
                  <c:v>172679.97750000004</c:v>
                </c:pt>
                <c:pt idx="233">
                  <c:v>172679.97750000004</c:v>
                </c:pt>
                <c:pt idx="234">
                  <c:v>172679.97750000004</c:v>
                </c:pt>
                <c:pt idx="235">
                  <c:v>172679.97750000004</c:v>
                </c:pt>
                <c:pt idx="236">
                  <c:v>172679.97750000004</c:v>
                </c:pt>
                <c:pt idx="237">
                  <c:v>172679.97750000004</c:v>
                </c:pt>
                <c:pt idx="238">
                  <c:v>172679.97750000004</c:v>
                </c:pt>
                <c:pt idx="239">
                  <c:v>172679.97750000004</c:v>
                </c:pt>
                <c:pt idx="240">
                  <c:v>172679.97750000004</c:v>
                </c:pt>
                <c:pt idx="241">
                  <c:v>172679.97750000004</c:v>
                </c:pt>
                <c:pt idx="242">
                  <c:v>172679.97750000004</c:v>
                </c:pt>
                <c:pt idx="243">
                  <c:v>172679.97750000004</c:v>
                </c:pt>
                <c:pt idx="244">
                  <c:v>172679.97750000004</c:v>
                </c:pt>
                <c:pt idx="245">
                  <c:v>172679.97750000004</c:v>
                </c:pt>
                <c:pt idx="246">
                  <c:v>172679.97750000004</c:v>
                </c:pt>
                <c:pt idx="247">
                  <c:v>172679.97750000004</c:v>
                </c:pt>
                <c:pt idx="248">
                  <c:v>172679.97750000004</c:v>
                </c:pt>
                <c:pt idx="249">
                  <c:v>172679.97750000004</c:v>
                </c:pt>
                <c:pt idx="250">
                  <c:v>172679.97750000004</c:v>
                </c:pt>
                <c:pt idx="251">
                  <c:v>172679.97750000004</c:v>
                </c:pt>
                <c:pt idx="252">
                  <c:v>172679.97750000004</c:v>
                </c:pt>
                <c:pt idx="253">
                  <c:v>172679.97750000004</c:v>
                </c:pt>
                <c:pt idx="254">
                  <c:v>172679.97750000004</c:v>
                </c:pt>
                <c:pt idx="255">
                  <c:v>172679.97750000004</c:v>
                </c:pt>
                <c:pt idx="256">
                  <c:v>172679.97750000004</c:v>
                </c:pt>
                <c:pt idx="257">
                  <c:v>172679.97750000004</c:v>
                </c:pt>
                <c:pt idx="258">
                  <c:v>172679.97750000004</c:v>
                </c:pt>
                <c:pt idx="259">
                  <c:v>172679.97750000004</c:v>
                </c:pt>
                <c:pt idx="260">
                  <c:v>172679.97750000004</c:v>
                </c:pt>
                <c:pt idx="261">
                  <c:v>172679.97750000004</c:v>
                </c:pt>
                <c:pt idx="262">
                  <c:v>172679.97750000004</c:v>
                </c:pt>
                <c:pt idx="263">
                  <c:v>172679.97750000004</c:v>
                </c:pt>
                <c:pt idx="264">
                  <c:v>172679.97750000004</c:v>
                </c:pt>
                <c:pt idx="265">
                  <c:v>172679.97750000004</c:v>
                </c:pt>
                <c:pt idx="266">
                  <c:v>172679.97750000004</c:v>
                </c:pt>
                <c:pt idx="267">
                  <c:v>172679.97750000004</c:v>
                </c:pt>
                <c:pt idx="268">
                  <c:v>172679.97750000004</c:v>
                </c:pt>
                <c:pt idx="269">
                  <c:v>172679.97750000004</c:v>
                </c:pt>
                <c:pt idx="270">
                  <c:v>172679.97750000004</c:v>
                </c:pt>
                <c:pt idx="271">
                  <c:v>172679.97750000004</c:v>
                </c:pt>
                <c:pt idx="272">
                  <c:v>172679.97750000004</c:v>
                </c:pt>
                <c:pt idx="273">
                  <c:v>172679.97750000004</c:v>
                </c:pt>
                <c:pt idx="274">
                  <c:v>172679.97750000004</c:v>
                </c:pt>
                <c:pt idx="275">
                  <c:v>172679.97750000004</c:v>
                </c:pt>
                <c:pt idx="276">
                  <c:v>172679.97750000004</c:v>
                </c:pt>
                <c:pt idx="277">
                  <c:v>172679.97750000004</c:v>
                </c:pt>
                <c:pt idx="278">
                  <c:v>172679.97750000004</c:v>
                </c:pt>
                <c:pt idx="279">
                  <c:v>172679.97750000004</c:v>
                </c:pt>
                <c:pt idx="280">
                  <c:v>172679.97750000004</c:v>
                </c:pt>
                <c:pt idx="281">
                  <c:v>172679.97750000004</c:v>
                </c:pt>
                <c:pt idx="282">
                  <c:v>172679.97750000004</c:v>
                </c:pt>
                <c:pt idx="283">
                  <c:v>172679.97750000004</c:v>
                </c:pt>
                <c:pt idx="284">
                  <c:v>172679.97750000004</c:v>
                </c:pt>
                <c:pt idx="285">
                  <c:v>172679.97750000004</c:v>
                </c:pt>
                <c:pt idx="286">
                  <c:v>172679.97750000004</c:v>
                </c:pt>
                <c:pt idx="287">
                  <c:v>172679.97750000004</c:v>
                </c:pt>
                <c:pt idx="288">
                  <c:v>172679.97750000004</c:v>
                </c:pt>
                <c:pt idx="289">
                  <c:v>172679.97750000004</c:v>
                </c:pt>
                <c:pt idx="290">
                  <c:v>172679.97750000004</c:v>
                </c:pt>
                <c:pt idx="291">
                  <c:v>172679.97750000004</c:v>
                </c:pt>
                <c:pt idx="292">
                  <c:v>172679.97750000004</c:v>
                </c:pt>
                <c:pt idx="293">
                  <c:v>172679.97750000004</c:v>
                </c:pt>
                <c:pt idx="294">
                  <c:v>172679.97750000004</c:v>
                </c:pt>
                <c:pt idx="295">
                  <c:v>172679.97750000004</c:v>
                </c:pt>
                <c:pt idx="296">
                  <c:v>172679.97750000004</c:v>
                </c:pt>
                <c:pt idx="297">
                  <c:v>172679.97750000004</c:v>
                </c:pt>
                <c:pt idx="298">
                  <c:v>172679.97750000004</c:v>
                </c:pt>
                <c:pt idx="299">
                  <c:v>172679.97750000004</c:v>
                </c:pt>
                <c:pt idx="300">
                  <c:v>172679.97750000004</c:v>
                </c:pt>
                <c:pt idx="301">
                  <c:v>172679.97750000004</c:v>
                </c:pt>
                <c:pt idx="302">
                  <c:v>172679.97750000004</c:v>
                </c:pt>
                <c:pt idx="303">
                  <c:v>172679.97750000004</c:v>
                </c:pt>
                <c:pt idx="304">
                  <c:v>172679.97750000004</c:v>
                </c:pt>
                <c:pt idx="305">
                  <c:v>172679.97750000004</c:v>
                </c:pt>
                <c:pt idx="306">
                  <c:v>172679.97750000004</c:v>
                </c:pt>
                <c:pt idx="307">
                  <c:v>172679.97750000004</c:v>
                </c:pt>
                <c:pt idx="308">
                  <c:v>172679.97750000004</c:v>
                </c:pt>
                <c:pt idx="309">
                  <c:v>172679.97750000004</c:v>
                </c:pt>
                <c:pt idx="310">
                  <c:v>172679.97750000004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2696545.3176201521</c:v>
                </c:pt>
                <c:pt idx="58">
                  <c:v>2696545.3176201521</c:v>
                </c:pt>
                <c:pt idx="59">
                  <c:v>2696545.3176201521</c:v>
                </c:pt>
                <c:pt idx="60">
                  <c:v>2696545.3176201521</c:v>
                </c:pt>
                <c:pt idx="61">
                  <c:v>2696545.3176201521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" bestFit="1" customWidth="1"/>
    <col min="5" max="5" width="10" customWidth="1"/>
    <col min="6" max="6" width="33.54296875" customWidth="1"/>
  </cols>
  <sheetData>
    <row r="1" spans="2:10" ht="15" thickBot="1"/>
    <row r="2" spans="2:10" ht="15.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3"/>
  <sheetViews>
    <sheetView zoomScale="85" zoomScaleNormal="85" workbookViewId="0">
      <selection activeCell="H18" sqref="H18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81.5429687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46069</v>
      </c>
      <c r="P1" s="410">
        <f ca="1">TODAY()</f>
        <v>46069</v>
      </c>
      <c r="R1" s="3"/>
    </row>
    <row r="2" spans="2:29">
      <c r="B2" s="176"/>
      <c r="C2" s="177" t="s">
        <v>0</v>
      </c>
      <c r="D2" s="178"/>
      <c r="E2" s="723" t="s">
        <v>73</v>
      </c>
      <c r="F2" s="724"/>
      <c r="G2" s="724"/>
      <c r="H2" s="725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308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R4" s="3"/>
    </row>
    <row r="5" spans="2:29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R5" s="3"/>
    </row>
    <row r="6" spans="2:29">
      <c r="B6" s="184"/>
      <c r="C6" s="185" t="s">
        <v>79</v>
      </c>
      <c r="D6" s="178"/>
      <c r="E6" s="729">
        <v>2696545</v>
      </c>
      <c r="F6" s="730"/>
      <c r="G6" s="730"/>
      <c r="H6" s="731"/>
    </row>
    <row r="7" spans="2:29" s="112" customFormat="1">
      <c r="B7" s="167"/>
      <c r="C7" s="114" t="s">
        <v>80</v>
      </c>
      <c r="E7" s="114" t="s">
        <v>81</v>
      </c>
      <c r="F7" s="168"/>
      <c r="G7" s="186"/>
      <c r="J7" s="113"/>
      <c r="R7" s="3"/>
    </row>
    <row r="8" spans="2:29" ht="30" customHeight="1">
      <c r="B8" s="720" t="s">
        <v>82</v>
      </c>
      <c r="C8" s="721" t="s">
        <v>83</v>
      </c>
      <c r="D8" s="215"/>
      <c r="E8" s="722" t="s">
        <v>84</v>
      </c>
      <c r="F8" s="237" t="s">
        <v>85</v>
      </c>
      <c r="G8" s="722" t="s">
        <v>86</v>
      </c>
      <c r="H8" s="238"/>
      <c r="I8" s="722" t="s">
        <v>87</v>
      </c>
      <c r="J8" s="237" t="s">
        <v>85</v>
      </c>
      <c r="K8" s="722" t="s">
        <v>88</v>
      </c>
      <c r="M8" s="417" t="s">
        <v>60</v>
      </c>
      <c r="N8" s="686" t="s">
        <v>89</v>
      </c>
      <c r="P8" s="732" t="s">
        <v>90</v>
      </c>
      <c r="AA8" s="112"/>
      <c r="AB8" s="112"/>
      <c r="AC8" s="112"/>
    </row>
    <row r="9" spans="2:29">
      <c r="B9" s="720"/>
      <c r="C9" s="721"/>
      <c r="D9" s="215"/>
      <c r="E9" s="722"/>
      <c r="F9" s="126">
        <f>G43-E19</f>
        <v>39</v>
      </c>
      <c r="G9" s="722"/>
      <c r="H9" s="238"/>
      <c r="I9" s="722"/>
      <c r="J9" s="127">
        <f>K43-I19</f>
        <v>252</v>
      </c>
      <c r="K9" s="722"/>
      <c r="M9" s="362">
        <f>AVERAGE(M11,M18,M21,M29,M36,M40,M48,M45)</f>
        <v>0.79779946372402422</v>
      </c>
      <c r="N9" s="362">
        <f ca="1">AVERAGE(N11,N18,N21,N29,N36,N40,N48,N45)</f>
        <v>0.76040567404051373</v>
      </c>
      <c r="O9" s="376"/>
      <c r="P9" s="73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176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(J22*M22+J23*M23+J24*M24+J25*M25+J27*M27)/SUM(J22:J27)</f>
        <v>0.87906976744186049</v>
      </c>
      <c r="N21" s="361">
        <f ca="1">(K22*N22+K23*N23+K24*N24+K25*N25+K27*N27)/SUM(K22:K27)</f>
        <v>0.83294226870673049</v>
      </c>
      <c r="O21" s="377">
        <f>J21*M21</f>
        <v>239.10697674418606</v>
      </c>
      <c r="P21" s="119"/>
      <c r="Q21" s="112"/>
      <c r="R21" s="123"/>
      <c r="S21" s="118"/>
      <c r="T21" s="121">
        <f>T19/5</f>
        <v>35.200000000000003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8.75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0.9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0.1</v>
      </c>
      <c r="N26" s="254">
        <f t="shared" ca="1" si="1"/>
        <v>1</v>
      </c>
      <c r="O26" s="378"/>
      <c r="P26" s="122" t="s">
        <v>117</v>
      </c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0" t="s">
        <v>119</v>
      </c>
      <c r="D27" s="215"/>
      <c r="E27" s="701">
        <f>WORKDAY.INTL(E25,0,1,Data!$C$3:$C$14)</f>
        <v>45832</v>
      </c>
      <c r="F27" s="702">
        <v>3</v>
      </c>
      <c r="G27" s="701">
        <f>WORKDAY.INTL(E27,F27,1,Data!$C$3:$C$14)</f>
        <v>45835</v>
      </c>
      <c r="H27" s="703"/>
      <c r="I27" s="701">
        <v>46065</v>
      </c>
      <c r="J27" s="702">
        <v>1</v>
      </c>
      <c r="K27" s="701">
        <f>WORKDAY.INTL(I27,J27,1,Data!$C$3:$C$14)</f>
        <v>46066</v>
      </c>
      <c r="M27" s="704">
        <v>0</v>
      </c>
      <c r="N27" s="704">
        <f t="shared" ca="1" si="1"/>
        <v>1</v>
      </c>
      <c r="O27" s="705"/>
      <c r="P27" s="706" t="s">
        <v>120</v>
      </c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(J31*M31+J32*M32+J34*M34)/SUM(J31:J34)</f>
        <v>0.95454545454545459</v>
      </c>
      <c r="N29" s="361">
        <f ca="1">(K31*N31+K32*N32+K34*N34)/SUM(K31:K34)</f>
        <v>0.75020171402403124</v>
      </c>
      <c r="O29" s="178">
        <f>J29*M29</f>
        <v>136.5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121</v>
      </c>
      <c r="C30" s="249" t="s">
        <v>122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123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124</v>
      </c>
      <c r="C32" s="249" t="s">
        <v>125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126</v>
      </c>
      <c r="C33" s="249" t="s">
        <v>127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126</v>
      </c>
      <c r="C34" s="243" t="s">
        <v>128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129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130</v>
      </c>
      <c r="C37" s="249" t="s">
        <v>131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132</v>
      </c>
      <c r="C38" s="249" t="s">
        <v>133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134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127</v>
      </c>
      <c r="K40" s="246">
        <f>MAX(K41:K43)</f>
        <v>46070</v>
      </c>
      <c r="L40" s="114"/>
      <c r="M40" s="361">
        <f>(J41*M41+J43*M43)/SUM(J41:J43)</f>
        <v>0.54878048780487809</v>
      </c>
      <c r="N40" s="361">
        <f ca="1">(K41*N41+K43*N43)/SUM(K41:K43)</f>
        <v>0.50010140959334748</v>
      </c>
      <c r="O40" s="178">
        <f>J40*M40</f>
        <v>69.695121951219519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135</v>
      </c>
      <c r="C41" s="243" t="s">
        <v>136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 t="s">
        <v>137</v>
      </c>
      <c r="Z41" s="24"/>
    </row>
    <row r="42" spans="2:29">
      <c r="B42" s="248" t="s">
        <v>138</v>
      </c>
      <c r="C42" s="243" t="s">
        <v>139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140</v>
      </c>
      <c r="C43" s="707" t="s">
        <v>141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2</v>
      </c>
      <c r="K43" s="253">
        <f>WORKDAY.INTL(I43,J43,1,Data!$C$3:$C$14)</f>
        <v>46070</v>
      </c>
      <c r="M43" s="254">
        <v>0</v>
      </c>
      <c r="N43" s="254">
        <f t="shared" ca="1" si="4"/>
        <v>0.5</v>
      </c>
      <c r="P43" s="706" t="s">
        <v>142</v>
      </c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143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46042</v>
      </c>
      <c r="J45" s="247">
        <f>K45-I45</f>
        <v>1</v>
      </c>
      <c r="K45" s="246">
        <f>MAX(K46)</f>
        <v>46043</v>
      </c>
      <c r="L45" s="114"/>
      <c r="M45" s="361">
        <f>(J46*M46)/SUM(J46)</f>
        <v>1</v>
      </c>
      <c r="N45" s="361">
        <f ca="1">(K46*N46)/SUM(K46)</f>
        <v>1</v>
      </c>
      <c r="O45" s="379">
        <f>J45*M45</f>
        <v>1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144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46042</v>
      </c>
      <c r="J46" s="251">
        <v>1</v>
      </c>
      <c r="K46" s="253">
        <f>WORKDAY.INTL(I46,J46,1,Data!$C$3:$C$14)</f>
        <v>46043</v>
      </c>
      <c r="M46" s="254">
        <v>1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 t="s">
        <v>145</v>
      </c>
      <c r="Z46" s="24"/>
    </row>
    <row r="47" spans="2:29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R47" s="3"/>
    </row>
    <row r="48" spans="2:29" s="112" customFormat="1">
      <c r="B48" s="244">
        <v>8</v>
      </c>
      <c r="C48" s="245" t="s">
        <v>146</v>
      </c>
      <c r="D48" s="219"/>
      <c r="E48" s="246">
        <f>MIN(E49:E54)</f>
        <v>45859</v>
      </c>
      <c r="F48" s="247">
        <f>G48-E48</f>
        <v>14</v>
      </c>
      <c r="G48" s="246">
        <f>MAX(G49:G54)</f>
        <v>45873</v>
      </c>
      <c r="H48" s="220"/>
      <c r="I48" s="246">
        <f>MIN(I49:I54)</f>
        <v>46071</v>
      </c>
      <c r="J48" s="247">
        <f>K48-I48</f>
        <v>16</v>
      </c>
      <c r="K48" s="246">
        <f>MAX(K49:K54)</f>
        <v>46087</v>
      </c>
      <c r="L48" s="114"/>
      <c r="M48" s="361">
        <f>(J49*M49+J50*M50+J51*M51+J52*M52+J53*M53+J54*M54)/SUM(J49:J54)</f>
        <v>0</v>
      </c>
      <c r="N48" s="361">
        <f ca="1">(K49*N49+K50*N50+K51*N51+K52*N52+K53*N53+K54*N54)/SUM(K49:K54)</f>
        <v>0</v>
      </c>
      <c r="O48" s="379">
        <f>J48*M48</f>
        <v>0</v>
      </c>
      <c r="P48" s="122"/>
      <c r="R48" s="124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2:29">
      <c r="B49" s="248">
        <v>8.1</v>
      </c>
      <c r="C49" s="243" t="s">
        <v>147</v>
      </c>
      <c r="D49" s="215"/>
      <c r="E49" s="253">
        <f>G46</f>
        <v>45859</v>
      </c>
      <c r="F49" s="251">
        <v>2</v>
      </c>
      <c r="G49" s="253">
        <f>WORKDAY.INTL(E49,F49,1,Data!$C$3:$C$14)</f>
        <v>45861</v>
      </c>
      <c r="H49" s="238"/>
      <c r="I49" s="253">
        <f>K43+1</f>
        <v>46071</v>
      </c>
      <c r="J49" s="251">
        <v>2</v>
      </c>
      <c r="K49" s="253">
        <f>WORKDAY.INTL(I49,J49,1,Data!$C$3:$C$14)</f>
        <v>46073</v>
      </c>
      <c r="M49" s="254">
        <v>0</v>
      </c>
      <c r="N49" s="254">
        <f t="shared" ref="N49:N54" ca="1" si="5">_xlfn.LET(
  _xlpm.s,VALUE($I49),
  _xlpm.e,VALUE($K49),
  IF(OR(_xlpm.s="",_xlpm.e=""),"", IF(_xlpm.e&lt;=_xlpm.s, IF(TODAY()&gt;=_xlpm.e,1,0), MAX(0,MIN(1,(TODAY()-_xlpm.s)/(_xlpm.e-_xlpm.s)))))
)</f>
        <v>0</v>
      </c>
      <c r="O49" s="379"/>
      <c r="P49" s="122"/>
      <c r="Z49" s="24"/>
    </row>
    <row r="50" spans="2:29">
      <c r="B50" s="248">
        <v>8.1999999999999993</v>
      </c>
      <c r="C50" s="243" t="s">
        <v>148</v>
      </c>
      <c r="D50" s="215"/>
      <c r="E50" s="253">
        <f>G46</f>
        <v>45859</v>
      </c>
      <c r="F50" s="251">
        <v>5</v>
      </c>
      <c r="G50" s="253">
        <f>WORKDAY.INTL(E50,F50,1,Data!$C$3:$C$14)</f>
        <v>45866</v>
      </c>
      <c r="H50" s="238"/>
      <c r="I50" s="253">
        <f>K49</f>
        <v>46073</v>
      </c>
      <c r="J50" s="251">
        <v>5</v>
      </c>
      <c r="K50" s="253">
        <f>WORKDAY.INTL(I50,J50,1,Data!$C$3:$C$14)</f>
        <v>46080</v>
      </c>
      <c r="M50" s="254">
        <v>0</v>
      </c>
      <c r="N50" s="254">
        <f t="shared" ca="1" si="5"/>
        <v>0</v>
      </c>
      <c r="O50" s="379"/>
      <c r="P50" s="122"/>
      <c r="Z50" s="24"/>
    </row>
    <row r="51" spans="2:29">
      <c r="B51" s="248">
        <v>8.3000000000000007</v>
      </c>
      <c r="C51" s="243" t="s">
        <v>149</v>
      </c>
      <c r="D51" s="215"/>
      <c r="E51" s="253">
        <f>WORKDAY.INTL(G50,0,1,Data!$C$3:$C$14)</f>
        <v>45866</v>
      </c>
      <c r="F51" s="251">
        <v>5</v>
      </c>
      <c r="G51" s="253">
        <f>WORKDAY.INTL(E51,F51,1,Data!$C$3:$C$14)</f>
        <v>45873</v>
      </c>
      <c r="H51" s="238"/>
      <c r="I51" s="253">
        <f>WORKDAY.INTL(K50,0,1,Data!$C$3:$C$14)</f>
        <v>46080</v>
      </c>
      <c r="J51" s="251">
        <v>5</v>
      </c>
      <c r="K51" s="253">
        <f>WORKDAY.INTL(I51,J51,1,Data!$C$3:$C$14)</f>
        <v>46087</v>
      </c>
      <c r="M51" s="254">
        <v>0</v>
      </c>
      <c r="N51" s="254">
        <f t="shared" ca="1" si="5"/>
        <v>0</v>
      </c>
      <c r="P51" s="122"/>
      <c r="Z51" s="24"/>
    </row>
    <row r="52" spans="2:29">
      <c r="B52" s="248">
        <v>8.4</v>
      </c>
      <c r="C52" s="243" t="s">
        <v>150</v>
      </c>
      <c r="D52" s="215"/>
      <c r="E52" s="253">
        <f>WORKDAY.INTL(E50,0,1,Data!$C$3:$C$14)</f>
        <v>45859</v>
      </c>
      <c r="F52" s="251">
        <v>5</v>
      </c>
      <c r="G52" s="253">
        <f>WORKDAY.INTL(E52,F52,1,Data!$C$3:$C$14)</f>
        <v>45866</v>
      </c>
      <c r="H52" s="238"/>
      <c r="I52" s="253">
        <f>WORKDAY.INTL(I50,0,1,Data!$C$3:$C$14)</f>
        <v>46073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</v>
      </c>
      <c r="O52" s="379"/>
      <c r="P52" s="122"/>
      <c r="Z52" s="24"/>
    </row>
    <row r="53" spans="2:29">
      <c r="B53" s="248">
        <v>8.5</v>
      </c>
      <c r="C53" s="243" t="s">
        <v>151</v>
      </c>
      <c r="D53" s="215"/>
      <c r="E53" s="253">
        <f>WORKDAY.INTL(G52,0,1,Data!$C$3:$C$14)</f>
        <v>45866</v>
      </c>
      <c r="F53" s="251">
        <v>1</v>
      </c>
      <c r="G53" s="253">
        <f>WORKDAY.INTL(E53,F53,1,Data!$C$3:$C$14)</f>
        <v>45867</v>
      </c>
      <c r="H53" s="238"/>
      <c r="I53" s="253">
        <f>WORKDAY.INTL(K52,0,1,Data!$C$3:$C$14)</f>
        <v>46080</v>
      </c>
      <c r="J53" s="251">
        <v>1</v>
      </c>
      <c r="K53" s="253">
        <f>WORKDAY.INTL(I53,J53,1,Data!$C$3:$C$14)</f>
        <v>46083</v>
      </c>
      <c r="M53" s="254">
        <v>0</v>
      </c>
      <c r="N53" s="254">
        <f t="shared" ca="1" si="5"/>
        <v>0</v>
      </c>
      <c r="O53" s="379"/>
      <c r="P53" s="122"/>
      <c r="Z53" s="24"/>
    </row>
    <row r="54" spans="2:29">
      <c r="B54" s="248">
        <v>8.6</v>
      </c>
      <c r="C54" s="243" t="s">
        <v>152</v>
      </c>
      <c r="D54" s="215"/>
      <c r="E54" s="253">
        <f>WORKDAY.INTL(E50,0,1,Data!$C$3:$C$14)+2</f>
        <v>45861</v>
      </c>
      <c r="F54" s="251">
        <v>5</v>
      </c>
      <c r="G54" s="253">
        <f>WORKDAY.INTL(E54,F54,1,Data!$C$3:$C$14)</f>
        <v>45868</v>
      </c>
      <c r="H54" s="238"/>
      <c r="I54" s="253">
        <f>WORKDAY.INTL(I50,0,1,Data!$C$3:$C$14)+2</f>
        <v>46075</v>
      </c>
      <c r="J54" s="251">
        <v>5</v>
      </c>
      <c r="K54" s="253">
        <f>WORKDAY.INTL(I54,J54,1,Data!$C$3:$C$14)</f>
        <v>46080</v>
      </c>
      <c r="M54" s="254">
        <v>0</v>
      </c>
      <c r="N54" s="254">
        <f t="shared" ca="1" si="5"/>
        <v>0</v>
      </c>
      <c r="P54" s="122"/>
      <c r="Z54" s="24"/>
    </row>
    <row r="55" spans="2:29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R55" s="124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2:29" s="3" customFormat="1">
      <c r="B56" s="169"/>
      <c r="E56" s="170"/>
      <c r="F56" s="109"/>
      <c r="J56" s="109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5 M56:Q1048576 O20:O34 O36:O42 O44:O46 O48:O50 O52:O53 P20:Q54 O8:Q19 M1:Q7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49:N54 M46:N46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54296875" style="129" bestFit="1" customWidth="1"/>
    <col min="8" max="8" width="17" style="129" bestFit="1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9.453125" style="129" bestFit="1" customWidth="1"/>
    <col min="17" max="17" width="15" style="129" bestFit="1" customWidth="1"/>
    <col min="18" max="18" width="19.54296875" style="129" customWidth="1"/>
    <col min="19" max="19" width="16" style="129" bestFit="1" customWidth="1"/>
    <col min="20" max="20" width="19.453125" style="129" bestFit="1" customWidth="1"/>
    <col min="21" max="21" width="1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154</v>
      </c>
      <c r="F3" s="125" t="s">
        <v>155</v>
      </c>
      <c r="J3" s="141"/>
      <c r="L3" s="415" t="s">
        <v>156</v>
      </c>
      <c r="N3" s="415" t="s">
        <v>157</v>
      </c>
      <c r="P3" s="688" t="s">
        <v>158</v>
      </c>
      <c r="Q3" s="688" t="s">
        <v>159</v>
      </c>
      <c r="R3" s="688" t="s">
        <v>160</v>
      </c>
      <c r="S3" s="688" t="s">
        <v>161</v>
      </c>
      <c r="T3" s="688" t="s">
        <v>162</v>
      </c>
      <c r="U3" s="688" t="s">
        <v>163</v>
      </c>
    </row>
    <row r="4" spans="1:21" s="93" customFormat="1" ht="13">
      <c r="B4" s="352">
        <v>1</v>
      </c>
      <c r="C4" s="353" t="s">
        <v>164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165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166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8" t="s">
        <v>167</v>
      </c>
      <c r="H5" s="708" t="s">
        <v>168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169</v>
      </c>
      <c r="D6" s="354">
        <f>+D4-D5</f>
        <v>245367.08908062195</v>
      </c>
      <c r="E6" s="355"/>
      <c r="F6" s="354">
        <f>+F4-F5</f>
        <v>172679.97750000004</v>
      </c>
      <c r="G6" s="709">
        <f>D6*0.05</f>
        <v>12268.354454031098</v>
      </c>
      <c r="H6" s="710">
        <f>SUMIF('Expenditure Breakdown'!N:N,"*VO*",'Expenditure Breakdown'!Q:Q)</f>
        <v>242242</v>
      </c>
      <c r="J6" s="141"/>
      <c r="L6" s="381"/>
      <c r="N6" s="381" t="s">
        <v>170</v>
      </c>
    </row>
    <row r="7" spans="1:21" s="93" customFormat="1" ht="15" customHeight="1" thickBot="1">
      <c r="B7" s="352">
        <v>4</v>
      </c>
      <c r="C7" s="353" t="s">
        <v>171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172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82</v>
      </c>
      <c r="C12" s="132" t="s">
        <v>173</v>
      </c>
      <c r="D12" s="133"/>
      <c r="E12" s="131" t="s">
        <v>174</v>
      </c>
      <c r="F12" s="131" t="s">
        <v>175</v>
      </c>
      <c r="H12" s="357" t="s">
        <v>176</v>
      </c>
      <c r="J12" s="141"/>
      <c r="L12" s="166" t="s">
        <v>177</v>
      </c>
      <c r="M12" s="134"/>
      <c r="N12" s="166" t="s">
        <v>178</v>
      </c>
      <c r="O12" s="129"/>
      <c r="P12" s="166" t="s">
        <v>179</v>
      </c>
      <c r="R12" s="384" t="s">
        <v>180</v>
      </c>
    </row>
    <row r="13" spans="1:21" s="93" customFormat="1" ht="13">
      <c r="B13" s="352">
        <v>1</v>
      </c>
      <c r="C13" s="736" t="s">
        <v>181</v>
      </c>
      <c r="D13" s="737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182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6" t="s">
        <v>183</v>
      </c>
      <c r="D14" s="737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182</v>
      </c>
      <c r="N14" s="138">
        <v>45778</v>
      </c>
      <c r="O14" s="129"/>
      <c r="P14" s="138">
        <v>45828</v>
      </c>
      <c r="R14" s="385"/>
    </row>
    <row r="15" spans="1:21" s="93" customFormat="1" ht="12.5">
      <c r="B15" s="352">
        <v>3</v>
      </c>
      <c r="C15" s="736" t="s">
        <v>184</v>
      </c>
      <c r="D15" s="737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182</v>
      </c>
      <c r="N15" s="138">
        <v>45778</v>
      </c>
      <c r="O15" s="129"/>
      <c r="P15" s="138">
        <v>45828</v>
      </c>
      <c r="R15" s="385"/>
    </row>
    <row r="16" spans="1:21" s="93" customFormat="1" ht="12.5">
      <c r="B16" s="352">
        <v>4</v>
      </c>
      <c r="C16" s="734" t="s">
        <v>185</v>
      </c>
      <c r="D16" s="735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182</v>
      </c>
      <c r="M16" s="129"/>
      <c r="N16" s="138">
        <v>45778</v>
      </c>
      <c r="O16" s="129"/>
      <c r="P16" s="139">
        <f>'Project Plan'!K40+7</f>
        <v>46077</v>
      </c>
      <c r="R16" s="385" t="s">
        <v>186</v>
      </c>
    </row>
    <row r="17" spans="2:18" s="93" customFormat="1" ht="12.5">
      <c r="B17" s="352">
        <v>5</v>
      </c>
      <c r="C17" s="734" t="s">
        <v>187</v>
      </c>
      <c r="D17" s="735"/>
      <c r="E17" s="135">
        <v>0.25</v>
      </c>
      <c r="F17" s="136">
        <f t="shared" si="0"/>
        <v>674136.25</v>
      </c>
      <c r="G17" s="355"/>
      <c r="H17" s="138">
        <f>'Project Plan'!E52+7</f>
        <v>45866</v>
      </c>
      <c r="J17" s="141"/>
      <c r="L17" s="369" t="s">
        <v>182</v>
      </c>
      <c r="N17" s="138">
        <v>45778</v>
      </c>
      <c r="O17" s="129"/>
      <c r="P17" s="139">
        <f>'Project Plan'!I52+7</f>
        <v>46080</v>
      </c>
      <c r="R17" s="385"/>
    </row>
    <row r="18" spans="2:18" s="93" customFormat="1" ht="12.5">
      <c r="B18" s="352">
        <v>6</v>
      </c>
      <c r="C18" s="734" t="s">
        <v>54</v>
      </c>
      <c r="D18" s="735"/>
      <c r="E18" s="135">
        <v>0.05</v>
      </c>
      <c r="F18" s="136">
        <f t="shared" si="0"/>
        <v>134827.25</v>
      </c>
      <c r="G18" s="355"/>
      <c r="H18" s="138">
        <f>'Project Plan'!K53+7</f>
        <v>46090</v>
      </c>
      <c r="J18" s="141"/>
      <c r="L18" s="369" t="s">
        <v>182</v>
      </c>
      <c r="M18" s="137"/>
      <c r="N18" s="138">
        <v>45778</v>
      </c>
      <c r="O18" s="129"/>
      <c r="P18" s="139">
        <f>'Project Plan'!K53+7</f>
        <v>46090</v>
      </c>
      <c r="R18" s="385"/>
    </row>
    <row r="19" spans="2:18" s="93" customFormat="1" ht="12.5">
      <c r="B19" s="352">
        <v>7</v>
      </c>
      <c r="C19" s="736" t="s">
        <v>188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189</v>
      </c>
      <c r="C23" s="145" t="s">
        <v>190</v>
      </c>
      <c r="D23" s="145"/>
      <c r="F23" s="146"/>
    </row>
    <row r="24" spans="2:18" s="93" customFormat="1" ht="12.5">
      <c r="C24" s="147" t="s">
        <v>191</v>
      </c>
      <c r="D24" s="148"/>
      <c r="F24" s="149"/>
    </row>
    <row r="25" spans="2:18" s="93" customFormat="1" ht="12.5">
      <c r="C25" s="147" t="s">
        <v>192</v>
      </c>
      <c r="D25" s="148"/>
    </row>
    <row r="26" spans="2:18" s="93" customFormat="1" ht="12.5">
      <c r="C26" s="150" t="s">
        <v>193</v>
      </c>
      <c r="D26" s="151"/>
    </row>
    <row r="27" spans="2:18" s="93" customFormat="1" ht="12.5">
      <c r="C27" s="152" t="s">
        <v>194</v>
      </c>
      <c r="D27" s="148"/>
    </row>
    <row r="28" spans="2:18" s="93" customFormat="1" ht="12.5">
      <c r="B28" s="117"/>
      <c r="C28" s="152" t="s">
        <v>195</v>
      </c>
      <c r="D28" s="148"/>
    </row>
    <row r="29" spans="2:18" s="93" customFormat="1" ht="12.5">
      <c r="B29" s="117"/>
      <c r="C29" s="93" t="s">
        <v>196</v>
      </c>
    </row>
    <row r="30" spans="2:18" s="93" customFormat="1" ht="27.75" customHeight="1">
      <c r="B30" s="117"/>
      <c r="C30" s="153" t="s">
        <v>197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173</v>
      </c>
      <c r="D40" s="133"/>
      <c r="E40" s="131" t="s">
        <v>174</v>
      </c>
      <c r="F40" s="131" t="s">
        <v>175</v>
      </c>
    </row>
    <row r="41" spans="2:6" s="93" customFormat="1" ht="12.75" hidden="1" customHeight="1">
      <c r="B41" s="154">
        <v>1</v>
      </c>
      <c r="C41" s="155" t="s">
        <v>198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183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184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199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200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201</v>
      </c>
      <c r="F2" s="83" t="s">
        <v>202</v>
      </c>
    </row>
    <row r="3" spans="3:8">
      <c r="C3" s="79">
        <v>45658</v>
      </c>
      <c r="D3" s="73" t="s">
        <v>203</v>
      </c>
      <c r="F3" s="81" t="s">
        <v>204</v>
      </c>
    </row>
    <row r="4" spans="3:8">
      <c r="C4" s="79">
        <v>45737</v>
      </c>
      <c r="D4" s="73" t="s">
        <v>205</v>
      </c>
      <c r="F4" s="81" t="s">
        <v>206</v>
      </c>
    </row>
    <row r="5" spans="3:8">
      <c r="C5" s="79">
        <v>45765</v>
      </c>
      <c r="D5" s="73" t="s">
        <v>207</v>
      </c>
      <c r="F5" s="81" t="s">
        <v>208</v>
      </c>
    </row>
    <row r="6" spans="3:8" ht="13" thickBot="1">
      <c r="C6" s="79">
        <v>45768</v>
      </c>
      <c r="D6" s="73" t="s">
        <v>209</v>
      </c>
      <c r="F6" s="82" t="s">
        <v>210</v>
      </c>
    </row>
    <row r="7" spans="3:8">
      <c r="C7" s="79">
        <v>45774</v>
      </c>
      <c r="D7" s="73" t="s">
        <v>211</v>
      </c>
    </row>
    <row r="8" spans="3:8">
      <c r="C8" s="79">
        <v>45765</v>
      </c>
      <c r="D8" s="73" t="s">
        <v>212</v>
      </c>
    </row>
    <row r="9" spans="3:8">
      <c r="C9" s="79">
        <v>45778</v>
      </c>
      <c r="D9" s="73" t="s">
        <v>213</v>
      </c>
    </row>
    <row r="10" spans="3:8">
      <c r="C10" s="79">
        <v>45824</v>
      </c>
      <c r="D10" s="73" t="s">
        <v>214</v>
      </c>
    </row>
    <row r="11" spans="3:8">
      <c r="C11" s="79">
        <v>45878</v>
      </c>
      <c r="D11" s="73" t="s">
        <v>215</v>
      </c>
    </row>
    <row r="12" spans="3:8">
      <c r="C12" s="79">
        <v>45924</v>
      </c>
      <c r="D12" s="73" t="s">
        <v>216</v>
      </c>
    </row>
    <row r="13" spans="3:8">
      <c r="C13" s="79">
        <v>46007</v>
      </c>
      <c r="D13" s="73" t="s">
        <v>217</v>
      </c>
      <c r="F13" s="85"/>
      <c r="H13" s="73" t="s">
        <v>218</v>
      </c>
    </row>
    <row r="14" spans="3:8">
      <c r="C14" s="79">
        <v>46016</v>
      </c>
      <c r="D14" s="73" t="s">
        <v>219</v>
      </c>
    </row>
    <row r="15" spans="3:8" ht="13" thickBot="1">
      <c r="C15" s="80">
        <v>46017</v>
      </c>
      <c r="D15" s="73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221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38"/>
      <c r="C4" s="738"/>
      <c r="D4" s="738"/>
      <c r="E4" s="419"/>
      <c r="F4" s="220" t="s">
        <v>154</v>
      </c>
      <c r="G4" s="215"/>
      <c r="H4" s="220" t="s">
        <v>155</v>
      </c>
      <c r="I4" s="215"/>
      <c r="J4" s="221" t="s">
        <v>222</v>
      </c>
      <c r="K4" s="112"/>
      <c r="L4" s="112"/>
    </row>
    <row r="5" spans="1:12" ht="14.5" thickBot="1">
      <c r="A5" s="215"/>
      <c r="B5" s="739" t="s">
        <v>223</v>
      </c>
      <c r="C5" s="739"/>
      <c r="D5" s="739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224</v>
      </c>
      <c r="E7" s="226"/>
      <c r="F7" s="227" t="s">
        <v>225</v>
      </c>
      <c r="G7" s="228"/>
      <c r="H7" s="227" t="s">
        <v>226</v>
      </c>
      <c r="I7" s="228"/>
      <c r="J7" s="227" t="s">
        <v>227</v>
      </c>
      <c r="K7" s="172"/>
      <c r="L7" s="115" t="s">
        <v>228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J1" zoomScale="70" zoomScaleNormal="70" workbookViewId="0">
      <pane ySplit="4" topLeftCell="A5" activePane="bottomLeft" state="frozen"/>
      <selection activeCell="X33" sqref="X33"/>
      <selection pane="bottomLeft" activeCell="O6" sqref="O6:O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9.453125" style="70" hidden="1" customWidth="1"/>
    <col min="6" max="6" width="16.54296875" style="480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60" style="112" bestFit="1" customWidth="1"/>
    <col min="15" max="15" width="15.54296875" style="112" customWidth="1"/>
    <col min="16" max="17" width="17.453125" style="112" customWidth="1"/>
    <col min="18" max="18" width="50.453125" style="112" bestFit="1" customWidth="1"/>
    <col min="19" max="19" width="43.54296875" style="112" customWidth="1"/>
    <col min="20" max="23" width="17.453125" style="112" customWidth="1"/>
    <col min="24" max="24" width="21.453125" style="112" customWidth="1"/>
    <col min="25" max="25" width="29.453125" style="112" bestFit="1" customWidth="1"/>
    <col min="26" max="26" width="24.453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64" t="s">
        <v>230</v>
      </c>
      <c r="C2" s="765"/>
      <c r="D2" s="765"/>
      <c r="E2" s="765"/>
      <c r="F2" s="765"/>
      <c r="G2" s="765"/>
      <c r="H2" s="508"/>
      <c r="I2" s="258">
        <f>SUM(I6:I168)</f>
        <v>2451177.910919378</v>
      </c>
      <c r="J2" s="258">
        <f>SUM(J6:J168)</f>
        <v>2696545.3008787925</v>
      </c>
      <c r="L2" s="766" t="s">
        <v>231</v>
      </c>
      <c r="M2" s="767"/>
      <c r="N2" s="767"/>
      <c r="O2" s="767"/>
      <c r="P2" s="767"/>
      <c r="Q2" s="767"/>
      <c r="R2" s="768" t="s">
        <v>232</v>
      </c>
      <c r="S2" s="769"/>
      <c r="T2" s="769"/>
      <c r="U2" s="769"/>
      <c r="V2" s="769"/>
      <c r="W2" s="770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.5" thickBot="1">
      <c r="A4" s="165"/>
      <c r="B4" s="259" t="s">
        <v>233</v>
      </c>
      <c r="C4" s="260" t="s">
        <v>234</v>
      </c>
      <c r="D4" s="260" t="s">
        <v>235</v>
      </c>
      <c r="E4" s="260" t="s">
        <v>236</v>
      </c>
      <c r="F4" s="471" t="s">
        <v>237</v>
      </c>
      <c r="G4" s="261" t="s">
        <v>238</v>
      </c>
      <c r="H4" s="372" t="s">
        <v>239</v>
      </c>
      <c r="I4" s="262" t="s">
        <v>240</v>
      </c>
      <c r="J4" s="262" t="str">
        <f>IF(J2-'Revenue Tracking'!D4&gt;=0, "Total Revenue", "ERROR on REV" )</f>
        <v>Total Revenue</v>
      </c>
      <c r="K4" s="165"/>
      <c r="L4" s="259" t="s">
        <v>233</v>
      </c>
      <c r="M4" s="260" t="s">
        <v>241</v>
      </c>
      <c r="N4" s="260" t="s">
        <v>235</v>
      </c>
      <c r="O4" s="260" t="s">
        <v>236</v>
      </c>
      <c r="P4" s="471" t="s">
        <v>237</v>
      </c>
      <c r="Q4" s="374" t="s">
        <v>242</v>
      </c>
      <c r="R4" s="624" t="s">
        <v>243</v>
      </c>
      <c r="S4" s="625" t="s">
        <v>177</v>
      </c>
      <c r="T4" s="372" t="s">
        <v>178</v>
      </c>
      <c r="U4" s="373" t="s">
        <v>244</v>
      </c>
      <c r="V4" s="374" t="s">
        <v>245</v>
      </c>
      <c r="W4" s="372" t="s">
        <v>239</v>
      </c>
      <c r="X4" s="486" t="s">
        <v>240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246</v>
      </c>
      <c r="D6" s="282" t="s">
        <v>247</v>
      </c>
      <c r="E6" s="283"/>
      <c r="F6" s="443"/>
      <c r="G6" s="397">
        <f>D169</f>
        <v>647549.21</v>
      </c>
      <c r="H6" s="681">
        <v>45867</v>
      </c>
      <c r="I6" s="752">
        <f>SUM(G6:G12)</f>
        <v>647549.21</v>
      </c>
      <c r="J6" s="752">
        <f>F169</f>
        <v>735851.375</v>
      </c>
      <c r="K6" s="394"/>
      <c r="L6" s="281">
        <v>1</v>
      </c>
      <c r="M6" s="423" t="s">
        <v>248</v>
      </c>
      <c r="N6" s="282" t="s">
        <v>249</v>
      </c>
      <c r="O6" s="554">
        <v>194</v>
      </c>
      <c r="P6" s="443">
        <v>1175.96</v>
      </c>
      <c r="Q6" s="397">
        <v>228137</v>
      </c>
      <c r="R6" s="771" t="s">
        <v>250</v>
      </c>
      <c r="S6" s="627" t="s">
        <v>251</v>
      </c>
      <c r="T6" s="662">
        <v>45808</v>
      </c>
      <c r="U6" s="664">
        <v>270346.45674938691</v>
      </c>
      <c r="V6" s="758">
        <f>J6-SUM(U6:U12)</f>
        <v>0</v>
      </c>
      <c r="W6" s="681">
        <v>45867</v>
      </c>
      <c r="X6" s="749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53"/>
      <c r="J7" s="75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72"/>
      <c r="S7" s="627" t="s">
        <v>252</v>
      </c>
      <c r="T7" s="662">
        <v>45808</v>
      </c>
      <c r="U7" s="664">
        <v>438964.60284403508</v>
      </c>
      <c r="V7" s="759"/>
      <c r="W7" s="681">
        <v>45867</v>
      </c>
      <c r="X7" s="750"/>
      <c r="Y7" s="488"/>
    </row>
    <row r="8" spans="1:76" ht="15" customHeight="1">
      <c r="B8" s="311">
        <v>1</v>
      </c>
      <c r="C8" s="424"/>
      <c r="D8" s="395" t="s">
        <v>253</v>
      </c>
      <c r="E8" s="396"/>
      <c r="F8" s="465"/>
      <c r="G8" s="315"/>
      <c r="H8" s="680">
        <f>H7</f>
        <v>45867</v>
      </c>
      <c r="I8" s="753"/>
      <c r="J8" s="753"/>
      <c r="K8" s="288"/>
      <c r="L8" s="311">
        <v>1</v>
      </c>
      <c r="M8" s="313" t="s">
        <v>248</v>
      </c>
      <c r="N8" s="395" t="s">
        <v>254</v>
      </c>
      <c r="O8" s="555"/>
      <c r="P8" s="450"/>
      <c r="Q8" s="315">
        <v>1842</v>
      </c>
      <c r="R8" s="773"/>
      <c r="S8" s="628" t="s">
        <v>252</v>
      </c>
      <c r="T8" s="646">
        <v>45808</v>
      </c>
      <c r="U8" s="665">
        <v>2182.803198658572</v>
      </c>
      <c r="V8" s="759"/>
      <c r="W8" s="680">
        <f>W7</f>
        <v>45867</v>
      </c>
      <c r="X8" s="750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53"/>
      <c r="J9" s="753"/>
      <c r="K9" s="288"/>
      <c r="L9" s="311">
        <v>1</v>
      </c>
      <c r="M9" s="313" t="s">
        <v>248</v>
      </c>
      <c r="N9" s="491" t="s">
        <v>255</v>
      </c>
      <c r="O9" s="556"/>
      <c r="P9" s="450"/>
      <c r="Q9" s="315">
        <v>6284.25</v>
      </c>
      <c r="R9" s="591"/>
      <c r="S9" s="628" t="s">
        <v>252</v>
      </c>
      <c r="T9" s="646">
        <v>45808</v>
      </c>
      <c r="U9" s="665">
        <v>7446.9495120359015</v>
      </c>
      <c r="V9" s="759"/>
      <c r="W9" s="680">
        <v>45867</v>
      </c>
      <c r="X9" s="750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53"/>
      <c r="J10" s="753"/>
      <c r="K10" s="288"/>
      <c r="L10" s="311">
        <v>1</v>
      </c>
      <c r="M10" s="313" t="s">
        <v>248</v>
      </c>
      <c r="N10" s="491"/>
      <c r="O10" s="556"/>
      <c r="P10" s="450"/>
      <c r="Q10" s="392">
        <v>10400</v>
      </c>
      <c r="R10" s="592"/>
      <c r="S10" s="629" t="s">
        <v>252</v>
      </c>
      <c r="T10" s="663">
        <v>45808</v>
      </c>
      <c r="U10" s="666">
        <v>12324.187440851871</v>
      </c>
      <c r="V10" s="759"/>
      <c r="W10" s="682">
        <v>45867</v>
      </c>
      <c r="X10" s="750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53"/>
      <c r="J11" s="753"/>
      <c r="K11" s="288"/>
      <c r="L11" s="311">
        <v>1</v>
      </c>
      <c r="M11" s="313" t="s">
        <v>248</v>
      </c>
      <c r="N11" s="491"/>
      <c r="O11" s="556"/>
      <c r="P11" s="450"/>
      <c r="Q11" s="392">
        <v>3870.3</v>
      </c>
      <c r="R11" s="592"/>
      <c r="S11" s="629" t="s">
        <v>251</v>
      </c>
      <c r="T11" s="663">
        <v>45808</v>
      </c>
      <c r="U11" s="666">
        <v>4586.3752550316349</v>
      </c>
      <c r="V11" s="759"/>
      <c r="W11" s="682">
        <v>45867</v>
      </c>
      <c r="X11" s="750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54"/>
      <c r="J12" s="754"/>
      <c r="K12" s="289"/>
      <c r="L12" s="316">
        <v>1</v>
      </c>
      <c r="M12" s="425" t="s">
        <v>248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60"/>
      <c r="W12" s="578"/>
      <c r="X12" s="751"/>
      <c r="Y12" s="608" t="s">
        <v>256</v>
      </c>
      <c r="Z12" s="609" t="s">
        <v>257</v>
      </c>
    </row>
    <row r="13" spans="1:76" ht="14.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258</v>
      </c>
      <c r="Z13" s="611">
        <f>G54</f>
        <v>373625.72608695651</v>
      </c>
    </row>
    <row r="14" spans="1:76" ht="14.25" customHeight="1">
      <c r="B14" s="293">
        <v>2</v>
      </c>
      <c r="C14" s="319" t="s">
        <v>259</v>
      </c>
      <c r="D14" s="319" t="s">
        <v>260</v>
      </c>
      <c r="E14" s="365"/>
      <c r="F14" s="463"/>
      <c r="G14" s="296">
        <f>D170</f>
        <v>210000</v>
      </c>
      <c r="H14" s="543">
        <v>45862</v>
      </c>
      <c r="I14" s="740">
        <f>SUM(G14:G20)</f>
        <v>210000</v>
      </c>
      <c r="J14" s="740">
        <f>F170</f>
        <v>238636.36363636365</v>
      </c>
      <c r="K14" s="297"/>
      <c r="L14" s="293">
        <v>2</v>
      </c>
      <c r="M14" s="426" t="s">
        <v>261</v>
      </c>
      <c r="N14" s="319" t="s">
        <v>262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263</v>
      </c>
      <c r="S14" s="632" t="s">
        <v>264</v>
      </c>
      <c r="T14" s="656">
        <v>45808</v>
      </c>
      <c r="U14" s="667">
        <v>238636.36363636365</v>
      </c>
      <c r="V14" s="761">
        <f>J14-SUM(U14:U20)</f>
        <v>0</v>
      </c>
      <c r="W14" s="543">
        <v>45862</v>
      </c>
      <c r="X14" s="743">
        <f>SUM(Q14:Q20)</f>
        <v>206611.05000000002</v>
      </c>
      <c r="Y14" s="610" t="s">
        <v>265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41"/>
      <c r="J15" s="741"/>
      <c r="K15" s="301"/>
      <c r="L15" s="298">
        <v>2</v>
      </c>
      <c r="M15" s="432" t="s">
        <v>261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62"/>
      <c r="W15" s="581"/>
      <c r="X15" s="744"/>
      <c r="Y15" s="610" t="s">
        <v>266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41"/>
      <c r="J16" s="741"/>
      <c r="K16" s="301"/>
      <c r="L16" s="298">
        <v>2</v>
      </c>
      <c r="M16" s="432" t="s">
        <v>261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62"/>
      <c r="W16" s="581"/>
      <c r="X16" s="744"/>
      <c r="Y16" s="610" t="s">
        <v>267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41"/>
      <c r="J17" s="741"/>
      <c r="K17" s="301"/>
      <c r="L17" s="298">
        <v>2</v>
      </c>
      <c r="M17" s="432" t="s">
        <v>261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62"/>
      <c r="W17" s="581"/>
      <c r="X17" s="744"/>
      <c r="Y17" s="610" t="s">
        <v>268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41"/>
      <c r="J18" s="741"/>
      <c r="K18" s="301"/>
      <c r="L18" s="298">
        <v>2</v>
      </c>
      <c r="M18" s="432" t="s">
        <v>261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62"/>
      <c r="W18" s="581"/>
      <c r="X18" s="744"/>
      <c r="Y18" s="610" t="s">
        <v>269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41"/>
      <c r="J19" s="741"/>
      <c r="K19" s="301"/>
      <c r="L19" s="298">
        <v>2</v>
      </c>
      <c r="M19" s="432" t="s">
        <v>261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62"/>
      <c r="W19" s="581"/>
      <c r="X19" s="744"/>
      <c r="Y19" s="610" t="s">
        <v>270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42"/>
      <c r="J20" s="742"/>
      <c r="K20" s="306"/>
      <c r="L20" s="401">
        <v>2</v>
      </c>
      <c r="M20" s="427" t="s">
        <v>261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63"/>
      <c r="W20" s="582"/>
      <c r="X20" s="745"/>
      <c r="Y20" s="610" t="s">
        <v>271</v>
      </c>
      <c r="Z20" s="611">
        <v>0</v>
      </c>
    </row>
    <row r="21" spans="1:26" ht="14.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272</v>
      </c>
      <c r="D22" s="327" t="s">
        <v>273</v>
      </c>
      <c r="E22" s="283"/>
      <c r="F22" s="443"/>
      <c r="G22" s="284">
        <f>D171</f>
        <v>138694.5</v>
      </c>
      <c r="H22" s="545">
        <v>45835</v>
      </c>
      <c r="I22" s="752">
        <f>SUM(G22:G27)</f>
        <v>138694.5</v>
      </c>
      <c r="J22" s="752">
        <f>F171</f>
        <v>157607.38636363635</v>
      </c>
      <c r="K22" s="285"/>
      <c r="L22" s="281">
        <v>3</v>
      </c>
      <c r="M22" s="428" t="s">
        <v>274</v>
      </c>
      <c r="N22" s="327" t="s">
        <v>275</v>
      </c>
      <c r="O22" s="554"/>
      <c r="P22" s="443"/>
      <c r="Q22" s="284">
        <v>60238.8</v>
      </c>
      <c r="R22" s="598" t="s">
        <v>276</v>
      </c>
      <c r="S22" s="635" t="s">
        <v>277</v>
      </c>
      <c r="T22" s="654">
        <v>45808</v>
      </c>
      <c r="U22" s="670">
        <v>107042.48657675298</v>
      </c>
      <c r="V22" s="758">
        <f>J22-SUM(U22:U27)</f>
        <v>-2.6062135002575815E-3</v>
      </c>
      <c r="W22" s="545">
        <v>45835</v>
      </c>
      <c r="X22" s="749">
        <f>SUM(Q22:Q27)</f>
        <v>71480.800000000003</v>
      </c>
      <c r="Y22" s="610" t="s">
        <v>278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53"/>
      <c r="J23" s="753"/>
      <c r="K23" s="288"/>
      <c r="L23" s="311">
        <v>3</v>
      </c>
      <c r="M23" s="429" t="s">
        <v>274</v>
      </c>
      <c r="N23" s="328" t="s">
        <v>279</v>
      </c>
      <c r="O23" s="555"/>
      <c r="P23" s="465"/>
      <c r="Q23" s="315">
        <v>11242</v>
      </c>
      <c r="R23" s="591" t="s">
        <v>280</v>
      </c>
      <c r="S23" s="628" t="s">
        <v>281</v>
      </c>
      <c r="T23" s="646">
        <v>45838</v>
      </c>
      <c r="U23" s="665">
        <v>5688.1205951779339</v>
      </c>
      <c r="V23" s="759"/>
      <c r="W23" s="680">
        <v>45867</v>
      </c>
      <c r="X23" s="750"/>
      <c r="Y23" s="610" t="s">
        <v>200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53"/>
      <c r="J24" s="753"/>
      <c r="K24" s="288"/>
      <c r="L24" s="311">
        <v>3</v>
      </c>
      <c r="M24" s="429" t="s">
        <v>274</v>
      </c>
      <c r="N24" s="328" t="s">
        <v>282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59"/>
      <c r="W24" s="576"/>
      <c r="X24" s="750"/>
      <c r="Y24" s="610" t="s">
        <v>283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53"/>
      <c r="J25" s="753"/>
      <c r="K25" s="288"/>
      <c r="L25" s="311">
        <v>3</v>
      </c>
      <c r="M25" s="429" t="s">
        <v>274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59"/>
      <c r="W25" s="577"/>
      <c r="X25" s="750"/>
      <c r="Y25" s="615" t="s">
        <v>284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53"/>
      <c r="J26" s="753"/>
      <c r="K26" s="288"/>
      <c r="L26" s="311">
        <v>3</v>
      </c>
      <c r="M26" s="429" t="s">
        <v>274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59"/>
      <c r="W26" s="577"/>
      <c r="X26" s="750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54"/>
      <c r="J27" s="754"/>
      <c r="K27" s="289"/>
      <c r="L27" s="316">
        <v>3</v>
      </c>
      <c r="M27" s="430" t="s">
        <v>274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60"/>
      <c r="W27" s="578"/>
      <c r="X27" s="751"/>
      <c r="Y27" s="616" t="s">
        <v>285</v>
      </c>
      <c r="Z27" s="617" t="s">
        <v>286</v>
      </c>
    </row>
    <row r="28" spans="1:26" ht="14.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265</v>
      </c>
      <c r="D29" s="294" t="s">
        <v>287</v>
      </c>
      <c r="E29" s="365">
        <f>G29/14*1.15</f>
        <v>8317.9499999999989</v>
      </c>
      <c r="F29" s="463"/>
      <c r="G29" s="296">
        <v>101262</v>
      </c>
      <c r="H29" s="543">
        <v>45782</v>
      </c>
      <c r="I29" s="740">
        <f>SUM(G29:G43)</f>
        <v>255176.3</v>
      </c>
      <c r="J29" s="740">
        <f>F172</f>
        <v>289973.06818181818</v>
      </c>
      <c r="K29" s="297"/>
      <c r="L29" s="293">
        <v>4</v>
      </c>
      <c r="M29" s="431" t="s">
        <v>288</v>
      </c>
      <c r="N29" s="294" t="s">
        <v>289</v>
      </c>
      <c r="O29" s="551">
        <v>8000</v>
      </c>
      <c r="P29" s="463">
        <v>13.89</v>
      </c>
      <c r="Q29" s="296">
        <f>O29*P29</f>
        <v>111120</v>
      </c>
      <c r="R29" s="595" t="s">
        <v>250</v>
      </c>
      <c r="S29" s="632" t="s">
        <v>290</v>
      </c>
      <c r="T29" s="656">
        <f>T14</f>
        <v>45808</v>
      </c>
      <c r="U29" s="667">
        <v>150375.77758683581</v>
      </c>
      <c r="V29" s="761">
        <f>J29-SUM(U29:U43)</f>
        <v>0</v>
      </c>
      <c r="W29" s="543">
        <v>45782</v>
      </c>
      <c r="X29" s="743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291</v>
      </c>
      <c r="E30" s="400"/>
      <c r="F30" s="459"/>
      <c r="G30" s="644">
        <f>D172-G29</f>
        <v>153914.29999999999</v>
      </c>
      <c r="H30" s="543">
        <v>45782</v>
      </c>
      <c r="I30" s="741"/>
      <c r="J30" s="741"/>
      <c r="K30" s="301"/>
      <c r="L30" s="298">
        <v>4</v>
      </c>
      <c r="M30" s="432" t="s">
        <v>288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62"/>
      <c r="W30" s="581"/>
      <c r="X30" s="744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41"/>
      <c r="J31" s="741"/>
      <c r="K31" s="301"/>
      <c r="L31" s="298">
        <v>4</v>
      </c>
      <c r="M31" s="432" t="s">
        <v>288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62"/>
      <c r="W31" s="581"/>
      <c r="X31" s="744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41"/>
      <c r="J32" s="741"/>
      <c r="K32" s="301"/>
      <c r="L32" s="298">
        <v>4</v>
      </c>
      <c r="M32" s="432" t="s">
        <v>288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62"/>
      <c r="W32" s="581"/>
      <c r="X32" s="744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41"/>
      <c r="J33" s="741"/>
      <c r="K33" s="301"/>
      <c r="L33" s="298">
        <v>4</v>
      </c>
      <c r="M33" s="432" t="s">
        <v>288</v>
      </c>
      <c r="N33" s="414" t="s">
        <v>292</v>
      </c>
      <c r="O33" s="570">
        <v>103155.25</v>
      </c>
      <c r="P33" s="571">
        <v>0.1</v>
      </c>
      <c r="Q33" s="300">
        <f>$O$33*P33</f>
        <v>10315.525000000001</v>
      </c>
      <c r="R33" s="746" t="s">
        <v>293</v>
      </c>
      <c r="S33" s="633" t="s">
        <v>294</v>
      </c>
      <c r="T33" s="653">
        <f>T60</f>
        <v>45808</v>
      </c>
      <c r="U33" s="668">
        <v>13959.729059498239</v>
      </c>
      <c r="V33" s="762"/>
      <c r="W33" s="544">
        <f>W94</f>
        <v>45792</v>
      </c>
      <c r="X33" s="744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41"/>
      <c r="J34" s="741"/>
      <c r="K34" s="301"/>
      <c r="L34" s="298">
        <v>4</v>
      </c>
      <c r="M34" s="432" t="s">
        <v>288</v>
      </c>
      <c r="N34" s="414" t="s">
        <v>101</v>
      </c>
      <c r="O34" s="560"/>
      <c r="P34" s="571">
        <v>0.15</v>
      </c>
      <c r="Q34" s="300">
        <f t="shared" ref="Q34:Q40" si="3">$O$33*P34</f>
        <v>15473.287499999999</v>
      </c>
      <c r="R34" s="747"/>
      <c r="S34" s="633" t="s">
        <v>295</v>
      </c>
      <c r="T34" s="653">
        <v>45838</v>
      </c>
      <c r="U34" s="668">
        <v>20939.593589247357</v>
      </c>
      <c r="V34" s="762"/>
      <c r="W34" s="674">
        <f t="shared" ref="W34:W40" si="4">W95</f>
        <v>45827</v>
      </c>
      <c r="X34" s="744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41"/>
      <c r="J35" s="741"/>
      <c r="K35" s="301"/>
      <c r="L35" s="298">
        <v>4</v>
      </c>
      <c r="M35" s="432" t="s">
        <v>288</v>
      </c>
      <c r="N35" s="414" t="s">
        <v>296</v>
      </c>
      <c r="O35" s="560"/>
      <c r="P35" s="571">
        <v>0.2</v>
      </c>
      <c r="Q35" s="300">
        <f t="shared" si="3"/>
        <v>20631.050000000003</v>
      </c>
      <c r="R35" s="747"/>
      <c r="S35" s="633" t="s">
        <v>297</v>
      </c>
      <c r="T35" s="653">
        <v>45838</v>
      </c>
      <c r="U35" s="668">
        <v>27919.458118996477</v>
      </c>
      <c r="V35" s="762"/>
      <c r="W35" s="581">
        <v>46051</v>
      </c>
      <c r="X35" s="744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41"/>
      <c r="J36" s="741"/>
      <c r="K36" s="301"/>
      <c r="L36" s="298">
        <v>4</v>
      </c>
      <c r="M36" s="432" t="s">
        <v>288</v>
      </c>
      <c r="N36" s="414" t="s">
        <v>298</v>
      </c>
      <c r="O36" s="560"/>
      <c r="P36" s="571">
        <v>0.25</v>
      </c>
      <c r="Q36" s="300">
        <f t="shared" si="3"/>
        <v>25788.8125</v>
      </c>
      <c r="R36" s="747"/>
      <c r="S36" s="633" t="s">
        <v>299</v>
      </c>
      <c r="T36" s="653">
        <v>45838</v>
      </c>
      <c r="U36" s="668">
        <v>34899.322648745598</v>
      </c>
      <c r="V36" s="762"/>
      <c r="W36" s="544">
        <f t="shared" si="4"/>
        <v>45841</v>
      </c>
      <c r="X36" s="744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41"/>
      <c r="J37" s="741"/>
      <c r="K37" s="301"/>
      <c r="L37" s="298">
        <v>4</v>
      </c>
      <c r="M37" s="432" t="s">
        <v>288</v>
      </c>
      <c r="N37" s="414" t="s">
        <v>185</v>
      </c>
      <c r="O37" s="560"/>
      <c r="P37" s="571">
        <v>0.1</v>
      </c>
      <c r="Q37" s="300">
        <f t="shared" si="3"/>
        <v>10315.525000000001</v>
      </c>
      <c r="R37" s="747"/>
      <c r="S37" s="633" t="s">
        <v>300</v>
      </c>
      <c r="T37" s="653">
        <v>45838</v>
      </c>
      <c r="U37" s="668">
        <v>13959.729059498239</v>
      </c>
      <c r="V37" s="762"/>
      <c r="W37" s="581">
        <f t="shared" si="4"/>
        <v>46077</v>
      </c>
      <c r="X37" s="744"/>
      <c r="Y37" s="618" t="s">
        <v>278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41"/>
      <c r="J38" s="741"/>
      <c r="K38" s="301"/>
      <c r="L38" s="298">
        <v>4</v>
      </c>
      <c r="M38" s="432" t="s">
        <v>288</v>
      </c>
      <c r="N38" s="414" t="s">
        <v>301</v>
      </c>
      <c r="O38" s="560"/>
      <c r="P38" s="571">
        <v>0.1</v>
      </c>
      <c r="Q38" s="300">
        <f t="shared" si="3"/>
        <v>10315.525000000001</v>
      </c>
      <c r="R38" s="747"/>
      <c r="S38" s="633" t="s">
        <v>302</v>
      </c>
      <c r="T38" s="653">
        <v>45838</v>
      </c>
      <c r="U38" s="668">
        <v>13959.729059498239</v>
      </c>
      <c r="V38" s="762"/>
      <c r="W38" s="581">
        <f t="shared" si="4"/>
        <v>46087</v>
      </c>
      <c r="X38" s="744"/>
      <c r="Y38" s="618" t="s">
        <v>278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41"/>
      <c r="J39" s="741"/>
      <c r="K39" s="301"/>
      <c r="L39" s="298">
        <v>4</v>
      </c>
      <c r="M39" s="432" t="s">
        <v>288</v>
      </c>
      <c r="N39" s="414" t="s">
        <v>303</v>
      </c>
      <c r="O39" s="560"/>
      <c r="P39" s="571">
        <v>0.05</v>
      </c>
      <c r="Q39" s="300">
        <f t="shared" si="3"/>
        <v>5157.7625000000007</v>
      </c>
      <c r="R39" s="747"/>
      <c r="S39" s="633" t="s">
        <v>304</v>
      </c>
      <c r="T39" s="653">
        <v>45838</v>
      </c>
      <c r="U39" s="668">
        <v>6979.8645297491194</v>
      </c>
      <c r="V39" s="762"/>
      <c r="W39" s="581">
        <f t="shared" si="4"/>
        <v>46087</v>
      </c>
      <c r="X39" s="744"/>
      <c r="Y39" s="618" t="s">
        <v>200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41"/>
      <c r="J40" s="741"/>
      <c r="K40" s="301"/>
      <c r="L40" s="298">
        <v>4</v>
      </c>
      <c r="M40" s="432" t="s">
        <v>288</v>
      </c>
      <c r="N40" s="414" t="s">
        <v>305</v>
      </c>
      <c r="O40" s="560"/>
      <c r="P40" s="571">
        <v>0.05</v>
      </c>
      <c r="Q40" s="300">
        <f t="shared" si="3"/>
        <v>5157.7625000000007</v>
      </c>
      <c r="R40" s="748"/>
      <c r="S40" s="633" t="s">
        <v>306</v>
      </c>
      <c r="T40" s="653">
        <v>45838</v>
      </c>
      <c r="U40" s="668">
        <v>6979.8645297491194</v>
      </c>
      <c r="V40" s="762"/>
      <c r="W40" s="581">
        <f t="shared" si="4"/>
        <v>46110</v>
      </c>
      <c r="X40" s="744"/>
      <c r="Y40" s="621" t="s">
        <v>284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41"/>
      <c r="J41" s="741"/>
      <c r="K41" s="301"/>
      <c r="L41" s="298">
        <v>4</v>
      </c>
      <c r="M41" s="432" t="s">
        <v>288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62"/>
      <c r="W41" s="581"/>
      <c r="X41" s="744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41"/>
      <c r="J42" s="741"/>
      <c r="K42" s="301"/>
      <c r="L42" s="298">
        <v>4</v>
      </c>
      <c r="M42" s="432" t="s">
        <v>288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62"/>
      <c r="W42" s="581"/>
      <c r="X42" s="744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42"/>
      <c r="J43" s="742"/>
      <c r="K43" s="306"/>
      <c r="L43" s="302">
        <v>4</v>
      </c>
      <c r="M43" s="433" t="s">
        <v>288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63"/>
      <c r="W43" s="582"/>
      <c r="X43" s="745"/>
      <c r="Y43" s="488"/>
    </row>
    <row r="44" spans="1:26" ht="14.5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307</v>
      </c>
      <c r="D45" s="327" t="s">
        <v>308</v>
      </c>
      <c r="E45" s="283"/>
      <c r="F45" s="443"/>
      <c r="G45" s="284">
        <f>D174-G46</f>
        <v>34000</v>
      </c>
      <c r="H45" s="545">
        <v>45855</v>
      </c>
      <c r="I45" s="752">
        <f>SUM(G45:G52)</f>
        <v>49000</v>
      </c>
      <c r="J45" s="752">
        <f>F174</f>
        <v>55681.818181818184</v>
      </c>
      <c r="K45" s="285"/>
      <c r="L45" s="281">
        <v>5</v>
      </c>
      <c r="M45" s="428" t="s">
        <v>309</v>
      </c>
      <c r="N45" s="327" t="s">
        <v>310</v>
      </c>
      <c r="O45" s="554"/>
      <c r="P45" s="443"/>
      <c r="Q45" s="284">
        <v>8598.35</v>
      </c>
      <c r="R45" s="598" t="s">
        <v>263</v>
      </c>
      <c r="S45" s="635" t="s">
        <v>311</v>
      </c>
      <c r="T45" s="654">
        <v>45808</v>
      </c>
      <c r="U45" s="670">
        <v>12277.093379226768</v>
      </c>
      <c r="V45" s="758">
        <f>J45-SUM(U45:U52)</f>
        <v>-4.47725009144051E-3</v>
      </c>
      <c r="W45" s="545">
        <v>45855</v>
      </c>
      <c r="X45" s="749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312</v>
      </c>
      <c r="E46" s="457"/>
      <c r="F46" s="458"/>
      <c r="G46" s="315">
        <v>15000</v>
      </c>
      <c r="H46" s="541">
        <v>45808</v>
      </c>
      <c r="I46" s="753"/>
      <c r="J46" s="753"/>
      <c r="K46" s="288"/>
      <c r="L46" s="286">
        <v>5</v>
      </c>
      <c r="M46" s="434" t="s">
        <v>309</v>
      </c>
      <c r="N46" s="287" t="s">
        <v>313</v>
      </c>
      <c r="O46" s="562"/>
      <c r="P46" s="458"/>
      <c r="Q46" s="315">
        <v>13695</v>
      </c>
      <c r="R46" s="591" t="s">
        <v>314</v>
      </c>
      <c r="S46" s="628" t="s">
        <v>315</v>
      </c>
      <c r="T46" s="646">
        <v>45777</v>
      </c>
      <c r="U46" s="651">
        <v>19114.237373104399</v>
      </c>
      <c r="V46" s="759"/>
      <c r="W46" s="541">
        <v>45808</v>
      </c>
      <c r="X46" s="750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53"/>
      <c r="J47" s="753"/>
      <c r="K47" s="288"/>
      <c r="L47" s="286">
        <v>5</v>
      </c>
      <c r="M47" s="434" t="s">
        <v>309</v>
      </c>
      <c r="N47" s="287"/>
      <c r="O47" s="562"/>
      <c r="P47" s="458"/>
      <c r="Q47" s="315">
        <v>214.28</v>
      </c>
      <c r="R47" s="591"/>
      <c r="S47" s="628" t="s">
        <v>316</v>
      </c>
      <c r="T47" s="646">
        <v>45838</v>
      </c>
      <c r="U47" s="665">
        <v>332.10278694680039</v>
      </c>
      <c r="V47" s="759"/>
      <c r="W47" s="680">
        <v>45867</v>
      </c>
      <c r="X47" s="750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53"/>
      <c r="J48" s="753"/>
      <c r="K48" s="288"/>
      <c r="L48" s="286">
        <v>5</v>
      </c>
      <c r="M48" s="434" t="s">
        <v>309</v>
      </c>
      <c r="N48" s="313" t="s">
        <v>317</v>
      </c>
      <c r="O48" s="555"/>
      <c r="P48" s="465"/>
      <c r="Q48" s="315">
        <v>11169</v>
      </c>
      <c r="R48" s="591"/>
      <c r="S48" s="628" t="s">
        <v>318</v>
      </c>
      <c r="T48" s="646">
        <v>45838</v>
      </c>
      <c r="U48" s="665">
        <v>20789.453069856329</v>
      </c>
      <c r="V48" s="759"/>
      <c r="W48" s="541">
        <v>45838</v>
      </c>
      <c r="X48" s="750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53"/>
      <c r="J49" s="753"/>
      <c r="K49" s="288"/>
      <c r="L49" s="311">
        <v>5</v>
      </c>
      <c r="M49" s="434" t="s">
        <v>309</v>
      </c>
      <c r="N49" s="313" t="s">
        <v>319</v>
      </c>
      <c r="O49" s="555"/>
      <c r="P49" s="465"/>
      <c r="Q49" s="315">
        <v>2250.5</v>
      </c>
      <c r="R49" s="591" t="s">
        <v>320</v>
      </c>
      <c r="S49" s="628" t="s">
        <v>321</v>
      </c>
      <c r="T49" s="646">
        <v>45808</v>
      </c>
      <c r="U49" s="665">
        <v>3168.9360499339805</v>
      </c>
      <c r="V49" s="759"/>
      <c r="W49" s="541">
        <v>45799</v>
      </c>
      <c r="X49" s="750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53"/>
      <c r="J50" s="753"/>
      <c r="K50" s="288"/>
      <c r="L50" s="311">
        <v>5</v>
      </c>
      <c r="M50" s="434" t="s">
        <v>309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59"/>
      <c r="W50" s="577"/>
      <c r="X50" s="750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53"/>
      <c r="J51" s="753"/>
      <c r="K51" s="288"/>
      <c r="L51" s="311">
        <v>5</v>
      </c>
      <c r="M51" s="434" t="s">
        <v>309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59"/>
      <c r="W51" s="577"/>
      <c r="X51" s="750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54"/>
      <c r="J52" s="754"/>
      <c r="K52" s="289"/>
      <c r="L52" s="316">
        <v>5</v>
      </c>
      <c r="M52" s="430" t="s">
        <v>309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60"/>
      <c r="W52" s="578"/>
      <c r="X52" s="751"/>
      <c r="Y52" s="488"/>
    </row>
    <row r="53" spans="1:25" ht="14.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258</v>
      </c>
      <c r="D54" s="295" t="s">
        <v>322</v>
      </c>
      <c r="E54" s="481"/>
      <c r="F54" s="463"/>
      <c r="G54" s="296">
        <f>D173</f>
        <v>373625.72608695651</v>
      </c>
      <c r="H54" s="683">
        <v>45866</v>
      </c>
      <c r="I54" s="740">
        <f>SUM(G54:G70)</f>
        <v>373625.72608695651</v>
      </c>
      <c r="J54" s="740">
        <f>F173</f>
        <v>424574.68873517786</v>
      </c>
      <c r="K54" s="297"/>
      <c r="L54" s="293">
        <v>6</v>
      </c>
      <c r="M54" s="437" t="s">
        <v>323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61">
        <f>J54-SUM(U54:U70)</f>
        <v>-3.0875842203386128E-3</v>
      </c>
      <c r="W54" s="580"/>
      <c r="X54" s="743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41"/>
      <c r="J55" s="741"/>
      <c r="K55" s="301"/>
      <c r="L55" s="298">
        <v>6</v>
      </c>
      <c r="M55" s="435" t="s">
        <v>323</v>
      </c>
      <c r="N55" s="449" t="s">
        <v>324</v>
      </c>
      <c r="O55" s="560"/>
      <c r="P55" s="459"/>
      <c r="Q55" s="321">
        <v>117330.71</v>
      </c>
      <c r="R55" s="596" t="s">
        <v>325</v>
      </c>
      <c r="S55" s="633" t="s">
        <v>326</v>
      </c>
      <c r="T55" s="653">
        <v>45838</v>
      </c>
      <c r="U55" s="668">
        <v>247725.5307397561</v>
      </c>
      <c r="V55" s="762"/>
      <c r="W55" s="683">
        <v>45867</v>
      </c>
      <c r="X55" s="744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41"/>
      <c r="J56" s="741"/>
      <c r="K56" s="301"/>
      <c r="L56" s="298">
        <v>6</v>
      </c>
      <c r="M56" s="435" t="s">
        <v>323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62"/>
      <c r="W56" s="581"/>
      <c r="X56" s="744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41"/>
      <c r="J57" s="741"/>
      <c r="K57" s="301"/>
      <c r="L57" s="298">
        <v>6</v>
      </c>
      <c r="M57" s="435" t="s">
        <v>323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62"/>
      <c r="W57" s="581"/>
      <c r="X57" s="74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41"/>
      <c r="J58" s="741"/>
      <c r="K58" s="301"/>
      <c r="L58" s="298">
        <v>6</v>
      </c>
      <c r="M58" s="435" t="s">
        <v>323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62"/>
      <c r="W58" s="581"/>
      <c r="X58" s="74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41"/>
      <c r="J59" s="741"/>
      <c r="K59" s="301"/>
      <c r="L59" s="298">
        <v>6</v>
      </c>
      <c r="M59" s="435" t="s">
        <v>323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62"/>
      <c r="W59" s="581"/>
      <c r="X59" s="744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41"/>
      <c r="J60" s="741"/>
      <c r="K60" s="301"/>
      <c r="L60" s="298">
        <v>6</v>
      </c>
      <c r="M60" s="435" t="s">
        <v>323</v>
      </c>
      <c r="N60" s="414" t="s">
        <v>292</v>
      </c>
      <c r="O60" s="570">
        <v>83761.399999999994</v>
      </c>
      <c r="P60" s="571">
        <v>0.1</v>
      </c>
      <c r="Q60" s="300">
        <f>$O$60*P60</f>
        <v>8376.14</v>
      </c>
      <c r="R60" s="746" t="s">
        <v>293</v>
      </c>
      <c r="S60" s="633" t="s">
        <v>294</v>
      </c>
      <c r="T60" s="653">
        <f>T94</f>
        <v>45808</v>
      </c>
      <c r="U60" s="668">
        <v>17946.698887126469</v>
      </c>
      <c r="V60" s="762"/>
      <c r="W60" s="544">
        <f>W94</f>
        <v>45792</v>
      </c>
      <c r="X60" s="744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41"/>
      <c r="J61" s="741"/>
      <c r="K61" s="301"/>
      <c r="L61" s="298">
        <v>6</v>
      </c>
      <c r="M61" s="436" t="s">
        <v>323</v>
      </c>
      <c r="N61" s="414" t="s">
        <v>101</v>
      </c>
      <c r="O61" s="560"/>
      <c r="P61" s="571">
        <v>0.15</v>
      </c>
      <c r="Q61" s="300">
        <f t="shared" ref="Q61:Q67" si="7">$O$60*P61</f>
        <v>12564.21</v>
      </c>
      <c r="R61" s="747"/>
      <c r="S61" s="633" t="s">
        <v>295</v>
      </c>
      <c r="T61" s="653">
        <v>45838</v>
      </c>
      <c r="U61" s="668">
        <v>26265.593699313253</v>
      </c>
      <c r="V61" s="762"/>
      <c r="W61" s="674">
        <f t="shared" ref="W61:W67" si="8">W95</f>
        <v>45827</v>
      </c>
      <c r="X61" s="744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41"/>
      <c r="J62" s="741"/>
      <c r="K62" s="301"/>
      <c r="L62" s="298">
        <v>6</v>
      </c>
      <c r="M62" s="436" t="s">
        <v>323</v>
      </c>
      <c r="N62" s="414" t="s">
        <v>296</v>
      </c>
      <c r="O62" s="560"/>
      <c r="P62" s="571">
        <v>0.2</v>
      </c>
      <c r="Q62" s="300">
        <f t="shared" si="7"/>
        <v>16752.28</v>
      </c>
      <c r="R62" s="747"/>
      <c r="S62" s="633" t="s">
        <v>297</v>
      </c>
      <c r="T62" s="653">
        <v>45838</v>
      </c>
      <c r="U62" s="668">
        <v>35369.83159908434</v>
      </c>
      <c r="V62" s="762"/>
      <c r="W62" s="581">
        <v>46051</v>
      </c>
      <c r="X62" s="74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41"/>
      <c r="J63" s="741"/>
      <c r="K63" s="301"/>
      <c r="L63" s="298">
        <v>6</v>
      </c>
      <c r="M63" s="436" t="s">
        <v>323</v>
      </c>
      <c r="N63" s="414" t="s">
        <v>298</v>
      </c>
      <c r="O63" s="560"/>
      <c r="P63" s="571">
        <v>0.25</v>
      </c>
      <c r="Q63" s="300">
        <f t="shared" si="7"/>
        <v>20940.349999999999</v>
      </c>
      <c r="R63" s="747"/>
      <c r="S63" s="633" t="s">
        <v>299</v>
      </c>
      <c r="T63" s="653">
        <v>45838</v>
      </c>
      <c r="U63" s="668">
        <v>44212.289498855418</v>
      </c>
      <c r="V63" s="762"/>
      <c r="W63" s="544">
        <f t="shared" si="8"/>
        <v>45841</v>
      </c>
      <c r="X63" s="74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41"/>
      <c r="J64" s="741"/>
      <c r="K64" s="301"/>
      <c r="L64" s="298">
        <v>6</v>
      </c>
      <c r="M64" s="436" t="s">
        <v>323</v>
      </c>
      <c r="N64" s="414" t="s">
        <v>185</v>
      </c>
      <c r="O64" s="560"/>
      <c r="P64" s="571">
        <v>0.1</v>
      </c>
      <c r="Q64" s="300">
        <f t="shared" si="7"/>
        <v>8376.14</v>
      </c>
      <c r="R64" s="747"/>
      <c r="S64" s="633" t="s">
        <v>300</v>
      </c>
      <c r="T64" s="653">
        <v>45838</v>
      </c>
      <c r="U64" s="668">
        <v>17684.91579954217</v>
      </c>
      <c r="V64" s="762"/>
      <c r="W64" s="581">
        <f t="shared" si="8"/>
        <v>46077</v>
      </c>
      <c r="X64" s="744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41"/>
      <c r="J65" s="741"/>
      <c r="K65" s="301"/>
      <c r="L65" s="298">
        <v>6</v>
      </c>
      <c r="M65" s="436" t="s">
        <v>323</v>
      </c>
      <c r="N65" s="414" t="s">
        <v>301</v>
      </c>
      <c r="O65" s="560"/>
      <c r="P65" s="571">
        <v>0.1</v>
      </c>
      <c r="Q65" s="300">
        <f t="shared" si="7"/>
        <v>8376.14</v>
      </c>
      <c r="R65" s="747"/>
      <c r="S65" s="637" t="s">
        <v>302</v>
      </c>
      <c r="T65" s="676">
        <v>45838</v>
      </c>
      <c r="U65" s="679">
        <v>17684.91579954217</v>
      </c>
      <c r="V65" s="762"/>
      <c r="W65" s="581">
        <f t="shared" si="8"/>
        <v>46087</v>
      </c>
      <c r="X65" s="744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41"/>
      <c r="J66" s="741"/>
      <c r="K66" s="301"/>
      <c r="L66" s="298">
        <v>6</v>
      </c>
      <c r="M66" s="436" t="s">
        <v>323</v>
      </c>
      <c r="N66" s="414" t="s">
        <v>303</v>
      </c>
      <c r="O66" s="560"/>
      <c r="P66" s="571">
        <v>0.05</v>
      </c>
      <c r="Q66" s="300">
        <f t="shared" si="7"/>
        <v>4188.07</v>
      </c>
      <c r="R66" s="747"/>
      <c r="S66" s="637" t="s">
        <v>304</v>
      </c>
      <c r="T66" s="676">
        <v>45838</v>
      </c>
      <c r="U66" s="679">
        <v>8842.4578997710851</v>
      </c>
      <c r="V66" s="762"/>
      <c r="W66" s="581">
        <f t="shared" si="8"/>
        <v>46087</v>
      </c>
      <c r="X66" s="74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41"/>
      <c r="J67" s="741"/>
      <c r="K67" s="301"/>
      <c r="L67" s="298">
        <v>6</v>
      </c>
      <c r="M67" s="436" t="s">
        <v>323</v>
      </c>
      <c r="N67" s="414" t="s">
        <v>305</v>
      </c>
      <c r="O67" s="560"/>
      <c r="P67" s="571">
        <v>0.05</v>
      </c>
      <c r="Q67" s="300">
        <f t="shared" si="7"/>
        <v>4188.07</v>
      </c>
      <c r="R67" s="748"/>
      <c r="S67" s="637" t="s">
        <v>306</v>
      </c>
      <c r="T67" s="676">
        <v>45838</v>
      </c>
      <c r="U67" s="679">
        <v>8842.4578997710851</v>
      </c>
      <c r="V67" s="762"/>
      <c r="W67" s="581">
        <f t="shared" si="8"/>
        <v>46110</v>
      </c>
      <c r="X67" s="74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41"/>
      <c r="J68" s="741"/>
      <c r="K68" s="301"/>
      <c r="L68" s="298">
        <v>6</v>
      </c>
      <c r="M68" s="436" t="s">
        <v>323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62"/>
      <c r="W68" s="584"/>
      <c r="X68" s="74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41"/>
      <c r="J69" s="741"/>
      <c r="K69" s="301"/>
      <c r="L69" s="298">
        <v>6</v>
      </c>
      <c r="M69" s="436" t="s">
        <v>323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62"/>
      <c r="W69" s="584"/>
      <c r="X69" s="744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42"/>
      <c r="J70" s="742"/>
      <c r="K70" s="306"/>
      <c r="L70" s="302">
        <v>6</v>
      </c>
      <c r="M70" s="438" t="s">
        <v>323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63"/>
      <c r="W70" s="582"/>
      <c r="X70" s="745"/>
      <c r="Y70" s="488"/>
    </row>
    <row r="71" spans="1:25" ht="14.5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327</v>
      </c>
      <c r="D72" s="387"/>
      <c r="E72" s="468"/>
      <c r="F72" s="474"/>
      <c r="G72" s="388"/>
      <c r="H72" s="586"/>
      <c r="I72" s="752">
        <f>SUM(G72:G79)</f>
        <v>0</v>
      </c>
      <c r="J72" s="752">
        <v>0</v>
      </c>
      <c r="K72" s="285"/>
      <c r="L72" s="386">
        <v>7</v>
      </c>
      <c r="M72" s="309" t="s">
        <v>328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55">
        <f>J72-SUM(U72:U79)</f>
        <v>0</v>
      </c>
      <c r="W72" s="586"/>
      <c r="X72" s="749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53"/>
      <c r="J73" s="753"/>
      <c r="K73" s="288"/>
      <c r="L73" s="389">
        <v>7</v>
      </c>
      <c r="M73" s="390" t="s">
        <v>328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56"/>
      <c r="W73" s="577"/>
      <c r="X73" s="750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53"/>
      <c r="J74" s="753"/>
      <c r="K74" s="288"/>
      <c r="L74" s="389">
        <v>7</v>
      </c>
      <c r="M74" s="390" t="s">
        <v>328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56"/>
      <c r="W74" s="577"/>
      <c r="X74" s="750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53"/>
      <c r="J75" s="753"/>
      <c r="K75" s="288"/>
      <c r="L75" s="389">
        <v>7</v>
      </c>
      <c r="M75" s="390" t="s">
        <v>328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56"/>
      <c r="W75" s="577"/>
      <c r="X75" s="750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53"/>
      <c r="J76" s="753"/>
      <c r="K76" s="288"/>
      <c r="L76" s="389">
        <v>7</v>
      </c>
      <c r="M76" s="390" t="s">
        <v>328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56"/>
      <c r="W76" s="577"/>
      <c r="X76" s="750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53"/>
      <c r="J77" s="753"/>
      <c r="K77" s="288"/>
      <c r="L77" s="389">
        <v>7</v>
      </c>
      <c r="M77" s="390" t="s">
        <v>328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56"/>
      <c r="W77" s="577"/>
      <c r="X77" s="750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53"/>
      <c r="J78" s="753"/>
      <c r="K78" s="288"/>
      <c r="L78" s="389">
        <v>7</v>
      </c>
      <c r="M78" s="390" t="s">
        <v>328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56"/>
      <c r="W78" s="577"/>
      <c r="X78" s="750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54"/>
      <c r="J79" s="754"/>
      <c r="K79" s="289"/>
      <c r="L79" s="316">
        <v>7</v>
      </c>
      <c r="M79" s="337" t="s">
        <v>328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57"/>
      <c r="W79" s="578"/>
      <c r="X79" s="751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329</v>
      </c>
      <c r="D81" s="333"/>
      <c r="E81" s="469"/>
      <c r="F81" s="422"/>
      <c r="G81" s="334"/>
      <c r="H81" s="580"/>
      <c r="I81" s="740">
        <f>D176</f>
        <v>0</v>
      </c>
      <c r="J81" s="740">
        <f>F176</f>
        <v>0</v>
      </c>
      <c r="K81" s="297"/>
      <c r="L81" s="332">
        <v>8</v>
      </c>
      <c r="M81" s="431" t="s">
        <v>330</v>
      </c>
      <c r="N81" s="333" t="s">
        <v>331</v>
      </c>
      <c r="O81" s="697">
        <v>0.3</v>
      </c>
      <c r="P81" s="422">
        <v>21138</v>
      </c>
      <c r="Q81" s="334">
        <f>O81*P81</f>
        <v>6341.4</v>
      </c>
      <c r="R81" s="746" t="s">
        <v>332</v>
      </c>
      <c r="S81" s="632" t="s">
        <v>333</v>
      </c>
      <c r="T81" s="656">
        <v>45991</v>
      </c>
      <c r="U81" s="513"/>
      <c r="V81" s="792">
        <f>J81-SUM(U81:U91)</f>
        <v>0</v>
      </c>
      <c r="W81" s="543">
        <v>45988</v>
      </c>
      <c r="X81" s="780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41"/>
      <c r="J82" s="741"/>
      <c r="K82" s="301"/>
      <c r="L82" s="322">
        <v>8</v>
      </c>
      <c r="M82" s="439" t="s">
        <v>330</v>
      </c>
      <c r="N82" s="335" t="s">
        <v>334</v>
      </c>
      <c r="O82" s="698">
        <v>0.7</v>
      </c>
      <c r="P82" s="467"/>
      <c r="Q82" s="324">
        <f>O82*P81</f>
        <v>14796.599999999999</v>
      </c>
      <c r="R82" s="748"/>
      <c r="S82" s="632" t="s">
        <v>333</v>
      </c>
      <c r="T82" s="653">
        <v>45991</v>
      </c>
      <c r="U82" s="514"/>
      <c r="V82" s="793"/>
      <c r="W82" s="674">
        <v>46021</v>
      </c>
      <c r="X82" s="781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41"/>
      <c r="J83" s="741"/>
      <c r="K83" s="301"/>
      <c r="L83" s="322">
        <v>8</v>
      </c>
      <c r="M83" s="439" t="s">
        <v>330</v>
      </c>
      <c r="N83" s="335" t="s">
        <v>335</v>
      </c>
      <c r="O83" s="697">
        <v>0.3</v>
      </c>
      <c r="P83" s="467">
        <v>22900</v>
      </c>
      <c r="Q83" s="324">
        <f>O83*P83</f>
        <v>6870</v>
      </c>
      <c r="R83" s="746" t="s">
        <v>332</v>
      </c>
      <c r="S83" s="632" t="s">
        <v>336</v>
      </c>
      <c r="T83" s="653">
        <v>45991</v>
      </c>
      <c r="U83" s="514"/>
      <c r="V83" s="793"/>
      <c r="W83" s="544">
        <v>45988</v>
      </c>
      <c r="X83" s="781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41"/>
      <c r="J84" s="741"/>
      <c r="K84" s="301"/>
      <c r="L84" s="322">
        <v>8</v>
      </c>
      <c r="M84" s="439" t="s">
        <v>330</v>
      </c>
      <c r="N84" s="335" t="s">
        <v>337</v>
      </c>
      <c r="O84" s="698">
        <v>0.7</v>
      </c>
      <c r="P84" s="467"/>
      <c r="Q84" s="324">
        <f>P83*O84</f>
        <v>16029.999999999998</v>
      </c>
      <c r="R84" s="748"/>
      <c r="S84" s="632" t="s">
        <v>336</v>
      </c>
      <c r="T84" s="653">
        <v>45991</v>
      </c>
      <c r="U84" s="514"/>
      <c r="V84" s="793"/>
      <c r="W84" s="674">
        <v>46021</v>
      </c>
      <c r="X84" s="781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41"/>
      <c r="J85" s="741"/>
      <c r="K85" s="301"/>
      <c r="L85" s="322">
        <v>8</v>
      </c>
      <c r="M85" s="439" t="s">
        <v>330</v>
      </c>
      <c r="N85" s="335" t="s">
        <v>338</v>
      </c>
      <c r="O85" s="563"/>
      <c r="P85" s="467"/>
      <c r="Q85" s="324">
        <f>20200*0.8</f>
        <v>16160</v>
      </c>
      <c r="R85" s="746" t="s">
        <v>339</v>
      </c>
      <c r="S85" s="633" t="s">
        <v>340</v>
      </c>
      <c r="T85" s="653">
        <v>46053</v>
      </c>
      <c r="U85" s="514"/>
      <c r="V85" s="793"/>
      <c r="W85" s="544">
        <v>46051</v>
      </c>
      <c r="X85" s="781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41"/>
      <c r="J86" s="741"/>
      <c r="K86" s="301"/>
      <c r="L86" s="322">
        <v>8</v>
      </c>
      <c r="M86" s="439" t="s">
        <v>330</v>
      </c>
      <c r="N86" s="335" t="s">
        <v>341</v>
      </c>
      <c r="O86" s="563"/>
      <c r="P86" s="467"/>
      <c r="Q86" s="324">
        <f>20200*0.2</f>
        <v>4040</v>
      </c>
      <c r="R86" s="748"/>
      <c r="S86" s="633" t="s">
        <v>340</v>
      </c>
      <c r="T86" s="653">
        <v>46053</v>
      </c>
      <c r="U86" s="514"/>
      <c r="V86" s="793"/>
      <c r="W86" s="581">
        <f>W85+14</f>
        <v>46065</v>
      </c>
      <c r="X86" s="781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41"/>
      <c r="J87" s="741"/>
      <c r="K87" s="301"/>
      <c r="L87" s="322">
        <v>8</v>
      </c>
      <c r="M87" s="439" t="s">
        <v>330</v>
      </c>
      <c r="N87" s="335" t="s">
        <v>342</v>
      </c>
      <c r="O87" s="563"/>
      <c r="P87" s="467"/>
      <c r="Q87" s="324">
        <f>231000*50%</f>
        <v>115500</v>
      </c>
      <c r="R87" s="746" t="s">
        <v>343</v>
      </c>
      <c r="S87" s="633" t="s">
        <v>344</v>
      </c>
      <c r="T87" s="653">
        <v>45961</v>
      </c>
      <c r="U87" s="514"/>
      <c r="V87" s="793"/>
      <c r="W87" s="544">
        <v>45939</v>
      </c>
      <c r="X87" s="781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41"/>
      <c r="J88" s="741"/>
      <c r="K88" s="301"/>
      <c r="L88" s="322">
        <v>8</v>
      </c>
      <c r="M88" s="439" t="s">
        <v>330</v>
      </c>
      <c r="N88" s="335" t="s">
        <v>342</v>
      </c>
      <c r="O88" s="563"/>
      <c r="P88" s="467"/>
      <c r="Q88" s="324">
        <f>231000*50%</f>
        <v>115500</v>
      </c>
      <c r="R88" s="748"/>
      <c r="S88" s="633" t="s">
        <v>345</v>
      </c>
      <c r="T88" s="653">
        <v>45991</v>
      </c>
      <c r="U88" s="514"/>
      <c r="V88" s="793"/>
      <c r="W88" s="674">
        <v>46009</v>
      </c>
      <c r="X88" s="781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41"/>
      <c r="J89" s="741"/>
      <c r="K89" s="301"/>
      <c r="L89" s="322">
        <v>8</v>
      </c>
      <c r="M89" s="439" t="s">
        <v>330</v>
      </c>
      <c r="N89" s="335" t="s">
        <v>346</v>
      </c>
      <c r="O89" s="563"/>
      <c r="P89" s="467"/>
      <c r="Q89" s="324">
        <f>3075+4200</f>
        <v>7275</v>
      </c>
      <c r="R89" s="596" t="s">
        <v>347</v>
      </c>
      <c r="S89" s="633" t="s">
        <v>348</v>
      </c>
      <c r="T89" s="653">
        <v>45930</v>
      </c>
      <c r="U89" s="514"/>
      <c r="V89" s="793"/>
      <c r="W89" s="683">
        <v>45932</v>
      </c>
      <c r="X89" s="781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41"/>
      <c r="J90" s="741"/>
      <c r="K90" s="301"/>
      <c r="L90" s="322">
        <v>8</v>
      </c>
      <c r="M90" s="439" t="s">
        <v>330</v>
      </c>
      <c r="N90" s="335" t="s">
        <v>349</v>
      </c>
      <c r="O90" s="563"/>
      <c r="P90" s="467"/>
      <c r="Q90" s="324">
        <v>6000</v>
      </c>
      <c r="R90" s="600"/>
      <c r="S90" s="637" t="s">
        <v>350</v>
      </c>
      <c r="T90" s="676">
        <v>45991</v>
      </c>
      <c r="U90" s="519"/>
      <c r="V90" s="793"/>
      <c r="W90" s="699">
        <v>45981</v>
      </c>
      <c r="X90" s="781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42"/>
      <c r="J91" s="742"/>
      <c r="K91" s="306"/>
      <c r="L91" s="302">
        <v>8</v>
      </c>
      <c r="M91" s="438" t="s">
        <v>330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94"/>
      <c r="W91" s="582"/>
      <c r="X91" s="782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351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352</v>
      </c>
      <c r="D93" s="327" t="s">
        <v>353</v>
      </c>
      <c r="E93" s="314"/>
      <c r="F93" s="443"/>
      <c r="G93" s="623">
        <f>D182</f>
        <v>77052.5</v>
      </c>
      <c r="H93" s="541">
        <v>45791</v>
      </c>
      <c r="I93" s="783">
        <f>SUM(G93:G104)</f>
        <v>249287.5</v>
      </c>
      <c r="J93" s="752">
        <f>F182+F183</f>
        <v>293279.4117647059</v>
      </c>
      <c r="K93" s="288"/>
      <c r="L93" s="311">
        <v>9</v>
      </c>
      <c r="M93" s="429" t="s">
        <v>354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58">
        <f>J93-SUM(U93:U104)</f>
        <v>0</v>
      </c>
      <c r="W93" s="583"/>
      <c r="X93" s="786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355</v>
      </c>
      <c r="E94" s="314"/>
      <c r="F94" s="465"/>
      <c r="G94" s="623">
        <f>D183</f>
        <v>172235</v>
      </c>
      <c r="H94" s="541">
        <v>45792</v>
      </c>
      <c r="I94" s="784"/>
      <c r="J94" s="753"/>
      <c r="K94" s="288"/>
      <c r="L94" s="311">
        <v>9</v>
      </c>
      <c r="M94" s="429" t="s">
        <v>354</v>
      </c>
      <c r="N94" s="328" t="s">
        <v>292</v>
      </c>
      <c r="O94" s="573">
        <v>308000</v>
      </c>
      <c r="P94" s="574">
        <v>0.1</v>
      </c>
      <c r="Q94" s="315">
        <f>$O$94*P94</f>
        <v>30800</v>
      </c>
      <c r="R94" s="798" t="s">
        <v>293</v>
      </c>
      <c r="S94" s="628" t="s">
        <v>294</v>
      </c>
      <c r="T94" s="646">
        <v>45808</v>
      </c>
      <c r="U94" s="665">
        <v>29327.941176470591</v>
      </c>
      <c r="V94" s="759"/>
      <c r="W94" s="541">
        <v>45792</v>
      </c>
      <c r="X94" s="787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84"/>
      <c r="J95" s="753"/>
      <c r="K95" s="288"/>
      <c r="L95" s="389">
        <v>9</v>
      </c>
      <c r="M95" s="507" t="s">
        <v>354</v>
      </c>
      <c r="N95" s="391" t="s">
        <v>101</v>
      </c>
      <c r="O95" s="556"/>
      <c r="P95" s="572">
        <v>0.15</v>
      </c>
      <c r="Q95" s="315">
        <f t="shared" ref="Q95:Q101" si="11">$O$94*P95</f>
        <v>46200</v>
      </c>
      <c r="R95" s="772"/>
      <c r="S95" s="629" t="s">
        <v>295</v>
      </c>
      <c r="T95" s="663">
        <v>45838</v>
      </c>
      <c r="U95" s="666">
        <v>43991.911764705881</v>
      </c>
      <c r="V95" s="759"/>
      <c r="W95" s="672">
        <v>45827</v>
      </c>
      <c r="X95" s="787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84"/>
      <c r="J96" s="753"/>
      <c r="K96" s="288"/>
      <c r="L96" s="389">
        <v>9</v>
      </c>
      <c r="M96" s="507" t="s">
        <v>354</v>
      </c>
      <c r="N96" s="391" t="s">
        <v>296</v>
      </c>
      <c r="O96" s="556"/>
      <c r="P96" s="572">
        <v>0.2</v>
      </c>
      <c r="Q96" s="315">
        <f t="shared" si="11"/>
        <v>61600</v>
      </c>
      <c r="R96" s="772"/>
      <c r="S96" s="629" t="s">
        <v>297</v>
      </c>
      <c r="T96" s="663">
        <v>45838</v>
      </c>
      <c r="U96" s="666">
        <v>58655.882352941182</v>
      </c>
      <c r="V96" s="759"/>
      <c r="W96" s="577">
        <v>46051</v>
      </c>
      <c r="X96" s="787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84"/>
      <c r="J97" s="753"/>
      <c r="K97" s="288"/>
      <c r="L97" s="389">
        <v>9</v>
      </c>
      <c r="M97" s="507" t="s">
        <v>354</v>
      </c>
      <c r="N97" s="391" t="s">
        <v>298</v>
      </c>
      <c r="O97" s="556"/>
      <c r="P97" s="572">
        <v>0.25</v>
      </c>
      <c r="Q97" s="315">
        <f t="shared" si="11"/>
        <v>77000</v>
      </c>
      <c r="R97" s="772"/>
      <c r="S97" s="629" t="s">
        <v>299</v>
      </c>
      <c r="T97" s="663">
        <v>45838</v>
      </c>
      <c r="U97" s="666">
        <v>73319.852941176476</v>
      </c>
      <c r="V97" s="759"/>
      <c r="W97" s="542">
        <v>45841</v>
      </c>
      <c r="X97" s="787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84"/>
      <c r="J98" s="753"/>
      <c r="K98" s="288"/>
      <c r="L98" s="389">
        <v>9</v>
      </c>
      <c r="M98" s="507" t="s">
        <v>354</v>
      </c>
      <c r="N98" s="391" t="s">
        <v>185</v>
      </c>
      <c r="O98" s="556"/>
      <c r="P98" s="572">
        <v>0.1</v>
      </c>
      <c r="Q98" s="315">
        <f t="shared" si="11"/>
        <v>30800</v>
      </c>
      <c r="R98" s="772"/>
      <c r="S98" s="629" t="s">
        <v>300</v>
      </c>
      <c r="T98" s="663">
        <v>45838</v>
      </c>
      <c r="U98" s="666">
        <v>29327.941176470591</v>
      </c>
      <c r="V98" s="759"/>
      <c r="W98" s="577">
        <f>'Project Plan'!K40+7</f>
        <v>46077</v>
      </c>
      <c r="X98" s="787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84"/>
      <c r="J99" s="753"/>
      <c r="K99" s="288"/>
      <c r="L99" s="389">
        <v>9</v>
      </c>
      <c r="M99" s="507" t="s">
        <v>354</v>
      </c>
      <c r="N99" s="391" t="s">
        <v>301</v>
      </c>
      <c r="O99" s="556"/>
      <c r="P99" s="572">
        <v>0.1</v>
      </c>
      <c r="Q99" s="315">
        <f t="shared" si="11"/>
        <v>30800</v>
      </c>
      <c r="R99" s="772"/>
      <c r="S99" s="629" t="s">
        <v>302</v>
      </c>
      <c r="T99" s="663">
        <v>45838</v>
      </c>
      <c r="U99" s="666">
        <v>29327.941176470591</v>
      </c>
      <c r="V99" s="759"/>
      <c r="W99" s="577">
        <f>'Project Plan'!K50+7</f>
        <v>46087</v>
      </c>
      <c r="X99" s="787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84"/>
      <c r="J100" s="753"/>
      <c r="K100" s="288"/>
      <c r="L100" s="389">
        <v>9</v>
      </c>
      <c r="M100" s="507" t="s">
        <v>354</v>
      </c>
      <c r="N100" s="391" t="s">
        <v>303</v>
      </c>
      <c r="O100" s="556"/>
      <c r="P100" s="572">
        <v>0.05</v>
      </c>
      <c r="Q100" s="315">
        <f t="shared" si="11"/>
        <v>15400</v>
      </c>
      <c r="R100" s="772"/>
      <c r="S100" s="629" t="s">
        <v>304</v>
      </c>
      <c r="T100" s="663">
        <v>45838</v>
      </c>
      <c r="U100" s="666">
        <v>14663.970588235296</v>
      </c>
      <c r="V100" s="759"/>
      <c r="W100" s="577">
        <f>'Project Plan'!K50+7</f>
        <v>46087</v>
      </c>
      <c r="X100" s="787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84"/>
      <c r="J101" s="753"/>
      <c r="K101" s="288"/>
      <c r="L101" s="389">
        <v>9</v>
      </c>
      <c r="M101" s="507" t="s">
        <v>354</v>
      </c>
      <c r="N101" s="391" t="s">
        <v>305</v>
      </c>
      <c r="O101" s="556"/>
      <c r="P101" s="572">
        <v>0.05</v>
      </c>
      <c r="Q101" s="315">
        <f t="shared" si="11"/>
        <v>15400</v>
      </c>
      <c r="R101" s="773"/>
      <c r="S101" s="629" t="s">
        <v>306</v>
      </c>
      <c r="T101" s="663">
        <v>45838</v>
      </c>
      <c r="U101" s="666">
        <v>14663.970588235296</v>
      </c>
      <c r="V101" s="759"/>
      <c r="W101" s="577">
        <f>'Project Plan'!K50+30</f>
        <v>46110</v>
      </c>
      <c r="X101" s="787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84"/>
      <c r="J102" s="753"/>
      <c r="K102" s="288"/>
      <c r="L102" s="389">
        <v>9</v>
      </c>
      <c r="M102" s="507" t="s">
        <v>354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59"/>
      <c r="W102" s="577"/>
      <c r="X102" s="787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84"/>
      <c r="J103" s="753"/>
      <c r="K103" s="288"/>
      <c r="L103" s="389">
        <v>9</v>
      </c>
      <c r="M103" s="507" t="s">
        <v>354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59"/>
      <c r="W103" s="577"/>
      <c r="X103" s="787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85"/>
      <c r="J104" s="754"/>
      <c r="K104" s="364"/>
      <c r="L104" s="316">
        <v>9</v>
      </c>
      <c r="M104" s="447" t="s">
        <v>354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60"/>
      <c r="W104" s="578"/>
      <c r="X104" s="788"/>
      <c r="Y104" s="488"/>
    </row>
    <row r="105" spans="1:25" ht="14.5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356</v>
      </c>
      <c r="D106" s="270" t="s">
        <v>268</v>
      </c>
      <c r="E106" s="271"/>
      <c r="F106" s="476"/>
      <c r="G106" s="338">
        <f>D186</f>
        <v>8500</v>
      </c>
      <c r="H106" s="587">
        <v>45792</v>
      </c>
      <c r="I106" s="774">
        <f>SUM(G106:G125)</f>
        <v>46350</v>
      </c>
      <c r="J106" s="774">
        <f>F186+F189+F190+F188</f>
        <v>54529.411764705881</v>
      </c>
      <c r="K106" s="339"/>
      <c r="L106" s="269">
        <v>10</v>
      </c>
      <c r="M106" s="440" t="s">
        <v>357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89">
        <f>J106-SUM(U106:U125)</f>
        <v>-4.4350124517222866E-3</v>
      </c>
      <c r="W106" s="587"/>
      <c r="X106" s="777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75"/>
      <c r="J107" s="775"/>
      <c r="K107" s="272"/>
      <c r="L107" s="340">
        <v>10</v>
      </c>
      <c r="M107" s="657" t="s">
        <v>357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90"/>
      <c r="W107" s="587"/>
      <c r="X107" s="778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75"/>
      <c r="J108" s="775"/>
      <c r="K108" s="272"/>
      <c r="L108" s="340">
        <v>10</v>
      </c>
      <c r="M108" s="657" t="s">
        <v>357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90"/>
      <c r="W108" s="587"/>
      <c r="X108" s="778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75"/>
      <c r="J109" s="775"/>
      <c r="K109" s="272"/>
      <c r="L109" s="340">
        <v>10</v>
      </c>
      <c r="M109" s="657" t="s">
        <v>357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90"/>
      <c r="W109" s="587"/>
      <c r="X109" s="778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75"/>
      <c r="J110" s="775"/>
      <c r="K110" s="272"/>
      <c r="L110" s="340">
        <v>10</v>
      </c>
      <c r="M110" s="657" t="s">
        <v>357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90"/>
      <c r="W110" s="587"/>
      <c r="X110" s="778"/>
      <c r="Y110" s="488"/>
    </row>
    <row r="111" spans="1:25" ht="14.25" customHeight="1">
      <c r="B111" s="340">
        <v>10</v>
      </c>
      <c r="C111" s="341"/>
      <c r="D111" s="341" t="s">
        <v>269</v>
      </c>
      <c r="E111" s="342"/>
      <c r="F111" s="477"/>
      <c r="G111" s="343">
        <f>D190</f>
        <v>0</v>
      </c>
      <c r="H111" s="588">
        <v>45792</v>
      </c>
      <c r="I111" s="775"/>
      <c r="J111" s="775"/>
      <c r="K111" s="272"/>
      <c r="L111" s="340">
        <v>10</v>
      </c>
      <c r="M111" s="441" t="s">
        <v>357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90"/>
      <c r="W111" s="588"/>
      <c r="X111" s="778"/>
      <c r="Y111" s="488"/>
    </row>
    <row r="112" spans="1:25" ht="14.25" customHeight="1">
      <c r="B112" s="340">
        <v>10</v>
      </c>
      <c r="C112" s="341"/>
      <c r="D112" s="341" t="s">
        <v>358</v>
      </c>
      <c r="E112" s="342"/>
      <c r="F112" s="477"/>
      <c r="G112" s="343">
        <f>D189</f>
        <v>36000</v>
      </c>
      <c r="H112" s="588">
        <v>45792</v>
      </c>
      <c r="I112" s="775"/>
      <c r="J112" s="775"/>
      <c r="K112" s="272"/>
      <c r="L112" s="340">
        <v>10</v>
      </c>
      <c r="M112" s="441" t="s">
        <v>357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90"/>
      <c r="W112" s="588"/>
      <c r="X112" s="778"/>
      <c r="Y112" s="488"/>
    </row>
    <row r="113" spans="1:25" ht="14.25" customHeight="1">
      <c r="B113" s="340">
        <v>10</v>
      </c>
      <c r="C113" s="341"/>
      <c r="D113" s="341" t="s">
        <v>270</v>
      </c>
      <c r="E113" s="342"/>
      <c r="F113" s="477"/>
      <c r="G113" s="343">
        <f>D188</f>
        <v>1850</v>
      </c>
      <c r="H113" s="588">
        <v>45792</v>
      </c>
      <c r="I113" s="775"/>
      <c r="J113" s="775"/>
      <c r="K113" s="272"/>
      <c r="L113" s="340">
        <v>10</v>
      </c>
      <c r="M113" s="441" t="s">
        <v>357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90"/>
      <c r="W113" s="588"/>
      <c r="X113" s="778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75"/>
      <c r="J114" s="775"/>
      <c r="K114" s="272"/>
      <c r="L114" s="340">
        <v>10</v>
      </c>
      <c r="M114" s="441" t="s">
        <v>357</v>
      </c>
      <c r="N114" s="341" t="s">
        <v>292</v>
      </c>
      <c r="O114" s="622">
        <v>29143.23</v>
      </c>
      <c r="P114" s="575">
        <v>0.1</v>
      </c>
      <c r="Q114" s="343">
        <f>$O$114*P114</f>
        <v>2914.3230000000003</v>
      </c>
      <c r="R114" s="795" t="s">
        <v>293</v>
      </c>
      <c r="S114" s="642" t="s">
        <v>294</v>
      </c>
      <c r="T114" s="655">
        <f>T94</f>
        <v>45808</v>
      </c>
      <c r="U114" s="671">
        <v>1525.9399855598192</v>
      </c>
      <c r="V114" s="790"/>
      <c r="W114" s="547">
        <f t="shared" ref="W114:W116" si="14">W94</f>
        <v>45792</v>
      </c>
      <c r="X114" s="778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75"/>
      <c r="J115" s="775"/>
      <c r="K115" s="272"/>
      <c r="L115" s="340">
        <v>10</v>
      </c>
      <c r="M115" s="441" t="s">
        <v>357</v>
      </c>
      <c r="N115" s="341" t="s">
        <v>101</v>
      </c>
      <c r="O115" s="568"/>
      <c r="P115" s="575">
        <v>0.15</v>
      </c>
      <c r="Q115" s="343">
        <f t="shared" ref="Q115:Q122" si="15">$O$114*P115</f>
        <v>4371.4844999999996</v>
      </c>
      <c r="R115" s="796"/>
      <c r="S115" s="642" t="s">
        <v>295</v>
      </c>
      <c r="T115" s="655">
        <v>45838</v>
      </c>
      <c r="U115" s="671">
        <v>3493.9577023597517</v>
      </c>
      <c r="V115" s="790"/>
      <c r="W115" s="673">
        <f t="shared" si="14"/>
        <v>45827</v>
      </c>
      <c r="X115" s="778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75"/>
      <c r="J116" s="775"/>
      <c r="K116" s="272"/>
      <c r="L116" s="340">
        <v>10</v>
      </c>
      <c r="M116" s="441" t="s">
        <v>357</v>
      </c>
      <c r="N116" s="341" t="s">
        <v>296</v>
      </c>
      <c r="O116" s="568"/>
      <c r="P116" s="575">
        <v>0.2</v>
      </c>
      <c r="Q116" s="343">
        <f t="shared" si="15"/>
        <v>5828.6460000000006</v>
      </c>
      <c r="R116" s="796"/>
      <c r="S116" s="642" t="s">
        <v>297</v>
      </c>
      <c r="T116" s="655">
        <v>45838</v>
      </c>
      <c r="U116" s="671">
        <v>4015.9169364796699</v>
      </c>
      <c r="V116" s="790"/>
      <c r="W116" s="589">
        <f t="shared" si="14"/>
        <v>46051</v>
      </c>
      <c r="X116" s="778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75"/>
      <c r="J117" s="775"/>
      <c r="K117" s="272"/>
      <c r="L117" s="340">
        <v>10</v>
      </c>
      <c r="M117" s="441" t="s">
        <v>357</v>
      </c>
      <c r="N117" s="341"/>
      <c r="O117" s="568"/>
      <c r="P117" s="575"/>
      <c r="Q117" s="343">
        <v>-0.01</v>
      </c>
      <c r="R117" s="796"/>
      <c r="S117" s="642" t="s">
        <v>297</v>
      </c>
      <c r="T117" s="655">
        <v>45900</v>
      </c>
      <c r="U117" s="671">
        <v>0</v>
      </c>
      <c r="V117" s="790"/>
      <c r="W117" s="547">
        <v>45900</v>
      </c>
      <c r="X117" s="778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75"/>
      <c r="J118" s="775"/>
      <c r="K118" s="272"/>
      <c r="L118" s="340">
        <v>10</v>
      </c>
      <c r="M118" s="441" t="s">
        <v>357</v>
      </c>
      <c r="N118" s="341" t="s">
        <v>298</v>
      </c>
      <c r="O118" s="568"/>
      <c r="P118" s="575">
        <v>0.25</v>
      </c>
      <c r="Q118" s="343">
        <f t="shared" si="15"/>
        <v>7285.8074999999999</v>
      </c>
      <c r="R118" s="796"/>
      <c r="S118" s="642" t="s">
        <v>299</v>
      </c>
      <c r="T118" s="655">
        <v>45838</v>
      </c>
      <c r="U118" s="671">
        <v>5019.8961705995862</v>
      </c>
      <c r="V118" s="790"/>
      <c r="W118" s="547">
        <f>W97</f>
        <v>45841</v>
      </c>
      <c r="X118" s="778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75"/>
      <c r="J119" s="775"/>
      <c r="K119" s="272"/>
      <c r="L119" s="340">
        <v>10</v>
      </c>
      <c r="M119" s="441" t="s">
        <v>357</v>
      </c>
      <c r="N119" s="341" t="s">
        <v>185</v>
      </c>
      <c r="O119" s="568"/>
      <c r="P119" s="575">
        <v>0.1</v>
      </c>
      <c r="Q119" s="343">
        <f t="shared" si="15"/>
        <v>2914.3230000000003</v>
      </c>
      <c r="R119" s="796"/>
      <c r="S119" s="642" t="s">
        <v>300</v>
      </c>
      <c r="T119" s="655">
        <v>45838</v>
      </c>
      <c r="U119" s="671">
        <v>2007.9584682398349</v>
      </c>
      <c r="V119" s="790"/>
      <c r="W119" s="589">
        <f>W98</f>
        <v>46077</v>
      </c>
      <c r="X119" s="778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75"/>
      <c r="J120" s="775"/>
      <c r="K120" s="272"/>
      <c r="L120" s="340">
        <v>10</v>
      </c>
      <c r="M120" s="441" t="s">
        <v>357</v>
      </c>
      <c r="N120" s="341" t="s">
        <v>301</v>
      </c>
      <c r="O120" s="568"/>
      <c r="P120" s="575">
        <v>0.1</v>
      </c>
      <c r="Q120" s="343">
        <f t="shared" si="15"/>
        <v>2914.3230000000003</v>
      </c>
      <c r="R120" s="796"/>
      <c r="S120" s="642" t="s">
        <v>302</v>
      </c>
      <c r="T120" s="655">
        <v>45838</v>
      </c>
      <c r="U120" s="671">
        <v>2007.9584682398349</v>
      </c>
      <c r="V120" s="790"/>
      <c r="W120" s="589">
        <f>W99</f>
        <v>46087</v>
      </c>
      <c r="X120" s="778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75"/>
      <c r="J121" s="775"/>
      <c r="K121" s="272"/>
      <c r="L121" s="340">
        <v>10</v>
      </c>
      <c r="M121" s="441" t="s">
        <v>357</v>
      </c>
      <c r="N121" s="341" t="s">
        <v>303</v>
      </c>
      <c r="O121" s="568"/>
      <c r="P121" s="575">
        <v>0.05</v>
      </c>
      <c r="Q121" s="343">
        <f t="shared" si="15"/>
        <v>1457.1615000000002</v>
      </c>
      <c r="R121" s="796"/>
      <c r="S121" s="642" t="s">
        <v>304</v>
      </c>
      <c r="T121" s="655">
        <v>45838</v>
      </c>
      <c r="U121" s="671">
        <v>1003.9792341199175</v>
      </c>
      <c r="V121" s="790"/>
      <c r="W121" s="589">
        <f>W100</f>
        <v>46087</v>
      </c>
      <c r="X121" s="778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75"/>
      <c r="J122" s="775"/>
      <c r="K122" s="272"/>
      <c r="L122" s="340">
        <v>10</v>
      </c>
      <c r="M122" s="441" t="s">
        <v>357</v>
      </c>
      <c r="N122" s="341" t="s">
        <v>305</v>
      </c>
      <c r="O122" s="568"/>
      <c r="P122" s="575">
        <v>0.05</v>
      </c>
      <c r="Q122" s="343">
        <f t="shared" si="15"/>
        <v>1457.1615000000002</v>
      </c>
      <c r="R122" s="797"/>
      <c r="S122" s="642" t="s">
        <v>306</v>
      </c>
      <c r="T122" s="655">
        <v>45838</v>
      </c>
      <c r="U122" s="671">
        <v>1003.9792341199175</v>
      </c>
      <c r="V122" s="790"/>
      <c r="W122" s="589">
        <f>W101</f>
        <v>46110</v>
      </c>
      <c r="X122" s="778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75"/>
      <c r="J123" s="775"/>
      <c r="K123" s="272"/>
      <c r="L123" s="340">
        <v>10</v>
      </c>
      <c r="M123" s="441" t="s">
        <v>357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90"/>
      <c r="W123" s="589"/>
      <c r="X123" s="778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75"/>
      <c r="J124" s="775"/>
      <c r="K124" s="272"/>
      <c r="L124" s="340">
        <v>10</v>
      </c>
      <c r="M124" s="441" t="s">
        <v>357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90"/>
      <c r="W124" s="589"/>
      <c r="X124" s="778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76"/>
      <c r="J125" s="776"/>
      <c r="K125" s="275"/>
      <c r="L125" s="273">
        <v>10</v>
      </c>
      <c r="M125" s="442" t="s">
        <v>357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91"/>
      <c r="W125" s="590"/>
      <c r="X125" s="779"/>
      <c r="Y125" s="488"/>
    </row>
    <row r="126" spans="1:25" ht="14.5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359</v>
      </c>
      <c r="D127" s="351" t="s">
        <v>360</v>
      </c>
      <c r="E127" s="283"/>
      <c r="F127" s="443"/>
      <c r="G127" s="284">
        <v>11000</v>
      </c>
      <c r="H127" s="648">
        <v>45756</v>
      </c>
      <c r="I127" s="752">
        <f>SUM(G127:G131)</f>
        <v>29000</v>
      </c>
      <c r="J127" s="752">
        <f>F185</f>
        <v>34117.647058823532</v>
      </c>
      <c r="K127" s="285"/>
      <c r="L127" s="281">
        <v>11</v>
      </c>
      <c r="M127" s="351" t="s">
        <v>361</v>
      </c>
      <c r="N127" s="351" t="s">
        <v>360</v>
      </c>
      <c r="O127" s="283"/>
      <c r="P127" s="443"/>
      <c r="Q127" s="284">
        <v>8458.18</v>
      </c>
      <c r="R127" s="598"/>
      <c r="S127" s="635" t="s">
        <v>362</v>
      </c>
      <c r="T127" s="654">
        <v>45869</v>
      </c>
      <c r="U127" s="670">
        <v>13975.052805188438</v>
      </c>
      <c r="V127" s="758">
        <f>J127-SUM(U127:U131)</f>
        <v>-1.6566179692745209E-4</v>
      </c>
      <c r="W127" s="583">
        <f>'Project Plan'!K40+14</f>
        <v>46084</v>
      </c>
      <c r="X127" s="749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363</v>
      </c>
      <c r="E128" s="314"/>
      <c r="F128" s="465"/>
      <c r="G128" s="315">
        <v>18000</v>
      </c>
      <c r="H128" s="648">
        <v>45757</v>
      </c>
      <c r="I128" s="753"/>
      <c r="J128" s="753"/>
      <c r="K128" s="288"/>
      <c r="L128" s="311">
        <v>11</v>
      </c>
      <c r="M128" s="395" t="s">
        <v>361</v>
      </c>
      <c r="N128" s="313" t="s">
        <v>363</v>
      </c>
      <c r="O128" s="314"/>
      <c r="P128" s="465"/>
      <c r="Q128" s="315">
        <v>8212.24</v>
      </c>
      <c r="R128" s="591" t="s">
        <v>364</v>
      </c>
      <c r="S128" s="628" t="s">
        <v>365</v>
      </c>
      <c r="T128" s="647">
        <v>45777</v>
      </c>
      <c r="U128" s="651">
        <v>11112.947754041408</v>
      </c>
      <c r="V128" s="759"/>
      <c r="W128" s="648">
        <v>45757</v>
      </c>
      <c r="X128" s="750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53"/>
      <c r="J129" s="753"/>
      <c r="K129" s="288"/>
      <c r="L129" s="311">
        <v>11</v>
      </c>
      <c r="M129" s="395" t="s">
        <v>361</v>
      </c>
      <c r="N129" s="393" t="s">
        <v>366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59"/>
      <c r="W129" s="576">
        <f>T129+30</f>
        <v>46111</v>
      </c>
      <c r="X129" s="750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53"/>
      <c r="J130" s="753"/>
      <c r="K130" s="288"/>
      <c r="L130" s="311">
        <v>11</v>
      </c>
      <c r="M130" s="395" t="s">
        <v>361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59"/>
      <c r="W130" s="577"/>
      <c r="X130" s="750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54"/>
      <c r="J131" s="754"/>
      <c r="K131" s="289"/>
      <c r="L131" s="316">
        <v>11</v>
      </c>
      <c r="M131" s="425" t="s">
        <v>361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60"/>
      <c r="W131" s="578"/>
      <c r="X131" s="751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367</v>
      </c>
      <c r="D133" s="270" t="s">
        <v>368</v>
      </c>
      <c r="E133" s="271"/>
      <c r="F133" s="476"/>
      <c r="G133" s="338">
        <v>44884.278651112254</v>
      </c>
      <c r="H133" s="648">
        <v>45762</v>
      </c>
      <c r="I133" s="774">
        <f>SUM(G133:G134)</f>
        <v>53861.134381334705</v>
      </c>
      <c r="J133" s="774">
        <v>0</v>
      </c>
      <c r="K133" s="799"/>
      <c r="L133" s="269">
        <v>12</v>
      </c>
      <c r="M133" s="270" t="s">
        <v>369</v>
      </c>
      <c r="N133" s="270" t="s">
        <v>368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77">
        <f>SUM(Q133:Q134)</f>
        <v>0</v>
      </c>
      <c r="Y133" s="488"/>
    </row>
    <row r="134" spans="1:25" ht="15" customHeight="1" thickBot="1">
      <c r="B134" s="273">
        <v>12</v>
      </c>
      <c r="C134" s="344" t="s">
        <v>367</v>
      </c>
      <c r="D134" s="344" t="s">
        <v>370</v>
      </c>
      <c r="E134" s="345"/>
      <c r="F134" s="478"/>
      <c r="G134" s="274">
        <v>8976.855730222449</v>
      </c>
      <c r="H134" s="648">
        <v>45763</v>
      </c>
      <c r="I134" s="776"/>
      <c r="J134" s="776"/>
      <c r="K134" s="800"/>
      <c r="L134" s="273">
        <v>12</v>
      </c>
      <c r="M134" s="344" t="s">
        <v>369</v>
      </c>
      <c r="N134" s="344" t="s">
        <v>370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79"/>
      <c r="Y134" s="488"/>
    </row>
    <row r="135" spans="1:25" ht="14.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371</v>
      </c>
      <c r="D136" s="351" t="s">
        <v>372</v>
      </c>
      <c r="E136" s="283"/>
      <c r="F136" s="443"/>
      <c r="G136" s="284">
        <v>24983.540451086956</v>
      </c>
      <c r="H136" s="648">
        <v>45765</v>
      </c>
      <c r="I136" s="752">
        <f>SUM(G136:G140)</f>
        <v>93383.540451086956</v>
      </c>
      <c r="J136" s="752">
        <f>F184</f>
        <v>106117.6596035079</v>
      </c>
      <c r="K136" s="285"/>
      <c r="L136" s="281">
        <v>13</v>
      </c>
      <c r="M136" s="351" t="s">
        <v>373</v>
      </c>
      <c r="N136" s="351" t="s">
        <v>374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58">
        <f>J136-SUM(U136:U141)</f>
        <v>0</v>
      </c>
      <c r="W136" s="583">
        <f>T136+30</f>
        <v>46111</v>
      </c>
      <c r="X136" s="749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375</v>
      </c>
      <c r="E137" s="314"/>
      <c r="F137" s="465"/>
      <c r="G137" s="315">
        <v>12000</v>
      </c>
      <c r="H137" s="648">
        <v>45766</v>
      </c>
      <c r="I137" s="753"/>
      <c r="J137" s="753"/>
      <c r="K137" s="288"/>
      <c r="L137" s="311">
        <v>13</v>
      </c>
      <c r="M137" s="395" t="s">
        <v>373</v>
      </c>
      <c r="N137" s="313" t="s">
        <v>375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59"/>
      <c r="W137" s="576">
        <f>W136</f>
        <v>46111</v>
      </c>
      <c r="X137" s="750"/>
      <c r="Y137" s="488"/>
    </row>
    <row r="138" spans="1:25" ht="15.75" customHeight="1">
      <c r="B138" s="311">
        <v>13</v>
      </c>
      <c r="C138" s="313"/>
      <c r="D138" s="313" t="s">
        <v>376</v>
      </c>
      <c r="E138" s="314"/>
      <c r="F138" s="465"/>
      <c r="G138" s="315">
        <v>27200</v>
      </c>
      <c r="H138" s="648">
        <v>45767</v>
      </c>
      <c r="I138" s="753"/>
      <c r="J138" s="753"/>
      <c r="K138" s="288"/>
      <c r="L138" s="311">
        <v>13</v>
      </c>
      <c r="M138" s="395" t="s">
        <v>373</v>
      </c>
      <c r="N138" s="313" t="s">
        <v>376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59"/>
      <c r="W138" s="576">
        <f>W136</f>
        <v>46111</v>
      </c>
      <c r="X138" s="750"/>
      <c r="Y138" s="488"/>
    </row>
    <row r="139" spans="1:25" ht="15.75" customHeight="1">
      <c r="B139" s="311">
        <v>13</v>
      </c>
      <c r="C139" s="313"/>
      <c r="D139" s="313" t="s">
        <v>377</v>
      </c>
      <c r="E139" s="314"/>
      <c r="F139" s="465"/>
      <c r="G139" s="315">
        <v>15600</v>
      </c>
      <c r="H139" s="648">
        <v>45768</v>
      </c>
      <c r="I139" s="753"/>
      <c r="J139" s="753"/>
      <c r="K139" s="288"/>
      <c r="L139" s="311">
        <v>13</v>
      </c>
      <c r="M139" s="395" t="s">
        <v>373</v>
      </c>
      <c r="N139" s="313" t="s">
        <v>377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59"/>
      <c r="W139" s="576">
        <f>W136</f>
        <v>46111</v>
      </c>
      <c r="X139" s="750"/>
      <c r="Y139" s="488"/>
    </row>
    <row r="140" spans="1:25" ht="15.75" customHeight="1">
      <c r="B140" s="311">
        <v>13</v>
      </c>
      <c r="C140" s="313"/>
      <c r="D140" s="313" t="s">
        <v>378</v>
      </c>
      <c r="E140" s="314"/>
      <c r="F140" s="465"/>
      <c r="G140" s="315">
        <v>13600</v>
      </c>
      <c r="H140" s="648">
        <v>45769</v>
      </c>
      <c r="I140" s="753"/>
      <c r="J140" s="753"/>
      <c r="K140" s="288"/>
      <c r="L140" s="311">
        <v>13</v>
      </c>
      <c r="M140" s="395" t="s">
        <v>373</v>
      </c>
      <c r="N140" s="313" t="s">
        <v>378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59"/>
      <c r="W140" s="576">
        <f>W136</f>
        <v>46111</v>
      </c>
      <c r="X140" s="750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54"/>
      <c r="J141" s="754"/>
      <c r="K141" s="364"/>
      <c r="L141" s="316">
        <v>13</v>
      </c>
      <c r="M141" s="425" t="s">
        <v>373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60"/>
      <c r="W141" s="578"/>
      <c r="X141" s="751"/>
      <c r="Y141" s="488"/>
    </row>
    <row r="142" spans="1:25" ht="14.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379</v>
      </c>
      <c r="D143" s="270" t="s">
        <v>380</v>
      </c>
      <c r="E143" s="271"/>
      <c r="F143" s="476"/>
      <c r="G143" s="338">
        <v>5250</v>
      </c>
      <c r="H143" s="650">
        <v>45785</v>
      </c>
      <c r="I143" s="774">
        <f>SUM(G143:G154)</f>
        <v>5250</v>
      </c>
      <c r="J143" s="774">
        <f>F195</f>
        <v>6176.4705882352937</v>
      </c>
      <c r="K143" s="339"/>
      <c r="L143" s="269">
        <v>14</v>
      </c>
      <c r="M143" s="440" t="s">
        <v>381</v>
      </c>
      <c r="N143" s="270" t="s">
        <v>382</v>
      </c>
      <c r="O143" s="567"/>
      <c r="P143" s="476"/>
      <c r="Q143" s="338">
        <v>2352.17</v>
      </c>
      <c r="R143" s="604"/>
      <c r="S143" s="640" t="s">
        <v>383</v>
      </c>
      <c r="T143" s="649">
        <v>45777</v>
      </c>
      <c r="U143" s="652">
        <v>2052.8133171210261</v>
      </c>
      <c r="V143" s="789">
        <f>J143-SUM(U143:U154)</f>
        <v>-1.9696377448781277E-3</v>
      </c>
      <c r="W143" s="650">
        <v>45785</v>
      </c>
      <c r="X143" s="777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75"/>
      <c r="J144" s="775"/>
      <c r="K144" s="272"/>
      <c r="L144" s="340">
        <v>14</v>
      </c>
      <c r="M144" s="441" t="s">
        <v>381</v>
      </c>
      <c r="N144" s="341" t="s">
        <v>382</v>
      </c>
      <c r="O144" s="568"/>
      <c r="P144" s="477"/>
      <c r="Q144" s="343">
        <v>0</v>
      </c>
      <c r="R144" s="606"/>
      <c r="S144" s="642" t="s">
        <v>384</v>
      </c>
      <c r="T144" s="655">
        <v>45808</v>
      </c>
      <c r="U144" s="523">
        <v>0</v>
      </c>
      <c r="V144" s="790"/>
      <c r="W144" s="547">
        <v>45808</v>
      </c>
      <c r="X144" s="778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75"/>
      <c r="J145" s="775"/>
      <c r="K145" s="272"/>
      <c r="L145" s="340">
        <v>14</v>
      </c>
      <c r="M145" s="441" t="s">
        <v>381</v>
      </c>
      <c r="N145" s="341" t="s">
        <v>382</v>
      </c>
      <c r="O145" s="568"/>
      <c r="P145" s="477"/>
      <c r="Q145" s="343">
        <v>2345.52</v>
      </c>
      <c r="R145" s="606"/>
      <c r="S145" s="642" t="s">
        <v>384</v>
      </c>
      <c r="T145" s="677">
        <v>45838</v>
      </c>
      <c r="U145" s="671">
        <v>1348.7569812424897</v>
      </c>
      <c r="V145" s="790"/>
      <c r="W145" s="678">
        <v>45842</v>
      </c>
      <c r="X145" s="778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75"/>
      <c r="J146" s="775"/>
      <c r="K146" s="272"/>
      <c r="L146" s="340">
        <v>14</v>
      </c>
      <c r="M146" s="441" t="s">
        <v>381</v>
      </c>
      <c r="N146" s="341" t="s">
        <v>382</v>
      </c>
      <c r="O146" s="568"/>
      <c r="P146" s="477"/>
      <c r="Q146" s="343">
        <v>685.44</v>
      </c>
      <c r="R146" s="606"/>
      <c r="S146" s="642" t="s">
        <v>384</v>
      </c>
      <c r="T146" s="655">
        <v>45869</v>
      </c>
      <c r="U146" s="671">
        <v>716.57191023217149</v>
      </c>
      <c r="V146" s="790"/>
      <c r="W146" s="547">
        <v>45876</v>
      </c>
      <c r="X146" s="778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75"/>
      <c r="J147" s="775"/>
      <c r="K147" s="272"/>
      <c r="L147" s="340">
        <v>14</v>
      </c>
      <c r="M147" s="441" t="s">
        <v>381</v>
      </c>
      <c r="N147" s="341" t="s">
        <v>382</v>
      </c>
      <c r="O147" s="568"/>
      <c r="P147" s="477"/>
      <c r="Q147" s="343">
        <v>0</v>
      </c>
      <c r="R147" s="606"/>
      <c r="S147" s="642" t="s">
        <v>384</v>
      </c>
      <c r="T147" s="687">
        <f t="shared" ref="T147:T151" si="17">IF(W147&gt;1,EOMONTH(W147,0),"")</f>
        <v>45900</v>
      </c>
      <c r="U147" s="696">
        <v>0</v>
      </c>
      <c r="V147" s="790"/>
      <c r="W147" s="673">
        <v>45900</v>
      </c>
      <c r="X147" s="778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75"/>
      <c r="J148" s="775"/>
      <c r="K148" s="272"/>
      <c r="L148" s="340">
        <v>14</v>
      </c>
      <c r="M148" s="441" t="s">
        <v>381</v>
      </c>
      <c r="N148" s="341" t="s">
        <v>382</v>
      </c>
      <c r="O148" s="568"/>
      <c r="P148" s="477"/>
      <c r="Q148" s="343">
        <v>0</v>
      </c>
      <c r="R148" s="684"/>
      <c r="S148" s="642" t="s">
        <v>384</v>
      </c>
      <c r="T148" s="687">
        <f t="shared" si="17"/>
        <v>45930</v>
      </c>
      <c r="U148" s="696">
        <v>0</v>
      </c>
      <c r="V148" s="790"/>
      <c r="W148" s="673">
        <v>45930</v>
      </c>
      <c r="X148" s="778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75"/>
      <c r="J149" s="775"/>
      <c r="K149" s="272"/>
      <c r="L149" s="340">
        <v>14</v>
      </c>
      <c r="M149" s="441" t="s">
        <v>381</v>
      </c>
      <c r="N149" s="341" t="s">
        <v>382</v>
      </c>
      <c r="O149" s="568"/>
      <c r="P149" s="477"/>
      <c r="Q149" s="343">
        <v>631.17999999999995</v>
      </c>
      <c r="R149" s="684"/>
      <c r="S149" s="642" t="s">
        <v>384</v>
      </c>
      <c r="T149" s="687">
        <v>45961</v>
      </c>
      <c r="U149" s="696">
        <v>647.88276598663288</v>
      </c>
      <c r="V149" s="790"/>
      <c r="W149" s="673">
        <v>45967</v>
      </c>
      <c r="X149" s="778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75"/>
      <c r="J150" s="775"/>
      <c r="K150" s="272"/>
      <c r="L150" s="340">
        <v>14</v>
      </c>
      <c r="M150" s="441" t="s">
        <v>381</v>
      </c>
      <c r="N150" s="341" t="s">
        <v>382</v>
      </c>
      <c r="O150" s="568"/>
      <c r="P150" s="477"/>
      <c r="Q150" s="343">
        <v>0</v>
      </c>
      <c r="R150" s="606"/>
      <c r="S150" s="642" t="s">
        <v>384</v>
      </c>
      <c r="T150" s="687">
        <v>45991</v>
      </c>
      <c r="U150" s="696">
        <v>0</v>
      </c>
      <c r="V150" s="790"/>
      <c r="W150" s="673">
        <v>45991</v>
      </c>
      <c r="X150" s="778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75"/>
      <c r="J151" s="775"/>
      <c r="K151" s="272"/>
      <c r="L151" s="340">
        <v>14</v>
      </c>
      <c r="M151" s="441" t="s">
        <v>381</v>
      </c>
      <c r="N151" s="341" t="s">
        <v>382</v>
      </c>
      <c r="O151" s="568"/>
      <c r="P151" s="477"/>
      <c r="Q151" s="343">
        <v>0</v>
      </c>
      <c r="R151" s="606"/>
      <c r="S151" s="642" t="s">
        <v>384</v>
      </c>
      <c r="T151" s="687">
        <f t="shared" si="17"/>
        <v>46022</v>
      </c>
      <c r="U151" s="696">
        <v>0</v>
      </c>
      <c r="V151" s="790"/>
      <c r="W151" s="673">
        <v>46021</v>
      </c>
      <c r="X151" s="778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75"/>
      <c r="J152" s="775"/>
      <c r="K152" s="272"/>
      <c r="L152" s="340">
        <v>14</v>
      </c>
      <c r="M152" s="441" t="s">
        <v>381</v>
      </c>
      <c r="N152" s="341" t="s">
        <v>382</v>
      </c>
      <c r="O152" s="568"/>
      <c r="P152" s="477"/>
      <c r="Q152" s="343">
        <v>0</v>
      </c>
      <c r="R152" s="606"/>
      <c r="S152" s="642" t="s">
        <v>384</v>
      </c>
      <c r="T152" s="687">
        <v>46053</v>
      </c>
      <c r="U152" s="696">
        <f>(Q152/$X$143*$J$143)</f>
        <v>0</v>
      </c>
      <c r="V152" s="790"/>
      <c r="W152" s="589">
        <v>46079</v>
      </c>
      <c r="X152" s="778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75"/>
      <c r="J153" s="775"/>
      <c r="K153" s="272"/>
      <c r="L153" s="340">
        <v>14</v>
      </c>
      <c r="M153" s="441" t="s">
        <v>381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90"/>
      <c r="W153" s="589">
        <f>T153+7</f>
        <v>46088</v>
      </c>
      <c r="X153" s="778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76"/>
      <c r="J154" s="776"/>
      <c r="K154" s="275"/>
      <c r="L154" s="273">
        <v>14</v>
      </c>
      <c r="M154" s="442" t="s">
        <v>381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91"/>
      <c r="W154" s="590"/>
      <c r="X154" s="779"/>
      <c r="Y154" s="488"/>
    </row>
    <row r="155" spans="1:25" ht="14.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385</v>
      </c>
      <c r="D156" s="282" t="s">
        <v>386</v>
      </c>
      <c r="E156" s="283"/>
      <c r="F156" s="443"/>
      <c r="G156" s="284">
        <f>D192</f>
        <v>300000</v>
      </c>
      <c r="H156" s="545">
        <v>45827</v>
      </c>
      <c r="I156" s="752">
        <f>SUM(G156:G167)</f>
        <v>300000</v>
      </c>
      <c r="J156" s="752">
        <f>F192</f>
        <v>300000</v>
      </c>
      <c r="K156" s="285"/>
      <c r="L156" s="281">
        <v>15</v>
      </c>
      <c r="M156" s="351" t="s">
        <v>387</v>
      </c>
      <c r="N156" s="282" t="s">
        <v>388</v>
      </c>
      <c r="O156" s="283"/>
      <c r="P156" s="443"/>
      <c r="Q156" s="284">
        <f>404000/2</f>
        <v>202000</v>
      </c>
      <c r="R156" s="675"/>
      <c r="S156" s="635" t="s">
        <v>389</v>
      </c>
      <c r="T156" s="654">
        <v>45838</v>
      </c>
      <c r="U156" s="670">
        <v>141258.74125874127</v>
      </c>
      <c r="V156" s="758">
        <f>J156-SUM(U156:U167)</f>
        <v>0</v>
      </c>
      <c r="W156" s="545">
        <v>45827</v>
      </c>
      <c r="X156" s="749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53"/>
      <c r="J157" s="753"/>
      <c r="K157" s="288"/>
      <c r="L157" s="311">
        <v>15</v>
      </c>
      <c r="M157" s="395" t="s">
        <v>387</v>
      </c>
      <c r="N157" s="313" t="s">
        <v>390</v>
      </c>
      <c r="O157" s="555"/>
      <c r="P157" s="465"/>
      <c r="Q157" s="315">
        <v>202000</v>
      </c>
      <c r="R157" s="591"/>
      <c r="S157" s="628" t="s">
        <v>389</v>
      </c>
      <c r="T157" s="646">
        <v>45838</v>
      </c>
      <c r="U157" s="665">
        <v>141258.74125874127</v>
      </c>
      <c r="V157" s="759"/>
      <c r="W157" s="576">
        <f>'Project Plan'!K40+7</f>
        <v>46077</v>
      </c>
      <c r="X157" s="750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53"/>
      <c r="J158" s="753"/>
      <c r="K158" s="288"/>
      <c r="L158" s="311">
        <v>15</v>
      </c>
      <c r="M158" s="395" t="s">
        <v>387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59"/>
      <c r="W158" s="576"/>
      <c r="X158" s="750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53"/>
      <c r="J159" s="753"/>
      <c r="K159" s="288"/>
      <c r="L159" s="311">
        <v>15</v>
      </c>
      <c r="M159" s="395" t="s">
        <v>387</v>
      </c>
      <c r="N159" s="313" t="s">
        <v>391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59"/>
      <c r="W159" s="648">
        <v>45930</v>
      </c>
      <c r="X159" s="750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53"/>
      <c r="J160" s="753"/>
      <c r="K160" s="288"/>
      <c r="L160" s="311">
        <v>15</v>
      </c>
      <c r="M160" s="395" t="s">
        <v>387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59"/>
      <c r="W160" s="576"/>
      <c r="X160" s="750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53"/>
      <c r="J161" s="753"/>
      <c r="K161" s="288"/>
      <c r="L161" s="311">
        <v>15</v>
      </c>
      <c r="M161" s="395" t="s">
        <v>387</v>
      </c>
      <c r="N161" s="313" t="s">
        <v>392</v>
      </c>
      <c r="O161" s="711">
        <v>0.5</v>
      </c>
      <c r="P161" s="712">
        <v>60768.74</v>
      </c>
      <c r="Q161" s="315">
        <f>O161*P161</f>
        <v>30384.37</v>
      </c>
      <c r="R161" s="798" t="s">
        <v>393</v>
      </c>
      <c r="S161" s="628" t="s">
        <v>394</v>
      </c>
      <c r="T161" s="646">
        <v>46081</v>
      </c>
      <c r="U161" s="509"/>
      <c r="V161" s="759"/>
      <c r="W161" s="541">
        <v>46066</v>
      </c>
      <c r="X161" s="750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53"/>
      <c r="J162" s="753"/>
      <c r="K162" s="288"/>
      <c r="L162" s="311">
        <v>15</v>
      </c>
      <c r="M162" s="395" t="s">
        <v>387</v>
      </c>
      <c r="N162" s="313"/>
      <c r="O162" s="555"/>
      <c r="P162" s="465"/>
      <c r="Q162" s="315">
        <f>O161*P161</f>
        <v>30384.37</v>
      </c>
      <c r="R162" s="773"/>
      <c r="S162" s="628" t="s">
        <v>515</v>
      </c>
      <c r="T162" s="646">
        <v>46081</v>
      </c>
      <c r="U162" s="509"/>
      <c r="V162" s="759"/>
      <c r="W162" s="576">
        <f>W161+7</f>
        <v>46073</v>
      </c>
      <c r="X162" s="750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53"/>
      <c r="J163" s="753"/>
      <c r="K163" s="288"/>
      <c r="L163" s="311">
        <v>15</v>
      </c>
      <c r="M163" s="395" t="s">
        <v>387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59"/>
      <c r="W163" s="576"/>
      <c r="X163" s="750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53"/>
      <c r="J164" s="753"/>
      <c r="K164" s="288"/>
      <c r="L164" s="311">
        <v>15</v>
      </c>
      <c r="M164" s="395" t="s">
        <v>387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59"/>
      <c r="W164" s="576"/>
      <c r="X164" s="750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53"/>
      <c r="J165" s="753"/>
      <c r="K165" s="288"/>
      <c r="L165" s="311">
        <v>15</v>
      </c>
      <c r="M165" s="395" t="s">
        <v>387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59"/>
      <c r="W165" s="576"/>
      <c r="X165" s="750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53"/>
      <c r="J166" s="753"/>
      <c r="K166" s="288"/>
      <c r="L166" s="311">
        <v>15</v>
      </c>
      <c r="M166" s="395" t="s">
        <v>387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59"/>
      <c r="W166" s="576"/>
      <c r="X166" s="750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54"/>
      <c r="J167" s="754"/>
      <c r="K167" s="289"/>
      <c r="L167" s="316">
        <v>15</v>
      </c>
      <c r="M167" s="425" t="s">
        <v>387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60"/>
      <c r="W167" s="578"/>
      <c r="X167" s="751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395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396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397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291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322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308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398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399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400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401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402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403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404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405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406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407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408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409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410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411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412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413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400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414</v>
      </c>
      <c r="D194" s="645"/>
      <c r="E194" s="549"/>
      <c r="F194" s="645"/>
      <c r="I194" s="256"/>
      <c r="J194" s="256"/>
    </row>
    <row r="195" spans="3:10" s="112" customFormat="1">
      <c r="C195" s="645" t="s">
        <v>415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  <mergeCell ref="X133:X134"/>
    <mergeCell ref="V127:V131"/>
    <mergeCell ref="I127:I131"/>
    <mergeCell ref="J127:J131"/>
    <mergeCell ref="X127:X131"/>
    <mergeCell ref="R87:R88"/>
    <mergeCell ref="R83:R84"/>
    <mergeCell ref="R85:R86"/>
    <mergeCell ref="I133:I134"/>
    <mergeCell ref="J133:J134"/>
    <mergeCell ref="K133:K134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X6:X12"/>
    <mergeCell ref="V6:V12"/>
    <mergeCell ref="V14:V20"/>
    <mergeCell ref="V22:V27"/>
    <mergeCell ref="V29:V43"/>
    <mergeCell ref="X22:X27"/>
    <mergeCell ref="B2:G2"/>
    <mergeCell ref="L2:Q2"/>
    <mergeCell ref="I6:I12"/>
    <mergeCell ref="J6:J12"/>
    <mergeCell ref="R2:W2"/>
    <mergeCell ref="R6:R8"/>
    <mergeCell ref="I14:I20"/>
    <mergeCell ref="J14:J20"/>
    <mergeCell ref="X14:X20"/>
    <mergeCell ref="I22:I27"/>
    <mergeCell ref="J22:J27"/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416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1" t="s">
        <v>417</v>
      </c>
      <c r="B2" s="192"/>
      <c r="C2" s="193" t="s">
        <v>245</v>
      </c>
      <c r="D2" s="193" t="s">
        <v>245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5" t="s">
        <v>164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134827.25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2"/>
      <c r="B4" s="195" t="s">
        <v>418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2"/>
      <c r="B5" s="199" t="s">
        <v>166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2"/>
      <c r="B6" s="199" t="s">
        <v>419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2"/>
      <c r="B7" s="204" t="s">
        <v>420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01" t="s">
        <v>155</v>
      </c>
      <c r="B8" s="192"/>
      <c r="C8" s="193" t="s">
        <v>245</v>
      </c>
      <c r="D8" s="193" t="s">
        <v>245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9" t="s">
        <v>421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1078618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134827.25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2"/>
      <c r="B10" s="209" t="s">
        <v>422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2561717.75</v>
      </c>
      <c r="BL10" s="211">
        <f t="shared" si="21"/>
        <v>2561717.75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2"/>
      <c r="B11" s="212" t="s">
        <v>423</v>
      </c>
      <c r="C11" s="213">
        <f>'Revenue Tracking'!F5</f>
        <v>2523865.0225</v>
      </c>
      <c r="D11" s="213">
        <f>SUM(F11:LD11)</f>
        <v>2523865.0225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120971.976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34424.369999999995</v>
      </c>
      <c r="BJ11" s="214">
        <f>SUMIFS('Expenditure Breakdown'!$Q$6:$Q$175, 'Expenditure Breakdown'!$W$6:$W$175, "&gt;="&amp;BJ1,'Expenditure Breakdown'!$W$6:$W$175, "&lt;"&amp;BK1)</f>
        <v>30384.37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87767.162000000011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26202.993999999999</v>
      </c>
      <c r="BP11" s="214">
        <f>SUMIFS('Expenditure Breakdown'!$Q$6:$Q$175, 'Expenditure Breakdown'!$W$6:$W$175, "&gt;="&amp;BP1,'Expenditure Breakdown'!$W$6:$W$175, "&lt;"&amp;BQ1)</f>
        <v>39706.8125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2"/>
      <c r="B12" s="212" t="s">
        <v>424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2085397.696</v>
      </c>
      <c r="BJ12" s="214">
        <f t="shared" si="26"/>
        <v>2115782.0660000001</v>
      </c>
      <c r="BK12" s="214">
        <f t="shared" si="26"/>
        <v>2370188.054</v>
      </c>
      <c r="BL12" s="214">
        <f t="shared" si="26"/>
        <v>2457955.216</v>
      </c>
      <c r="BM12" s="214">
        <f t="shared" si="26"/>
        <v>2457955.216</v>
      </c>
      <c r="BN12" s="214">
        <f t="shared" si="26"/>
        <v>2457955.216</v>
      </c>
      <c r="BO12" s="214">
        <f t="shared" si="26"/>
        <v>2484158.21</v>
      </c>
      <c r="BP12" s="214">
        <f t="shared" si="26"/>
        <v>2523865.0225</v>
      </c>
      <c r="BQ12" s="214">
        <f t="shared" si="26"/>
        <v>2523865.0225</v>
      </c>
      <c r="BR12" s="214">
        <f t="shared" si="26"/>
        <v>2523865.0225</v>
      </c>
      <c r="BS12" s="214">
        <f t="shared" si="26"/>
        <v>2523865.0225</v>
      </c>
      <c r="BT12" s="214">
        <f t="shared" si="26"/>
        <v>2523865.0225</v>
      </c>
      <c r="BU12" s="214">
        <f t="shared" ref="BU12:EF12" si="27">BT12+BU11</f>
        <v>2523865.0225</v>
      </c>
      <c r="BV12" s="214">
        <f t="shared" si="27"/>
        <v>2523865.0225</v>
      </c>
      <c r="BW12" s="214">
        <f t="shared" si="27"/>
        <v>2523865.0225</v>
      </c>
      <c r="BX12" s="214">
        <f t="shared" si="27"/>
        <v>2523865.0225</v>
      </c>
      <c r="BY12" s="214">
        <f t="shared" si="27"/>
        <v>2523865.0225</v>
      </c>
      <c r="BZ12" s="214">
        <f t="shared" si="27"/>
        <v>2523865.0225</v>
      </c>
      <c r="CA12" s="214">
        <f t="shared" si="27"/>
        <v>2523865.0225</v>
      </c>
      <c r="CB12" s="214">
        <f t="shared" si="27"/>
        <v>2523865.0225</v>
      </c>
      <c r="CC12" s="214">
        <f t="shared" si="27"/>
        <v>2523865.0225</v>
      </c>
      <c r="CD12" s="214">
        <f t="shared" si="27"/>
        <v>2523865.0225</v>
      </c>
      <c r="CE12" s="214">
        <f t="shared" si="27"/>
        <v>2523865.0225</v>
      </c>
      <c r="CF12" s="214">
        <f t="shared" si="27"/>
        <v>2523865.0225</v>
      </c>
      <c r="CG12" s="214">
        <f t="shared" si="27"/>
        <v>2523865.0225</v>
      </c>
      <c r="CH12" s="214">
        <f t="shared" si="27"/>
        <v>2523865.0225</v>
      </c>
      <c r="CI12" s="214">
        <f t="shared" si="27"/>
        <v>2523865.0225</v>
      </c>
      <c r="CJ12" s="214">
        <f t="shared" si="27"/>
        <v>2523865.0225</v>
      </c>
      <c r="CK12" s="214">
        <f t="shared" si="27"/>
        <v>2523865.0225</v>
      </c>
      <c r="CL12" s="214">
        <f t="shared" si="27"/>
        <v>2523865.0225</v>
      </c>
      <c r="CM12" s="214">
        <f t="shared" si="27"/>
        <v>2523865.0225</v>
      </c>
      <c r="CN12" s="214">
        <f t="shared" si="27"/>
        <v>2523865.0225</v>
      </c>
      <c r="CO12" s="214">
        <f t="shared" si="27"/>
        <v>2523865.0225</v>
      </c>
      <c r="CP12" s="214">
        <f t="shared" si="27"/>
        <v>2523865.0225</v>
      </c>
      <c r="CQ12" s="214">
        <f t="shared" si="27"/>
        <v>2523865.0225</v>
      </c>
      <c r="CR12" s="214">
        <f t="shared" si="27"/>
        <v>2523865.0225</v>
      </c>
      <c r="CS12" s="214">
        <f t="shared" si="27"/>
        <v>2523865.0225</v>
      </c>
      <c r="CT12" s="214">
        <f t="shared" si="27"/>
        <v>2523865.0225</v>
      </c>
      <c r="CU12" s="214">
        <f t="shared" si="27"/>
        <v>2523865.0225</v>
      </c>
      <c r="CV12" s="214">
        <f t="shared" si="27"/>
        <v>2523865.0225</v>
      </c>
      <c r="CW12" s="214">
        <f t="shared" si="27"/>
        <v>2523865.0225</v>
      </c>
      <c r="CX12" s="214">
        <f t="shared" si="27"/>
        <v>2523865.0225</v>
      </c>
      <c r="CY12" s="214">
        <f t="shared" si="27"/>
        <v>2523865.0225</v>
      </c>
      <c r="CZ12" s="214">
        <f t="shared" si="27"/>
        <v>2523865.0225</v>
      </c>
      <c r="DA12" s="214">
        <f t="shared" si="27"/>
        <v>2523865.0225</v>
      </c>
      <c r="DB12" s="214">
        <f t="shared" si="27"/>
        <v>2523865.0225</v>
      </c>
      <c r="DC12" s="214">
        <f t="shared" si="27"/>
        <v>2523865.0225</v>
      </c>
      <c r="DD12" s="214">
        <f t="shared" si="27"/>
        <v>2523865.0225</v>
      </c>
      <c r="DE12" s="214">
        <f t="shared" si="27"/>
        <v>2523865.0225</v>
      </c>
      <c r="DF12" s="214">
        <f t="shared" si="27"/>
        <v>2523865.0225</v>
      </c>
      <c r="DG12" s="214">
        <f t="shared" si="27"/>
        <v>2523865.0225</v>
      </c>
      <c r="DH12" s="214">
        <f t="shared" si="27"/>
        <v>2523865.0225</v>
      </c>
      <c r="DI12" s="214">
        <f t="shared" si="27"/>
        <v>2523865.0225</v>
      </c>
      <c r="DJ12" s="214">
        <f t="shared" si="27"/>
        <v>2523865.0225</v>
      </c>
      <c r="DK12" s="214">
        <f t="shared" si="27"/>
        <v>2523865.0225</v>
      </c>
      <c r="DL12" s="214">
        <f t="shared" si="27"/>
        <v>2523865.0225</v>
      </c>
      <c r="DM12" s="214">
        <f t="shared" si="27"/>
        <v>2523865.0225</v>
      </c>
      <c r="DN12" s="214">
        <f t="shared" si="27"/>
        <v>2523865.0225</v>
      </c>
      <c r="DO12" s="214">
        <f t="shared" si="27"/>
        <v>2523865.0225</v>
      </c>
      <c r="DP12" s="214">
        <f t="shared" si="27"/>
        <v>2523865.0225</v>
      </c>
      <c r="DQ12" s="214">
        <f t="shared" si="27"/>
        <v>2523865.0225</v>
      </c>
      <c r="DR12" s="214">
        <f t="shared" si="27"/>
        <v>2523865.0225</v>
      </c>
      <c r="DS12" s="214">
        <f t="shared" si="27"/>
        <v>2523865.0225</v>
      </c>
      <c r="DT12" s="214">
        <f t="shared" si="27"/>
        <v>2523865.0225</v>
      </c>
      <c r="DU12" s="214">
        <f t="shared" si="27"/>
        <v>2523865.0225</v>
      </c>
      <c r="DV12" s="214">
        <f t="shared" si="27"/>
        <v>2523865.0225</v>
      </c>
      <c r="DW12" s="214">
        <f t="shared" si="27"/>
        <v>2523865.0225</v>
      </c>
      <c r="DX12" s="214">
        <f t="shared" si="27"/>
        <v>2523865.0225</v>
      </c>
      <c r="DY12" s="214">
        <f t="shared" si="27"/>
        <v>2523865.0225</v>
      </c>
      <c r="DZ12" s="214">
        <f t="shared" si="27"/>
        <v>2523865.0225</v>
      </c>
      <c r="EA12" s="214">
        <f t="shared" si="27"/>
        <v>2523865.0225</v>
      </c>
      <c r="EB12" s="214">
        <f t="shared" si="27"/>
        <v>2523865.0225</v>
      </c>
      <c r="EC12" s="214">
        <f t="shared" si="27"/>
        <v>2523865.0225</v>
      </c>
      <c r="ED12" s="214">
        <f t="shared" si="27"/>
        <v>2523865.0225</v>
      </c>
      <c r="EE12" s="214">
        <f t="shared" si="27"/>
        <v>2523865.0225</v>
      </c>
      <c r="EF12" s="214">
        <f t="shared" si="27"/>
        <v>2523865.0225</v>
      </c>
      <c r="EG12" s="214">
        <f t="shared" ref="EG12:GR12" si="28">EF12+EG11</f>
        <v>2523865.0225</v>
      </c>
      <c r="EH12" s="214">
        <f t="shared" si="28"/>
        <v>2523865.0225</v>
      </c>
      <c r="EI12" s="214">
        <f t="shared" si="28"/>
        <v>2523865.0225</v>
      </c>
      <c r="EJ12" s="214">
        <f t="shared" si="28"/>
        <v>2523865.0225</v>
      </c>
      <c r="EK12" s="214">
        <f t="shared" si="28"/>
        <v>2523865.0225</v>
      </c>
      <c r="EL12" s="214">
        <f t="shared" si="28"/>
        <v>2523865.0225</v>
      </c>
      <c r="EM12" s="214">
        <f t="shared" si="28"/>
        <v>2523865.0225</v>
      </c>
      <c r="EN12" s="214">
        <f t="shared" si="28"/>
        <v>2523865.0225</v>
      </c>
      <c r="EO12" s="214">
        <f t="shared" si="28"/>
        <v>2523865.0225</v>
      </c>
      <c r="EP12" s="214">
        <f t="shared" si="28"/>
        <v>2523865.0225</v>
      </c>
      <c r="EQ12" s="214">
        <f t="shared" si="28"/>
        <v>2523865.0225</v>
      </c>
      <c r="ER12" s="214">
        <f t="shared" si="28"/>
        <v>2523865.0225</v>
      </c>
      <c r="ES12" s="214">
        <f t="shared" si="28"/>
        <v>2523865.0225</v>
      </c>
      <c r="ET12" s="214">
        <f t="shared" si="28"/>
        <v>2523865.0225</v>
      </c>
      <c r="EU12" s="214">
        <f t="shared" si="28"/>
        <v>2523865.0225</v>
      </c>
      <c r="EV12" s="214">
        <f t="shared" si="28"/>
        <v>2523865.0225</v>
      </c>
      <c r="EW12" s="214">
        <f t="shared" si="28"/>
        <v>2523865.0225</v>
      </c>
      <c r="EX12" s="214">
        <f t="shared" si="28"/>
        <v>2523865.0225</v>
      </c>
      <c r="EY12" s="214">
        <f t="shared" si="28"/>
        <v>2523865.0225</v>
      </c>
      <c r="EZ12" s="214">
        <f t="shared" si="28"/>
        <v>2523865.0225</v>
      </c>
      <c r="FA12" s="214">
        <f t="shared" si="28"/>
        <v>2523865.0225</v>
      </c>
      <c r="FB12" s="214">
        <f t="shared" si="28"/>
        <v>2523865.0225</v>
      </c>
      <c r="FC12" s="214">
        <f t="shared" si="28"/>
        <v>2523865.0225</v>
      </c>
      <c r="FD12" s="214">
        <f t="shared" si="28"/>
        <v>2523865.0225</v>
      </c>
      <c r="FE12" s="214">
        <f t="shared" si="28"/>
        <v>2523865.0225</v>
      </c>
      <c r="FF12" s="214">
        <f t="shared" si="28"/>
        <v>2523865.0225</v>
      </c>
      <c r="FG12" s="214">
        <f t="shared" si="28"/>
        <v>2523865.0225</v>
      </c>
      <c r="FH12" s="214">
        <f t="shared" si="28"/>
        <v>2523865.0225</v>
      </c>
      <c r="FI12" s="214">
        <f t="shared" si="28"/>
        <v>2523865.0225</v>
      </c>
      <c r="FJ12" s="214">
        <f t="shared" si="28"/>
        <v>2523865.0225</v>
      </c>
      <c r="FK12" s="214">
        <f t="shared" si="28"/>
        <v>2523865.0225</v>
      </c>
      <c r="FL12" s="214">
        <f t="shared" si="28"/>
        <v>2523865.0225</v>
      </c>
      <c r="FM12" s="214">
        <f t="shared" si="28"/>
        <v>2523865.0225</v>
      </c>
      <c r="FN12" s="214">
        <f t="shared" si="28"/>
        <v>2523865.0225</v>
      </c>
      <c r="FO12" s="214">
        <f t="shared" si="28"/>
        <v>2523865.0225</v>
      </c>
      <c r="FP12" s="214">
        <f t="shared" si="28"/>
        <v>2523865.0225</v>
      </c>
      <c r="FQ12" s="214">
        <f t="shared" si="28"/>
        <v>2523865.0225</v>
      </c>
      <c r="FR12" s="214">
        <f t="shared" si="28"/>
        <v>2523865.0225</v>
      </c>
      <c r="FS12" s="214">
        <f t="shared" si="28"/>
        <v>2523865.0225</v>
      </c>
      <c r="FT12" s="214">
        <f t="shared" si="28"/>
        <v>2523865.0225</v>
      </c>
      <c r="FU12" s="214">
        <f t="shared" si="28"/>
        <v>2523865.0225</v>
      </c>
      <c r="FV12" s="214">
        <f t="shared" si="28"/>
        <v>2523865.0225</v>
      </c>
      <c r="FW12" s="214">
        <f t="shared" si="28"/>
        <v>2523865.0225</v>
      </c>
      <c r="FX12" s="214">
        <f t="shared" si="28"/>
        <v>2523865.0225</v>
      </c>
      <c r="FY12" s="214">
        <f t="shared" si="28"/>
        <v>2523865.0225</v>
      </c>
      <c r="FZ12" s="214">
        <f t="shared" si="28"/>
        <v>2523865.0225</v>
      </c>
      <c r="GA12" s="214">
        <f t="shared" si="28"/>
        <v>2523865.0225</v>
      </c>
      <c r="GB12" s="214">
        <f t="shared" si="28"/>
        <v>2523865.0225</v>
      </c>
      <c r="GC12" s="214">
        <f t="shared" si="28"/>
        <v>2523865.0225</v>
      </c>
      <c r="GD12" s="214">
        <f t="shared" si="28"/>
        <v>2523865.0225</v>
      </c>
      <c r="GE12" s="214">
        <f t="shared" si="28"/>
        <v>2523865.0225</v>
      </c>
      <c r="GF12" s="214">
        <f t="shared" si="28"/>
        <v>2523865.0225</v>
      </c>
      <c r="GG12" s="214">
        <f t="shared" si="28"/>
        <v>2523865.0225</v>
      </c>
      <c r="GH12" s="214">
        <f t="shared" si="28"/>
        <v>2523865.0225</v>
      </c>
      <c r="GI12" s="214">
        <f t="shared" si="28"/>
        <v>2523865.0225</v>
      </c>
      <c r="GJ12" s="214">
        <f t="shared" si="28"/>
        <v>2523865.0225</v>
      </c>
      <c r="GK12" s="214">
        <f t="shared" si="28"/>
        <v>2523865.0225</v>
      </c>
      <c r="GL12" s="214">
        <f t="shared" si="28"/>
        <v>2523865.0225</v>
      </c>
      <c r="GM12" s="214">
        <f t="shared" si="28"/>
        <v>2523865.0225</v>
      </c>
      <c r="GN12" s="214">
        <f t="shared" si="28"/>
        <v>2523865.0225</v>
      </c>
      <c r="GO12" s="214">
        <f t="shared" si="28"/>
        <v>2523865.0225</v>
      </c>
      <c r="GP12" s="214">
        <f t="shared" si="28"/>
        <v>2523865.0225</v>
      </c>
      <c r="GQ12" s="214">
        <f t="shared" si="28"/>
        <v>2523865.0225</v>
      </c>
      <c r="GR12" s="214">
        <f t="shared" si="28"/>
        <v>2523865.0225</v>
      </c>
      <c r="GS12" s="214">
        <f t="shared" ref="GS12:JD12" si="29">GR12+GS11</f>
        <v>2523865.0225</v>
      </c>
      <c r="GT12" s="214">
        <f t="shared" si="29"/>
        <v>2523865.0225</v>
      </c>
      <c r="GU12" s="214">
        <f t="shared" si="29"/>
        <v>2523865.0225</v>
      </c>
      <c r="GV12" s="214">
        <f t="shared" si="29"/>
        <v>2523865.0225</v>
      </c>
      <c r="GW12" s="214">
        <f t="shared" si="29"/>
        <v>2523865.0225</v>
      </c>
      <c r="GX12" s="214">
        <f t="shared" si="29"/>
        <v>2523865.0225</v>
      </c>
      <c r="GY12" s="214">
        <f t="shared" si="29"/>
        <v>2523865.0225</v>
      </c>
      <c r="GZ12" s="214">
        <f t="shared" si="29"/>
        <v>2523865.0225</v>
      </c>
      <c r="HA12" s="214">
        <f t="shared" si="29"/>
        <v>2523865.0225</v>
      </c>
      <c r="HB12" s="214">
        <f t="shared" si="29"/>
        <v>2523865.0225</v>
      </c>
      <c r="HC12" s="214">
        <f t="shared" si="29"/>
        <v>2523865.0225</v>
      </c>
      <c r="HD12" s="214">
        <f t="shared" si="29"/>
        <v>2523865.0225</v>
      </c>
      <c r="HE12" s="214">
        <f t="shared" si="29"/>
        <v>2523865.0225</v>
      </c>
      <c r="HF12" s="214">
        <f t="shared" si="29"/>
        <v>2523865.0225</v>
      </c>
      <c r="HG12" s="214">
        <f t="shared" si="29"/>
        <v>2523865.0225</v>
      </c>
      <c r="HH12" s="214">
        <f t="shared" si="29"/>
        <v>2523865.0225</v>
      </c>
      <c r="HI12" s="214">
        <f t="shared" si="29"/>
        <v>2523865.0225</v>
      </c>
      <c r="HJ12" s="214">
        <f t="shared" si="29"/>
        <v>2523865.0225</v>
      </c>
      <c r="HK12" s="214">
        <f t="shared" si="29"/>
        <v>2523865.0225</v>
      </c>
      <c r="HL12" s="214">
        <f t="shared" si="29"/>
        <v>2523865.0225</v>
      </c>
      <c r="HM12" s="214">
        <f t="shared" si="29"/>
        <v>2523865.0225</v>
      </c>
      <c r="HN12" s="214">
        <f t="shared" si="29"/>
        <v>2523865.0225</v>
      </c>
      <c r="HO12" s="214">
        <f t="shared" si="29"/>
        <v>2523865.0225</v>
      </c>
      <c r="HP12" s="214">
        <f t="shared" si="29"/>
        <v>2523865.0225</v>
      </c>
      <c r="HQ12" s="214">
        <f t="shared" si="29"/>
        <v>2523865.0225</v>
      </c>
      <c r="HR12" s="214">
        <f t="shared" si="29"/>
        <v>2523865.0225</v>
      </c>
      <c r="HS12" s="214">
        <f t="shared" si="29"/>
        <v>2523865.0225</v>
      </c>
      <c r="HT12" s="214">
        <f t="shared" si="29"/>
        <v>2523865.0225</v>
      </c>
      <c r="HU12" s="214">
        <f t="shared" si="29"/>
        <v>2523865.0225</v>
      </c>
      <c r="HV12" s="214">
        <f t="shared" si="29"/>
        <v>2523865.0225</v>
      </c>
      <c r="HW12" s="214">
        <f t="shared" si="29"/>
        <v>2523865.0225</v>
      </c>
      <c r="HX12" s="214">
        <f t="shared" si="29"/>
        <v>2523865.0225</v>
      </c>
      <c r="HY12" s="214">
        <f t="shared" si="29"/>
        <v>2523865.0225</v>
      </c>
      <c r="HZ12" s="214">
        <f t="shared" si="29"/>
        <v>2523865.0225</v>
      </c>
      <c r="IA12" s="214">
        <f t="shared" si="29"/>
        <v>2523865.0225</v>
      </c>
      <c r="IB12" s="214">
        <f t="shared" si="29"/>
        <v>2523865.0225</v>
      </c>
      <c r="IC12" s="214">
        <f t="shared" si="29"/>
        <v>2523865.0225</v>
      </c>
      <c r="ID12" s="214">
        <f t="shared" si="29"/>
        <v>2523865.0225</v>
      </c>
      <c r="IE12" s="214">
        <f t="shared" si="29"/>
        <v>2523865.0225</v>
      </c>
      <c r="IF12" s="214">
        <f t="shared" si="29"/>
        <v>2523865.0225</v>
      </c>
      <c r="IG12" s="214">
        <f t="shared" si="29"/>
        <v>2523865.0225</v>
      </c>
      <c r="IH12" s="214">
        <f t="shared" si="29"/>
        <v>2523865.0225</v>
      </c>
      <c r="II12" s="214">
        <f t="shared" si="29"/>
        <v>2523865.0225</v>
      </c>
      <c r="IJ12" s="214">
        <f t="shared" si="29"/>
        <v>2523865.0225</v>
      </c>
      <c r="IK12" s="214">
        <f t="shared" si="29"/>
        <v>2523865.0225</v>
      </c>
      <c r="IL12" s="214">
        <f t="shared" si="29"/>
        <v>2523865.0225</v>
      </c>
      <c r="IM12" s="214">
        <f t="shared" si="29"/>
        <v>2523865.0225</v>
      </c>
      <c r="IN12" s="214">
        <f t="shared" si="29"/>
        <v>2523865.0225</v>
      </c>
      <c r="IO12" s="214">
        <f t="shared" si="29"/>
        <v>2523865.0225</v>
      </c>
      <c r="IP12" s="214">
        <f t="shared" si="29"/>
        <v>2523865.0225</v>
      </c>
      <c r="IQ12" s="214">
        <f t="shared" si="29"/>
        <v>2523865.0225</v>
      </c>
      <c r="IR12" s="214">
        <f t="shared" si="29"/>
        <v>2523865.0225</v>
      </c>
      <c r="IS12" s="214">
        <f t="shared" si="29"/>
        <v>2523865.0225</v>
      </c>
      <c r="IT12" s="214">
        <f t="shared" si="29"/>
        <v>2523865.0225</v>
      </c>
      <c r="IU12" s="214">
        <f t="shared" si="29"/>
        <v>2523865.0225</v>
      </c>
      <c r="IV12" s="214">
        <f t="shared" si="29"/>
        <v>2523865.0225</v>
      </c>
      <c r="IW12" s="214">
        <f t="shared" si="29"/>
        <v>2523865.0225</v>
      </c>
      <c r="IX12" s="214">
        <f t="shared" si="29"/>
        <v>2523865.0225</v>
      </c>
      <c r="IY12" s="214">
        <f t="shared" si="29"/>
        <v>2523865.0225</v>
      </c>
      <c r="IZ12" s="214">
        <f t="shared" si="29"/>
        <v>2523865.0225</v>
      </c>
      <c r="JA12" s="214">
        <f t="shared" si="29"/>
        <v>2523865.0225</v>
      </c>
      <c r="JB12" s="214">
        <f t="shared" si="29"/>
        <v>2523865.0225</v>
      </c>
      <c r="JC12" s="214">
        <f t="shared" si="29"/>
        <v>2523865.0225</v>
      </c>
      <c r="JD12" s="214">
        <f t="shared" si="29"/>
        <v>2523865.0225</v>
      </c>
      <c r="JE12" s="214">
        <f t="shared" ref="JE12:LD12" si="30">JD12+JE11</f>
        <v>2523865.0225</v>
      </c>
      <c r="JF12" s="214">
        <f t="shared" si="30"/>
        <v>2523865.0225</v>
      </c>
      <c r="JG12" s="214">
        <f t="shared" si="30"/>
        <v>2523865.0225</v>
      </c>
      <c r="JH12" s="214">
        <f t="shared" si="30"/>
        <v>2523865.0225</v>
      </c>
      <c r="JI12" s="214">
        <f t="shared" si="30"/>
        <v>2523865.0225</v>
      </c>
      <c r="JJ12" s="214">
        <f t="shared" si="30"/>
        <v>2523865.0225</v>
      </c>
      <c r="JK12" s="214">
        <f t="shared" si="30"/>
        <v>2523865.0225</v>
      </c>
      <c r="JL12" s="214">
        <f t="shared" si="30"/>
        <v>2523865.0225</v>
      </c>
      <c r="JM12" s="214">
        <f t="shared" si="30"/>
        <v>2523865.0225</v>
      </c>
      <c r="JN12" s="214">
        <f t="shared" si="30"/>
        <v>2523865.0225</v>
      </c>
      <c r="JO12" s="214">
        <f t="shared" si="30"/>
        <v>2523865.0225</v>
      </c>
      <c r="JP12" s="214">
        <f t="shared" si="30"/>
        <v>2523865.0225</v>
      </c>
      <c r="JQ12" s="214">
        <f t="shared" si="30"/>
        <v>2523865.0225</v>
      </c>
      <c r="JR12" s="214">
        <f t="shared" si="30"/>
        <v>2523865.0225</v>
      </c>
      <c r="JS12" s="214">
        <f t="shared" si="30"/>
        <v>2523865.0225</v>
      </c>
      <c r="JT12" s="214">
        <f t="shared" si="30"/>
        <v>2523865.0225</v>
      </c>
      <c r="JU12" s="214">
        <f t="shared" si="30"/>
        <v>2523865.0225</v>
      </c>
      <c r="JV12" s="214">
        <f t="shared" si="30"/>
        <v>2523865.0225</v>
      </c>
      <c r="JW12" s="214">
        <f t="shared" si="30"/>
        <v>2523865.0225</v>
      </c>
      <c r="JX12" s="214">
        <f t="shared" si="30"/>
        <v>2523865.0225</v>
      </c>
      <c r="JY12" s="214">
        <f t="shared" si="30"/>
        <v>2523865.0225</v>
      </c>
      <c r="JZ12" s="214">
        <f t="shared" si="30"/>
        <v>2523865.0225</v>
      </c>
      <c r="KA12" s="214">
        <f t="shared" si="30"/>
        <v>2523865.0225</v>
      </c>
      <c r="KB12" s="214">
        <f t="shared" si="30"/>
        <v>2523865.0225</v>
      </c>
      <c r="KC12" s="214">
        <f t="shared" si="30"/>
        <v>2523865.0225</v>
      </c>
      <c r="KD12" s="214">
        <f t="shared" si="30"/>
        <v>2523865.0225</v>
      </c>
      <c r="KE12" s="214">
        <f t="shared" si="30"/>
        <v>2523865.0225</v>
      </c>
      <c r="KF12" s="214">
        <f t="shared" si="30"/>
        <v>2523865.0225</v>
      </c>
      <c r="KG12" s="214">
        <f t="shared" si="30"/>
        <v>2523865.0225</v>
      </c>
      <c r="KH12" s="214">
        <f t="shared" si="30"/>
        <v>2523865.0225</v>
      </c>
      <c r="KI12" s="214">
        <f t="shared" si="30"/>
        <v>2523865.0225</v>
      </c>
      <c r="KJ12" s="214">
        <f t="shared" si="30"/>
        <v>2523865.0225</v>
      </c>
      <c r="KK12" s="214">
        <f t="shared" si="30"/>
        <v>2523865.0225</v>
      </c>
      <c r="KL12" s="214">
        <f t="shared" si="30"/>
        <v>2523865.0225</v>
      </c>
      <c r="KM12" s="214">
        <f t="shared" si="30"/>
        <v>2523865.0225</v>
      </c>
      <c r="KN12" s="214">
        <f t="shared" si="30"/>
        <v>2523865.0225</v>
      </c>
      <c r="KO12" s="214">
        <f t="shared" si="30"/>
        <v>2523865.0225</v>
      </c>
      <c r="KP12" s="214">
        <f t="shared" si="30"/>
        <v>2523865.0225</v>
      </c>
      <c r="KQ12" s="214">
        <f t="shared" si="30"/>
        <v>2523865.0225</v>
      </c>
      <c r="KR12" s="214">
        <f t="shared" si="30"/>
        <v>2523865.0225</v>
      </c>
      <c r="KS12" s="214">
        <f t="shared" si="30"/>
        <v>2523865.0225</v>
      </c>
      <c r="KT12" s="214">
        <f t="shared" si="30"/>
        <v>2523865.0225</v>
      </c>
      <c r="KU12" s="214">
        <f t="shared" si="30"/>
        <v>2523865.0225</v>
      </c>
      <c r="KV12" s="214">
        <f t="shared" si="30"/>
        <v>2523865.0225</v>
      </c>
      <c r="KW12" s="214">
        <f t="shared" si="30"/>
        <v>2523865.0225</v>
      </c>
      <c r="KX12" s="214">
        <f t="shared" si="30"/>
        <v>2523865.0225</v>
      </c>
      <c r="KY12" s="214">
        <f t="shared" si="30"/>
        <v>2523865.0225</v>
      </c>
      <c r="KZ12" s="214">
        <f t="shared" si="30"/>
        <v>2523865.0225</v>
      </c>
      <c r="LA12" s="214">
        <f t="shared" si="30"/>
        <v>2523865.0225</v>
      </c>
      <c r="LB12" s="214">
        <f t="shared" si="30"/>
        <v>2523865.0225</v>
      </c>
      <c r="LC12" s="214">
        <f t="shared" si="30"/>
        <v>2523865.0225</v>
      </c>
      <c r="LD12" s="214">
        <f t="shared" si="30"/>
        <v>2523865.0225</v>
      </c>
      <c r="LE12" s="191"/>
      <c r="LF12" s="202"/>
    </row>
    <row r="13" spans="1:794" s="191" customFormat="1">
      <c r="A13" s="80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4" t="s">
        <v>425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-602297.946</v>
      </c>
      <c r="BJ14" s="207">
        <f t="shared" si="32"/>
        <v>-632682.31600000011</v>
      </c>
      <c r="BK14" s="207">
        <f t="shared" si="32"/>
        <v>191529.696</v>
      </c>
      <c r="BL14" s="207">
        <f t="shared" si="32"/>
        <v>103762.53399999999</v>
      </c>
      <c r="BM14" s="207">
        <f t="shared" si="32"/>
        <v>238589.78399999999</v>
      </c>
      <c r="BN14" s="207">
        <f t="shared" si="32"/>
        <v>238589.78399999999</v>
      </c>
      <c r="BO14" s="207">
        <f t="shared" si="32"/>
        <v>212386.79000000004</v>
      </c>
      <c r="BP14" s="207">
        <f t="shared" si="32"/>
        <v>172679.97750000004</v>
      </c>
      <c r="BQ14" s="207">
        <f t="shared" si="32"/>
        <v>172679.97750000004</v>
      </c>
      <c r="BR14" s="207">
        <f t="shared" si="32"/>
        <v>172679.97750000004</v>
      </c>
      <c r="BS14" s="207">
        <f t="shared" si="32"/>
        <v>172679.97750000004</v>
      </c>
      <c r="BT14" s="207">
        <f t="shared" si="32"/>
        <v>172679.97750000004</v>
      </c>
      <c r="BU14" s="207">
        <f t="shared" ref="BU14:EF14" si="33">BU10-BU12</f>
        <v>172679.97750000004</v>
      </c>
      <c r="BV14" s="207">
        <f t="shared" si="33"/>
        <v>172679.97750000004</v>
      </c>
      <c r="BW14" s="207">
        <f t="shared" si="33"/>
        <v>172679.97750000004</v>
      </c>
      <c r="BX14" s="207">
        <f t="shared" si="33"/>
        <v>172679.97750000004</v>
      </c>
      <c r="BY14" s="207">
        <f t="shared" si="33"/>
        <v>172679.97750000004</v>
      </c>
      <c r="BZ14" s="207">
        <f t="shared" si="33"/>
        <v>172679.97750000004</v>
      </c>
      <c r="CA14" s="207">
        <f t="shared" si="33"/>
        <v>172679.97750000004</v>
      </c>
      <c r="CB14" s="207">
        <f t="shared" si="33"/>
        <v>172679.97750000004</v>
      </c>
      <c r="CC14" s="207">
        <f t="shared" si="33"/>
        <v>172679.97750000004</v>
      </c>
      <c r="CD14" s="207">
        <f t="shared" si="33"/>
        <v>172679.97750000004</v>
      </c>
      <c r="CE14" s="207">
        <f t="shared" si="33"/>
        <v>172679.97750000004</v>
      </c>
      <c r="CF14" s="207">
        <f t="shared" si="33"/>
        <v>172679.97750000004</v>
      </c>
      <c r="CG14" s="207">
        <f t="shared" si="33"/>
        <v>172679.97750000004</v>
      </c>
      <c r="CH14" s="207">
        <f t="shared" si="33"/>
        <v>172679.97750000004</v>
      </c>
      <c r="CI14" s="207">
        <f t="shared" si="33"/>
        <v>172679.97750000004</v>
      </c>
      <c r="CJ14" s="207">
        <f t="shared" si="33"/>
        <v>172679.97750000004</v>
      </c>
      <c r="CK14" s="207">
        <f t="shared" si="33"/>
        <v>172679.97750000004</v>
      </c>
      <c r="CL14" s="207">
        <f t="shared" si="33"/>
        <v>172679.97750000004</v>
      </c>
      <c r="CM14" s="207">
        <f t="shared" si="33"/>
        <v>172679.97750000004</v>
      </c>
      <c r="CN14" s="207">
        <f t="shared" si="33"/>
        <v>172679.97750000004</v>
      </c>
      <c r="CO14" s="207">
        <f t="shared" si="33"/>
        <v>172679.97750000004</v>
      </c>
      <c r="CP14" s="207">
        <f t="shared" si="33"/>
        <v>172679.97750000004</v>
      </c>
      <c r="CQ14" s="207">
        <f t="shared" si="33"/>
        <v>172679.97750000004</v>
      </c>
      <c r="CR14" s="207">
        <f t="shared" si="33"/>
        <v>172679.97750000004</v>
      </c>
      <c r="CS14" s="207">
        <f t="shared" si="33"/>
        <v>172679.97750000004</v>
      </c>
      <c r="CT14" s="207">
        <f t="shared" si="33"/>
        <v>172679.97750000004</v>
      </c>
      <c r="CU14" s="207">
        <f t="shared" si="33"/>
        <v>172679.97750000004</v>
      </c>
      <c r="CV14" s="207">
        <f t="shared" si="33"/>
        <v>172679.97750000004</v>
      </c>
      <c r="CW14" s="207">
        <f t="shared" si="33"/>
        <v>172679.97750000004</v>
      </c>
      <c r="CX14" s="207">
        <f t="shared" si="33"/>
        <v>172679.97750000004</v>
      </c>
      <c r="CY14" s="207">
        <f t="shared" si="33"/>
        <v>172679.97750000004</v>
      </c>
      <c r="CZ14" s="207">
        <f t="shared" si="33"/>
        <v>172679.97750000004</v>
      </c>
      <c r="DA14" s="207">
        <f t="shared" si="33"/>
        <v>172679.97750000004</v>
      </c>
      <c r="DB14" s="207">
        <f t="shared" si="33"/>
        <v>172679.97750000004</v>
      </c>
      <c r="DC14" s="207">
        <f t="shared" si="33"/>
        <v>172679.97750000004</v>
      </c>
      <c r="DD14" s="207">
        <f t="shared" si="33"/>
        <v>172679.97750000004</v>
      </c>
      <c r="DE14" s="207">
        <f t="shared" si="33"/>
        <v>172679.97750000004</v>
      </c>
      <c r="DF14" s="207">
        <f t="shared" si="33"/>
        <v>172679.97750000004</v>
      </c>
      <c r="DG14" s="207">
        <f t="shared" si="33"/>
        <v>172679.97750000004</v>
      </c>
      <c r="DH14" s="207">
        <f t="shared" si="33"/>
        <v>172679.97750000004</v>
      </c>
      <c r="DI14" s="207">
        <f t="shared" si="33"/>
        <v>172679.97750000004</v>
      </c>
      <c r="DJ14" s="207">
        <f t="shared" si="33"/>
        <v>172679.97750000004</v>
      </c>
      <c r="DK14" s="207">
        <f t="shared" si="33"/>
        <v>172679.97750000004</v>
      </c>
      <c r="DL14" s="207">
        <f t="shared" si="33"/>
        <v>172679.97750000004</v>
      </c>
      <c r="DM14" s="207">
        <f t="shared" si="33"/>
        <v>172679.97750000004</v>
      </c>
      <c r="DN14" s="207">
        <f t="shared" si="33"/>
        <v>172679.97750000004</v>
      </c>
      <c r="DO14" s="207">
        <f t="shared" si="33"/>
        <v>172679.97750000004</v>
      </c>
      <c r="DP14" s="207">
        <f t="shared" si="33"/>
        <v>172679.97750000004</v>
      </c>
      <c r="DQ14" s="207">
        <f t="shared" si="33"/>
        <v>172679.97750000004</v>
      </c>
      <c r="DR14" s="207">
        <f t="shared" si="33"/>
        <v>172679.97750000004</v>
      </c>
      <c r="DS14" s="207">
        <f t="shared" si="33"/>
        <v>172679.97750000004</v>
      </c>
      <c r="DT14" s="207">
        <f t="shared" si="33"/>
        <v>172679.97750000004</v>
      </c>
      <c r="DU14" s="207">
        <f t="shared" si="33"/>
        <v>172679.97750000004</v>
      </c>
      <c r="DV14" s="207">
        <f t="shared" si="33"/>
        <v>172679.97750000004</v>
      </c>
      <c r="DW14" s="207">
        <f t="shared" si="33"/>
        <v>172679.97750000004</v>
      </c>
      <c r="DX14" s="207">
        <f t="shared" si="33"/>
        <v>172679.97750000004</v>
      </c>
      <c r="DY14" s="207">
        <f t="shared" si="33"/>
        <v>172679.97750000004</v>
      </c>
      <c r="DZ14" s="207">
        <f t="shared" si="33"/>
        <v>172679.97750000004</v>
      </c>
      <c r="EA14" s="207">
        <f t="shared" si="33"/>
        <v>172679.97750000004</v>
      </c>
      <c r="EB14" s="207">
        <f t="shared" si="33"/>
        <v>172679.97750000004</v>
      </c>
      <c r="EC14" s="207">
        <f t="shared" si="33"/>
        <v>172679.97750000004</v>
      </c>
      <c r="ED14" s="207">
        <f t="shared" si="33"/>
        <v>172679.97750000004</v>
      </c>
      <c r="EE14" s="207">
        <f t="shared" si="33"/>
        <v>172679.97750000004</v>
      </c>
      <c r="EF14" s="207">
        <f t="shared" si="33"/>
        <v>172679.97750000004</v>
      </c>
      <c r="EG14" s="207">
        <f t="shared" ref="EG14:GR14" si="34">EG10-EG12</f>
        <v>172679.97750000004</v>
      </c>
      <c r="EH14" s="207">
        <f t="shared" si="34"/>
        <v>172679.97750000004</v>
      </c>
      <c r="EI14" s="207">
        <f t="shared" si="34"/>
        <v>172679.97750000004</v>
      </c>
      <c r="EJ14" s="207">
        <f t="shared" si="34"/>
        <v>172679.97750000004</v>
      </c>
      <c r="EK14" s="207">
        <f t="shared" si="34"/>
        <v>172679.97750000004</v>
      </c>
      <c r="EL14" s="207">
        <f t="shared" si="34"/>
        <v>172679.97750000004</v>
      </c>
      <c r="EM14" s="207">
        <f t="shared" si="34"/>
        <v>172679.97750000004</v>
      </c>
      <c r="EN14" s="207">
        <f t="shared" si="34"/>
        <v>172679.97750000004</v>
      </c>
      <c r="EO14" s="207">
        <f t="shared" si="34"/>
        <v>172679.97750000004</v>
      </c>
      <c r="EP14" s="207">
        <f t="shared" si="34"/>
        <v>172679.97750000004</v>
      </c>
      <c r="EQ14" s="207">
        <f t="shared" si="34"/>
        <v>172679.97750000004</v>
      </c>
      <c r="ER14" s="207">
        <f t="shared" si="34"/>
        <v>172679.97750000004</v>
      </c>
      <c r="ES14" s="207">
        <f t="shared" si="34"/>
        <v>172679.97750000004</v>
      </c>
      <c r="ET14" s="207">
        <f t="shared" si="34"/>
        <v>172679.97750000004</v>
      </c>
      <c r="EU14" s="207">
        <f t="shared" si="34"/>
        <v>172679.97750000004</v>
      </c>
      <c r="EV14" s="207">
        <f t="shared" si="34"/>
        <v>172679.97750000004</v>
      </c>
      <c r="EW14" s="207">
        <f t="shared" si="34"/>
        <v>172679.97750000004</v>
      </c>
      <c r="EX14" s="207">
        <f t="shared" si="34"/>
        <v>172679.97750000004</v>
      </c>
      <c r="EY14" s="207">
        <f t="shared" si="34"/>
        <v>172679.97750000004</v>
      </c>
      <c r="EZ14" s="207">
        <f t="shared" si="34"/>
        <v>172679.97750000004</v>
      </c>
      <c r="FA14" s="207">
        <f t="shared" si="34"/>
        <v>172679.97750000004</v>
      </c>
      <c r="FB14" s="207">
        <f t="shared" si="34"/>
        <v>172679.97750000004</v>
      </c>
      <c r="FC14" s="207">
        <f t="shared" si="34"/>
        <v>172679.97750000004</v>
      </c>
      <c r="FD14" s="207">
        <f t="shared" si="34"/>
        <v>172679.97750000004</v>
      </c>
      <c r="FE14" s="207">
        <f t="shared" si="34"/>
        <v>172679.97750000004</v>
      </c>
      <c r="FF14" s="207">
        <f t="shared" si="34"/>
        <v>172679.97750000004</v>
      </c>
      <c r="FG14" s="207">
        <f t="shared" si="34"/>
        <v>172679.97750000004</v>
      </c>
      <c r="FH14" s="207">
        <f t="shared" si="34"/>
        <v>172679.97750000004</v>
      </c>
      <c r="FI14" s="207">
        <f t="shared" si="34"/>
        <v>172679.97750000004</v>
      </c>
      <c r="FJ14" s="207">
        <f t="shared" si="34"/>
        <v>172679.97750000004</v>
      </c>
      <c r="FK14" s="207">
        <f t="shared" si="34"/>
        <v>172679.97750000004</v>
      </c>
      <c r="FL14" s="207">
        <f t="shared" si="34"/>
        <v>172679.97750000004</v>
      </c>
      <c r="FM14" s="207">
        <f t="shared" si="34"/>
        <v>172679.97750000004</v>
      </c>
      <c r="FN14" s="207">
        <f t="shared" si="34"/>
        <v>172679.97750000004</v>
      </c>
      <c r="FO14" s="207">
        <f t="shared" si="34"/>
        <v>172679.97750000004</v>
      </c>
      <c r="FP14" s="207">
        <f t="shared" si="34"/>
        <v>172679.97750000004</v>
      </c>
      <c r="FQ14" s="207">
        <f t="shared" si="34"/>
        <v>172679.97750000004</v>
      </c>
      <c r="FR14" s="207">
        <f t="shared" si="34"/>
        <v>172679.97750000004</v>
      </c>
      <c r="FS14" s="207">
        <f t="shared" si="34"/>
        <v>172679.97750000004</v>
      </c>
      <c r="FT14" s="207">
        <f t="shared" si="34"/>
        <v>172679.97750000004</v>
      </c>
      <c r="FU14" s="207">
        <f t="shared" si="34"/>
        <v>172679.97750000004</v>
      </c>
      <c r="FV14" s="207">
        <f t="shared" si="34"/>
        <v>172679.97750000004</v>
      </c>
      <c r="FW14" s="207">
        <f t="shared" si="34"/>
        <v>172679.97750000004</v>
      </c>
      <c r="FX14" s="207">
        <f t="shared" si="34"/>
        <v>172679.97750000004</v>
      </c>
      <c r="FY14" s="207">
        <f t="shared" si="34"/>
        <v>172679.97750000004</v>
      </c>
      <c r="FZ14" s="207">
        <f t="shared" si="34"/>
        <v>172679.97750000004</v>
      </c>
      <c r="GA14" s="207">
        <f t="shared" si="34"/>
        <v>172679.97750000004</v>
      </c>
      <c r="GB14" s="207">
        <f t="shared" si="34"/>
        <v>172679.97750000004</v>
      </c>
      <c r="GC14" s="207">
        <f t="shared" si="34"/>
        <v>172679.97750000004</v>
      </c>
      <c r="GD14" s="207">
        <f t="shared" si="34"/>
        <v>172679.97750000004</v>
      </c>
      <c r="GE14" s="207">
        <f t="shared" si="34"/>
        <v>172679.97750000004</v>
      </c>
      <c r="GF14" s="207">
        <f t="shared" si="34"/>
        <v>172679.97750000004</v>
      </c>
      <c r="GG14" s="207">
        <f t="shared" si="34"/>
        <v>172679.97750000004</v>
      </c>
      <c r="GH14" s="207">
        <f t="shared" si="34"/>
        <v>172679.97750000004</v>
      </c>
      <c r="GI14" s="207">
        <f t="shared" si="34"/>
        <v>172679.97750000004</v>
      </c>
      <c r="GJ14" s="207">
        <f t="shared" si="34"/>
        <v>172679.97750000004</v>
      </c>
      <c r="GK14" s="207">
        <f t="shared" si="34"/>
        <v>172679.97750000004</v>
      </c>
      <c r="GL14" s="207">
        <f t="shared" si="34"/>
        <v>172679.97750000004</v>
      </c>
      <c r="GM14" s="207">
        <f t="shared" si="34"/>
        <v>172679.97750000004</v>
      </c>
      <c r="GN14" s="207">
        <f t="shared" si="34"/>
        <v>172679.97750000004</v>
      </c>
      <c r="GO14" s="207">
        <f t="shared" si="34"/>
        <v>172679.97750000004</v>
      </c>
      <c r="GP14" s="207">
        <f t="shared" si="34"/>
        <v>172679.97750000004</v>
      </c>
      <c r="GQ14" s="207">
        <f t="shared" si="34"/>
        <v>172679.97750000004</v>
      </c>
      <c r="GR14" s="207">
        <f t="shared" si="34"/>
        <v>172679.97750000004</v>
      </c>
      <c r="GS14" s="207">
        <f t="shared" ref="GS14:JD14" si="35">GS10-GS12</f>
        <v>172679.97750000004</v>
      </c>
      <c r="GT14" s="207">
        <f t="shared" si="35"/>
        <v>172679.97750000004</v>
      </c>
      <c r="GU14" s="207">
        <f t="shared" si="35"/>
        <v>172679.97750000004</v>
      </c>
      <c r="GV14" s="207">
        <f t="shared" si="35"/>
        <v>172679.97750000004</v>
      </c>
      <c r="GW14" s="207">
        <f t="shared" si="35"/>
        <v>172679.97750000004</v>
      </c>
      <c r="GX14" s="207">
        <f t="shared" si="35"/>
        <v>172679.97750000004</v>
      </c>
      <c r="GY14" s="207">
        <f t="shared" si="35"/>
        <v>172679.97750000004</v>
      </c>
      <c r="GZ14" s="207">
        <f t="shared" si="35"/>
        <v>172679.97750000004</v>
      </c>
      <c r="HA14" s="207">
        <f t="shared" si="35"/>
        <v>172679.97750000004</v>
      </c>
      <c r="HB14" s="207">
        <f t="shared" si="35"/>
        <v>172679.97750000004</v>
      </c>
      <c r="HC14" s="207">
        <f t="shared" si="35"/>
        <v>172679.97750000004</v>
      </c>
      <c r="HD14" s="207">
        <f t="shared" si="35"/>
        <v>172679.97750000004</v>
      </c>
      <c r="HE14" s="207">
        <f t="shared" si="35"/>
        <v>172679.97750000004</v>
      </c>
      <c r="HF14" s="207">
        <f t="shared" si="35"/>
        <v>172679.97750000004</v>
      </c>
      <c r="HG14" s="207">
        <f t="shared" si="35"/>
        <v>172679.97750000004</v>
      </c>
      <c r="HH14" s="207">
        <f t="shared" si="35"/>
        <v>172679.97750000004</v>
      </c>
      <c r="HI14" s="207">
        <f t="shared" si="35"/>
        <v>172679.97750000004</v>
      </c>
      <c r="HJ14" s="207">
        <f t="shared" si="35"/>
        <v>172679.97750000004</v>
      </c>
      <c r="HK14" s="207">
        <f t="shared" si="35"/>
        <v>172679.97750000004</v>
      </c>
      <c r="HL14" s="207">
        <f t="shared" si="35"/>
        <v>172679.97750000004</v>
      </c>
      <c r="HM14" s="207">
        <f t="shared" si="35"/>
        <v>172679.97750000004</v>
      </c>
      <c r="HN14" s="207">
        <f t="shared" si="35"/>
        <v>172679.97750000004</v>
      </c>
      <c r="HO14" s="207">
        <f t="shared" si="35"/>
        <v>172679.97750000004</v>
      </c>
      <c r="HP14" s="207">
        <f t="shared" si="35"/>
        <v>172679.97750000004</v>
      </c>
      <c r="HQ14" s="207">
        <f t="shared" si="35"/>
        <v>172679.97750000004</v>
      </c>
      <c r="HR14" s="207">
        <f t="shared" si="35"/>
        <v>172679.97750000004</v>
      </c>
      <c r="HS14" s="207">
        <f t="shared" si="35"/>
        <v>172679.97750000004</v>
      </c>
      <c r="HT14" s="207">
        <f t="shared" si="35"/>
        <v>172679.97750000004</v>
      </c>
      <c r="HU14" s="207">
        <f t="shared" si="35"/>
        <v>172679.97750000004</v>
      </c>
      <c r="HV14" s="207">
        <f t="shared" si="35"/>
        <v>172679.97750000004</v>
      </c>
      <c r="HW14" s="207">
        <f t="shared" si="35"/>
        <v>172679.97750000004</v>
      </c>
      <c r="HX14" s="207">
        <f t="shared" si="35"/>
        <v>172679.97750000004</v>
      </c>
      <c r="HY14" s="207">
        <f t="shared" si="35"/>
        <v>172679.97750000004</v>
      </c>
      <c r="HZ14" s="207">
        <f t="shared" si="35"/>
        <v>172679.97750000004</v>
      </c>
      <c r="IA14" s="207">
        <f t="shared" si="35"/>
        <v>172679.97750000004</v>
      </c>
      <c r="IB14" s="207">
        <f t="shared" si="35"/>
        <v>172679.97750000004</v>
      </c>
      <c r="IC14" s="207">
        <f t="shared" si="35"/>
        <v>172679.97750000004</v>
      </c>
      <c r="ID14" s="207">
        <f t="shared" si="35"/>
        <v>172679.97750000004</v>
      </c>
      <c r="IE14" s="207">
        <f t="shared" si="35"/>
        <v>172679.97750000004</v>
      </c>
      <c r="IF14" s="207">
        <f t="shared" si="35"/>
        <v>172679.97750000004</v>
      </c>
      <c r="IG14" s="207">
        <f t="shared" si="35"/>
        <v>172679.97750000004</v>
      </c>
      <c r="IH14" s="207">
        <f t="shared" si="35"/>
        <v>172679.97750000004</v>
      </c>
      <c r="II14" s="207">
        <f t="shared" si="35"/>
        <v>172679.97750000004</v>
      </c>
      <c r="IJ14" s="207">
        <f t="shared" si="35"/>
        <v>172679.97750000004</v>
      </c>
      <c r="IK14" s="207">
        <f t="shared" si="35"/>
        <v>172679.97750000004</v>
      </c>
      <c r="IL14" s="207">
        <f t="shared" si="35"/>
        <v>172679.97750000004</v>
      </c>
      <c r="IM14" s="207">
        <f t="shared" si="35"/>
        <v>172679.97750000004</v>
      </c>
      <c r="IN14" s="207">
        <f t="shared" si="35"/>
        <v>172679.97750000004</v>
      </c>
      <c r="IO14" s="207">
        <f t="shared" si="35"/>
        <v>172679.97750000004</v>
      </c>
      <c r="IP14" s="207">
        <f t="shared" si="35"/>
        <v>172679.97750000004</v>
      </c>
      <c r="IQ14" s="207">
        <f t="shared" si="35"/>
        <v>172679.97750000004</v>
      </c>
      <c r="IR14" s="207">
        <f t="shared" si="35"/>
        <v>172679.97750000004</v>
      </c>
      <c r="IS14" s="207">
        <f t="shared" si="35"/>
        <v>172679.97750000004</v>
      </c>
      <c r="IT14" s="207">
        <f t="shared" si="35"/>
        <v>172679.97750000004</v>
      </c>
      <c r="IU14" s="207">
        <f t="shared" si="35"/>
        <v>172679.97750000004</v>
      </c>
      <c r="IV14" s="207">
        <f t="shared" si="35"/>
        <v>172679.97750000004</v>
      </c>
      <c r="IW14" s="207">
        <f t="shared" si="35"/>
        <v>172679.97750000004</v>
      </c>
      <c r="IX14" s="207">
        <f t="shared" si="35"/>
        <v>172679.97750000004</v>
      </c>
      <c r="IY14" s="207">
        <f t="shared" si="35"/>
        <v>172679.97750000004</v>
      </c>
      <c r="IZ14" s="207">
        <f t="shared" si="35"/>
        <v>172679.97750000004</v>
      </c>
      <c r="JA14" s="207">
        <f t="shared" si="35"/>
        <v>172679.97750000004</v>
      </c>
      <c r="JB14" s="207">
        <f t="shared" si="35"/>
        <v>172679.97750000004</v>
      </c>
      <c r="JC14" s="207">
        <f t="shared" si="35"/>
        <v>172679.97750000004</v>
      </c>
      <c r="JD14" s="207">
        <f t="shared" si="35"/>
        <v>172679.97750000004</v>
      </c>
      <c r="JE14" s="207">
        <f t="shared" ref="JE14:LD14" si="36">JE10-JE12</f>
        <v>172679.97750000004</v>
      </c>
      <c r="JF14" s="207">
        <f t="shared" si="36"/>
        <v>172679.97750000004</v>
      </c>
      <c r="JG14" s="207">
        <f t="shared" si="36"/>
        <v>172679.97750000004</v>
      </c>
      <c r="JH14" s="207">
        <f t="shared" si="36"/>
        <v>172679.97750000004</v>
      </c>
      <c r="JI14" s="207">
        <f t="shared" si="36"/>
        <v>172679.97750000004</v>
      </c>
      <c r="JJ14" s="207">
        <f t="shared" si="36"/>
        <v>172679.97750000004</v>
      </c>
      <c r="JK14" s="207">
        <f t="shared" si="36"/>
        <v>172679.97750000004</v>
      </c>
      <c r="JL14" s="207">
        <f t="shared" si="36"/>
        <v>172679.97750000004</v>
      </c>
      <c r="JM14" s="207">
        <f t="shared" si="36"/>
        <v>172679.97750000004</v>
      </c>
      <c r="JN14" s="207">
        <f t="shared" si="36"/>
        <v>172679.97750000004</v>
      </c>
      <c r="JO14" s="207">
        <f t="shared" si="36"/>
        <v>172679.97750000004</v>
      </c>
      <c r="JP14" s="207">
        <f t="shared" si="36"/>
        <v>172679.97750000004</v>
      </c>
      <c r="JQ14" s="207">
        <f t="shared" si="36"/>
        <v>172679.97750000004</v>
      </c>
      <c r="JR14" s="207">
        <f t="shared" si="36"/>
        <v>172679.97750000004</v>
      </c>
      <c r="JS14" s="207">
        <f t="shared" si="36"/>
        <v>172679.97750000004</v>
      </c>
      <c r="JT14" s="207">
        <f t="shared" si="36"/>
        <v>172679.97750000004</v>
      </c>
      <c r="JU14" s="207">
        <f t="shared" si="36"/>
        <v>172679.97750000004</v>
      </c>
      <c r="JV14" s="207">
        <f t="shared" si="36"/>
        <v>172679.97750000004</v>
      </c>
      <c r="JW14" s="207">
        <f t="shared" si="36"/>
        <v>172679.97750000004</v>
      </c>
      <c r="JX14" s="207">
        <f t="shared" si="36"/>
        <v>172679.97750000004</v>
      </c>
      <c r="JY14" s="207">
        <f t="shared" si="36"/>
        <v>172679.97750000004</v>
      </c>
      <c r="JZ14" s="207">
        <f t="shared" si="36"/>
        <v>172679.97750000004</v>
      </c>
      <c r="KA14" s="207">
        <f t="shared" si="36"/>
        <v>172679.97750000004</v>
      </c>
      <c r="KB14" s="207">
        <f t="shared" si="36"/>
        <v>172679.97750000004</v>
      </c>
      <c r="KC14" s="207">
        <f t="shared" si="36"/>
        <v>172679.97750000004</v>
      </c>
      <c r="KD14" s="207">
        <f t="shared" si="36"/>
        <v>172679.97750000004</v>
      </c>
      <c r="KE14" s="207">
        <f t="shared" si="36"/>
        <v>172679.97750000004</v>
      </c>
      <c r="KF14" s="207">
        <f t="shared" si="36"/>
        <v>172679.97750000004</v>
      </c>
      <c r="KG14" s="207">
        <f t="shared" si="36"/>
        <v>172679.97750000004</v>
      </c>
      <c r="KH14" s="207">
        <f t="shared" si="36"/>
        <v>172679.97750000004</v>
      </c>
      <c r="KI14" s="207">
        <f t="shared" si="36"/>
        <v>172679.97750000004</v>
      </c>
      <c r="KJ14" s="207">
        <f t="shared" si="36"/>
        <v>172679.97750000004</v>
      </c>
      <c r="KK14" s="207">
        <f t="shared" si="36"/>
        <v>172679.97750000004</v>
      </c>
      <c r="KL14" s="207">
        <f t="shared" si="36"/>
        <v>172679.97750000004</v>
      </c>
      <c r="KM14" s="207">
        <f t="shared" si="36"/>
        <v>172679.97750000004</v>
      </c>
      <c r="KN14" s="207">
        <f t="shared" si="36"/>
        <v>172679.97750000004</v>
      </c>
      <c r="KO14" s="207">
        <f t="shared" si="36"/>
        <v>172679.97750000004</v>
      </c>
      <c r="KP14" s="207">
        <f t="shared" si="36"/>
        <v>172679.97750000004</v>
      </c>
      <c r="KQ14" s="207">
        <f t="shared" si="36"/>
        <v>172679.97750000004</v>
      </c>
      <c r="KR14" s="207">
        <f t="shared" si="36"/>
        <v>172679.97750000004</v>
      </c>
      <c r="KS14" s="207">
        <f t="shared" si="36"/>
        <v>172679.97750000004</v>
      </c>
      <c r="KT14" s="207">
        <f t="shared" si="36"/>
        <v>172679.97750000004</v>
      </c>
      <c r="KU14" s="207">
        <f t="shared" si="36"/>
        <v>172679.97750000004</v>
      </c>
      <c r="KV14" s="207">
        <f t="shared" si="36"/>
        <v>172679.97750000004</v>
      </c>
      <c r="KW14" s="207">
        <f t="shared" si="36"/>
        <v>172679.97750000004</v>
      </c>
      <c r="KX14" s="207">
        <f t="shared" si="36"/>
        <v>172679.97750000004</v>
      </c>
      <c r="KY14" s="207">
        <f t="shared" si="36"/>
        <v>172679.97750000004</v>
      </c>
      <c r="KZ14" s="207">
        <f t="shared" si="36"/>
        <v>172679.97750000004</v>
      </c>
      <c r="LA14" s="207">
        <f t="shared" si="36"/>
        <v>172679.97750000004</v>
      </c>
      <c r="LB14" s="207">
        <f t="shared" si="36"/>
        <v>172679.97750000004</v>
      </c>
      <c r="LC14" s="207">
        <f t="shared" si="36"/>
        <v>172679.97750000004</v>
      </c>
      <c r="LD14" s="207">
        <f t="shared" si="36"/>
        <v>172679.97750000004</v>
      </c>
    </row>
    <row r="15" spans="1:794" s="191" customFormat="1"/>
    <row r="16" spans="1:794" s="191" customFormat="1">
      <c r="C16" s="193" t="s">
        <v>245</v>
      </c>
      <c r="D16" s="193" t="s">
        <v>245</v>
      </c>
    </row>
    <row r="17" spans="1:316">
      <c r="A17" s="803"/>
      <c r="B17" s="195" t="s">
        <v>426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116557.7538520541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3"/>
      <c r="B18" s="195" t="s">
        <v>427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2696545.3176201521</v>
      </c>
      <c r="BL18" s="214">
        <f t="shared" si="37"/>
        <v>2696545.3176201521</v>
      </c>
      <c r="BM18" s="214">
        <f t="shared" si="37"/>
        <v>2696545.3176201521</v>
      </c>
      <c r="BN18" s="214">
        <f t="shared" si="37"/>
        <v>2696545.3176201521</v>
      </c>
      <c r="BO18" s="214">
        <f t="shared" si="37"/>
        <v>2696545.3176201521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4296875" defaultRowHeight="14.5"/>
  <cols>
    <col min="1" max="1" width="39.453125" style="366" bestFit="1" customWidth="1"/>
    <col min="2" max="2" width="17.36328125" style="367" bestFit="1" customWidth="1"/>
    <col min="3" max="3" width="12" style="366" bestFit="1" customWidth="1"/>
    <col min="4" max="5" width="14.90625" style="366" bestFit="1" customWidth="1"/>
    <col min="6" max="8" width="12" style="366" bestFit="1" customWidth="1"/>
    <col min="9" max="11" width="11.6328125" style="366" bestFit="1" customWidth="1"/>
    <col min="12" max="12" width="4.90625" style="366" bestFit="1" customWidth="1"/>
    <col min="13" max="13" width="10.54296875" style="366" bestFit="1" customWidth="1"/>
    <col min="14" max="14" width="13.36328125" style="366" bestFit="1" customWidth="1"/>
    <col min="15" max="15" width="14.90625" style="366" bestFit="1" customWidth="1"/>
    <col min="16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428</v>
      </c>
      <c r="B3" s="452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430</v>
      </c>
      <c r="B4" t="s">
        <v>431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432</v>
      </c>
      <c r="P4"/>
      <c r="Q4"/>
      <c r="R4"/>
      <c r="S4"/>
      <c r="T4"/>
    </row>
    <row r="5" spans="1:20">
      <c r="A5" s="453" t="s">
        <v>431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248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261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274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288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309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323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330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354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357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361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373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381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387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369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432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53125" defaultRowHeight="14.5"/>
  <cols>
    <col min="1" max="1" width="21.6328125" bestFit="1" customWidth="1"/>
    <col min="2" max="2" width="17.36328125" style="413" bestFit="1" customWidth="1"/>
    <col min="3" max="3" width="12" style="413" bestFit="1" customWidth="1"/>
    <col min="4" max="5" width="14.90625" style="413" bestFit="1" customWidth="1"/>
    <col min="6" max="6" width="11" style="413" bestFit="1" customWidth="1"/>
    <col min="7" max="7" width="10.54296875" style="413" bestFit="1" customWidth="1"/>
    <col min="8" max="8" width="10.90625" style="413" bestFit="1" customWidth="1"/>
    <col min="9" max="9" width="13.36328125" style="413" bestFit="1" customWidth="1"/>
    <col min="10" max="10" width="13" bestFit="1" customWidth="1"/>
    <col min="11" max="11" width="11.6328125" bestFit="1" customWidth="1"/>
    <col min="12" max="12" width="14.54296875" bestFit="1" customWidth="1"/>
    <col min="13" max="13" width="12" bestFit="1" customWidth="1"/>
    <col min="14" max="14" width="13.36328125" bestFit="1" customWidth="1"/>
    <col min="15" max="15" width="14.90625" bestFit="1" customWidth="1"/>
    <col min="16" max="16" width="17" bestFit="1" customWidth="1"/>
    <col min="17" max="18" width="11.54296875" bestFit="1" customWidth="1"/>
    <col min="19" max="19" width="13.453125" bestFit="1" customWidth="1"/>
  </cols>
  <sheetData>
    <row r="3" spans="1:16">
      <c r="A3" s="452" t="s">
        <v>433</v>
      </c>
      <c r="B3" s="452" t="s">
        <v>429</v>
      </c>
      <c r="C3"/>
      <c r="D3"/>
      <c r="E3"/>
      <c r="F3"/>
      <c r="G3"/>
      <c r="H3"/>
      <c r="I3"/>
    </row>
    <row r="4" spans="1:16">
      <c r="A4" s="452" t="s">
        <v>430</v>
      </c>
      <c r="B4" t="s">
        <v>431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432</v>
      </c>
    </row>
    <row r="5" spans="1:16">
      <c r="A5" s="453" t="s">
        <v>431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248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261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274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288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309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323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330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354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357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361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373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381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387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369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328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432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5"/>
  <cols>
    <col min="1" max="1" width="6" customWidth="1"/>
    <col min="2" max="2" width="21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5" t="s">
        <v>434</v>
      </c>
      <c r="C2" s="805"/>
      <c r="D2" s="805"/>
      <c r="E2" s="805"/>
      <c r="H2" s="806" t="s">
        <v>435</v>
      </c>
      <c r="I2" s="807"/>
      <c r="J2" s="807"/>
      <c r="K2" s="807"/>
      <c r="L2" s="807"/>
      <c r="M2" s="807"/>
      <c r="N2" s="807"/>
      <c r="O2" s="808"/>
    </row>
    <row r="3" spans="2:15">
      <c r="B3" s="690"/>
      <c r="H3" s="809"/>
      <c r="I3" s="810"/>
      <c r="J3" s="810"/>
      <c r="K3" s="810"/>
      <c r="L3" s="810"/>
      <c r="M3" s="810"/>
      <c r="N3" s="810"/>
      <c r="O3" s="811"/>
    </row>
    <row r="4" spans="2:15">
      <c r="B4" s="691" t="s">
        <v>436</v>
      </c>
      <c r="C4" s="692" t="str">
        <f>'Project Plan'!E2</f>
        <v>Tskana Corner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91" t="s">
        <v>437</v>
      </c>
      <c r="C5" s="692" t="s">
        <v>438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91" t="s">
        <v>439</v>
      </c>
      <c r="C6" s="692" t="s">
        <v>440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91" t="s">
        <v>441</v>
      </c>
      <c r="C7" s="692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90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442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443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93" t="s">
        <v>444</v>
      </c>
      <c r="C11" s="804" t="s">
        <v>445</v>
      </c>
      <c r="D11" s="804"/>
      <c r="E11" s="804"/>
    </row>
    <row r="12" spans="2:15">
      <c r="B12" s="693" t="s">
        <v>446</v>
      </c>
      <c r="C12" s="804" t="s">
        <v>445</v>
      </c>
      <c r="D12" s="804"/>
      <c r="E12" s="804"/>
    </row>
    <row r="13" spans="2:15">
      <c r="B13" s="693" t="s">
        <v>447</v>
      </c>
      <c r="C13" s="804" t="s">
        <v>445</v>
      </c>
      <c r="D13" s="804"/>
      <c r="E13" s="804"/>
    </row>
    <row r="14" spans="2:15">
      <c r="B14" s="693" t="s">
        <v>448</v>
      </c>
      <c r="C14" s="804" t="s">
        <v>449</v>
      </c>
      <c r="D14" s="804"/>
      <c r="E14" s="804"/>
    </row>
    <row r="15" spans="2:15">
      <c r="B15" s="693" t="s">
        <v>450</v>
      </c>
      <c r="C15" s="804" t="s">
        <v>451</v>
      </c>
      <c r="D15" s="804"/>
      <c r="E15" s="804"/>
    </row>
    <row r="16" spans="2:15" ht="15" customHeight="1">
      <c r="B16" s="693" t="s">
        <v>452</v>
      </c>
      <c r="C16" s="804" t="s">
        <v>453</v>
      </c>
      <c r="D16" s="804"/>
      <c r="E16" s="804"/>
    </row>
    <row r="17" spans="2:5">
      <c r="B17" s="690"/>
    </row>
    <row r="18" spans="2:5">
      <c r="B18" s="816" t="s">
        <v>454</v>
      </c>
      <c r="C18" s="816"/>
      <c r="D18" s="816"/>
      <c r="E18" s="816"/>
    </row>
    <row r="19" spans="2:5">
      <c r="B19" s="693" t="s">
        <v>455</v>
      </c>
      <c r="C19" s="693" t="s">
        <v>456</v>
      </c>
      <c r="D19" s="693" t="s">
        <v>457</v>
      </c>
      <c r="E19" s="693" t="s">
        <v>62</v>
      </c>
    </row>
    <row r="20" spans="2:5" ht="15" customHeight="1">
      <c r="B20" s="693" t="s">
        <v>458</v>
      </c>
      <c r="C20" s="693" t="s">
        <v>459</v>
      </c>
      <c r="D20" s="694" t="s">
        <v>460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461</v>
      </c>
    </row>
    <row r="2" spans="1:4">
      <c r="A2" s="818"/>
      <c r="B2" s="818"/>
      <c r="C2" s="818"/>
      <c r="D2" s="71"/>
    </row>
    <row r="3" spans="1:4">
      <c r="A3" s="817" t="s">
        <v>462</v>
      </c>
      <c r="B3" s="817"/>
      <c r="C3" s="817"/>
      <c r="D3" s="111">
        <v>0.32</v>
      </c>
    </row>
    <row r="4" spans="1:4">
      <c r="A4" s="817" t="s">
        <v>403</v>
      </c>
      <c r="B4" s="817"/>
      <c r="C4" s="817"/>
      <c r="D4" s="111">
        <v>0.5</v>
      </c>
    </row>
    <row r="5" spans="1:4">
      <c r="A5" s="817" t="s">
        <v>414</v>
      </c>
      <c r="B5" s="817"/>
      <c r="C5" s="817"/>
      <c r="D5" s="111">
        <v>0.15</v>
      </c>
    </row>
    <row r="6" spans="1:4">
      <c r="A6" s="817" t="s">
        <v>463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9" t="s">
        <v>464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 ht="13">
      <c r="B4" s="92" t="s">
        <v>465</v>
      </c>
      <c r="C4" s="86"/>
      <c r="D4" s="90" t="s">
        <v>466</v>
      </c>
      <c r="E4" s="95"/>
      <c r="F4" s="90" t="s">
        <v>467</v>
      </c>
      <c r="H4" s="90" t="s">
        <v>468</v>
      </c>
      <c r="I4" s="95"/>
      <c r="J4" s="90" t="s">
        <v>469</v>
      </c>
      <c r="L4" s="90" t="s">
        <v>468</v>
      </c>
      <c r="M4" s="90"/>
      <c r="N4" s="90" t="s">
        <v>470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471</v>
      </c>
      <c r="H7" s="99"/>
      <c r="I7" s="95"/>
      <c r="J7" s="107" t="s">
        <v>471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471</v>
      </c>
      <c r="H15" s="99"/>
      <c r="I15" s="95"/>
      <c r="J15" s="107" t="s">
        <v>471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471</v>
      </c>
      <c r="H21" s="99"/>
      <c r="I21" s="95"/>
      <c r="J21" s="107" t="s">
        <v>471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471</v>
      </c>
      <c r="H27" s="99"/>
      <c r="I27" s="95"/>
      <c r="J27" s="107" t="s">
        <v>471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471</v>
      </c>
      <c r="H34" s="99"/>
      <c r="I34" s="95"/>
      <c r="J34" s="107" t="s">
        <v>471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9" t="s">
        <v>486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 ht="13">
      <c r="B4" s="92" t="s">
        <v>465</v>
      </c>
      <c r="C4" s="86"/>
      <c r="D4" s="90" t="s">
        <v>466</v>
      </c>
      <c r="E4" s="95"/>
      <c r="F4" s="95"/>
      <c r="G4" s="90" t="s">
        <v>487</v>
      </c>
      <c r="H4" s="96"/>
      <c r="J4" s="90" t="s">
        <v>468</v>
      </c>
      <c r="L4" s="90" t="s">
        <v>488</v>
      </c>
      <c r="M4" s="96"/>
      <c r="O4" s="90" t="s">
        <v>468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465</v>
      </c>
      <c r="C18" s="86"/>
      <c r="D18" s="90" t="s">
        <v>466</v>
      </c>
      <c r="E18" s="95"/>
      <c r="F18" s="95"/>
      <c r="G18" s="90" t="s">
        <v>490</v>
      </c>
      <c r="H18" s="96"/>
      <c r="J18" s="90" t="s">
        <v>468</v>
      </c>
      <c r="L18" s="90" t="s">
        <v>491</v>
      </c>
      <c r="M18" s="96"/>
      <c r="O18" s="90" t="s">
        <v>468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493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497</v>
      </c>
      <c r="C32" s="103"/>
      <c r="D32" s="103"/>
    </row>
    <row r="33" spans="2:4" ht="13" thickTop="1"/>
    <row r="34" spans="2:4">
      <c r="B34" s="88" t="s">
        <v>466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" customWidth="1"/>
    <col min="10" max="10" width="19.54296875" bestFit="1" customWidth="1"/>
  </cols>
  <sheetData>
    <row r="1" spans="2:14">
      <c r="B1" s="821" t="str">
        <f>D15</f>
        <v>Tskana Corner</v>
      </c>
      <c r="C1" s="821"/>
      <c r="D1" s="821"/>
      <c r="E1" s="820" t="s">
        <v>499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500</v>
      </c>
      <c r="C3" s="72" t="s">
        <v>501</v>
      </c>
      <c r="D3" s="72" t="s">
        <v>502</v>
      </c>
      <c r="E3" s="78" t="s">
        <v>503</v>
      </c>
      <c r="F3" s="78" t="s">
        <v>504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2026-02-16T09:30:45Z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