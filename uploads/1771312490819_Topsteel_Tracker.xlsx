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86" documentId="13_ncr:1_{FBFBC14D-909F-4008-9838-60FF7B132C96}" xr6:coauthVersionLast="47" xr6:coauthVersionMax="47" xr10:uidLastSave="{8B19F174-3B0A-485D-AFFF-7C7E0FB08BA4}"/>
  <bookViews>
    <workbookView xWindow="-98" yWindow="-98" windowWidth="21795" windowHeight="12975" tabRatio="761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M21" i="2"/>
  <c r="M28" i="2"/>
  <c r="Q6" i="18"/>
  <c r="N35" i="2"/>
  <c r="M35" i="2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K26" i="2"/>
  <c r="K25" i="2"/>
  <c r="K23" i="2" l="1"/>
  <c r="K21" i="2" s="1"/>
  <c r="I21" i="2"/>
  <c r="J21" i="2" l="1"/>
  <c r="K37" i="2"/>
  <c r="I35" i="2"/>
  <c r="K35" i="2" l="1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47" i="18" s="1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N21" i="2" s="1"/>
  <c r="M18" i="2"/>
  <c r="U14" i="2"/>
  <c r="H17" i="5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N28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<sst xmlns="http://schemas.openxmlformats.org/spreadsheetml/2006/main" count="788" uniqueCount="434">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</sst>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41</c:v>
                  </c:pt>
                  <c:pt idx="3">
                    <c:v>43</c:v>
                  </c:pt>
                  <c:pt idx="4">
                    <c:v>34</c:v>
                  </c:pt>
                  <c:pt idx="5">
                    <c:v>9</c:v>
                  </c:pt>
                  <c:pt idx="6">
                    <c:v>6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46092</c:v>
                </c:pt>
                <c:pt idx="6">
                  <c:v>46094</c:v>
                </c:pt>
                <c:pt idx="7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342649.85100000002</c:v>
                </c:pt>
                <c:pt idx="18">
                  <c:v>342649.85100000002</c:v>
                </c:pt>
                <c:pt idx="19">
                  <c:v>501753.49470629415</c:v>
                </c:pt>
                <c:pt idx="20">
                  <c:v>1477243.5797062942</c:v>
                </c:pt>
                <c:pt idx="21">
                  <c:v>1577595.1997062941</c:v>
                </c:pt>
                <c:pt idx="22">
                  <c:v>1578776.4497062941</c:v>
                </c:pt>
                <c:pt idx="23">
                  <c:v>1604732.5887062941</c:v>
                </c:pt>
                <c:pt idx="24">
                  <c:v>1604732.5887062941</c:v>
                </c:pt>
                <c:pt idx="25">
                  <c:v>1604732.5887062941</c:v>
                </c:pt>
                <c:pt idx="26">
                  <c:v>1605913.8387062941</c:v>
                </c:pt>
                <c:pt idx="27">
                  <c:v>1605913.8387062941</c:v>
                </c:pt>
                <c:pt idx="28">
                  <c:v>1605913.8387062941</c:v>
                </c:pt>
                <c:pt idx="29">
                  <c:v>1665913.8387062941</c:v>
                </c:pt>
                <c:pt idx="30">
                  <c:v>1665913.8387062941</c:v>
                </c:pt>
                <c:pt idx="31">
                  <c:v>1665913.8387062941</c:v>
                </c:pt>
                <c:pt idx="32">
                  <c:v>1665913.8387062941</c:v>
                </c:pt>
                <c:pt idx="33">
                  <c:v>1665913.8387062941</c:v>
                </c:pt>
                <c:pt idx="34">
                  <c:v>1665913.8387062941</c:v>
                </c:pt>
                <c:pt idx="35">
                  <c:v>1665913.8387062941</c:v>
                </c:pt>
                <c:pt idx="36">
                  <c:v>1665913.8387062941</c:v>
                </c:pt>
                <c:pt idx="37">
                  <c:v>1665913.8387062941</c:v>
                </c:pt>
                <c:pt idx="38">
                  <c:v>1665913.8387062941</c:v>
                </c:pt>
                <c:pt idx="39">
                  <c:v>1665913.8387062941</c:v>
                </c:pt>
                <c:pt idx="40">
                  <c:v>1665913.8387062941</c:v>
                </c:pt>
                <c:pt idx="41">
                  <c:v>1665913.8387062941</c:v>
                </c:pt>
                <c:pt idx="42">
                  <c:v>1665913.8387062941</c:v>
                </c:pt>
                <c:pt idx="43">
                  <c:v>1665913.8387062941</c:v>
                </c:pt>
                <c:pt idx="44">
                  <c:v>1665913.8387062941</c:v>
                </c:pt>
                <c:pt idx="45">
                  <c:v>1665913.8387062941</c:v>
                </c:pt>
                <c:pt idx="46">
                  <c:v>1665913.8387062941</c:v>
                </c:pt>
                <c:pt idx="47">
                  <c:v>1665913.8387062941</c:v>
                </c:pt>
                <c:pt idx="48">
                  <c:v>1665913.8387062941</c:v>
                </c:pt>
                <c:pt idx="49">
                  <c:v>1665913.8387062941</c:v>
                </c:pt>
                <c:pt idx="50">
                  <c:v>1665913.8387062941</c:v>
                </c:pt>
                <c:pt idx="51">
                  <c:v>1665913.8387062941</c:v>
                </c:pt>
                <c:pt idx="52">
                  <c:v>1665913.8387062941</c:v>
                </c:pt>
                <c:pt idx="53">
                  <c:v>1665913.8387062941</c:v>
                </c:pt>
                <c:pt idx="54">
                  <c:v>1665913.8387062941</c:v>
                </c:pt>
                <c:pt idx="55">
                  <c:v>1665913.8387062941</c:v>
                </c:pt>
                <c:pt idx="56">
                  <c:v>1665913.8387062941</c:v>
                </c:pt>
                <c:pt idx="57">
                  <c:v>1665913.8387062941</c:v>
                </c:pt>
                <c:pt idx="58">
                  <c:v>1665913.8387062941</c:v>
                </c:pt>
                <c:pt idx="59">
                  <c:v>1665913.8387062941</c:v>
                </c:pt>
                <c:pt idx="60">
                  <c:v>1665913.8387062941</c:v>
                </c:pt>
                <c:pt idx="61">
                  <c:v>1665913.8387062941</c:v>
                </c:pt>
                <c:pt idx="62">
                  <c:v>1665913.8387062941</c:v>
                </c:pt>
                <c:pt idx="63">
                  <c:v>1665913.8387062941</c:v>
                </c:pt>
                <c:pt idx="64">
                  <c:v>1665913.8387062941</c:v>
                </c:pt>
                <c:pt idx="65">
                  <c:v>1665913.8387062941</c:v>
                </c:pt>
                <c:pt idx="66">
                  <c:v>1665913.8387062941</c:v>
                </c:pt>
                <c:pt idx="67">
                  <c:v>1665913.8387062941</c:v>
                </c:pt>
                <c:pt idx="68">
                  <c:v>1665913.8387062941</c:v>
                </c:pt>
                <c:pt idx="69">
                  <c:v>1665913.8387062941</c:v>
                </c:pt>
                <c:pt idx="70">
                  <c:v>1665913.8387062941</c:v>
                </c:pt>
                <c:pt idx="71">
                  <c:v>1665913.8387062941</c:v>
                </c:pt>
                <c:pt idx="72">
                  <c:v>1665913.8387062941</c:v>
                </c:pt>
                <c:pt idx="73">
                  <c:v>1665913.8387062941</c:v>
                </c:pt>
                <c:pt idx="74">
                  <c:v>1665913.8387062941</c:v>
                </c:pt>
                <c:pt idx="75">
                  <c:v>1665913.8387062941</c:v>
                </c:pt>
                <c:pt idx="76">
                  <c:v>1665913.8387062941</c:v>
                </c:pt>
                <c:pt idx="77">
                  <c:v>1665913.8387062941</c:v>
                </c:pt>
                <c:pt idx="78">
                  <c:v>1665913.8387062941</c:v>
                </c:pt>
                <c:pt idx="79">
                  <c:v>1665913.8387062941</c:v>
                </c:pt>
                <c:pt idx="80">
                  <c:v>1665913.8387062941</c:v>
                </c:pt>
                <c:pt idx="81">
                  <c:v>1665913.8387062941</c:v>
                </c:pt>
                <c:pt idx="82">
                  <c:v>1665913.8387062941</c:v>
                </c:pt>
                <c:pt idx="83">
                  <c:v>1665913.8387062941</c:v>
                </c:pt>
                <c:pt idx="84">
                  <c:v>1665913.8387062941</c:v>
                </c:pt>
                <c:pt idx="85">
                  <c:v>1665913.8387062941</c:v>
                </c:pt>
                <c:pt idx="86">
                  <c:v>1665913.8387062941</c:v>
                </c:pt>
                <c:pt idx="87">
                  <c:v>1665913.8387062941</c:v>
                </c:pt>
                <c:pt idx="88">
                  <c:v>1665913.8387062941</c:v>
                </c:pt>
                <c:pt idx="89">
                  <c:v>1665913.8387062941</c:v>
                </c:pt>
                <c:pt idx="90">
                  <c:v>1665913.8387062941</c:v>
                </c:pt>
                <c:pt idx="91">
                  <c:v>1665913.8387062941</c:v>
                </c:pt>
                <c:pt idx="92">
                  <c:v>1665913.8387062941</c:v>
                </c:pt>
                <c:pt idx="93">
                  <c:v>1665913.8387062941</c:v>
                </c:pt>
                <c:pt idx="94">
                  <c:v>1665913.8387062941</c:v>
                </c:pt>
                <c:pt idx="95">
                  <c:v>1665913.8387062941</c:v>
                </c:pt>
                <c:pt idx="96">
                  <c:v>1665913.8387062941</c:v>
                </c:pt>
                <c:pt idx="97">
                  <c:v>1665913.8387062941</c:v>
                </c:pt>
                <c:pt idx="98">
                  <c:v>1665913.8387062941</c:v>
                </c:pt>
                <c:pt idx="99">
                  <c:v>1665913.8387062941</c:v>
                </c:pt>
                <c:pt idx="100">
                  <c:v>1665913.8387062941</c:v>
                </c:pt>
                <c:pt idx="101">
                  <c:v>1665913.8387062941</c:v>
                </c:pt>
                <c:pt idx="102">
                  <c:v>1665913.8387062941</c:v>
                </c:pt>
                <c:pt idx="103">
                  <c:v>1665913.8387062941</c:v>
                </c:pt>
                <c:pt idx="104">
                  <c:v>1665913.8387062941</c:v>
                </c:pt>
                <c:pt idx="105">
                  <c:v>1665913.8387062941</c:v>
                </c:pt>
                <c:pt idx="106">
                  <c:v>1665913.8387062941</c:v>
                </c:pt>
                <c:pt idx="107">
                  <c:v>1665913.8387062941</c:v>
                </c:pt>
                <c:pt idx="108">
                  <c:v>1665913.8387062941</c:v>
                </c:pt>
                <c:pt idx="109">
                  <c:v>1665913.8387062941</c:v>
                </c:pt>
                <c:pt idx="110">
                  <c:v>1665913.8387062941</c:v>
                </c:pt>
                <c:pt idx="111">
                  <c:v>1665913.8387062941</c:v>
                </c:pt>
                <c:pt idx="112">
                  <c:v>1665913.8387062941</c:v>
                </c:pt>
                <c:pt idx="113">
                  <c:v>1665913.8387062941</c:v>
                </c:pt>
                <c:pt idx="114">
                  <c:v>1665913.8387062941</c:v>
                </c:pt>
                <c:pt idx="115">
                  <c:v>1665913.8387062941</c:v>
                </c:pt>
                <c:pt idx="116">
                  <c:v>1665913.8387062941</c:v>
                </c:pt>
                <c:pt idx="117">
                  <c:v>1665913.8387062941</c:v>
                </c:pt>
                <c:pt idx="118">
                  <c:v>1665913.8387062941</c:v>
                </c:pt>
                <c:pt idx="119">
                  <c:v>1665913.8387062941</c:v>
                </c:pt>
                <c:pt idx="120">
                  <c:v>1665913.8387062941</c:v>
                </c:pt>
                <c:pt idx="121">
                  <c:v>1665913.8387062941</c:v>
                </c:pt>
                <c:pt idx="122">
                  <c:v>1665913.8387062941</c:v>
                </c:pt>
                <c:pt idx="123">
                  <c:v>1665913.8387062941</c:v>
                </c:pt>
                <c:pt idx="124">
                  <c:v>1665913.8387062941</c:v>
                </c:pt>
                <c:pt idx="125">
                  <c:v>1665913.8387062941</c:v>
                </c:pt>
                <c:pt idx="126">
                  <c:v>1665913.8387062941</c:v>
                </c:pt>
                <c:pt idx="127">
                  <c:v>1665913.8387062941</c:v>
                </c:pt>
                <c:pt idx="128">
                  <c:v>1665913.8387062941</c:v>
                </c:pt>
                <c:pt idx="129">
                  <c:v>1665913.8387062941</c:v>
                </c:pt>
                <c:pt idx="130">
                  <c:v>1665913.8387062941</c:v>
                </c:pt>
                <c:pt idx="131">
                  <c:v>1665913.8387062941</c:v>
                </c:pt>
                <c:pt idx="132">
                  <c:v>1665913.8387062941</c:v>
                </c:pt>
                <c:pt idx="133">
                  <c:v>1665913.8387062941</c:v>
                </c:pt>
                <c:pt idx="134">
                  <c:v>1665913.8387062941</c:v>
                </c:pt>
                <c:pt idx="135">
                  <c:v>1665913.8387062941</c:v>
                </c:pt>
                <c:pt idx="136">
                  <c:v>1665913.8387062941</c:v>
                </c:pt>
                <c:pt idx="137">
                  <c:v>1665913.8387062941</c:v>
                </c:pt>
                <c:pt idx="138">
                  <c:v>1665913.8387062941</c:v>
                </c:pt>
                <c:pt idx="139">
                  <c:v>1665913.8387062941</c:v>
                </c:pt>
                <c:pt idx="140">
                  <c:v>1665913.8387062941</c:v>
                </c:pt>
                <c:pt idx="141">
                  <c:v>1665913.8387062941</c:v>
                </c:pt>
                <c:pt idx="142">
                  <c:v>1665913.8387062941</c:v>
                </c:pt>
                <c:pt idx="143">
                  <c:v>1665913.8387062941</c:v>
                </c:pt>
                <c:pt idx="144">
                  <c:v>1665913.8387062941</c:v>
                </c:pt>
                <c:pt idx="145">
                  <c:v>1665913.8387062941</c:v>
                </c:pt>
                <c:pt idx="146">
                  <c:v>1665913.8387062941</c:v>
                </c:pt>
                <c:pt idx="147">
                  <c:v>1665913.8387062941</c:v>
                </c:pt>
                <c:pt idx="148">
                  <c:v>1665913.8387062941</c:v>
                </c:pt>
                <c:pt idx="149">
                  <c:v>1665913.8387062941</c:v>
                </c:pt>
                <c:pt idx="150">
                  <c:v>1665913.8387062941</c:v>
                </c:pt>
                <c:pt idx="151">
                  <c:v>1665913.8387062941</c:v>
                </c:pt>
                <c:pt idx="152">
                  <c:v>1665913.8387062941</c:v>
                </c:pt>
                <c:pt idx="153">
                  <c:v>1665913.8387062941</c:v>
                </c:pt>
                <c:pt idx="154">
                  <c:v>1665913.8387062941</c:v>
                </c:pt>
                <c:pt idx="155">
                  <c:v>1665913.8387062941</c:v>
                </c:pt>
                <c:pt idx="156">
                  <c:v>1665913.8387062941</c:v>
                </c:pt>
                <c:pt idx="157">
                  <c:v>1665913.8387062941</c:v>
                </c:pt>
                <c:pt idx="158">
                  <c:v>1665913.8387062941</c:v>
                </c:pt>
                <c:pt idx="159">
                  <c:v>1665913.8387062941</c:v>
                </c:pt>
                <c:pt idx="160">
                  <c:v>1665913.8387062941</c:v>
                </c:pt>
                <c:pt idx="161">
                  <c:v>1665913.8387062941</c:v>
                </c:pt>
                <c:pt idx="162">
                  <c:v>1665913.8387062941</c:v>
                </c:pt>
                <c:pt idx="163">
                  <c:v>1665913.8387062941</c:v>
                </c:pt>
                <c:pt idx="164">
                  <c:v>1665913.8387062941</c:v>
                </c:pt>
                <c:pt idx="165">
                  <c:v>1665913.8387062941</c:v>
                </c:pt>
                <c:pt idx="166">
                  <c:v>1665913.8387062941</c:v>
                </c:pt>
                <c:pt idx="167">
                  <c:v>1665913.8387062941</c:v>
                </c:pt>
                <c:pt idx="168">
                  <c:v>1665913.8387062941</c:v>
                </c:pt>
                <c:pt idx="169">
                  <c:v>1665913.8387062941</c:v>
                </c:pt>
                <c:pt idx="170">
                  <c:v>1665913.8387062941</c:v>
                </c:pt>
                <c:pt idx="171">
                  <c:v>1665913.8387062941</c:v>
                </c:pt>
                <c:pt idx="172">
                  <c:v>1665913.8387062941</c:v>
                </c:pt>
                <c:pt idx="173">
                  <c:v>1665913.8387062941</c:v>
                </c:pt>
                <c:pt idx="174">
                  <c:v>1665913.8387062941</c:v>
                </c:pt>
                <c:pt idx="175">
                  <c:v>1665913.8387062941</c:v>
                </c:pt>
                <c:pt idx="176">
                  <c:v>1665913.8387062941</c:v>
                </c:pt>
                <c:pt idx="177">
                  <c:v>1665913.8387062941</c:v>
                </c:pt>
                <c:pt idx="178">
                  <c:v>1665913.8387062941</c:v>
                </c:pt>
                <c:pt idx="179">
                  <c:v>1665913.8387062941</c:v>
                </c:pt>
                <c:pt idx="180">
                  <c:v>1665913.8387062941</c:v>
                </c:pt>
                <c:pt idx="181">
                  <c:v>1665913.8387062941</c:v>
                </c:pt>
                <c:pt idx="182">
                  <c:v>1665913.8387062941</c:v>
                </c:pt>
                <c:pt idx="183">
                  <c:v>1665913.8387062941</c:v>
                </c:pt>
                <c:pt idx="184">
                  <c:v>1665913.8387062941</c:v>
                </c:pt>
                <c:pt idx="185">
                  <c:v>1665913.8387062941</c:v>
                </c:pt>
                <c:pt idx="186">
                  <c:v>1665913.8387062941</c:v>
                </c:pt>
                <c:pt idx="187">
                  <c:v>1665913.8387062941</c:v>
                </c:pt>
                <c:pt idx="188">
                  <c:v>1665913.8387062941</c:v>
                </c:pt>
                <c:pt idx="189">
                  <c:v>1665913.8387062941</c:v>
                </c:pt>
                <c:pt idx="190">
                  <c:v>1665913.8387062941</c:v>
                </c:pt>
                <c:pt idx="191">
                  <c:v>1665913.8387062941</c:v>
                </c:pt>
                <c:pt idx="192">
                  <c:v>1665913.8387062941</c:v>
                </c:pt>
                <c:pt idx="193">
                  <c:v>1665913.8387062941</c:v>
                </c:pt>
                <c:pt idx="194">
                  <c:v>1665913.8387062941</c:v>
                </c:pt>
                <c:pt idx="195">
                  <c:v>1665913.8387062941</c:v>
                </c:pt>
                <c:pt idx="196">
                  <c:v>1665913.8387062941</c:v>
                </c:pt>
                <c:pt idx="197">
                  <c:v>1665913.8387062941</c:v>
                </c:pt>
                <c:pt idx="198">
                  <c:v>1665913.8387062941</c:v>
                </c:pt>
                <c:pt idx="199">
                  <c:v>1665913.8387062941</c:v>
                </c:pt>
                <c:pt idx="200">
                  <c:v>1665913.8387062941</c:v>
                </c:pt>
                <c:pt idx="201">
                  <c:v>1665913.8387062941</c:v>
                </c:pt>
                <c:pt idx="202">
                  <c:v>1665913.8387062941</c:v>
                </c:pt>
                <c:pt idx="203">
                  <c:v>1665913.8387062941</c:v>
                </c:pt>
                <c:pt idx="204">
                  <c:v>1665913.8387062941</c:v>
                </c:pt>
                <c:pt idx="205">
                  <c:v>1665913.8387062941</c:v>
                </c:pt>
                <c:pt idx="206">
                  <c:v>1665913.8387062941</c:v>
                </c:pt>
                <c:pt idx="207">
                  <c:v>1665913.8387062941</c:v>
                </c:pt>
                <c:pt idx="208">
                  <c:v>1665913.8387062941</c:v>
                </c:pt>
                <c:pt idx="209">
                  <c:v>1665913.8387062941</c:v>
                </c:pt>
                <c:pt idx="210">
                  <c:v>1665913.8387062941</c:v>
                </c:pt>
                <c:pt idx="211">
                  <c:v>1665913.8387062941</c:v>
                </c:pt>
                <c:pt idx="212">
                  <c:v>1665913.8387062941</c:v>
                </c:pt>
                <c:pt idx="213">
                  <c:v>1665913.8387062941</c:v>
                </c:pt>
                <c:pt idx="214">
                  <c:v>1665913.8387062941</c:v>
                </c:pt>
                <c:pt idx="215">
                  <c:v>1665913.8387062941</c:v>
                </c:pt>
                <c:pt idx="216">
                  <c:v>1665913.8387062941</c:v>
                </c:pt>
                <c:pt idx="217">
                  <c:v>1665913.8387062941</c:v>
                </c:pt>
                <c:pt idx="218">
                  <c:v>1665913.8387062941</c:v>
                </c:pt>
                <c:pt idx="219">
                  <c:v>1665913.8387062941</c:v>
                </c:pt>
                <c:pt idx="220">
                  <c:v>1665913.8387062941</c:v>
                </c:pt>
                <c:pt idx="221">
                  <c:v>1665913.8387062941</c:v>
                </c:pt>
                <c:pt idx="222">
                  <c:v>1665913.8387062941</c:v>
                </c:pt>
                <c:pt idx="223">
                  <c:v>1665913.8387062941</c:v>
                </c:pt>
                <c:pt idx="224">
                  <c:v>1665913.8387062941</c:v>
                </c:pt>
                <c:pt idx="225">
                  <c:v>1665913.8387062941</c:v>
                </c:pt>
                <c:pt idx="226">
                  <c:v>1665913.8387062941</c:v>
                </c:pt>
                <c:pt idx="227">
                  <c:v>1665913.8387062941</c:v>
                </c:pt>
                <c:pt idx="228">
                  <c:v>1665913.8387062941</c:v>
                </c:pt>
                <c:pt idx="229">
                  <c:v>1665913.8387062941</c:v>
                </c:pt>
                <c:pt idx="230">
                  <c:v>1665913.8387062941</c:v>
                </c:pt>
                <c:pt idx="231">
                  <c:v>1665913.8387062941</c:v>
                </c:pt>
                <c:pt idx="232">
                  <c:v>1665913.8387062941</c:v>
                </c:pt>
                <c:pt idx="233">
                  <c:v>1665913.8387062941</c:v>
                </c:pt>
                <c:pt idx="234">
                  <c:v>1665913.8387062941</c:v>
                </c:pt>
                <c:pt idx="235">
                  <c:v>1665913.8387062941</c:v>
                </c:pt>
                <c:pt idx="236">
                  <c:v>1665913.8387062941</c:v>
                </c:pt>
                <c:pt idx="237">
                  <c:v>1665913.8387062941</c:v>
                </c:pt>
                <c:pt idx="238">
                  <c:v>1665913.8387062941</c:v>
                </c:pt>
                <c:pt idx="239">
                  <c:v>1665913.8387062941</c:v>
                </c:pt>
                <c:pt idx="240">
                  <c:v>1665913.8387062941</c:v>
                </c:pt>
                <c:pt idx="241">
                  <c:v>1665913.8387062941</c:v>
                </c:pt>
                <c:pt idx="242">
                  <c:v>1665913.8387062941</c:v>
                </c:pt>
                <c:pt idx="243">
                  <c:v>1665913.8387062941</c:v>
                </c:pt>
                <c:pt idx="244">
                  <c:v>1665913.8387062941</c:v>
                </c:pt>
                <c:pt idx="245">
                  <c:v>1665913.8387062941</c:v>
                </c:pt>
                <c:pt idx="246">
                  <c:v>1665913.8387062941</c:v>
                </c:pt>
                <c:pt idx="247">
                  <c:v>1665913.8387062941</c:v>
                </c:pt>
                <c:pt idx="248">
                  <c:v>1665913.8387062941</c:v>
                </c:pt>
                <c:pt idx="249">
                  <c:v>1665913.8387062941</c:v>
                </c:pt>
                <c:pt idx="250">
                  <c:v>1665913.8387062941</c:v>
                </c:pt>
                <c:pt idx="251">
                  <c:v>1665913.8387062941</c:v>
                </c:pt>
                <c:pt idx="252">
                  <c:v>1665913.8387062941</c:v>
                </c:pt>
                <c:pt idx="253">
                  <c:v>1665913.8387062941</c:v>
                </c:pt>
                <c:pt idx="254">
                  <c:v>1665913.8387062941</c:v>
                </c:pt>
                <c:pt idx="255">
                  <c:v>1665913.8387062941</c:v>
                </c:pt>
                <c:pt idx="256">
                  <c:v>1665913.8387062941</c:v>
                </c:pt>
                <c:pt idx="257">
                  <c:v>1665913.8387062941</c:v>
                </c:pt>
                <c:pt idx="258">
                  <c:v>1665913.8387062941</c:v>
                </c:pt>
                <c:pt idx="259">
                  <c:v>1665913.8387062941</c:v>
                </c:pt>
                <c:pt idx="260">
                  <c:v>1665913.8387062941</c:v>
                </c:pt>
                <c:pt idx="261">
                  <c:v>1665913.8387062941</c:v>
                </c:pt>
                <c:pt idx="262">
                  <c:v>1665913.8387062941</c:v>
                </c:pt>
                <c:pt idx="263">
                  <c:v>1665913.8387062941</c:v>
                </c:pt>
                <c:pt idx="264">
                  <c:v>1665913.8387062941</c:v>
                </c:pt>
                <c:pt idx="265">
                  <c:v>1665913.8387062941</c:v>
                </c:pt>
                <c:pt idx="266">
                  <c:v>1665913.8387062941</c:v>
                </c:pt>
                <c:pt idx="267">
                  <c:v>1665913.8387062941</c:v>
                </c:pt>
                <c:pt idx="268">
                  <c:v>1665913.8387062941</c:v>
                </c:pt>
                <c:pt idx="269">
                  <c:v>1665913.8387062941</c:v>
                </c:pt>
                <c:pt idx="270">
                  <c:v>1665913.8387062941</c:v>
                </c:pt>
                <c:pt idx="271">
                  <c:v>1665913.8387062941</c:v>
                </c:pt>
                <c:pt idx="272">
                  <c:v>1665913.8387062941</c:v>
                </c:pt>
                <c:pt idx="273">
                  <c:v>1665913.8387062941</c:v>
                </c:pt>
                <c:pt idx="274">
                  <c:v>1665913.8387062941</c:v>
                </c:pt>
                <c:pt idx="275">
                  <c:v>1665913.8387062941</c:v>
                </c:pt>
                <c:pt idx="276">
                  <c:v>1665913.8387062941</c:v>
                </c:pt>
                <c:pt idx="277">
                  <c:v>1665913.8387062941</c:v>
                </c:pt>
                <c:pt idx="278">
                  <c:v>1665913.8387062941</c:v>
                </c:pt>
                <c:pt idx="279">
                  <c:v>1665913.8387062941</c:v>
                </c:pt>
                <c:pt idx="280">
                  <c:v>1665913.8387062941</c:v>
                </c:pt>
                <c:pt idx="281">
                  <c:v>1665913.8387062941</c:v>
                </c:pt>
                <c:pt idx="282">
                  <c:v>1665913.8387062941</c:v>
                </c:pt>
                <c:pt idx="283">
                  <c:v>1665913.8387062941</c:v>
                </c:pt>
                <c:pt idx="284">
                  <c:v>1665913.8387062941</c:v>
                </c:pt>
                <c:pt idx="285">
                  <c:v>1665913.8387062941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1788716.4670280025</c:v>
                </c:pt>
                <c:pt idx="17">
                  <c:v>1651310.6610280024</c:v>
                </c:pt>
                <c:pt idx="18">
                  <c:v>1651310.6610280024</c:v>
                </c:pt>
                <c:pt idx="19">
                  <c:v>1492207.0173217081</c:v>
                </c:pt>
                <c:pt idx="20">
                  <c:v>516716.93232170818</c:v>
                </c:pt>
                <c:pt idx="21">
                  <c:v>416365.3123217083</c:v>
                </c:pt>
                <c:pt idx="22">
                  <c:v>649767.65197206149</c:v>
                </c:pt>
                <c:pt idx="23">
                  <c:v>741103.30779723823</c:v>
                </c:pt>
                <c:pt idx="24">
                  <c:v>741103.30779723823</c:v>
                </c:pt>
                <c:pt idx="25">
                  <c:v>741103.30779723823</c:v>
                </c:pt>
                <c:pt idx="26">
                  <c:v>739922.05779723823</c:v>
                </c:pt>
                <c:pt idx="27">
                  <c:v>739922.05779723823</c:v>
                </c:pt>
                <c:pt idx="28">
                  <c:v>739922.05779723823</c:v>
                </c:pt>
                <c:pt idx="29">
                  <c:v>679922.05779723823</c:v>
                </c:pt>
                <c:pt idx="30">
                  <c:v>679922.05779723823</c:v>
                </c:pt>
                <c:pt idx="31">
                  <c:v>679922.05779723823</c:v>
                </c:pt>
                <c:pt idx="32">
                  <c:v>679922.05779723823</c:v>
                </c:pt>
                <c:pt idx="33">
                  <c:v>679922.05779723823</c:v>
                </c:pt>
                <c:pt idx="34">
                  <c:v>679922.05779723823</c:v>
                </c:pt>
                <c:pt idx="35">
                  <c:v>679922.05779723823</c:v>
                </c:pt>
                <c:pt idx="36">
                  <c:v>679922.05779723823</c:v>
                </c:pt>
                <c:pt idx="37">
                  <c:v>679922.05779723823</c:v>
                </c:pt>
                <c:pt idx="38">
                  <c:v>679922.05779723823</c:v>
                </c:pt>
                <c:pt idx="39">
                  <c:v>679922.05779723823</c:v>
                </c:pt>
                <c:pt idx="40">
                  <c:v>679922.05779723823</c:v>
                </c:pt>
                <c:pt idx="41">
                  <c:v>679922.05779723823</c:v>
                </c:pt>
                <c:pt idx="42">
                  <c:v>679922.05779723823</c:v>
                </c:pt>
                <c:pt idx="43">
                  <c:v>679922.05779723823</c:v>
                </c:pt>
                <c:pt idx="44">
                  <c:v>679922.05779723823</c:v>
                </c:pt>
                <c:pt idx="45">
                  <c:v>679922.05779723823</c:v>
                </c:pt>
                <c:pt idx="46">
                  <c:v>679922.05779723823</c:v>
                </c:pt>
                <c:pt idx="47">
                  <c:v>679922.05779723823</c:v>
                </c:pt>
                <c:pt idx="48">
                  <c:v>679922.05779723823</c:v>
                </c:pt>
                <c:pt idx="49">
                  <c:v>679922.05779723823</c:v>
                </c:pt>
                <c:pt idx="50">
                  <c:v>679922.05779723823</c:v>
                </c:pt>
                <c:pt idx="51">
                  <c:v>679922.05779723823</c:v>
                </c:pt>
                <c:pt idx="52">
                  <c:v>679922.05779723823</c:v>
                </c:pt>
                <c:pt idx="53">
                  <c:v>679922.05779723823</c:v>
                </c:pt>
                <c:pt idx="54">
                  <c:v>679922.05779723823</c:v>
                </c:pt>
                <c:pt idx="55">
                  <c:v>679922.05779723823</c:v>
                </c:pt>
                <c:pt idx="56">
                  <c:v>679922.05779723823</c:v>
                </c:pt>
                <c:pt idx="57">
                  <c:v>679922.05779723823</c:v>
                </c:pt>
                <c:pt idx="58">
                  <c:v>679922.05779723823</c:v>
                </c:pt>
                <c:pt idx="59">
                  <c:v>679922.05779723823</c:v>
                </c:pt>
                <c:pt idx="60">
                  <c:v>679922.05779723823</c:v>
                </c:pt>
                <c:pt idx="61">
                  <c:v>679922.05779723823</c:v>
                </c:pt>
                <c:pt idx="62">
                  <c:v>679922.05779723823</c:v>
                </c:pt>
                <c:pt idx="63">
                  <c:v>679922.05779723823</c:v>
                </c:pt>
                <c:pt idx="64">
                  <c:v>679922.05779723823</c:v>
                </c:pt>
                <c:pt idx="65">
                  <c:v>679922.05779723823</c:v>
                </c:pt>
                <c:pt idx="66">
                  <c:v>679922.05779723823</c:v>
                </c:pt>
                <c:pt idx="67">
                  <c:v>679922.05779723823</c:v>
                </c:pt>
                <c:pt idx="68">
                  <c:v>679922.05779723823</c:v>
                </c:pt>
                <c:pt idx="69">
                  <c:v>679922.05779723823</c:v>
                </c:pt>
                <c:pt idx="70">
                  <c:v>679922.05779723823</c:v>
                </c:pt>
                <c:pt idx="71">
                  <c:v>679922.05779723823</c:v>
                </c:pt>
                <c:pt idx="72">
                  <c:v>679922.05779723823</c:v>
                </c:pt>
                <c:pt idx="73">
                  <c:v>679922.05779723823</c:v>
                </c:pt>
                <c:pt idx="74">
                  <c:v>679922.05779723823</c:v>
                </c:pt>
                <c:pt idx="75">
                  <c:v>679922.05779723823</c:v>
                </c:pt>
                <c:pt idx="76">
                  <c:v>679922.05779723823</c:v>
                </c:pt>
                <c:pt idx="77">
                  <c:v>679922.05779723823</c:v>
                </c:pt>
                <c:pt idx="78">
                  <c:v>679922.05779723823</c:v>
                </c:pt>
                <c:pt idx="79">
                  <c:v>679922.05779723823</c:v>
                </c:pt>
                <c:pt idx="80">
                  <c:v>679922.05779723823</c:v>
                </c:pt>
                <c:pt idx="81">
                  <c:v>679922.05779723823</c:v>
                </c:pt>
                <c:pt idx="82">
                  <c:v>679922.05779723823</c:v>
                </c:pt>
                <c:pt idx="83">
                  <c:v>679922.05779723823</c:v>
                </c:pt>
                <c:pt idx="84">
                  <c:v>679922.05779723823</c:v>
                </c:pt>
                <c:pt idx="85">
                  <c:v>679922.05779723823</c:v>
                </c:pt>
                <c:pt idx="86">
                  <c:v>679922.05779723823</c:v>
                </c:pt>
                <c:pt idx="87">
                  <c:v>679922.05779723823</c:v>
                </c:pt>
                <c:pt idx="88">
                  <c:v>679922.05779723823</c:v>
                </c:pt>
                <c:pt idx="89">
                  <c:v>679922.05779723823</c:v>
                </c:pt>
                <c:pt idx="90">
                  <c:v>679922.05779723823</c:v>
                </c:pt>
                <c:pt idx="91">
                  <c:v>679922.05779723823</c:v>
                </c:pt>
                <c:pt idx="92">
                  <c:v>679922.05779723823</c:v>
                </c:pt>
                <c:pt idx="93">
                  <c:v>679922.05779723823</c:v>
                </c:pt>
                <c:pt idx="94">
                  <c:v>679922.05779723823</c:v>
                </c:pt>
                <c:pt idx="95">
                  <c:v>679922.05779723823</c:v>
                </c:pt>
                <c:pt idx="96">
                  <c:v>679922.05779723823</c:v>
                </c:pt>
                <c:pt idx="97">
                  <c:v>679922.05779723823</c:v>
                </c:pt>
                <c:pt idx="98">
                  <c:v>679922.05779723823</c:v>
                </c:pt>
                <c:pt idx="99">
                  <c:v>679922.05779723823</c:v>
                </c:pt>
                <c:pt idx="100">
                  <c:v>679922.05779723823</c:v>
                </c:pt>
                <c:pt idx="101">
                  <c:v>679922.05779723823</c:v>
                </c:pt>
                <c:pt idx="102">
                  <c:v>679922.05779723823</c:v>
                </c:pt>
                <c:pt idx="103">
                  <c:v>679922.05779723823</c:v>
                </c:pt>
                <c:pt idx="104">
                  <c:v>679922.05779723823</c:v>
                </c:pt>
                <c:pt idx="105">
                  <c:v>679922.05779723823</c:v>
                </c:pt>
                <c:pt idx="106">
                  <c:v>679922.05779723823</c:v>
                </c:pt>
                <c:pt idx="107">
                  <c:v>679922.05779723823</c:v>
                </c:pt>
                <c:pt idx="108">
                  <c:v>679922.05779723823</c:v>
                </c:pt>
                <c:pt idx="109">
                  <c:v>679922.05779723823</c:v>
                </c:pt>
                <c:pt idx="110">
                  <c:v>679922.05779723823</c:v>
                </c:pt>
                <c:pt idx="111">
                  <c:v>679922.05779723823</c:v>
                </c:pt>
                <c:pt idx="112">
                  <c:v>679922.05779723823</c:v>
                </c:pt>
                <c:pt idx="113">
                  <c:v>679922.05779723823</c:v>
                </c:pt>
                <c:pt idx="114">
                  <c:v>679922.05779723823</c:v>
                </c:pt>
                <c:pt idx="115">
                  <c:v>679922.05779723823</c:v>
                </c:pt>
                <c:pt idx="116">
                  <c:v>679922.05779723823</c:v>
                </c:pt>
                <c:pt idx="117">
                  <c:v>679922.05779723823</c:v>
                </c:pt>
                <c:pt idx="118">
                  <c:v>679922.05779723823</c:v>
                </c:pt>
                <c:pt idx="119">
                  <c:v>679922.05779723823</c:v>
                </c:pt>
                <c:pt idx="120">
                  <c:v>679922.05779723823</c:v>
                </c:pt>
                <c:pt idx="121">
                  <c:v>679922.05779723823</c:v>
                </c:pt>
                <c:pt idx="122">
                  <c:v>679922.05779723823</c:v>
                </c:pt>
                <c:pt idx="123">
                  <c:v>679922.05779723823</c:v>
                </c:pt>
                <c:pt idx="124">
                  <c:v>679922.05779723823</c:v>
                </c:pt>
                <c:pt idx="125">
                  <c:v>679922.05779723823</c:v>
                </c:pt>
                <c:pt idx="126">
                  <c:v>679922.05779723823</c:v>
                </c:pt>
                <c:pt idx="127">
                  <c:v>679922.05779723823</c:v>
                </c:pt>
                <c:pt idx="128">
                  <c:v>679922.05779723823</c:v>
                </c:pt>
                <c:pt idx="129">
                  <c:v>679922.05779723823</c:v>
                </c:pt>
                <c:pt idx="130">
                  <c:v>679922.05779723823</c:v>
                </c:pt>
                <c:pt idx="131">
                  <c:v>679922.05779723823</c:v>
                </c:pt>
                <c:pt idx="132">
                  <c:v>679922.05779723823</c:v>
                </c:pt>
                <c:pt idx="133">
                  <c:v>679922.05779723823</c:v>
                </c:pt>
                <c:pt idx="134">
                  <c:v>679922.05779723823</c:v>
                </c:pt>
                <c:pt idx="135">
                  <c:v>679922.05779723823</c:v>
                </c:pt>
                <c:pt idx="136">
                  <c:v>679922.05779723823</c:v>
                </c:pt>
                <c:pt idx="137">
                  <c:v>679922.05779723823</c:v>
                </c:pt>
                <c:pt idx="138">
                  <c:v>679922.05779723823</c:v>
                </c:pt>
                <c:pt idx="139">
                  <c:v>679922.05779723823</c:v>
                </c:pt>
                <c:pt idx="140">
                  <c:v>679922.05779723823</c:v>
                </c:pt>
                <c:pt idx="141">
                  <c:v>679922.05779723823</c:v>
                </c:pt>
                <c:pt idx="142">
                  <c:v>679922.05779723823</c:v>
                </c:pt>
                <c:pt idx="143">
                  <c:v>679922.05779723823</c:v>
                </c:pt>
                <c:pt idx="144">
                  <c:v>679922.05779723823</c:v>
                </c:pt>
                <c:pt idx="145">
                  <c:v>679922.05779723823</c:v>
                </c:pt>
                <c:pt idx="146">
                  <c:v>679922.05779723823</c:v>
                </c:pt>
                <c:pt idx="147">
                  <c:v>679922.05779723823</c:v>
                </c:pt>
                <c:pt idx="148">
                  <c:v>679922.05779723823</c:v>
                </c:pt>
                <c:pt idx="149">
                  <c:v>679922.05779723823</c:v>
                </c:pt>
                <c:pt idx="150">
                  <c:v>679922.05779723823</c:v>
                </c:pt>
                <c:pt idx="151">
                  <c:v>679922.05779723823</c:v>
                </c:pt>
                <c:pt idx="152">
                  <c:v>679922.05779723823</c:v>
                </c:pt>
                <c:pt idx="153">
                  <c:v>679922.05779723823</c:v>
                </c:pt>
                <c:pt idx="154">
                  <c:v>679922.05779723823</c:v>
                </c:pt>
                <c:pt idx="155">
                  <c:v>679922.05779723823</c:v>
                </c:pt>
                <c:pt idx="156">
                  <c:v>679922.05779723823</c:v>
                </c:pt>
                <c:pt idx="157">
                  <c:v>679922.05779723823</c:v>
                </c:pt>
                <c:pt idx="158">
                  <c:v>679922.05779723823</c:v>
                </c:pt>
                <c:pt idx="159">
                  <c:v>679922.05779723823</c:v>
                </c:pt>
                <c:pt idx="160">
                  <c:v>679922.05779723823</c:v>
                </c:pt>
                <c:pt idx="161">
                  <c:v>679922.05779723823</c:v>
                </c:pt>
                <c:pt idx="162">
                  <c:v>679922.05779723823</c:v>
                </c:pt>
                <c:pt idx="163">
                  <c:v>679922.05779723823</c:v>
                </c:pt>
                <c:pt idx="164">
                  <c:v>679922.05779723823</c:v>
                </c:pt>
                <c:pt idx="165">
                  <c:v>679922.05779723823</c:v>
                </c:pt>
                <c:pt idx="166">
                  <c:v>679922.05779723823</c:v>
                </c:pt>
                <c:pt idx="167">
                  <c:v>679922.05779723823</c:v>
                </c:pt>
                <c:pt idx="168">
                  <c:v>679922.05779723823</c:v>
                </c:pt>
                <c:pt idx="169">
                  <c:v>679922.05779723823</c:v>
                </c:pt>
                <c:pt idx="170">
                  <c:v>679922.05779723823</c:v>
                </c:pt>
                <c:pt idx="171">
                  <c:v>679922.05779723823</c:v>
                </c:pt>
                <c:pt idx="172">
                  <c:v>679922.05779723823</c:v>
                </c:pt>
                <c:pt idx="173">
                  <c:v>679922.05779723823</c:v>
                </c:pt>
                <c:pt idx="174">
                  <c:v>679922.05779723823</c:v>
                </c:pt>
                <c:pt idx="175">
                  <c:v>679922.05779723823</c:v>
                </c:pt>
                <c:pt idx="176">
                  <c:v>679922.05779723823</c:v>
                </c:pt>
                <c:pt idx="177">
                  <c:v>679922.05779723823</c:v>
                </c:pt>
                <c:pt idx="178">
                  <c:v>679922.05779723823</c:v>
                </c:pt>
                <c:pt idx="179">
                  <c:v>679922.05779723823</c:v>
                </c:pt>
                <c:pt idx="180">
                  <c:v>679922.05779723823</c:v>
                </c:pt>
                <c:pt idx="181">
                  <c:v>679922.05779723823</c:v>
                </c:pt>
                <c:pt idx="182">
                  <c:v>679922.05779723823</c:v>
                </c:pt>
                <c:pt idx="183">
                  <c:v>679922.05779723823</c:v>
                </c:pt>
                <c:pt idx="184">
                  <c:v>679922.05779723823</c:v>
                </c:pt>
                <c:pt idx="185">
                  <c:v>679922.05779723823</c:v>
                </c:pt>
                <c:pt idx="186">
                  <c:v>679922.05779723823</c:v>
                </c:pt>
                <c:pt idx="187">
                  <c:v>679922.05779723823</c:v>
                </c:pt>
                <c:pt idx="188">
                  <c:v>679922.05779723823</c:v>
                </c:pt>
                <c:pt idx="189">
                  <c:v>679922.05779723823</c:v>
                </c:pt>
                <c:pt idx="190">
                  <c:v>679922.05779723823</c:v>
                </c:pt>
                <c:pt idx="191">
                  <c:v>679922.05779723823</c:v>
                </c:pt>
                <c:pt idx="192">
                  <c:v>679922.05779723823</c:v>
                </c:pt>
                <c:pt idx="193">
                  <c:v>679922.05779723823</c:v>
                </c:pt>
                <c:pt idx="194">
                  <c:v>679922.05779723823</c:v>
                </c:pt>
                <c:pt idx="195">
                  <c:v>679922.05779723823</c:v>
                </c:pt>
                <c:pt idx="196">
                  <c:v>679922.05779723823</c:v>
                </c:pt>
                <c:pt idx="197">
                  <c:v>679922.05779723823</c:v>
                </c:pt>
                <c:pt idx="198">
                  <c:v>679922.05779723823</c:v>
                </c:pt>
                <c:pt idx="199">
                  <c:v>679922.05779723823</c:v>
                </c:pt>
                <c:pt idx="200">
                  <c:v>679922.05779723823</c:v>
                </c:pt>
                <c:pt idx="201">
                  <c:v>679922.05779723823</c:v>
                </c:pt>
                <c:pt idx="202">
                  <c:v>679922.05779723823</c:v>
                </c:pt>
                <c:pt idx="203">
                  <c:v>679922.05779723823</c:v>
                </c:pt>
                <c:pt idx="204">
                  <c:v>679922.05779723823</c:v>
                </c:pt>
                <c:pt idx="205">
                  <c:v>679922.05779723823</c:v>
                </c:pt>
                <c:pt idx="206">
                  <c:v>679922.05779723823</c:v>
                </c:pt>
                <c:pt idx="207">
                  <c:v>679922.05779723823</c:v>
                </c:pt>
                <c:pt idx="208">
                  <c:v>679922.05779723823</c:v>
                </c:pt>
                <c:pt idx="209">
                  <c:v>679922.05779723823</c:v>
                </c:pt>
                <c:pt idx="210">
                  <c:v>679922.05779723823</c:v>
                </c:pt>
                <c:pt idx="211">
                  <c:v>679922.05779723823</c:v>
                </c:pt>
                <c:pt idx="212">
                  <c:v>679922.05779723823</c:v>
                </c:pt>
                <c:pt idx="213">
                  <c:v>679922.05779723823</c:v>
                </c:pt>
                <c:pt idx="214">
                  <c:v>679922.05779723823</c:v>
                </c:pt>
                <c:pt idx="215">
                  <c:v>679922.05779723823</c:v>
                </c:pt>
                <c:pt idx="216">
                  <c:v>679922.05779723823</c:v>
                </c:pt>
                <c:pt idx="217">
                  <c:v>679922.05779723823</c:v>
                </c:pt>
                <c:pt idx="218">
                  <c:v>679922.05779723823</c:v>
                </c:pt>
                <c:pt idx="219">
                  <c:v>679922.05779723823</c:v>
                </c:pt>
                <c:pt idx="220">
                  <c:v>679922.05779723823</c:v>
                </c:pt>
                <c:pt idx="221">
                  <c:v>679922.05779723823</c:v>
                </c:pt>
                <c:pt idx="222">
                  <c:v>679922.05779723823</c:v>
                </c:pt>
                <c:pt idx="223">
                  <c:v>679922.05779723823</c:v>
                </c:pt>
                <c:pt idx="224">
                  <c:v>679922.05779723823</c:v>
                </c:pt>
                <c:pt idx="225">
                  <c:v>679922.05779723823</c:v>
                </c:pt>
                <c:pt idx="226">
                  <c:v>679922.05779723823</c:v>
                </c:pt>
                <c:pt idx="227">
                  <c:v>679922.05779723823</c:v>
                </c:pt>
                <c:pt idx="228">
                  <c:v>679922.05779723823</c:v>
                </c:pt>
                <c:pt idx="229">
                  <c:v>679922.05779723823</c:v>
                </c:pt>
                <c:pt idx="230">
                  <c:v>679922.05779723823</c:v>
                </c:pt>
                <c:pt idx="231">
                  <c:v>679922.05779723823</c:v>
                </c:pt>
                <c:pt idx="232">
                  <c:v>679922.05779723823</c:v>
                </c:pt>
                <c:pt idx="233">
                  <c:v>679922.05779723823</c:v>
                </c:pt>
                <c:pt idx="234">
                  <c:v>679922.05779723823</c:v>
                </c:pt>
                <c:pt idx="235">
                  <c:v>679922.05779723823</c:v>
                </c:pt>
                <c:pt idx="236">
                  <c:v>679922.05779723823</c:v>
                </c:pt>
                <c:pt idx="237">
                  <c:v>679922.05779723823</c:v>
                </c:pt>
                <c:pt idx="238">
                  <c:v>679922.05779723823</c:v>
                </c:pt>
                <c:pt idx="239">
                  <c:v>679922.05779723823</c:v>
                </c:pt>
                <c:pt idx="240">
                  <c:v>679922.05779723823</c:v>
                </c:pt>
                <c:pt idx="241">
                  <c:v>679922.05779723823</c:v>
                </c:pt>
                <c:pt idx="242">
                  <c:v>679922.05779723823</c:v>
                </c:pt>
                <c:pt idx="243">
                  <c:v>679922.05779723823</c:v>
                </c:pt>
                <c:pt idx="244">
                  <c:v>679922.05779723823</c:v>
                </c:pt>
                <c:pt idx="245">
                  <c:v>679922.05779723823</c:v>
                </c:pt>
                <c:pt idx="246">
                  <c:v>679922.05779723823</c:v>
                </c:pt>
                <c:pt idx="247">
                  <c:v>679922.05779723823</c:v>
                </c:pt>
                <c:pt idx="248">
                  <c:v>679922.05779723823</c:v>
                </c:pt>
                <c:pt idx="249">
                  <c:v>679922.05779723823</c:v>
                </c:pt>
                <c:pt idx="250">
                  <c:v>679922.05779723823</c:v>
                </c:pt>
                <c:pt idx="251">
                  <c:v>679922.05779723823</c:v>
                </c:pt>
                <c:pt idx="252">
                  <c:v>679922.05779723823</c:v>
                </c:pt>
                <c:pt idx="253">
                  <c:v>679922.05779723823</c:v>
                </c:pt>
                <c:pt idx="254">
                  <c:v>679922.05779723823</c:v>
                </c:pt>
                <c:pt idx="255">
                  <c:v>679922.05779723823</c:v>
                </c:pt>
                <c:pt idx="256">
                  <c:v>679922.05779723823</c:v>
                </c:pt>
                <c:pt idx="257">
                  <c:v>679922.05779723823</c:v>
                </c:pt>
                <c:pt idx="258">
                  <c:v>679922.05779723823</c:v>
                </c:pt>
                <c:pt idx="259">
                  <c:v>679922.05779723823</c:v>
                </c:pt>
                <c:pt idx="260">
                  <c:v>679922.05779723823</c:v>
                </c:pt>
                <c:pt idx="261">
                  <c:v>679922.05779723823</c:v>
                </c:pt>
                <c:pt idx="262">
                  <c:v>679922.05779723823</c:v>
                </c:pt>
                <c:pt idx="263">
                  <c:v>679922.05779723823</c:v>
                </c:pt>
                <c:pt idx="264">
                  <c:v>679922.05779723823</c:v>
                </c:pt>
                <c:pt idx="265">
                  <c:v>679922.05779723823</c:v>
                </c:pt>
                <c:pt idx="266">
                  <c:v>679922.05779723823</c:v>
                </c:pt>
                <c:pt idx="267">
                  <c:v>679922.05779723823</c:v>
                </c:pt>
                <c:pt idx="268">
                  <c:v>679922.05779723823</c:v>
                </c:pt>
                <c:pt idx="269">
                  <c:v>679922.05779723823</c:v>
                </c:pt>
                <c:pt idx="270">
                  <c:v>679922.05779723823</c:v>
                </c:pt>
                <c:pt idx="271">
                  <c:v>679922.05779723823</c:v>
                </c:pt>
                <c:pt idx="272">
                  <c:v>679922.05779723823</c:v>
                </c:pt>
                <c:pt idx="273">
                  <c:v>679922.05779723823</c:v>
                </c:pt>
                <c:pt idx="274">
                  <c:v>679922.05779723823</c:v>
                </c:pt>
                <c:pt idx="275">
                  <c:v>679922.05779723823</c:v>
                </c:pt>
                <c:pt idx="276">
                  <c:v>679922.05779723823</c:v>
                </c:pt>
                <c:pt idx="277">
                  <c:v>679922.05779723823</c:v>
                </c:pt>
                <c:pt idx="278">
                  <c:v>679922.05779723823</c:v>
                </c:pt>
                <c:pt idx="279">
                  <c:v>679922.05779723823</c:v>
                </c:pt>
                <c:pt idx="280">
                  <c:v>679922.05779723823</c:v>
                </c:pt>
                <c:pt idx="281">
                  <c:v>679922.05779723823</c:v>
                </c:pt>
                <c:pt idx="282">
                  <c:v>679922.05779723823</c:v>
                </c:pt>
                <c:pt idx="283">
                  <c:v>679922.05779723823</c:v>
                </c:pt>
                <c:pt idx="284">
                  <c:v>679922.05779723823</c:v>
                </c:pt>
                <c:pt idx="285">
                  <c:v>679922.05779723823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1703520.0324073047</c:v>
                </c:pt>
                <c:pt idx="17">
                  <c:v>1703520.0324073047</c:v>
                </c:pt>
                <c:pt idx="18">
                  <c:v>1703520.0324073047</c:v>
                </c:pt>
                <c:pt idx="19">
                  <c:v>1703520.0324073047</c:v>
                </c:pt>
                <c:pt idx="20">
                  <c:v>1703520.0324073047</c:v>
                </c:pt>
                <c:pt idx="21">
                  <c:v>2229471.1654578811</c:v>
                </c:pt>
                <c:pt idx="22">
                  <c:v>2229471.1654578811</c:v>
                </c:pt>
                <c:pt idx="23">
                  <c:v>2229471.1654578811</c:v>
                </c:pt>
                <c:pt idx="24">
                  <c:v>2229471.1654578811</c:v>
                </c:pt>
                <c:pt idx="25">
                  <c:v>2345835.8958569677</c:v>
                </c:pt>
                <c:pt idx="26">
                  <c:v>2345835.8958569677</c:v>
                </c:pt>
                <c:pt idx="27">
                  <c:v>2345835.8958569677</c:v>
                </c:pt>
                <c:pt idx="28">
                  <c:v>2345835.8958569677</c:v>
                </c:pt>
                <c:pt idx="29">
                  <c:v>2345835.8958569677</c:v>
                </c:pt>
                <c:pt idx="30">
                  <c:v>2345835.8958569677</c:v>
                </c:pt>
                <c:pt idx="31">
                  <c:v>2345835.8958569677</c:v>
                </c:pt>
                <c:pt idx="32">
                  <c:v>2345835.8958569677</c:v>
                </c:pt>
                <c:pt idx="33">
                  <c:v>2345835.8958569677</c:v>
                </c:pt>
                <c:pt idx="34">
                  <c:v>2345835.8958569677</c:v>
                </c:pt>
                <c:pt idx="35">
                  <c:v>2345835.8958569677</c:v>
                </c:pt>
                <c:pt idx="36">
                  <c:v>2345835.8958569677</c:v>
                </c:pt>
                <c:pt idx="37">
                  <c:v>2345835.8958569677</c:v>
                </c:pt>
                <c:pt idx="38">
                  <c:v>2345835.8958569677</c:v>
                </c:pt>
                <c:pt idx="39">
                  <c:v>2345835.8958569677</c:v>
                </c:pt>
                <c:pt idx="40">
                  <c:v>2345835.8958569677</c:v>
                </c:pt>
                <c:pt idx="41">
                  <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pt idx="44">
                  <c:v>2345835.8958569677</c:v>
                </c:pt>
                <c:pt idx="45">
                  <c:v>2345835.8958569677</c:v>
                </c:pt>
                <c:pt idx="46">
                  <c:v>2345835.8958569677</c:v>
                </c:pt>
                <c:pt idx="47">
                  <c:v>2345835.8958569677</c:v>
                </c:pt>
                <c:pt idx="48">
                  <c:v>2345835.8958569677</c:v>
                </c:pt>
                <c:pt idx="49">
                  <c:v>2345835.8958569677</c:v>
                </c:pt>
                <c:pt idx="50">
                  <c:v>2345835.8958569677</c:v>
                </c:pt>
                <c:pt idx="51">
                  <c:v>2345835.8958569677</c:v>
                </c:pt>
                <c:pt idx="52">
                  <c:v>2345835.8958569677</c:v>
                </c:pt>
                <c:pt idx="53">
                  <c:v>2345835.8958569677</c:v>
                </c:pt>
                <c:pt idx="54">
                  <c:v>2345835.8958569677</c:v>
                </c:pt>
                <c:pt idx="55">
                  <c:v>2345835.8958569677</c:v>
                </c:pt>
                <c:pt idx="56">
                  <c:v>2345835.8958569677</c:v>
                </c:pt>
                <c:pt idx="57">
                  <c:v>2345835.8958569677</c:v>
                </c:pt>
                <c:pt idx="58">
                  <c:v>2345835.8958569677</c:v>
                </c:pt>
                <c:pt idx="59">
                  <c:v>2345835.8958569677</c:v>
                </c:pt>
                <c:pt idx="60">
                  <c:v>2345835.8958569677</c:v>
                </c:pt>
                <c:pt idx="61">
                  <c:v>2345835.8958569677</c:v>
                </c:pt>
                <c:pt idx="62">
                  <c:v>2345835.8958569677</c:v>
                </c:pt>
                <c:pt idx="63">
                  <c:v>2345835.8958569677</c:v>
                </c:pt>
                <c:pt idx="64">
                  <c:v>2345835.8958569677</c:v>
                </c:pt>
                <c:pt idx="65">
                  <c:v>2345835.8958569677</c:v>
                </c:pt>
                <c:pt idx="66">
                  <c:v>2345835.8958569677</c:v>
                </c:pt>
                <c:pt idx="67">
                  <c:v>2345835.8958569677</c:v>
                </c:pt>
                <c:pt idx="68">
                  <c:v>2345835.8958569677</c:v>
                </c:pt>
                <c:pt idx="69">
                  <c:v>2345835.8958569677</c:v>
                </c:pt>
                <c:pt idx="70">
                  <c:v>2345835.8958569677</c:v>
                </c:pt>
                <c:pt idx="71">
                  <c:v>2345835.8958569677</c:v>
                </c:pt>
                <c:pt idx="72">
                  <c:v>2345835.8958569677</c:v>
                </c:pt>
                <c:pt idx="73">
                  <c:v>2345835.8958569677</c:v>
                </c:pt>
                <c:pt idx="74">
                  <c:v>2345835.8958569677</c:v>
                </c:pt>
                <c:pt idx="75">
                  <c:v>2345835.8958569677</c:v>
                </c:pt>
                <c:pt idx="76">
                  <c:v>2345835.8958569677</c:v>
                </c:pt>
                <c:pt idx="77">
                  <c:v>2345835.8958569677</c:v>
                </c:pt>
                <c:pt idx="78">
                  <c:v>2345835.8958569677</c:v>
                </c:pt>
                <c:pt idx="79">
                  <c:v>2345835.8958569677</c:v>
                </c:pt>
                <c:pt idx="80">
                  <c:v>2345835.8958569677</c:v>
                </c:pt>
                <c:pt idx="81">
                  <c:v>2345835.8958569677</c:v>
                </c:pt>
                <c:pt idx="82">
                  <c:v>2345835.8958569677</c:v>
                </c:pt>
                <c:pt idx="83">
                  <c:v>2345835.8958569677</c:v>
                </c:pt>
                <c:pt idx="84">
                  <c:v>2345835.8958569677</c:v>
                </c:pt>
                <c:pt idx="85">
                  <c:v>2345835.8958569677</c:v>
                </c:pt>
                <c:pt idx="86">
                  <c:v>2345835.8958569677</c:v>
                </c:pt>
                <c:pt idx="87">
                  <c:v>2345835.8958569677</c:v>
                </c:pt>
                <c:pt idx="88">
                  <c:v>2345835.8958569677</c:v>
                </c:pt>
                <c:pt idx="89">
                  <c:v>2345835.8958569677</c:v>
                </c:pt>
                <c:pt idx="90">
                  <c:v>2345835.8958569677</c:v>
                </c:pt>
                <c:pt idx="91">
                  <c:v>2345835.8958569677</c:v>
                </c:pt>
                <c:pt idx="92">
                  <c:v>2345835.8958569677</c:v>
                </c:pt>
                <c:pt idx="93">
                  <c:v>2345835.8958569677</c:v>
                </c:pt>
                <c:pt idx="94">
                  <c:v>2345835.8958569677</c:v>
                </c:pt>
                <c:pt idx="95">
                  <c:v>2345835.8958569677</c:v>
                </c:pt>
                <c:pt idx="96">
                  <c:v>2345835.8958569677</c:v>
                </c:pt>
                <c:pt idx="97">
                  <c:v>2345835.8958569677</c:v>
                </c:pt>
                <c:pt idx="98">
                  <c:v>2345835.8958569677</c:v>
                </c:pt>
                <c:pt idx="99">
                  <c:v>2345835.8958569677</c:v>
                </c:pt>
                <c:pt idx="100">
                  <c:v>2345835.8958569677</c:v>
                </c:pt>
                <c:pt idx="101">
                  <c:v>2345835.8958569677</c:v>
                </c:pt>
                <c:pt idx="102">
                  <c:v>2345835.8958569677</c:v>
                </c:pt>
                <c:pt idx="103">
                  <c:v>2345835.8958569677</c:v>
                </c:pt>
                <c:pt idx="104">
                  <c:v>2345835.8958569677</c:v>
                </c:pt>
                <c:pt idx="105">
                  <c:v>2345835.8958569677</c:v>
                </c:pt>
                <c:pt idx="106">
                  <c:v>2345835.8958569677</c:v>
                </c:pt>
                <c:pt idx="107">
                  <c:v>2345835.8958569677</c:v>
                </c:pt>
                <c:pt idx="108">
                  <c:v>2345835.8958569677</c:v>
                </c:pt>
                <c:pt idx="109">
                  <c:v>2345835.8958569677</c:v>
                </c:pt>
                <c:pt idx="110">
                  <c:v>2345835.8958569677</c:v>
                </c:pt>
                <c:pt idx="111">
                  <c:v>2345835.8958569677</c:v>
                </c:pt>
                <c:pt idx="112">
                  <c:v>2345835.8958569677</c:v>
                </c:pt>
                <c:pt idx="113">
                  <c:v>2345835.8958569677</c:v>
                </c:pt>
                <c:pt idx="114">
                  <c:v>2345835.8958569677</c:v>
                </c:pt>
                <c:pt idx="115">
                  <c:v>2345835.8958569677</c:v>
                </c:pt>
                <c:pt idx="116">
                  <c:v>2345835.8958569677</c:v>
                </c:pt>
                <c:pt idx="117">
                  <c:v>2345835.8958569677</c:v>
                </c:pt>
                <c:pt idx="118">
                  <c:v>2345835.8958569677</c:v>
                </c:pt>
                <c:pt idx="119">
                  <c:v>2345835.8958569677</c:v>
                </c:pt>
                <c:pt idx="120">
                  <c:v>2345835.8958569677</c:v>
                </c:pt>
                <c:pt idx="121">
                  <c:v>2345835.8958569677</c:v>
                </c:pt>
                <c:pt idx="122">
                  <c:v>2345835.8958569677</c:v>
                </c:pt>
                <c:pt idx="123">
                  <c:v>2345835.8958569677</c:v>
                </c:pt>
                <c:pt idx="124">
                  <c:v>2345835.8958569677</c:v>
                </c:pt>
                <c:pt idx="125">
                  <c:v>2345835.8958569677</c:v>
                </c:pt>
                <c:pt idx="126">
                  <c:v>2345835.8958569677</c:v>
                </c:pt>
                <c:pt idx="127">
                  <c:v>2345835.8958569677</c:v>
                </c:pt>
                <c:pt idx="128">
                  <c:v>2345835.8958569677</c:v>
                </c:pt>
                <c:pt idx="129">
                  <c:v>2345835.8958569677</c:v>
                </c:pt>
                <c:pt idx="130">
                  <c:v>2345835.8958569677</c:v>
                </c:pt>
                <c:pt idx="131">
                  <c:v>2345835.8958569677</c:v>
                </c:pt>
                <c:pt idx="132">
                  <c:v>2345835.8958569677</c:v>
                </c:pt>
                <c:pt idx="133">
                  <c:v>2345835.8958569677</c:v>
                </c:pt>
                <c:pt idx="134">
                  <c:v>2345835.8958569677</c:v>
                </c:pt>
                <c:pt idx="135">
                  <c:v>2345835.8958569677</c:v>
                </c:pt>
                <c:pt idx="136">
                  <c:v>2345835.8958569677</c:v>
                </c:pt>
                <c:pt idx="137">
                  <c:v>2345835.8958569677</c:v>
                </c:pt>
                <c:pt idx="138">
                  <c:v>2345835.8958569677</c:v>
                </c:pt>
                <c:pt idx="139">
                  <c:v>2345835.8958569677</c:v>
                </c:pt>
                <c:pt idx="140">
                  <c:v>2345835.8958569677</c:v>
                </c:pt>
                <c:pt idx="141">
                  <c:v>2345835.8958569677</c:v>
                </c:pt>
                <c:pt idx="142">
                  <c:v>2345835.8958569677</c:v>
                </c:pt>
                <c:pt idx="143">
                  <c:v>2345835.8958569677</c:v>
                </c:pt>
                <c:pt idx="144">
                  <c:v>2345835.8958569677</c:v>
                </c:pt>
                <c:pt idx="145">
                  <c:v>2345835.8958569677</c:v>
                </c:pt>
                <c:pt idx="146">
                  <c:v>2345835.8958569677</c:v>
                </c:pt>
                <c:pt idx="147">
                  <c:v>2345835.8958569677</c:v>
                </c:pt>
                <c:pt idx="148">
                  <c:v>2345835.8958569677</c:v>
                </c:pt>
                <c:pt idx="149">
                  <c:v>2345835.8958569677</c:v>
                </c:pt>
                <c:pt idx="150">
                  <c:v>2345835.8958569677</c:v>
                </c:pt>
                <c:pt idx="151">
                  <c:v>2345835.8958569677</c:v>
                </c:pt>
                <c:pt idx="152">
                  <c:v>2345835.8958569677</c:v>
                </c:pt>
                <c:pt idx="153">
                  <c:v>2345835.8958569677</c:v>
                </c:pt>
                <c:pt idx="154">
                  <c:v>2345835.8958569677</c:v>
                </c:pt>
                <c:pt idx="155">
                  <c:v>2345835.8958569677</c:v>
                </c:pt>
                <c:pt idx="156">
                  <c:v>2345835.8958569677</c:v>
                </c:pt>
                <c:pt idx="157">
                  <c:v>2345835.8958569677</c:v>
                </c:pt>
                <c:pt idx="158">
                  <c:v>2345835.8958569677</c:v>
                </c:pt>
                <c:pt idx="159">
                  <c:v>2345835.8958569677</c:v>
                </c:pt>
                <c:pt idx="160">
                  <c:v>2345835.8958569677</c:v>
                </c:pt>
                <c:pt idx="161">
                  <c:v>2345835.8958569677</c:v>
                </c:pt>
                <c:pt idx="162">
                  <c:v>2345835.8958569677</c:v>
                </c:pt>
                <c:pt idx="163">
                  <c:v>2345835.8958569677</c:v>
                </c:pt>
                <c:pt idx="164">
                  <c:v>2345835.8958569677</c:v>
                </c:pt>
                <c:pt idx="165">
                  <c:v>2345835.8958569677</c:v>
                </c:pt>
                <c:pt idx="166">
                  <c:v>2345835.8958569677</c:v>
                </c:pt>
                <c:pt idx="167">
                  <c:v>2345835.8958569677</c:v>
                </c:pt>
                <c:pt idx="168">
                  <c:v>2345835.8958569677</c:v>
                </c:pt>
                <c:pt idx="169">
                  <c:v>2345835.8958569677</c:v>
                </c:pt>
                <c:pt idx="170">
                  <c:v>2345835.8958569677</c:v>
                </c:pt>
                <c:pt idx="171">
                  <c:v>2345835.8958569677</c:v>
                </c:pt>
                <c:pt idx="172">
                  <c:v>2345835.8958569677</c:v>
                </c:pt>
                <c:pt idx="173">
                  <c:v>2345835.8958569677</c:v>
                </c:pt>
                <c:pt idx="174">
                  <c:v>2345835.8958569677</c:v>
                </c:pt>
                <c:pt idx="175">
                  <c:v>2345835.8958569677</c:v>
                </c:pt>
                <c:pt idx="176">
                  <c:v>2345835.8958569677</c:v>
                </c:pt>
                <c:pt idx="177">
                  <c:v>2345835.8958569677</c:v>
                </c:pt>
                <c:pt idx="178">
                  <c:v>2345835.8958569677</c:v>
                </c:pt>
                <c:pt idx="179">
                  <c:v>2345835.8958569677</c:v>
                </c:pt>
                <c:pt idx="180">
                  <c:v>2345835.8958569677</c:v>
                </c:pt>
                <c:pt idx="181">
                  <c:v>2345835.8958569677</c:v>
                </c:pt>
                <c:pt idx="182">
                  <c:v>2345835.8958569677</c:v>
                </c:pt>
                <c:pt idx="183">
                  <c:v>2345835.8958569677</c:v>
                </c:pt>
                <c:pt idx="184">
                  <c:v>2345835.8958569677</c:v>
                </c:pt>
                <c:pt idx="185">
                  <c:v>2345835.8958569677</c:v>
                </c:pt>
                <c:pt idx="186">
                  <c:v>2345835.8958569677</c:v>
                </c:pt>
                <c:pt idx="187">
                  <c:v>2345835.8958569677</c:v>
                </c:pt>
                <c:pt idx="188">
                  <c:v>2345835.8958569677</c:v>
                </c:pt>
                <c:pt idx="189">
                  <c:v>2345835.8958569677</c:v>
                </c:pt>
                <c:pt idx="190">
                  <c:v>2345835.8958569677</c:v>
                </c:pt>
                <c:pt idx="191">
                  <c:v>2345835.8958569677</c:v>
                </c:pt>
                <c:pt idx="192">
                  <c:v>2345835.8958569677</c:v>
                </c:pt>
                <c:pt idx="193">
                  <c:v>2345835.8958569677</c:v>
                </c:pt>
                <c:pt idx="194">
                  <c:v>2345835.8958569677</c:v>
                </c:pt>
                <c:pt idx="195">
                  <c:v>2345835.8958569677</c:v>
                </c:pt>
                <c:pt idx="196">
                  <c:v>2345835.8958569677</c:v>
                </c:pt>
                <c:pt idx="197">
                  <c:v>2345835.8958569677</c:v>
                </c:pt>
                <c:pt idx="198">
                  <c:v>2345835.8958569677</c:v>
                </c:pt>
                <c:pt idx="199">
                  <c:v>2345835.8958569677</c:v>
                </c:pt>
                <c:pt idx="200">
                  <c:v>2345835.8958569677</c:v>
                </c:pt>
                <c:pt idx="201">
                  <c:v>2345835.8958569677</c:v>
                </c:pt>
                <c:pt idx="202">
                  <c:v>2345835.8958569677</c:v>
                </c:pt>
                <c:pt idx="203">
                  <c:v>2345835.8958569677</c:v>
                </c:pt>
                <c:pt idx="204">
                  <c:v>2345835.8958569677</c:v>
                </c:pt>
                <c:pt idx="205">
                  <c:v>2345835.8958569677</c:v>
                </c:pt>
                <c:pt idx="206">
                  <c:v>2345835.8958569677</c:v>
                </c:pt>
                <c:pt idx="207">
                  <c:v>2345835.8958569677</c:v>
                </c:pt>
                <c:pt idx="208">
                  <c:v>2345835.8958569677</c:v>
                </c:pt>
                <c:pt idx="209">
                  <c:v>2345835.8958569677</c:v>
                </c:pt>
                <c:pt idx="210">
                  <c:v>2345835.8958569677</c:v>
                </c:pt>
                <c:pt idx="211">
                  <c:v>2345835.8958569677</c:v>
                </c:pt>
                <c:pt idx="212">
                  <c:v>2345835.8958569677</c:v>
                </c:pt>
                <c:pt idx="213">
                  <c:v>2345835.8958569677</c:v>
                </c:pt>
                <c:pt idx="214">
                  <c:v>2345835.8958569677</c:v>
                </c:pt>
                <c:pt idx="215">
                  <c:v>2345835.8958569677</c:v>
                </c:pt>
                <c:pt idx="216">
                  <c:v>2345835.8958569677</c:v>
                </c:pt>
                <c:pt idx="217">
                  <c:v>2345835.8958569677</c:v>
                </c:pt>
                <c:pt idx="218">
                  <c:v>2345835.8958569677</c:v>
                </c:pt>
                <c:pt idx="219">
                  <c:v>2345835.8958569677</c:v>
                </c:pt>
                <c:pt idx="220">
                  <c:v>2345835.8958569677</c:v>
                </c:pt>
                <c:pt idx="221">
                  <c:v>2345835.8958569677</c:v>
                </c:pt>
                <c:pt idx="222">
                  <c:v>2345835.8958569677</c:v>
                </c:pt>
                <c:pt idx="223">
                  <c:v>2345835.8958569677</c:v>
                </c:pt>
                <c:pt idx="224">
                  <c:v>2345835.8958569677</c:v>
                </c:pt>
                <c:pt idx="225">
                  <c:v>2345835.8958569677</c:v>
                </c:pt>
                <c:pt idx="226">
                  <c:v>2345835.8958569677</c:v>
                </c:pt>
                <c:pt idx="227">
                  <c:v>2345835.8958569677</c:v>
                </c:pt>
                <c:pt idx="228">
                  <c:v>2345835.8958569677</c:v>
                </c:pt>
                <c:pt idx="229">
                  <c:v>2345835.8958569677</c:v>
                </c:pt>
                <c:pt idx="230">
                  <c:v>2345835.8958569677</c:v>
                </c:pt>
                <c:pt idx="231">
                  <c:v>2345835.8958569677</c:v>
                </c:pt>
                <c:pt idx="232">
                  <c:v>2345835.8958569677</c:v>
                </c:pt>
                <c:pt idx="233">
                  <c:v>2345835.8958569677</c:v>
                </c:pt>
                <c:pt idx="234">
                  <c:v>2345835.8958569677</c:v>
                </c:pt>
                <c:pt idx="235">
                  <c:v>2345835.8958569677</c:v>
                </c:pt>
                <c:pt idx="236">
                  <c:v>2345835.8958569677</c:v>
                </c:pt>
                <c:pt idx="237">
                  <c:v>2345835.8958569677</c:v>
                </c:pt>
                <c:pt idx="238">
                  <c:v>2345835.8958569677</c:v>
                </c:pt>
                <c:pt idx="239">
                  <c:v>2345835.8958569677</c:v>
                </c:pt>
                <c:pt idx="240">
                  <c:v>2345835.8958569677</c:v>
                </c:pt>
                <c:pt idx="241">
                  <c:v>2345835.8958569677</c:v>
                </c:pt>
                <c:pt idx="242">
                  <c:v>2345835.8958569677</c:v>
                </c:pt>
                <c:pt idx="243">
                  <c:v>2345835.8958569677</c:v>
                </c:pt>
                <c:pt idx="244">
                  <c:v>2345835.8958569677</c:v>
                </c:pt>
                <c:pt idx="245">
                  <c:v>2345835.8958569677</c:v>
                </c:pt>
                <c:pt idx="246">
                  <c:v>2345835.8958569677</c:v>
                </c:pt>
                <c:pt idx="247">
                  <c:v>2345835.8958569677</c:v>
                </c:pt>
                <c:pt idx="248">
                  <c:v>2345835.8958569677</c:v>
                </c:pt>
                <c:pt idx="249">
                  <c:v>2345835.8958569677</c:v>
                </c:pt>
                <c:pt idx="250">
                  <c:v>2345835.8958569677</c:v>
                </c:pt>
                <c:pt idx="251">
                  <c:v>2345835.8958569677</c:v>
                </c:pt>
                <c:pt idx="252">
                  <c:v>2345835.8958569677</c:v>
                </c:pt>
                <c:pt idx="253">
                  <c:v>2345835.8958569677</c:v>
                </c:pt>
                <c:pt idx="254">
                  <c:v>2345835.8958569677</c:v>
                </c:pt>
                <c:pt idx="255">
                  <c:v>2345835.8958569677</c:v>
                </c:pt>
                <c:pt idx="256">
                  <c:v>2345835.8958569677</c:v>
                </c:pt>
                <c:pt idx="257">
                  <c:v>2345835.8958569677</c:v>
                </c:pt>
                <c:pt idx="258">
                  <c:v>2345835.8958569677</c:v>
                </c:pt>
                <c:pt idx="259">
                  <c:v>2345835.8958569677</c:v>
                </c:pt>
                <c:pt idx="260">
                  <c:v>2345835.8958569677</c:v>
                </c:pt>
                <c:pt idx="261">
                  <c:v>2345835.8958569677</c:v>
                </c:pt>
                <c:pt idx="262">
                  <c:v>2345835.8958569677</c:v>
                </c:pt>
                <c:pt idx="263">
                  <c:v>2345835.8958569677</c:v>
                </c:pt>
                <c:pt idx="264">
                  <c:v>2345835.8958569677</c:v>
                </c:pt>
                <c:pt idx="265">
                  <c:v>2345835.8958569677</c:v>
                </c:pt>
                <c:pt idx="266">
                  <c:v>2345835.8958569677</c:v>
                </c:pt>
                <c:pt idx="267">
                  <c:v>2345835.8958569677</c:v>
                </c:pt>
                <c:pt idx="268">
                  <c:v>2345835.8958569677</c:v>
                </c:pt>
                <c:pt idx="269">
                  <c:v>2345835.8958569677</c:v>
                </c:pt>
                <c:pt idx="270">
                  <c:v>2345835.8958569677</c:v>
                </c:pt>
                <c:pt idx="271">
                  <c:v>2345835.8958569677</c:v>
                </c:pt>
                <c:pt idx="272">
                  <c:v>2345835.8958569677</c:v>
                </c:pt>
                <c:pt idx="273">
                  <c:v>2345835.8958569677</c:v>
                </c:pt>
                <c:pt idx="274">
                  <c:v>2345835.8958569677</c:v>
                </c:pt>
                <c:pt idx="275">
                  <c:v>2345835.8958569677</c:v>
                </c:pt>
                <c:pt idx="276">
                  <c:v>2345835.8958569677</c:v>
                </c:pt>
                <c:pt idx="277">
                  <c:v>2345835.8958569677</c:v>
                </c:pt>
                <c:pt idx="278">
                  <c:v>2345835.8958569677</c:v>
                </c:pt>
                <c:pt idx="279">
                  <c:v>2345835.8958569677</c:v>
                </c:pt>
                <c:pt idx="280">
                  <c:v>2345835.8958569677</c:v>
                </c:pt>
                <c:pt idx="281">
                  <c:v>2345835.8958569677</c:v>
                </c:pt>
                <c:pt idx="282">
                  <c:v>2345835.8958569677</c:v>
                </c:pt>
                <c:pt idx="283">
                  <c:v>2345835.8958569677</c:v>
                </c:pt>
                <c:pt idx="284">
                  <c:v>2345835.8958569677</c:v>
                </c:pt>
                <c:pt idx="285">
                  <c:v>2345835.8958569677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3</v>
      </c>
      <c r="C5" s="613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7</v>
      </c>
      <c r="C7" s="613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1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4.6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4" t="s">
        <v>11</v>
      </c>
      <c r="C11" s="657"/>
      <c r="D11" s="657"/>
      <c r="E11" s="657"/>
    </row>
    <row r="12" spans="2:15">
      <c r="B12" s="614" t="s">
        <v>12</v>
      </c>
      <c r="C12" s="657"/>
      <c r="D12" s="657"/>
      <c r="E12" s="657"/>
    </row>
    <row r="13" spans="2:15">
      <c r="B13" s="614" t="s">
        <v>13</v>
      </c>
      <c r="C13" s="657"/>
      <c r="D13" s="657"/>
      <c r="E13" s="657"/>
    </row>
    <row r="14" spans="2:15">
      <c r="B14" s="614" t="s">
        <v>14</v>
      </c>
      <c r="C14" s="657"/>
      <c r="D14" s="657"/>
      <c r="E14" s="657"/>
    </row>
    <row r="15" spans="2:15">
      <c r="B15" s="614" t="s">
        <v>15</v>
      </c>
      <c r="C15" s="657"/>
      <c r="D15" s="657"/>
      <c r="E15" s="657"/>
    </row>
    <row r="16" spans="2:15" ht="15" customHeight="1">
      <c r="B16" s="614" t="s">
        <v>16</v>
      </c>
      <c r="C16" s="657"/>
      <c r="D16" s="657"/>
      <c r="E16" s="657"/>
    </row>
    <row r="17" spans="2:5">
      <c r="B17" s="611"/>
    </row>
    <row r="18" spans="2:5">
      <c r="B18" s="658" t="s">
        <v>17</v>
      </c>
      <c r="C18" s="658"/>
      <c r="D18" s="658"/>
      <c r="E18" s="658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24</v>
      </c>
      <c r="C5" s="613"/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25</v>
      </c>
      <c r="C7" s="613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2" t="s">
        <v>26</v>
      </c>
      <c r="C8" s="613"/>
      <c r="H8" s="663"/>
      <c r="I8" s="664"/>
      <c r="J8" s="664"/>
      <c r="K8" s="664"/>
      <c r="L8" s="664"/>
      <c r="M8" s="664"/>
      <c r="N8" s="664"/>
      <c r="O8" s="665"/>
    </row>
    <row r="9" spans="2:15">
      <c r="B9" s="611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4.6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.5">
      <c r="B12" s="614" t="s">
        <v>27</v>
      </c>
      <c r="C12" s="657" t="s">
        <v>28</v>
      </c>
      <c r="D12" s="657"/>
      <c r="E12" s="657"/>
    </row>
    <row r="13" spans="2:15">
      <c r="B13" s="614" t="s">
        <v>29</v>
      </c>
      <c r="C13" s="657" t="s">
        <v>28</v>
      </c>
      <c r="D13" s="657"/>
      <c r="E13" s="657"/>
    </row>
    <row r="14" spans="2:15">
      <c r="B14" s="614" t="s">
        <v>30</v>
      </c>
      <c r="C14" s="657"/>
      <c r="D14" s="657"/>
      <c r="E14" s="657"/>
    </row>
    <row r="15" spans="2:15">
      <c r="B15" s="614" t="s">
        <v>31</v>
      </c>
      <c r="C15" s="657" t="s">
        <v>28</v>
      </c>
      <c r="D15" s="657"/>
      <c r="E15" s="657"/>
    </row>
    <row r="16" spans="2:15" ht="25.5">
      <c r="B16" s="614" t="s">
        <v>32</v>
      </c>
      <c r="C16" s="657" t="s">
        <v>28</v>
      </c>
      <c r="D16" s="657"/>
      <c r="E16" s="657"/>
    </row>
    <row r="17" spans="2:5">
      <c r="B17" s="614" t="s">
        <v>33</v>
      </c>
      <c r="C17" s="657" t="s">
        <v>28</v>
      </c>
      <c r="D17" s="657"/>
      <c r="E17" s="657"/>
    </row>
    <row r="18" spans="2:5">
      <c r="B18" s="614" t="s">
        <v>34</v>
      </c>
      <c r="C18" s="657" t="s">
        <v>28</v>
      </c>
      <c r="D18" s="657"/>
      <c r="E18" s="657"/>
    </row>
    <row r="19" spans="2:5">
      <c r="B19" s="614" t="s">
        <v>35</v>
      </c>
      <c r="C19" s="657"/>
      <c r="D19" s="657"/>
      <c r="E19" s="657"/>
    </row>
    <row r="20" spans="2:5">
      <c r="B20" s="614" t="s">
        <v>36</v>
      </c>
      <c r="C20" s="657"/>
      <c r="D20" s="657"/>
      <c r="E20" s="657"/>
    </row>
    <row r="21" spans="2:5">
      <c r="B21" s="614" t="s">
        <v>37</v>
      </c>
      <c r="C21" s="657" t="s">
        <v>28</v>
      </c>
      <c r="D21" s="657"/>
      <c r="E21" s="657"/>
    </row>
    <row r="22" spans="2:5" ht="15" customHeight="1">
      <c r="B22" s="614" t="s">
        <v>16</v>
      </c>
      <c r="C22" s="657" t="s">
        <v>38</v>
      </c>
      <c r="D22" s="657"/>
      <c r="E22" s="657"/>
    </row>
    <row r="23" spans="2:5">
      <c r="B23" s="611"/>
    </row>
    <row r="24" spans="2:5">
      <c r="B24" s="658" t="s">
        <v>17</v>
      </c>
      <c r="C24" s="658"/>
      <c r="D24" s="658"/>
      <c r="E24" s="658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1328125" bestFit="1" customWidth="1"/>
    <col min="10" max="10" width="14.1328125" customWidth="1"/>
    <col min="11" max="11" width="77.59765625" customWidth="1"/>
  </cols>
  <sheetData>
    <row r="1" spans="2:15">
      <c r="B1" s="672"/>
      <c r="C1" s="673"/>
      <c r="D1" s="673"/>
      <c r="E1" s="673"/>
      <c r="F1" s="670" t="s">
        <v>39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19.59765625" style="4" customWidth="1"/>
    <col min="4" max="4" width="32.86328125" style="4" customWidth="1"/>
    <col min="5" max="5" width="9.5976562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674" t="s">
        <v>114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4" t="s">
        <v>123</v>
      </c>
      <c r="C16" s="675"/>
      <c r="D16" s="675"/>
      <c r="E16" s="675"/>
      <c r="F16" s="676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zoomScaleNormal="100" workbookViewId="0">
      <selection activeCell="O24" sqref="O24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86328125" style="4" customWidth="1"/>
    <col min="4" max="4" width="3.3984375" style="26" customWidth="1"/>
    <col min="5" max="5" width="14.59765625" style="4" customWidth="1"/>
    <col min="6" max="6" width="10.398437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1328125" style="26" customWidth="1"/>
    <col min="14" max="14" width="11.1328125" style="26" bestFit="1" customWidth="1"/>
    <col min="15" max="15" width="39.3984375" style="26" bestFit="1" customWidth="1"/>
    <col min="16" max="16" width="1.3984375" style="26" customWidth="1"/>
    <col min="17" max="17" width="5.1328125" style="1" customWidth="1"/>
    <col min="18" max="18" width="8.3984375" style="26"/>
    <col min="19" max="19" width="21.59765625" style="26" customWidth="1"/>
    <col min="20" max="22" width="12.1328125" style="26" customWidth="1"/>
    <col min="23" max="23" width="8.3984375" style="26"/>
    <col min="24" max="25" width="10.863281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7" t="s">
        <v>128</v>
      </c>
      <c r="J2" s="678"/>
      <c r="K2" s="585">
        <f>NETWORKDAYS(I18,K39,Data!C3:C60)</f>
        <v>39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677" t="s">
        <v>130</v>
      </c>
      <c r="J3" s="678"/>
      <c r="K3" s="585">
        <f>K2/5</f>
        <v>7.8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7" t="s">
        <v>133</v>
      </c>
      <c r="J4" s="678"/>
      <c r="K4" s="586">
        <f>E3/K3</f>
        <v>35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81" t="s">
        <v>139</v>
      </c>
      <c r="C8" s="682" t="s">
        <v>140</v>
      </c>
      <c r="D8" s="126"/>
      <c r="E8" s="683" t="s">
        <v>141</v>
      </c>
      <c r="F8" s="148" t="s">
        <v>142</v>
      </c>
      <c r="G8" s="683" t="s">
        <v>143</v>
      </c>
      <c r="H8" s="149"/>
      <c r="I8" s="683" t="s">
        <v>144</v>
      </c>
      <c r="J8" s="148" t="s">
        <v>142</v>
      </c>
      <c r="K8" s="683" t="s">
        <v>145</v>
      </c>
      <c r="M8" s="582" t="s">
        <v>46</v>
      </c>
      <c r="N8" s="583" t="s">
        <v>146</v>
      </c>
      <c r="O8" s="679" t="s">
        <v>147</v>
      </c>
      <c r="Z8" s="26"/>
      <c r="AA8" s="26"/>
      <c r="AB8" s="26"/>
    </row>
    <row r="9" spans="2:28" ht="13.9">
      <c r="B9" s="681"/>
      <c r="C9" s="682"/>
      <c r="D9" s="126"/>
      <c r="E9" s="683"/>
      <c r="F9" s="40">
        <f>G39-E19</f>
        <v>42</v>
      </c>
      <c r="G9" s="683"/>
      <c r="H9" s="149"/>
      <c r="I9" s="683"/>
      <c r="J9" s="41">
        <f>K39-I19</f>
        <v>52</v>
      </c>
      <c r="K9" s="683"/>
      <c r="M9" s="265">
        <f>AVERAGE(M11,M18,M21,M28,M35,M39,M48,M44)</f>
        <v>0.40513392857142855</v>
      </c>
      <c r="N9" s="265">
        <f ca="1">AVERAGE(N11,N18,N21,N28,N35,N39,N48,N44)</f>
        <v>0.41850549142215809</v>
      </c>
      <c r="O9" s="680"/>
      <c r="S9" s="584">
        <f ca="1">TODAY()</f>
        <v>46069</v>
      </c>
      <c r="T9" s="584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41</v>
      </c>
      <c r="V15" s="537">
        <f>K21</f>
        <v>46076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43</v>
      </c>
      <c r="V16" s="537">
        <f>K28</f>
        <v>46092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34</v>
      </c>
      <c r="V17" s="537">
        <f>K35</f>
        <v>46083</v>
      </c>
    </row>
    <row r="18" spans="2:28" s="28" customFormat="1" ht="13.9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46092</v>
      </c>
      <c r="U18" s="538">
        <f>J39</f>
        <v>9</v>
      </c>
      <c r="V18" s="537">
        <f>K39</f>
        <v>46101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46094</v>
      </c>
      <c r="U19" s="538">
        <f>J44</f>
        <v>6</v>
      </c>
      <c r="V19" s="537">
        <f>K44</f>
        <v>46100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46097</v>
      </c>
      <c r="U20" s="538">
        <f>J48</f>
        <v>16</v>
      </c>
      <c r="V20" s="537">
        <f>K48</f>
        <v>46113</v>
      </c>
    </row>
    <row r="21" spans="2:28" s="28" customFormat="1" ht="13.9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41</v>
      </c>
      <c r="K21" s="569">
        <f>MAX(K22:K27)</f>
        <v>46076</v>
      </c>
      <c r="L21" s="572"/>
      <c r="M21" s="573">
        <f>(J22*M22+J23*M23+J24*M24+J25*M25+J26*M26)/SUM(J22:J26)</f>
        <v>0.70138888888888884</v>
      </c>
      <c r="N21" s="573">
        <f ca="1">(J22*N22+J23*N23+J24*N24+J25*N25+J26*N26)/SUM(J22:J26)</f>
        <v>0.80836139169472498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0.8</v>
      </c>
      <c r="N24" s="577">
        <f t="shared" ca="1" si="1"/>
        <v>0.94444444444444442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7</v>
      </c>
      <c r="K25" s="574">
        <f>WORKDAY.INTL(I25,J25,1,Data!$C$3:$C$60)</f>
        <v>46076</v>
      </c>
      <c r="L25" s="77"/>
      <c r="M25" s="577">
        <v>0.35</v>
      </c>
      <c r="N25" s="577">
        <f t="shared" ca="1" si="1"/>
        <v>0.36363636363636365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46074</v>
      </c>
      <c r="J26" s="575">
        <v>1</v>
      </c>
      <c r="K26" s="574">
        <f>WORKDAY.INTL(I26,J26,1,Data!$C$3:$C$60)</f>
        <v>46076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43</v>
      </c>
      <c r="K28" s="569">
        <f>MAX(K30:K34)</f>
        <v>46092</v>
      </c>
      <c r="L28" s="572"/>
      <c r="M28" s="573">
        <f>(J30*M30+J31*M31+J33*M33)/SUM(J30:J33)</f>
        <v>0.42857142857142855</v>
      </c>
      <c r="N28" s="573">
        <f ca="1">(J30*N30+J31*N31+J33*N33)/SUM(J30:J33)</f>
        <v>0.42857142857142855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46083</v>
      </c>
      <c r="J33" s="575">
        <v>7</v>
      </c>
      <c r="K33" s="580">
        <f>WORKDAY.INTL(I33,J33,1,Data!$C$3:$C$60)</f>
        <v>46092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34</v>
      </c>
      <c r="K35" s="569">
        <f>MAX(K36:K38)</f>
        <v>46083</v>
      </c>
      <c r="L35" s="572"/>
      <c r="M35" s="573">
        <f>(J36*M36+J37*M37)/SUM(J36:J37)</f>
        <v>0.1111111111111111</v>
      </c>
      <c r="N35" s="573">
        <f>(J36*M36+J37*M37)/SUM(J36:J37)</f>
        <v>0.1111111111111111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46071</v>
      </c>
      <c r="J37" s="575">
        <v>8</v>
      </c>
      <c r="K37" s="574">
        <f>WORKDAY.INTL(I37,J37,1,Data!$C$3:$C$60)</f>
        <v>46083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46092</v>
      </c>
      <c r="J39" s="570">
        <f>K39-I39</f>
        <v>9</v>
      </c>
      <c r="K39" s="569">
        <f>MAX(K40:K43)</f>
        <v>46101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46092</v>
      </c>
      <c r="J40" s="575">
        <v>1</v>
      </c>
      <c r="K40" s="580">
        <f>WORKDAY.INTL(I40,J40,1,Data!$C$3:$C$60)</f>
        <v>46093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46093</v>
      </c>
      <c r="J41" s="575">
        <v>1</v>
      </c>
      <c r="K41" s="580">
        <f>WORKDAY.INTL(I41,J41,1,Data!$C$3:$C$60)</f>
        <v>46094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46094</v>
      </c>
      <c r="J42" s="575">
        <v>5</v>
      </c>
      <c r="K42" s="580">
        <f>WORKDAY.INTL(I42,J42,1,Data!$C$3:$C$60)</f>
        <v>46101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46094</v>
      </c>
      <c r="J44" s="570">
        <f>K44-I44</f>
        <v>6</v>
      </c>
      <c r="K44" s="569">
        <f>MAX(K45:K47)</f>
        <v>46100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46094</v>
      </c>
      <c r="J45" s="575">
        <v>1</v>
      </c>
      <c r="K45" s="580">
        <f>WORKDAY.INTL(I45,J45,1,Data!$C$3:$C$60)</f>
        <v>46097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46097</v>
      </c>
      <c r="J46" s="575">
        <v>3</v>
      </c>
      <c r="K46" s="580">
        <f>WORKDAY.INTL(I46,J46,1,Data!$C$3:$C$60)</f>
        <v>46100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46097</v>
      </c>
      <c r="J48" s="570">
        <f>K48-I48</f>
        <v>16</v>
      </c>
      <c r="K48" s="569">
        <f>MAX(K49:K51)</f>
        <v>46113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46097</v>
      </c>
      <c r="J49" s="575">
        <v>7</v>
      </c>
      <c r="K49" s="580">
        <f>WORKDAY.INTL(I49,J49,1,Data!$C$3:$C$60)</f>
        <v>46106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46106</v>
      </c>
      <c r="J50" s="575">
        <v>1</v>
      </c>
      <c r="K50" s="580">
        <f>WORKDAY.INTL(I50,J50,1,Data!$C$3:$C$60)</f>
        <v>46107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46106</v>
      </c>
      <c r="J51" s="575">
        <v>5</v>
      </c>
      <c r="K51" s="580">
        <f>WORKDAY.INTL(I51,J51,1,Data!$C$3:$C$60)</f>
        <v>46113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R6" sqref="R6"/>
    </sheetView>
  </sheetViews>
  <sheetFormatPr defaultColWidth="8.3984375" defaultRowHeight="14.25"/>
  <cols>
    <col min="1" max="1" width="5.1328125" style="24" customWidth="1"/>
    <col min="2" max="2" width="5.1328125" style="45" customWidth="1"/>
    <col min="3" max="3" width="28.3984375" style="43" customWidth="1"/>
    <col min="4" max="4" width="18.59765625" style="43" customWidth="1"/>
    <col min="5" max="5" width="6.59765625" style="43" customWidth="1"/>
    <col min="6" max="6" width="16.3984375" style="43" customWidth="1"/>
    <col min="7" max="7" width="12.59765625" style="43" bestFit="1" customWidth="1"/>
    <col min="8" max="8" width="18.59765625" style="43" bestFit="1" customWidth="1"/>
    <col min="9" max="9" width="1.86328125" style="43" customWidth="1"/>
    <col min="10" max="10" width="3.3984375" style="24" customWidth="1"/>
    <col min="11" max="11" width="1.86328125" style="87" customWidth="1"/>
    <col min="12" max="12" width="29.3984375" style="24" customWidth="1"/>
    <col min="13" max="13" width="1.86328125" style="43" customWidth="1"/>
    <col min="14" max="14" width="29.3984375" style="43" customWidth="1"/>
    <col min="15" max="15" width="1.86328125" style="43" customWidth="1"/>
    <col min="16" max="16" width="16.86328125" style="43" customWidth="1"/>
    <col min="17" max="17" width="5.1328125" style="43" customWidth="1"/>
    <col min="18" max="18" width="112.1328125" style="43" bestFit="1" customWidth="1"/>
    <col min="19" max="19" width="112.1328125" style="43" customWidth="1"/>
    <col min="20" max="20" width="4.3984375" style="43" customWidth="1"/>
    <col min="21" max="21" width="18.59765625" style="43" bestFit="1" customWidth="1"/>
    <col min="22" max="22" width="15.59765625" style="24" bestFit="1" customWidth="1"/>
    <col min="23" max="23" width="17.86328125" style="24" bestFit="1" customWidth="1"/>
    <col min="24" max="24" width="14.86328125" style="24" customWidth="1"/>
    <col min="25" max="25" width="5.1328125" style="24" bestFit="1" customWidth="1"/>
    <col min="26" max="26" width="14.3984375" style="24" bestFit="1" customWidth="1"/>
    <col min="27" max="27" width="8.3984375" style="24"/>
    <col min="28" max="28" width="14.3984375" style="24" bestFit="1" customWidth="1"/>
    <col min="29" max="29" width="8.3984375" style="43"/>
    <col min="30" max="30" width="12.1328125" style="43" bestFit="1" customWidth="1"/>
    <col min="31" max="41" width="8.3984375" style="43"/>
    <col min="42" max="42" width="9.3984375" style="43" bestFit="1" customWidth="1"/>
    <col min="43" max="16384" width="8.39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15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2345835.8958569677</v>
      </c>
      <c r="V3" s="621">
        <f>SUMIFS('Expenditure Breakdown'!$Q:$Q,
        'Expenditure Breakdown'!$T:$T, "&gt;"&amp;DATE(2025,8,31),
        'Expenditure Breakdown'!$T:$T, "&lt;="&amp;DATE(2026,8,31))</f>
        <v>1673413.8387062941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1677832.3817590054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1126805.0549999999</v>
      </c>
    </row>
    <row r="4" spans="1:42" s="24" customFormat="1" ht="13.15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1673413.8387062943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672422.057797238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0.2866449689850355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15">
      <c r="B13" s="587">
        <v>1</v>
      </c>
      <c r="C13" s="655" t="s">
        <v>234</v>
      </c>
      <c r="D13" s="656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655" t="s">
        <v>236</v>
      </c>
      <c r="D14" s="656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655" t="s">
        <v>238</v>
      </c>
      <c r="D15" s="656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653" t="s">
        <v>193</v>
      </c>
      <c r="D16" s="654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46122</v>
      </c>
      <c r="R16" s="280"/>
      <c r="S16" s="633" t="b">
        <v>0</v>
      </c>
      <c r="T16" s="53"/>
    </row>
    <row r="17" spans="2:20" s="24" customFormat="1" ht="13.15">
      <c r="B17" s="587">
        <v>5</v>
      </c>
      <c r="C17" s="653" t="s">
        <v>239</v>
      </c>
      <c r="D17" s="654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46128</v>
      </c>
      <c r="R17" s="280"/>
      <c r="S17" s="633" t="b">
        <v>0</v>
      </c>
      <c r="T17" s="53"/>
    </row>
    <row r="18" spans="2:20" s="24" customFormat="1" ht="13.15">
      <c r="B18" s="587">
        <v>6</v>
      </c>
      <c r="C18" s="653" t="s">
        <v>240</v>
      </c>
      <c r="D18" s="654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655" t="s">
        <v>240</v>
      </c>
      <c r="D19" s="656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2.75">
      <c r="C24" s="59" t="s">
        <v>243</v>
      </c>
      <c r="D24" s="60"/>
      <c r="F24" s="61"/>
    </row>
    <row r="25" spans="2:20" s="24" customFormat="1" ht="12.75">
      <c r="C25" s="59" t="s">
        <v>244</v>
      </c>
      <c r="D25" s="60"/>
    </row>
    <row r="26" spans="2:20" s="24" customFormat="1" ht="12.75">
      <c r="C26" s="62" t="s">
        <v>245</v>
      </c>
      <c r="D26" s="63"/>
    </row>
    <row r="27" spans="2:20" s="24" customFormat="1" ht="12.75">
      <c r="C27" s="64" t="s">
        <v>246</v>
      </c>
      <c r="D27" s="60"/>
    </row>
    <row r="28" spans="2:20" s="24" customFormat="1" ht="12.75">
      <c r="B28" s="31"/>
      <c r="C28" s="64" t="s">
        <v>247</v>
      </c>
      <c r="D28" s="60"/>
    </row>
    <row r="29" spans="2:20" s="24" customFormat="1" ht="12.7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132812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4"/>
      <c r="C4" s="684"/>
      <c r="D4" s="684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25" thickBot="1">
      <c r="A5" s="126"/>
      <c r="B5" s="685" t="s">
        <v>255</v>
      </c>
      <c r="C5" s="685"/>
      <c r="D5" s="685"/>
      <c r="E5" s="313"/>
      <c r="F5" s="133">
        <f>SUM(F9:F23)</f>
        <v>1920067.624076087</v>
      </c>
      <c r="G5" s="128"/>
      <c r="H5" s="133">
        <f>SUM(H9:H23)</f>
        <v>1673413.8387062943</v>
      </c>
      <c r="I5" s="126"/>
      <c r="J5" s="134">
        <f>SUM(J9:J23)</f>
        <v>246653.78536979281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2" zoomScaleNormal="85" workbookViewId="0">
      <pane ySplit="4" topLeftCell="A103" activePane="bottomLeft" state="frozen"/>
      <selection activeCell="X33" sqref="X33"/>
      <selection pane="bottomLeft" activeCell="R58" sqref="R58:R65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59765625" style="4" customWidth="1"/>
    <col min="5" max="5" width="13" style="6" customWidth="1"/>
    <col min="6" max="6" width="16.59765625" style="372" customWidth="1"/>
    <col min="7" max="8" width="17.3984375" style="4" customWidth="1"/>
    <col min="9" max="10" width="22.3984375" style="254" customWidth="1"/>
    <col min="11" max="12" width="5.1328125" style="26" customWidth="1"/>
    <col min="13" max="13" width="25.59765625" style="26" customWidth="1"/>
    <col min="14" max="14" width="53" style="26" bestFit="1" customWidth="1"/>
    <col min="15" max="15" width="15.59765625" style="26" customWidth="1"/>
    <col min="16" max="17" width="17.3984375" style="26" customWidth="1"/>
    <col min="18" max="18" width="37.59765625" style="26" bestFit="1" customWidth="1"/>
    <col min="19" max="19" width="25.3984375" style="26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1328125" style="26" customWidth="1"/>
    <col min="25" max="25" width="29.3984375" style="26" bestFit="1" customWidth="1"/>
    <col min="26" max="26" width="26.59765625" style="26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6" t="s">
        <v>261</v>
      </c>
      <c r="C2" s="687"/>
      <c r="D2" s="687"/>
      <c r="E2" s="687"/>
      <c r="F2" s="687"/>
      <c r="G2" s="687"/>
      <c r="H2" s="395"/>
      <c r="I2" s="162">
        <f>SUM(I6:I159)</f>
        <v>1920067.624076087</v>
      </c>
      <c r="J2" s="162">
        <f>SUM(J6:J159)</f>
        <v>2345835.8965035318</v>
      </c>
      <c r="L2" s="688" t="s">
        <v>262</v>
      </c>
      <c r="M2" s="689"/>
      <c r="N2" s="689"/>
      <c r="O2" s="689"/>
      <c r="P2" s="689"/>
      <c r="Q2" s="689"/>
      <c r="R2" s="696" t="s">
        <v>263</v>
      </c>
      <c r="S2" s="697"/>
      <c r="T2" s="697"/>
      <c r="U2" s="697"/>
      <c r="V2" s="697"/>
      <c r="W2" s="698"/>
      <c r="X2" s="162">
        <f>SUM(X6:X159)</f>
        <v>1673413.8387062943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90">
        <f>SUM(G6:G11)</f>
        <v>597474.80000000005</v>
      </c>
      <c r="J6" s="693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v>448</v>
      </c>
      <c r="P6" s="336">
        <v>1220</v>
      </c>
      <c r="Q6" s="292">
        <f>O6*P6</f>
        <v>546560</v>
      </c>
      <c r="R6" s="469"/>
      <c r="S6" s="500" t="s">
        <v>282</v>
      </c>
      <c r="T6" s="540">
        <v>46053</v>
      </c>
      <c r="U6" s="629">
        <v>746843.5</v>
      </c>
      <c r="V6" s="705">
        <f>J6-SUM(U6:U11)</f>
        <v>0</v>
      </c>
      <c r="W6" s="453">
        <v>46107</v>
      </c>
      <c r="X6" s="690">
        <f>SUM(Q6:Q11)</f>
        <v>546560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91"/>
      <c r="J7" s="694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06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91"/>
      <c r="J8" s="694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06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91"/>
      <c r="J9" s="694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06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1"/>
      <c r="J10" s="694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06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2"/>
      <c r="J11" s="695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7"/>
      <c r="W11" s="456"/>
      <c r="X11" s="692"/>
      <c r="Y11" s="603" t="s">
        <v>284</v>
      </c>
      <c r="Z11" s="487" t="s">
        <v>285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99">
        <f>SUM(G13:G19)</f>
        <v>210000</v>
      </c>
      <c r="J13" s="702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08">
        <f>J13-SUM(U13:U19)</f>
        <v>0</v>
      </c>
      <c r="W13" s="458"/>
      <c r="X13" s="699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0"/>
      <c r="J14" s="703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648">
        <v>262500</v>
      </c>
      <c r="V14" s="709"/>
      <c r="W14" s="459">
        <f>W6</f>
        <v>46107</v>
      </c>
      <c r="X14" s="700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0"/>
      <c r="J15" s="703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09"/>
      <c r="W15" s="459"/>
      <c r="X15" s="700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0"/>
      <c r="J16" s="703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09"/>
      <c r="W16" s="459"/>
      <c r="X16" s="700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0"/>
      <c r="J17" s="703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09"/>
      <c r="W17" s="459"/>
      <c r="X17" s="700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0"/>
      <c r="J18" s="703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09"/>
      <c r="W18" s="459"/>
      <c r="X18" s="700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01"/>
      <c r="J19" s="704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10"/>
      <c r="W19" s="460"/>
      <c r="X19" s="701"/>
      <c r="Y19" s="604" t="s">
        <v>296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90">
        <f>SUM(G21:G26)</f>
        <v>109312</v>
      </c>
      <c r="J21" s="693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629">
        <v>136640</v>
      </c>
      <c r="V21" s="705">
        <f>J21-SUM(U21:U26)</f>
        <v>0</v>
      </c>
      <c r="W21" s="461">
        <v>46080</v>
      </c>
      <c r="X21" s="690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91"/>
      <c r="J22" s="694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06"/>
      <c r="W22" s="454"/>
      <c r="X22" s="691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91"/>
      <c r="J23" s="694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06"/>
      <c r="W23" s="454"/>
      <c r="X23" s="691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1"/>
      <c r="J24" s="694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06"/>
      <c r="W24" s="455"/>
      <c r="X24" s="691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1"/>
      <c r="J25" s="694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06"/>
      <c r="W25" s="455"/>
      <c r="X25" s="69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2"/>
      <c r="J26" s="695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07"/>
      <c r="W26" s="456"/>
      <c r="X26" s="692"/>
      <c r="Y26" s="606" t="s">
        <v>214</v>
      </c>
      <c r="Z26" s="492" t="s">
        <v>307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99">
        <f>SUM(G28:G42)</f>
        <v>209866.8</v>
      </c>
      <c r="J28" s="702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648">
        <v>100958.20148640533</v>
      </c>
      <c r="V28" s="708">
        <f>J28-SUM(U28:U42)</f>
        <v>0</v>
      </c>
      <c r="W28" s="458">
        <f>W6</f>
        <v>46107</v>
      </c>
      <c r="X28" s="699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700"/>
      <c r="J29" s="703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09"/>
      <c r="W29" s="459"/>
      <c r="X29" s="700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0"/>
      <c r="J30" s="703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9"/>
      <c r="W30" s="459"/>
      <c r="X30" s="700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0"/>
      <c r="J31" s="703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9"/>
      <c r="W31" s="459"/>
      <c r="X31" s="700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0"/>
      <c r="J32" s="703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714"/>
      <c r="S32" s="506" t="s">
        <v>313</v>
      </c>
      <c r="T32" s="543">
        <f>T90</f>
        <v>46053</v>
      </c>
      <c r="U32" s="648">
        <v>16137.529851359466</v>
      </c>
      <c r="V32" s="709"/>
      <c r="W32" s="644">
        <v>46051</v>
      </c>
      <c r="X32" s="700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0"/>
      <c r="J33" s="703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3">$O$32*P33</f>
        <v>20125.916999999998</v>
      </c>
      <c r="R33" s="715"/>
      <c r="S33" s="506" t="s">
        <v>315</v>
      </c>
      <c r="T33" s="638">
        <v>46053</v>
      </c>
      <c r="U33" s="648">
        <v>24206.294777039195</v>
      </c>
      <c r="V33" s="709"/>
      <c r="W33" s="644">
        <f t="shared" ref="W33:W39" si="4">W91</f>
        <v>46058</v>
      </c>
      <c r="X33" s="700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0"/>
      <c r="J34" s="703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3"/>
        <v>26834.556</v>
      </c>
      <c r="R34" s="715"/>
      <c r="S34" s="506"/>
      <c r="T34" s="416">
        <f t="shared" ref="T34:T39" si="5">T92</f>
        <v>46112</v>
      </c>
      <c r="U34" s="401">
        <f t="shared" si="2"/>
        <v>32275.059702718932</v>
      </c>
      <c r="V34" s="709"/>
      <c r="W34" s="459">
        <f t="shared" si="4"/>
        <v>46083</v>
      </c>
      <c r="X34" s="700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0"/>
      <c r="J35" s="703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3"/>
        <v>33543.195</v>
      </c>
      <c r="R35" s="715"/>
      <c r="S35" s="506"/>
      <c r="T35" s="416">
        <f t="shared" si="5"/>
        <v>46112</v>
      </c>
      <c r="U35" s="401">
        <f t="shared" si="2"/>
        <v>40343.824628398666</v>
      </c>
      <c r="V35" s="709"/>
      <c r="W35" s="459">
        <f t="shared" si="4"/>
        <v>46099</v>
      </c>
      <c r="X35" s="700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0"/>
      <c r="J36" s="703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3"/>
        <v>13417.278</v>
      </c>
      <c r="R36" s="715"/>
      <c r="S36" s="506"/>
      <c r="T36" s="416">
        <f t="shared" si="5"/>
        <v>46112</v>
      </c>
      <c r="U36" s="401">
        <f t="shared" si="2"/>
        <v>16137.529851359466</v>
      </c>
      <c r="V36" s="709"/>
      <c r="W36" s="459">
        <f t="shared" si="4"/>
        <v>46108</v>
      </c>
      <c r="X36" s="700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0"/>
      <c r="J37" s="703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3"/>
        <v>13417.278</v>
      </c>
      <c r="R37" s="715"/>
      <c r="S37" s="506"/>
      <c r="T37" s="416">
        <f t="shared" si="5"/>
        <v>46112</v>
      </c>
      <c r="U37" s="401">
        <f t="shared" si="2"/>
        <v>16137.529851359466</v>
      </c>
      <c r="V37" s="709"/>
      <c r="W37" s="459">
        <f t="shared" si="4"/>
        <v>46107</v>
      </c>
      <c r="X37" s="700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0"/>
      <c r="J38" s="703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3"/>
        <v>6708.6390000000001</v>
      </c>
      <c r="R38" s="715"/>
      <c r="S38" s="506"/>
      <c r="T38" s="416">
        <f t="shared" si="5"/>
        <v>46112</v>
      </c>
      <c r="U38" s="401">
        <f t="shared" si="2"/>
        <v>8068.7649256797331</v>
      </c>
      <c r="V38" s="709"/>
      <c r="W38" s="459">
        <f t="shared" si="4"/>
        <v>46107</v>
      </c>
      <c r="X38" s="700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0"/>
      <c r="J39" s="703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3"/>
        <v>6708.6390000000001</v>
      </c>
      <c r="R39" s="716"/>
      <c r="S39" s="506"/>
      <c r="T39" s="416">
        <f t="shared" si="5"/>
        <v>46142</v>
      </c>
      <c r="U39" s="401">
        <f t="shared" si="2"/>
        <v>8068.7649256797331</v>
      </c>
      <c r="V39" s="709"/>
      <c r="W39" s="459">
        <f t="shared" si="4"/>
        <v>46130</v>
      </c>
      <c r="X39" s="700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0"/>
      <c r="J40" s="703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9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0"/>
      <c r="J41" s="703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9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1"/>
      <c r="J42" s="704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701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90">
        <f>D165</f>
        <v>49000</v>
      </c>
      <c r="J44" s="693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651">
        <v>14012.999682833975</v>
      </c>
      <c r="V44" s="705">
        <f>J44-SUM(U44:U50)</f>
        <v>0</v>
      </c>
      <c r="W44" s="461">
        <f>W14</f>
        <v>46107</v>
      </c>
      <c r="X44" s="690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91"/>
      <c r="J45" s="694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 t="s">
        <v>328</v>
      </c>
      <c r="T45" s="627">
        <v>46053</v>
      </c>
      <c r="U45" s="651">
        <v>22791.003154631213</v>
      </c>
      <c r="V45" s="706"/>
      <c r="W45" s="454">
        <v>46079</v>
      </c>
      <c r="X45" s="691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91"/>
      <c r="J46" s="694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706"/>
      <c r="W46" s="454">
        <f>W45</f>
        <v>46079</v>
      </c>
      <c r="X46" s="69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91"/>
      <c r="J47" s="694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411">
        <v>46081</v>
      </c>
      <c r="U47" s="396">
        <f t="shared" si="6"/>
        <v>0</v>
      </c>
      <c r="V47" s="706"/>
      <c r="W47" s="454">
        <f>W46</f>
        <v>46079</v>
      </c>
      <c r="X47" s="69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1"/>
      <c r="J48" s="694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06"/>
      <c r="W48" s="455"/>
      <c r="X48" s="69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1"/>
      <c r="J49" s="694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06"/>
      <c r="W49" s="455"/>
      <c r="X49" s="69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2"/>
      <c r="J50" s="695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7"/>
      <c r="W50" s="456"/>
      <c r="X50" s="692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329</v>
      </c>
      <c r="E52" s="373"/>
      <c r="F52" s="355"/>
      <c r="G52" s="200">
        <f>D164</f>
        <v>349524.55217391305</v>
      </c>
      <c r="H52" s="552">
        <f>'Project Plan'!G24+30</f>
        <v>46100</v>
      </c>
      <c r="I52" s="699">
        <f>SUM(G52:G68)</f>
        <v>349524.55217391305</v>
      </c>
      <c r="J52" s="702">
        <f>F164</f>
        <v>436905.6902173913</v>
      </c>
      <c r="K52" s="201"/>
      <c r="L52" s="197">
        <v>6</v>
      </c>
      <c r="M52" s="330" t="s">
        <v>330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08">
        <f>J52-SUM(U52:U68)</f>
        <v>0</v>
      </c>
      <c r="W52" s="458"/>
      <c r="X52" s="699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0"/>
      <c r="J53" s="703"/>
      <c r="K53" s="205"/>
      <c r="L53" s="202">
        <v>6</v>
      </c>
      <c r="M53" s="328" t="s">
        <v>330</v>
      </c>
      <c r="N53" s="342" t="s">
        <v>109</v>
      </c>
      <c r="O53" s="438"/>
      <c r="P53" s="351"/>
      <c r="Q53" s="225">
        <v>83351.62</v>
      </c>
      <c r="R53" s="475" t="s">
        <v>331</v>
      </c>
      <c r="S53" s="506" t="s">
        <v>332</v>
      </c>
      <c r="T53" s="543">
        <v>46081</v>
      </c>
      <c r="U53" s="401">
        <f t="shared" si="7"/>
        <v>223619.49526100949</v>
      </c>
      <c r="V53" s="709"/>
      <c r="W53" s="459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0"/>
      <c r="J54" s="703"/>
      <c r="K54" s="205"/>
      <c r="L54" s="202">
        <v>6</v>
      </c>
      <c r="M54" s="328" t="s">
        <v>330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09"/>
      <c r="W54" s="459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0"/>
      <c r="J55" s="703"/>
      <c r="K55" s="205"/>
      <c r="L55" s="202">
        <v>6</v>
      </c>
      <c r="M55" s="328" t="s">
        <v>330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09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0"/>
      <c r="J56" s="703"/>
      <c r="K56" s="205"/>
      <c r="L56" s="202">
        <v>6</v>
      </c>
      <c r="M56" s="328" t="s">
        <v>330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09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0"/>
      <c r="J57" s="703"/>
      <c r="K57" s="205"/>
      <c r="L57" s="202">
        <v>6</v>
      </c>
      <c r="M57" s="328" t="s">
        <v>330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09"/>
      <c r="W57" s="459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0"/>
      <c r="J58" s="703"/>
      <c r="K58" s="205"/>
      <c r="L58" s="202">
        <v>6</v>
      </c>
      <c r="M58" s="328" t="s">
        <v>330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714"/>
      <c r="S58" s="506" t="s">
        <v>313</v>
      </c>
      <c r="T58" s="558">
        <f>T90</f>
        <v>46053</v>
      </c>
      <c r="U58" s="648">
        <v>21328.619495638184</v>
      </c>
      <c r="V58" s="709"/>
      <c r="W58" s="644">
        <v>46051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0"/>
      <c r="J59" s="703"/>
      <c r="K59" s="205"/>
      <c r="L59" s="202">
        <v>6</v>
      </c>
      <c r="M59" s="329" t="s">
        <v>330</v>
      </c>
      <c r="N59" s="309" t="s">
        <v>162</v>
      </c>
      <c r="O59" s="438"/>
      <c r="P59" s="448">
        <v>0.15</v>
      </c>
      <c r="Q59" s="204">
        <f t="shared" ref="Q59:Q65" si="8">$O$58*P59</f>
        <v>11925</v>
      </c>
      <c r="R59" s="715"/>
      <c r="S59" s="639" t="s">
        <v>315</v>
      </c>
      <c r="T59" s="640">
        <v>46053</v>
      </c>
      <c r="U59" s="648">
        <v>31992.929243457274</v>
      </c>
      <c r="V59" s="709"/>
      <c r="W59" s="644">
        <f t="shared" ref="W59:W65" si="9">W91</f>
        <v>46058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0"/>
      <c r="J60" s="703"/>
      <c r="K60" s="205"/>
      <c r="L60" s="202">
        <v>6</v>
      </c>
      <c r="M60" s="329" t="s">
        <v>330</v>
      </c>
      <c r="N60" s="309" t="s">
        <v>316</v>
      </c>
      <c r="O60" s="438"/>
      <c r="P60" s="448">
        <v>0.2</v>
      </c>
      <c r="Q60" s="204">
        <f t="shared" si="8"/>
        <v>15900</v>
      </c>
      <c r="R60" s="715"/>
      <c r="S60" s="506"/>
      <c r="T60" s="419">
        <f t="shared" si="0"/>
        <v>46112</v>
      </c>
      <c r="U60" s="401">
        <f t="shared" si="7"/>
        <v>42657.238991276368</v>
      </c>
      <c r="V60" s="709"/>
      <c r="W60" s="459">
        <f t="shared" si="9"/>
        <v>46083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0"/>
      <c r="J61" s="703"/>
      <c r="K61" s="205"/>
      <c r="L61" s="202">
        <v>6</v>
      </c>
      <c r="M61" s="329" t="s">
        <v>330</v>
      </c>
      <c r="N61" s="309" t="s">
        <v>318</v>
      </c>
      <c r="O61" s="438"/>
      <c r="P61" s="448">
        <v>0.25</v>
      </c>
      <c r="Q61" s="204">
        <f t="shared" si="8"/>
        <v>19875</v>
      </c>
      <c r="R61" s="715"/>
      <c r="S61" s="506"/>
      <c r="T61" s="419">
        <f t="shared" si="0"/>
        <v>46112</v>
      </c>
      <c r="U61" s="401">
        <f t="shared" si="7"/>
        <v>53321.548739095451</v>
      </c>
      <c r="V61" s="709"/>
      <c r="W61" s="459">
        <f t="shared" si="9"/>
        <v>46099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0"/>
      <c r="J62" s="703"/>
      <c r="K62" s="205"/>
      <c r="L62" s="202">
        <v>6</v>
      </c>
      <c r="M62" s="329" t="s">
        <v>330</v>
      </c>
      <c r="N62" s="309" t="s">
        <v>319</v>
      </c>
      <c r="O62" s="438"/>
      <c r="P62" s="448">
        <v>0.1</v>
      </c>
      <c r="Q62" s="204">
        <f t="shared" si="8"/>
        <v>7950</v>
      </c>
      <c r="R62" s="715"/>
      <c r="S62" s="506"/>
      <c r="T62" s="419">
        <f t="shared" si="0"/>
        <v>46112</v>
      </c>
      <c r="U62" s="401">
        <f t="shared" si="7"/>
        <v>21328.619495638184</v>
      </c>
      <c r="V62" s="709"/>
      <c r="W62" s="459">
        <f t="shared" si="9"/>
        <v>46108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0"/>
      <c r="J63" s="703"/>
      <c r="K63" s="205"/>
      <c r="L63" s="202">
        <v>6</v>
      </c>
      <c r="M63" s="329" t="s">
        <v>330</v>
      </c>
      <c r="N63" s="309" t="s">
        <v>320</v>
      </c>
      <c r="O63" s="438"/>
      <c r="P63" s="448">
        <v>0.1</v>
      </c>
      <c r="Q63" s="204">
        <f t="shared" si="8"/>
        <v>7950</v>
      </c>
      <c r="R63" s="715"/>
      <c r="S63" s="510"/>
      <c r="T63" s="419">
        <f t="shared" si="0"/>
        <v>46112</v>
      </c>
      <c r="U63" s="406">
        <f t="shared" si="7"/>
        <v>21328.619495638184</v>
      </c>
      <c r="V63" s="709"/>
      <c r="W63" s="459">
        <f t="shared" si="9"/>
        <v>46107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0"/>
      <c r="J64" s="703"/>
      <c r="K64" s="205"/>
      <c r="L64" s="202">
        <v>6</v>
      </c>
      <c r="M64" s="329" t="s">
        <v>330</v>
      </c>
      <c r="N64" s="309" t="s">
        <v>321</v>
      </c>
      <c r="O64" s="438"/>
      <c r="P64" s="448">
        <v>0.05</v>
      </c>
      <c r="Q64" s="204">
        <f t="shared" si="8"/>
        <v>3975</v>
      </c>
      <c r="R64" s="715"/>
      <c r="S64" s="510"/>
      <c r="T64" s="419">
        <f t="shared" si="0"/>
        <v>46112</v>
      </c>
      <c r="U64" s="406">
        <f t="shared" si="7"/>
        <v>10664.309747819092</v>
      </c>
      <c r="V64" s="709"/>
      <c r="W64" s="459">
        <f t="shared" si="9"/>
        <v>46107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0"/>
      <c r="J65" s="703"/>
      <c r="K65" s="205"/>
      <c r="L65" s="202">
        <v>6</v>
      </c>
      <c r="M65" s="329" t="s">
        <v>330</v>
      </c>
      <c r="N65" s="309" t="s">
        <v>322</v>
      </c>
      <c r="O65" s="438"/>
      <c r="P65" s="448">
        <v>0.05</v>
      </c>
      <c r="Q65" s="204">
        <f t="shared" si="8"/>
        <v>3975</v>
      </c>
      <c r="R65" s="716"/>
      <c r="S65" s="510"/>
      <c r="T65" s="419">
        <f t="shared" si="0"/>
        <v>46142</v>
      </c>
      <c r="U65" s="406">
        <f t="shared" si="7"/>
        <v>10664.309747819092</v>
      </c>
      <c r="V65" s="709"/>
      <c r="W65" s="459">
        <f t="shared" si="9"/>
        <v>46130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0"/>
      <c r="J66" s="703"/>
      <c r="K66" s="205"/>
      <c r="L66" s="202">
        <v>6</v>
      </c>
      <c r="M66" s="329" t="s">
        <v>330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09"/>
      <c r="W66" s="462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0"/>
      <c r="J67" s="703"/>
      <c r="K67" s="205"/>
      <c r="L67" s="202">
        <v>6</v>
      </c>
      <c r="M67" s="329" t="s">
        <v>330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09"/>
      <c r="W67" s="462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1"/>
      <c r="J68" s="704"/>
      <c r="K68" s="210"/>
      <c r="L68" s="206">
        <v>6</v>
      </c>
      <c r="M68" s="331" t="s">
        <v>330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10"/>
      <c r="W68" s="460"/>
      <c r="X68" s="701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90">
        <f>SUM(G70:G77)</f>
        <v>0</v>
      </c>
      <c r="J70" s="693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11">
        <f>J70-SUM(U70:U77)</f>
        <v>0</v>
      </c>
      <c r="W70" s="464"/>
      <c r="X70" s="69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91"/>
      <c r="J71" s="694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12"/>
      <c r="W71" s="455"/>
      <c r="X71" s="69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91"/>
      <c r="J72" s="694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12"/>
      <c r="W72" s="455"/>
      <c r="X72" s="69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91"/>
      <c r="J73" s="694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12"/>
      <c r="W73" s="455"/>
      <c r="X73" s="69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91"/>
      <c r="J74" s="694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12"/>
      <c r="W74" s="455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91"/>
      <c r="J75" s="694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12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91"/>
      <c r="J76" s="694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12"/>
      <c r="W76" s="455"/>
      <c r="X76" s="69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2"/>
      <c r="J77" s="695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13"/>
      <c r="W77" s="456"/>
      <c r="X77" s="692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/>
      <c r="E79" s="361"/>
      <c r="F79" s="315"/>
      <c r="G79" s="238"/>
      <c r="H79" s="552"/>
      <c r="I79" s="699">
        <f>SUM(G79:G87)</f>
        <v>0</v>
      </c>
      <c r="J79" s="702">
        <f>F168+F169+F166</f>
        <v>0</v>
      </c>
      <c r="K79" s="201"/>
      <c r="L79" s="236">
        <v>8</v>
      </c>
      <c r="M79" s="324" t="s">
        <v>336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9"/>
      <c r="W79" s="458"/>
      <c r="X79" s="699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00"/>
      <c r="J80" s="703"/>
      <c r="K80" s="205"/>
      <c r="L80" s="226">
        <v>8</v>
      </c>
      <c r="M80" s="332" t="s">
        <v>336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30"/>
      <c r="W80" s="458"/>
      <c r="X80" s="700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00"/>
      <c r="J81" s="703"/>
      <c r="K81" s="205"/>
      <c r="L81" s="226">
        <v>8</v>
      </c>
      <c r="M81" s="332" t="s">
        <v>336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30"/>
      <c r="W81" s="458"/>
      <c r="X81" s="70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00"/>
      <c r="J82" s="703"/>
      <c r="K82" s="205"/>
      <c r="L82" s="226">
        <v>8</v>
      </c>
      <c r="M82" s="332" t="s">
        <v>336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30"/>
      <c r="W82" s="458"/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0"/>
      <c r="J83" s="703"/>
      <c r="K83" s="205"/>
      <c r="L83" s="226">
        <v>8</v>
      </c>
      <c r="M83" s="332" t="s">
        <v>336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30"/>
      <c r="W83" s="459"/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0"/>
      <c r="J84" s="703"/>
      <c r="K84" s="205"/>
      <c r="L84" s="226">
        <v>8</v>
      </c>
      <c r="M84" s="332" t="s">
        <v>336</v>
      </c>
      <c r="N84" s="239"/>
      <c r="O84" s="441"/>
      <c r="P84" s="533"/>
      <c r="Q84" s="228"/>
      <c r="R84" s="475"/>
      <c r="S84" s="506"/>
      <c r="T84" s="416"/>
      <c r="U84" s="401"/>
      <c r="V84" s="730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0"/>
      <c r="J85" s="703"/>
      <c r="K85" s="205"/>
      <c r="L85" s="226">
        <v>8</v>
      </c>
      <c r="M85" s="332" t="s">
        <v>336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30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0"/>
      <c r="J86" s="703"/>
      <c r="K86" s="205"/>
      <c r="L86" s="226">
        <v>8</v>
      </c>
      <c r="M86" s="332" t="s">
        <v>336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30"/>
      <c r="W86" s="462"/>
      <c r="X86" s="70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1"/>
      <c r="J87" s="704"/>
      <c r="K87" s="210"/>
      <c r="L87" s="206">
        <v>8</v>
      </c>
      <c r="M87" s="331" t="s">
        <v>336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31"/>
      <c r="W87" s="460"/>
      <c r="X87" s="70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338</v>
      </c>
      <c r="D89" s="231" t="s">
        <v>339</v>
      </c>
      <c r="E89" s="218"/>
      <c r="F89" s="336"/>
      <c r="G89" s="496">
        <f>D173</f>
        <v>68320</v>
      </c>
      <c r="H89" s="541">
        <f>'Project Plan'!G21+7</f>
        <v>46078</v>
      </c>
      <c r="I89" s="723">
        <f>SUM(G89:G100)</f>
        <v>217280</v>
      </c>
      <c r="J89" s="693">
        <f>F173+F174</f>
        <v>241422.22222222225</v>
      </c>
      <c r="K89" s="192"/>
      <c r="L89" s="215">
        <v>9</v>
      </c>
      <c r="M89" s="322" t="s">
        <v>340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5">
        <f>J89-SUM(U89:U100)</f>
        <v>0</v>
      </c>
      <c r="W89" s="461"/>
      <c r="X89" s="690">
        <f>SUM(Q89:Q100)</f>
        <v>286650</v>
      </c>
    </row>
    <row r="90" spans="1:24" ht="15" customHeight="1">
      <c r="B90" s="215">
        <v>9</v>
      </c>
      <c r="C90" s="341"/>
      <c r="D90" s="232" t="s">
        <v>341</v>
      </c>
      <c r="E90" s="218"/>
      <c r="F90" s="357"/>
      <c r="G90" s="496">
        <f>D174</f>
        <v>148960</v>
      </c>
      <c r="H90" s="540">
        <f>'Project Plan'!G28+7</f>
        <v>46087</v>
      </c>
      <c r="I90" s="724"/>
      <c r="J90" s="694"/>
      <c r="K90" s="192"/>
      <c r="L90" s="215">
        <v>9</v>
      </c>
      <c r="M90" s="322" t="s">
        <v>340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35"/>
      <c r="S90" s="501" t="s">
        <v>313</v>
      </c>
      <c r="T90" s="549">
        <v>46053</v>
      </c>
      <c r="U90" s="629">
        <v>24142.222222222226</v>
      </c>
      <c r="V90" s="706"/>
      <c r="W90" s="645">
        <v>46051</v>
      </c>
      <c r="X90" s="69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4"/>
      <c r="J91" s="694"/>
      <c r="K91" s="192"/>
      <c r="L91" s="284">
        <v>9</v>
      </c>
      <c r="M91" s="394" t="s">
        <v>340</v>
      </c>
      <c r="N91" s="286" t="s">
        <v>162</v>
      </c>
      <c r="O91" s="434"/>
      <c r="P91" s="449">
        <v>0.15</v>
      </c>
      <c r="Q91" s="219">
        <f t="shared" ref="Q91:Q97" si="12">$O$90*P91</f>
        <v>42997.5</v>
      </c>
      <c r="R91" s="736"/>
      <c r="S91" s="501" t="s">
        <v>315</v>
      </c>
      <c r="T91" s="641">
        <v>46053</v>
      </c>
      <c r="U91" s="629">
        <v>36213.333333333336</v>
      </c>
      <c r="V91" s="706"/>
      <c r="W91" s="647">
        <v>46058</v>
      </c>
      <c r="X91" s="69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4"/>
      <c r="J92" s="694"/>
      <c r="K92" s="192"/>
      <c r="L92" s="284">
        <v>9</v>
      </c>
      <c r="M92" s="394" t="s">
        <v>340</v>
      </c>
      <c r="N92" s="286" t="s">
        <v>316</v>
      </c>
      <c r="O92" s="434"/>
      <c r="P92" s="449">
        <v>0.2</v>
      </c>
      <c r="Q92" s="219">
        <f t="shared" si="12"/>
        <v>57330</v>
      </c>
      <c r="R92" s="736"/>
      <c r="S92" s="501"/>
      <c r="T92" s="412">
        <f t="shared" si="10"/>
        <v>46112</v>
      </c>
      <c r="U92" s="397">
        <f t="shared" si="11"/>
        <v>48284.444444444453</v>
      </c>
      <c r="V92" s="706"/>
      <c r="W92" s="455">
        <f>'Project Plan'!K21+7</f>
        <v>46083</v>
      </c>
      <c r="X92" s="69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4"/>
      <c r="J93" s="694"/>
      <c r="K93" s="192"/>
      <c r="L93" s="284">
        <v>9</v>
      </c>
      <c r="M93" s="394" t="s">
        <v>340</v>
      </c>
      <c r="N93" s="286" t="s">
        <v>318</v>
      </c>
      <c r="O93" s="434"/>
      <c r="P93" s="449">
        <v>0.25</v>
      </c>
      <c r="Q93" s="219">
        <f t="shared" si="12"/>
        <v>71662.5</v>
      </c>
      <c r="R93" s="736"/>
      <c r="S93" s="502"/>
      <c r="T93" s="412">
        <f t="shared" si="10"/>
        <v>46112</v>
      </c>
      <c r="U93" s="397">
        <f t="shared" si="11"/>
        <v>60355.555555555562</v>
      </c>
      <c r="V93" s="706"/>
      <c r="W93" s="455">
        <f>'Project Plan'!K28+7</f>
        <v>46099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4"/>
      <c r="J94" s="694"/>
      <c r="K94" s="192"/>
      <c r="L94" s="284">
        <v>9</v>
      </c>
      <c r="M94" s="394" t="s">
        <v>340</v>
      </c>
      <c r="N94" s="286" t="s">
        <v>319</v>
      </c>
      <c r="O94" s="434"/>
      <c r="P94" s="449">
        <v>0.1</v>
      </c>
      <c r="Q94" s="219">
        <f t="shared" si="12"/>
        <v>28665</v>
      </c>
      <c r="R94" s="736"/>
      <c r="S94" s="502"/>
      <c r="T94" s="412">
        <f t="shared" si="10"/>
        <v>46112</v>
      </c>
      <c r="U94" s="397">
        <f t="shared" si="11"/>
        <v>24142.222222222226</v>
      </c>
      <c r="V94" s="706"/>
      <c r="W94" s="455">
        <f>'Project Plan'!K39+7</f>
        <v>46108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4"/>
      <c r="J95" s="694"/>
      <c r="K95" s="192"/>
      <c r="L95" s="284">
        <v>9</v>
      </c>
      <c r="M95" s="394" t="s">
        <v>340</v>
      </c>
      <c r="N95" s="286" t="s">
        <v>320</v>
      </c>
      <c r="O95" s="434"/>
      <c r="P95" s="449">
        <v>0.1</v>
      </c>
      <c r="Q95" s="219">
        <f t="shared" si="12"/>
        <v>28665</v>
      </c>
      <c r="R95" s="736"/>
      <c r="S95" s="502"/>
      <c r="T95" s="412">
        <f t="shared" si="10"/>
        <v>46112</v>
      </c>
      <c r="U95" s="397">
        <f t="shared" si="11"/>
        <v>24142.222222222226</v>
      </c>
      <c r="V95" s="706"/>
      <c r="W95" s="455">
        <f>'Project Plan'!K46+7</f>
        <v>46107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4"/>
      <c r="J96" s="694"/>
      <c r="K96" s="192"/>
      <c r="L96" s="284">
        <v>9</v>
      </c>
      <c r="M96" s="394" t="s">
        <v>340</v>
      </c>
      <c r="N96" s="286" t="s">
        <v>321</v>
      </c>
      <c r="O96" s="434"/>
      <c r="P96" s="449">
        <v>0.05</v>
      </c>
      <c r="Q96" s="219">
        <f t="shared" si="12"/>
        <v>14332.5</v>
      </c>
      <c r="R96" s="736"/>
      <c r="S96" s="502"/>
      <c r="T96" s="412">
        <f t="shared" si="10"/>
        <v>46112</v>
      </c>
      <c r="U96" s="397">
        <f t="shared" si="11"/>
        <v>12071.111111111113</v>
      </c>
      <c r="V96" s="706"/>
      <c r="W96" s="455">
        <f>'Project Plan'!K46+7</f>
        <v>46107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4"/>
      <c r="J97" s="694"/>
      <c r="K97" s="192"/>
      <c r="L97" s="284">
        <v>9</v>
      </c>
      <c r="M97" s="394" t="s">
        <v>340</v>
      </c>
      <c r="N97" s="286" t="s">
        <v>322</v>
      </c>
      <c r="O97" s="434"/>
      <c r="P97" s="449">
        <v>0.05</v>
      </c>
      <c r="Q97" s="219">
        <f t="shared" si="12"/>
        <v>14332.5</v>
      </c>
      <c r="R97" s="737"/>
      <c r="S97" s="502"/>
      <c r="T97" s="412">
        <f t="shared" si="10"/>
        <v>46142</v>
      </c>
      <c r="U97" s="397">
        <f t="shared" si="11"/>
        <v>12071.111111111113</v>
      </c>
      <c r="V97" s="706"/>
      <c r="W97" s="455">
        <f>'Project Plan'!K46+30</f>
        <v>46130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4"/>
      <c r="J98" s="694"/>
      <c r="K98" s="192"/>
      <c r="L98" s="284">
        <v>9</v>
      </c>
      <c r="M98" s="394" t="s">
        <v>340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06"/>
      <c r="W98" s="455"/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4"/>
      <c r="J99" s="694"/>
      <c r="K99" s="192"/>
      <c r="L99" s="284">
        <v>9</v>
      </c>
      <c r="M99" s="394" t="s">
        <v>340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06"/>
      <c r="W99" s="455"/>
      <c r="X99" s="69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5"/>
      <c r="J100" s="695"/>
      <c r="K100" s="267"/>
      <c r="L100" s="220">
        <v>9</v>
      </c>
      <c r="M100" s="340" t="s">
        <v>340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7"/>
      <c r="W100" s="456"/>
      <c r="X100" s="692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342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717">
        <f>SUM(G102:G116)</f>
        <v>60238.266666666663</v>
      </c>
      <c r="J102" s="720">
        <f>F177+F180+F181+F179+F178</f>
        <v>66931.407407407401</v>
      </c>
      <c r="K102" s="243"/>
      <c r="L102" s="173">
        <v>10</v>
      </c>
      <c r="M102" s="333" t="s">
        <v>343</v>
      </c>
      <c r="N102" s="174" t="s">
        <v>344</v>
      </c>
      <c r="O102" s="444"/>
      <c r="P102" s="368"/>
      <c r="Q102" s="242">
        <v>32400</v>
      </c>
      <c r="R102" s="483"/>
      <c r="S102" s="513"/>
      <c r="T102" s="423">
        <f t="shared" si="10"/>
        <v>46112</v>
      </c>
      <c r="U102" s="408">
        <f t="shared" ref="U102:U115" si="13">(Q102/$X$102*$J$102)</f>
        <v>42355.031249999993</v>
      </c>
      <c r="V102" s="726">
        <f>J102-SUM(U102:U116)</f>
        <v>0</v>
      </c>
      <c r="W102" s="465">
        <f>W108</f>
        <v>46083</v>
      </c>
      <c r="X102" s="717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718"/>
      <c r="J103" s="721"/>
      <c r="K103" s="176"/>
      <c r="L103" s="244">
        <v>10</v>
      </c>
      <c r="M103" s="334" t="s">
        <v>343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27"/>
      <c r="W103" s="466"/>
      <c r="X103" s="718"/>
    </row>
    <row r="104" spans="1:24" ht="14.25" customHeight="1">
      <c r="B104" s="244">
        <v>10</v>
      </c>
      <c r="C104" s="245"/>
      <c r="D104" s="245" t="s">
        <v>344</v>
      </c>
      <c r="E104" s="246"/>
      <c r="F104" s="369"/>
      <c r="G104" s="247">
        <f>D180</f>
        <v>32400</v>
      </c>
      <c r="H104" s="560">
        <f>H89</f>
        <v>46078</v>
      </c>
      <c r="I104" s="718"/>
      <c r="J104" s="721"/>
      <c r="K104" s="176"/>
      <c r="L104" s="244">
        <v>10</v>
      </c>
      <c r="M104" s="334" t="s">
        <v>343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27"/>
      <c r="W104" s="466"/>
      <c r="X104" s="718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718"/>
      <c r="J105" s="721"/>
      <c r="K105" s="176"/>
      <c r="L105" s="244">
        <v>10</v>
      </c>
      <c r="M105" s="334" t="s">
        <v>343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27"/>
      <c r="W105" s="466"/>
      <c r="X105" s="71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8"/>
      <c r="J106" s="721"/>
      <c r="K106" s="176"/>
      <c r="L106" s="244">
        <v>10</v>
      </c>
      <c r="M106" s="334" t="s">
        <v>343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32"/>
      <c r="S106" s="515" t="s">
        <v>313</v>
      </c>
      <c r="T106" s="561">
        <f>T90</f>
        <v>46053</v>
      </c>
      <c r="U106" s="652">
        <v>2457.6376157407408</v>
      </c>
      <c r="V106" s="727"/>
      <c r="W106" s="646">
        <f>W90</f>
        <v>46051</v>
      </c>
      <c r="X106" s="71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8"/>
      <c r="J107" s="721"/>
      <c r="K107" s="176"/>
      <c r="L107" s="244">
        <v>10</v>
      </c>
      <c r="M107" s="334" t="s">
        <v>343</v>
      </c>
      <c r="N107" s="245" t="s">
        <v>162</v>
      </c>
      <c r="O107" s="445"/>
      <c r="P107" s="452">
        <v>0.15</v>
      </c>
      <c r="Q107" s="247">
        <f t="shared" ref="Q107:Q113" si="14">$O$106*P107</f>
        <v>2820</v>
      </c>
      <c r="R107" s="733"/>
      <c r="S107" s="642" t="s">
        <v>315</v>
      </c>
      <c r="T107" s="643">
        <v>46053</v>
      </c>
      <c r="U107" s="652">
        <v>3686.4564236111105</v>
      </c>
      <c r="V107" s="727"/>
      <c r="W107" s="646">
        <f t="shared" ref="W107:W113" si="15">W91</f>
        <v>46058</v>
      </c>
      <c r="X107" s="71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8"/>
      <c r="J108" s="721"/>
      <c r="K108" s="176"/>
      <c r="L108" s="244">
        <v>10</v>
      </c>
      <c r="M108" s="334" t="s">
        <v>343</v>
      </c>
      <c r="N108" s="245" t="s">
        <v>316</v>
      </c>
      <c r="O108" s="445"/>
      <c r="P108" s="452">
        <v>0.2</v>
      </c>
      <c r="Q108" s="247">
        <f t="shared" si="14"/>
        <v>3760</v>
      </c>
      <c r="R108" s="733"/>
      <c r="S108" s="515"/>
      <c r="T108" s="425">
        <f t="shared" ref="T108:T113" si="16">T92</f>
        <v>46112</v>
      </c>
      <c r="U108" s="409">
        <f t="shared" si="13"/>
        <v>4915.2752314814816</v>
      </c>
      <c r="V108" s="727"/>
      <c r="W108" s="467">
        <f t="shared" si="15"/>
        <v>46083</v>
      </c>
      <c r="X108" s="71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8"/>
      <c r="J109" s="721"/>
      <c r="K109" s="176"/>
      <c r="L109" s="244">
        <v>10</v>
      </c>
      <c r="M109" s="334" t="s">
        <v>343</v>
      </c>
      <c r="N109" s="245" t="s">
        <v>318</v>
      </c>
      <c r="O109" s="445"/>
      <c r="P109" s="452">
        <v>0.25</v>
      </c>
      <c r="Q109" s="247">
        <f t="shared" si="14"/>
        <v>4700</v>
      </c>
      <c r="R109" s="733"/>
      <c r="S109" s="515"/>
      <c r="T109" s="425">
        <f t="shared" si="16"/>
        <v>46112</v>
      </c>
      <c r="U109" s="409">
        <f t="shared" si="13"/>
        <v>6144.0940393518513</v>
      </c>
      <c r="V109" s="727"/>
      <c r="W109" s="467">
        <f t="shared" si="15"/>
        <v>46099</v>
      </c>
      <c r="X109" s="71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8"/>
      <c r="J110" s="721"/>
      <c r="K110" s="176"/>
      <c r="L110" s="244">
        <v>10</v>
      </c>
      <c r="M110" s="334" t="s">
        <v>343</v>
      </c>
      <c r="N110" s="245" t="s">
        <v>319</v>
      </c>
      <c r="O110" s="445"/>
      <c r="P110" s="452">
        <v>0.1</v>
      </c>
      <c r="Q110" s="247">
        <f t="shared" si="14"/>
        <v>1880</v>
      </c>
      <c r="R110" s="733"/>
      <c r="S110" s="515"/>
      <c r="T110" s="425">
        <f t="shared" si="16"/>
        <v>46112</v>
      </c>
      <c r="U110" s="409">
        <f t="shared" si="13"/>
        <v>2457.6376157407408</v>
      </c>
      <c r="V110" s="727"/>
      <c r="W110" s="467">
        <f t="shared" si="15"/>
        <v>46108</v>
      </c>
      <c r="X110" s="71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8"/>
      <c r="J111" s="721"/>
      <c r="K111" s="176"/>
      <c r="L111" s="244">
        <v>10</v>
      </c>
      <c r="M111" s="334" t="s">
        <v>343</v>
      </c>
      <c r="N111" s="245" t="s">
        <v>320</v>
      </c>
      <c r="O111" s="445"/>
      <c r="P111" s="452">
        <v>0.1</v>
      </c>
      <c r="Q111" s="247">
        <f t="shared" si="14"/>
        <v>1880</v>
      </c>
      <c r="R111" s="733"/>
      <c r="S111" s="515"/>
      <c r="T111" s="425">
        <f t="shared" si="16"/>
        <v>46112</v>
      </c>
      <c r="U111" s="409">
        <f t="shared" si="13"/>
        <v>2457.6376157407408</v>
      </c>
      <c r="V111" s="727"/>
      <c r="W111" s="467">
        <f t="shared" si="15"/>
        <v>46107</v>
      </c>
      <c r="X111" s="71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8"/>
      <c r="J112" s="721"/>
      <c r="K112" s="176"/>
      <c r="L112" s="244">
        <v>10</v>
      </c>
      <c r="M112" s="334" t="s">
        <v>343</v>
      </c>
      <c r="N112" s="245" t="s">
        <v>321</v>
      </c>
      <c r="O112" s="445"/>
      <c r="P112" s="452">
        <v>0.05</v>
      </c>
      <c r="Q112" s="247">
        <f t="shared" si="14"/>
        <v>940</v>
      </c>
      <c r="R112" s="733"/>
      <c r="S112" s="515"/>
      <c r="T112" s="425">
        <f t="shared" si="16"/>
        <v>46112</v>
      </c>
      <c r="U112" s="409">
        <f t="shared" si="13"/>
        <v>1228.8188078703704</v>
      </c>
      <c r="V112" s="727"/>
      <c r="W112" s="467">
        <f t="shared" si="15"/>
        <v>46107</v>
      </c>
      <c r="X112" s="71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8"/>
      <c r="J113" s="721"/>
      <c r="K113" s="176"/>
      <c r="L113" s="244">
        <v>10</v>
      </c>
      <c r="M113" s="334" t="s">
        <v>343</v>
      </c>
      <c r="N113" s="245" t="s">
        <v>322</v>
      </c>
      <c r="O113" s="445"/>
      <c r="P113" s="452">
        <v>0.05</v>
      </c>
      <c r="Q113" s="247">
        <f t="shared" si="14"/>
        <v>940</v>
      </c>
      <c r="R113" s="734"/>
      <c r="S113" s="515"/>
      <c r="T113" s="425">
        <f t="shared" si="16"/>
        <v>46142</v>
      </c>
      <c r="U113" s="409">
        <f t="shared" si="13"/>
        <v>1228.8188078703704</v>
      </c>
      <c r="V113" s="727"/>
      <c r="W113" s="467">
        <f t="shared" si="15"/>
        <v>46130</v>
      </c>
      <c r="X113" s="71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8"/>
      <c r="J114" s="721"/>
      <c r="K114" s="176"/>
      <c r="L114" s="244">
        <v>10</v>
      </c>
      <c r="M114" s="334" t="s">
        <v>343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27"/>
      <c r="W114" s="467"/>
      <c r="X114" s="71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8"/>
      <c r="J115" s="721"/>
      <c r="K115" s="176"/>
      <c r="L115" s="244">
        <v>10</v>
      </c>
      <c r="M115" s="334" t="s">
        <v>343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27"/>
      <c r="W115" s="467"/>
      <c r="X115" s="71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9"/>
      <c r="J116" s="722"/>
      <c r="K116" s="179"/>
      <c r="L116" s="177">
        <v>10</v>
      </c>
      <c r="M116" s="335" t="s">
        <v>343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28"/>
      <c r="W116" s="468"/>
      <c r="X116" s="719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345</v>
      </c>
      <c r="D118" s="255" t="s">
        <v>346</v>
      </c>
      <c r="E118" s="187"/>
      <c r="F118" s="336"/>
      <c r="G118" s="188">
        <v>11000</v>
      </c>
      <c r="H118" s="541">
        <f>'Project Plan'!G39</f>
        <v>46091</v>
      </c>
      <c r="I118" s="690">
        <f>SUM(G118:G122)</f>
        <v>89000</v>
      </c>
      <c r="J118" s="693">
        <f>F176</f>
        <v>98888.888888888891</v>
      </c>
      <c r="K118" s="189"/>
      <c r="L118" s="185">
        <v>11</v>
      </c>
      <c r="M118" s="255" t="s">
        <v>347</v>
      </c>
      <c r="N118" s="255" t="s">
        <v>346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12873.10979618672</v>
      </c>
      <c r="V118" s="705">
        <f>J118-SUM(U118:U122)</f>
        <v>0</v>
      </c>
      <c r="W118" s="461">
        <f>'Project Plan'!K39+14</f>
        <v>46115</v>
      </c>
      <c r="X118" s="690">
        <f>SUM(Q118:Q122)</f>
        <v>84500</v>
      </c>
    </row>
    <row r="119" spans="1:24" ht="15" customHeight="1">
      <c r="B119" s="215">
        <v>11</v>
      </c>
      <c r="C119" s="217"/>
      <c r="D119" s="217" t="s">
        <v>348</v>
      </c>
      <c r="E119" s="218"/>
      <c r="F119" s="357"/>
      <c r="G119" s="219">
        <v>18000</v>
      </c>
      <c r="H119" s="541">
        <f>H118</f>
        <v>46091</v>
      </c>
      <c r="I119" s="691"/>
      <c r="J119" s="694"/>
      <c r="K119" s="192"/>
      <c r="L119" s="215">
        <v>11</v>
      </c>
      <c r="M119" s="290" t="s">
        <v>347</v>
      </c>
      <c r="N119" s="217" t="s">
        <v>349</v>
      </c>
      <c r="O119" s="218"/>
      <c r="P119" s="357"/>
      <c r="Q119" s="219">
        <v>7500</v>
      </c>
      <c r="R119" s="518"/>
      <c r="S119" s="501" t="s">
        <v>350</v>
      </c>
      <c r="T119" s="627">
        <v>46022</v>
      </c>
      <c r="U119" s="629">
        <v>8777.120315581853</v>
      </c>
      <c r="V119" s="706"/>
      <c r="W119" s="628">
        <v>45904</v>
      </c>
      <c r="X119" s="691"/>
    </row>
    <row r="120" spans="1:24" ht="15" customHeight="1">
      <c r="B120" s="215">
        <v>11</v>
      </c>
      <c r="C120" s="217"/>
      <c r="D120" s="217" t="s">
        <v>351</v>
      </c>
      <c r="E120" s="218"/>
      <c r="F120" s="357"/>
      <c r="G120" s="219">
        <v>60000</v>
      </c>
      <c r="H120" s="541">
        <f>H119</f>
        <v>46091</v>
      </c>
      <c r="I120" s="691"/>
      <c r="J120" s="694"/>
      <c r="K120" s="192"/>
      <c r="L120" s="215">
        <v>11</v>
      </c>
      <c r="M120" s="290" t="s">
        <v>347</v>
      </c>
      <c r="N120" s="217" t="s">
        <v>352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706"/>
      <c r="W120" s="454">
        <f>T120+30</f>
        <v>46172</v>
      </c>
      <c r="X120" s="69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1"/>
      <c r="J121" s="694"/>
      <c r="K121" s="192"/>
      <c r="L121" s="215">
        <v>11</v>
      </c>
      <c r="M121" s="290" t="s">
        <v>347</v>
      </c>
      <c r="N121" s="288" t="s">
        <v>353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706"/>
      <c r="W121" s="455">
        <f>T121</f>
        <v>46112</v>
      </c>
      <c r="X121" s="69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2"/>
      <c r="J122" s="695"/>
      <c r="K122" s="193"/>
      <c r="L122" s="220">
        <v>11</v>
      </c>
      <c r="M122" s="318" t="s">
        <v>347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7"/>
      <c r="W122" s="456"/>
      <c r="X122" s="69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354</v>
      </c>
      <c r="D124" s="174" t="s">
        <v>355</v>
      </c>
      <c r="E124" s="175"/>
      <c r="F124" s="368"/>
      <c r="G124" s="242">
        <v>0</v>
      </c>
      <c r="H124" s="559"/>
      <c r="I124" s="717">
        <f>SUM(G124:G125)</f>
        <v>0</v>
      </c>
      <c r="J124" s="720">
        <v>0</v>
      </c>
      <c r="K124" s="738"/>
      <c r="L124" s="173">
        <v>12</v>
      </c>
      <c r="M124" s="174" t="s">
        <v>356</v>
      </c>
      <c r="N124" s="174" t="s">
        <v>355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717">
        <f>SUM(Q124:Q125)</f>
        <v>0</v>
      </c>
    </row>
    <row r="125" spans="1:24" ht="15" customHeight="1" thickBot="1">
      <c r="B125" s="177">
        <v>12</v>
      </c>
      <c r="C125" s="248" t="s">
        <v>354</v>
      </c>
      <c r="D125" s="248"/>
      <c r="E125" s="249"/>
      <c r="F125" s="370"/>
      <c r="G125" s="178"/>
      <c r="H125" s="562"/>
      <c r="I125" s="719"/>
      <c r="J125" s="722"/>
      <c r="K125" s="739"/>
      <c r="L125" s="177">
        <v>12</v>
      </c>
      <c r="M125" s="248" t="s">
        <v>356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719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357</v>
      </c>
      <c r="D127" s="255" t="s">
        <v>358</v>
      </c>
      <c r="E127" s="187"/>
      <c r="F127" s="336"/>
      <c r="G127" s="188">
        <f>D175</f>
        <v>23646.205235507248</v>
      </c>
      <c r="H127" s="541">
        <f>'Project Plan'!G48</f>
        <v>46105</v>
      </c>
      <c r="I127" s="690">
        <f>SUM(G127:G131)</f>
        <v>23646.205235507248</v>
      </c>
      <c r="J127" s="693">
        <f>F175</f>
        <v>26870.687767621872</v>
      </c>
      <c r="K127" s="189"/>
      <c r="L127" s="185">
        <v>13</v>
      </c>
      <c r="M127" s="255" t="s">
        <v>359</v>
      </c>
      <c r="N127" s="255" t="s">
        <v>360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5">
        <f>J127-SUM(U127:U132)</f>
        <v>0</v>
      </c>
      <c r="W127" s="461">
        <f>'Project Plan'!K39</f>
        <v>46101</v>
      </c>
      <c r="X127" s="690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91"/>
      <c r="J128" s="694"/>
      <c r="K128" s="192"/>
      <c r="L128" s="215">
        <v>13</v>
      </c>
      <c r="M128" s="290" t="s">
        <v>359</v>
      </c>
      <c r="N128" s="217" t="s">
        <v>361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06"/>
      <c r="W128" s="454">
        <f>W127</f>
        <v>46101</v>
      </c>
      <c r="X128" s="69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91"/>
      <c r="J129" s="694"/>
      <c r="K129" s="192"/>
      <c r="L129" s="215">
        <v>13</v>
      </c>
      <c r="M129" s="290" t="s">
        <v>359</v>
      </c>
      <c r="N129" s="217" t="s">
        <v>362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06"/>
      <c r="W129" s="454">
        <f t="shared" ref="W129:W131" si="18">W128</f>
        <v>46101</v>
      </c>
      <c r="X129" s="69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91"/>
      <c r="J130" s="694"/>
      <c r="K130" s="192"/>
      <c r="L130" s="215">
        <v>13</v>
      </c>
      <c r="M130" s="290" t="s">
        <v>359</v>
      </c>
      <c r="N130" s="217" t="s">
        <v>363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06"/>
      <c r="W130" s="454">
        <f t="shared" si="18"/>
        <v>46101</v>
      </c>
      <c r="X130" s="69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91"/>
      <c r="J131" s="694"/>
      <c r="K131" s="192"/>
      <c r="L131" s="215">
        <v>13</v>
      </c>
      <c r="M131" s="290" t="s">
        <v>359</v>
      </c>
      <c r="N131" s="217" t="s">
        <v>364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06"/>
      <c r="W131" s="454">
        <f t="shared" si="18"/>
        <v>46101</v>
      </c>
      <c r="X131" s="69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2"/>
      <c r="J132" s="695"/>
      <c r="K132" s="267"/>
      <c r="L132" s="220">
        <v>13</v>
      </c>
      <c r="M132" s="318" t="s">
        <v>359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7"/>
      <c r="W132" s="456"/>
      <c r="X132" s="692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365</v>
      </c>
      <c r="D134" s="174" t="s">
        <v>366</v>
      </c>
      <c r="E134" s="175"/>
      <c r="F134" s="368"/>
      <c r="G134" s="242">
        <f>D186</f>
        <v>4725</v>
      </c>
      <c r="H134" s="559">
        <f>'Project Plan'!G48</f>
        <v>46105</v>
      </c>
      <c r="I134" s="717">
        <f>SUM(G134:G145)</f>
        <v>4725</v>
      </c>
      <c r="J134" s="720">
        <f>F186</f>
        <v>5250</v>
      </c>
      <c r="K134" s="243"/>
      <c r="L134" s="173">
        <v>14</v>
      </c>
      <c r="M134" s="333" t="s">
        <v>367</v>
      </c>
      <c r="N134" s="174" t="s">
        <v>368</v>
      </c>
      <c r="O134" s="444"/>
      <c r="P134" s="527"/>
      <c r="Q134" s="532">
        <v>447.44</v>
      </c>
      <c r="R134" s="529"/>
      <c r="S134" s="519" t="s">
        <v>369</v>
      </c>
      <c r="T134" s="625">
        <v>46022</v>
      </c>
      <c r="U134" s="630">
        <v>454.14929897688518</v>
      </c>
      <c r="V134" s="726">
        <f>J134-SUM(U134:U145)</f>
        <v>6.4656430004106369E-4</v>
      </c>
      <c r="W134" s="626">
        <v>46030</v>
      </c>
      <c r="X134" s="717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8"/>
      <c r="J135" s="721"/>
      <c r="K135" s="176"/>
      <c r="L135" s="244">
        <v>14</v>
      </c>
      <c r="M135" s="334" t="s">
        <v>367</v>
      </c>
      <c r="N135" s="245" t="s">
        <v>368</v>
      </c>
      <c r="O135" s="445"/>
      <c r="P135" s="528"/>
      <c r="Q135" s="531">
        <v>1003.41</v>
      </c>
      <c r="R135" s="530"/>
      <c r="S135" s="519" t="s">
        <v>369</v>
      </c>
      <c r="T135" s="643">
        <v>46053</v>
      </c>
      <c r="U135" s="652">
        <v>1070.8895971649381</v>
      </c>
      <c r="V135" s="727"/>
      <c r="W135" s="626">
        <v>46058</v>
      </c>
      <c r="X135" s="71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8"/>
      <c r="J136" s="721"/>
      <c r="K136" s="176"/>
      <c r="L136" s="244">
        <v>14</v>
      </c>
      <c r="M136" s="334" t="s">
        <v>367</v>
      </c>
      <c r="N136" s="245" t="s">
        <v>368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27"/>
      <c r="W136" s="467">
        <f>T136+7</f>
        <v>46088</v>
      </c>
      <c r="X136" s="71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8"/>
      <c r="J137" s="721"/>
      <c r="K137" s="176"/>
      <c r="L137" s="244">
        <v>14</v>
      </c>
      <c r="M137" s="334" t="s">
        <v>367</v>
      </c>
      <c r="N137" s="245" t="s">
        <v>368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27"/>
      <c r="W137" s="467">
        <f>T137+7</f>
        <v>46119</v>
      </c>
      <c r="X137" s="71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8"/>
      <c r="J138" s="721"/>
      <c r="K138" s="176"/>
      <c r="L138" s="244">
        <v>14</v>
      </c>
      <c r="M138" s="334" t="s">
        <v>367</v>
      </c>
      <c r="N138" s="245" t="s">
        <v>368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27"/>
      <c r="W138" s="467">
        <f>T138+7</f>
        <v>46149</v>
      </c>
      <c r="X138" s="71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8"/>
      <c r="J139" s="721"/>
      <c r="K139" s="176"/>
      <c r="L139" s="244">
        <v>14</v>
      </c>
      <c r="M139" s="334" t="s">
        <v>367</v>
      </c>
      <c r="N139" s="245" t="s">
        <v>368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27"/>
      <c r="W139" s="467"/>
      <c r="X139" s="71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8"/>
      <c r="J140" s="721"/>
      <c r="K140" s="176"/>
      <c r="L140" s="244">
        <v>14</v>
      </c>
      <c r="M140" s="334" t="s">
        <v>367</v>
      </c>
      <c r="N140" s="245" t="s">
        <v>368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27"/>
      <c r="W140" s="467"/>
      <c r="X140" s="71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8"/>
      <c r="J141" s="721"/>
      <c r="K141" s="176"/>
      <c r="L141" s="244">
        <v>14</v>
      </c>
      <c r="M141" s="334" t="s">
        <v>367</v>
      </c>
      <c r="N141" s="245" t="s">
        <v>368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27"/>
      <c r="W141" s="467"/>
      <c r="X141" s="71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8"/>
      <c r="J142" s="721"/>
      <c r="K142" s="176"/>
      <c r="L142" s="244">
        <v>14</v>
      </c>
      <c r="M142" s="334" t="s">
        <v>367</v>
      </c>
      <c r="N142" s="245" t="s">
        <v>368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27"/>
      <c r="W142" s="467"/>
      <c r="X142" s="71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8"/>
      <c r="J143" s="721"/>
      <c r="K143" s="176"/>
      <c r="L143" s="244">
        <v>14</v>
      </c>
      <c r="M143" s="334" t="s">
        <v>367</v>
      </c>
      <c r="N143" s="245" t="s">
        <v>368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27"/>
      <c r="W143" s="467"/>
      <c r="X143" s="71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8"/>
      <c r="J144" s="721"/>
      <c r="K144" s="176"/>
      <c r="L144" s="244">
        <v>14</v>
      </c>
      <c r="M144" s="334" t="s">
        <v>367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27"/>
      <c r="W144" s="467"/>
      <c r="X144" s="71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9"/>
      <c r="J145" s="722"/>
      <c r="K145" s="179"/>
      <c r="L145" s="177">
        <v>14</v>
      </c>
      <c r="M145" s="335" t="s">
        <v>367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28"/>
      <c r="W145" s="468"/>
      <c r="X145" s="719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370</v>
      </c>
      <c r="D147" s="186"/>
      <c r="E147" s="187"/>
      <c r="F147" s="336"/>
      <c r="G147" s="188"/>
      <c r="H147" s="541"/>
      <c r="I147" s="690">
        <f>SUM(G147:G158)</f>
        <v>0</v>
      </c>
      <c r="J147" s="693">
        <v>0</v>
      </c>
      <c r="K147" s="189"/>
      <c r="L147" s="185">
        <v>15</v>
      </c>
      <c r="M147" s="255" t="s">
        <v>371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5">
        <v>0</v>
      </c>
      <c r="W147" s="461"/>
      <c r="X147" s="69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91"/>
      <c r="J148" s="694"/>
      <c r="K148" s="192"/>
      <c r="L148" s="215">
        <v>15</v>
      </c>
      <c r="M148" s="290" t="s">
        <v>371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06"/>
      <c r="W148" s="454"/>
      <c r="X148" s="691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91"/>
      <c r="J149" s="694"/>
      <c r="K149" s="192"/>
      <c r="L149" s="215">
        <v>15</v>
      </c>
      <c r="M149" s="290" t="s">
        <v>371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06"/>
      <c r="W149" s="454"/>
      <c r="X149" s="691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91"/>
      <c r="J150" s="694"/>
      <c r="K150" s="192"/>
      <c r="L150" s="215">
        <v>15</v>
      </c>
      <c r="M150" s="290" t="s">
        <v>371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06"/>
      <c r="W150" s="454"/>
      <c r="X150" s="691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91"/>
      <c r="J151" s="694"/>
      <c r="K151" s="192"/>
      <c r="L151" s="215">
        <v>15</v>
      </c>
      <c r="M151" s="290" t="s">
        <v>371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06"/>
      <c r="W151" s="454"/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91"/>
      <c r="J152" s="694"/>
      <c r="K152" s="192"/>
      <c r="L152" s="215">
        <v>15</v>
      </c>
      <c r="M152" s="290" t="s">
        <v>371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06"/>
      <c r="W152" s="454"/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91"/>
      <c r="J153" s="694"/>
      <c r="K153" s="192"/>
      <c r="L153" s="215">
        <v>15</v>
      </c>
      <c r="M153" s="290" t="s">
        <v>371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06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91"/>
      <c r="J154" s="694"/>
      <c r="K154" s="192"/>
      <c r="L154" s="215">
        <v>15</v>
      </c>
      <c r="M154" s="290" t="s">
        <v>371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06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91"/>
      <c r="J155" s="694"/>
      <c r="K155" s="192"/>
      <c r="L155" s="215">
        <v>15</v>
      </c>
      <c r="M155" s="290" t="s">
        <v>371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06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91"/>
      <c r="J156" s="694"/>
      <c r="K156" s="192"/>
      <c r="L156" s="215">
        <v>15</v>
      </c>
      <c r="M156" s="290" t="s">
        <v>371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06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91"/>
      <c r="J157" s="694"/>
      <c r="K157" s="192"/>
      <c r="L157" s="215">
        <v>15</v>
      </c>
      <c r="M157" s="290" t="s">
        <v>371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06"/>
      <c r="W157" s="454"/>
      <c r="X157" s="69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2"/>
      <c r="J158" s="695"/>
      <c r="K158" s="193"/>
      <c r="L158" s="220">
        <v>15</v>
      </c>
      <c r="M158" s="318" t="s">
        <v>371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7"/>
      <c r="W158" s="456"/>
      <c r="X158" s="69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372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373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374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329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382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383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384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385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1328125" customWidth="1"/>
    <col min="5" max="5" width="4.3984375" customWidth="1"/>
    <col min="6" max="6" width="16.3984375" bestFit="1" customWidth="1"/>
    <col min="7" max="7" width="20.3984375" customWidth="1"/>
    <col min="8" max="291" width="15.3984375" bestFit="1" customWidth="1"/>
    <col min="292" max="292" width="9.3984375" style="102"/>
  </cols>
  <sheetData>
    <row r="1" spans="1:769">
      <c r="D1" s="98" t="s">
        <v>394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0" t="s">
        <v>395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1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1"/>
      <c r="B4" s="106" t="s">
        <v>396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1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1"/>
      <c r="B6" s="110" t="s">
        <v>397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1"/>
      <c r="B7" s="115" t="s">
        <v>398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0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1"/>
      <c r="B9" s="120" t="s">
        <v>399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1"/>
      <c r="B10" s="120" t="s">
        <v>400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1"/>
      <c r="B11" s="123" t="s">
        <v>401</v>
      </c>
      <c r="C11" s="124">
        <f>'Revenue Tracking'!F5</f>
        <v>1673413.8387062943</v>
      </c>
      <c r="D11" s="124">
        <f>SUM(F11:KE11)</f>
        <v>1665913.8387062941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159103.64370629415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100351.62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1"/>
      <c r="B12" s="123" t="s">
        <v>402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342649.85100000002</v>
      </c>
      <c r="X12" s="125">
        <f t="shared" si="26"/>
        <v>342649.85100000002</v>
      </c>
      <c r="Y12" s="125">
        <f t="shared" si="26"/>
        <v>501753.49470629415</v>
      </c>
      <c r="Z12" s="125">
        <f t="shared" si="26"/>
        <v>1477243.5797062942</v>
      </c>
      <c r="AA12" s="125">
        <f t="shared" si="26"/>
        <v>1577595.1997062941</v>
      </c>
      <c r="AB12" s="125">
        <f t="shared" si="26"/>
        <v>1578776.4497062941</v>
      </c>
      <c r="AC12" s="125">
        <f t="shared" si="26"/>
        <v>1604732.5887062941</v>
      </c>
      <c r="AD12" s="125">
        <f>AC12+AD11</f>
        <v>1604732.5887062941</v>
      </c>
      <c r="AE12" s="125">
        <f t="shared" si="26"/>
        <v>1604732.5887062941</v>
      </c>
      <c r="AF12" s="125">
        <f t="shared" si="26"/>
        <v>1605913.8387062941</v>
      </c>
      <c r="AG12" s="125">
        <f t="shared" si="26"/>
        <v>1605913.8387062941</v>
      </c>
      <c r="AH12" s="125">
        <f t="shared" si="26"/>
        <v>1605913.8387062941</v>
      </c>
      <c r="AI12" s="125">
        <f t="shared" si="26"/>
        <v>1665913.8387062941</v>
      </c>
      <c r="AJ12" s="125">
        <f t="shared" si="26"/>
        <v>1665913.8387062941</v>
      </c>
      <c r="AK12" s="125">
        <f t="shared" si="26"/>
        <v>1665913.8387062941</v>
      </c>
      <c r="AL12" s="125">
        <f t="shared" si="26"/>
        <v>1665913.8387062941</v>
      </c>
      <c r="AM12" s="125">
        <f t="shared" si="26"/>
        <v>1665913.8387062941</v>
      </c>
      <c r="AN12" s="125">
        <f t="shared" si="26"/>
        <v>1665913.8387062941</v>
      </c>
      <c r="AO12" s="125">
        <f t="shared" si="26"/>
        <v>1665913.8387062941</v>
      </c>
      <c r="AP12" s="125">
        <f t="shared" si="26"/>
        <v>1665913.8387062941</v>
      </c>
      <c r="AQ12" s="125">
        <f t="shared" si="26"/>
        <v>1665913.8387062941</v>
      </c>
      <c r="AR12" s="125">
        <f t="shared" si="26"/>
        <v>1665913.8387062941</v>
      </c>
      <c r="AS12" s="125">
        <f t="shared" si="26"/>
        <v>1665913.8387062941</v>
      </c>
      <c r="AT12" s="125">
        <f t="shared" si="26"/>
        <v>1665913.8387062941</v>
      </c>
      <c r="AU12" s="125">
        <f t="shared" si="26"/>
        <v>1665913.8387062941</v>
      </c>
      <c r="AV12" s="125">
        <f t="shared" si="26"/>
        <v>1665913.8387062941</v>
      </c>
      <c r="AW12" s="125">
        <f t="shared" si="26"/>
        <v>1665913.8387062941</v>
      </c>
      <c r="AX12" s="125">
        <f t="shared" si="26"/>
        <v>1665913.8387062941</v>
      </c>
      <c r="AY12" s="125">
        <f t="shared" si="26"/>
        <v>1665913.8387062941</v>
      </c>
      <c r="AZ12" s="125">
        <f t="shared" si="26"/>
        <v>1665913.8387062941</v>
      </c>
      <c r="BA12" s="125">
        <f t="shared" si="26"/>
        <v>1665913.8387062941</v>
      </c>
      <c r="BB12" s="125">
        <f t="shared" si="26"/>
        <v>1665913.8387062941</v>
      </c>
      <c r="BC12" s="125">
        <f t="shared" si="26"/>
        <v>1665913.8387062941</v>
      </c>
      <c r="BD12" s="125">
        <f t="shared" si="26"/>
        <v>1665913.8387062941</v>
      </c>
      <c r="BE12" s="125">
        <f t="shared" si="26"/>
        <v>1665913.8387062941</v>
      </c>
      <c r="BF12" s="125">
        <f t="shared" si="26"/>
        <v>1665913.8387062941</v>
      </c>
      <c r="BG12" s="125">
        <f t="shared" si="26"/>
        <v>1665913.8387062941</v>
      </c>
      <c r="BH12" s="125">
        <f t="shared" si="26"/>
        <v>1665913.8387062941</v>
      </c>
      <c r="BI12" s="125">
        <f t="shared" si="26"/>
        <v>1665913.8387062941</v>
      </c>
      <c r="BJ12" s="125">
        <f t="shared" si="26"/>
        <v>1665913.8387062941</v>
      </c>
      <c r="BK12" s="125">
        <f t="shared" si="26"/>
        <v>1665913.8387062941</v>
      </c>
      <c r="BL12" s="125">
        <f t="shared" si="26"/>
        <v>1665913.8387062941</v>
      </c>
      <c r="BM12" s="125">
        <f t="shared" si="26"/>
        <v>1665913.8387062941</v>
      </c>
      <c r="BN12" s="125">
        <f t="shared" si="26"/>
        <v>1665913.8387062941</v>
      </c>
      <c r="BO12" s="125">
        <f t="shared" si="26"/>
        <v>1665913.8387062941</v>
      </c>
      <c r="BP12" s="125">
        <f t="shared" si="26"/>
        <v>1665913.8387062941</v>
      </c>
      <c r="BQ12" s="125">
        <f t="shared" si="26"/>
        <v>1665913.8387062941</v>
      </c>
      <c r="BR12" s="125">
        <f t="shared" si="26"/>
        <v>1665913.8387062941</v>
      </c>
      <c r="BS12" s="125">
        <f t="shared" si="26"/>
        <v>1665913.8387062941</v>
      </c>
      <c r="BT12" s="125">
        <f t="shared" si="26"/>
        <v>1665913.8387062941</v>
      </c>
      <c r="BU12" s="125">
        <f t="shared" ref="BU12:EF12" si="27">BT12+BU11</f>
        <v>1665913.8387062941</v>
      </c>
      <c r="BV12" s="125">
        <f t="shared" si="27"/>
        <v>1665913.8387062941</v>
      </c>
      <c r="BW12" s="125">
        <f t="shared" si="27"/>
        <v>1665913.8387062941</v>
      </c>
      <c r="BX12" s="125">
        <f t="shared" si="27"/>
        <v>1665913.8387062941</v>
      </c>
      <c r="BY12" s="125">
        <f t="shared" si="27"/>
        <v>1665913.8387062941</v>
      </c>
      <c r="BZ12" s="125">
        <f t="shared" si="27"/>
        <v>1665913.8387062941</v>
      </c>
      <c r="CA12" s="125">
        <f t="shared" si="27"/>
        <v>1665913.8387062941</v>
      </c>
      <c r="CB12" s="125">
        <f t="shared" si="27"/>
        <v>1665913.8387062941</v>
      </c>
      <c r="CC12" s="125">
        <f t="shared" si="27"/>
        <v>1665913.8387062941</v>
      </c>
      <c r="CD12" s="125">
        <f t="shared" si="27"/>
        <v>1665913.8387062941</v>
      </c>
      <c r="CE12" s="125">
        <f t="shared" si="27"/>
        <v>1665913.8387062941</v>
      </c>
      <c r="CF12" s="125">
        <f t="shared" si="27"/>
        <v>1665913.8387062941</v>
      </c>
      <c r="CG12" s="125">
        <f t="shared" si="27"/>
        <v>1665913.8387062941</v>
      </c>
      <c r="CH12" s="125">
        <f t="shared" si="27"/>
        <v>1665913.8387062941</v>
      </c>
      <c r="CI12" s="125">
        <f t="shared" si="27"/>
        <v>1665913.8387062941</v>
      </c>
      <c r="CJ12" s="125">
        <f t="shared" si="27"/>
        <v>1665913.8387062941</v>
      </c>
      <c r="CK12" s="125">
        <f t="shared" si="27"/>
        <v>1665913.8387062941</v>
      </c>
      <c r="CL12" s="125">
        <f t="shared" si="27"/>
        <v>1665913.8387062941</v>
      </c>
      <c r="CM12" s="125">
        <f t="shared" si="27"/>
        <v>1665913.8387062941</v>
      </c>
      <c r="CN12" s="125">
        <f t="shared" si="27"/>
        <v>1665913.8387062941</v>
      </c>
      <c r="CO12" s="125">
        <f t="shared" si="27"/>
        <v>1665913.8387062941</v>
      </c>
      <c r="CP12" s="125">
        <f t="shared" si="27"/>
        <v>1665913.8387062941</v>
      </c>
      <c r="CQ12" s="125">
        <f t="shared" si="27"/>
        <v>1665913.8387062941</v>
      </c>
      <c r="CR12" s="125">
        <f t="shared" si="27"/>
        <v>1665913.8387062941</v>
      </c>
      <c r="CS12" s="125">
        <f t="shared" si="27"/>
        <v>1665913.8387062941</v>
      </c>
      <c r="CT12" s="125">
        <f t="shared" si="27"/>
        <v>1665913.8387062941</v>
      </c>
      <c r="CU12" s="125">
        <f t="shared" si="27"/>
        <v>1665913.8387062941</v>
      </c>
      <c r="CV12" s="125">
        <f t="shared" si="27"/>
        <v>1665913.8387062941</v>
      </c>
      <c r="CW12" s="125">
        <f t="shared" si="27"/>
        <v>1665913.8387062941</v>
      </c>
      <c r="CX12" s="125">
        <f t="shared" si="27"/>
        <v>1665913.8387062941</v>
      </c>
      <c r="CY12" s="125">
        <f t="shared" si="27"/>
        <v>1665913.8387062941</v>
      </c>
      <c r="CZ12" s="125">
        <f t="shared" si="27"/>
        <v>1665913.8387062941</v>
      </c>
      <c r="DA12" s="125">
        <f t="shared" si="27"/>
        <v>1665913.8387062941</v>
      </c>
      <c r="DB12" s="125">
        <f t="shared" si="27"/>
        <v>1665913.8387062941</v>
      </c>
      <c r="DC12" s="125">
        <f t="shared" si="27"/>
        <v>1665913.8387062941</v>
      </c>
      <c r="DD12" s="125">
        <f t="shared" si="27"/>
        <v>1665913.8387062941</v>
      </c>
      <c r="DE12" s="125">
        <f t="shared" si="27"/>
        <v>1665913.8387062941</v>
      </c>
      <c r="DF12" s="125">
        <f t="shared" si="27"/>
        <v>1665913.8387062941</v>
      </c>
      <c r="DG12" s="125">
        <f t="shared" si="27"/>
        <v>1665913.8387062941</v>
      </c>
      <c r="DH12" s="125">
        <f t="shared" si="27"/>
        <v>1665913.8387062941</v>
      </c>
      <c r="DI12" s="125">
        <f t="shared" si="27"/>
        <v>1665913.8387062941</v>
      </c>
      <c r="DJ12" s="125">
        <f t="shared" si="27"/>
        <v>1665913.8387062941</v>
      </c>
      <c r="DK12" s="125">
        <f t="shared" si="27"/>
        <v>1665913.8387062941</v>
      </c>
      <c r="DL12" s="125">
        <f t="shared" si="27"/>
        <v>1665913.8387062941</v>
      </c>
      <c r="DM12" s="125">
        <f t="shared" si="27"/>
        <v>1665913.8387062941</v>
      </c>
      <c r="DN12" s="125">
        <f t="shared" si="27"/>
        <v>1665913.8387062941</v>
      </c>
      <c r="DO12" s="125">
        <f t="shared" si="27"/>
        <v>1665913.8387062941</v>
      </c>
      <c r="DP12" s="125">
        <f t="shared" si="27"/>
        <v>1665913.8387062941</v>
      </c>
      <c r="DQ12" s="125">
        <f t="shared" si="27"/>
        <v>1665913.8387062941</v>
      </c>
      <c r="DR12" s="125">
        <f t="shared" si="27"/>
        <v>1665913.8387062941</v>
      </c>
      <c r="DS12" s="125">
        <f t="shared" si="27"/>
        <v>1665913.8387062941</v>
      </c>
      <c r="DT12" s="125">
        <f t="shared" si="27"/>
        <v>1665913.8387062941</v>
      </c>
      <c r="DU12" s="125">
        <f t="shared" si="27"/>
        <v>1665913.8387062941</v>
      </c>
      <c r="DV12" s="125">
        <f t="shared" si="27"/>
        <v>1665913.8387062941</v>
      </c>
      <c r="DW12" s="125">
        <f t="shared" si="27"/>
        <v>1665913.8387062941</v>
      </c>
      <c r="DX12" s="125">
        <f t="shared" si="27"/>
        <v>1665913.8387062941</v>
      </c>
      <c r="DY12" s="125">
        <f t="shared" si="27"/>
        <v>1665913.8387062941</v>
      </c>
      <c r="DZ12" s="125">
        <f t="shared" si="27"/>
        <v>1665913.8387062941</v>
      </c>
      <c r="EA12" s="125">
        <f t="shared" si="27"/>
        <v>1665913.8387062941</v>
      </c>
      <c r="EB12" s="125">
        <f t="shared" si="27"/>
        <v>1665913.8387062941</v>
      </c>
      <c r="EC12" s="125">
        <f t="shared" si="27"/>
        <v>1665913.8387062941</v>
      </c>
      <c r="ED12" s="125">
        <f t="shared" si="27"/>
        <v>1665913.8387062941</v>
      </c>
      <c r="EE12" s="125">
        <f t="shared" si="27"/>
        <v>1665913.8387062941</v>
      </c>
      <c r="EF12" s="125">
        <f t="shared" si="27"/>
        <v>1665913.8387062941</v>
      </c>
      <c r="EG12" s="125">
        <f t="shared" ref="EG12:GR12" si="28">EF12+EG11</f>
        <v>1665913.8387062941</v>
      </c>
      <c r="EH12" s="125">
        <f t="shared" si="28"/>
        <v>1665913.8387062941</v>
      </c>
      <c r="EI12" s="125">
        <f t="shared" si="28"/>
        <v>1665913.8387062941</v>
      </c>
      <c r="EJ12" s="125">
        <f t="shared" si="28"/>
        <v>1665913.8387062941</v>
      </c>
      <c r="EK12" s="125">
        <f t="shared" si="28"/>
        <v>1665913.8387062941</v>
      </c>
      <c r="EL12" s="125">
        <f t="shared" si="28"/>
        <v>1665913.8387062941</v>
      </c>
      <c r="EM12" s="125">
        <f t="shared" si="28"/>
        <v>1665913.8387062941</v>
      </c>
      <c r="EN12" s="125">
        <f t="shared" si="28"/>
        <v>1665913.8387062941</v>
      </c>
      <c r="EO12" s="125">
        <f t="shared" si="28"/>
        <v>1665913.8387062941</v>
      </c>
      <c r="EP12" s="125">
        <f t="shared" si="28"/>
        <v>1665913.8387062941</v>
      </c>
      <c r="EQ12" s="125">
        <f t="shared" si="28"/>
        <v>1665913.8387062941</v>
      </c>
      <c r="ER12" s="125">
        <f t="shared" si="28"/>
        <v>1665913.8387062941</v>
      </c>
      <c r="ES12" s="125">
        <f t="shared" si="28"/>
        <v>1665913.8387062941</v>
      </c>
      <c r="ET12" s="125">
        <f t="shared" si="28"/>
        <v>1665913.8387062941</v>
      </c>
      <c r="EU12" s="125">
        <f t="shared" si="28"/>
        <v>1665913.8387062941</v>
      </c>
      <c r="EV12" s="125">
        <f t="shared" si="28"/>
        <v>1665913.8387062941</v>
      </c>
      <c r="EW12" s="125">
        <f t="shared" si="28"/>
        <v>1665913.8387062941</v>
      </c>
      <c r="EX12" s="125">
        <f t="shared" si="28"/>
        <v>1665913.8387062941</v>
      </c>
      <c r="EY12" s="125">
        <f t="shared" si="28"/>
        <v>1665913.8387062941</v>
      </c>
      <c r="EZ12" s="125">
        <f t="shared" si="28"/>
        <v>1665913.8387062941</v>
      </c>
      <c r="FA12" s="125">
        <f t="shared" si="28"/>
        <v>1665913.8387062941</v>
      </c>
      <c r="FB12" s="125">
        <f t="shared" si="28"/>
        <v>1665913.8387062941</v>
      </c>
      <c r="FC12" s="125">
        <f t="shared" si="28"/>
        <v>1665913.8387062941</v>
      </c>
      <c r="FD12" s="125">
        <f t="shared" si="28"/>
        <v>1665913.8387062941</v>
      </c>
      <c r="FE12" s="125">
        <f t="shared" si="28"/>
        <v>1665913.8387062941</v>
      </c>
      <c r="FF12" s="125">
        <f t="shared" si="28"/>
        <v>1665913.8387062941</v>
      </c>
      <c r="FG12" s="125">
        <f t="shared" si="28"/>
        <v>1665913.8387062941</v>
      </c>
      <c r="FH12" s="125">
        <f t="shared" si="28"/>
        <v>1665913.8387062941</v>
      </c>
      <c r="FI12" s="125">
        <f t="shared" si="28"/>
        <v>1665913.8387062941</v>
      </c>
      <c r="FJ12" s="125">
        <f t="shared" si="28"/>
        <v>1665913.8387062941</v>
      </c>
      <c r="FK12" s="125">
        <f t="shared" si="28"/>
        <v>1665913.8387062941</v>
      </c>
      <c r="FL12" s="125">
        <f t="shared" si="28"/>
        <v>1665913.8387062941</v>
      </c>
      <c r="FM12" s="125">
        <f t="shared" si="28"/>
        <v>1665913.8387062941</v>
      </c>
      <c r="FN12" s="125">
        <f t="shared" si="28"/>
        <v>1665913.8387062941</v>
      </c>
      <c r="FO12" s="125">
        <f t="shared" si="28"/>
        <v>1665913.8387062941</v>
      </c>
      <c r="FP12" s="125">
        <f t="shared" si="28"/>
        <v>1665913.8387062941</v>
      </c>
      <c r="FQ12" s="125">
        <f t="shared" si="28"/>
        <v>1665913.8387062941</v>
      </c>
      <c r="FR12" s="125">
        <f t="shared" si="28"/>
        <v>1665913.8387062941</v>
      </c>
      <c r="FS12" s="125">
        <f t="shared" si="28"/>
        <v>1665913.8387062941</v>
      </c>
      <c r="FT12" s="125">
        <f t="shared" si="28"/>
        <v>1665913.8387062941</v>
      </c>
      <c r="FU12" s="125">
        <f t="shared" si="28"/>
        <v>1665913.8387062941</v>
      </c>
      <c r="FV12" s="125">
        <f t="shared" si="28"/>
        <v>1665913.8387062941</v>
      </c>
      <c r="FW12" s="125">
        <f t="shared" si="28"/>
        <v>1665913.8387062941</v>
      </c>
      <c r="FX12" s="125">
        <f t="shared" si="28"/>
        <v>1665913.8387062941</v>
      </c>
      <c r="FY12" s="125">
        <f t="shared" si="28"/>
        <v>1665913.8387062941</v>
      </c>
      <c r="FZ12" s="125">
        <f t="shared" si="28"/>
        <v>1665913.8387062941</v>
      </c>
      <c r="GA12" s="125">
        <f t="shared" si="28"/>
        <v>1665913.8387062941</v>
      </c>
      <c r="GB12" s="125">
        <f t="shared" si="28"/>
        <v>1665913.8387062941</v>
      </c>
      <c r="GC12" s="125">
        <f t="shared" si="28"/>
        <v>1665913.8387062941</v>
      </c>
      <c r="GD12" s="125">
        <f t="shared" si="28"/>
        <v>1665913.8387062941</v>
      </c>
      <c r="GE12" s="125">
        <f t="shared" si="28"/>
        <v>1665913.8387062941</v>
      </c>
      <c r="GF12" s="125">
        <f t="shared" si="28"/>
        <v>1665913.8387062941</v>
      </c>
      <c r="GG12" s="125">
        <f t="shared" si="28"/>
        <v>1665913.8387062941</v>
      </c>
      <c r="GH12" s="125">
        <f t="shared" si="28"/>
        <v>1665913.8387062941</v>
      </c>
      <c r="GI12" s="125">
        <f t="shared" si="28"/>
        <v>1665913.8387062941</v>
      </c>
      <c r="GJ12" s="125">
        <f t="shared" si="28"/>
        <v>1665913.8387062941</v>
      </c>
      <c r="GK12" s="125">
        <f t="shared" si="28"/>
        <v>1665913.8387062941</v>
      </c>
      <c r="GL12" s="125">
        <f t="shared" si="28"/>
        <v>1665913.8387062941</v>
      </c>
      <c r="GM12" s="125">
        <f t="shared" si="28"/>
        <v>1665913.8387062941</v>
      </c>
      <c r="GN12" s="125">
        <f t="shared" si="28"/>
        <v>1665913.8387062941</v>
      </c>
      <c r="GO12" s="125">
        <f t="shared" si="28"/>
        <v>1665913.8387062941</v>
      </c>
      <c r="GP12" s="125">
        <f t="shared" si="28"/>
        <v>1665913.8387062941</v>
      </c>
      <c r="GQ12" s="125">
        <f t="shared" si="28"/>
        <v>1665913.8387062941</v>
      </c>
      <c r="GR12" s="125">
        <f t="shared" si="28"/>
        <v>1665913.8387062941</v>
      </c>
      <c r="GS12" s="125">
        <f t="shared" ref="GS12:JD12" si="29">GR12+GS11</f>
        <v>1665913.8387062941</v>
      </c>
      <c r="GT12" s="125">
        <f t="shared" si="29"/>
        <v>1665913.8387062941</v>
      </c>
      <c r="GU12" s="125">
        <f t="shared" si="29"/>
        <v>1665913.8387062941</v>
      </c>
      <c r="GV12" s="125">
        <f t="shared" si="29"/>
        <v>1665913.8387062941</v>
      </c>
      <c r="GW12" s="125">
        <f t="shared" si="29"/>
        <v>1665913.8387062941</v>
      </c>
      <c r="GX12" s="125">
        <f t="shared" si="29"/>
        <v>1665913.8387062941</v>
      </c>
      <c r="GY12" s="125">
        <f t="shared" si="29"/>
        <v>1665913.8387062941</v>
      </c>
      <c r="GZ12" s="125">
        <f t="shared" si="29"/>
        <v>1665913.8387062941</v>
      </c>
      <c r="HA12" s="125">
        <f t="shared" si="29"/>
        <v>1665913.8387062941</v>
      </c>
      <c r="HB12" s="125">
        <f t="shared" si="29"/>
        <v>1665913.8387062941</v>
      </c>
      <c r="HC12" s="125">
        <f t="shared" si="29"/>
        <v>1665913.8387062941</v>
      </c>
      <c r="HD12" s="125">
        <f t="shared" si="29"/>
        <v>1665913.8387062941</v>
      </c>
      <c r="HE12" s="125">
        <f t="shared" si="29"/>
        <v>1665913.8387062941</v>
      </c>
      <c r="HF12" s="125">
        <f t="shared" si="29"/>
        <v>1665913.8387062941</v>
      </c>
      <c r="HG12" s="125">
        <f t="shared" si="29"/>
        <v>1665913.8387062941</v>
      </c>
      <c r="HH12" s="125">
        <f t="shared" si="29"/>
        <v>1665913.8387062941</v>
      </c>
      <c r="HI12" s="125">
        <f t="shared" si="29"/>
        <v>1665913.8387062941</v>
      </c>
      <c r="HJ12" s="125">
        <f t="shared" si="29"/>
        <v>1665913.8387062941</v>
      </c>
      <c r="HK12" s="125">
        <f t="shared" si="29"/>
        <v>1665913.8387062941</v>
      </c>
      <c r="HL12" s="125">
        <f t="shared" si="29"/>
        <v>1665913.8387062941</v>
      </c>
      <c r="HM12" s="125">
        <f t="shared" si="29"/>
        <v>1665913.8387062941</v>
      </c>
      <c r="HN12" s="125">
        <f t="shared" si="29"/>
        <v>1665913.8387062941</v>
      </c>
      <c r="HO12" s="125">
        <f t="shared" si="29"/>
        <v>1665913.8387062941</v>
      </c>
      <c r="HP12" s="125">
        <f t="shared" si="29"/>
        <v>1665913.8387062941</v>
      </c>
      <c r="HQ12" s="125">
        <f t="shared" si="29"/>
        <v>1665913.8387062941</v>
      </c>
      <c r="HR12" s="125">
        <f t="shared" si="29"/>
        <v>1665913.8387062941</v>
      </c>
      <c r="HS12" s="125">
        <f t="shared" si="29"/>
        <v>1665913.8387062941</v>
      </c>
      <c r="HT12" s="125">
        <f t="shared" si="29"/>
        <v>1665913.8387062941</v>
      </c>
      <c r="HU12" s="125">
        <f t="shared" si="29"/>
        <v>1665913.8387062941</v>
      </c>
      <c r="HV12" s="125">
        <f t="shared" si="29"/>
        <v>1665913.8387062941</v>
      </c>
      <c r="HW12" s="125">
        <f t="shared" si="29"/>
        <v>1665913.8387062941</v>
      </c>
      <c r="HX12" s="125">
        <f t="shared" si="29"/>
        <v>1665913.8387062941</v>
      </c>
      <c r="HY12" s="125">
        <f t="shared" si="29"/>
        <v>1665913.8387062941</v>
      </c>
      <c r="HZ12" s="125">
        <f t="shared" si="29"/>
        <v>1665913.8387062941</v>
      </c>
      <c r="IA12" s="125">
        <f t="shared" si="29"/>
        <v>1665913.8387062941</v>
      </c>
      <c r="IB12" s="125">
        <f t="shared" si="29"/>
        <v>1665913.8387062941</v>
      </c>
      <c r="IC12" s="125">
        <f t="shared" si="29"/>
        <v>1665913.8387062941</v>
      </c>
      <c r="ID12" s="125">
        <f t="shared" si="29"/>
        <v>1665913.8387062941</v>
      </c>
      <c r="IE12" s="125">
        <f t="shared" si="29"/>
        <v>1665913.8387062941</v>
      </c>
      <c r="IF12" s="125">
        <f t="shared" si="29"/>
        <v>1665913.8387062941</v>
      </c>
      <c r="IG12" s="125">
        <f t="shared" si="29"/>
        <v>1665913.8387062941</v>
      </c>
      <c r="IH12" s="125">
        <f t="shared" si="29"/>
        <v>1665913.8387062941</v>
      </c>
      <c r="II12" s="125">
        <f t="shared" si="29"/>
        <v>1665913.8387062941</v>
      </c>
      <c r="IJ12" s="125">
        <f t="shared" si="29"/>
        <v>1665913.8387062941</v>
      </c>
      <c r="IK12" s="125">
        <f t="shared" si="29"/>
        <v>1665913.8387062941</v>
      </c>
      <c r="IL12" s="125">
        <f t="shared" si="29"/>
        <v>1665913.8387062941</v>
      </c>
      <c r="IM12" s="125">
        <f t="shared" si="29"/>
        <v>1665913.8387062941</v>
      </c>
      <c r="IN12" s="125">
        <f t="shared" si="29"/>
        <v>1665913.8387062941</v>
      </c>
      <c r="IO12" s="125">
        <f t="shared" si="29"/>
        <v>1665913.8387062941</v>
      </c>
      <c r="IP12" s="125">
        <f t="shared" si="29"/>
        <v>1665913.8387062941</v>
      </c>
      <c r="IQ12" s="125">
        <f t="shared" si="29"/>
        <v>1665913.8387062941</v>
      </c>
      <c r="IR12" s="125">
        <f t="shared" si="29"/>
        <v>1665913.8387062941</v>
      </c>
      <c r="IS12" s="125">
        <f t="shared" si="29"/>
        <v>1665913.8387062941</v>
      </c>
      <c r="IT12" s="125">
        <f t="shared" si="29"/>
        <v>1665913.8387062941</v>
      </c>
      <c r="IU12" s="125">
        <f t="shared" si="29"/>
        <v>1665913.8387062941</v>
      </c>
      <c r="IV12" s="125">
        <f t="shared" si="29"/>
        <v>1665913.8387062941</v>
      </c>
      <c r="IW12" s="125">
        <f t="shared" si="29"/>
        <v>1665913.8387062941</v>
      </c>
      <c r="IX12" s="125">
        <f t="shared" si="29"/>
        <v>1665913.8387062941</v>
      </c>
      <c r="IY12" s="125">
        <f t="shared" si="29"/>
        <v>1665913.8387062941</v>
      </c>
      <c r="IZ12" s="125">
        <f t="shared" si="29"/>
        <v>1665913.8387062941</v>
      </c>
      <c r="JA12" s="125">
        <f t="shared" si="29"/>
        <v>1665913.8387062941</v>
      </c>
      <c r="JB12" s="125">
        <f t="shared" si="29"/>
        <v>1665913.8387062941</v>
      </c>
      <c r="JC12" s="125">
        <f t="shared" si="29"/>
        <v>1665913.8387062941</v>
      </c>
      <c r="JD12" s="125">
        <f t="shared" si="29"/>
        <v>1665913.8387062941</v>
      </c>
      <c r="JE12" s="125">
        <f t="shared" ref="JE12:KE12" si="30">JD12+JE11</f>
        <v>1665913.8387062941</v>
      </c>
      <c r="JF12" s="125">
        <f t="shared" si="30"/>
        <v>1665913.8387062941</v>
      </c>
      <c r="JG12" s="125">
        <f t="shared" si="30"/>
        <v>1665913.8387062941</v>
      </c>
      <c r="JH12" s="125">
        <f t="shared" si="30"/>
        <v>1665913.8387062941</v>
      </c>
      <c r="JI12" s="125">
        <f t="shared" si="30"/>
        <v>1665913.8387062941</v>
      </c>
      <c r="JJ12" s="125">
        <f t="shared" si="30"/>
        <v>1665913.8387062941</v>
      </c>
      <c r="JK12" s="125">
        <f t="shared" si="30"/>
        <v>1665913.8387062941</v>
      </c>
      <c r="JL12" s="125">
        <f t="shared" si="30"/>
        <v>1665913.8387062941</v>
      </c>
      <c r="JM12" s="125">
        <f t="shared" si="30"/>
        <v>1665913.8387062941</v>
      </c>
      <c r="JN12" s="125">
        <f t="shared" si="30"/>
        <v>1665913.8387062941</v>
      </c>
      <c r="JO12" s="125">
        <f t="shared" si="30"/>
        <v>1665913.8387062941</v>
      </c>
      <c r="JP12" s="125">
        <f t="shared" si="30"/>
        <v>1665913.8387062941</v>
      </c>
      <c r="JQ12" s="125">
        <f t="shared" si="30"/>
        <v>1665913.8387062941</v>
      </c>
      <c r="JR12" s="125">
        <f t="shared" si="30"/>
        <v>1665913.8387062941</v>
      </c>
      <c r="JS12" s="125">
        <f t="shared" si="30"/>
        <v>1665913.8387062941</v>
      </c>
      <c r="JT12" s="125">
        <f t="shared" si="30"/>
        <v>1665913.8387062941</v>
      </c>
      <c r="JU12" s="125">
        <f t="shared" si="30"/>
        <v>1665913.8387062941</v>
      </c>
      <c r="JV12" s="125">
        <f t="shared" si="30"/>
        <v>1665913.8387062941</v>
      </c>
      <c r="JW12" s="125">
        <f t="shared" si="30"/>
        <v>1665913.8387062941</v>
      </c>
      <c r="JX12" s="125">
        <f t="shared" si="30"/>
        <v>1665913.8387062941</v>
      </c>
      <c r="JY12" s="125">
        <f t="shared" si="30"/>
        <v>1665913.8387062941</v>
      </c>
      <c r="JZ12" s="125">
        <f t="shared" si="30"/>
        <v>1665913.8387062941</v>
      </c>
      <c r="KA12" s="125">
        <f t="shared" si="30"/>
        <v>1665913.8387062941</v>
      </c>
      <c r="KB12" s="125">
        <f t="shared" si="30"/>
        <v>1665913.8387062941</v>
      </c>
      <c r="KC12" s="125">
        <f t="shared" si="30"/>
        <v>1665913.8387062941</v>
      </c>
      <c r="KD12" s="125">
        <f t="shared" si="30"/>
        <v>1665913.8387062941</v>
      </c>
      <c r="KE12" s="125">
        <f t="shared" si="30"/>
        <v>1665913.8387062941</v>
      </c>
      <c r="KF12" s="102"/>
      <c r="KG12" s="113"/>
    </row>
    <row r="13" spans="1:769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1"/>
      <c r="B14" s="115" t="s">
        <v>403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1788716.4670280025</v>
      </c>
      <c r="W14" s="118">
        <f t="shared" si="32"/>
        <v>1651310.6610280024</v>
      </c>
      <c r="X14" s="118">
        <f t="shared" si="32"/>
        <v>1651310.6610280024</v>
      </c>
      <c r="Y14" s="118">
        <f t="shared" si="32"/>
        <v>1492207.0173217081</v>
      </c>
      <c r="Z14" s="118">
        <f t="shared" si="32"/>
        <v>516716.93232170818</v>
      </c>
      <c r="AA14" s="118">
        <f t="shared" si="32"/>
        <v>416365.3123217083</v>
      </c>
      <c r="AB14" s="118">
        <f t="shared" si="32"/>
        <v>649767.65197206149</v>
      </c>
      <c r="AC14" s="118">
        <f t="shared" si="32"/>
        <v>741103.30779723823</v>
      </c>
      <c r="AD14" s="118">
        <f t="shared" si="32"/>
        <v>741103.30779723823</v>
      </c>
      <c r="AE14" s="118">
        <f t="shared" si="32"/>
        <v>741103.30779723823</v>
      </c>
      <c r="AF14" s="118">
        <f t="shared" si="32"/>
        <v>739922.05779723823</v>
      </c>
      <c r="AG14" s="118">
        <f t="shared" si="32"/>
        <v>739922.05779723823</v>
      </c>
      <c r="AH14" s="118">
        <f t="shared" si="32"/>
        <v>739922.05779723823</v>
      </c>
      <c r="AI14" s="118">
        <f t="shared" si="32"/>
        <v>679922.05779723823</v>
      </c>
      <c r="AJ14" s="118">
        <f t="shared" si="32"/>
        <v>679922.05779723823</v>
      </c>
      <c r="AK14" s="118">
        <f t="shared" si="32"/>
        <v>679922.05779723823</v>
      </c>
      <c r="AL14" s="118">
        <f t="shared" si="32"/>
        <v>679922.05779723823</v>
      </c>
      <c r="AM14" s="118">
        <f t="shared" si="32"/>
        <v>679922.05779723823</v>
      </c>
      <c r="AN14" s="118">
        <f t="shared" si="32"/>
        <v>679922.05779723823</v>
      </c>
      <c r="AO14" s="118">
        <f t="shared" si="32"/>
        <v>679922.05779723823</v>
      </c>
      <c r="AP14" s="118">
        <f t="shared" si="32"/>
        <v>679922.05779723823</v>
      </c>
      <c r="AQ14" s="118">
        <f t="shared" si="32"/>
        <v>679922.05779723823</v>
      </c>
      <c r="AR14" s="118">
        <f t="shared" si="32"/>
        <v>679922.05779723823</v>
      </c>
      <c r="AS14" s="118">
        <f t="shared" si="32"/>
        <v>679922.05779723823</v>
      </c>
      <c r="AT14" s="118">
        <f t="shared" si="32"/>
        <v>679922.05779723823</v>
      </c>
      <c r="AU14" s="118">
        <f t="shared" si="32"/>
        <v>679922.05779723823</v>
      </c>
      <c r="AV14" s="118">
        <f t="shared" si="32"/>
        <v>679922.05779723823</v>
      </c>
      <c r="AW14" s="118">
        <f t="shared" si="32"/>
        <v>679922.05779723823</v>
      </c>
      <c r="AX14" s="118">
        <f t="shared" si="32"/>
        <v>679922.05779723823</v>
      </c>
      <c r="AY14" s="118">
        <f t="shared" si="32"/>
        <v>679922.05779723823</v>
      </c>
      <c r="AZ14" s="118">
        <f t="shared" si="32"/>
        <v>679922.05779723823</v>
      </c>
      <c r="BA14" s="118">
        <f t="shared" si="32"/>
        <v>679922.05779723823</v>
      </c>
      <c r="BB14" s="118">
        <f t="shared" si="32"/>
        <v>679922.05779723823</v>
      </c>
      <c r="BC14" s="118">
        <f t="shared" si="32"/>
        <v>679922.05779723823</v>
      </c>
      <c r="BD14" s="118">
        <f t="shared" si="32"/>
        <v>679922.05779723823</v>
      </c>
      <c r="BE14" s="118">
        <f t="shared" si="32"/>
        <v>679922.05779723823</v>
      </c>
      <c r="BF14" s="118">
        <f t="shared" si="32"/>
        <v>679922.05779723823</v>
      </c>
      <c r="BG14" s="118">
        <f t="shared" si="32"/>
        <v>679922.05779723823</v>
      </c>
      <c r="BH14" s="118">
        <f t="shared" si="32"/>
        <v>679922.05779723823</v>
      </c>
      <c r="BI14" s="118">
        <f t="shared" si="32"/>
        <v>679922.05779723823</v>
      </c>
      <c r="BJ14" s="118">
        <f t="shared" si="32"/>
        <v>679922.05779723823</v>
      </c>
      <c r="BK14" s="118">
        <f t="shared" si="32"/>
        <v>679922.05779723823</v>
      </c>
      <c r="BL14" s="118">
        <f t="shared" si="32"/>
        <v>679922.05779723823</v>
      </c>
      <c r="BM14" s="118">
        <f t="shared" si="32"/>
        <v>679922.05779723823</v>
      </c>
      <c r="BN14" s="118">
        <f t="shared" si="32"/>
        <v>679922.05779723823</v>
      </c>
      <c r="BO14" s="118">
        <f t="shared" si="32"/>
        <v>679922.05779723823</v>
      </c>
      <c r="BP14" s="118">
        <f t="shared" si="32"/>
        <v>679922.05779723823</v>
      </c>
      <c r="BQ14" s="118">
        <f t="shared" si="32"/>
        <v>679922.05779723823</v>
      </c>
      <c r="BR14" s="118">
        <f t="shared" si="32"/>
        <v>679922.05779723823</v>
      </c>
      <c r="BS14" s="118">
        <f t="shared" si="32"/>
        <v>679922.05779723823</v>
      </c>
      <c r="BT14" s="118">
        <f t="shared" si="32"/>
        <v>679922.05779723823</v>
      </c>
      <c r="BU14" s="118">
        <f t="shared" ref="BU14:EF14" si="33">BU10-BU12</f>
        <v>679922.05779723823</v>
      </c>
      <c r="BV14" s="118">
        <f t="shared" si="33"/>
        <v>679922.05779723823</v>
      </c>
      <c r="BW14" s="118">
        <f t="shared" si="33"/>
        <v>679922.05779723823</v>
      </c>
      <c r="BX14" s="118">
        <f t="shared" si="33"/>
        <v>679922.05779723823</v>
      </c>
      <c r="BY14" s="118">
        <f t="shared" si="33"/>
        <v>679922.05779723823</v>
      </c>
      <c r="BZ14" s="118">
        <f t="shared" si="33"/>
        <v>679922.05779723823</v>
      </c>
      <c r="CA14" s="118">
        <f t="shared" si="33"/>
        <v>679922.05779723823</v>
      </c>
      <c r="CB14" s="118">
        <f t="shared" si="33"/>
        <v>679922.05779723823</v>
      </c>
      <c r="CC14" s="118">
        <f t="shared" si="33"/>
        <v>679922.05779723823</v>
      </c>
      <c r="CD14" s="118">
        <f t="shared" si="33"/>
        <v>679922.05779723823</v>
      </c>
      <c r="CE14" s="118">
        <f t="shared" si="33"/>
        <v>679922.05779723823</v>
      </c>
      <c r="CF14" s="118">
        <f t="shared" si="33"/>
        <v>679922.05779723823</v>
      </c>
      <c r="CG14" s="118">
        <f t="shared" si="33"/>
        <v>679922.05779723823</v>
      </c>
      <c r="CH14" s="118">
        <f t="shared" si="33"/>
        <v>679922.05779723823</v>
      </c>
      <c r="CI14" s="118">
        <f t="shared" si="33"/>
        <v>679922.05779723823</v>
      </c>
      <c r="CJ14" s="118">
        <f t="shared" si="33"/>
        <v>679922.05779723823</v>
      </c>
      <c r="CK14" s="118">
        <f t="shared" si="33"/>
        <v>679922.05779723823</v>
      </c>
      <c r="CL14" s="118">
        <f t="shared" si="33"/>
        <v>679922.05779723823</v>
      </c>
      <c r="CM14" s="118">
        <f t="shared" si="33"/>
        <v>679922.05779723823</v>
      </c>
      <c r="CN14" s="118">
        <f t="shared" si="33"/>
        <v>679922.05779723823</v>
      </c>
      <c r="CO14" s="118">
        <f t="shared" si="33"/>
        <v>679922.05779723823</v>
      </c>
      <c r="CP14" s="118">
        <f t="shared" si="33"/>
        <v>679922.05779723823</v>
      </c>
      <c r="CQ14" s="118">
        <f t="shared" si="33"/>
        <v>679922.05779723823</v>
      </c>
      <c r="CR14" s="118">
        <f t="shared" si="33"/>
        <v>679922.05779723823</v>
      </c>
      <c r="CS14" s="118">
        <f t="shared" si="33"/>
        <v>679922.05779723823</v>
      </c>
      <c r="CT14" s="118">
        <f t="shared" si="33"/>
        <v>679922.05779723823</v>
      </c>
      <c r="CU14" s="118">
        <f t="shared" si="33"/>
        <v>679922.05779723823</v>
      </c>
      <c r="CV14" s="118">
        <f t="shared" si="33"/>
        <v>679922.05779723823</v>
      </c>
      <c r="CW14" s="118">
        <f t="shared" si="33"/>
        <v>679922.05779723823</v>
      </c>
      <c r="CX14" s="118">
        <f t="shared" si="33"/>
        <v>679922.05779723823</v>
      </c>
      <c r="CY14" s="118">
        <f t="shared" si="33"/>
        <v>679922.05779723823</v>
      </c>
      <c r="CZ14" s="118">
        <f t="shared" si="33"/>
        <v>679922.05779723823</v>
      </c>
      <c r="DA14" s="118">
        <f t="shared" si="33"/>
        <v>679922.05779723823</v>
      </c>
      <c r="DB14" s="118">
        <f t="shared" si="33"/>
        <v>679922.05779723823</v>
      </c>
      <c r="DC14" s="118">
        <f t="shared" si="33"/>
        <v>679922.05779723823</v>
      </c>
      <c r="DD14" s="118">
        <f t="shared" si="33"/>
        <v>679922.05779723823</v>
      </c>
      <c r="DE14" s="118">
        <f t="shared" si="33"/>
        <v>679922.05779723823</v>
      </c>
      <c r="DF14" s="118">
        <f t="shared" si="33"/>
        <v>679922.05779723823</v>
      </c>
      <c r="DG14" s="118">
        <f t="shared" si="33"/>
        <v>679922.05779723823</v>
      </c>
      <c r="DH14" s="118">
        <f t="shared" si="33"/>
        <v>679922.05779723823</v>
      </c>
      <c r="DI14" s="118">
        <f t="shared" si="33"/>
        <v>679922.05779723823</v>
      </c>
      <c r="DJ14" s="118">
        <f t="shared" si="33"/>
        <v>679922.05779723823</v>
      </c>
      <c r="DK14" s="118">
        <f t="shared" si="33"/>
        <v>679922.05779723823</v>
      </c>
      <c r="DL14" s="118">
        <f t="shared" si="33"/>
        <v>679922.05779723823</v>
      </c>
      <c r="DM14" s="118">
        <f t="shared" si="33"/>
        <v>679922.05779723823</v>
      </c>
      <c r="DN14" s="118">
        <f t="shared" si="33"/>
        <v>679922.05779723823</v>
      </c>
      <c r="DO14" s="118">
        <f t="shared" si="33"/>
        <v>679922.05779723823</v>
      </c>
      <c r="DP14" s="118">
        <f t="shared" si="33"/>
        <v>679922.05779723823</v>
      </c>
      <c r="DQ14" s="118">
        <f t="shared" si="33"/>
        <v>679922.05779723823</v>
      </c>
      <c r="DR14" s="118">
        <f t="shared" si="33"/>
        <v>679922.05779723823</v>
      </c>
      <c r="DS14" s="118">
        <f t="shared" si="33"/>
        <v>679922.05779723823</v>
      </c>
      <c r="DT14" s="118">
        <f t="shared" si="33"/>
        <v>679922.05779723823</v>
      </c>
      <c r="DU14" s="118">
        <f t="shared" si="33"/>
        <v>679922.05779723823</v>
      </c>
      <c r="DV14" s="118">
        <f t="shared" si="33"/>
        <v>679922.05779723823</v>
      </c>
      <c r="DW14" s="118">
        <f t="shared" si="33"/>
        <v>679922.05779723823</v>
      </c>
      <c r="DX14" s="118">
        <f t="shared" si="33"/>
        <v>679922.05779723823</v>
      </c>
      <c r="DY14" s="118">
        <f t="shared" si="33"/>
        <v>679922.05779723823</v>
      </c>
      <c r="DZ14" s="118">
        <f t="shared" si="33"/>
        <v>679922.05779723823</v>
      </c>
      <c r="EA14" s="118">
        <f t="shared" si="33"/>
        <v>679922.05779723823</v>
      </c>
      <c r="EB14" s="118">
        <f t="shared" si="33"/>
        <v>679922.05779723823</v>
      </c>
      <c r="EC14" s="118">
        <f t="shared" si="33"/>
        <v>679922.05779723823</v>
      </c>
      <c r="ED14" s="118">
        <f t="shared" si="33"/>
        <v>679922.05779723823</v>
      </c>
      <c r="EE14" s="118">
        <f t="shared" si="33"/>
        <v>679922.05779723823</v>
      </c>
      <c r="EF14" s="118">
        <f t="shared" si="33"/>
        <v>679922.05779723823</v>
      </c>
      <c r="EG14" s="118">
        <f t="shared" ref="EG14:GR14" si="34">EG10-EG12</f>
        <v>679922.05779723823</v>
      </c>
      <c r="EH14" s="118">
        <f t="shared" si="34"/>
        <v>679922.05779723823</v>
      </c>
      <c r="EI14" s="118">
        <f t="shared" si="34"/>
        <v>679922.05779723823</v>
      </c>
      <c r="EJ14" s="118">
        <f t="shared" si="34"/>
        <v>679922.05779723823</v>
      </c>
      <c r="EK14" s="118">
        <f t="shared" si="34"/>
        <v>679922.05779723823</v>
      </c>
      <c r="EL14" s="118">
        <f t="shared" si="34"/>
        <v>679922.05779723823</v>
      </c>
      <c r="EM14" s="118">
        <f t="shared" si="34"/>
        <v>679922.05779723823</v>
      </c>
      <c r="EN14" s="118">
        <f t="shared" si="34"/>
        <v>679922.05779723823</v>
      </c>
      <c r="EO14" s="118">
        <f t="shared" si="34"/>
        <v>679922.05779723823</v>
      </c>
      <c r="EP14" s="118">
        <f t="shared" si="34"/>
        <v>679922.05779723823</v>
      </c>
      <c r="EQ14" s="118">
        <f t="shared" si="34"/>
        <v>679922.05779723823</v>
      </c>
      <c r="ER14" s="118">
        <f t="shared" si="34"/>
        <v>679922.05779723823</v>
      </c>
      <c r="ES14" s="118">
        <f t="shared" si="34"/>
        <v>679922.05779723823</v>
      </c>
      <c r="ET14" s="118">
        <f t="shared" si="34"/>
        <v>679922.05779723823</v>
      </c>
      <c r="EU14" s="118">
        <f t="shared" si="34"/>
        <v>679922.05779723823</v>
      </c>
      <c r="EV14" s="118">
        <f t="shared" si="34"/>
        <v>679922.05779723823</v>
      </c>
      <c r="EW14" s="118">
        <f t="shared" si="34"/>
        <v>679922.05779723823</v>
      </c>
      <c r="EX14" s="118">
        <f t="shared" si="34"/>
        <v>679922.05779723823</v>
      </c>
      <c r="EY14" s="118">
        <f t="shared" si="34"/>
        <v>679922.05779723823</v>
      </c>
      <c r="EZ14" s="118">
        <f t="shared" si="34"/>
        <v>679922.05779723823</v>
      </c>
      <c r="FA14" s="118">
        <f t="shared" si="34"/>
        <v>679922.05779723823</v>
      </c>
      <c r="FB14" s="118">
        <f t="shared" si="34"/>
        <v>679922.05779723823</v>
      </c>
      <c r="FC14" s="118">
        <f t="shared" si="34"/>
        <v>679922.05779723823</v>
      </c>
      <c r="FD14" s="118">
        <f t="shared" si="34"/>
        <v>679922.05779723823</v>
      </c>
      <c r="FE14" s="118">
        <f t="shared" si="34"/>
        <v>679922.05779723823</v>
      </c>
      <c r="FF14" s="118">
        <f t="shared" si="34"/>
        <v>679922.05779723823</v>
      </c>
      <c r="FG14" s="118">
        <f t="shared" si="34"/>
        <v>679922.05779723823</v>
      </c>
      <c r="FH14" s="118">
        <f t="shared" si="34"/>
        <v>679922.05779723823</v>
      </c>
      <c r="FI14" s="118">
        <f t="shared" si="34"/>
        <v>679922.05779723823</v>
      </c>
      <c r="FJ14" s="118">
        <f t="shared" si="34"/>
        <v>679922.05779723823</v>
      </c>
      <c r="FK14" s="118">
        <f t="shared" si="34"/>
        <v>679922.05779723823</v>
      </c>
      <c r="FL14" s="118">
        <f t="shared" si="34"/>
        <v>679922.05779723823</v>
      </c>
      <c r="FM14" s="118">
        <f t="shared" si="34"/>
        <v>679922.05779723823</v>
      </c>
      <c r="FN14" s="118">
        <f t="shared" si="34"/>
        <v>679922.05779723823</v>
      </c>
      <c r="FO14" s="118">
        <f t="shared" si="34"/>
        <v>679922.05779723823</v>
      </c>
      <c r="FP14" s="118">
        <f t="shared" si="34"/>
        <v>679922.05779723823</v>
      </c>
      <c r="FQ14" s="118">
        <f t="shared" si="34"/>
        <v>679922.05779723823</v>
      </c>
      <c r="FR14" s="118">
        <f t="shared" si="34"/>
        <v>679922.05779723823</v>
      </c>
      <c r="FS14" s="118">
        <f t="shared" si="34"/>
        <v>679922.05779723823</v>
      </c>
      <c r="FT14" s="118">
        <f t="shared" si="34"/>
        <v>679922.05779723823</v>
      </c>
      <c r="FU14" s="118">
        <f t="shared" si="34"/>
        <v>679922.05779723823</v>
      </c>
      <c r="FV14" s="118">
        <f t="shared" si="34"/>
        <v>679922.05779723823</v>
      </c>
      <c r="FW14" s="118">
        <f t="shared" si="34"/>
        <v>679922.05779723823</v>
      </c>
      <c r="FX14" s="118">
        <f t="shared" si="34"/>
        <v>679922.05779723823</v>
      </c>
      <c r="FY14" s="118">
        <f t="shared" si="34"/>
        <v>679922.05779723823</v>
      </c>
      <c r="FZ14" s="118">
        <f t="shared" si="34"/>
        <v>679922.05779723823</v>
      </c>
      <c r="GA14" s="118">
        <f t="shared" si="34"/>
        <v>679922.05779723823</v>
      </c>
      <c r="GB14" s="118">
        <f t="shared" si="34"/>
        <v>679922.05779723823</v>
      </c>
      <c r="GC14" s="118">
        <f t="shared" si="34"/>
        <v>679922.05779723823</v>
      </c>
      <c r="GD14" s="118">
        <f t="shared" si="34"/>
        <v>679922.05779723823</v>
      </c>
      <c r="GE14" s="118">
        <f t="shared" si="34"/>
        <v>679922.05779723823</v>
      </c>
      <c r="GF14" s="118">
        <f t="shared" si="34"/>
        <v>679922.05779723823</v>
      </c>
      <c r="GG14" s="118">
        <f t="shared" si="34"/>
        <v>679922.05779723823</v>
      </c>
      <c r="GH14" s="118">
        <f t="shared" si="34"/>
        <v>679922.05779723823</v>
      </c>
      <c r="GI14" s="118">
        <f t="shared" si="34"/>
        <v>679922.05779723823</v>
      </c>
      <c r="GJ14" s="118">
        <f t="shared" si="34"/>
        <v>679922.05779723823</v>
      </c>
      <c r="GK14" s="118">
        <f t="shared" si="34"/>
        <v>679922.05779723823</v>
      </c>
      <c r="GL14" s="118">
        <f t="shared" si="34"/>
        <v>679922.05779723823</v>
      </c>
      <c r="GM14" s="118">
        <f t="shared" si="34"/>
        <v>679922.05779723823</v>
      </c>
      <c r="GN14" s="118">
        <f t="shared" si="34"/>
        <v>679922.05779723823</v>
      </c>
      <c r="GO14" s="118">
        <f t="shared" si="34"/>
        <v>679922.05779723823</v>
      </c>
      <c r="GP14" s="118">
        <f t="shared" si="34"/>
        <v>679922.05779723823</v>
      </c>
      <c r="GQ14" s="118">
        <f t="shared" si="34"/>
        <v>679922.05779723823</v>
      </c>
      <c r="GR14" s="118">
        <f t="shared" si="34"/>
        <v>679922.05779723823</v>
      </c>
      <c r="GS14" s="118">
        <f t="shared" ref="GS14:JD14" si="35">GS10-GS12</f>
        <v>679922.05779723823</v>
      </c>
      <c r="GT14" s="118">
        <f t="shared" si="35"/>
        <v>679922.05779723823</v>
      </c>
      <c r="GU14" s="118">
        <f t="shared" si="35"/>
        <v>679922.05779723823</v>
      </c>
      <c r="GV14" s="118">
        <f t="shared" si="35"/>
        <v>679922.05779723823</v>
      </c>
      <c r="GW14" s="118">
        <f t="shared" si="35"/>
        <v>679922.05779723823</v>
      </c>
      <c r="GX14" s="118">
        <f t="shared" si="35"/>
        <v>679922.05779723823</v>
      </c>
      <c r="GY14" s="118">
        <f t="shared" si="35"/>
        <v>679922.05779723823</v>
      </c>
      <c r="GZ14" s="118">
        <f t="shared" si="35"/>
        <v>679922.05779723823</v>
      </c>
      <c r="HA14" s="118">
        <f t="shared" si="35"/>
        <v>679922.05779723823</v>
      </c>
      <c r="HB14" s="118">
        <f t="shared" si="35"/>
        <v>679922.05779723823</v>
      </c>
      <c r="HC14" s="118">
        <f t="shared" si="35"/>
        <v>679922.05779723823</v>
      </c>
      <c r="HD14" s="118">
        <f t="shared" si="35"/>
        <v>679922.05779723823</v>
      </c>
      <c r="HE14" s="118">
        <f t="shared" si="35"/>
        <v>679922.05779723823</v>
      </c>
      <c r="HF14" s="118">
        <f t="shared" si="35"/>
        <v>679922.05779723823</v>
      </c>
      <c r="HG14" s="118">
        <f t="shared" si="35"/>
        <v>679922.05779723823</v>
      </c>
      <c r="HH14" s="118">
        <f t="shared" si="35"/>
        <v>679922.05779723823</v>
      </c>
      <c r="HI14" s="118">
        <f t="shared" si="35"/>
        <v>679922.05779723823</v>
      </c>
      <c r="HJ14" s="118">
        <f t="shared" si="35"/>
        <v>679922.05779723823</v>
      </c>
      <c r="HK14" s="118">
        <f t="shared" si="35"/>
        <v>679922.05779723823</v>
      </c>
      <c r="HL14" s="118">
        <f t="shared" si="35"/>
        <v>679922.05779723823</v>
      </c>
      <c r="HM14" s="118">
        <f t="shared" si="35"/>
        <v>679922.05779723823</v>
      </c>
      <c r="HN14" s="118">
        <f t="shared" si="35"/>
        <v>679922.05779723823</v>
      </c>
      <c r="HO14" s="118">
        <f t="shared" si="35"/>
        <v>679922.05779723823</v>
      </c>
      <c r="HP14" s="118">
        <f t="shared" si="35"/>
        <v>679922.05779723823</v>
      </c>
      <c r="HQ14" s="118">
        <f t="shared" si="35"/>
        <v>679922.05779723823</v>
      </c>
      <c r="HR14" s="118">
        <f t="shared" si="35"/>
        <v>679922.05779723823</v>
      </c>
      <c r="HS14" s="118">
        <f t="shared" si="35"/>
        <v>679922.05779723823</v>
      </c>
      <c r="HT14" s="118">
        <f t="shared" si="35"/>
        <v>679922.05779723823</v>
      </c>
      <c r="HU14" s="118">
        <f t="shared" si="35"/>
        <v>679922.05779723823</v>
      </c>
      <c r="HV14" s="118">
        <f t="shared" si="35"/>
        <v>679922.05779723823</v>
      </c>
      <c r="HW14" s="118">
        <f t="shared" si="35"/>
        <v>679922.05779723823</v>
      </c>
      <c r="HX14" s="118">
        <f t="shared" si="35"/>
        <v>679922.05779723823</v>
      </c>
      <c r="HY14" s="118">
        <f t="shared" si="35"/>
        <v>679922.05779723823</v>
      </c>
      <c r="HZ14" s="118">
        <f t="shared" si="35"/>
        <v>679922.05779723823</v>
      </c>
      <c r="IA14" s="118">
        <f t="shared" si="35"/>
        <v>679922.05779723823</v>
      </c>
      <c r="IB14" s="118">
        <f t="shared" si="35"/>
        <v>679922.05779723823</v>
      </c>
      <c r="IC14" s="118">
        <f t="shared" si="35"/>
        <v>679922.05779723823</v>
      </c>
      <c r="ID14" s="118">
        <f t="shared" si="35"/>
        <v>679922.05779723823</v>
      </c>
      <c r="IE14" s="118">
        <f t="shared" si="35"/>
        <v>679922.05779723823</v>
      </c>
      <c r="IF14" s="118">
        <f t="shared" si="35"/>
        <v>679922.05779723823</v>
      </c>
      <c r="IG14" s="118">
        <f t="shared" si="35"/>
        <v>679922.05779723823</v>
      </c>
      <c r="IH14" s="118">
        <f t="shared" si="35"/>
        <v>679922.05779723823</v>
      </c>
      <c r="II14" s="118">
        <f t="shared" si="35"/>
        <v>679922.05779723823</v>
      </c>
      <c r="IJ14" s="118">
        <f t="shared" si="35"/>
        <v>679922.05779723823</v>
      </c>
      <c r="IK14" s="118">
        <f t="shared" si="35"/>
        <v>679922.05779723823</v>
      </c>
      <c r="IL14" s="118">
        <f t="shared" si="35"/>
        <v>679922.05779723823</v>
      </c>
      <c r="IM14" s="118">
        <f t="shared" si="35"/>
        <v>679922.05779723823</v>
      </c>
      <c r="IN14" s="118">
        <f t="shared" si="35"/>
        <v>679922.05779723823</v>
      </c>
      <c r="IO14" s="118">
        <f t="shared" si="35"/>
        <v>679922.05779723823</v>
      </c>
      <c r="IP14" s="118">
        <f t="shared" si="35"/>
        <v>679922.05779723823</v>
      </c>
      <c r="IQ14" s="118">
        <f t="shared" si="35"/>
        <v>679922.05779723823</v>
      </c>
      <c r="IR14" s="118">
        <f t="shared" si="35"/>
        <v>679922.05779723823</v>
      </c>
      <c r="IS14" s="118">
        <f t="shared" si="35"/>
        <v>679922.05779723823</v>
      </c>
      <c r="IT14" s="118">
        <f t="shared" si="35"/>
        <v>679922.05779723823</v>
      </c>
      <c r="IU14" s="118">
        <f t="shared" si="35"/>
        <v>679922.05779723823</v>
      </c>
      <c r="IV14" s="118">
        <f t="shared" si="35"/>
        <v>679922.05779723823</v>
      </c>
      <c r="IW14" s="118">
        <f t="shared" si="35"/>
        <v>679922.05779723823</v>
      </c>
      <c r="IX14" s="118">
        <f t="shared" si="35"/>
        <v>679922.05779723823</v>
      </c>
      <c r="IY14" s="118">
        <f t="shared" si="35"/>
        <v>679922.05779723823</v>
      </c>
      <c r="IZ14" s="118">
        <f t="shared" si="35"/>
        <v>679922.05779723823</v>
      </c>
      <c r="JA14" s="118">
        <f t="shared" si="35"/>
        <v>679922.05779723823</v>
      </c>
      <c r="JB14" s="118">
        <f t="shared" si="35"/>
        <v>679922.05779723823</v>
      </c>
      <c r="JC14" s="118">
        <f t="shared" si="35"/>
        <v>679922.05779723823</v>
      </c>
      <c r="JD14" s="118">
        <f t="shared" si="35"/>
        <v>679922.05779723823</v>
      </c>
      <c r="JE14" s="118">
        <f t="shared" ref="JE14:KE14" si="36">JE10-JE12</f>
        <v>679922.05779723823</v>
      </c>
      <c r="JF14" s="118">
        <f t="shared" si="36"/>
        <v>679922.05779723823</v>
      </c>
      <c r="JG14" s="118">
        <f t="shared" si="36"/>
        <v>679922.05779723823</v>
      </c>
      <c r="JH14" s="118">
        <f t="shared" si="36"/>
        <v>679922.05779723823</v>
      </c>
      <c r="JI14" s="118">
        <f t="shared" si="36"/>
        <v>679922.05779723823</v>
      </c>
      <c r="JJ14" s="118">
        <f t="shared" si="36"/>
        <v>679922.05779723823</v>
      </c>
      <c r="JK14" s="118">
        <f t="shared" si="36"/>
        <v>679922.05779723823</v>
      </c>
      <c r="JL14" s="118">
        <f t="shared" si="36"/>
        <v>679922.05779723823</v>
      </c>
      <c r="JM14" s="118">
        <f t="shared" si="36"/>
        <v>679922.05779723823</v>
      </c>
      <c r="JN14" s="118">
        <f t="shared" si="36"/>
        <v>679922.05779723823</v>
      </c>
      <c r="JO14" s="118">
        <f t="shared" si="36"/>
        <v>679922.05779723823</v>
      </c>
      <c r="JP14" s="118">
        <f t="shared" si="36"/>
        <v>679922.05779723823</v>
      </c>
      <c r="JQ14" s="118">
        <f t="shared" si="36"/>
        <v>679922.05779723823</v>
      </c>
      <c r="JR14" s="118">
        <f t="shared" si="36"/>
        <v>679922.05779723823</v>
      </c>
      <c r="JS14" s="118">
        <f t="shared" si="36"/>
        <v>679922.05779723823</v>
      </c>
      <c r="JT14" s="118">
        <f t="shared" si="36"/>
        <v>679922.05779723823</v>
      </c>
      <c r="JU14" s="118">
        <f t="shared" si="36"/>
        <v>679922.05779723823</v>
      </c>
      <c r="JV14" s="118">
        <f t="shared" si="36"/>
        <v>679922.05779723823</v>
      </c>
      <c r="JW14" s="118">
        <f t="shared" si="36"/>
        <v>679922.05779723823</v>
      </c>
      <c r="JX14" s="118">
        <f t="shared" si="36"/>
        <v>679922.05779723823</v>
      </c>
      <c r="JY14" s="118">
        <f t="shared" si="36"/>
        <v>679922.05779723823</v>
      </c>
      <c r="JZ14" s="118">
        <f t="shared" si="36"/>
        <v>679922.05779723823</v>
      </c>
      <c r="KA14" s="118">
        <f t="shared" si="36"/>
        <v>679922.05779723823</v>
      </c>
      <c r="KB14" s="118">
        <f t="shared" si="36"/>
        <v>679922.05779723823</v>
      </c>
      <c r="KC14" s="118">
        <f t="shared" si="36"/>
        <v>679922.05779723823</v>
      </c>
      <c r="KD14" s="118">
        <f t="shared" si="36"/>
        <v>679922.05779723823</v>
      </c>
      <c r="KE14" s="118">
        <f t="shared" si="36"/>
        <v>679922.05779723823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42"/>
      <c r="B17" s="106" t="s">
        <v>404</v>
      </c>
      <c r="C17" s="275">
        <f>C3-D17</f>
        <v>6.4656464383006096E-4</v>
      </c>
      <c r="D17" s="107">
        <f>SUM(F17:KE17)</f>
        <v>2345835.8958569677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249307.14590930895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525951.13305057632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116364.73039908649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2"/>
      <c r="B18" s="106" t="s">
        <v>405</v>
      </c>
      <c r="C18" s="275">
        <f>D17-D18</f>
        <v>0</v>
      </c>
      <c r="D18" s="107">
        <f>MAX(F18:KE18)</f>
        <v>2345835.8958569677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1703520.0324073047</v>
      </c>
      <c r="W18" s="125">
        <f t="shared" si="37"/>
        <v>1703520.0324073047</v>
      </c>
      <c r="X18" s="125">
        <f t="shared" si="37"/>
        <v>1703520.0324073047</v>
      </c>
      <c r="Y18" s="125">
        <f t="shared" si="37"/>
        <v>1703520.0324073047</v>
      </c>
      <c r="Z18" s="125">
        <f t="shared" si="37"/>
        <v>1703520.0324073047</v>
      </c>
      <c r="AA18" s="125">
        <f t="shared" si="37"/>
        <v>2229471.1654578811</v>
      </c>
      <c r="AB18" s="125">
        <f t="shared" si="37"/>
        <v>2229471.1654578811</v>
      </c>
      <c r="AC18" s="125">
        <f t="shared" si="37"/>
        <v>2229471.1654578811</v>
      </c>
      <c r="AD18" s="125">
        <f>AC18+AD17</f>
        <v>2229471.1654578811</v>
      </c>
      <c r="AE18" s="125">
        <f t="shared" si="37"/>
        <v>2345835.8958569677</v>
      </c>
      <c r="AF18" s="125">
        <f t="shared" si="37"/>
        <v>2345835.8958569677</v>
      </c>
      <c r="AG18" s="125">
        <f t="shared" si="37"/>
        <v>2345835.8958569677</v>
      </c>
      <c r="AH18" s="125">
        <f t="shared" si="37"/>
        <v>2345835.8958569677</v>
      </c>
      <c r="AI18" s="125">
        <f t="shared" si="37"/>
        <v>2345835.8958569677</v>
      </c>
      <c r="AJ18" s="125">
        <f t="shared" si="37"/>
        <v>2345835.8958569677</v>
      </c>
      <c r="AK18" s="125">
        <f t="shared" si="37"/>
        <v>2345835.8958569677</v>
      </c>
      <c r="AL18" s="125">
        <f t="shared" si="37"/>
        <v>2345835.8958569677</v>
      </c>
      <c r="AM18" s="125">
        <f t="shared" si="37"/>
        <v>2345835.8958569677</v>
      </c>
      <c r="AN18" s="125">
        <f t="shared" si="37"/>
        <v>2345835.8958569677</v>
      </c>
      <c r="AO18" s="125">
        <f t="shared" si="37"/>
        <v>2345835.8958569677</v>
      </c>
      <c r="AP18" s="125">
        <f t="shared" si="37"/>
        <v>2345835.8958569677</v>
      </c>
      <c r="AQ18" s="125">
        <f t="shared" si="37"/>
        <v>2345835.8958569677</v>
      </c>
      <c r="AR18" s="125">
        <f t="shared" si="37"/>
        <v>2345835.8958569677</v>
      </c>
      <c r="AS18" s="125">
        <f t="shared" si="37"/>
        <v>2345835.8958569677</v>
      </c>
      <c r="AT18" s="125">
        <f t="shared" si="37"/>
        <v>2345835.8958569677</v>
      </c>
      <c r="AU18" s="125">
        <f t="shared" si="37"/>
        <v>2345835.8958569677</v>
      </c>
      <c r="AV18" s="125">
        <f t="shared" si="37"/>
        <v>2345835.8958569677</v>
      </c>
      <c r="AW18" s="125">
        <f t="shared" si="37"/>
        <v>2345835.8958569677</v>
      </c>
      <c r="AX18" s="125">
        <f t="shared" si="37"/>
        <v>2345835.8958569677</v>
      </c>
      <c r="AY18" s="125">
        <f t="shared" si="37"/>
        <v>2345835.8958569677</v>
      </c>
      <c r="AZ18" s="125">
        <f t="shared" si="37"/>
        <v>2345835.8958569677</v>
      </c>
      <c r="BA18" s="125">
        <f t="shared" si="37"/>
        <v>2345835.8958569677</v>
      </c>
      <c r="BB18" s="125">
        <f t="shared" si="37"/>
        <v>2345835.8958569677</v>
      </c>
      <c r="BC18" s="125">
        <f t="shared" si="37"/>
        <v>2345835.8958569677</v>
      </c>
      <c r="BD18" s="125">
        <f t="shared" si="37"/>
        <v>2345835.8958569677</v>
      </c>
      <c r="BE18" s="125">
        <f t="shared" si="37"/>
        <v>2345835.8958569677</v>
      </c>
      <c r="BF18" s="125">
        <f t="shared" si="37"/>
        <v>2345835.8958569677</v>
      </c>
      <c r="BG18" s="125">
        <f t="shared" si="37"/>
        <v>2345835.8958569677</v>
      </c>
      <c r="BH18" s="125">
        <f t="shared" si="37"/>
        <v>2345835.8958569677</v>
      </c>
      <c r="BI18" s="125">
        <f t="shared" si="37"/>
        <v>2345835.8958569677</v>
      </c>
      <c r="BJ18" s="125">
        <f t="shared" si="37"/>
        <v>2345835.8958569677</v>
      </c>
      <c r="BK18" s="125">
        <f t="shared" si="37"/>
        <v>2345835.8958569677</v>
      </c>
      <c r="BL18" s="125">
        <f t="shared" si="37"/>
        <v>2345835.8958569677</v>
      </c>
      <c r="BM18" s="125">
        <f t="shared" si="37"/>
        <v>2345835.8958569677</v>
      </c>
      <c r="BN18" s="125">
        <f t="shared" si="37"/>
        <v>2345835.8958569677</v>
      </c>
      <c r="BO18" s="125">
        <f t="shared" si="37"/>
        <v>2345835.8958569677</v>
      </c>
      <c r="BP18" s="125">
        <f t="shared" si="37"/>
        <v>2345835.8958569677</v>
      </c>
      <c r="BQ18" s="125">
        <f t="shared" si="37"/>
        <v>2345835.8958569677</v>
      </c>
      <c r="BR18" s="125">
        <f t="shared" si="37"/>
        <v>2345835.8958569677</v>
      </c>
      <c r="BS18" s="125">
        <f t="shared" si="37"/>
        <v>2345835.8958569677</v>
      </c>
      <c r="BT18" s="125">
        <f t="shared" si="37"/>
        <v>2345835.8958569677</v>
      </c>
      <c r="BU18" s="125">
        <f t="shared" ref="BU18:EF18" si="38">BT18+BU17</f>
        <v>2345835.8958569677</v>
      </c>
      <c r="BV18" s="125">
        <f t="shared" si="38"/>
        <v>2345835.8958569677</v>
      </c>
      <c r="BW18" s="125">
        <f t="shared" si="38"/>
        <v>2345835.8958569677</v>
      </c>
      <c r="BX18" s="125">
        <f t="shared" si="38"/>
        <v>2345835.8958569677</v>
      </c>
      <c r="BY18" s="125">
        <f t="shared" si="38"/>
        <v>2345835.8958569677</v>
      </c>
      <c r="BZ18" s="125">
        <f t="shared" si="38"/>
        <v>2345835.8958569677</v>
      </c>
      <c r="CA18" s="125">
        <f t="shared" si="38"/>
        <v>2345835.8958569677</v>
      </c>
      <c r="CB18" s="125">
        <f t="shared" si="38"/>
        <v>2345835.8958569677</v>
      </c>
      <c r="CC18" s="125">
        <f t="shared" si="38"/>
        <v>2345835.8958569677</v>
      </c>
      <c r="CD18" s="125">
        <f t="shared" si="38"/>
        <v>2345835.8958569677</v>
      </c>
      <c r="CE18" s="125">
        <f t="shared" si="38"/>
        <v>2345835.8958569677</v>
      </c>
      <c r="CF18" s="125">
        <f t="shared" si="38"/>
        <v>2345835.8958569677</v>
      </c>
      <c r="CG18" s="125">
        <f t="shared" si="38"/>
        <v>2345835.8958569677</v>
      </c>
      <c r="CH18" s="125">
        <f t="shared" si="38"/>
        <v>2345835.8958569677</v>
      </c>
      <c r="CI18" s="125">
        <f t="shared" si="38"/>
        <v>2345835.8958569677</v>
      </c>
      <c r="CJ18" s="125">
        <f t="shared" si="38"/>
        <v>2345835.8958569677</v>
      </c>
      <c r="CK18" s="125">
        <f t="shared" si="38"/>
        <v>2345835.8958569677</v>
      </c>
      <c r="CL18" s="125">
        <f t="shared" si="38"/>
        <v>2345835.8958569677</v>
      </c>
      <c r="CM18" s="125">
        <f t="shared" si="38"/>
        <v>2345835.8958569677</v>
      </c>
      <c r="CN18" s="125">
        <f t="shared" si="38"/>
        <v>2345835.8958569677</v>
      </c>
      <c r="CO18" s="125">
        <f t="shared" si="38"/>
        <v>2345835.8958569677</v>
      </c>
      <c r="CP18" s="125">
        <f t="shared" si="38"/>
        <v>2345835.8958569677</v>
      </c>
      <c r="CQ18" s="125">
        <f t="shared" si="38"/>
        <v>2345835.8958569677</v>
      </c>
      <c r="CR18" s="125">
        <f t="shared" si="38"/>
        <v>2345835.8958569677</v>
      </c>
      <c r="CS18" s="125">
        <f t="shared" si="38"/>
        <v>2345835.8958569677</v>
      </c>
      <c r="CT18" s="125">
        <f t="shared" si="38"/>
        <v>2345835.8958569677</v>
      </c>
      <c r="CU18" s="125">
        <f t="shared" si="38"/>
        <v>2345835.8958569677</v>
      </c>
      <c r="CV18" s="125">
        <f t="shared" si="38"/>
        <v>2345835.8958569677</v>
      </c>
      <c r="CW18" s="125">
        <f t="shared" si="38"/>
        <v>2345835.8958569677</v>
      </c>
      <c r="CX18" s="125">
        <f t="shared" si="38"/>
        <v>2345835.8958569677</v>
      </c>
      <c r="CY18" s="125">
        <f t="shared" si="38"/>
        <v>2345835.8958569677</v>
      </c>
      <c r="CZ18" s="125">
        <f t="shared" si="38"/>
        <v>2345835.8958569677</v>
      </c>
      <c r="DA18" s="125">
        <f t="shared" si="38"/>
        <v>2345835.8958569677</v>
      </c>
      <c r="DB18" s="125">
        <f t="shared" si="38"/>
        <v>2345835.8958569677</v>
      </c>
      <c r="DC18" s="125">
        <f t="shared" si="38"/>
        <v>2345835.8958569677</v>
      </c>
      <c r="DD18" s="125">
        <f t="shared" si="38"/>
        <v>2345835.8958569677</v>
      </c>
      <c r="DE18" s="125">
        <f t="shared" si="38"/>
        <v>2345835.8958569677</v>
      </c>
      <c r="DF18" s="125">
        <f t="shared" si="38"/>
        <v>2345835.8958569677</v>
      </c>
      <c r="DG18" s="125">
        <f t="shared" si="38"/>
        <v>2345835.8958569677</v>
      </c>
      <c r="DH18" s="125">
        <f t="shared" si="38"/>
        <v>2345835.8958569677</v>
      </c>
      <c r="DI18" s="125">
        <f t="shared" si="38"/>
        <v>2345835.8958569677</v>
      </c>
      <c r="DJ18" s="125">
        <f t="shared" si="38"/>
        <v>2345835.8958569677</v>
      </c>
      <c r="DK18" s="125">
        <f t="shared" si="38"/>
        <v>2345835.8958569677</v>
      </c>
      <c r="DL18" s="125">
        <f t="shared" si="38"/>
        <v>2345835.8958569677</v>
      </c>
      <c r="DM18" s="125">
        <f t="shared" si="38"/>
        <v>2345835.8958569677</v>
      </c>
      <c r="DN18" s="125">
        <f t="shared" si="38"/>
        <v>2345835.8958569677</v>
      </c>
      <c r="DO18" s="125">
        <f t="shared" si="38"/>
        <v>2345835.8958569677</v>
      </c>
      <c r="DP18" s="125">
        <f t="shared" si="38"/>
        <v>2345835.8958569677</v>
      </c>
      <c r="DQ18" s="125">
        <f t="shared" si="38"/>
        <v>2345835.8958569677</v>
      </c>
      <c r="DR18" s="125">
        <f t="shared" si="38"/>
        <v>2345835.8958569677</v>
      </c>
      <c r="DS18" s="125">
        <f t="shared" si="38"/>
        <v>2345835.8958569677</v>
      </c>
      <c r="DT18" s="125">
        <f t="shared" si="38"/>
        <v>2345835.8958569677</v>
      </c>
      <c r="DU18" s="125">
        <f t="shared" si="38"/>
        <v>2345835.8958569677</v>
      </c>
      <c r="DV18" s="125">
        <f t="shared" si="38"/>
        <v>2345835.8958569677</v>
      </c>
      <c r="DW18" s="125">
        <f t="shared" si="38"/>
        <v>2345835.8958569677</v>
      </c>
      <c r="DX18" s="125">
        <f t="shared" si="38"/>
        <v>2345835.8958569677</v>
      </c>
      <c r="DY18" s="125">
        <f t="shared" si="38"/>
        <v>2345835.8958569677</v>
      </c>
      <c r="DZ18" s="125">
        <f t="shared" si="38"/>
        <v>2345835.8958569677</v>
      </c>
      <c r="EA18" s="125">
        <f t="shared" si="38"/>
        <v>2345835.8958569677</v>
      </c>
      <c r="EB18" s="125">
        <f t="shared" si="38"/>
        <v>2345835.8958569677</v>
      </c>
      <c r="EC18" s="125">
        <f t="shared" si="38"/>
        <v>2345835.8958569677</v>
      </c>
      <c r="ED18" s="125">
        <f t="shared" si="38"/>
        <v>2345835.8958569677</v>
      </c>
      <c r="EE18" s="125">
        <f t="shared" si="38"/>
        <v>2345835.8958569677</v>
      </c>
      <c r="EF18" s="125">
        <f t="shared" si="38"/>
        <v>2345835.8958569677</v>
      </c>
      <c r="EG18" s="125">
        <f t="shared" ref="EG18:GR18" si="39">EF18+EG17</f>
        <v>2345835.8958569677</v>
      </c>
      <c r="EH18" s="125">
        <f t="shared" si="39"/>
        <v>2345835.8958569677</v>
      </c>
      <c r="EI18" s="125">
        <f t="shared" si="39"/>
        <v>2345835.8958569677</v>
      </c>
      <c r="EJ18" s="125">
        <f t="shared" si="39"/>
        <v>2345835.8958569677</v>
      </c>
      <c r="EK18" s="125">
        <f t="shared" si="39"/>
        <v>2345835.8958569677</v>
      </c>
      <c r="EL18" s="125">
        <f t="shared" si="39"/>
        <v>2345835.8958569677</v>
      </c>
      <c r="EM18" s="125">
        <f t="shared" si="39"/>
        <v>2345835.8958569677</v>
      </c>
      <c r="EN18" s="125">
        <f t="shared" si="39"/>
        <v>2345835.8958569677</v>
      </c>
      <c r="EO18" s="125">
        <f t="shared" si="39"/>
        <v>2345835.8958569677</v>
      </c>
      <c r="EP18" s="125">
        <f t="shared" si="39"/>
        <v>2345835.8958569677</v>
      </c>
      <c r="EQ18" s="125">
        <f t="shared" si="39"/>
        <v>2345835.8958569677</v>
      </c>
      <c r="ER18" s="125">
        <f t="shared" si="39"/>
        <v>2345835.8958569677</v>
      </c>
      <c r="ES18" s="125">
        <f t="shared" si="39"/>
        <v>2345835.8958569677</v>
      </c>
      <c r="ET18" s="125">
        <f t="shared" si="39"/>
        <v>2345835.8958569677</v>
      </c>
      <c r="EU18" s="125">
        <f t="shared" si="39"/>
        <v>2345835.8958569677</v>
      </c>
      <c r="EV18" s="125">
        <f t="shared" si="39"/>
        <v>2345835.8958569677</v>
      </c>
      <c r="EW18" s="125">
        <f t="shared" si="39"/>
        <v>2345835.8958569677</v>
      </c>
      <c r="EX18" s="125">
        <f t="shared" si="39"/>
        <v>2345835.8958569677</v>
      </c>
      <c r="EY18" s="125">
        <f t="shared" si="39"/>
        <v>2345835.8958569677</v>
      </c>
      <c r="EZ18" s="125">
        <f t="shared" si="39"/>
        <v>2345835.8958569677</v>
      </c>
      <c r="FA18" s="125">
        <f t="shared" si="39"/>
        <v>2345835.8958569677</v>
      </c>
      <c r="FB18" s="125">
        <f t="shared" si="39"/>
        <v>2345835.8958569677</v>
      </c>
      <c r="FC18" s="125">
        <f t="shared" si="39"/>
        <v>2345835.8958569677</v>
      </c>
      <c r="FD18" s="125">
        <f t="shared" si="39"/>
        <v>2345835.8958569677</v>
      </c>
      <c r="FE18" s="125">
        <f t="shared" si="39"/>
        <v>2345835.8958569677</v>
      </c>
      <c r="FF18" s="125">
        <f t="shared" si="39"/>
        <v>2345835.8958569677</v>
      </c>
      <c r="FG18" s="125">
        <f t="shared" si="39"/>
        <v>2345835.8958569677</v>
      </c>
      <c r="FH18" s="125">
        <f t="shared" si="39"/>
        <v>2345835.8958569677</v>
      </c>
      <c r="FI18" s="125">
        <f t="shared" si="39"/>
        <v>2345835.8958569677</v>
      </c>
      <c r="FJ18" s="125">
        <f t="shared" si="39"/>
        <v>2345835.8958569677</v>
      </c>
      <c r="FK18" s="125">
        <f t="shared" si="39"/>
        <v>2345835.8958569677</v>
      </c>
      <c r="FL18" s="125">
        <f t="shared" si="39"/>
        <v>2345835.8958569677</v>
      </c>
      <c r="FM18" s="125">
        <f t="shared" si="39"/>
        <v>2345835.8958569677</v>
      </c>
      <c r="FN18" s="125">
        <f t="shared" si="39"/>
        <v>2345835.8958569677</v>
      </c>
      <c r="FO18" s="125">
        <f t="shared" si="39"/>
        <v>2345835.8958569677</v>
      </c>
      <c r="FP18" s="125">
        <f t="shared" si="39"/>
        <v>2345835.8958569677</v>
      </c>
      <c r="FQ18" s="125">
        <f t="shared" si="39"/>
        <v>2345835.8958569677</v>
      </c>
      <c r="FR18" s="125">
        <f t="shared" si="39"/>
        <v>2345835.8958569677</v>
      </c>
      <c r="FS18" s="125">
        <f t="shared" si="39"/>
        <v>2345835.8958569677</v>
      </c>
      <c r="FT18" s="125">
        <f t="shared" si="39"/>
        <v>2345835.8958569677</v>
      </c>
      <c r="FU18" s="125">
        <f t="shared" si="39"/>
        <v>2345835.8958569677</v>
      </c>
      <c r="FV18" s="125">
        <f t="shared" si="39"/>
        <v>2345835.8958569677</v>
      </c>
      <c r="FW18" s="125">
        <f t="shared" si="39"/>
        <v>2345835.8958569677</v>
      </c>
      <c r="FX18" s="125">
        <f t="shared" si="39"/>
        <v>2345835.8958569677</v>
      </c>
      <c r="FY18" s="125">
        <f t="shared" si="39"/>
        <v>2345835.8958569677</v>
      </c>
      <c r="FZ18" s="125">
        <f t="shared" si="39"/>
        <v>2345835.8958569677</v>
      </c>
      <c r="GA18" s="125">
        <f t="shared" si="39"/>
        <v>2345835.8958569677</v>
      </c>
      <c r="GB18" s="125">
        <f t="shared" si="39"/>
        <v>2345835.8958569677</v>
      </c>
      <c r="GC18" s="125">
        <f t="shared" si="39"/>
        <v>2345835.8958569677</v>
      </c>
      <c r="GD18" s="125">
        <f t="shared" si="39"/>
        <v>2345835.8958569677</v>
      </c>
      <c r="GE18" s="125">
        <f t="shared" si="39"/>
        <v>2345835.8958569677</v>
      </c>
      <c r="GF18" s="125">
        <f t="shared" si="39"/>
        <v>2345835.8958569677</v>
      </c>
      <c r="GG18" s="125">
        <f t="shared" si="39"/>
        <v>2345835.8958569677</v>
      </c>
      <c r="GH18" s="125">
        <f t="shared" si="39"/>
        <v>2345835.8958569677</v>
      </c>
      <c r="GI18" s="125">
        <f t="shared" si="39"/>
        <v>2345835.8958569677</v>
      </c>
      <c r="GJ18" s="125">
        <f t="shared" si="39"/>
        <v>2345835.8958569677</v>
      </c>
      <c r="GK18" s="125">
        <f t="shared" si="39"/>
        <v>2345835.8958569677</v>
      </c>
      <c r="GL18" s="125">
        <f t="shared" si="39"/>
        <v>2345835.8958569677</v>
      </c>
      <c r="GM18" s="125">
        <f t="shared" si="39"/>
        <v>2345835.8958569677</v>
      </c>
      <c r="GN18" s="125">
        <f t="shared" si="39"/>
        <v>2345835.8958569677</v>
      </c>
      <c r="GO18" s="125">
        <f t="shared" si="39"/>
        <v>2345835.8958569677</v>
      </c>
      <c r="GP18" s="125">
        <f t="shared" si="39"/>
        <v>2345835.8958569677</v>
      </c>
      <c r="GQ18" s="125">
        <f t="shared" si="39"/>
        <v>2345835.8958569677</v>
      </c>
      <c r="GR18" s="125">
        <f t="shared" si="39"/>
        <v>2345835.8958569677</v>
      </c>
      <c r="GS18" s="125">
        <f t="shared" ref="GS18:JD18" si="40">GR18+GS17</f>
        <v>2345835.8958569677</v>
      </c>
      <c r="GT18" s="125">
        <f t="shared" si="40"/>
        <v>2345835.8958569677</v>
      </c>
      <c r="GU18" s="125">
        <f t="shared" si="40"/>
        <v>2345835.8958569677</v>
      </c>
      <c r="GV18" s="125">
        <f t="shared" si="40"/>
        <v>2345835.8958569677</v>
      </c>
      <c r="GW18" s="125">
        <f t="shared" si="40"/>
        <v>2345835.8958569677</v>
      </c>
      <c r="GX18" s="125">
        <f t="shared" si="40"/>
        <v>2345835.8958569677</v>
      </c>
      <c r="GY18" s="125">
        <f t="shared" si="40"/>
        <v>2345835.8958569677</v>
      </c>
      <c r="GZ18" s="125">
        <f t="shared" si="40"/>
        <v>2345835.8958569677</v>
      </c>
      <c r="HA18" s="125">
        <f t="shared" si="40"/>
        <v>2345835.8958569677</v>
      </c>
      <c r="HB18" s="125">
        <f t="shared" si="40"/>
        <v>2345835.8958569677</v>
      </c>
      <c r="HC18" s="125">
        <f t="shared" si="40"/>
        <v>2345835.8958569677</v>
      </c>
      <c r="HD18" s="125">
        <f t="shared" si="40"/>
        <v>2345835.8958569677</v>
      </c>
      <c r="HE18" s="125">
        <f t="shared" si="40"/>
        <v>2345835.8958569677</v>
      </c>
      <c r="HF18" s="125">
        <f t="shared" si="40"/>
        <v>2345835.8958569677</v>
      </c>
      <c r="HG18" s="125">
        <f t="shared" si="40"/>
        <v>2345835.8958569677</v>
      </c>
      <c r="HH18" s="125">
        <f t="shared" si="40"/>
        <v>2345835.8958569677</v>
      </c>
      <c r="HI18" s="125">
        <f t="shared" si="40"/>
        <v>2345835.8958569677</v>
      </c>
      <c r="HJ18" s="125">
        <f t="shared" si="40"/>
        <v>2345835.8958569677</v>
      </c>
      <c r="HK18" s="125">
        <f t="shared" si="40"/>
        <v>2345835.8958569677</v>
      </c>
      <c r="HL18" s="125">
        <f t="shared" si="40"/>
        <v>2345835.8958569677</v>
      </c>
      <c r="HM18" s="125">
        <f t="shared" si="40"/>
        <v>2345835.8958569677</v>
      </c>
      <c r="HN18" s="125">
        <f t="shared" si="40"/>
        <v>2345835.8958569677</v>
      </c>
      <c r="HO18" s="125">
        <f t="shared" si="40"/>
        <v>2345835.8958569677</v>
      </c>
      <c r="HP18" s="125">
        <f t="shared" si="40"/>
        <v>2345835.8958569677</v>
      </c>
      <c r="HQ18" s="125">
        <f t="shared" si="40"/>
        <v>2345835.8958569677</v>
      </c>
      <c r="HR18" s="125">
        <f t="shared" si="40"/>
        <v>2345835.8958569677</v>
      </c>
      <c r="HS18" s="125">
        <f t="shared" si="40"/>
        <v>2345835.8958569677</v>
      </c>
      <c r="HT18" s="125">
        <f t="shared" si="40"/>
        <v>2345835.8958569677</v>
      </c>
      <c r="HU18" s="125">
        <f t="shared" si="40"/>
        <v>2345835.8958569677</v>
      </c>
      <c r="HV18" s="125">
        <f t="shared" si="40"/>
        <v>2345835.8958569677</v>
      </c>
      <c r="HW18" s="125">
        <f t="shared" si="40"/>
        <v>2345835.8958569677</v>
      </c>
      <c r="HX18" s="125">
        <f t="shared" si="40"/>
        <v>2345835.8958569677</v>
      </c>
      <c r="HY18" s="125">
        <f t="shared" si="40"/>
        <v>2345835.8958569677</v>
      </c>
      <c r="HZ18" s="125">
        <f t="shared" si="40"/>
        <v>2345835.8958569677</v>
      </c>
      <c r="IA18" s="125">
        <f t="shared" si="40"/>
        <v>2345835.8958569677</v>
      </c>
      <c r="IB18" s="125">
        <f t="shared" si="40"/>
        <v>2345835.8958569677</v>
      </c>
      <c r="IC18" s="125">
        <f t="shared" si="40"/>
        <v>2345835.8958569677</v>
      </c>
      <c r="ID18" s="125">
        <f t="shared" si="40"/>
        <v>2345835.8958569677</v>
      </c>
      <c r="IE18" s="125">
        <f t="shared" si="40"/>
        <v>2345835.8958569677</v>
      </c>
      <c r="IF18" s="125">
        <f t="shared" si="40"/>
        <v>2345835.8958569677</v>
      </c>
      <c r="IG18" s="125">
        <f t="shared" si="40"/>
        <v>2345835.8958569677</v>
      </c>
      <c r="IH18" s="125">
        <f t="shared" si="40"/>
        <v>2345835.8958569677</v>
      </c>
      <c r="II18" s="125">
        <f t="shared" si="40"/>
        <v>2345835.8958569677</v>
      </c>
      <c r="IJ18" s="125">
        <f t="shared" si="40"/>
        <v>2345835.8958569677</v>
      </c>
      <c r="IK18" s="125">
        <f t="shared" si="40"/>
        <v>2345835.8958569677</v>
      </c>
      <c r="IL18" s="125">
        <f t="shared" si="40"/>
        <v>2345835.8958569677</v>
      </c>
      <c r="IM18" s="125">
        <f t="shared" si="40"/>
        <v>2345835.8958569677</v>
      </c>
      <c r="IN18" s="125">
        <f t="shared" si="40"/>
        <v>2345835.8958569677</v>
      </c>
      <c r="IO18" s="125">
        <f t="shared" si="40"/>
        <v>2345835.8958569677</v>
      </c>
      <c r="IP18" s="125">
        <f t="shared" si="40"/>
        <v>2345835.8958569677</v>
      </c>
      <c r="IQ18" s="125">
        <f t="shared" si="40"/>
        <v>2345835.8958569677</v>
      </c>
      <c r="IR18" s="125">
        <f t="shared" si="40"/>
        <v>2345835.8958569677</v>
      </c>
      <c r="IS18" s="125">
        <f t="shared" si="40"/>
        <v>2345835.8958569677</v>
      </c>
      <c r="IT18" s="125">
        <f t="shared" si="40"/>
        <v>2345835.8958569677</v>
      </c>
      <c r="IU18" s="125">
        <f t="shared" si="40"/>
        <v>2345835.8958569677</v>
      </c>
      <c r="IV18" s="125">
        <f t="shared" si="40"/>
        <v>2345835.8958569677</v>
      </c>
      <c r="IW18" s="125">
        <f t="shared" si="40"/>
        <v>2345835.8958569677</v>
      </c>
      <c r="IX18" s="125">
        <f t="shared" si="40"/>
        <v>2345835.8958569677</v>
      </c>
      <c r="IY18" s="125">
        <f t="shared" si="40"/>
        <v>2345835.8958569677</v>
      </c>
      <c r="IZ18" s="125">
        <f t="shared" si="40"/>
        <v>2345835.8958569677</v>
      </c>
      <c r="JA18" s="125">
        <f t="shared" si="40"/>
        <v>2345835.8958569677</v>
      </c>
      <c r="JB18" s="125">
        <f t="shared" si="40"/>
        <v>2345835.8958569677</v>
      </c>
      <c r="JC18" s="125">
        <f t="shared" si="40"/>
        <v>2345835.8958569677</v>
      </c>
      <c r="JD18" s="125">
        <f t="shared" si="40"/>
        <v>2345835.8958569677</v>
      </c>
      <c r="JE18" s="125">
        <f t="shared" ref="JE18:KE18" si="41">JD18+JE17</f>
        <v>2345835.8958569677</v>
      </c>
      <c r="JF18" s="125">
        <f t="shared" si="41"/>
        <v>2345835.8958569677</v>
      </c>
      <c r="JG18" s="125">
        <f t="shared" si="41"/>
        <v>2345835.8958569677</v>
      </c>
      <c r="JH18" s="125">
        <f t="shared" si="41"/>
        <v>2345835.8958569677</v>
      </c>
      <c r="JI18" s="125">
        <f t="shared" si="41"/>
        <v>2345835.8958569677</v>
      </c>
      <c r="JJ18" s="125">
        <f t="shared" si="41"/>
        <v>2345835.8958569677</v>
      </c>
      <c r="JK18" s="125">
        <f t="shared" si="41"/>
        <v>2345835.8958569677</v>
      </c>
      <c r="JL18" s="125">
        <f t="shared" si="41"/>
        <v>2345835.8958569677</v>
      </c>
      <c r="JM18" s="125">
        <f t="shared" si="41"/>
        <v>2345835.8958569677</v>
      </c>
      <c r="JN18" s="125">
        <f t="shared" si="41"/>
        <v>2345835.8958569677</v>
      </c>
      <c r="JO18" s="125">
        <f t="shared" si="41"/>
        <v>2345835.8958569677</v>
      </c>
      <c r="JP18" s="125">
        <f t="shared" si="41"/>
        <v>2345835.8958569677</v>
      </c>
      <c r="JQ18" s="125">
        <f t="shared" si="41"/>
        <v>2345835.8958569677</v>
      </c>
      <c r="JR18" s="125">
        <f t="shared" si="41"/>
        <v>2345835.8958569677</v>
      </c>
      <c r="JS18" s="125">
        <f t="shared" si="41"/>
        <v>2345835.8958569677</v>
      </c>
      <c r="JT18" s="125">
        <f t="shared" si="41"/>
        <v>2345835.8958569677</v>
      </c>
      <c r="JU18" s="125">
        <f t="shared" si="41"/>
        <v>2345835.8958569677</v>
      </c>
      <c r="JV18" s="125">
        <f t="shared" si="41"/>
        <v>2345835.8958569677</v>
      </c>
      <c r="JW18" s="125">
        <f t="shared" si="41"/>
        <v>2345835.8958569677</v>
      </c>
      <c r="JX18" s="125">
        <f t="shared" si="41"/>
        <v>2345835.8958569677</v>
      </c>
      <c r="JY18" s="125">
        <f t="shared" si="41"/>
        <v>2345835.8958569677</v>
      </c>
      <c r="JZ18" s="125">
        <f t="shared" si="41"/>
        <v>2345835.8958569677</v>
      </c>
      <c r="KA18" s="125">
        <f t="shared" si="41"/>
        <v>2345835.8958569677</v>
      </c>
      <c r="KB18" s="125">
        <f t="shared" si="41"/>
        <v>2345835.8958569677</v>
      </c>
      <c r="KC18" s="125">
        <f t="shared" si="41"/>
        <v>2345835.8958569677</v>
      </c>
      <c r="KD18" s="125">
        <f t="shared" si="41"/>
        <v>2345835.8958569677</v>
      </c>
      <c r="KE18" s="125">
        <f t="shared" si="41"/>
        <v>2345835.8958569677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328125" defaultRowHeight="14.25"/>
  <cols>
    <col min="1" max="1" width="39.3984375" style="269" bestFit="1" customWidth="1"/>
    <col min="2" max="2" width="17.265625" style="270" bestFit="1" customWidth="1"/>
    <col min="3" max="3" width="11.73046875" style="269" bestFit="1" customWidth="1"/>
    <col min="4" max="4" width="4.86328125" style="269" bestFit="1" customWidth="1"/>
    <col min="5" max="5" width="14.86328125" style="269" bestFit="1" customWidth="1"/>
    <col min="6" max="8" width="13.265625" style="269" bestFit="1" customWidth="1"/>
    <col min="9" max="9" width="14.86328125" style="269" bestFit="1" customWidth="1"/>
    <col min="10" max="10" width="14.59765625" style="269" bestFit="1" customWidth="1"/>
    <col min="11" max="11" width="11.1328125" style="269" bestFit="1" customWidth="1"/>
    <col min="12" max="12" width="6.132812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406</v>
      </c>
      <c r="B3" s="539" t="s">
        <v>407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409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330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336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343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347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367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371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410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3984375" defaultRowHeight="14.25"/>
  <cols>
    <col min="1" max="1" width="21.73046875" bestFit="1" customWidth="1"/>
    <col min="2" max="2" width="17.265625" style="308" bestFit="1" customWidth="1"/>
    <col min="3" max="3" width="11.73046875" style="308" bestFit="1" customWidth="1"/>
    <col min="4" max="4" width="4.86328125" style="308" bestFit="1" customWidth="1"/>
    <col min="5" max="5" width="14.86328125" style="308" bestFit="1" customWidth="1"/>
    <col min="6" max="6" width="12" style="308" bestFit="1" customWidth="1"/>
    <col min="7" max="8" width="13.265625" style="308" bestFit="1" customWidth="1"/>
    <col min="9" max="9" width="14.86328125" style="308" bestFit="1" customWidth="1"/>
    <col min="10" max="10" width="12.1328125" bestFit="1" customWidth="1"/>
    <col min="11" max="11" width="10.8632812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9">
      <c r="A3" s="539" t="s">
        <v>411</v>
      </c>
      <c r="B3" s="539" t="s">
        <v>407</v>
      </c>
      <c r="C3"/>
      <c r="D3"/>
      <c r="E3"/>
      <c r="F3"/>
      <c r="G3"/>
      <c r="H3"/>
      <c r="I3"/>
    </row>
    <row r="4" spans="1:9">
      <c r="A4" s="539" t="s">
        <v>408</v>
      </c>
      <c r="B4" t="s">
        <v>409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410</v>
      </c>
    </row>
    <row r="5" spans="1:9">
      <c r="A5" s="345" t="s">
        <v>409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289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300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309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325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330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336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340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343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347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367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371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356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410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13281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412</v>
      </c>
      <c r="F2" s="19" t="s">
        <v>413</v>
      </c>
    </row>
    <row r="3" spans="3:8">
      <c r="C3" s="15">
        <v>45658</v>
      </c>
      <c r="D3" s="9" t="s">
        <v>414</v>
      </c>
      <c r="F3" s="17" t="s">
        <v>415</v>
      </c>
    </row>
    <row r="4" spans="3:8">
      <c r="C4" s="15">
        <v>45737</v>
      </c>
      <c r="D4" s="9" t="s">
        <v>416</v>
      </c>
      <c r="F4" s="17" t="s">
        <v>417</v>
      </c>
    </row>
    <row r="5" spans="3:8">
      <c r="C5" s="15">
        <v>45765</v>
      </c>
      <c r="D5" s="9" t="s">
        <v>418</v>
      </c>
      <c r="F5" s="17" t="s">
        <v>419</v>
      </c>
    </row>
    <row r="6" spans="3:8" ht="13.15" thickBot="1">
      <c r="C6" s="15">
        <v>45768</v>
      </c>
      <c r="D6" s="9" t="s">
        <v>420</v>
      </c>
      <c r="F6" s="18" t="s">
        <v>421</v>
      </c>
    </row>
    <row r="7" spans="3:8">
      <c r="C7" s="15">
        <v>45774</v>
      </c>
      <c r="D7" s="9" t="s">
        <v>422</v>
      </c>
    </row>
    <row r="8" spans="3:8">
      <c r="C8" s="15">
        <v>45765</v>
      </c>
      <c r="D8" s="9" t="s">
        <v>423</v>
      </c>
    </row>
    <row r="9" spans="3:8">
      <c r="C9" s="15">
        <v>45778</v>
      </c>
      <c r="D9" s="9" t="s">
        <v>424</v>
      </c>
    </row>
    <row r="10" spans="3:8">
      <c r="C10" s="15">
        <v>45824</v>
      </c>
      <c r="D10" s="9" t="s">
        <v>425</v>
      </c>
    </row>
    <row r="11" spans="3:8">
      <c r="C11" s="15">
        <v>45878</v>
      </c>
      <c r="D11" s="9" t="s">
        <v>426</v>
      </c>
    </row>
    <row r="12" spans="3:8">
      <c r="C12" s="15">
        <v>45924</v>
      </c>
      <c r="D12" s="9" t="s">
        <v>427</v>
      </c>
    </row>
    <row r="13" spans="3:8">
      <c r="C13" s="15">
        <v>46007</v>
      </c>
      <c r="D13" s="9" t="s">
        <v>428</v>
      </c>
      <c r="F13" s="20"/>
      <c r="H13" s="9" t="s">
        <v>429</v>
      </c>
    </row>
    <row r="14" spans="3:8">
      <c r="C14" s="15">
        <v>46016</v>
      </c>
      <c r="D14" s="9" t="s">
        <v>430</v>
      </c>
    </row>
    <row r="15" spans="3:8">
      <c r="C15" s="15">
        <v>46017</v>
      </c>
      <c r="D15" s="9" t="s">
        <v>431</v>
      </c>
    </row>
    <row r="16" spans="3:8">
      <c r="C16" s="15">
        <v>46006</v>
      </c>
      <c r="D16" s="9" t="s">
        <v>432</v>
      </c>
    </row>
    <row r="17" spans="3:4">
      <c r="C17" s="15">
        <v>46007</v>
      </c>
      <c r="D17" s="9" t="s">
        <v>432</v>
      </c>
    </row>
    <row r="18" spans="3:4">
      <c r="C18" s="15">
        <v>46008</v>
      </c>
      <c r="D18" s="9" t="s">
        <v>432</v>
      </c>
    </row>
    <row r="19" spans="3:4">
      <c r="C19" s="15">
        <v>46009</v>
      </c>
      <c r="D19" s="9" t="s">
        <v>432</v>
      </c>
    </row>
    <row r="20" spans="3:4">
      <c r="C20" s="15">
        <v>46010</v>
      </c>
      <c r="D20" s="9" t="s">
        <v>432</v>
      </c>
    </row>
    <row r="21" spans="3:4">
      <c r="C21" s="15">
        <v>46011</v>
      </c>
      <c r="D21" s="9" t="s">
        <v>432</v>
      </c>
    </row>
    <row r="22" spans="3:4">
      <c r="C22" s="15">
        <v>46012</v>
      </c>
      <c r="D22" s="9" t="s">
        <v>432</v>
      </c>
    </row>
    <row r="23" spans="3:4">
      <c r="C23" s="15">
        <v>46013</v>
      </c>
      <c r="D23" s="9" t="s">
        <v>432</v>
      </c>
    </row>
    <row r="24" spans="3:4">
      <c r="C24" s="15">
        <v>46014</v>
      </c>
      <c r="D24" s="9" t="s">
        <v>432</v>
      </c>
    </row>
    <row r="25" spans="3:4">
      <c r="C25" s="15">
        <v>46015</v>
      </c>
      <c r="D25" s="9" t="s">
        <v>432</v>
      </c>
    </row>
    <row r="26" spans="3:4">
      <c r="C26" s="15">
        <v>46016</v>
      </c>
      <c r="D26" s="9" t="s">
        <v>432</v>
      </c>
    </row>
    <row r="27" spans="3:4">
      <c r="C27" s="15">
        <v>46017</v>
      </c>
      <c r="D27" s="9" t="s">
        <v>432</v>
      </c>
    </row>
    <row r="28" spans="3:4">
      <c r="C28" s="15">
        <v>46018</v>
      </c>
      <c r="D28" s="9" t="s">
        <v>432</v>
      </c>
    </row>
    <row r="29" spans="3:4">
      <c r="C29" s="15">
        <v>46019</v>
      </c>
      <c r="D29" s="9" t="s">
        <v>432</v>
      </c>
    </row>
    <row r="30" spans="3:4">
      <c r="C30" s="15">
        <v>46020</v>
      </c>
      <c r="D30" s="9" t="s">
        <v>432</v>
      </c>
    </row>
    <row r="31" spans="3:4">
      <c r="C31" s="15">
        <v>46021</v>
      </c>
      <c r="D31" s="9" t="s">
        <v>432</v>
      </c>
    </row>
    <row r="32" spans="3:4">
      <c r="C32" s="15">
        <v>46022</v>
      </c>
      <c r="D32" s="9" t="s">
        <v>432</v>
      </c>
    </row>
    <row r="33" spans="3:4">
      <c r="C33" s="15">
        <v>46023</v>
      </c>
      <c r="D33" s="9" t="s">
        <v>432</v>
      </c>
    </row>
    <row r="34" spans="3:4">
      <c r="C34" s="15">
        <v>46024</v>
      </c>
      <c r="D34" s="9" t="s">
        <v>432</v>
      </c>
    </row>
    <row r="35" spans="3:4">
      <c r="C35" s="15">
        <v>46025</v>
      </c>
      <c r="D35" s="9" t="s">
        <v>432</v>
      </c>
    </row>
    <row r="36" spans="3:4">
      <c r="C36" s="15">
        <v>46026</v>
      </c>
      <c r="D36" s="9" t="s">
        <v>432</v>
      </c>
    </row>
    <row r="37" spans="3:4">
      <c r="C37" s="15">
        <v>46027</v>
      </c>
      <c r="D37" s="9" t="s">
        <v>432</v>
      </c>
    </row>
    <row r="38" spans="3:4">
      <c r="C38" s="15">
        <v>46028</v>
      </c>
      <c r="D38" s="9" t="s">
        <v>432</v>
      </c>
    </row>
    <row r="39" spans="3:4">
      <c r="C39" s="15">
        <v>46029</v>
      </c>
      <c r="D39" s="9" t="s">
        <v>432</v>
      </c>
    </row>
    <row r="40" spans="3:4">
      <c r="C40" s="15">
        <v>46030</v>
      </c>
      <c r="D40" s="9" t="s">
        <v>432</v>
      </c>
    </row>
    <row r="41" spans="3:4">
      <c r="C41" s="15"/>
      <c r="D41" s="9" t="s">
        <v>432</v>
      </c>
    </row>
    <row r="42" spans="3:4">
      <c r="C42" s="15"/>
      <c r="D42" s="9" t="s">
        <v>432</v>
      </c>
    </row>
    <row r="43" spans="3:4">
      <c r="C43" s="15"/>
      <c r="D43" s="9" t="s">
        <v>432</v>
      </c>
    </row>
    <row r="44" spans="3:4">
      <c r="C44" s="15"/>
      <c r="D44" s="9" t="s">
        <v>432</v>
      </c>
    </row>
    <row r="45" spans="3:4">
      <c r="C45" s="15"/>
      <c r="D45" s="9" t="s">
        <v>432</v>
      </c>
    </row>
    <row r="46" spans="3:4">
      <c r="C46" s="15"/>
      <c r="D46" s="9" t="s">
        <v>432</v>
      </c>
    </row>
    <row r="47" spans="3:4">
      <c r="C47" s="15"/>
      <c r="D47" s="9" t="s">
        <v>432</v>
      </c>
    </row>
    <row r="48" spans="3:4">
      <c r="C48" s="15"/>
      <c r="D48" s="9" t="s">
        <v>432</v>
      </c>
    </row>
    <row r="49" spans="3:4">
      <c r="C49" s="15">
        <v>46102</v>
      </c>
      <c r="D49" s="9" t="s">
        <v>416</v>
      </c>
    </row>
    <row r="50" spans="3:4">
      <c r="C50" s="15">
        <v>46115</v>
      </c>
      <c r="D50" s="9" t="s">
        <v>418</v>
      </c>
    </row>
    <row r="51" spans="3:4">
      <c r="C51" s="15">
        <v>46118</v>
      </c>
      <c r="D51" s="9" t="s">
        <v>420</v>
      </c>
    </row>
    <row r="52" spans="3:4">
      <c r="C52" s="15">
        <v>46139</v>
      </c>
      <c r="D52" s="9" t="s">
        <v>422</v>
      </c>
    </row>
    <row r="53" spans="3:4">
      <c r="C53" s="15">
        <v>46143</v>
      </c>
      <c r="D53" s="9" t="s">
        <v>424</v>
      </c>
    </row>
    <row r="54" spans="3:4">
      <c r="C54" s="15">
        <v>46189</v>
      </c>
      <c r="D54" s="9" t="s">
        <v>425</v>
      </c>
    </row>
    <row r="55" spans="3:4">
      <c r="C55" s="15">
        <v>46243</v>
      </c>
      <c r="D55" s="9" t="s">
        <v>426</v>
      </c>
    </row>
    <row r="56" spans="3:4">
      <c r="C56" s="15">
        <v>46244</v>
      </c>
      <c r="D56" s="9" t="s">
        <v>433</v>
      </c>
    </row>
    <row r="57" spans="3:4">
      <c r="C57" s="15">
        <v>46289</v>
      </c>
      <c r="D57" s="9" t="s">
        <v>427</v>
      </c>
    </row>
    <row r="58" spans="3:4">
      <c r="C58" s="15">
        <v>46372</v>
      </c>
      <c r="D58" s="9" t="s">
        <v>428</v>
      </c>
    </row>
    <row r="59" spans="3:4">
      <c r="C59" s="15">
        <v>46381</v>
      </c>
      <c r="D59" s="9" t="s">
        <v>430</v>
      </c>
    </row>
    <row r="60" spans="3:4" ht="13.15" thickBot="1">
      <c r="C60" s="16">
        <v>46382</v>
      </c>
      <c r="D60" s="9" t="s">
        <v>431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