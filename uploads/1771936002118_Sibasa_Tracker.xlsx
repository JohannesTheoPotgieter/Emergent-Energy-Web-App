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3" documentId="13_ncr:1_{C8A13B6E-D381-4ABA-939D-24E73EE90B2A}" xr6:coauthVersionLast="47" xr6:coauthVersionMax="47" xr10:uidLastSave="{C12970EC-FE2C-4BE2-82D8-98792AC60FE1}"/>
  <bookViews>
    <workbookView xWindow="6630" yWindow="-16395" windowWidth="29190" windowHeight="15870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M9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/>
  <c r="U165" i="18"/>
  <c r="J22" i="3"/>
  <c r="K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F12" i="6"/>
  <c r="D18" i="6"/>
  <c r="C18" i="6"/>
  <c r="K53" i="2"/>
  <c r="N53" i="2"/>
  <c r="K50" i="2"/>
  <c r="N50" i="2"/>
  <c r="K52" i="2"/>
  <c r="N52" i="2" s="1"/>
  <c r="H19" i="5"/>
  <c r="P19" i="5"/>
  <c r="F22" i="5" l="1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N39" i="2" l="1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N49" i="2"/>
  <c r="K49" i="2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<sst xmlns="http://schemas.openxmlformats.org/spreadsheetml/2006/main" count="922" uniqueCount="524">
  <si>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</si>
  <si>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</si>
  <si>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</si>
  <si>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</si>
  <si>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</si>
  <si>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</si>
  <si>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</si>
  <si>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</si>
  <si>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</si>
  <si>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</si>
  <si>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</si>
  <si>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</si>
  <si>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</si>
  <si>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</si>
  <si>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</si>
  <si>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</si>
  <si>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</si>
  <si>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</si>
  <si>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</si>
  <si>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</si>
  <si>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</si>
  <si>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</si>
  <si>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</si>
  <si>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</si>
  <si>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</si>
  <si>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</si>
  <si>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</si>
  <si>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</si>
  <si>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</si>
  <si>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</si>
  <si>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</si>
  <si>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</si>
  <si>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</si>
  <si>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</si>
  <si>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</si>
  <si>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</si>
  <si>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</si>
  <si>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</si>
  <si>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</si>
  <si>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</si>
  <si>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</si>
  <si>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</si>
  <si>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</si>
  <si>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</si>
  <si>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</si>
  <si>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</si>
  <si>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</si>
  <si>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</si>
  <si>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</si>
  <si>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</si>
  <si>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</si>
  <si>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</si>
  <si>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</si>
  <si>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</si>
  <si>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</si>
  <si>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</si>
  <si>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</si>
  <si>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</si>
  <si>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</si>
  <si>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</si>
  <si>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</si>
  <si>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</si>
  <si>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</si>
  <si>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</si>
  <si>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</si>
  <si>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</si>
  <si>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</si>
  <si>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</si>
  <si>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</si>
  <si>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</si>
  <si>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</si>
  <si>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</si>
  <si>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</si>
  <si>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</si>
  <si>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</si>
  <si>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</si>
  <si>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</si>
  <si>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</si>
  <si>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</si>
  <si>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</si>
  <si>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</si>
  <si>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</si>
  <si>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</si>
  <si>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</si>
  <si>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</si>
  <si>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</si>
  <si>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</si>
  <si>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</si>
  <si>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</si>
  <si>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</si>
  <si>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</si>
  <si>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</si>
  <si>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</si>
  <si>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</si>
  <si>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</si>
  <si>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</si>
  <si>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</si>
  <si>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</si>
  <si>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</si>
  <si>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</si>
  <si>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</si>
  <si>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</si>
  <si>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</si>
  <si>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</si>
  <si>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</si>
  <si>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</si>
  <si>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</si>
  <si>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</si>
  <si>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</si>
  <si>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</si>
  <si>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</si>
  <si>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</si>
  <si>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</si>
  <si>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</si>
  <si>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</si>
  <si>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</si>
  <si>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</si>
  <si>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</si>
  <si>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</si>
  <si>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</si>
  <si>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</si>
  <si>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</si>
  <si>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</si>
  <si>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</si>
  <si>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</si>
  <si>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</si>
  <si>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</si>
  <si>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</si>
  <si>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</si>
  <si>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</si>
  <si>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</si>
  <si>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</si>
  <si>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</si>
  <si>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</si>
  <si>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</si>
  <si>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</si>
  <si>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</si>
  <si>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</si>
  <si>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</si>
  <si>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</si>
  <si>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</si>
  <si>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</si>
  <si>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</si>
  <si>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</si>
  <si>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</si>
  <si>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</si>
  <si>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</si>
  <si>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</si>
  <si>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</si>
  <si>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</si>
  <si>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</si>
  <si>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</si>
  <si>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</si>
  <si>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</si>
  <si>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</si>
  <si>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</si>
  <si>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</si>
  <si>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</si>
  <si>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</si>
  <si>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</si>
  <si>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</si>
  <si>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</si>
  <si>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</si>
  <si>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</si>
  <si>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</si>
  <si>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</si>
  <si>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</si>
  <si>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</si>
  <si>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</si>
  <si>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</si>
  <si>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</si>
  <si>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</si>
  <si>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</si>
  <si>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</si>
  <si>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</si>
  <si>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</si>
  <si>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</si>
  <si>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</si>
  <si>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</si>
  <si>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</si>
  <si>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</si>
  <si>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</si>
  <si>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</si>
  <si>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</si>
  <si>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</si>
  <si>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</si>
  <si>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</si>
  <si>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</si>
  <si>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</si>
  <si>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</si>
  <si>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</si>
  <si>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</si>
  <si>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</si>
  <si>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</si>
  <si>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</si>
  <si>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</si>
  <si>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</si>
  <si>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</si>
  <si>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</si>
  <si>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</si>
  <si>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</si>
  <si>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</si>
  <si>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</si>
  <si>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</si>
  <si>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</si>
  <si>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</si>
  <si>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</si>
  <si>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</si>
  <si>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</si>
  <si>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</si>
  <si>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</si>
  <si>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</si>
  <si>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</si>
  <si>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</si>
  <si>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</si>
  <si>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</si>
  <si>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</si>
  <si>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</si>
  <si>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</si>
  <si>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</si>
  <si>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</si>
  <si>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</si>
  <si>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</si>
  <si>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</si>
  <si>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</si>
  <si>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</si>
  <si>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</si>
  <si>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</si>
  <si>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</si>
  <si>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</si>
  <si>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</si>
  <si>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</si>
  <si>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</si>
  <si>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</si>
  <si>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</si>
  <si>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</si>
  <si>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</si>
  <si>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</si>
  <si>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</si>
  <si>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</si>
  <si>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</si>
  <si>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</si>
  <si>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</si>
  <si>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</si>
  <si>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</si>
  <si>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</si>
  <si>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</si>
  <si>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</si>
  <si>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</si>
  <si>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</si>
  <si>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</si>
  <si>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</si>
  <si>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</si>
  <si>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</si>
  <si>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</si>
  <si>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</si>
  <si>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</si>
  <si>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</si>
  <si>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</si>
  <si>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</si>
  <si>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</si>
  <si>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</si>
  <si>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</si>
  <si>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</si>
  <si>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</si>
  <si>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</si>
  <si>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</si>
  <si>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</si>
  <si>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</si>
  <si>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</si>
  <si>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</si>
  <si>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</si>
  <si>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</si>
  <si>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</si>
  <si>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</si>
  <si>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</si>
  <si>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</si>
  <si>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</si>
  <si>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</si>
  <si>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</si>
  <si>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</si>
  <si>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</si>
  <si>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</si>
  <si>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</si>
  <si>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</si>
  <si>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</si>
  <si>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</si>
  <si>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</si>
  <si>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</si>
  <si>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</si>
  <si>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</si>
  <si>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</si>
  <si>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</si>
  <si>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</si>
  <si>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</si>
  <si>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</si>
  <si>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</si>
  <si>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</si>
  <si>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</si>
  <si>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</si>
  <si>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</si>
  <si>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</si>
  <si>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</si>
  <si>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</si>
  <si>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</si>
  <si>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</si>
  <si>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</si>
  <si>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</si>
  <si>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</si>
  <si>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</si>
  <si>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</si>
  <si>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</si>
  <si>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</si>
  <si>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</si>
  <si>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</si>
  <si>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</si>
  <si>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</si>
  <si>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</si>
  <si>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</si>
  <si>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</si>
  <si>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</si>
  <si>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</si>
  <si>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</si>
  <si>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</si>
  <si>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</si>
  <si>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</si>
  <si>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</si>
  <si>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</si>
  <si>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</si>
  <si>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</si>
  <si>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</si>
  <si>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</si>
  <si>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</si>
  <si>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</si>
  <si>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</si>
  <si>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</si>
  <si>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</si>
  <si>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</si>
  <si>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</si>
  <si>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</si>
  <si>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</si>
  <si>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</si>
  <si>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</si>
  <si>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</si>
  <si>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</si>
  <si>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</si>
  <si>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</si>
  <si>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</si>
  <si>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</si>
  <si>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</si>
  <si>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</si>
  <si>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</si>
  <si>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</si>
  <si>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</si>
  <si>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</si>
  <si>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</si>
  <si>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</si>
  <si>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</si>
  <si>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</si>
  <si>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</si>
  <si>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</si>
  <si>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</si>
  <si>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</si>
  <si>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</si>
  <si>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</si>
  <si>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</si>
  <si>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</si>
  <si>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</si>
  <si>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</si>
  <si>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</si>
  <si>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</si>
  <si>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</si>
  <si>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</si>
  <si>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</si>
  <si>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</si>
  <si>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</si>
  <si>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</si>
  <si>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</si>
  <si>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</si>
  <si>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</si>
  <si>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</si>
  <si>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</si>
  <si>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</si>
  <si>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</si>
  <si>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</si>
  <si>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</si>
  <si>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</si>
  <si>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</si>
  <si>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</si>
  <si>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</si>
  <si>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</si>
  <si>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</si>
  <si>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</si>
  <si>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</si>
  <si>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</si>
  <si>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</si>
  <si>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</si>
  <si>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</si>
  <si>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</si>
  <si>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</si>
  <si>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</si>
  <si>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</si>
  <si>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</si>
  <si>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</si>
  <si>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</si>
  <si>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</si>
  <si>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</si>
  <si>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</si>
  <si>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</si>
  <si>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</si>
  <si>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</si>
  <si>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</si>
  <si>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</si>
  <si>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</si>
  <si>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</si>
  <si>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</si>
  <si>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</si>
  <si>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</si>
  <si>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</si>
  <si>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</si>
  <si>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</si>
  <si>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</si>
  <si>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</si>
  <si>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</si>
  <si>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</si>
  <si>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</si>
  <si>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</si>
  <si>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</si>
  <si>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</si>
  <si>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</si>
  <si>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</si>
  <si>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</si>
  <si>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</si>
  <si>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</si>
  <si>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</si>
  <si>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</si>
  <si>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</si>
  <si>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</si>
  <si>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</si>
  <si>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</si>
  <si>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</si>
  <si>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</si>
  <si>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</si>
  <si>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</si>
  <si>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</si>
  <si>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</si>
  <si>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</si>
  <si>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</si>
  <si>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</si>
  <si>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</si>
  <si>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</si>
  <si>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</si>
  <si>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</si>
  <si>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</si>
  <si>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</si>
  <si>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</si>
  <si>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</si>
  <si>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</si>
  <si>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</si>
  <si>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</si>
  <si>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</si>
  <si>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</si>
  <si>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</si>
  <si>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</si>
  <si>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</si>
  <si>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</si>
  <si>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</si>
  <si>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</si>
  <si>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</si>
  <si>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</si>
  <si>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</si>
  <si>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</si>
  <si>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</si>
  <si>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</si>
  <si>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</si>
  <si>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</si>
  <si>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</si>
  <si>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</si>
  <si>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</si>
  <si>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</si>
  <si>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</si>
  <si>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</si>
  <si>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</si>
  <si>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</si>
  <si>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</si>
  <si>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</si>
  <si>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</si>
  <si>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</si>
  <si>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</si>
  <si>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</si>
  <si>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</si>
  <si>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</si>
  <si>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</si>
  <si>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</si>
  <si>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</si>
  <si>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</si>
  <si>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</si>
  <si>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</si>
  <si>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</si>
  <si>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</si>
  <si>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</si>
  <si>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</si>
  <si>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</si>
  <si>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</si>
  <si>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</si>
  <si>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</si>
  <si>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</si>
  <si>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</si>
  <si>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</si>
  <si>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</si>
  <si>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</si>
  <si>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</si>
  <si>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</si>
  <si>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</si>
  <si>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</si>
  <si>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</si>
  <si>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</si>
  <si>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</si>
  <si>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</si>
  <si>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</si>
  <si>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</si>
  <si>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</si>
  <si>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</si>
  <si>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QC snags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</si>
</sst>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7" borderId="0" xfId="0" applyFont="1" applyFill="1" applyBorder="1" applyAlignment="1">
      <alignment horizontal="center"/>
    </xf>
    <xf numFmtId="0" fontId="6" fillId="7" borderId="0" xfId="0" applyFont="1" applyFill="1" applyBorder="1"/>
    <xf numFmtId="0" fontId="33" fillId="7" borderId="0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8632812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" customWidth="1"/>
    <col min="3" max="3" width="28.7304687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90"/>
      <c r="H3" s="724"/>
      <c r="I3" s="725"/>
      <c r="J3" s="725"/>
      <c r="K3" s="725"/>
      <c r="L3" s="725"/>
      <c r="M3" s="725"/>
      <c r="N3" s="725"/>
      <c r="O3" s="726"/>
    </row>
    <row r="4" spans="2:15">
      <c r="B4" s="691" t="s">
        <v>60</v>
      </c>
      <c r="C4" s="692" t="str">
        <f>'Project Plan'!E2</f>
        <v>Sibasa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91" t="s">
        <v>61</v>
      </c>
      <c r="C5" s="692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91" t="s">
        <v>63</v>
      </c>
      <c r="C6" s="692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91" t="s">
        <v>65</v>
      </c>
      <c r="C7" s="692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90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4.6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93" t="s">
        <v>69</v>
      </c>
      <c r="C11" s="719" t="s">
        <v>70</v>
      </c>
      <c r="D11" s="719"/>
      <c r="E11" s="719"/>
    </row>
    <row r="12" spans="2:15">
      <c r="B12" s="693" t="s">
        <v>71</v>
      </c>
      <c r="C12" s="719" t="s">
        <v>70</v>
      </c>
      <c r="D12" s="719"/>
      <c r="E12" s="719"/>
    </row>
    <row r="13" spans="2:15">
      <c r="B13" s="693" t="s">
        <v>72</v>
      </c>
      <c r="C13" s="719" t="s">
        <v>70</v>
      </c>
      <c r="D13" s="719"/>
      <c r="E13" s="719"/>
    </row>
    <row r="14" spans="2:15">
      <c r="B14" s="693" t="s">
        <v>73</v>
      </c>
      <c r="C14" s="719" t="s">
        <v>74</v>
      </c>
      <c r="D14" s="719"/>
      <c r="E14" s="719"/>
    </row>
    <row r="15" spans="2:15">
      <c r="B15" s="693" t="s">
        <v>75</v>
      </c>
      <c r="C15" s="719" t="s">
        <v>76</v>
      </c>
      <c r="D15" s="719"/>
      <c r="E15" s="719"/>
    </row>
    <row r="16" spans="2:15" ht="15" customHeight="1">
      <c r="B16" s="693" t="s">
        <v>77</v>
      </c>
      <c r="C16" s="719" t="s">
        <v>78</v>
      </c>
      <c r="D16" s="719"/>
      <c r="E16" s="719"/>
    </row>
    <row r="17" spans="2:5">
      <c r="B17" s="690"/>
    </row>
    <row r="18" spans="2:5">
      <c r="B18" s="731" t="s">
        <v>79</v>
      </c>
      <c r="C18" s="731"/>
      <c r="D18" s="731"/>
      <c r="E18" s="73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732" t="s">
        <v>87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2" t="s">
        <v>97</v>
      </c>
      <c r="C16" s="733"/>
      <c r="D16" s="733"/>
      <c r="E16" s="733"/>
      <c r="F16" s="734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D31" zoomScale="85" zoomScaleNormal="85" workbookViewId="0">
      <selection activeCell="N45" sqref="N45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9765625" style="24" bestFit="1" customWidth="1"/>
    <col min="4" max="4" width="3.265625" style="111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9765625" style="111" customWidth="1"/>
    <col min="12" max="12" width="2.265625" style="111" customWidth="1"/>
    <col min="13" max="13" width="12.597656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97656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</row>
    <row r="2" spans="2:28" ht="13.9">
      <c r="B2" s="175"/>
      <c r="C2" s="176" t="s">
        <v>0</v>
      </c>
      <c r="D2" s="177"/>
      <c r="E2" s="738" t="s">
        <v>101</v>
      </c>
      <c r="F2" s="739"/>
      <c r="G2" s="739"/>
      <c r="H2" s="740"/>
      <c r="N2" s="405">
        <v>0</v>
      </c>
      <c r="O2" s="749" t="s">
        <v>102</v>
      </c>
    </row>
    <row r="3" spans="2:28" s="111" customFormat="1" ht="13.9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0"/>
      <c r="Q3" s="3"/>
    </row>
    <row r="4" spans="2:28" s="111" customFormat="1" ht="13.9">
      <c r="B4" s="178"/>
      <c r="C4" s="179" t="s">
        <v>104</v>
      </c>
      <c r="D4" s="177"/>
      <c r="E4" s="741" t="s">
        <v>66</v>
      </c>
      <c r="F4" s="742"/>
      <c r="G4" s="742"/>
      <c r="H4" s="743"/>
      <c r="J4" s="112"/>
      <c r="O4" s="750"/>
      <c r="Q4" s="3"/>
    </row>
    <row r="5" spans="2:28" s="111" customFormat="1" ht="13.9">
      <c r="B5" s="178"/>
      <c r="C5" s="179" t="s">
        <v>105</v>
      </c>
      <c r="D5" s="177"/>
      <c r="E5" s="741" t="s">
        <v>106</v>
      </c>
      <c r="F5" s="742"/>
      <c r="G5" s="742"/>
      <c r="H5" s="743"/>
      <c r="J5" s="112"/>
      <c r="O5" s="750"/>
      <c r="Q5" s="3"/>
    </row>
    <row r="6" spans="2:28" ht="13.9">
      <c r="B6" s="183"/>
      <c r="C6" s="184" t="s">
        <v>107</v>
      </c>
      <c r="D6" s="177"/>
      <c r="E6" s="744">
        <v>4662650</v>
      </c>
      <c r="F6" s="745"/>
      <c r="G6" s="745"/>
      <c r="H6" s="746"/>
    </row>
    <row r="7" spans="2:28" s="111" customFormat="1" ht="13.9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35" t="s">
        <v>110</v>
      </c>
      <c r="C8" s="736" t="s">
        <v>111</v>
      </c>
      <c r="D8" s="214"/>
      <c r="E8" s="737" t="s">
        <v>112</v>
      </c>
      <c r="F8" s="236" t="s">
        <v>113</v>
      </c>
      <c r="G8" s="737" t="s">
        <v>114</v>
      </c>
      <c r="H8" s="237"/>
      <c r="I8" s="737" t="s">
        <v>115</v>
      </c>
      <c r="J8" s="236" t="s">
        <v>113</v>
      </c>
      <c r="K8" s="737" t="s">
        <v>116</v>
      </c>
      <c r="M8" s="411" t="s">
        <v>89</v>
      </c>
      <c r="N8" s="683" t="s">
        <v>117</v>
      </c>
      <c r="O8" s="747" t="s">
        <v>118</v>
      </c>
      <c r="Z8" s="111"/>
      <c r="AA8" s="111"/>
      <c r="AB8" s="111"/>
    </row>
    <row r="9" spans="2:28" ht="13.9">
      <c r="B9" s="735"/>
      <c r="C9" s="736"/>
      <c r="D9" s="214"/>
      <c r="E9" s="737"/>
      <c r="F9" s="125">
        <f>G41-E19</f>
        <v>61</v>
      </c>
      <c r="G9" s="737"/>
      <c r="H9" s="237"/>
      <c r="I9" s="737"/>
      <c r="J9" s="126">
        <f>K41-I19</f>
        <v>266</v>
      </c>
      <c r="K9" s="737"/>
      <c r="M9" s="361">
        <f>AVERAGE(M11,M18,M21,M28,M35,M39,M47,M43)</f>
        <v>0.92235576923076923</v>
      </c>
      <c r="N9" s="361">
        <f ca="1">AVERAGE(N11,N18,N21,N28,N35,N39,N47,N43)</f>
        <v>0.94618055555555558</v>
      </c>
      <c r="O9" s="74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ht="13.9">
      <c r="B45" s="819"/>
      <c r="C45" s="820" t="s">
        <v>523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0</v>
      </c>
      <c r="O45" s="821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 ht="13.9">
      <c r="B47" s="243">
        <v>8</v>
      </c>
      <c r="C47" s="244" t="s">
        <v>165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0.37884615384615383</v>
      </c>
      <c r="N47" s="360">
        <f ca="1">AVERAGE(N48:N53)</f>
        <v>0.56944444444444442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ht="13.9">
      <c r="B48" s="247">
        <v>8.1</v>
      </c>
      <c r="C48" s="242" t="s">
        <v>166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 ht="13.9">
      <c r="B49" s="247">
        <v>8.1999999999999993</v>
      </c>
      <c r="C49" s="242" t="s">
        <v>167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6</v>
      </c>
      <c r="K49" s="252">
        <f>WORKDAY.INTL(I49,J49,1,Data!$C$3:$C$44)</f>
        <v>46079</v>
      </c>
      <c r="M49" s="253">
        <v>0.3</v>
      </c>
      <c r="N49" s="253">
        <f t="shared" ca="1" si="7"/>
        <v>0.75</v>
      </c>
      <c r="O49" s="121" t="s">
        <v>168</v>
      </c>
      <c r="Y49" s="24"/>
    </row>
    <row r="50" spans="2:28" ht="13.9">
      <c r="B50" s="247">
        <v>8.3000000000000007</v>
      </c>
      <c r="C50" s="242" t="s">
        <v>169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0.8571428571428571</v>
      </c>
      <c r="O50" s="121"/>
      <c r="Y50" s="24"/>
    </row>
    <row r="51" spans="2:28" ht="13.9">
      <c r="B51" s="247">
        <v>8.4</v>
      </c>
      <c r="C51" s="242" t="s">
        <v>170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0.66666666666666663</v>
      </c>
      <c r="O51" s="121"/>
      <c r="Y51" s="24"/>
    </row>
    <row r="52" spans="2:28" ht="13.9">
      <c r="B52" s="247">
        <v>8.5</v>
      </c>
      <c r="C52" s="242" t="s">
        <v>171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 ht="13.9">
      <c r="B53" s="247">
        <v>8.6</v>
      </c>
      <c r="C53" s="242" t="s">
        <v>172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0.14285714285714285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L26" sqref="L26"/>
    </sheetView>
  </sheetViews>
  <sheetFormatPr defaultColWidth="8.265625" defaultRowHeight="14.25"/>
  <cols>
    <col min="1" max="1" width="5.59765625" style="92" customWidth="1"/>
    <col min="2" max="2" width="5.59765625" style="129" customWidth="1"/>
    <col min="3" max="4" width="23.265625" style="128" customWidth="1"/>
    <col min="5" max="5" width="6.59765625" style="128" customWidth="1"/>
    <col min="6" max="6" width="16.265625" style="128" customWidth="1"/>
    <col min="7" max="7" width="11.8632812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8632812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86328125" style="92" bestFit="1" customWidth="1"/>
    <col min="22" max="23" width="8.265625" style="92"/>
    <col min="24" max="24" width="5.597656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97656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713" t="s">
        <v>201</v>
      </c>
      <c r="D13" s="714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13" t="s">
        <v>203</v>
      </c>
      <c r="D14" s="714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11" t="s">
        <v>204</v>
      </c>
      <c r="D16" s="712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11" t="s">
        <v>205</v>
      </c>
      <c r="D17" s="712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75">
      <c r="B18" s="351">
        <v>5</v>
      </c>
      <c r="C18" s="711" t="s">
        <v>206</v>
      </c>
      <c r="D18" s="712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202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2.75">
      <c r="B19" s="351">
        <v>6</v>
      </c>
      <c r="C19" s="711" t="s">
        <v>54</v>
      </c>
      <c r="D19" s="712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2.75">
      <c r="B20" s="351">
        <v>7</v>
      </c>
      <c r="C20" s="713" t="s">
        <v>207</v>
      </c>
      <c r="D20" s="714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  <c r="H25" s="70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1"/>
      <c r="C4" s="751"/>
      <c r="D4" s="751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752" t="s">
        <v>243</v>
      </c>
      <c r="C5" s="752"/>
      <c r="D5" s="752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activeCell="X33" sqref="X33"/>
      <selection pane="bottomLeft" activeCell="W158" sqref="W158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.1328125" style="70" hidden="1" customWidth="1"/>
    <col min="6" max="6" width="16.59765625" style="474" hidden="1" customWidth="1"/>
    <col min="7" max="7" width="16.86328125" style="24" hidden="1" customWidth="1"/>
    <col min="8" max="8" width="17.265625" style="111" hidden="1" customWidth="1"/>
    <col min="9" max="9" width="22.1328125" style="349" hidden="1" customWidth="1"/>
    <col min="10" max="10" width="22.26562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265625" style="111" customWidth="1"/>
    <col min="18" max="18" width="46.86328125" style="111" customWidth="1"/>
    <col min="19" max="19" width="43.1328125" style="111" customWidth="1"/>
    <col min="20" max="23" width="17.265625" style="111" customWidth="1"/>
    <col min="24" max="24" width="21.265625" style="111" customWidth="1"/>
    <col min="25" max="25" width="29.1328125" style="111" bestFit="1" customWidth="1"/>
    <col min="26" max="26" width="24.8632812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2" t="s">
        <v>250</v>
      </c>
      <c r="C2" s="763"/>
      <c r="D2" s="763"/>
      <c r="E2" s="763"/>
      <c r="F2" s="763"/>
      <c r="G2" s="763"/>
      <c r="H2" s="502"/>
      <c r="I2" s="257">
        <f>SUM(I6:I169)</f>
        <v>4250720.1452194713</v>
      </c>
      <c r="J2" s="257">
        <f>SUM(J6:J169)</f>
        <v>4662649.8793863859</v>
      </c>
      <c r="L2" s="764" t="s">
        <v>251</v>
      </c>
      <c r="M2" s="765"/>
      <c r="N2" s="765"/>
      <c r="O2" s="765"/>
      <c r="P2" s="765"/>
      <c r="Q2" s="765"/>
      <c r="R2" s="769" t="s">
        <v>252</v>
      </c>
      <c r="S2" s="770"/>
      <c r="T2" s="770"/>
      <c r="U2" s="770"/>
      <c r="V2" s="770"/>
      <c r="W2" s="771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66">
        <f>SUM(G6:G11)</f>
        <v>1020809.8300000001</v>
      </c>
      <c r="J6" s="766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56">
        <f>J6-SUM(U6:U11)</f>
        <v>0</v>
      </c>
      <c r="W6" s="681">
        <v>45867</v>
      </c>
      <c r="X6" s="75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67"/>
      <c r="J7" s="767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57"/>
      <c r="W7" s="572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7"/>
      <c r="J8" s="767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57"/>
      <c r="W8" s="572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7"/>
      <c r="J9" s="767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7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7"/>
      <c r="J10" s="767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7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8"/>
      <c r="J11" s="768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8"/>
      <c r="W11" s="574"/>
      <c r="X11" s="755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59">
        <f>J13-SUM(U13:U19)</f>
        <v>0</v>
      </c>
      <c r="W13" s="537">
        <v>45855</v>
      </c>
      <c r="X13" s="775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0"/>
      <c r="W14" s="577"/>
      <c r="X14" s="776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0"/>
      <c r="W15" s="577"/>
      <c r="X15" s="776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0"/>
      <c r="W16" s="577"/>
      <c r="X16" s="776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0"/>
      <c r="W17" s="577"/>
      <c r="X17" s="776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0"/>
      <c r="W18" s="577"/>
      <c r="X18" s="776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1"/>
      <c r="W19" s="578"/>
      <c r="X19" s="777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66">
        <f>SUM(G21:G26)</f>
        <v>379532.79</v>
      </c>
      <c r="J21" s="766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56">
        <f>J21-SUM(U21:U26)</f>
        <v>0</v>
      </c>
      <c r="W21" s="539">
        <v>45835</v>
      </c>
      <c r="X21" s="753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7"/>
      <c r="J22" s="767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57"/>
      <c r="W22" s="535">
        <v>45806</v>
      </c>
      <c r="X22" s="754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7"/>
      <c r="J23" s="767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7"/>
      <c r="W23" s="572"/>
      <c r="X23" s="754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7"/>
      <c r="J24" s="767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7"/>
      <c r="W24" s="573"/>
      <c r="X24" s="754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7"/>
      <c r="J25" s="767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7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8"/>
      <c r="J26" s="768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8"/>
      <c r="W26" s="574"/>
      <c r="X26" s="755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81" t="s">
        <v>308</v>
      </c>
      <c r="S28" s="629" t="s">
        <v>309</v>
      </c>
      <c r="T28" s="659">
        <f>T13</f>
        <v>45808</v>
      </c>
      <c r="U28" s="670">
        <v>156288.25034527844</v>
      </c>
      <c r="V28" s="75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80"/>
      <c r="S29" s="630" t="s">
        <v>309</v>
      </c>
      <c r="T29" s="650">
        <v>45808</v>
      </c>
      <c r="U29" s="671">
        <v>49367.508883362796</v>
      </c>
      <c r="V29" s="76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6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78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6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79"/>
      <c r="S33" s="630" t="s">
        <v>317</v>
      </c>
      <c r="T33" s="652">
        <f t="shared" si="0"/>
        <v>45808</v>
      </c>
      <c r="U33" s="671">
        <v>31108.337968113872</v>
      </c>
      <c r="V33" s="76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79"/>
      <c r="S34" s="630" t="s">
        <v>319</v>
      </c>
      <c r="T34" s="650">
        <v>45838</v>
      </c>
      <c r="U34" s="671">
        <v>31723.315389013693</v>
      </c>
      <c r="V34" s="76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79"/>
      <c r="S35" s="630" t="s">
        <v>321</v>
      </c>
      <c r="T35" s="650">
        <v>45838</v>
      </c>
      <c r="U35" s="671">
        <v>39654.144236267115</v>
      </c>
      <c r="V35" s="76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79"/>
      <c r="S36" s="630" t="s">
        <v>322</v>
      </c>
      <c r="T36" s="650">
        <v>45838</v>
      </c>
      <c r="U36" s="671">
        <v>15861.657694506846</v>
      </c>
      <c r="V36" s="760"/>
      <c r="W36" s="538">
        <f>W99</f>
        <v>46073</v>
      </c>
      <c r="X36" s="776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79"/>
      <c r="S37" s="630" t="s">
        <v>324</v>
      </c>
      <c r="T37" s="650">
        <v>45838</v>
      </c>
      <c r="U37" s="671">
        <v>15861.657694506846</v>
      </c>
      <c r="V37" s="760"/>
      <c r="W37" s="577">
        <v>46079</v>
      </c>
      <c r="X37" s="776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79"/>
      <c r="S38" s="630" t="s">
        <v>326</v>
      </c>
      <c r="T38" s="650">
        <v>45838</v>
      </c>
      <c r="U38" s="671">
        <v>7930.8288472534232</v>
      </c>
      <c r="V38" s="760"/>
      <c r="W38" s="577">
        <f>W101</f>
        <v>46081</v>
      </c>
      <c r="X38" s="776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80"/>
      <c r="S39" s="630" t="s">
        <v>328</v>
      </c>
      <c r="T39" s="650">
        <v>45838</v>
      </c>
      <c r="U39" s="671">
        <v>7930.8288472534232</v>
      </c>
      <c r="V39" s="760"/>
      <c r="W39" s="577">
        <f t="shared" si="3"/>
        <v>46111</v>
      </c>
      <c r="X39" s="776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1"/>
      <c r="W42" s="578"/>
      <c r="X42" s="777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66">
        <f>SUM(G44:G51)</f>
        <v>49000</v>
      </c>
      <c r="J44" s="766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56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67"/>
      <c r="J45" s="767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57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7"/>
      <c r="J46" s="767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57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7"/>
      <c r="J47" s="767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57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7"/>
      <c r="J48" s="767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57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7"/>
      <c r="J49" s="767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7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7"/>
      <c r="J50" s="767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7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8"/>
      <c r="J51" s="768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8"/>
      <c r="W51" s="574"/>
      <c r="X51" s="755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6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78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6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79"/>
      <c r="S60" s="630" t="s">
        <v>317</v>
      </c>
      <c r="T60" s="652">
        <f t="shared" si="0"/>
        <v>45808</v>
      </c>
      <c r="U60" s="671">
        <v>38206.422043669249</v>
      </c>
      <c r="V60" s="76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79"/>
      <c r="S61" s="630" t="s">
        <v>319</v>
      </c>
      <c r="T61" s="650">
        <v>45838</v>
      </c>
      <c r="U61" s="671">
        <v>50115.369886193017</v>
      </c>
      <c r="V61" s="76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79"/>
      <c r="S62" s="630" t="s">
        <v>321</v>
      </c>
      <c r="T62" s="650">
        <v>45838</v>
      </c>
      <c r="U62" s="671">
        <v>62644.212357741279</v>
      </c>
      <c r="V62" s="76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79"/>
      <c r="S63" s="630" t="s">
        <v>322</v>
      </c>
      <c r="T63" s="650">
        <v>45838</v>
      </c>
      <c r="U63" s="671">
        <v>25057.684943096509</v>
      </c>
      <c r="V63" s="760"/>
      <c r="W63" s="538">
        <f>W99</f>
        <v>46073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79"/>
      <c r="S64" s="634" t="s">
        <v>324</v>
      </c>
      <c r="T64" s="677">
        <v>45838</v>
      </c>
      <c r="U64" s="679">
        <v>25057.684943096509</v>
      </c>
      <c r="V64" s="760"/>
      <c r="W64" s="577">
        <v>46079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79"/>
      <c r="S65" s="634" t="s">
        <v>326</v>
      </c>
      <c r="T65" s="677">
        <v>45838</v>
      </c>
      <c r="U65" s="679">
        <v>12528.842471548254</v>
      </c>
      <c r="V65" s="76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80"/>
      <c r="S66" s="634" t="s">
        <v>328</v>
      </c>
      <c r="T66" s="677">
        <v>45838</v>
      </c>
      <c r="U66" s="679">
        <v>12528.842471548254</v>
      </c>
      <c r="V66" s="76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1"/>
      <c r="W69" s="578"/>
      <c r="X69" s="777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66">
        <f>SUM(G71:G78)</f>
        <v>0</v>
      </c>
      <c r="J71" s="766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2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7"/>
      <c r="J72" s="767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3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7"/>
      <c r="J73" s="767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3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7"/>
      <c r="J74" s="767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3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7"/>
      <c r="J75" s="767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3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7"/>
      <c r="J76" s="767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3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7"/>
      <c r="J77" s="767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3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8"/>
      <c r="J78" s="768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4"/>
      <c r="W78" s="574"/>
      <c r="X78" s="755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00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1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801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801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801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801"/>
      <c r="W85" s="577">
        <v>46079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78" t="s">
        <v>362</v>
      </c>
      <c r="S86" s="630" t="s">
        <v>363</v>
      </c>
      <c r="T86" s="687">
        <v>45961</v>
      </c>
      <c r="U86" s="508"/>
      <c r="V86" s="801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79"/>
      <c r="S87" s="634" t="s">
        <v>365</v>
      </c>
      <c r="T87" s="650">
        <v>46022</v>
      </c>
      <c r="U87" s="513"/>
      <c r="V87" s="801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80"/>
      <c r="S88" s="634" t="s">
        <v>367</v>
      </c>
      <c r="T88" s="650">
        <v>46081</v>
      </c>
      <c r="U88" s="513"/>
      <c r="V88" s="801"/>
      <c r="W88" s="710">
        <v>46073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801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801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1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2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91">
        <f>SUM(G94:G105)</f>
        <v>368077.5</v>
      </c>
      <c r="J94" s="766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6">
        <f>J94-SUM(U94:U105)</f>
        <v>0</v>
      </c>
      <c r="W94" s="579"/>
      <c r="X94" s="79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92"/>
      <c r="J95" s="767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803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57"/>
      <c r="W95" s="535">
        <v>45792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2"/>
      <c r="J96" s="767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4"/>
      <c r="S96" s="626" t="s">
        <v>317</v>
      </c>
      <c r="T96" s="654">
        <f t="shared" si="9"/>
        <v>45808</v>
      </c>
      <c r="U96" s="668">
        <v>64954.852941176476</v>
      </c>
      <c r="V96" s="757"/>
      <c r="W96" s="536">
        <v>45806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2"/>
      <c r="J97" s="767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804"/>
      <c r="S97" s="626" t="s">
        <v>319</v>
      </c>
      <c r="T97" s="676">
        <v>45838</v>
      </c>
      <c r="U97" s="668">
        <v>86606.470588235301</v>
      </c>
      <c r="V97" s="757"/>
      <c r="W97" s="536">
        <v>45890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2"/>
      <c r="J98" s="767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804"/>
      <c r="S98" s="626" t="s">
        <v>321</v>
      </c>
      <c r="T98" s="676">
        <v>45838</v>
      </c>
      <c r="U98" s="668">
        <v>108258.08823529413</v>
      </c>
      <c r="V98" s="757"/>
      <c r="W98" s="536">
        <v>45834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2"/>
      <c r="J99" s="767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804"/>
      <c r="S99" s="626" t="s">
        <v>322</v>
      </c>
      <c r="T99" s="676">
        <v>45838</v>
      </c>
      <c r="U99" s="668">
        <v>43303.23529411765</v>
      </c>
      <c r="V99" s="757"/>
      <c r="W99" s="536">
        <v>46073</v>
      </c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2"/>
      <c r="J100" s="767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804"/>
      <c r="S100" s="626" t="s">
        <v>324</v>
      </c>
      <c r="T100" s="676">
        <v>45838</v>
      </c>
      <c r="U100" s="668">
        <v>43303.23529411765</v>
      </c>
      <c r="V100" s="757"/>
      <c r="W100" s="573">
        <v>46079</v>
      </c>
      <c r="X100" s="79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2"/>
      <c r="J101" s="767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804"/>
      <c r="S101" s="626" t="s">
        <v>326</v>
      </c>
      <c r="T101" s="676">
        <v>45838</v>
      </c>
      <c r="U101" s="668">
        <v>21651.617647058825</v>
      </c>
      <c r="V101" s="757"/>
      <c r="W101" s="573">
        <v>46081</v>
      </c>
      <c r="X101" s="79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2"/>
      <c r="J102" s="767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805"/>
      <c r="S102" s="626" t="s">
        <v>328</v>
      </c>
      <c r="T102" s="676">
        <v>45838</v>
      </c>
      <c r="U102" s="668">
        <v>21651.617647058825</v>
      </c>
      <c r="V102" s="757"/>
      <c r="W102" s="573">
        <v>46111</v>
      </c>
      <c r="X102" s="79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2"/>
      <c r="J103" s="767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7"/>
      <c r="W103" s="573"/>
      <c r="X103" s="79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2"/>
      <c r="J104" s="767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7"/>
      <c r="W104" s="573"/>
      <c r="X104" s="79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3"/>
      <c r="J105" s="768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8"/>
      <c r="W105" s="574"/>
      <c r="X105" s="796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85">
        <f>SUM(G107:G126)</f>
        <v>99195.133333333331</v>
      </c>
      <c r="J107" s="785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7">
        <f>J107-SUM(U107:U126)</f>
        <v>-4.5931361673865467E-3</v>
      </c>
      <c r="W107" s="583"/>
      <c r="X107" s="78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86"/>
      <c r="J108" s="786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98"/>
      <c r="W108" s="541">
        <v>45806</v>
      </c>
      <c r="X108" s="78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6"/>
      <c r="J109" s="786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98"/>
      <c r="W109" s="541">
        <v>45820</v>
      </c>
      <c r="X109" s="78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6"/>
      <c r="J110" s="786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98"/>
      <c r="W110" s="541">
        <v>45989</v>
      </c>
      <c r="X110" s="78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6"/>
      <c r="J111" s="786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98"/>
      <c r="W111" s="703">
        <v>46031</v>
      </c>
      <c r="X111" s="78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6"/>
      <c r="J112" s="786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98"/>
      <c r="W112" s="584"/>
      <c r="X112" s="78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6"/>
      <c r="J113" s="786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98"/>
      <c r="W113" s="584"/>
      <c r="X113" s="789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86"/>
      <c r="J114" s="786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8"/>
      <c r="W114" s="584"/>
      <c r="X114" s="789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86"/>
      <c r="J115" s="786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8"/>
      <c r="W115" s="584"/>
      <c r="X115" s="78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6"/>
      <c r="J116" s="786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806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98"/>
      <c r="W116" s="542">
        <f t="shared" ref="W116:W123" si="12">W95</f>
        <v>45792</v>
      </c>
      <c r="X116" s="78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6"/>
      <c r="J117" s="786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7"/>
      <c r="S117" s="639" t="s">
        <v>317</v>
      </c>
      <c r="T117" s="653">
        <f t="shared" si="9"/>
        <v>45808</v>
      </c>
      <c r="U117" s="675">
        <v>7784.584945259372</v>
      </c>
      <c r="V117" s="798"/>
      <c r="W117" s="542">
        <f t="shared" si="12"/>
        <v>45806</v>
      </c>
      <c r="X117" s="78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6"/>
      <c r="J118" s="786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807"/>
      <c r="S118" s="639" t="s">
        <v>319</v>
      </c>
      <c r="T118" s="651">
        <v>45838</v>
      </c>
      <c r="U118" s="675">
        <v>10379.446593679164</v>
      </c>
      <c r="V118" s="798"/>
      <c r="W118" s="542">
        <f t="shared" si="12"/>
        <v>45890</v>
      </c>
      <c r="X118" s="78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6"/>
      <c r="J119" s="786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807"/>
      <c r="S119" s="639" t="s">
        <v>321</v>
      </c>
      <c r="T119" s="651">
        <v>45838</v>
      </c>
      <c r="U119" s="675">
        <v>12974.308242098954</v>
      </c>
      <c r="V119" s="798"/>
      <c r="W119" s="542">
        <f t="shared" si="12"/>
        <v>45834</v>
      </c>
      <c r="X119" s="78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6"/>
      <c r="J120" s="786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807"/>
      <c r="S120" s="639" t="s">
        <v>322</v>
      </c>
      <c r="T120" s="651">
        <v>45838</v>
      </c>
      <c r="U120" s="675">
        <v>5189.723296839582</v>
      </c>
      <c r="V120" s="798"/>
      <c r="W120" s="542">
        <f t="shared" si="12"/>
        <v>46073</v>
      </c>
      <c r="X120" s="78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6"/>
      <c r="J121" s="786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807"/>
      <c r="S121" s="639" t="s">
        <v>324</v>
      </c>
      <c r="T121" s="651">
        <v>45838</v>
      </c>
      <c r="U121" s="675">
        <v>5189.723296839582</v>
      </c>
      <c r="V121" s="798"/>
      <c r="W121" s="585">
        <f t="shared" si="12"/>
        <v>46079</v>
      </c>
      <c r="X121" s="78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6"/>
      <c r="J122" s="786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807"/>
      <c r="S122" s="639" t="s">
        <v>326</v>
      </c>
      <c r="T122" s="651">
        <v>45838</v>
      </c>
      <c r="U122" s="675">
        <v>2594.861648419791</v>
      </c>
      <c r="V122" s="798"/>
      <c r="W122" s="585">
        <f t="shared" si="12"/>
        <v>46081</v>
      </c>
      <c r="X122" s="78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6"/>
      <c r="J123" s="786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808"/>
      <c r="S123" s="639" t="s">
        <v>328</v>
      </c>
      <c r="T123" s="651">
        <v>45838</v>
      </c>
      <c r="U123" s="675">
        <v>2594.861648419791</v>
      </c>
      <c r="V123" s="798"/>
      <c r="W123" s="585">
        <f t="shared" si="12"/>
        <v>46111</v>
      </c>
      <c r="X123" s="78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6"/>
      <c r="J124" s="786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8"/>
      <c r="W124" s="585"/>
      <c r="X124" s="78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6"/>
      <c r="J125" s="786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8"/>
      <c r="W125" s="585"/>
      <c r="X125" s="78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7"/>
      <c r="J126" s="787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9"/>
      <c r="W126" s="586"/>
      <c r="X126" s="790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66">
        <f>SUM(G128:G132)</f>
        <v>115012.25</v>
      </c>
      <c r="J128" s="766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56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67"/>
      <c r="J129" s="767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57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67"/>
      <c r="J130" s="767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57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7"/>
      <c r="J131" s="767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57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8"/>
      <c r="J132" s="768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8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85">
        <f>SUM(G134:G135)</f>
        <v>90423.600182981405</v>
      </c>
      <c r="J134" s="785">
        <v>0</v>
      </c>
      <c r="K134" s="809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8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87"/>
      <c r="J135" s="787"/>
      <c r="K135" s="810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90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66">
        <f>SUM(G137:G141)</f>
        <v>158920.9330075052</v>
      </c>
      <c r="J137" s="766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56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67"/>
      <c r="J138" s="767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7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67"/>
      <c r="J139" s="767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7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67"/>
      <c r="J140" s="767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7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67"/>
      <c r="J141" s="767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7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8"/>
      <c r="J142" s="768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8"/>
      <c r="W142" s="574"/>
      <c r="X142" s="755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85">
        <f>SUM(G144:G155)</f>
        <v>8050</v>
      </c>
      <c r="J144" s="785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97">
        <f>J144-SUM(U144:U155)</f>
        <v>1.773850361132645E-3</v>
      </c>
      <c r="W144" s="648">
        <v>45777</v>
      </c>
      <c r="X144" s="78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6"/>
      <c r="J145" s="786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98"/>
      <c r="W145" s="678">
        <v>45814</v>
      </c>
      <c r="X145" s="78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6"/>
      <c r="J146" s="786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98"/>
      <c r="W146" s="678">
        <v>45842</v>
      </c>
      <c r="X146" s="78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6"/>
      <c r="J147" s="786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98"/>
      <c r="W147" s="542">
        <v>45876</v>
      </c>
      <c r="X147" s="78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6"/>
      <c r="J148" s="786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98"/>
      <c r="W148" s="542">
        <v>45905</v>
      </c>
      <c r="X148" s="78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6"/>
      <c r="J149" s="786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98"/>
      <c r="W149" s="698">
        <v>45930</v>
      </c>
      <c r="X149" s="78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6"/>
      <c r="J150" s="786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98"/>
      <c r="W150" s="698">
        <v>45968</v>
      </c>
      <c r="X150" s="78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6"/>
      <c r="J151" s="786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98"/>
      <c r="W151" s="698">
        <v>45996</v>
      </c>
      <c r="X151" s="78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6"/>
      <c r="J152" s="786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98"/>
      <c r="W152" s="698">
        <v>46058</v>
      </c>
      <c r="X152" s="78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6"/>
      <c r="J153" s="786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8"/>
      <c r="W153" s="585">
        <v>46086</v>
      </c>
      <c r="X153" s="78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6"/>
      <c r="J154" s="786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8"/>
      <c r="W154" s="585">
        <v>46121</v>
      </c>
      <c r="X154" s="78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7"/>
      <c r="J155" s="787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9"/>
      <c r="W155" s="586"/>
      <c r="X155" s="790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66">
        <f>SUM(G157:G168)</f>
        <v>650000</v>
      </c>
      <c r="J157" s="766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56">
        <f>J157-SUM(U157:U168)</f>
        <v>15368.847260346869</v>
      </c>
      <c r="W157" s="539">
        <v>45849</v>
      </c>
      <c r="X157" s="753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7"/>
      <c r="J158" s="767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57"/>
      <c r="W158" s="572">
        <v>46079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7"/>
      <c r="J159" s="767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7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7"/>
      <c r="J160" s="767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7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7"/>
      <c r="J161" s="767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7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7"/>
      <c r="J162" s="767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57"/>
      <c r="W162" s="572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7"/>
      <c r="J163" s="767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57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7"/>
      <c r="J164" s="767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7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7"/>
      <c r="J165" s="767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7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7"/>
      <c r="J166" s="767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7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7"/>
      <c r="J167" s="767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7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8"/>
      <c r="J168" s="768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8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73046875" style="365" bestFit="1" customWidth="1"/>
    <col min="17" max="18" width="11.26562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73046875" bestFit="1" customWidth="1"/>
    <col min="17" max="18" width="11.59765625" bestFit="1" customWidth="1"/>
    <col min="19" max="19" width="13.26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9765625" style="87" bestFit="1" customWidth="1"/>
    <col min="11" max="11" width="2.265625" style="87" customWidth="1"/>
    <col min="12" max="12" width="14.265625" style="87" bestFit="1" customWidth="1"/>
    <col min="13" max="13" width="2.8632812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97656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505</v>
      </c>
      <c r="C32" s="102"/>
      <c r="D32" s="102"/>
    </row>
    <row r="33" spans="2:4" ht="13.15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2026-02-24T12:23:49Z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