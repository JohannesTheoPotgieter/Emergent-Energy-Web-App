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5" documentId="13_ncr:1_{D81B22CD-1ABD-4A37-8DB0-37744E5D41CF}" xr6:coauthVersionLast="47" xr6:coauthVersionMax="47" xr10:uidLastSave="{C0ED6269-3F42-4018-9409-BB23E6387F9C}"/>
  <bookViews>
    <workbookView xWindow="6705" yWindow="-16320" windowWidth="29040" windowHeight="15720" tabRatio="751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86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0" i="18" l="1"/>
  <c r="Q141" i="18"/>
  <c r="W100" i="18"/>
  <c r="W99" i="18"/>
  <c r="W98" i="18"/>
  <c r="W97" i="18"/>
  <c r="W96" i="18"/>
  <c r="W95" i="18"/>
  <c r="W84" i="18"/>
  <c r="W152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H16" i="3" l="1"/>
  <c r="J23" i="3"/>
  <c r="X6" i="18"/>
  <c r="J20" i="3"/>
  <c r="H11" i="3"/>
  <c r="J11" i="3" s="1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V130" i="18"/>
  <c r="G37" i="2"/>
  <c r="E35" i="2"/>
  <c r="V6" i="18"/>
  <c r="J9" i="3"/>
  <c r="C5" i="6" l="1"/>
  <c r="V3" i="5"/>
  <c r="D6" i="5"/>
  <c r="F25" i="3"/>
  <c r="U116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T96" i="18"/>
  <c r="W112" i="18"/>
  <c r="W64" i="18"/>
  <c r="T64" i="18" s="1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T95" i="18"/>
  <c r="W63" i="18"/>
  <c r="T63" i="18" s="1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W121" i="18"/>
  <c r="T121" i="18" s="1"/>
  <c r="J9" i="2"/>
  <c r="K2" i="2"/>
  <c r="K3" i="2" s="1"/>
  <c r="K4" i="2" s="1"/>
  <c r="K45" i="2"/>
  <c r="N45" i="2" s="1"/>
  <c r="N44" i="2" s="1"/>
  <c r="I46" i="2" l="1"/>
  <c r="W113" i="18"/>
  <c r="W39" i="18"/>
  <c r="W65" i="18"/>
  <c r="T65" i="18" s="1"/>
  <c r="T97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9" i="2" s="1"/>
  <c r="N46" i="2"/>
  <c r="AA1" i="6"/>
  <c r="I51" i="2" l="1"/>
  <c r="I50" i="2"/>
  <c r="AB1" i="6"/>
  <c r="G50" i="2"/>
  <c r="E48" i="2"/>
  <c r="J44" i="2"/>
  <c r="U19" i="2" s="1"/>
  <c r="V19" i="2"/>
  <c r="W40" i="18"/>
  <c r="W114" i="18"/>
  <c r="W66" i="18"/>
  <c r="T66" i="18" s="1"/>
  <c r="T98" i="18"/>
  <c r="W116" i="18"/>
  <c r="T100" i="18"/>
  <c r="W68" i="18"/>
  <c r="T68" i="18" s="1"/>
  <c r="W42" i="18"/>
  <c r="W67" i="18"/>
  <c r="T67" i="18" s="1"/>
  <c r="T99" i="18"/>
  <c r="W41" i="18"/>
  <c r="W115" i="18"/>
  <c r="T41" i="18" l="1"/>
  <c r="T115" i="18"/>
  <c r="H15" i="5"/>
  <c r="G48" i="2"/>
  <c r="AA11" i="6"/>
  <c r="T42" i="18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<sst xmlns="http://schemas.openxmlformats.org/spreadsheetml/2006/main" count="777" uniqueCount="443">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</sst>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1091905.9054672087</c:v>
                </c:pt>
                <c:pt idx="15">
                  <c:v>1364882.3818340108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720759.9</c:v>
                </c:pt>
                <c:pt idx="14">
                  <c:v>759332.96</c:v>
                </c:pt>
                <c:pt idx="15">
                  <c:v>908515.59</c:v>
                </c:pt>
                <c:pt idx="16">
                  <c:v>921513.37</c:v>
                </c:pt>
                <c:pt idx="17">
                  <c:v>921513.37</c:v>
                </c:pt>
                <c:pt idx="18">
                  <c:v>921513.37</c:v>
                </c:pt>
                <c:pt idx="19">
                  <c:v>932682.37</c:v>
                </c:pt>
                <c:pt idx="20">
                  <c:v>947800.15</c:v>
                </c:pt>
                <c:pt idx="21">
                  <c:v>948456.4</c:v>
                </c:pt>
                <c:pt idx="22">
                  <c:v>948456.4</c:v>
                </c:pt>
                <c:pt idx="23">
                  <c:v>948456.4</c:v>
                </c:pt>
                <c:pt idx="24">
                  <c:v>948456.4</c:v>
                </c:pt>
                <c:pt idx="25">
                  <c:v>948456.4</c:v>
                </c:pt>
                <c:pt idx="26">
                  <c:v>948456.4</c:v>
                </c:pt>
                <c:pt idx="27">
                  <c:v>948456.4</c:v>
                </c:pt>
                <c:pt idx="28">
                  <c:v>948456.4</c:v>
                </c:pt>
                <c:pt idx="29">
                  <c:v>948456.4</c:v>
                </c:pt>
                <c:pt idx="30">
                  <c:v>948456.4</c:v>
                </c:pt>
                <c:pt idx="31">
                  <c:v>948456.4</c:v>
                </c:pt>
                <c:pt idx="32">
                  <c:v>948456.4</c:v>
                </c:pt>
                <c:pt idx="33">
                  <c:v>948456.4</c:v>
                </c:pt>
                <c:pt idx="34">
                  <c:v>948456.4</c:v>
                </c:pt>
                <c:pt idx="35">
                  <c:v>948456.4</c:v>
                </c:pt>
                <c:pt idx="36">
                  <c:v>948456.4</c:v>
                </c:pt>
                <c:pt idx="37">
                  <c:v>948456.4</c:v>
                </c:pt>
                <c:pt idx="38">
                  <c:v>948456.4</c:v>
                </c:pt>
                <c:pt idx="39">
                  <c:v>948456.4</c:v>
                </c:pt>
                <c:pt idx="40">
                  <c:v>948456.4</c:v>
                </c:pt>
                <c:pt idx="41">
                  <c:v>948456.4</c:v>
                </c:pt>
                <c:pt idx="42">
                  <c:v>948456.4</c:v>
                </c:pt>
                <c:pt idx="43">
                  <c:v>948456.4</c:v>
                </c:pt>
                <c:pt idx="44">
                  <c:v>948456.4</c:v>
                </c:pt>
                <c:pt idx="45">
                  <c:v>948456.4</c:v>
                </c:pt>
                <c:pt idx="46">
                  <c:v>948456.4</c:v>
                </c:pt>
                <c:pt idx="47">
                  <c:v>948456.4</c:v>
                </c:pt>
                <c:pt idx="48">
                  <c:v>948456.4</c:v>
                </c:pt>
                <c:pt idx="49">
                  <c:v>948456.4</c:v>
                </c:pt>
                <c:pt idx="50">
                  <c:v>948456.4</c:v>
                </c:pt>
                <c:pt idx="51">
                  <c:v>948456.4</c:v>
                </c:pt>
                <c:pt idx="52">
                  <c:v>948456.4</c:v>
                </c:pt>
                <c:pt idx="53">
                  <c:v>948456.4</c:v>
                </c:pt>
                <c:pt idx="54">
                  <c:v>948456.4</c:v>
                </c:pt>
                <c:pt idx="55">
                  <c:v>948456.4</c:v>
                </c:pt>
                <c:pt idx="56">
                  <c:v>948456.4</c:v>
                </c:pt>
                <c:pt idx="57">
                  <c:v>948456.4</c:v>
                </c:pt>
                <c:pt idx="58">
                  <c:v>948456.4</c:v>
                </c:pt>
                <c:pt idx="59">
                  <c:v>948456.4</c:v>
                </c:pt>
                <c:pt idx="60">
                  <c:v>948456.4</c:v>
                </c:pt>
                <c:pt idx="61">
                  <c:v>948456.4</c:v>
                </c:pt>
                <c:pt idx="62">
                  <c:v>948456.4</c:v>
                </c:pt>
                <c:pt idx="63">
                  <c:v>948456.4</c:v>
                </c:pt>
                <c:pt idx="64">
                  <c:v>948456.4</c:v>
                </c:pt>
                <c:pt idx="65">
                  <c:v>948456.4</c:v>
                </c:pt>
                <c:pt idx="66">
                  <c:v>948456.4</c:v>
                </c:pt>
                <c:pt idx="67">
                  <c:v>948456.4</c:v>
                </c:pt>
                <c:pt idx="68">
                  <c:v>948456.4</c:v>
                </c:pt>
                <c:pt idx="69">
                  <c:v>948456.4</c:v>
                </c:pt>
                <c:pt idx="70">
                  <c:v>948456.4</c:v>
                </c:pt>
                <c:pt idx="71">
                  <c:v>948456.4</c:v>
                </c:pt>
                <c:pt idx="72">
                  <c:v>948456.4</c:v>
                </c:pt>
                <c:pt idx="73">
                  <c:v>948456.4</c:v>
                </c:pt>
                <c:pt idx="74">
                  <c:v>948456.4</c:v>
                </c:pt>
                <c:pt idx="75">
                  <c:v>948456.4</c:v>
                </c:pt>
                <c:pt idx="76">
                  <c:v>948456.4</c:v>
                </c:pt>
                <c:pt idx="77">
                  <c:v>948456.4</c:v>
                </c:pt>
                <c:pt idx="78">
                  <c:v>948456.4</c:v>
                </c:pt>
                <c:pt idx="79">
                  <c:v>948456.4</c:v>
                </c:pt>
                <c:pt idx="80">
                  <c:v>948456.4</c:v>
                </c:pt>
                <c:pt idx="81">
                  <c:v>948456.4</c:v>
                </c:pt>
                <c:pt idx="82">
                  <c:v>948456.4</c:v>
                </c:pt>
                <c:pt idx="83">
                  <c:v>948456.4</c:v>
                </c:pt>
                <c:pt idx="84">
                  <c:v>948456.4</c:v>
                </c:pt>
                <c:pt idx="85">
                  <c:v>948456.4</c:v>
                </c:pt>
                <c:pt idx="86">
                  <c:v>948456.4</c:v>
                </c:pt>
                <c:pt idx="87">
                  <c:v>948456.4</c:v>
                </c:pt>
                <c:pt idx="88">
                  <c:v>948456.4</c:v>
                </c:pt>
                <c:pt idx="89">
                  <c:v>948456.4</c:v>
                </c:pt>
                <c:pt idx="90">
                  <c:v>948456.4</c:v>
                </c:pt>
                <c:pt idx="91">
                  <c:v>948456.4</c:v>
                </c:pt>
                <c:pt idx="92">
                  <c:v>948456.4</c:v>
                </c:pt>
                <c:pt idx="93">
                  <c:v>948456.4</c:v>
                </c:pt>
                <c:pt idx="94">
                  <c:v>948456.4</c:v>
                </c:pt>
                <c:pt idx="95">
                  <c:v>948456.4</c:v>
                </c:pt>
                <c:pt idx="96">
                  <c:v>948456.4</c:v>
                </c:pt>
                <c:pt idx="97">
                  <c:v>948456.4</c:v>
                </c:pt>
                <c:pt idx="98">
                  <c:v>948456.4</c:v>
                </c:pt>
                <c:pt idx="99">
                  <c:v>948456.4</c:v>
                </c:pt>
                <c:pt idx="100">
                  <c:v>948456.4</c:v>
                </c:pt>
                <c:pt idx="101">
                  <c:v>948456.4</c:v>
                </c:pt>
                <c:pt idx="102">
                  <c:v>948456.4</c:v>
                </c:pt>
                <c:pt idx="103">
                  <c:v>948456.4</c:v>
                </c:pt>
                <c:pt idx="104">
                  <c:v>948456.4</c:v>
                </c:pt>
                <c:pt idx="105">
                  <c:v>948456.4</c:v>
                </c:pt>
                <c:pt idx="106">
                  <c:v>948456.4</c:v>
                </c:pt>
                <c:pt idx="107">
                  <c:v>948456.4</c:v>
                </c:pt>
                <c:pt idx="108">
                  <c:v>948456.4</c:v>
                </c:pt>
                <c:pt idx="109">
                  <c:v>948456.4</c:v>
                </c:pt>
                <c:pt idx="110">
                  <c:v>948456.4</c:v>
                </c:pt>
                <c:pt idx="111">
                  <c:v>948456.4</c:v>
                </c:pt>
                <c:pt idx="112">
                  <c:v>948456.4</c:v>
                </c:pt>
                <c:pt idx="113">
                  <c:v>948456.4</c:v>
                </c:pt>
                <c:pt idx="114">
                  <c:v>948456.4</c:v>
                </c:pt>
                <c:pt idx="115">
                  <c:v>948456.4</c:v>
                </c:pt>
                <c:pt idx="116">
                  <c:v>948456.4</c:v>
                </c:pt>
                <c:pt idx="117">
                  <c:v>948456.4</c:v>
                </c:pt>
                <c:pt idx="118">
                  <c:v>948456.4</c:v>
                </c:pt>
                <c:pt idx="119">
                  <c:v>948456.4</c:v>
                </c:pt>
                <c:pt idx="120">
                  <c:v>948456.4</c:v>
                </c:pt>
                <c:pt idx="121">
                  <c:v>948456.4</c:v>
                </c:pt>
                <c:pt idx="122">
                  <c:v>948456.4</c:v>
                </c:pt>
                <c:pt idx="123">
                  <c:v>948456.4</c:v>
                </c:pt>
                <c:pt idx="124">
                  <c:v>948456.4</c:v>
                </c:pt>
                <c:pt idx="125">
                  <c:v>948456.4</c:v>
                </c:pt>
                <c:pt idx="126">
                  <c:v>948456.4</c:v>
                </c:pt>
                <c:pt idx="127">
                  <c:v>948456.4</c:v>
                </c:pt>
                <c:pt idx="128">
                  <c:v>948456.4</c:v>
                </c:pt>
                <c:pt idx="129">
                  <c:v>948456.4</c:v>
                </c:pt>
                <c:pt idx="130">
                  <c:v>948456.4</c:v>
                </c:pt>
                <c:pt idx="131">
                  <c:v>948456.4</c:v>
                </c:pt>
                <c:pt idx="132">
                  <c:v>948456.4</c:v>
                </c:pt>
                <c:pt idx="133">
                  <c:v>948456.4</c:v>
                </c:pt>
                <c:pt idx="134">
                  <c:v>948456.4</c:v>
                </c:pt>
                <c:pt idx="135">
                  <c:v>948456.4</c:v>
                </c:pt>
                <c:pt idx="136">
                  <c:v>948456.4</c:v>
                </c:pt>
                <c:pt idx="137">
                  <c:v>948456.4</c:v>
                </c:pt>
                <c:pt idx="138">
                  <c:v>948456.4</c:v>
                </c:pt>
                <c:pt idx="139">
                  <c:v>948456.4</c:v>
                </c:pt>
                <c:pt idx="140">
                  <c:v>948456.4</c:v>
                </c:pt>
                <c:pt idx="141">
                  <c:v>948456.4</c:v>
                </c:pt>
                <c:pt idx="142">
                  <c:v>948456.4</c:v>
                </c:pt>
                <c:pt idx="143">
                  <c:v>948456.4</c:v>
                </c:pt>
                <c:pt idx="144">
                  <c:v>948456.4</c:v>
                </c:pt>
                <c:pt idx="145">
                  <c:v>948456.4</c:v>
                </c:pt>
                <c:pt idx="146">
                  <c:v>948456.4</c:v>
                </c:pt>
                <c:pt idx="147">
                  <c:v>948456.4</c:v>
                </c:pt>
                <c:pt idx="148">
                  <c:v>948456.4</c:v>
                </c:pt>
                <c:pt idx="149">
                  <c:v>948456.4</c:v>
                </c:pt>
                <c:pt idx="150">
                  <c:v>948456.4</c:v>
                </c:pt>
                <c:pt idx="151">
                  <c:v>948456.4</c:v>
                </c:pt>
                <c:pt idx="152">
                  <c:v>948456.4</c:v>
                </c:pt>
                <c:pt idx="153">
                  <c:v>948456.4</c:v>
                </c:pt>
                <c:pt idx="154">
                  <c:v>948456.4</c:v>
                </c:pt>
                <c:pt idx="155">
                  <c:v>948456.4</c:v>
                </c:pt>
                <c:pt idx="156">
                  <c:v>948456.4</c:v>
                </c:pt>
                <c:pt idx="157">
                  <c:v>948456.4</c:v>
                </c:pt>
                <c:pt idx="158">
                  <c:v>948456.4</c:v>
                </c:pt>
                <c:pt idx="159">
                  <c:v>948456.4</c:v>
                </c:pt>
                <c:pt idx="160">
                  <c:v>948456.4</c:v>
                </c:pt>
                <c:pt idx="161">
                  <c:v>948456.4</c:v>
                </c:pt>
                <c:pt idx="162">
                  <c:v>948456.4</c:v>
                </c:pt>
                <c:pt idx="163">
                  <c:v>948456.4</c:v>
                </c:pt>
                <c:pt idx="164">
                  <c:v>948456.4</c:v>
                </c:pt>
                <c:pt idx="165">
                  <c:v>948456.4</c:v>
                </c:pt>
                <c:pt idx="166">
                  <c:v>948456.4</c:v>
                </c:pt>
                <c:pt idx="167">
                  <c:v>948456.4</c:v>
                </c:pt>
                <c:pt idx="168">
                  <c:v>948456.4</c:v>
                </c:pt>
                <c:pt idx="169">
                  <c:v>948456.4</c:v>
                </c:pt>
                <c:pt idx="170">
                  <c:v>948456.4</c:v>
                </c:pt>
                <c:pt idx="171">
                  <c:v>948456.4</c:v>
                </c:pt>
                <c:pt idx="172">
                  <c:v>948456.4</c:v>
                </c:pt>
                <c:pt idx="173">
                  <c:v>948456.4</c:v>
                </c:pt>
                <c:pt idx="174">
                  <c:v>948456.4</c:v>
                </c:pt>
                <c:pt idx="175">
                  <c:v>948456.4</c:v>
                </c:pt>
                <c:pt idx="176">
                  <c:v>948456.4</c:v>
                </c:pt>
                <c:pt idx="177">
                  <c:v>948456.4</c:v>
                </c:pt>
                <c:pt idx="178">
                  <c:v>948456.4</c:v>
                </c:pt>
                <c:pt idx="179">
                  <c:v>948456.4</c:v>
                </c:pt>
                <c:pt idx="180">
                  <c:v>948456.4</c:v>
                </c:pt>
                <c:pt idx="181">
                  <c:v>948456.4</c:v>
                </c:pt>
                <c:pt idx="182">
                  <c:v>948456.4</c:v>
                </c:pt>
                <c:pt idx="183">
                  <c:v>948456.4</c:v>
                </c:pt>
                <c:pt idx="184">
                  <c:v>948456.4</c:v>
                </c:pt>
                <c:pt idx="185">
                  <c:v>948456.4</c:v>
                </c:pt>
                <c:pt idx="186">
                  <c:v>948456.4</c:v>
                </c:pt>
                <c:pt idx="187">
                  <c:v>948456.4</c:v>
                </c:pt>
                <c:pt idx="188">
                  <c:v>948456.4</c:v>
                </c:pt>
                <c:pt idx="189">
                  <c:v>948456.4</c:v>
                </c:pt>
                <c:pt idx="190">
                  <c:v>948456.4</c:v>
                </c:pt>
                <c:pt idx="191">
                  <c:v>948456.4</c:v>
                </c:pt>
                <c:pt idx="192">
                  <c:v>948456.4</c:v>
                </c:pt>
                <c:pt idx="193">
                  <c:v>948456.4</c:v>
                </c:pt>
                <c:pt idx="194">
                  <c:v>948456.4</c:v>
                </c:pt>
                <c:pt idx="195">
                  <c:v>948456.4</c:v>
                </c:pt>
                <c:pt idx="196">
                  <c:v>948456.4</c:v>
                </c:pt>
                <c:pt idx="197">
                  <c:v>948456.4</c:v>
                </c:pt>
                <c:pt idx="198">
                  <c:v>948456.4</c:v>
                </c:pt>
                <c:pt idx="199">
                  <c:v>948456.4</c:v>
                </c:pt>
                <c:pt idx="200">
                  <c:v>948456.4</c:v>
                </c:pt>
                <c:pt idx="201">
                  <c:v>948456.4</c:v>
                </c:pt>
                <c:pt idx="202">
                  <c:v>948456.4</c:v>
                </c:pt>
                <c:pt idx="203">
                  <c:v>948456.4</c:v>
                </c:pt>
                <c:pt idx="204">
                  <c:v>948456.4</c:v>
                </c:pt>
                <c:pt idx="205">
                  <c:v>948456.4</c:v>
                </c:pt>
                <c:pt idx="206">
                  <c:v>948456.4</c:v>
                </c:pt>
                <c:pt idx="207">
                  <c:v>948456.4</c:v>
                </c:pt>
                <c:pt idx="208">
                  <c:v>948456.4</c:v>
                </c:pt>
                <c:pt idx="209">
                  <c:v>948456.4</c:v>
                </c:pt>
                <c:pt idx="210">
                  <c:v>948456.4</c:v>
                </c:pt>
                <c:pt idx="211">
                  <c:v>948456.4</c:v>
                </c:pt>
                <c:pt idx="212">
                  <c:v>948456.4</c:v>
                </c:pt>
                <c:pt idx="213">
                  <c:v>948456.4</c:v>
                </c:pt>
                <c:pt idx="214">
                  <c:v>948456.4</c:v>
                </c:pt>
                <c:pt idx="215">
                  <c:v>948456.4</c:v>
                </c:pt>
                <c:pt idx="216">
                  <c:v>948456.4</c:v>
                </c:pt>
                <c:pt idx="217">
                  <c:v>948456.4</c:v>
                </c:pt>
                <c:pt idx="218">
                  <c:v>948456.4</c:v>
                </c:pt>
                <c:pt idx="219">
                  <c:v>948456.4</c:v>
                </c:pt>
                <c:pt idx="220">
                  <c:v>948456.4</c:v>
                </c:pt>
                <c:pt idx="221">
                  <c:v>948456.4</c:v>
                </c:pt>
                <c:pt idx="222">
                  <c:v>948456.4</c:v>
                </c:pt>
                <c:pt idx="223">
                  <c:v>948456.4</c:v>
                </c:pt>
                <c:pt idx="224">
                  <c:v>948456.4</c:v>
                </c:pt>
                <c:pt idx="225">
                  <c:v>948456.4</c:v>
                </c:pt>
                <c:pt idx="226">
                  <c:v>948456.4</c:v>
                </c:pt>
                <c:pt idx="227">
                  <c:v>948456.4</c:v>
                </c:pt>
                <c:pt idx="228">
                  <c:v>948456.4</c:v>
                </c:pt>
                <c:pt idx="229">
                  <c:v>948456.4</c:v>
                </c:pt>
                <c:pt idx="230">
                  <c:v>948456.4</c:v>
                </c:pt>
                <c:pt idx="231">
                  <c:v>948456.4</c:v>
                </c:pt>
                <c:pt idx="232">
                  <c:v>948456.4</c:v>
                </c:pt>
                <c:pt idx="233">
                  <c:v>948456.4</c:v>
                </c:pt>
                <c:pt idx="234">
                  <c:v>948456.4</c:v>
                </c:pt>
                <c:pt idx="235">
                  <c:v>948456.4</c:v>
                </c:pt>
                <c:pt idx="236">
                  <c:v>948456.4</c:v>
                </c:pt>
                <c:pt idx="237">
                  <c:v>948456.4</c:v>
                </c:pt>
                <c:pt idx="238">
                  <c:v>948456.4</c:v>
                </c:pt>
                <c:pt idx="239">
                  <c:v>948456.4</c:v>
                </c:pt>
                <c:pt idx="240">
                  <c:v>948456.4</c:v>
                </c:pt>
                <c:pt idx="241">
                  <c:v>948456.4</c:v>
                </c:pt>
                <c:pt idx="242">
                  <c:v>948456.4</c:v>
                </c:pt>
                <c:pt idx="243">
                  <c:v>948456.4</c:v>
                </c:pt>
                <c:pt idx="244">
                  <c:v>948456.4</c:v>
                </c:pt>
                <c:pt idx="245">
                  <c:v>948456.4</c:v>
                </c:pt>
                <c:pt idx="246">
                  <c:v>948456.4</c:v>
                </c:pt>
                <c:pt idx="247">
                  <c:v>948456.4</c:v>
                </c:pt>
                <c:pt idx="248">
                  <c:v>948456.4</c:v>
                </c:pt>
                <c:pt idx="249">
                  <c:v>948456.4</c:v>
                </c:pt>
                <c:pt idx="250">
                  <c:v>948456.4</c:v>
                </c:pt>
                <c:pt idx="251">
                  <c:v>948456.4</c:v>
                </c:pt>
                <c:pt idx="252">
                  <c:v>948456.4</c:v>
                </c:pt>
                <c:pt idx="253">
                  <c:v>948456.4</c:v>
                </c:pt>
                <c:pt idx="254">
                  <c:v>948456.4</c:v>
                </c:pt>
                <c:pt idx="255">
                  <c:v>948456.4</c:v>
                </c:pt>
                <c:pt idx="256">
                  <c:v>948456.4</c:v>
                </c:pt>
                <c:pt idx="257">
                  <c:v>948456.4</c:v>
                </c:pt>
                <c:pt idx="258">
                  <c:v>948456.4</c:v>
                </c:pt>
                <c:pt idx="259">
                  <c:v>948456.4</c:v>
                </c:pt>
                <c:pt idx="260">
                  <c:v>948456.4</c:v>
                </c:pt>
                <c:pt idx="261">
                  <c:v>948456.4</c:v>
                </c:pt>
                <c:pt idx="262">
                  <c:v>948456.4</c:v>
                </c:pt>
                <c:pt idx="263">
                  <c:v>948456.4</c:v>
                </c:pt>
                <c:pt idx="264">
                  <c:v>948456.4</c:v>
                </c:pt>
                <c:pt idx="265">
                  <c:v>948456.4</c:v>
                </c:pt>
                <c:pt idx="266">
                  <c:v>948456.4</c:v>
                </c:pt>
                <c:pt idx="267">
                  <c:v>948456.4</c:v>
                </c:pt>
                <c:pt idx="268">
                  <c:v>948456.4</c:v>
                </c:pt>
                <c:pt idx="269">
                  <c:v>948456.4</c:v>
                </c:pt>
                <c:pt idx="270">
                  <c:v>948456.4</c:v>
                </c:pt>
                <c:pt idx="271">
                  <c:v>948456.4</c:v>
                </c:pt>
                <c:pt idx="272">
                  <c:v>948456.4</c:v>
                </c:pt>
                <c:pt idx="273">
                  <c:v>948456.4</c:v>
                </c:pt>
                <c:pt idx="274">
                  <c:v>948456.4</c:v>
                </c:pt>
                <c:pt idx="275">
                  <c:v>948456.4</c:v>
                </c:pt>
                <c:pt idx="276">
                  <c:v>948456.4</c:v>
                </c:pt>
                <c:pt idx="277">
                  <c:v>948456.4</c:v>
                </c:pt>
                <c:pt idx="278">
                  <c:v>948456.4</c:v>
                </c:pt>
                <c:pt idx="279">
                  <c:v>948456.4</c:v>
                </c:pt>
                <c:pt idx="280">
                  <c:v>948456.4</c:v>
                </c:pt>
                <c:pt idx="281">
                  <c:v>948456.4</c:v>
                </c:pt>
                <c:pt idx="282">
                  <c:v>948456.4</c:v>
                </c:pt>
                <c:pt idx="283">
                  <c:v>948456.4</c:v>
                </c:pt>
                <c:pt idx="284">
                  <c:v>948456.4</c:v>
                </c:pt>
                <c:pt idx="285">
                  <c:v>948456.4</c:v>
                </c:pt>
                <c:pt idx="286">
                  <c:v>948456.4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-174806.94726639567</c:v>
                </c:pt>
                <c:pt idx="14">
                  <c:v>332572.94546720874</c:v>
                </c:pt>
                <c:pt idx="15">
                  <c:v>456366.79183401086</c:v>
                </c:pt>
                <c:pt idx="16">
                  <c:v>443369.01183401083</c:v>
                </c:pt>
                <c:pt idx="17">
                  <c:v>443369.01183401083</c:v>
                </c:pt>
                <c:pt idx="18">
                  <c:v>443369.01183401083</c:v>
                </c:pt>
                <c:pt idx="19">
                  <c:v>432200.01183401083</c:v>
                </c:pt>
                <c:pt idx="20">
                  <c:v>417082.2318340108</c:v>
                </c:pt>
                <c:pt idx="21">
                  <c:v>416425.9818340108</c:v>
                </c:pt>
                <c:pt idx="22">
                  <c:v>416425.9818340108</c:v>
                </c:pt>
                <c:pt idx="23">
                  <c:v>416425.9818340108</c:v>
                </c:pt>
                <c:pt idx="24">
                  <c:v>416425.9818340108</c:v>
                </c:pt>
                <c:pt idx="25">
                  <c:v>416425.9818340108</c:v>
                </c:pt>
                <c:pt idx="26">
                  <c:v>416425.9818340108</c:v>
                </c:pt>
                <c:pt idx="27">
                  <c:v>416425.9818340108</c:v>
                </c:pt>
                <c:pt idx="28">
                  <c:v>416425.9818340108</c:v>
                </c:pt>
                <c:pt idx="29">
                  <c:v>416425.9818340108</c:v>
                </c:pt>
                <c:pt idx="30">
                  <c:v>416425.9818340108</c:v>
                </c:pt>
                <c:pt idx="31">
                  <c:v>416425.9818340108</c:v>
                </c:pt>
                <c:pt idx="32">
                  <c:v>416425.9818340108</c:v>
                </c:pt>
                <c:pt idx="33">
                  <c:v>416425.9818340108</c:v>
                </c:pt>
                <c:pt idx="34">
                  <c:v>416425.9818340108</c:v>
                </c:pt>
                <c:pt idx="35">
                  <c:v>416425.9818340108</c:v>
                </c:pt>
                <c:pt idx="36">
                  <c:v>416425.9818340108</c:v>
                </c:pt>
                <c:pt idx="37">
                  <c:v>416425.9818340108</c:v>
                </c:pt>
                <c:pt idx="38">
                  <c:v>416425.9818340108</c:v>
                </c:pt>
                <c:pt idx="39">
                  <c:v>416425.9818340108</c:v>
                </c:pt>
                <c:pt idx="40">
                  <c:v>416425.9818340108</c:v>
                </c:pt>
                <c:pt idx="41">
                  <c:v>416425.9818340108</c:v>
                </c:pt>
                <c:pt idx="42">
                  <c:v>416425.9818340108</c:v>
                </c:pt>
                <c:pt idx="43">
                  <c:v>416425.9818340108</c:v>
                </c:pt>
                <c:pt idx="44">
                  <c:v>416425.9818340108</c:v>
                </c:pt>
                <c:pt idx="45">
                  <c:v>416425.9818340108</c:v>
                </c:pt>
                <c:pt idx="46">
                  <c:v>416425.9818340108</c:v>
                </c:pt>
                <c:pt idx="47">
                  <c:v>416425.9818340108</c:v>
                </c:pt>
                <c:pt idx="48">
                  <c:v>416425.9818340108</c:v>
                </c:pt>
                <c:pt idx="49">
                  <c:v>416425.9818340108</c:v>
                </c:pt>
                <c:pt idx="50">
                  <c:v>416425.9818340108</c:v>
                </c:pt>
                <c:pt idx="51">
                  <c:v>416425.9818340108</c:v>
                </c:pt>
                <c:pt idx="52">
                  <c:v>416425.9818340108</c:v>
                </c:pt>
                <c:pt idx="53">
                  <c:v>416425.9818340108</c:v>
                </c:pt>
                <c:pt idx="54">
                  <c:v>416425.9818340108</c:v>
                </c:pt>
                <c:pt idx="55">
                  <c:v>416425.9818340108</c:v>
                </c:pt>
                <c:pt idx="56">
                  <c:v>416425.9818340108</c:v>
                </c:pt>
                <c:pt idx="57">
                  <c:v>416425.9818340108</c:v>
                </c:pt>
                <c:pt idx="58">
                  <c:v>416425.9818340108</c:v>
                </c:pt>
                <c:pt idx="59">
                  <c:v>416425.9818340108</c:v>
                </c:pt>
                <c:pt idx="60">
                  <c:v>416425.9818340108</c:v>
                </c:pt>
                <c:pt idx="61">
                  <c:v>416425.9818340108</c:v>
                </c:pt>
                <c:pt idx="62">
                  <c:v>416425.9818340108</c:v>
                </c:pt>
                <c:pt idx="63">
                  <c:v>416425.9818340108</c:v>
                </c:pt>
                <c:pt idx="64">
                  <c:v>416425.9818340108</c:v>
                </c:pt>
                <c:pt idx="65">
                  <c:v>416425.9818340108</c:v>
                </c:pt>
                <c:pt idx="66">
                  <c:v>416425.9818340108</c:v>
                </c:pt>
                <c:pt idx="67">
                  <c:v>416425.9818340108</c:v>
                </c:pt>
                <c:pt idx="68">
                  <c:v>416425.9818340108</c:v>
                </c:pt>
                <c:pt idx="69">
                  <c:v>416425.9818340108</c:v>
                </c:pt>
                <c:pt idx="70">
                  <c:v>416425.9818340108</c:v>
                </c:pt>
                <c:pt idx="71">
                  <c:v>416425.9818340108</c:v>
                </c:pt>
                <c:pt idx="72">
                  <c:v>416425.9818340108</c:v>
                </c:pt>
                <c:pt idx="73">
                  <c:v>416425.9818340108</c:v>
                </c:pt>
                <c:pt idx="74">
                  <c:v>416425.9818340108</c:v>
                </c:pt>
                <c:pt idx="75">
                  <c:v>416425.9818340108</c:v>
                </c:pt>
                <c:pt idx="76">
                  <c:v>416425.9818340108</c:v>
                </c:pt>
                <c:pt idx="77">
                  <c:v>416425.9818340108</c:v>
                </c:pt>
                <c:pt idx="78">
                  <c:v>416425.9818340108</c:v>
                </c:pt>
                <c:pt idx="79">
                  <c:v>416425.9818340108</c:v>
                </c:pt>
                <c:pt idx="80">
                  <c:v>416425.9818340108</c:v>
                </c:pt>
                <c:pt idx="81">
                  <c:v>416425.9818340108</c:v>
                </c:pt>
                <c:pt idx="82">
                  <c:v>416425.9818340108</c:v>
                </c:pt>
                <c:pt idx="83">
                  <c:v>416425.9818340108</c:v>
                </c:pt>
                <c:pt idx="84">
                  <c:v>416425.9818340108</c:v>
                </c:pt>
                <c:pt idx="85">
                  <c:v>416425.9818340108</c:v>
                </c:pt>
                <c:pt idx="86">
                  <c:v>416425.9818340108</c:v>
                </c:pt>
                <c:pt idx="87">
                  <c:v>416425.9818340108</c:v>
                </c:pt>
                <c:pt idx="88">
                  <c:v>416425.9818340108</c:v>
                </c:pt>
                <c:pt idx="89">
                  <c:v>416425.9818340108</c:v>
                </c:pt>
                <c:pt idx="90">
                  <c:v>416425.9818340108</c:v>
                </c:pt>
                <c:pt idx="91">
                  <c:v>416425.9818340108</c:v>
                </c:pt>
                <c:pt idx="92">
                  <c:v>416425.9818340108</c:v>
                </c:pt>
                <c:pt idx="93">
                  <c:v>416425.9818340108</c:v>
                </c:pt>
                <c:pt idx="94">
                  <c:v>416425.9818340108</c:v>
                </c:pt>
                <c:pt idx="95">
                  <c:v>416425.9818340108</c:v>
                </c:pt>
                <c:pt idx="96">
                  <c:v>416425.9818340108</c:v>
                </c:pt>
                <c:pt idx="97">
                  <c:v>416425.9818340108</c:v>
                </c:pt>
                <c:pt idx="98">
                  <c:v>416425.9818340108</c:v>
                </c:pt>
                <c:pt idx="99">
                  <c:v>416425.9818340108</c:v>
                </c:pt>
                <c:pt idx="100">
                  <c:v>416425.9818340108</c:v>
                </c:pt>
                <c:pt idx="101">
                  <c:v>416425.9818340108</c:v>
                </c:pt>
                <c:pt idx="102">
                  <c:v>416425.9818340108</c:v>
                </c:pt>
                <c:pt idx="103">
                  <c:v>416425.9818340108</c:v>
                </c:pt>
                <c:pt idx="104">
                  <c:v>416425.9818340108</c:v>
                </c:pt>
                <c:pt idx="105">
                  <c:v>416425.9818340108</c:v>
                </c:pt>
                <c:pt idx="106">
                  <c:v>416425.9818340108</c:v>
                </c:pt>
                <c:pt idx="107">
                  <c:v>416425.9818340108</c:v>
                </c:pt>
                <c:pt idx="108">
                  <c:v>416425.9818340108</c:v>
                </c:pt>
                <c:pt idx="109">
                  <c:v>416425.9818340108</c:v>
                </c:pt>
                <c:pt idx="110">
                  <c:v>416425.9818340108</c:v>
                </c:pt>
                <c:pt idx="111">
                  <c:v>416425.9818340108</c:v>
                </c:pt>
                <c:pt idx="112">
                  <c:v>416425.9818340108</c:v>
                </c:pt>
                <c:pt idx="113">
                  <c:v>416425.9818340108</c:v>
                </c:pt>
                <c:pt idx="114">
                  <c:v>416425.9818340108</c:v>
                </c:pt>
                <c:pt idx="115">
                  <c:v>416425.9818340108</c:v>
                </c:pt>
                <c:pt idx="116">
                  <c:v>416425.9818340108</c:v>
                </c:pt>
                <c:pt idx="117">
                  <c:v>416425.9818340108</c:v>
                </c:pt>
                <c:pt idx="118">
                  <c:v>416425.9818340108</c:v>
                </c:pt>
                <c:pt idx="119">
                  <c:v>416425.9818340108</c:v>
                </c:pt>
                <c:pt idx="120">
                  <c:v>416425.9818340108</c:v>
                </c:pt>
                <c:pt idx="121">
                  <c:v>416425.9818340108</c:v>
                </c:pt>
                <c:pt idx="122">
                  <c:v>416425.9818340108</c:v>
                </c:pt>
                <c:pt idx="123">
                  <c:v>416425.9818340108</c:v>
                </c:pt>
                <c:pt idx="124">
                  <c:v>416425.9818340108</c:v>
                </c:pt>
                <c:pt idx="125">
                  <c:v>416425.9818340108</c:v>
                </c:pt>
                <c:pt idx="126">
                  <c:v>416425.9818340108</c:v>
                </c:pt>
                <c:pt idx="127">
                  <c:v>416425.9818340108</c:v>
                </c:pt>
                <c:pt idx="128">
                  <c:v>416425.9818340108</c:v>
                </c:pt>
                <c:pt idx="129">
                  <c:v>416425.9818340108</c:v>
                </c:pt>
                <c:pt idx="130">
                  <c:v>416425.9818340108</c:v>
                </c:pt>
                <c:pt idx="131">
                  <c:v>416425.9818340108</c:v>
                </c:pt>
                <c:pt idx="132">
                  <c:v>416425.9818340108</c:v>
                </c:pt>
                <c:pt idx="133">
                  <c:v>416425.9818340108</c:v>
                </c:pt>
                <c:pt idx="134">
                  <c:v>416425.9818340108</c:v>
                </c:pt>
                <c:pt idx="135">
                  <c:v>416425.9818340108</c:v>
                </c:pt>
                <c:pt idx="136">
                  <c:v>416425.9818340108</c:v>
                </c:pt>
                <c:pt idx="137">
                  <c:v>416425.9818340108</c:v>
                </c:pt>
                <c:pt idx="138">
                  <c:v>416425.9818340108</c:v>
                </c:pt>
                <c:pt idx="139">
                  <c:v>416425.9818340108</c:v>
                </c:pt>
                <c:pt idx="140">
                  <c:v>416425.9818340108</c:v>
                </c:pt>
                <c:pt idx="141">
                  <c:v>416425.9818340108</c:v>
                </c:pt>
                <c:pt idx="142">
                  <c:v>416425.9818340108</c:v>
                </c:pt>
                <c:pt idx="143">
                  <c:v>416425.9818340108</c:v>
                </c:pt>
                <c:pt idx="144">
                  <c:v>416425.9818340108</c:v>
                </c:pt>
                <c:pt idx="145">
                  <c:v>416425.9818340108</c:v>
                </c:pt>
                <c:pt idx="146">
                  <c:v>416425.9818340108</c:v>
                </c:pt>
                <c:pt idx="147">
                  <c:v>416425.9818340108</c:v>
                </c:pt>
                <c:pt idx="148">
                  <c:v>416425.9818340108</c:v>
                </c:pt>
                <c:pt idx="149">
                  <c:v>416425.9818340108</c:v>
                </c:pt>
                <c:pt idx="150">
                  <c:v>416425.9818340108</c:v>
                </c:pt>
                <c:pt idx="151">
                  <c:v>416425.9818340108</c:v>
                </c:pt>
                <c:pt idx="152">
                  <c:v>416425.9818340108</c:v>
                </c:pt>
                <c:pt idx="153">
                  <c:v>416425.9818340108</c:v>
                </c:pt>
                <c:pt idx="154">
                  <c:v>416425.9818340108</c:v>
                </c:pt>
                <c:pt idx="155">
                  <c:v>416425.9818340108</c:v>
                </c:pt>
                <c:pt idx="156">
                  <c:v>416425.9818340108</c:v>
                </c:pt>
                <c:pt idx="157">
                  <c:v>416425.9818340108</c:v>
                </c:pt>
                <c:pt idx="158">
                  <c:v>416425.9818340108</c:v>
                </c:pt>
                <c:pt idx="159">
                  <c:v>416425.9818340108</c:v>
                </c:pt>
                <c:pt idx="160">
                  <c:v>416425.9818340108</c:v>
                </c:pt>
                <c:pt idx="161">
                  <c:v>416425.9818340108</c:v>
                </c:pt>
                <c:pt idx="162">
                  <c:v>416425.9818340108</c:v>
                </c:pt>
                <c:pt idx="163">
                  <c:v>416425.9818340108</c:v>
                </c:pt>
                <c:pt idx="164">
                  <c:v>416425.9818340108</c:v>
                </c:pt>
                <c:pt idx="165">
                  <c:v>416425.9818340108</c:v>
                </c:pt>
                <c:pt idx="166">
                  <c:v>416425.9818340108</c:v>
                </c:pt>
                <c:pt idx="167">
                  <c:v>416425.9818340108</c:v>
                </c:pt>
                <c:pt idx="168">
                  <c:v>416425.9818340108</c:v>
                </c:pt>
                <c:pt idx="169">
                  <c:v>416425.9818340108</c:v>
                </c:pt>
                <c:pt idx="170">
                  <c:v>416425.9818340108</c:v>
                </c:pt>
                <c:pt idx="171">
                  <c:v>416425.9818340108</c:v>
                </c:pt>
                <c:pt idx="172">
                  <c:v>416425.9818340108</c:v>
                </c:pt>
                <c:pt idx="173">
                  <c:v>416425.9818340108</c:v>
                </c:pt>
                <c:pt idx="174">
                  <c:v>416425.9818340108</c:v>
                </c:pt>
                <c:pt idx="175">
                  <c:v>416425.9818340108</c:v>
                </c:pt>
                <c:pt idx="176">
                  <c:v>416425.9818340108</c:v>
                </c:pt>
                <c:pt idx="177">
                  <c:v>416425.9818340108</c:v>
                </c:pt>
                <c:pt idx="178">
                  <c:v>416425.9818340108</c:v>
                </c:pt>
                <c:pt idx="179">
                  <c:v>416425.9818340108</c:v>
                </c:pt>
                <c:pt idx="180">
                  <c:v>416425.9818340108</c:v>
                </c:pt>
                <c:pt idx="181">
                  <c:v>416425.9818340108</c:v>
                </c:pt>
                <c:pt idx="182">
                  <c:v>416425.9818340108</c:v>
                </c:pt>
                <c:pt idx="183">
                  <c:v>416425.9818340108</c:v>
                </c:pt>
                <c:pt idx="184">
                  <c:v>416425.9818340108</c:v>
                </c:pt>
                <c:pt idx="185">
                  <c:v>416425.9818340108</c:v>
                </c:pt>
                <c:pt idx="186">
                  <c:v>416425.9818340108</c:v>
                </c:pt>
                <c:pt idx="187">
                  <c:v>416425.9818340108</c:v>
                </c:pt>
                <c:pt idx="188">
                  <c:v>416425.9818340108</c:v>
                </c:pt>
                <c:pt idx="189">
                  <c:v>416425.9818340108</c:v>
                </c:pt>
                <c:pt idx="190">
                  <c:v>416425.9818340108</c:v>
                </c:pt>
                <c:pt idx="191">
                  <c:v>416425.9818340108</c:v>
                </c:pt>
                <c:pt idx="192">
                  <c:v>416425.9818340108</c:v>
                </c:pt>
                <c:pt idx="193">
                  <c:v>416425.9818340108</c:v>
                </c:pt>
                <c:pt idx="194">
                  <c:v>416425.9818340108</c:v>
                </c:pt>
                <c:pt idx="195">
                  <c:v>416425.9818340108</c:v>
                </c:pt>
                <c:pt idx="196">
                  <c:v>416425.9818340108</c:v>
                </c:pt>
                <c:pt idx="197">
                  <c:v>416425.9818340108</c:v>
                </c:pt>
                <c:pt idx="198">
                  <c:v>416425.9818340108</c:v>
                </c:pt>
                <c:pt idx="199">
                  <c:v>416425.9818340108</c:v>
                </c:pt>
                <c:pt idx="200">
                  <c:v>416425.9818340108</c:v>
                </c:pt>
                <c:pt idx="201">
                  <c:v>416425.9818340108</c:v>
                </c:pt>
                <c:pt idx="202">
                  <c:v>416425.9818340108</c:v>
                </c:pt>
                <c:pt idx="203">
                  <c:v>416425.9818340108</c:v>
                </c:pt>
                <c:pt idx="204">
                  <c:v>416425.9818340108</c:v>
                </c:pt>
                <c:pt idx="205">
                  <c:v>416425.9818340108</c:v>
                </c:pt>
                <c:pt idx="206">
                  <c:v>416425.9818340108</c:v>
                </c:pt>
                <c:pt idx="207">
                  <c:v>416425.9818340108</c:v>
                </c:pt>
                <c:pt idx="208">
                  <c:v>416425.9818340108</c:v>
                </c:pt>
                <c:pt idx="209">
                  <c:v>416425.9818340108</c:v>
                </c:pt>
                <c:pt idx="210">
                  <c:v>416425.9818340108</c:v>
                </c:pt>
                <c:pt idx="211">
                  <c:v>416425.9818340108</c:v>
                </c:pt>
                <c:pt idx="212">
                  <c:v>416425.9818340108</c:v>
                </c:pt>
                <c:pt idx="213">
                  <c:v>416425.9818340108</c:v>
                </c:pt>
                <c:pt idx="214">
                  <c:v>416425.9818340108</c:v>
                </c:pt>
                <c:pt idx="215">
                  <c:v>416425.9818340108</c:v>
                </c:pt>
                <c:pt idx="216">
                  <c:v>416425.9818340108</c:v>
                </c:pt>
                <c:pt idx="217">
                  <c:v>416425.9818340108</c:v>
                </c:pt>
                <c:pt idx="218">
                  <c:v>416425.9818340108</c:v>
                </c:pt>
                <c:pt idx="219">
                  <c:v>416425.9818340108</c:v>
                </c:pt>
                <c:pt idx="220">
                  <c:v>416425.9818340108</c:v>
                </c:pt>
                <c:pt idx="221">
                  <c:v>416425.9818340108</c:v>
                </c:pt>
                <c:pt idx="222">
                  <c:v>416425.9818340108</c:v>
                </c:pt>
                <c:pt idx="223">
                  <c:v>416425.9818340108</c:v>
                </c:pt>
                <c:pt idx="224">
                  <c:v>416425.9818340108</c:v>
                </c:pt>
                <c:pt idx="225">
                  <c:v>416425.9818340108</c:v>
                </c:pt>
                <c:pt idx="226">
                  <c:v>416425.9818340108</c:v>
                </c:pt>
                <c:pt idx="227">
                  <c:v>416425.9818340108</c:v>
                </c:pt>
                <c:pt idx="228">
                  <c:v>416425.9818340108</c:v>
                </c:pt>
                <c:pt idx="229">
                  <c:v>416425.9818340108</c:v>
                </c:pt>
                <c:pt idx="230">
                  <c:v>416425.9818340108</c:v>
                </c:pt>
                <c:pt idx="231">
                  <c:v>416425.9818340108</c:v>
                </c:pt>
                <c:pt idx="232">
                  <c:v>416425.9818340108</c:v>
                </c:pt>
                <c:pt idx="233">
                  <c:v>416425.9818340108</c:v>
                </c:pt>
                <c:pt idx="234">
                  <c:v>416425.9818340108</c:v>
                </c:pt>
                <c:pt idx="235">
                  <c:v>416425.9818340108</c:v>
                </c:pt>
                <c:pt idx="236">
                  <c:v>416425.9818340108</c:v>
                </c:pt>
                <c:pt idx="237">
                  <c:v>416425.9818340108</c:v>
                </c:pt>
                <c:pt idx="238">
                  <c:v>416425.9818340108</c:v>
                </c:pt>
                <c:pt idx="239">
                  <c:v>416425.9818340108</c:v>
                </c:pt>
                <c:pt idx="240">
                  <c:v>416425.9818340108</c:v>
                </c:pt>
                <c:pt idx="241">
                  <c:v>416425.9818340108</c:v>
                </c:pt>
                <c:pt idx="242">
                  <c:v>416425.9818340108</c:v>
                </c:pt>
                <c:pt idx="243">
                  <c:v>416425.9818340108</c:v>
                </c:pt>
                <c:pt idx="244">
                  <c:v>416425.9818340108</c:v>
                </c:pt>
                <c:pt idx="245">
                  <c:v>416425.9818340108</c:v>
                </c:pt>
                <c:pt idx="246">
                  <c:v>416425.9818340108</c:v>
                </c:pt>
                <c:pt idx="247">
                  <c:v>416425.9818340108</c:v>
                </c:pt>
                <c:pt idx="248">
                  <c:v>416425.9818340108</c:v>
                </c:pt>
                <c:pt idx="249">
                  <c:v>416425.9818340108</c:v>
                </c:pt>
                <c:pt idx="250">
                  <c:v>416425.9818340108</c:v>
                </c:pt>
                <c:pt idx="251">
                  <c:v>416425.9818340108</c:v>
                </c:pt>
                <c:pt idx="252">
                  <c:v>416425.9818340108</c:v>
                </c:pt>
                <c:pt idx="253">
                  <c:v>416425.9818340108</c:v>
                </c:pt>
                <c:pt idx="254">
                  <c:v>416425.9818340108</c:v>
                </c:pt>
                <c:pt idx="255">
                  <c:v>416425.9818340108</c:v>
                </c:pt>
                <c:pt idx="256">
                  <c:v>416425.9818340108</c:v>
                </c:pt>
                <c:pt idx="257">
                  <c:v>416425.9818340108</c:v>
                </c:pt>
                <c:pt idx="258">
                  <c:v>416425.9818340108</c:v>
                </c:pt>
                <c:pt idx="259">
                  <c:v>416425.9818340108</c:v>
                </c:pt>
                <c:pt idx="260">
                  <c:v>416425.9818340108</c:v>
                </c:pt>
                <c:pt idx="261">
                  <c:v>416425.9818340108</c:v>
                </c:pt>
                <c:pt idx="262">
                  <c:v>416425.9818340108</c:v>
                </c:pt>
                <c:pt idx="263">
                  <c:v>416425.9818340108</c:v>
                </c:pt>
                <c:pt idx="264">
                  <c:v>416425.9818340108</c:v>
                </c:pt>
                <c:pt idx="265">
                  <c:v>416425.9818340108</c:v>
                </c:pt>
                <c:pt idx="266">
                  <c:v>416425.9818340108</c:v>
                </c:pt>
                <c:pt idx="267">
                  <c:v>416425.9818340108</c:v>
                </c:pt>
                <c:pt idx="268">
                  <c:v>416425.9818340108</c:v>
                </c:pt>
                <c:pt idx="269">
                  <c:v>416425.9818340108</c:v>
                </c:pt>
                <c:pt idx="270">
                  <c:v>416425.9818340108</c:v>
                </c:pt>
                <c:pt idx="271">
                  <c:v>416425.9818340108</c:v>
                </c:pt>
                <c:pt idx="272">
                  <c:v>416425.9818340108</c:v>
                </c:pt>
                <c:pt idx="273">
                  <c:v>416425.9818340108</c:v>
                </c:pt>
                <c:pt idx="274">
                  <c:v>416425.9818340108</c:v>
                </c:pt>
                <c:pt idx="275">
                  <c:v>416425.9818340108</c:v>
                </c:pt>
                <c:pt idx="276">
                  <c:v>416425.9818340108</c:v>
                </c:pt>
                <c:pt idx="277">
                  <c:v>416425.9818340108</c:v>
                </c:pt>
                <c:pt idx="278">
                  <c:v>416425.9818340108</c:v>
                </c:pt>
                <c:pt idx="279">
                  <c:v>416425.9818340108</c:v>
                </c:pt>
                <c:pt idx="280">
                  <c:v>416425.9818340108</c:v>
                </c:pt>
                <c:pt idx="281">
                  <c:v>416425.9818340108</c:v>
                </c:pt>
                <c:pt idx="282">
                  <c:v>416425.9818340108</c:v>
                </c:pt>
                <c:pt idx="283">
                  <c:v>416425.9818340108</c:v>
                </c:pt>
                <c:pt idx="284">
                  <c:v>416425.9818340108</c:v>
                </c:pt>
                <c:pt idx="285">
                  <c:v>416425.9818340108</c:v>
                </c:pt>
                <c:pt idx="286">
                  <c:v>416425.9818340108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1330580.9069811497</c:v>
                </c:pt>
                <c:pt idx="16">
                  <c:v>1330580.9069811497</c:v>
                </c:pt>
                <c:pt idx="17">
                  <c:v>1330580.9069811497</c:v>
                </c:pt>
                <c:pt idx="18">
                  <c:v>1330580.9069811497</c:v>
                </c:pt>
                <c:pt idx="19">
                  <c:v>1330580.9069811497</c:v>
                </c:pt>
                <c:pt idx="20">
                  <c:v>1348039.1930194045</c:v>
                </c:pt>
                <c:pt idx="21">
                  <c:v>1348039.1930194045</c:v>
                </c:pt>
                <c:pt idx="22">
                  <c:v>1348039.1930194045</c:v>
                </c:pt>
                <c:pt idx="23">
                  <c:v>1348039.1930194045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4"/>
      <c r="H3" s="663"/>
      <c r="I3" s="664"/>
      <c r="J3" s="664"/>
      <c r="K3" s="664"/>
      <c r="L3" s="664"/>
      <c r="M3" s="664"/>
      <c r="N3" s="664"/>
      <c r="O3" s="665"/>
    </row>
    <row r="4" spans="2:15">
      <c r="B4" s="615" t="s">
        <v>2</v>
      </c>
      <c r="C4" s="616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5" t="s">
        <v>3</v>
      </c>
      <c r="C5" s="616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5" t="s">
        <v>5</v>
      </c>
      <c r="C6" s="616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5" t="s">
        <v>7</v>
      </c>
      <c r="C7" s="616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4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4.6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7" t="s">
        <v>11</v>
      </c>
      <c r="C11" s="657"/>
      <c r="D11" s="657"/>
      <c r="E11" s="657"/>
    </row>
    <row r="12" spans="2:15">
      <c r="B12" s="617" t="s">
        <v>12</v>
      </c>
      <c r="C12" s="657"/>
      <c r="D12" s="657"/>
      <c r="E12" s="657"/>
    </row>
    <row r="13" spans="2:15">
      <c r="B13" s="617" t="s">
        <v>13</v>
      </c>
      <c r="C13" s="657"/>
      <c r="D13" s="657"/>
      <c r="E13" s="657"/>
    </row>
    <row r="14" spans="2:15">
      <c r="B14" s="617" t="s">
        <v>14</v>
      </c>
      <c r="C14" s="657"/>
      <c r="D14" s="657"/>
      <c r="E14" s="657"/>
    </row>
    <row r="15" spans="2:15">
      <c r="B15" s="617" t="s">
        <v>15</v>
      </c>
      <c r="C15" s="657"/>
      <c r="D15" s="657"/>
      <c r="E15" s="657"/>
    </row>
    <row r="16" spans="2:15" ht="15" customHeight="1">
      <c r="B16" s="617" t="s">
        <v>16</v>
      </c>
      <c r="C16" s="657"/>
      <c r="D16" s="657"/>
      <c r="E16" s="657"/>
    </row>
    <row r="17" spans="2:5">
      <c r="B17" s="614"/>
    </row>
    <row r="18" spans="2:5">
      <c r="B18" s="658" t="s">
        <v>17</v>
      </c>
      <c r="C18" s="658"/>
      <c r="D18" s="658"/>
      <c r="E18" s="658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4"/>
      <c r="H3" s="663"/>
      <c r="I3" s="664"/>
      <c r="J3" s="664"/>
      <c r="K3" s="664"/>
      <c r="L3" s="664"/>
      <c r="M3" s="664"/>
      <c r="N3" s="664"/>
      <c r="O3" s="665"/>
    </row>
    <row r="4" spans="2:15">
      <c r="B4" s="615" t="s">
        <v>2</v>
      </c>
      <c r="C4" s="616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5" t="s">
        <v>24</v>
      </c>
      <c r="C5" s="616"/>
      <c r="H5" s="663"/>
      <c r="I5" s="664"/>
      <c r="J5" s="664"/>
      <c r="K5" s="664"/>
      <c r="L5" s="664"/>
      <c r="M5" s="664"/>
      <c r="N5" s="664"/>
      <c r="O5" s="665"/>
    </row>
    <row r="6" spans="2:15">
      <c r="B6" s="615" t="s">
        <v>5</v>
      </c>
      <c r="C6" s="616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5" t="s">
        <v>25</v>
      </c>
      <c r="C7" s="616" t="str">
        <f>'Project Plan'!E5</f>
        <v>Lloyd Brown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5" t="s">
        <v>26</v>
      </c>
      <c r="C8" s="616"/>
      <c r="H8" s="663"/>
      <c r="I8" s="664"/>
      <c r="J8" s="664"/>
      <c r="K8" s="664"/>
      <c r="L8" s="664"/>
      <c r="M8" s="664"/>
      <c r="N8" s="664"/>
      <c r="O8" s="665"/>
    </row>
    <row r="9" spans="2:15">
      <c r="B9" s="614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4.6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.5">
      <c r="B12" s="617" t="s">
        <v>27</v>
      </c>
      <c r="C12" s="657"/>
      <c r="D12" s="657"/>
      <c r="E12" s="657"/>
    </row>
    <row r="13" spans="2:15">
      <c r="B13" s="617" t="s">
        <v>28</v>
      </c>
      <c r="C13" s="657"/>
      <c r="D13" s="657"/>
      <c r="E13" s="657"/>
    </row>
    <row r="14" spans="2:15">
      <c r="B14" s="617" t="s">
        <v>29</v>
      </c>
      <c r="C14" s="657"/>
      <c r="D14" s="657"/>
      <c r="E14" s="657"/>
    </row>
    <row r="15" spans="2:15">
      <c r="B15" s="617" t="s">
        <v>30</v>
      </c>
      <c r="C15" s="657"/>
      <c r="D15" s="657"/>
      <c r="E15" s="657"/>
    </row>
    <row r="16" spans="2:15" ht="25.5">
      <c r="B16" s="617" t="s">
        <v>31</v>
      </c>
      <c r="C16" s="657"/>
      <c r="D16" s="657"/>
      <c r="E16" s="657"/>
    </row>
    <row r="17" spans="2:5">
      <c r="B17" s="617" t="s">
        <v>32</v>
      </c>
      <c r="C17" s="657"/>
      <c r="D17" s="657"/>
      <c r="E17" s="657"/>
    </row>
    <row r="18" spans="2:5">
      <c r="B18" s="617" t="s">
        <v>33</v>
      </c>
      <c r="C18" s="657"/>
      <c r="D18" s="657"/>
      <c r="E18" s="657"/>
    </row>
    <row r="19" spans="2:5">
      <c r="B19" s="617" t="s">
        <v>34</v>
      </c>
      <c r="C19" s="657"/>
      <c r="D19" s="657"/>
      <c r="E19" s="657"/>
    </row>
    <row r="20" spans="2:5">
      <c r="B20" s="617" t="s">
        <v>35</v>
      </c>
      <c r="C20" s="657"/>
      <c r="D20" s="657"/>
      <c r="E20" s="657"/>
    </row>
    <row r="21" spans="2:5">
      <c r="B21" s="617" t="s">
        <v>36</v>
      </c>
      <c r="C21" s="657"/>
      <c r="D21" s="657"/>
      <c r="E21" s="657"/>
    </row>
    <row r="22" spans="2:5" ht="15" customHeight="1">
      <c r="B22" s="617" t="s">
        <v>16</v>
      </c>
      <c r="C22" s="657"/>
      <c r="D22" s="657"/>
      <c r="E22" s="657"/>
    </row>
    <row r="23" spans="2:5">
      <c r="B23" s="614"/>
    </row>
    <row r="24" spans="2:5">
      <c r="B24" s="658" t="s">
        <v>17</v>
      </c>
      <c r="C24" s="658"/>
      <c r="D24" s="658"/>
      <c r="E24" s="658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5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257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6000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/>
      <c r="D6" s="602"/>
      <c r="E6" s="605"/>
      <c r="F6" s="602"/>
      <c r="G6" s="1"/>
    </row>
    <row r="7" spans="1:7">
      <c r="A7" s="126"/>
      <c r="B7" s="602" t="s">
        <v>90</v>
      </c>
      <c r="C7" s="602"/>
      <c r="D7" s="602"/>
      <c r="E7" s="605"/>
      <c r="F7" s="602"/>
      <c r="G7" s="1"/>
    </row>
    <row r="8" spans="1:7">
      <c r="A8" s="126"/>
      <c r="B8" s="602" t="s">
        <v>91</v>
      </c>
      <c r="C8" s="602"/>
      <c r="D8" s="602"/>
      <c r="E8" s="605"/>
      <c r="F8" s="602"/>
      <c r="G8" s="1"/>
    </row>
    <row r="9" spans="1:7">
      <c r="A9" s="126"/>
      <c r="B9" s="602" t="s">
        <v>92</v>
      </c>
      <c r="C9" s="602"/>
      <c r="D9" s="602"/>
      <c r="E9" s="605"/>
      <c r="F9" s="602"/>
      <c r="G9" s="1"/>
    </row>
    <row r="10" spans="1:7">
      <c r="A10" s="126"/>
      <c r="B10" s="602" t="s">
        <v>93</v>
      </c>
      <c r="C10" s="602"/>
      <c r="D10" s="602"/>
      <c r="E10" s="605"/>
      <c r="F10" s="602"/>
      <c r="G10" s="1"/>
    </row>
    <row r="11" spans="1:7">
      <c r="A11" s="126"/>
      <c r="B11" s="602" t="s">
        <v>94</v>
      </c>
      <c r="C11" s="602"/>
      <c r="D11" s="602"/>
      <c r="E11" s="605"/>
      <c r="F11" s="602"/>
      <c r="G11" s="1"/>
    </row>
    <row r="12" spans="1:7">
      <c r="A12" s="126"/>
      <c r="B12" s="602" t="s">
        <v>95</v>
      </c>
      <c r="C12" s="602"/>
      <c r="D12" s="602"/>
      <c r="E12" s="605"/>
      <c r="F12" s="602"/>
      <c r="G12" s="1"/>
    </row>
    <row r="13" spans="1:7">
      <c r="A13" s="126"/>
      <c r="B13" s="602" t="s">
        <v>96</v>
      </c>
      <c r="C13" s="602"/>
      <c r="D13" s="602"/>
      <c r="E13" s="605"/>
      <c r="F13" s="602"/>
      <c r="G13" s="1"/>
    </row>
    <row r="14" spans="1:7">
      <c r="A14" s="126"/>
      <c r="B14" s="602" t="s">
        <v>97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98</v>
      </c>
      <c r="C23" s="26"/>
      <c r="D23" s="26"/>
      <c r="E23" s="26"/>
      <c r="F23" s="26"/>
      <c r="G23" s="26"/>
    </row>
    <row r="24" spans="1:7">
      <c r="A24" s="26"/>
      <c r="B24" s="603" t="s">
        <v>99</v>
      </c>
      <c r="C24" s="26"/>
      <c r="D24" s="26"/>
      <c r="E24" s="26"/>
      <c r="F24" s="26"/>
    </row>
    <row r="25" spans="1:7">
      <c r="A25" s="26"/>
      <c r="B25" s="603" t="s">
        <v>100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101</v>
      </c>
      <c r="C27" s="26"/>
      <c r="D27" s="26"/>
      <c r="E27" s="26"/>
      <c r="F27" s="26"/>
    </row>
    <row r="28" spans="1:7">
      <c r="A28" s="26"/>
      <c r="B28" s="603" t="s">
        <v>102</v>
      </c>
      <c r="C28" s="26"/>
      <c r="D28" s="26"/>
      <c r="E28" s="26"/>
      <c r="F28" s="26"/>
    </row>
    <row r="29" spans="1:7">
      <c r="A29" s="26"/>
      <c r="B29" s="603" t="s">
        <v>103</v>
      </c>
      <c r="C29" s="26"/>
      <c r="D29" s="26"/>
      <c r="E29" s="26"/>
      <c r="F29" s="26"/>
    </row>
    <row r="30" spans="1:7">
      <c r="A30" s="26"/>
      <c r="B30" s="603" t="s">
        <v>104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74" t="s">
        <v>114</v>
      </c>
      <c r="C16" s="675"/>
      <c r="D16" s="675"/>
      <c r="E16" s="675"/>
      <c r="F16" s="676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18" zoomScaleNormal="100" workbookViewId="0">
      <selection activeCell="F7" sqref="F7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117</v>
      </c>
      <c r="D2" s="90"/>
      <c r="E2" s="566" t="s">
        <v>118</v>
      </c>
      <c r="F2" s="567"/>
      <c r="G2" s="567"/>
      <c r="H2" s="568"/>
      <c r="I2" s="677" t="s">
        <v>119</v>
      </c>
      <c r="J2" s="678"/>
      <c r="K2" s="587">
        <f>NETWORKDAYS(I18,K39,Data!C3:C60)</f>
        <v>10</v>
      </c>
      <c r="N2" s="306">
        <v>0</v>
      </c>
      <c r="O2" s="306">
        <v>1</v>
      </c>
    </row>
    <row r="3" spans="2:28" s="26" customFormat="1" ht="14.25" thickBot="1">
      <c r="B3" s="91"/>
      <c r="C3" s="92" t="s">
        <v>120</v>
      </c>
      <c r="D3" s="90"/>
      <c r="E3" s="312">
        <v>157</v>
      </c>
      <c r="F3" s="93"/>
      <c r="G3" s="94"/>
      <c r="H3" s="94"/>
      <c r="I3" s="677" t="s">
        <v>121</v>
      </c>
      <c r="J3" s="678"/>
      <c r="K3" s="587">
        <f>K2/5</f>
        <v>2</v>
      </c>
      <c r="Q3" s="1"/>
    </row>
    <row r="4" spans="2:28" s="26" customFormat="1" ht="14.25" thickBot="1">
      <c r="B4" s="91"/>
      <c r="C4" s="92" t="s">
        <v>122</v>
      </c>
      <c r="D4" s="90"/>
      <c r="E4" s="565" t="s">
        <v>123</v>
      </c>
      <c r="F4" s="94"/>
      <c r="G4" s="94"/>
      <c r="H4" s="94"/>
      <c r="I4" s="677" t="s">
        <v>124</v>
      </c>
      <c r="J4" s="678"/>
      <c r="K4" s="588">
        <f>E3/K3</f>
        <v>78.5</v>
      </c>
      <c r="Q4" s="1"/>
    </row>
    <row r="5" spans="2:28" s="26" customFormat="1" ht="13.9">
      <c r="B5" s="91"/>
      <c r="C5" s="92" t="s">
        <v>125</v>
      </c>
      <c r="D5" s="90"/>
      <c r="E5" s="565" t="s">
        <v>126</v>
      </c>
      <c r="F5" s="94"/>
      <c r="G5" s="94"/>
      <c r="H5" s="94"/>
      <c r="Q5" s="1"/>
    </row>
    <row r="6" spans="2:28" ht="13.9">
      <c r="B6" s="95"/>
      <c r="C6" s="96" t="s">
        <v>127</v>
      </c>
      <c r="D6" s="90"/>
      <c r="E6" s="544">
        <v>1364882.3818340108</v>
      </c>
      <c r="F6" s="569"/>
      <c r="G6" s="569"/>
      <c r="H6" s="570"/>
    </row>
    <row r="7" spans="2:28" s="26" customFormat="1" ht="13.9">
      <c r="B7" s="634"/>
      <c r="C7" s="633" t="s">
        <v>128</v>
      </c>
      <c r="E7" s="632" t="s">
        <v>129</v>
      </c>
      <c r="F7" s="80"/>
      <c r="G7" s="97"/>
      <c r="J7" s="27"/>
      <c r="Q7" s="1"/>
    </row>
    <row r="8" spans="2:28" ht="30" customHeight="1">
      <c r="B8" s="681" t="s">
        <v>130</v>
      </c>
      <c r="C8" s="682" t="s">
        <v>131</v>
      </c>
      <c r="D8" s="126"/>
      <c r="E8" s="683" t="s">
        <v>132</v>
      </c>
      <c r="F8" s="148" t="s">
        <v>133</v>
      </c>
      <c r="G8" s="683" t="s">
        <v>134</v>
      </c>
      <c r="H8" s="149"/>
      <c r="I8" s="683" t="s">
        <v>135</v>
      </c>
      <c r="J8" s="148" t="s">
        <v>133</v>
      </c>
      <c r="K8" s="683" t="s">
        <v>136</v>
      </c>
      <c r="M8" s="584" t="s">
        <v>44</v>
      </c>
      <c r="N8" s="585" t="s">
        <v>137</v>
      </c>
      <c r="O8" s="679" t="s">
        <v>138</v>
      </c>
      <c r="Z8" s="26"/>
      <c r="AA8" s="26"/>
      <c r="AB8" s="26"/>
    </row>
    <row r="9" spans="2:28" ht="13.9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0.69910714285714282</v>
      </c>
      <c r="N9" s="265">
        <f ca="1">AVERAGE(N11,N18,N21,N28,N35,N39,N48,N44)</f>
        <v>0.9111015612150748</v>
      </c>
      <c r="O9" s="680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139</v>
      </c>
      <c r="D11" s="130"/>
      <c r="E11" s="571">
        <f>MIN(E12:E17)</f>
        <v>45986</v>
      </c>
      <c r="F11" s="572">
        <f>G11-E11</f>
        <v>64</v>
      </c>
      <c r="G11" s="571">
        <f>MAX(G12:G17)</f>
        <v>46050</v>
      </c>
      <c r="H11" s="573"/>
      <c r="I11" s="571">
        <f>MIN(I12:I17)</f>
        <v>45986</v>
      </c>
      <c r="J11" s="572">
        <f>K11-I11</f>
        <v>64</v>
      </c>
      <c r="K11" s="571">
        <f>MAX(K12:K17)</f>
        <v>46050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140</v>
      </c>
      <c r="C12" s="158" t="s">
        <v>141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7" t="s">
        <v>143</v>
      </c>
      <c r="U12" s="537" t="s">
        <v>133</v>
      </c>
      <c r="V12" s="537" t="s">
        <v>144</v>
      </c>
    </row>
    <row r="13" spans="2:28" s="26" customFormat="1">
      <c r="B13" s="157" t="s">
        <v>145</v>
      </c>
      <c r="C13" s="158" t="s">
        <v>146</v>
      </c>
      <c r="D13" s="126"/>
      <c r="E13" s="576">
        <f>WORKDAY.INTL(G12,0,1,Data!$C$3:$C$60)+7</f>
        <v>45994</v>
      </c>
      <c r="F13" s="577">
        <v>15</v>
      </c>
      <c r="G13" s="576">
        <f>WORKDAY.INTL(E13,F13,1,Data!$C$3:$C$60)</f>
        <v>46050</v>
      </c>
      <c r="H13" s="578"/>
      <c r="I13" s="576">
        <f>WORKDAY.INTL(K12,0,1,Data!$C$3:$C$60)+7</f>
        <v>45994</v>
      </c>
      <c r="J13" s="577">
        <v>15</v>
      </c>
      <c r="K13" s="576">
        <f>WORKDAY.INTL(I13,J13,1,Data!$C$3:$C$60)</f>
        <v>46050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45986</v>
      </c>
      <c r="U13" s="539">
        <f>J11</f>
        <v>64</v>
      </c>
      <c r="V13" s="538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6">
        <f>WORKDAY.INTL(G12,0,1,Data!$C$3:$C$60)+21</f>
        <v>46008</v>
      </c>
      <c r="F14" s="577">
        <v>1</v>
      </c>
      <c r="G14" s="576">
        <f>WORKDAY.INTL(E14,F14,1,Data!$C$3:$C$60)</f>
        <v>46041</v>
      </c>
      <c r="H14" s="578"/>
      <c r="I14" s="576">
        <f>WORKDAY.INTL(K12,0,1,Data!$C$3:$C$60)+21</f>
        <v>46008</v>
      </c>
      <c r="J14" s="577">
        <v>1</v>
      </c>
      <c r="K14" s="576">
        <f>WORKDAY.INTL(I14,J14,1,Data!$C$3:$C$60)</f>
        <v>46041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46048</v>
      </c>
      <c r="U14" s="539">
        <f>J18</f>
        <v>1</v>
      </c>
      <c r="V14" s="538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6">
        <f>WORKDAY.INTL(E13,0,1,Data!$C$3:$C$60)+14</f>
        <v>46008</v>
      </c>
      <c r="F15" s="577">
        <v>1</v>
      </c>
      <c r="G15" s="576">
        <f>WORKDAY.INTL(E15,F15,1,Data!$C$3:$C$60)</f>
        <v>46041</v>
      </c>
      <c r="H15" s="578"/>
      <c r="I15" s="576">
        <f>WORKDAY.INTL(I13,0,1,Data!$C$3:$C$60)+14</f>
        <v>46008</v>
      </c>
      <c r="J15" s="577">
        <v>1</v>
      </c>
      <c r="K15" s="576">
        <f>WORKDAY.INTL(I15,J15,1,Data!$C$3:$C$60)</f>
        <v>46041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45994</v>
      </c>
      <c r="U15" s="539">
        <f>J21</f>
        <v>58</v>
      </c>
      <c r="V15" s="538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6">
        <f>WORKDAY.INTL(E15,0,1,Data!$C$3:$C$60)-4</f>
        <v>46004</v>
      </c>
      <c r="F16" s="577">
        <v>1</v>
      </c>
      <c r="G16" s="576">
        <f>WORKDAY.INTL(E16,F16,1,Data!$C$3:$C$60)</f>
        <v>46041</v>
      </c>
      <c r="H16" s="578"/>
      <c r="I16" s="576">
        <f>WORKDAY.INTL(I15,0,1,Data!$C$3:$C$60)-4</f>
        <v>46004</v>
      </c>
      <c r="J16" s="577">
        <v>1</v>
      </c>
      <c r="K16" s="576">
        <f>WORKDAY.INTL(I16,J16,1,Data!$C$3:$C$60)</f>
        <v>46041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46001</v>
      </c>
      <c r="U16" s="539">
        <f>J28</f>
        <v>47</v>
      </c>
      <c r="V16" s="538">
        <f>K28</f>
        <v>46048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46001</v>
      </c>
      <c r="U17" s="539">
        <f>J35</f>
        <v>50</v>
      </c>
      <c r="V17" s="538">
        <f>K35</f>
        <v>46051</v>
      </c>
    </row>
    <row r="18" spans="2:28" s="28" customFormat="1" ht="13.9">
      <c r="B18" s="155">
        <v>2</v>
      </c>
      <c r="C18" s="156" t="s">
        <v>153</v>
      </c>
      <c r="D18" s="130"/>
      <c r="E18" s="571">
        <f>MIN(E19:E20)</f>
        <v>46048</v>
      </c>
      <c r="F18" s="572">
        <f>G18-E18</f>
        <v>1</v>
      </c>
      <c r="G18" s="571">
        <f>MAX(G19:G20)</f>
        <v>46049</v>
      </c>
      <c r="H18" s="573"/>
      <c r="I18" s="571">
        <f>MIN(I19:I20)</f>
        <v>46048</v>
      </c>
      <c r="J18" s="572">
        <f>K18-I18</f>
        <v>1</v>
      </c>
      <c r="K18" s="571">
        <f>MAX(K19:K20)</f>
        <v>46049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46051</v>
      </c>
      <c r="U18" s="539">
        <f>J39</f>
        <v>8</v>
      </c>
      <c r="V18" s="538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6">
        <f>WORKDAY.INTL(G16,0,1,Data!$C$3:$C$60)+7</f>
        <v>46048</v>
      </c>
      <c r="F19" s="577">
        <v>1</v>
      </c>
      <c r="G19" s="576">
        <f>E19+F19</f>
        <v>46049</v>
      </c>
      <c r="H19" s="578"/>
      <c r="I19" s="576">
        <f>WORKDAY.INTL(K16,0,1,Data!$C$3:$C$60)+7</f>
        <v>46048</v>
      </c>
      <c r="J19" s="577">
        <v>1</v>
      </c>
      <c r="K19" s="576">
        <f>I19+J19</f>
        <v>46049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46058</v>
      </c>
      <c r="U19" s="539">
        <f>J44</f>
        <v>8</v>
      </c>
      <c r="V19" s="538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46063</v>
      </c>
      <c r="U20" s="539">
        <f>J48</f>
        <v>16</v>
      </c>
      <c r="V20" s="538">
        <f>K48</f>
        <v>46079</v>
      </c>
    </row>
    <row r="21" spans="2:28" s="28" customFormat="1" ht="13.9">
      <c r="B21" s="155">
        <v>3</v>
      </c>
      <c r="C21" s="156" t="s">
        <v>156</v>
      </c>
      <c r="D21" s="130"/>
      <c r="E21" s="571">
        <f>MIN(E22:E27)</f>
        <v>45994</v>
      </c>
      <c r="F21" s="572">
        <f>G21-E21</f>
        <v>68</v>
      </c>
      <c r="G21" s="571">
        <f>MAX(G22:G27)</f>
        <v>46062</v>
      </c>
      <c r="H21" s="581"/>
      <c r="I21" s="571">
        <f>MIN(I22:I27)</f>
        <v>45994</v>
      </c>
      <c r="J21" s="572">
        <f>K21-I21</f>
        <v>58</v>
      </c>
      <c r="K21" s="571">
        <f>MAX(K22:K27)</f>
        <v>46052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6">
        <v>46001</v>
      </c>
      <c r="F22" s="577">
        <v>1</v>
      </c>
      <c r="G22" s="576">
        <f>WORKDAY.INTL(E22,F22,1,Data!$C$3:$C$60)</f>
        <v>46002</v>
      </c>
      <c r="H22" s="578"/>
      <c r="I22" s="576">
        <v>46001</v>
      </c>
      <c r="J22" s="577">
        <v>1</v>
      </c>
      <c r="K22" s="576">
        <f>WORKDAY.INTL(I22,J22,1,Data!$C$3:$C$60)</f>
        <v>46002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6">
        <v>46050</v>
      </c>
      <c r="F23" s="577">
        <v>1</v>
      </c>
      <c r="G23" s="576">
        <f>WORKDAY.INTL(E23,F23,1,Data!$C$3:$C$60)</f>
        <v>46051</v>
      </c>
      <c r="H23" s="578"/>
      <c r="I23" s="576">
        <v>46050</v>
      </c>
      <c r="J23" s="577">
        <v>1</v>
      </c>
      <c r="K23" s="576">
        <f>WORKDAY.INTL(I23,J23,1,Data!$C$3:$C$60)</f>
        <v>46051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6">
        <f>WORKDAY.INTL(E14,0,1,Data!$C$3:$C$60)-14</f>
        <v>45994</v>
      </c>
      <c r="F24" s="577">
        <v>20</v>
      </c>
      <c r="G24" s="576">
        <f>WORKDAY.INTL(E24,F24,1,Data!$C$3:$C$60)</f>
        <v>46057</v>
      </c>
      <c r="H24" s="578"/>
      <c r="I24" s="576">
        <f>WORKDAY.INTL(I14,0,1,Data!$C$3:$C$60)-14</f>
        <v>45994</v>
      </c>
      <c r="J24" s="577">
        <v>15</v>
      </c>
      <c r="K24" s="576">
        <f>WORKDAY.INTL(I24,J24,1,Data!$C$3:$C$60)</f>
        <v>46050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6">
        <f>WORKDAY.INTL(G24,0,1,Data!$C$3:$C$60)</f>
        <v>46057</v>
      </c>
      <c r="F25" s="577">
        <v>3</v>
      </c>
      <c r="G25" s="576">
        <f>WORKDAY.INTL(E25,F25,1,Data!$C$3:$C$60)</f>
        <v>46062</v>
      </c>
      <c r="H25" s="578"/>
      <c r="I25" s="576">
        <v>46041</v>
      </c>
      <c r="J25" s="577">
        <v>4</v>
      </c>
      <c r="K25" s="576">
        <f>WORKDAY.INTL(I25,J25,1,Data!$C$3:$C$60)</f>
        <v>46045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6">
        <f>WORKDAY.INTL(E25,0,1,Data!$C$3:$C$60)</f>
        <v>46057</v>
      </c>
      <c r="F26" s="577">
        <v>1</v>
      </c>
      <c r="G26" s="576">
        <f>WORKDAY.INTL(E26,F26,1,Data!$C$3:$C$60)</f>
        <v>46058</v>
      </c>
      <c r="H26" s="578"/>
      <c r="I26" s="576">
        <v>46051</v>
      </c>
      <c r="J26" s="577">
        <v>1</v>
      </c>
      <c r="K26" s="576">
        <f>WORKDAY.INTL(I26,J26,1,Data!$C$3:$C$60)</f>
        <v>46052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167</v>
      </c>
      <c r="D28" s="130"/>
      <c r="E28" s="571">
        <f>MIN(E30:E34)</f>
        <v>46001</v>
      </c>
      <c r="F28" s="572">
        <f>G28-E28</f>
        <v>51</v>
      </c>
      <c r="G28" s="571">
        <f>MAX(G30:G34)</f>
        <v>46052</v>
      </c>
      <c r="H28" s="581"/>
      <c r="I28" s="571">
        <f>MIN(I30:I34)</f>
        <v>46001</v>
      </c>
      <c r="J28" s="572">
        <f>K28-I28</f>
        <v>47</v>
      </c>
      <c r="K28" s="571">
        <f>MAX(K30:K34)</f>
        <v>46048</v>
      </c>
      <c r="L28" s="574"/>
      <c r="M28" s="575">
        <f>(J30*M30+J31*M31+J33*M33)/SUM(J30,J31,J33)</f>
        <v>1</v>
      </c>
      <c r="N28" s="575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6">
        <v>46001</v>
      </c>
      <c r="F30" s="577">
        <v>1</v>
      </c>
      <c r="G30" s="576">
        <f>WORKDAY.INTL(E30,F30,1,Data!$C$3:$C$60)</f>
        <v>46002</v>
      </c>
      <c r="H30" s="578"/>
      <c r="I30" s="576">
        <v>46001</v>
      </c>
      <c r="J30" s="577">
        <v>1</v>
      </c>
      <c r="K30" s="576">
        <f>WORKDAY.INTL(I30,J30,1,Data!$C$3:$C$60)</f>
        <v>46002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6">
        <f>WORKDAY.INTL(G30,0,1,Data!$C$3:$C$60)</f>
        <v>46002</v>
      </c>
      <c r="F31" s="577">
        <v>2</v>
      </c>
      <c r="G31" s="576">
        <f>E31+F31</f>
        <v>46004</v>
      </c>
      <c r="H31" s="578"/>
      <c r="I31" s="576">
        <f>WORKDAY.INTL(K30,0,1,Data!$C$3:$C$60)</f>
        <v>46002</v>
      </c>
      <c r="J31" s="577">
        <v>2</v>
      </c>
      <c r="K31" s="576">
        <f>I31+J31</f>
        <v>46004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6">
        <f>E30</f>
        <v>46001</v>
      </c>
      <c r="F32" s="577">
        <v>1</v>
      </c>
      <c r="G32" s="576">
        <f>WORKDAY.INTL(E32,F32,1,Data!$C$3:$C$60)</f>
        <v>46002</v>
      </c>
      <c r="H32" s="578"/>
      <c r="I32" s="576">
        <f>I30</f>
        <v>46001</v>
      </c>
      <c r="J32" s="577">
        <v>1</v>
      </c>
      <c r="K32" s="576">
        <f>WORKDAY.INTL(I32,J32,1,Data!$C$3:$C$60)</f>
        <v>46002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174</v>
      </c>
      <c r="C33" s="154" t="s">
        <v>175</v>
      </c>
      <c r="D33" s="126"/>
      <c r="E33" s="582">
        <f>WORKDAY.INTL(G37,0,1,Data!$C$3:$C$60)-3</f>
        <v>46048</v>
      </c>
      <c r="F33" s="577">
        <v>4</v>
      </c>
      <c r="G33" s="582">
        <f>WORKDAY.INTL(E33,F33,1,Data!$C$3:$C$60)</f>
        <v>46052</v>
      </c>
      <c r="H33" s="578"/>
      <c r="I33" s="582">
        <v>46042</v>
      </c>
      <c r="J33" s="577">
        <v>4</v>
      </c>
      <c r="K33" s="582">
        <f>WORKDAY.INTL(I33,J33,1,Data!$C$3:$C$60)</f>
        <v>46048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176</v>
      </c>
      <c r="D35" s="130"/>
      <c r="E35" s="571">
        <f>MIN(E36:E38)</f>
        <v>46001</v>
      </c>
      <c r="F35" s="572">
        <f>G35-E35</f>
        <v>50</v>
      </c>
      <c r="G35" s="571">
        <f>MAX(G36:G38)</f>
        <v>46051</v>
      </c>
      <c r="H35" s="573"/>
      <c r="I35" s="571">
        <f>MIN(I36:I38)</f>
        <v>46001</v>
      </c>
      <c r="J35" s="572">
        <f>K35-I35</f>
        <v>50</v>
      </c>
      <c r="K35" s="571">
        <f>MAX(K36:K38)</f>
        <v>46051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2">
        <v>46001</v>
      </c>
      <c r="F36" s="577">
        <v>1</v>
      </c>
      <c r="G36" s="576">
        <f>WORKDAY.INTL(E36,F36,1,Data!$C$3:$C$60)</f>
        <v>46002</v>
      </c>
      <c r="H36" s="578"/>
      <c r="I36" s="582">
        <v>46001</v>
      </c>
      <c r="J36" s="577">
        <v>1</v>
      </c>
      <c r="K36" s="576">
        <f>WORKDAY.INTL(I36,J36,1,Data!$C$3:$C$60)</f>
        <v>46002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2">
        <f>G31</f>
        <v>46004</v>
      </c>
      <c r="F37" s="577">
        <v>9</v>
      </c>
      <c r="G37" s="576">
        <f>WORKDAY.INTL(E37,F37,1,Data!$C$3:$C$60)</f>
        <v>46051</v>
      </c>
      <c r="H37" s="578"/>
      <c r="I37" s="582">
        <f>K31</f>
        <v>46004</v>
      </c>
      <c r="J37" s="577">
        <v>9</v>
      </c>
      <c r="K37" s="576">
        <f>WORKDAY.INTL(I37,J37,1,Data!$C$3:$C$60)</f>
        <v>46051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181</v>
      </c>
      <c r="D39" s="130"/>
      <c r="E39" s="571">
        <f>MIN(E40:E43)</f>
        <v>46062</v>
      </c>
      <c r="F39" s="572">
        <f>G39-E39</f>
        <v>9</v>
      </c>
      <c r="G39" s="571">
        <f>MAX(G40:G43)</f>
        <v>46071</v>
      </c>
      <c r="H39" s="573"/>
      <c r="I39" s="571">
        <f>MIN(I40:I43)</f>
        <v>46051</v>
      </c>
      <c r="J39" s="572">
        <f>K39-I39</f>
        <v>8</v>
      </c>
      <c r="K39" s="571">
        <f>MAX(K40:K43)</f>
        <v>46059</v>
      </c>
      <c r="L39" s="574"/>
      <c r="M39" s="575">
        <f>(J40*M40+J41*M41+J42*M42)/SUM(J40:J42)</f>
        <v>0.59285714285714286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2">
        <f>WORKDAY.INTL(MAX(G21,G28,G35),0,1,Data!$C$3:$C$60)</f>
        <v>46062</v>
      </c>
      <c r="F40" s="577">
        <v>1</v>
      </c>
      <c r="G40" s="582">
        <f>WORKDAY.INTL(E40,F40,1,Data!$C$3:$C$60)</f>
        <v>46063</v>
      </c>
      <c r="H40" s="578"/>
      <c r="I40" s="582">
        <v>46051</v>
      </c>
      <c r="J40" s="577">
        <v>1</v>
      </c>
      <c r="K40" s="582">
        <f>WORKDAY.INTL(I40,J40,1,Data!$C$3:$C$60)</f>
        <v>46052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2">
        <f>WORKDAY.INTL(G40,0,1,Data!$C$3:$C$60)</f>
        <v>46063</v>
      </c>
      <c r="F41" s="577">
        <v>1</v>
      </c>
      <c r="G41" s="582">
        <f>WORKDAY.INTL(E41,F41,1,Data!$C$3:$C$60)</f>
        <v>46064</v>
      </c>
      <c r="H41" s="578"/>
      <c r="I41" s="582">
        <v>46051</v>
      </c>
      <c r="J41" s="577">
        <v>1</v>
      </c>
      <c r="K41" s="582">
        <f>WORKDAY.INTL(I41,J41,1,Data!$C$3:$C$60)</f>
        <v>46052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2">
        <f>WORKDAY.INTL(G41,0,1,Data!$C$3:$C$60)</f>
        <v>46064</v>
      </c>
      <c r="F42" s="577">
        <v>5</v>
      </c>
      <c r="G42" s="582">
        <f>WORKDAY.INTL(E42,F42,1,Data!$C$3:$C$60)</f>
        <v>46071</v>
      </c>
      <c r="H42" s="578"/>
      <c r="I42" s="582">
        <f>WORKDAY.INTL(K41,0,1,Data!$C$3:$C$60)</f>
        <v>46052</v>
      </c>
      <c r="J42" s="577">
        <v>5</v>
      </c>
      <c r="K42" s="582">
        <f>WORKDAY.INTL(I42,J42,1,Data!$C$3:$C$60)</f>
        <v>46059</v>
      </c>
      <c r="L42" s="77"/>
      <c r="M42" s="579">
        <v>0.43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187</v>
      </c>
      <c r="D44" s="130"/>
      <c r="E44" s="571">
        <f>MIN(E45:E47)</f>
        <v>46064</v>
      </c>
      <c r="F44" s="572">
        <f>G44-E44</f>
        <v>8</v>
      </c>
      <c r="G44" s="571">
        <f>MAX(G45:G47)</f>
        <v>46072</v>
      </c>
      <c r="H44" s="573"/>
      <c r="I44" s="571">
        <f>MIN(I45:I47)</f>
        <v>46058</v>
      </c>
      <c r="J44" s="572">
        <f>K44-I44</f>
        <v>8</v>
      </c>
      <c r="K44" s="571">
        <f>MAX(K45:K47)</f>
        <v>46066</v>
      </c>
      <c r="L44" s="574"/>
      <c r="M44" s="575">
        <f>(J45*M45+J46*M46)/SUM(J45:J46)</f>
        <v>0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2">
        <f>WORKDAY.INTL(E42,0,1,Data!$C$3:$C$60)</f>
        <v>46064</v>
      </c>
      <c r="F45" s="577">
        <v>3</v>
      </c>
      <c r="G45" s="582">
        <f>WORKDAY.INTL(E45,F45,1,Data!$C$3:$C$60)</f>
        <v>46069</v>
      </c>
      <c r="H45" s="578"/>
      <c r="I45" s="582">
        <v>46058</v>
      </c>
      <c r="J45" s="577">
        <v>3</v>
      </c>
      <c r="K45" s="582">
        <f>WORKDAY.INTL(I45,J45,1,Data!$C$3:$C$60)</f>
        <v>46063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2">
        <f>G45</f>
        <v>46069</v>
      </c>
      <c r="F46" s="577">
        <v>3</v>
      </c>
      <c r="G46" s="582">
        <f>WORKDAY.INTL(E46,F46,1,Data!$C$3:$C$60)</f>
        <v>46072</v>
      </c>
      <c r="H46" s="578"/>
      <c r="I46" s="582">
        <f>K45</f>
        <v>46063</v>
      </c>
      <c r="J46" s="577">
        <v>3</v>
      </c>
      <c r="K46" s="582">
        <f>WORKDAY.INTL(I46,J46,1,Data!$C$3:$C$60)</f>
        <v>46066</v>
      </c>
      <c r="L46" s="77"/>
      <c r="M46" s="579">
        <v>0</v>
      </c>
      <c r="N46" s="579">
        <f t="shared" ca="1" si="5"/>
        <v>0.33333333333333331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192</v>
      </c>
      <c r="D48" s="130"/>
      <c r="E48" s="571">
        <f>MIN(E49:E51)</f>
        <v>46069</v>
      </c>
      <c r="F48" s="572">
        <f>G48-E48</f>
        <v>16</v>
      </c>
      <c r="G48" s="571">
        <f>MAX(G49:G51)</f>
        <v>46085</v>
      </c>
      <c r="H48" s="573"/>
      <c r="I48" s="571">
        <f>MIN(I49:I51)</f>
        <v>46063</v>
      </c>
      <c r="J48" s="572">
        <f>K48-I48</f>
        <v>16</v>
      </c>
      <c r="K48" s="571">
        <f>MAX(K49:K51)</f>
        <v>46079</v>
      </c>
      <c r="L48" s="574"/>
      <c r="M48" s="575">
        <f>(J49*M49+J50*M50+J51*M51)/SUM(J49:J51)</f>
        <v>0</v>
      </c>
      <c r="N48" s="575">
        <f ca="1">(K46*N46+K42*N42+K49*N49+K50*N50+K51*N51)/SUM(K46:K51)</f>
        <v>0.28881248972059798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2">
        <f>WORKDAY.INTL(E46,0,1,Data!$C$3:$C$60)</f>
        <v>46069</v>
      </c>
      <c r="F49" s="577">
        <v>7</v>
      </c>
      <c r="G49" s="582">
        <f>WORKDAY.INTL(E49,F49,1,Data!$C$3:$C$60)</f>
        <v>46078</v>
      </c>
      <c r="H49" s="578"/>
      <c r="I49" s="582">
        <f>WORKDAY.INTL(I46,0,1,Data!$C$3:$C$60)</f>
        <v>46063</v>
      </c>
      <c r="J49" s="577">
        <v>7</v>
      </c>
      <c r="K49" s="582">
        <f>WORKDAY.INTL(I49,J49,1,Data!$C$3:$C$60)</f>
        <v>46072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0.1111111111111111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2">
        <f>WORKDAY.INTL(G49,0,1,Data!$C$3:$C$60)</f>
        <v>46078</v>
      </c>
      <c r="F50" s="577">
        <v>1</v>
      </c>
      <c r="G50" s="582">
        <f>WORKDAY.INTL(E50,F50,1,Data!$C$3:$C$60)</f>
        <v>46079</v>
      </c>
      <c r="H50" s="578"/>
      <c r="I50" s="582">
        <f>WORKDAY.INTL(K49,0,1,Data!$C$3:$C$60)</f>
        <v>46072</v>
      </c>
      <c r="J50" s="577">
        <v>1</v>
      </c>
      <c r="K50" s="582">
        <f>WORKDAY.INTL(I50,J50,1,Data!$C$3:$C$60)</f>
        <v>46073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197</v>
      </c>
      <c r="C51" s="154" t="s">
        <v>198</v>
      </c>
      <c r="D51" s="126"/>
      <c r="E51" s="582">
        <f>WORKDAY.INTL(G49,0,1,Data!$C$3:$C$60)</f>
        <v>46078</v>
      </c>
      <c r="F51" s="577">
        <v>5</v>
      </c>
      <c r="G51" s="582">
        <f>WORKDAY.INTL(E51,F51,1,Data!$C$3:$C$60)</f>
        <v>46085</v>
      </c>
      <c r="H51" s="578"/>
      <c r="I51" s="582">
        <f>WORKDAY.INTL(K49,0,1,Data!$C$3:$C$60)</f>
        <v>46072</v>
      </c>
      <c r="J51" s="577">
        <v>5</v>
      </c>
      <c r="K51" s="582">
        <f>WORKDAY.INTL(I51,J51,1,Data!$C$3:$C$60)</f>
        <v>46079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0" zoomScaleNormal="110" workbookViewId="0">
      <selection activeCell="S13" sqref="S13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6" style="43" customWidth="1"/>
    <col min="19" max="19" width="33.140625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200</v>
      </c>
      <c r="V2" s="24" t="s">
        <v>201</v>
      </c>
      <c r="W2" s="24" t="s">
        <v>202</v>
      </c>
      <c r="X2" s="24" t="s">
        <v>203</v>
      </c>
    </row>
    <row r="3" spans="1:42" s="24" customFormat="1" ht="13.15">
      <c r="B3" s="31"/>
      <c r="D3" s="39" t="s">
        <v>204</v>
      </c>
      <c r="F3" s="39" t="s">
        <v>205</v>
      </c>
      <c r="J3" s="53"/>
      <c r="L3" s="310" t="s">
        <v>206</v>
      </c>
      <c r="N3" s="310" t="s">
        <v>207</v>
      </c>
      <c r="T3" s="53"/>
      <c r="U3" s="30">
        <f>D4</f>
        <v>1364882.3818340108</v>
      </c>
      <c r="V3" s="30">
        <f>D5</f>
        <v>1114901.5750239133</v>
      </c>
      <c r="W3" s="645">
        <f>SUMIFS('Expenditure Breakdown'!$U:$U,
        'Expenditure Breakdown'!$T:$T, "&gt;"&amp;DATE(2025,8,31),
        'Expenditure Breakdown'!$T:$T, "&lt;="&amp;DATE(2026,8,31),
        'Expenditure Breakdown'!$S:$S, "&lt;&gt;")</f>
        <v>1038243.4761365273</v>
      </c>
      <c r="X3" s="645">
        <f>SUMIFS('Expenditure Breakdown'!$Q:$Q,
        'Expenditure Breakdown'!$T:$T, "&gt;"&amp;DATE(2025,8,31),
        'Expenditure Breakdown'!$T:$T, "&lt;="&amp;DATE(2026,8,31),
        'Expenditure Breakdown'!$S:$S, "&lt;&gt;")</f>
        <v>684555.70000000019</v>
      </c>
    </row>
    <row r="4" spans="1:42" s="24" customFormat="1" ht="13.15">
      <c r="B4" s="256">
        <v>1</v>
      </c>
      <c r="C4" s="257" t="s">
        <v>208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209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6" t="s">
        <v>210</v>
      </c>
      <c r="H5" s="646" t="s">
        <v>211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>
      <c r="B6" s="256">
        <v>3</v>
      </c>
      <c r="C6" s="257" t="s">
        <v>212</v>
      </c>
      <c r="D6" s="258">
        <f>+D4-D5</f>
        <v>249980.80681009754</v>
      </c>
      <c r="E6" s="259"/>
      <c r="F6" s="258">
        <f>+F4-F5</f>
        <v>415975.98183401069</v>
      </c>
      <c r="G6" s="543">
        <f>D6*0.05</f>
        <v>12499.040340504878</v>
      </c>
      <c r="H6" s="645">
        <f>SUMIF('Expenditure Breakdown'!N:N,"*VO*",'Expenditure Breakdown'!Q:Q)</f>
        <v>33897</v>
      </c>
      <c r="J6" s="53"/>
      <c r="L6" s="276">
        <v>384940.40206108568</v>
      </c>
      <c r="N6" s="276" t="s">
        <v>213</v>
      </c>
      <c r="T6" s="53"/>
    </row>
    <row r="7" spans="1:42" s="24" customFormat="1" ht="15" customHeight="1" thickBot="1">
      <c r="B7" s="256">
        <v>4</v>
      </c>
      <c r="C7" s="257" t="s">
        <v>214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4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130</v>
      </c>
      <c r="C12" s="47" t="s">
        <v>216</v>
      </c>
      <c r="D12" s="48"/>
      <c r="E12" s="46" t="s">
        <v>217</v>
      </c>
      <c r="F12" s="46" t="s">
        <v>218</v>
      </c>
      <c r="H12" s="261" t="s">
        <v>219</v>
      </c>
      <c r="J12" s="53"/>
      <c r="L12" s="78" t="s">
        <v>220</v>
      </c>
      <c r="M12" s="49"/>
      <c r="N12" s="78" t="s">
        <v>221</v>
      </c>
      <c r="O12" s="49"/>
      <c r="P12" s="78" t="s">
        <v>222</v>
      </c>
      <c r="R12" s="279" t="s">
        <v>223</v>
      </c>
      <c r="S12" s="642" t="s">
        <v>224</v>
      </c>
      <c r="T12" s="53"/>
    </row>
    <row r="13" spans="1:42" s="24" customFormat="1" ht="13.15">
      <c r="B13" s="589">
        <v>1</v>
      </c>
      <c r="C13" s="686" t="s">
        <v>225</v>
      </c>
      <c r="D13" s="687"/>
      <c r="E13" s="590">
        <v>0.4</v>
      </c>
      <c r="F13" s="591">
        <f>$D$4*E13</f>
        <v>545952.95273360435</v>
      </c>
      <c r="G13" s="592"/>
      <c r="H13" s="593">
        <v>45975</v>
      </c>
      <c r="I13" s="594"/>
      <c r="J13" s="595"/>
      <c r="K13" s="594"/>
      <c r="L13" s="596" t="s">
        <v>226</v>
      </c>
      <c r="M13" s="597"/>
      <c r="N13" s="593">
        <v>45880</v>
      </c>
      <c r="O13" s="597"/>
      <c r="P13" s="623">
        <v>45974</v>
      </c>
      <c r="R13" s="86"/>
      <c r="S13" s="643" t="b">
        <v>1</v>
      </c>
      <c r="T13" s="53"/>
      <c r="AP13" s="525">
        <f>'Change Register'!$Q$14+ 7</f>
        <v>7</v>
      </c>
    </row>
    <row r="14" spans="1:42" s="24" customFormat="1" ht="13.15">
      <c r="B14" s="599">
        <v>2</v>
      </c>
      <c r="C14" s="686" t="s">
        <v>227</v>
      </c>
      <c r="D14" s="687"/>
      <c r="E14" s="590">
        <v>0.4</v>
      </c>
      <c r="F14" s="591">
        <f t="shared" ref="F14:F18" si="0">$D$4*E14</f>
        <v>545952.95273360435</v>
      </c>
      <c r="G14" s="600"/>
      <c r="H14" s="593">
        <f>'Project Plan'!G22+7</f>
        <v>46009</v>
      </c>
      <c r="I14" s="594"/>
      <c r="J14" s="595"/>
      <c r="K14" s="594"/>
      <c r="L14" s="596" t="s">
        <v>228</v>
      </c>
      <c r="M14" s="594"/>
      <c r="N14" s="593">
        <v>46006</v>
      </c>
      <c r="O14" s="594"/>
      <c r="P14" s="598">
        <v>46069</v>
      </c>
      <c r="R14" s="280" t="s">
        <v>229</v>
      </c>
      <c r="S14" s="643" t="b">
        <v>0</v>
      </c>
      <c r="T14" s="53"/>
    </row>
    <row r="15" spans="1:42" s="24" customFormat="1" ht="13.15">
      <c r="B15" s="589">
        <v>3</v>
      </c>
      <c r="C15" s="686" t="s">
        <v>230</v>
      </c>
      <c r="D15" s="687"/>
      <c r="E15" s="590">
        <v>0.2</v>
      </c>
      <c r="F15" s="591">
        <f t="shared" si="0"/>
        <v>272976.47636680218</v>
      </c>
      <c r="G15" s="600"/>
      <c r="H15" s="593">
        <f>'Project Plan'!G50+7</f>
        <v>46086</v>
      </c>
      <c r="I15" s="594"/>
      <c r="J15" s="595"/>
      <c r="K15" s="594"/>
      <c r="L15" s="596"/>
      <c r="M15" s="594"/>
      <c r="N15" s="593"/>
      <c r="O15" s="594"/>
      <c r="P15" s="598">
        <f>'Project Plan'!K50+7</f>
        <v>46080</v>
      </c>
      <c r="R15" s="280"/>
      <c r="S15" s="643" t="b">
        <v>0</v>
      </c>
      <c r="T15" s="53"/>
    </row>
    <row r="16" spans="1:42" s="24" customFormat="1" ht="13.15">
      <c r="B16" s="589">
        <v>4</v>
      </c>
      <c r="C16" s="684" t="s">
        <v>231</v>
      </c>
      <c r="D16" s="685"/>
      <c r="E16" s="590">
        <v>0</v>
      </c>
      <c r="F16" s="591">
        <f t="shared" si="0"/>
        <v>0</v>
      </c>
      <c r="G16" s="600"/>
      <c r="H16" s="593"/>
      <c r="I16" s="594"/>
      <c r="J16" s="595"/>
      <c r="K16" s="594"/>
      <c r="L16" s="596"/>
      <c r="M16" s="601"/>
      <c r="N16" s="593"/>
      <c r="O16" s="601"/>
      <c r="P16" s="598"/>
      <c r="R16" s="280"/>
      <c r="S16" s="643" t="b">
        <v>0</v>
      </c>
      <c r="T16" s="53"/>
    </row>
    <row r="17" spans="2:20" s="24" customFormat="1" ht="13.15">
      <c r="B17" s="589">
        <v>5</v>
      </c>
      <c r="C17" s="684" t="s">
        <v>231</v>
      </c>
      <c r="D17" s="685"/>
      <c r="E17" s="590">
        <v>0</v>
      </c>
      <c r="F17" s="591">
        <f t="shared" si="0"/>
        <v>0</v>
      </c>
      <c r="G17" s="600"/>
      <c r="H17" s="593"/>
      <c r="I17" s="594"/>
      <c r="J17" s="595"/>
      <c r="K17" s="594"/>
      <c r="L17" s="596"/>
      <c r="M17" s="594"/>
      <c r="N17" s="593"/>
      <c r="O17" s="594"/>
      <c r="P17" s="598"/>
      <c r="R17" s="280"/>
      <c r="S17" s="643" t="b">
        <v>0</v>
      </c>
      <c r="T17" s="53"/>
    </row>
    <row r="18" spans="2:20" s="24" customFormat="1" ht="13.15">
      <c r="B18" s="589">
        <v>6</v>
      </c>
      <c r="C18" s="684" t="s">
        <v>231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44" t="b">
        <v>0</v>
      </c>
      <c r="T18" s="53"/>
    </row>
    <row r="19" spans="2:20" s="24" customFormat="1" ht="13.15">
      <c r="B19" s="589">
        <v>7</v>
      </c>
      <c r="C19" s="686" t="s">
        <v>231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4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232</v>
      </c>
      <c r="C23" s="57" t="s">
        <v>233</v>
      </c>
      <c r="D23" s="57"/>
      <c r="F23" s="58"/>
      <c r="H23" s="30"/>
    </row>
    <row r="24" spans="2:20" s="24" customFormat="1" ht="12.75">
      <c r="C24" s="59" t="s">
        <v>234</v>
      </c>
      <c r="D24" s="60"/>
      <c r="F24" s="61"/>
    </row>
    <row r="25" spans="2:20" s="24" customFormat="1" ht="12.75">
      <c r="C25" s="59" t="s">
        <v>235</v>
      </c>
      <c r="D25" s="60"/>
    </row>
    <row r="26" spans="2:20" s="24" customFormat="1" ht="12.75">
      <c r="C26" s="62" t="s">
        <v>236</v>
      </c>
      <c r="D26" s="63"/>
    </row>
    <row r="27" spans="2:20" s="24" customFormat="1" ht="12.75">
      <c r="C27" s="64" t="s">
        <v>237</v>
      </c>
      <c r="D27" s="60"/>
    </row>
    <row r="28" spans="2:20" s="24" customFormat="1" ht="12.75">
      <c r="B28" s="31"/>
      <c r="C28" s="64" t="s">
        <v>238</v>
      </c>
      <c r="D28" s="60"/>
    </row>
    <row r="29" spans="2:20" s="24" customFormat="1" ht="12.75">
      <c r="B29" s="31"/>
      <c r="C29" s="24" t="s">
        <v>239</v>
      </c>
    </row>
    <row r="30" spans="2:20" s="24" customFormat="1" ht="27.75" customHeight="1">
      <c r="B30" s="31"/>
      <c r="C30" s="65" t="s">
        <v>240</v>
      </c>
      <c r="D30" s="65"/>
      <c r="F30" s="61"/>
    </row>
    <row r="31" spans="2:20" s="24" customFormat="1" ht="12.75">
      <c r="B31" s="31"/>
      <c r="F31" s="58"/>
      <c r="N31" s="543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216</v>
      </c>
      <c r="D40" s="48"/>
      <c r="E40" s="46" t="s">
        <v>217</v>
      </c>
      <c r="F40" s="46" t="s">
        <v>218</v>
      </c>
    </row>
    <row r="41" spans="2:6" s="24" customFormat="1" ht="12.75" hidden="1" customHeight="1">
      <c r="B41" s="66">
        <v>1</v>
      </c>
      <c r="C41" s="67" t="s">
        <v>241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244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9" sqref="J9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8"/>
      <c r="C4" s="688"/>
      <c r="D4" s="688"/>
      <c r="E4" s="313"/>
      <c r="F4" s="131" t="s">
        <v>204</v>
      </c>
      <c r="G4" s="126"/>
      <c r="H4" s="131" t="s">
        <v>205</v>
      </c>
      <c r="I4" s="126"/>
      <c r="J4" s="132" t="s">
        <v>248</v>
      </c>
      <c r="K4" s="26"/>
      <c r="L4" s="26"/>
    </row>
    <row r="5" spans="1:12" ht="14.25" thickBot="1">
      <c r="A5" s="126"/>
      <c r="B5" s="689" t="s">
        <v>249</v>
      </c>
      <c r="C5" s="689"/>
      <c r="D5" s="689"/>
      <c r="E5" s="313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ht="13.9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ht="13.9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ht="13.9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ht="13.9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 ht="13.9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ht="13.9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ht="13.9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ht="13.9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ht="13.9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ht="13.9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O1" zoomScale="81" zoomScaleNormal="70" workbookViewId="0">
      <pane ySplit="4" topLeftCell="J113" activePane="bottomLeft" state="frozen"/>
      <selection pane="bottomLeft" activeCell="S127" sqref="S127"/>
      <selection activeCell="X33" sqref="X33"/>
    </sheetView>
  </sheetViews>
  <sheetFormatPr defaultColWidth="9.42578125" defaultRowHeight="13.5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255</v>
      </c>
      <c r="C2" s="691"/>
      <c r="D2" s="691"/>
      <c r="E2" s="691"/>
      <c r="F2" s="691"/>
      <c r="G2" s="691"/>
      <c r="H2" s="395"/>
      <c r="I2" s="162">
        <f>SUM(I6:I162)</f>
        <v>1114901.5750239133</v>
      </c>
      <c r="J2" s="162">
        <f>SUM(J6:J162)</f>
        <v>1364882.3818340106</v>
      </c>
      <c r="L2" s="692" t="s">
        <v>256</v>
      </c>
      <c r="M2" s="693"/>
      <c r="N2" s="693"/>
      <c r="O2" s="693"/>
      <c r="P2" s="693"/>
      <c r="Q2" s="693"/>
      <c r="R2" s="700" t="s">
        <v>257</v>
      </c>
      <c r="S2" s="701"/>
      <c r="T2" s="701"/>
      <c r="U2" s="701"/>
      <c r="V2" s="701"/>
      <c r="W2" s="702"/>
      <c r="X2" s="162">
        <f>SUM(X6:X162)</f>
        <v>948906.40000000014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ERROR on REV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6" t="s">
        <v>268</v>
      </c>
      <c r="S4" s="497" t="s">
        <v>220</v>
      </c>
      <c r="T4" s="521" t="s">
        <v>221</v>
      </c>
      <c r="U4" s="522" t="s">
        <v>269</v>
      </c>
      <c r="V4" s="274" t="s">
        <v>270</v>
      </c>
      <c r="W4" s="521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D163</f>
        <v>388678.38800000004</v>
      </c>
      <c r="H6" s="550">
        <f>'Project Plan'!E36+60</f>
        <v>46061</v>
      </c>
      <c r="I6" s="694">
        <f>SUM(G6:G11)</f>
        <v>388678.38800000004</v>
      </c>
      <c r="J6" s="697">
        <f>F163</f>
        <v>485847.98500000004</v>
      </c>
      <c r="K6" s="289"/>
      <c r="L6" s="185">
        <v>1</v>
      </c>
      <c r="M6" s="316" t="s">
        <v>274</v>
      </c>
      <c r="N6" s="186" t="s">
        <v>275</v>
      </c>
      <c r="O6" s="520">
        <v>258</v>
      </c>
      <c r="P6" s="336">
        <v>1189.5</v>
      </c>
      <c r="Q6" s="292">
        <f>O6*P6</f>
        <v>306891</v>
      </c>
      <c r="R6" s="468"/>
      <c r="S6" s="499" t="s">
        <v>276</v>
      </c>
      <c r="T6" s="541">
        <v>46022</v>
      </c>
      <c r="U6" s="637">
        <v>485847.98500000004</v>
      </c>
      <c r="V6" s="709">
        <f>J6-SUM(U6:U11)</f>
        <v>0</v>
      </c>
      <c r="W6" s="654">
        <v>46057</v>
      </c>
      <c r="X6" s="694">
        <f>SUM(Q6:Q11)</f>
        <v>306891</v>
      </c>
    </row>
    <row r="7" spans="1:76" ht="15" customHeight="1">
      <c r="B7" s="215">
        <v>1</v>
      </c>
      <c r="C7" s="317"/>
      <c r="D7" s="290" t="s">
        <v>277</v>
      </c>
      <c r="E7" s="291"/>
      <c r="F7" s="357"/>
      <c r="G7" s="219"/>
      <c r="H7" s="541"/>
      <c r="I7" s="695"/>
      <c r="J7" s="698"/>
      <c r="K7" s="192"/>
      <c r="L7" s="215">
        <v>1</v>
      </c>
      <c r="M7" s="217" t="s">
        <v>274</v>
      </c>
      <c r="N7" s="290"/>
      <c r="O7" s="433"/>
      <c r="P7" s="343"/>
      <c r="Q7" s="219"/>
      <c r="R7" s="469"/>
      <c r="S7" s="500"/>
      <c r="T7" s="411" t="str">
        <f t="shared" ref="T7:T72" si="0">IF(W7&gt;1,EOMONTH(W7,0),"")</f>
        <v/>
      </c>
      <c r="U7" s="637">
        <v>0</v>
      </c>
      <c r="V7" s="710"/>
      <c r="W7" s="453"/>
      <c r="X7" s="69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5"/>
      <c r="J8" s="698"/>
      <c r="K8" s="192"/>
      <c r="L8" s="215">
        <v>1</v>
      </c>
      <c r="M8" s="217" t="s">
        <v>274</v>
      </c>
      <c r="N8" s="379"/>
      <c r="O8" s="434"/>
      <c r="P8" s="343"/>
      <c r="Q8" s="219"/>
      <c r="R8" s="469"/>
      <c r="S8" s="500"/>
      <c r="T8" s="411" t="str">
        <f t="shared" si="0"/>
        <v/>
      </c>
      <c r="U8" s="637">
        <v>0</v>
      </c>
      <c r="V8" s="710"/>
      <c r="W8" s="453"/>
      <c r="X8" s="69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5"/>
      <c r="J9" s="698"/>
      <c r="K9" s="192"/>
      <c r="L9" s="215">
        <v>1</v>
      </c>
      <c r="M9" s="217" t="s">
        <v>274</v>
      </c>
      <c r="N9" s="379"/>
      <c r="O9" s="434"/>
      <c r="P9" s="343"/>
      <c r="Q9" s="287"/>
      <c r="R9" s="470"/>
      <c r="S9" s="501"/>
      <c r="T9" s="412" t="str">
        <f t="shared" si="0"/>
        <v/>
      </c>
      <c r="U9" s="637">
        <v>0</v>
      </c>
      <c r="V9" s="710"/>
      <c r="W9" s="454"/>
      <c r="X9" s="69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5"/>
      <c r="J10" s="698"/>
      <c r="K10" s="192"/>
      <c r="L10" s="215">
        <v>1</v>
      </c>
      <c r="M10" s="217" t="s">
        <v>274</v>
      </c>
      <c r="N10" s="379"/>
      <c r="O10" s="434"/>
      <c r="P10" s="343"/>
      <c r="Q10" s="287"/>
      <c r="R10" s="470"/>
      <c r="S10" s="501"/>
      <c r="T10" s="412" t="str">
        <f t="shared" si="0"/>
        <v/>
      </c>
      <c r="U10" s="637">
        <v>0</v>
      </c>
      <c r="V10" s="710"/>
      <c r="W10" s="454"/>
      <c r="X10" s="69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6"/>
      <c r="J11" s="699"/>
      <c r="K11" s="193"/>
      <c r="L11" s="220">
        <v>1</v>
      </c>
      <c r="M11" s="318" t="s">
        <v>274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637">
        <v>0</v>
      </c>
      <c r="V11" s="711"/>
      <c r="W11" s="455"/>
      <c r="X11" s="696"/>
      <c r="Y11" s="606" t="s">
        <v>278</v>
      </c>
      <c r="Z11" s="486" t="s">
        <v>279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7" t="s">
        <v>280</v>
      </c>
      <c r="Z12" s="487">
        <f>G55</f>
        <v>139985.94782608695</v>
      </c>
      <c r="AA12" s="526"/>
    </row>
    <row r="13" spans="1:76" ht="14.25" customHeight="1">
      <c r="B13" s="197">
        <v>2</v>
      </c>
      <c r="C13" s="223" t="s">
        <v>87</v>
      </c>
      <c r="D13" s="223" t="s">
        <v>281</v>
      </c>
      <c r="E13" s="268"/>
      <c r="F13" s="355"/>
      <c r="G13" s="200">
        <f>D164</f>
        <v>120000</v>
      </c>
      <c r="H13" s="554">
        <f>'Project Plan'!E22+60</f>
        <v>46061</v>
      </c>
      <c r="I13" s="703">
        <f>SUM(G13:G19)</f>
        <v>120000</v>
      </c>
      <c r="J13" s="706">
        <f>F164</f>
        <v>150000</v>
      </c>
      <c r="K13" s="201"/>
      <c r="L13" s="197">
        <v>2</v>
      </c>
      <c r="M13" s="319" t="s">
        <v>282</v>
      </c>
      <c r="N13" s="223" t="s">
        <v>283</v>
      </c>
      <c r="O13" s="437">
        <v>1</v>
      </c>
      <c r="P13" s="355">
        <v>68870.350000000006</v>
      </c>
      <c r="Q13" s="200">
        <f>O13*P13</f>
        <v>68870.350000000006</v>
      </c>
      <c r="R13" s="473"/>
      <c r="S13" s="504" t="str">
        <f>S6</f>
        <v>MSA Energy - INV0003484</v>
      </c>
      <c r="T13" s="554">
        <f>T6</f>
        <v>46022</v>
      </c>
      <c r="U13" s="638">
        <v>91846.376169656171</v>
      </c>
      <c r="V13" s="712">
        <f>J13-SUM(U13:U19)</f>
        <v>0</v>
      </c>
      <c r="W13" s="655">
        <f>W6</f>
        <v>46057</v>
      </c>
      <c r="X13" s="703">
        <f>SUM(Q13:Q19)</f>
        <v>112476.43000000001</v>
      </c>
      <c r="Y13" s="607" t="s">
        <v>284</v>
      </c>
      <c r="Z13" s="488">
        <f>G32</f>
        <v>100395.79999999999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4"/>
      <c r="J14" s="707"/>
      <c r="K14" s="205"/>
      <c r="L14" s="202">
        <v>2</v>
      </c>
      <c r="M14" s="325" t="s">
        <v>282</v>
      </c>
      <c r="N14" s="309" t="s">
        <v>285</v>
      </c>
      <c r="O14" s="438">
        <v>1</v>
      </c>
      <c r="P14" s="351">
        <v>43606.080000000002</v>
      </c>
      <c r="Q14" s="375">
        <f>O14*P14</f>
        <v>43606.080000000002</v>
      </c>
      <c r="R14" s="474"/>
      <c r="S14" s="505" t="str">
        <f>S6</f>
        <v>MSA Energy - INV0003484</v>
      </c>
      <c r="T14" s="545">
        <f>T6</f>
        <v>46022</v>
      </c>
      <c r="U14" s="638">
        <v>58153.623830343837</v>
      </c>
      <c r="V14" s="713"/>
      <c r="W14" s="631">
        <f>W13</f>
        <v>46057</v>
      </c>
      <c r="X14" s="704"/>
      <c r="Y14" s="607" t="s">
        <v>286</v>
      </c>
      <c r="Z14" s="487">
        <f>G92</f>
        <v>39345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4"/>
      <c r="J15" s="707"/>
      <c r="K15" s="205"/>
      <c r="L15" s="202">
        <v>2</v>
      </c>
      <c r="M15" s="325" t="s">
        <v>282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638">
        <v>0</v>
      </c>
      <c r="V15" s="713"/>
      <c r="W15" s="458"/>
      <c r="X15" s="704"/>
      <c r="Y15" s="607" t="s">
        <v>287</v>
      </c>
      <c r="Z15" s="487">
        <f>G93</f>
        <v>85785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4"/>
      <c r="J16" s="707"/>
      <c r="K16" s="205"/>
      <c r="L16" s="202">
        <v>2</v>
      </c>
      <c r="M16" s="325" t="s">
        <v>282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638">
        <v>0</v>
      </c>
      <c r="V16" s="713"/>
      <c r="W16" s="458"/>
      <c r="X16" s="704"/>
      <c r="Y16" s="607" t="s">
        <v>288</v>
      </c>
      <c r="Z16" s="487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4"/>
      <c r="J17" s="707"/>
      <c r="K17" s="205"/>
      <c r="L17" s="202">
        <v>2</v>
      </c>
      <c r="M17" s="325" t="s">
        <v>282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638">
        <v>0</v>
      </c>
      <c r="V17" s="713"/>
      <c r="W17" s="458"/>
      <c r="X17" s="704"/>
      <c r="Y17" s="607" t="s">
        <v>289</v>
      </c>
      <c r="Z17" s="487">
        <f>G106</f>
        <v>12818.666666666666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4"/>
      <c r="J18" s="707"/>
      <c r="K18" s="205"/>
      <c r="L18" s="202">
        <v>2</v>
      </c>
      <c r="M18" s="325" t="s">
        <v>282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638">
        <v>0</v>
      </c>
      <c r="V18" s="713"/>
      <c r="W18" s="458"/>
      <c r="X18" s="704"/>
      <c r="Y18" s="607" t="s">
        <v>290</v>
      </c>
      <c r="Z18" s="487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5"/>
      <c r="J19" s="708"/>
      <c r="K19" s="210"/>
      <c r="L19" s="296">
        <v>2</v>
      </c>
      <c r="M19" s="320" t="s">
        <v>282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639">
        <v>0</v>
      </c>
      <c r="V19" s="714"/>
      <c r="W19" s="459"/>
      <c r="X19" s="705"/>
      <c r="Y19" s="607" t="s">
        <v>291</v>
      </c>
      <c r="Z19" s="487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7"/>
      <c r="Z20" s="487"/>
      <c r="AA20" s="526"/>
    </row>
    <row r="21" spans="1:27" ht="14.25" customHeight="1">
      <c r="B21" s="185">
        <v>3</v>
      </c>
      <c r="C21" s="213" t="s">
        <v>292</v>
      </c>
      <c r="D21" s="231" t="s">
        <v>293</v>
      </c>
      <c r="E21" s="187"/>
      <c r="F21" s="336"/>
      <c r="G21" s="188">
        <f>D165</f>
        <v>70821</v>
      </c>
      <c r="H21" s="542">
        <f>'Project Plan'!E30+30</f>
        <v>46031</v>
      </c>
      <c r="I21" s="694">
        <f>SUM(G21:G29)</f>
        <v>70821</v>
      </c>
      <c r="J21" s="697">
        <f>F165</f>
        <v>88526.25</v>
      </c>
      <c r="K21" s="189"/>
      <c r="L21" s="185">
        <v>3</v>
      </c>
      <c r="M21" s="321" t="s">
        <v>294</v>
      </c>
      <c r="N21" s="231" t="s">
        <v>295</v>
      </c>
      <c r="O21" s="432">
        <v>600</v>
      </c>
      <c r="P21" s="336">
        <v>26.47</v>
      </c>
      <c r="Q21" s="188">
        <f>O21*P21</f>
        <v>15882</v>
      </c>
      <c r="R21" s="476"/>
      <c r="S21" s="507" t="s">
        <v>296</v>
      </c>
      <c r="T21" s="626">
        <v>46053</v>
      </c>
      <c r="U21" s="637">
        <v>61736.990487599389</v>
      </c>
      <c r="V21" s="709">
        <f>J21-SUM(U21:U29)</f>
        <v>-4.1899532079696655E-3</v>
      </c>
      <c r="W21" s="627">
        <v>46053</v>
      </c>
      <c r="X21" s="694">
        <f>SUM(Q21:Q29)</f>
        <v>27727.27</v>
      </c>
      <c r="Y21" s="607" t="s">
        <v>297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5"/>
      <c r="J22" s="698"/>
      <c r="K22" s="192"/>
      <c r="L22" s="215">
        <v>3</v>
      </c>
      <c r="M22" s="322" t="s">
        <v>294</v>
      </c>
      <c r="N22" s="232" t="s">
        <v>298</v>
      </c>
      <c r="O22" s="433">
        <v>201</v>
      </c>
      <c r="P22" s="357">
        <v>12.31</v>
      </c>
      <c r="Q22" s="219">
        <f t="shared" ref="Q22:Q24" si="1">O22*P22</f>
        <v>2474.31</v>
      </c>
      <c r="R22" s="469"/>
      <c r="S22" s="500" t="s">
        <v>296</v>
      </c>
      <c r="T22" s="652">
        <v>46053</v>
      </c>
      <c r="U22" s="637">
        <v>7899.8540295348221</v>
      </c>
      <c r="V22" s="710"/>
      <c r="W22" s="653">
        <v>46053</v>
      </c>
      <c r="X22" s="695"/>
      <c r="Y22" s="607" t="s">
        <v>246</v>
      </c>
      <c r="Z22" s="487">
        <f>SUM(Z12:Z21)</f>
        <v>386830.41449275363</v>
      </c>
    </row>
    <row r="23" spans="1:27" ht="14.25" customHeight="1">
      <c r="B23" s="215"/>
      <c r="C23" s="216"/>
      <c r="D23" s="232"/>
      <c r="E23" s="218"/>
      <c r="F23" s="357"/>
      <c r="G23" s="219"/>
      <c r="H23" s="541"/>
      <c r="I23" s="695"/>
      <c r="J23" s="698"/>
      <c r="K23" s="192"/>
      <c r="L23" s="215">
        <v>3</v>
      </c>
      <c r="M23" s="322" t="s">
        <v>294</v>
      </c>
      <c r="N23" s="232" t="s">
        <v>298</v>
      </c>
      <c r="O23" s="433">
        <v>184</v>
      </c>
      <c r="P23" s="357">
        <v>14.19</v>
      </c>
      <c r="Q23" s="219">
        <f t="shared" si="1"/>
        <v>2610.96</v>
      </c>
      <c r="R23" s="469"/>
      <c r="S23" s="500" t="s">
        <v>299</v>
      </c>
      <c r="T23" s="652">
        <v>46053</v>
      </c>
      <c r="U23" s="637">
        <v>8336.1433599485263</v>
      </c>
      <c r="V23" s="710"/>
      <c r="W23" s="653">
        <v>46053</v>
      </c>
      <c r="X23" s="695"/>
      <c r="Y23" s="607"/>
      <c r="Z23" s="487"/>
    </row>
    <row r="24" spans="1:27" ht="14.25" customHeight="1">
      <c r="B24" s="215"/>
      <c r="C24" s="216"/>
      <c r="D24" s="232"/>
      <c r="E24" s="218"/>
      <c r="F24" s="357"/>
      <c r="G24" s="219"/>
      <c r="H24" s="541"/>
      <c r="I24" s="695"/>
      <c r="J24" s="698"/>
      <c r="K24" s="192"/>
      <c r="L24" s="215">
        <v>3</v>
      </c>
      <c r="M24" s="322" t="s">
        <v>294</v>
      </c>
      <c r="N24" s="232" t="s">
        <v>300</v>
      </c>
      <c r="O24" s="433">
        <v>100</v>
      </c>
      <c r="P24" s="357">
        <v>12.68</v>
      </c>
      <c r="Q24" s="219">
        <f t="shared" si="1"/>
        <v>1268</v>
      </c>
      <c r="R24" s="469"/>
      <c r="S24" s="500" t="s">
        <v>296</v>
      </c>
      <c r="T24" s="652">
        <v>46053</v>
      </c>
      <c r="U24" s="637">
        <v>4048.4073982040063</v>
      </c>
      <c r="V24" s="710"/>
      <c r="W24" s="653">
        <v>46053</v>
      </c>
      <c r="X24" s="695"/>
      <c r="Y24" s="607"/>
      <c r="Z24" s="487"/>
    </row>
    <row r="25" spans="1:27" ht="14.25" customHeight="1">
      <c r="B25" s="215"/>
      <c r="C25" s="216"/>
      <c r="D25" s="232"/>
      <c r="E25" s="218"/>
      <c r="F25" s="357"/>
      <c r="G25" s="219"/>
      <c r="H25" s="541"/>
      <c r="I25" s="695"/>
      <c r="J25" s="698"/>
      <c r="K25" s="192"/>
      <c r="L25" s="215">
        <v>3</v>
      </c>
      <c r="M25" s="322" t="s">
        <v>294</v>
      </c>
      <c r="N25" s="232"/>
      <c r="O25" s="433"/>
      <c r="P25" s="357"/>
      <c r="Q25" s="219"/>
      <c r="R25" s="469"/>
      <c r="S25" s="500"/>
      <c r="T25" s="411"/>
      <c r="U25" s="397"/>
      <c r="V25" s="710"/>
      <c r="W25" s="453"/>
      <c r="X25" s="695"/>
      <c r="Y25" s="607"/>
      <c r="Z25" s="487"/>
    </row>
    <row r="26" spans="1:27" ht="14.25" customHeight="1">
      <c r="B26" s="215">
        <v>3</v>
      </c>
      <c r="C26" s="216"/>
      <c r="D26" s="232"/>
      <c r="E26" s="218"/>
      <c r="F26" s="357"/>
      <c r="G26" s="219"/>
      <c r="H26" s="541"/>
      <c r="I26" s="695"/>
      <c r="J26" s="698"/>
      <c r="K26" s="192"/>
      <c r="L26" s="215">
        <v>3</v>
      </c>
      <c r="M26" s="322" t="s">
        <v>294</v>
      </c>
      <c r="N26" s="232" t="s">
        <v>301</v>
      </c>
      <c r="O26" s="433"/>
      <c r="P26" s="357"/>
      <c r="Q26" s="219">
        <v>5492</v>
      </c>
      <c r="R26" s="469" t="s">
        <v>302</v>
      </c>
      <c r="S26" s="500" t="s">
        <v>303</v>
      </c>
      <c r="T26" s="541">
        <v>46022</v>
      </c>
      <c r="U26" s="637">
        <v>6504.8589146664526</v>
      </c>
      <c r="V26" s="710"/>
      <c r="W26" s="653">
        <v>46021</v>
      </c>
      <c r="X26" s="695"/>
      <c r="Y26" s="607" t="s">
        <v>304</v>
      </c>
      <c r="Z26" s="490">
        <f>+Z22*0.85</f>
        <v>328805.85231884057</v>
      </c>
    </row>
    <row r="27" spans="1:27" ht="14.25" customHeight="1">
      <c r="B27" s="215">
        <v>3</v>
      </c>
      <c r="C27" s="285"/>
      <c r="D27" s="286"/>
      <c r="E27" s="307"/>
      <c r="F27" s="343"/>
      <c r="G27" s="287"/>
      <c r="H27" s="551"/>
      <c r="I27" s="695"/>
      <c r="J27" s="698"/>
      <c r="K27" s="192"/>
      <c r="L27" s="215">
        <v>3</v>
      </c>
      <c r="M27" s="322" t="s">
        <v>294</v>
      </c>
      <c r="N27" s="286"/>
      <c r="O27" s="434"/>
      <c r="P27" s="343"/>
      <c r="Q27" s="287"/>
      <c r="R27" s="470"/>
      <c r="S27" s="501"/>
      <c r="T27" s="412" t="str">
        <f t="shared" si="0"/>
        <v/>
      </c>
      <c r="U27" s="397">
        <f t="shared" ref="U27:U29" si="2">(Q27/$X$21*$J$21)</f>
        <v>0</v>
      </c>
      <c r="V27" s="710"/>
      <c r="W27" s="454"/>
      <c r="X27" s="695"/>
      <c r="Y27" s="608" t="s">
        <v>305</v>
      </c>
      <c r="Z27" s="489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7"/>
      <c r="F28" s="343"/>
      <c r="G28" s="287"/>
      <c r="H28" s="551"/>
      <c r="I28" s="695"/>
      <c r="J28" s="698"/>
      <c r="K28" s="192"/>
      <c r="L28" s="215">
        <v>3</v>
      </c>
      <c r="M28" s="322" t="s">
        <v>294</v>
      </c>
      <c r="N28" s="286"/>
      <c r="O28" s="434"/>
      <c r="P28" s="343"/>
      <c r="Q28" s="287"/>
      <c r="R28" s="470"/>
      <c r="S28" s="501"/>
      <c r="T28" s="412" t="str">
        <f t="shared" si="0"/>
        <v/>
      </c>
      <c r="U28" s="397">
        <f t="shared" si="2"/>
        <v>0</v>
      </c>
      <c r="V28" s="710"/>
      <c r="W28" s="454"/>
      <c r="X28" s="695"/>
    </row>
    <row r="29" spans="1:27" ht="15" customHeight="1" thickBot="1">
      <c r="B29" s="220">
        <v>3</v>
      </c>
      <c r="C29" s="241"/>
      <c r="D29" s="233"/>
      <c r="E29" s="222"/>
      <c r="F29" s="358"/>
      <c r="G29" s="234"/>
      <c r="H29" s="552"/>
      <c r="I29" s="696"/>
      <c r="J29" s="699"/>
      <c r="K29" s="193"/>
      <c r="L29" s="220">
        <v>3</v>
      </c>
      <c r="M29" s="323" t="s">
        <v>294</v>
      </c>
      <c r="N29" s="233"/>
      <c r="O29" s="435"/>
      <c r="P29" s="358"/>
      <c r="Q29" s="234"/>
      <c r="R29" s="471"/>
      <c r="S29" s="502"/>
      <c r="T29" s="413" t="str">
        <f t="shared" si="0"/>
        <v/>
      </c>
      <c r="U29" s="398">
        <f t="shared" si="2"/>
        <v>0</v>
      </c>
      <c r="V29" s="711"/>
      <c r="W29" s="455"/>
      <c r="X29" s="696"/>
      <c r="Y29" s="609" t="s">
        <v>205</v>
      </c>
      <c r="Z29" s="491" t="s">
        <v>306</v>
      </c>
    </row>
    <row r="30" spans="1:27" ht="14.2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2"/>
      <c r="S30" s="503"/>
      <c r="T30" s="414" t="str">
        <f t="shared" si="0"/>
        <v/>
      </c>
      <c r="U30" s="403"/>
      <c r="V30" s="385"/>
      <c r="W30" s="456"/>
      <c r="X30" s="547"/>
      <c r="Y30" s="610" t="str">
        <f>Y12</f>
        <v>AC Equipment</v>
      </c>
      <c r="Z30" s="492">
        <v>62952</v>
      </c>
    </row>
    <row r="31" spans="1:27" ht="14.25" customHeight="1">
      <c r="B31" s="197">
        <v>4</v>
      </c>
      <c r="C31" s="198" t="s">
        <v>284</v>
      </c>
      <c r="D31" s="198" t="s">
        <v>307</v>
      </c>
      <c r="E31" s="268">
        <v>3658</v>
      </c>
      <c r="F31" s="355"/>
      <c r="G31" s="200">
        <v>51212</v>
      </c>
      <c r="H31" s="554">
        <f>'Project Plan'!E32+60</f>
        <v>46061</v>
      </c>
      <c r="I31" s="703">
        <f>SUM(G31:G45)</f>
        <v>151607.79999999999</v>
      </c>
      <c r="J31" s="706">
        <f>F166</f>
        <v>189509.75</v>
      </c>
      <c r="K31" s="201"/>
      <c r="L31" s="197">
        <v>4</v>
      </c>
      <c r="M31" s="324" t="s">
        <v>308</v>
      </c>
      <c r="N31" s="198" t="s">
        <v>309</v>
      </c>
      <c r="O31" s="429">
        <v>2000</v>
      </c>
      <c r="P31" s="647">
        <v>14</v>
      </c>
      <c r="Q31" s="200">
        <f>O31*P31</f>
        <v>28000</v>
      </c>
      <c r="R31" s="473"/>
      <c r="S31" s="504" t="s">
        <v>310</v>
      </c>
      <c r="T31" s="648">
        <v>46053</v>
      </c>
      <c r="U31" s="638">
        <v>55267.937277763966</v>
      </c>
      <c r="V31" s="712">
        <f>J31-SUM(U31:U45)</f>
        <v>4.5400531671475619E-3</v>
      </c>
      <c r="W31" s="650">
        <v>46053</v>
      </c>
      <c r="X31" s="703">
        <f>SUM(Q31:Q45)</f>
        <v>96009.97</v>
      </c>
      <c r="Y31" s="610" t="str">
        <f>Y13</f>
        <v>DC Equipment</v>
      </c>
      <c r="Z31" s="492">
        <v>39345</v>
      </c>
    </row>
    <row r="32" spans="1:27" ht="14.25" customHeight="1">
      <c r="B32" s="224">
        <v>4</v>
      </c>
      <c r="C32" s="309"/>
      <c r="D32" s="309" t="s">
        <v>311</v>
      </c>
      <c r="E32" s="295"/>
      <c r="F32" s="351"/>
      <c r="G32" s="516">
        <f>D166-G31</f>
        <v>100395.79999999999</v>
      </c>
      <c r="H32" s="545">
        <f>'Project Plan'!G28</f>
        <v>46052</v>
      </c>
      <c r="I32" s="704"/>
      <c r="J32" s="707"/>
      <c r="K32" s="205"/>
      <c r="L32" s="202">
        <v>4</v>
      </c>
      <c r="M32" s="325" t="s">
        <v>308</v>
      </c>
      <c r="N32" s="309"/>
      <c r="O32" s="430">
        <v>2000</v>
      </c>
      <c r="P32" s="351">
        <v>14</v>
      </c>
      <c r="Q32" s="204">
        <f>O32*P32</f>
        <v>28000</v>
      </c>
      <c r="R32" s="474"/>
      <c r="S32" s="505" t="s">
        <v>310</v>
      </c>
      <c r="T32" s="649">
        <v>46053</v>
      </c>
      <c r="U32" s="638">
        <v>55267.937277763966</v>
      </c>
      <c r="V32" s="713"/>
      <c r="W32" s="651">
        <v>46053</v>
      </c>
      <c r="X32" s="704"/>
      <c r="Y32" s="610" t="str">
        <f>Y14</f>
        <v>AC Labour</v>
      </c>
      <c r="Z32" s="492">
        <v>40918.800000000003</v>
      </c>
      <c r="AA32" s="526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704"/>
      <c r="J33" s="707"/>
      <c r="K33" s="205"/>
      <c r="L33" s="202">
        <v>4</v>
      </c>
      <c r="M33" s="325" t="s">
        <v>308</v>
      </c>
      <c r="N33" s="309" t="s">
        <v>312</v>
      </c>
      <c r="O33" s="430"/>
      <c r="P33" s="351"/>
      <c r="Q33" s="204">
        <v>664.97</v>
      </c>
      <c r="R33" s="474"/>
      <c r="S33" s="505" t="s">
        <v>313</v>
      </c>
      <c r="T33" s="649">
        <v>46053</v>
      </c>
      <c r="U33" s="638">
        <v>969.91429469981074</v>
      </c>
      <c r="V33" s="713"/>
      <c r="W33" s="458">
        <v>46079</v>
      </c>
      <c r="X33" s="704"/>
      <c r="Y33" s="610" t="str">
        <f>Y15</f>
        <v>DC Labour</v>
      </c>
      <c r="Z33" s="492">
        <v>94428</v>
      </c>
      <c r="AA33" s="526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704"/>
      <c r="J34" s="707"/>
      <c r="K34" s="205"/>
      <c r="L34" s="202">
        <v>4</v>
      </c>
      <c r="M34" s="325" t="s">
        <v>308</v>
      </c>
      <c r="N34" s="309"/>
      <c r="O34" s="438"/>
      <c r="P34" s="351"/>
      <c r="Q34" s="204"/>
      <c r="R34" s="474"/>
      <c r="S34" s="505"/>
      <c r="T34" s="416" t="str">
        <f t="shared" si="0"/>
        <v/>
      </c>
      <c r="U34" s="401">
        <f t="shared" ref="U34:U45" si="3">(Q34/$X$31*$J$31)</f>
        <v>0</v>
      </c>
      <c r="V34" s="713"/>
      <c r="W34" s="458"/>
      <c r="X34" s="704"/>
      <c r="Y34" s="610" t="s">
        <v>314</v>
      </c>
      <c r="Z34" s="492">
        <v>17311.8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704"/>
      <c r="J35" s="707"/>
      <c r="K35" s="205"/>
      <c r="L35" s="202">
        <v>4</v>
      </c>
      <c r="M35" s="325" t="s">
        <v>308</v>
      </c>
      <c r="N35" s="309" t="s">
        <v>315</v>
      </c>
      <c r="O35" s="447">
        <f>Z31</f>
        <v>39345</v>
      </c>
      <c r="P35" s="448">
        <v>0.1</v>
      </c>
      <c r="Q35" s="204">
        <f>$O$35*P35</f>
        <v>3934.5</v>
      </c>
      <c r="R35" s="718" t="s">
        <v>316</v>
      </c>
      <c r="S35" s="505" t="str">
        <f>S93</f>
        <v>BDL Solar- IN000763</v>
      </c>
      <c r="T35" s="545">
        <f>T93</f>
        <v>46022</v>
      </c>
      <c r="U35" s="638">
        <v>7903.1862989559595</v>
      </c>
      <c r="V35" s="713"/>
      <c r="W35" s="631">
        <f>W93</f>
        <v>46003</v>
      </c>
      <c r="X35" s="704"/>
      <c r="Y35" s="610" t="s">
        <v>105</v>
      </c>
      <c r="Z35" s="492">
        <v>5000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704"/>
      <c r="J36" s="707"/>
      <c r="K36" s="205"/>
      <c r="L36" s="202">
        <v>4</v>
      </c>
      <c r="M36" s="325" t="s">
        <v>308</v>
      </c>
      <c r="N36" s="309" t="s">
        <v>153</v>
      </c>
      <c r="O36" s="438"/>
      <c r="P36" s="448">
        <v>0.15</v>
      </c>
      <c r="Q36" s="204">
        <f t="shared" ref="Q36:Q42" si="4">$O$35*P36</f>
        <v>5901.75</v>
      </c>
      <c r="R36" s="719"/>
      <c r="S36" s="505" t="str">
        <f>S62</f>
        <v>BDL Solar- IN000764</v>
      </c>
      <c r="T36" s="545">
        <f t="shared" ref="T36:T42" si="5">T94</f>
        <v>46022</v>
      </c>
      <c r="U36" s="638">
        <v>11854.779448433939</v>
      </c>
      <c r="V36" s="713"/>
      <c r="W36" s="631">
        <f t="shared" ref="W36:W42" si="6">W94</f>
        <v>46003</v>
      </c>
      <c r="X36" s="704"/>
      <c r="Y36" s="610" t="s">
        <v>317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704"/>
      <c r="J37" s="707"/>
      <c r="K37" s="205"/>
      <c r="L37" s="202">
        <v>4</v>
      </c>
      <c r="M37" s="325" t="s">
        <v>308</v>
      </c>
      <c r="N37" s="309" t="s">
        <v>318</v>
      </c>
      <c r="O37" s="438"/>
      <c r="P37" s="448">
        <v>0.2</v>
      </c>
      <c r="Q37" s="204">
        <f t="shared" si="4"/>
        <v>7869</v>
      </c>
      <c r="R37" s="719"/>
      <c r="S37" s="505"/>
      <c r="T37" s="416">
        <f t="shared" si="5"/>
        <v>46081</v>
      </c>
      <c r="U37" s="401">
        <f t="shared" si="3"/>
        <v>15532.26422995445</v>
      </c>
      <c r="V37" s="713"/>
      <c r="W37" s="458">
        <f t="shared" si="6"/>
        <v>46066</v>
      </c>
      <c r="X37" s="704"/>
      <c r="Y37" s="610" t="s">
        <v>319</v>
      </c>
      <c r="Z37" s="492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704"/>
      <c r="J38" s="707"/>
      <c r="K38" s="205"/>
      <c r="L38" s="202">
        <v>4</v>
      </c>
      <c r="M38" s="325" t="s">
        <v>308</v>
      </c>
      <c r="N38" s="309" t="s">
        <v>320</v>
      </c>
      <c r="O38" s="438"/>
      <c r="P38" s="448">
        <v>0.25</v>
      </c>
      <c r="Q38" s="204">
        <f t="shared" si="4"/>
        <v>9836.25</v>
      </c>
      <c r="R38" s="719"/>
      <c r="S38" s="505"/>
      <c r="T38" s="416">
        <f t="shared" si="5"/>
        <v>46081</v>
      </c>
      <c r="U38" s="401">
        <f t="shared" si="3"/>
        <v>19415.330287443066</v>
      </c>
      <c r="V38" s="713"/>
      <c r="W38" s="458">
        <f t="shared" si="6"/>
        <v>46062</v>
      </c>
      <c r="X38" s="704"/>
      <c r="Y38" s="610" t="s">
        <v>105</v>
      </c>
      <c r="Z38" s="492">
        <v>0</v>
      </c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704"/>
      <c r="J39" s="707"/>
      <c r="K39" s="205"/>
      <c r="L39" s="202">
        <v>4</v>
      </c>
      <c r="M39" s="325" t="s">
        <v>308</v>
      </c>
      <c r="N39" s="309" t="s">
        <v>321</v>
      </c>
      <c r="O39" s="438"/>
      <c r="P39" s="448">
        <v>0.1</v>
      </c>
      <c r="Q39" s="204">
        <f t="shared" si="4"/>
        <v>3934.5</v>
      </c>
      <c r="R39" s="719"/>
      <c r="S39" s="505"/>
      <c r="T39" s="416">
        <f t="shared" si="5"/>
        <v>46081</v>
      </c>
      <c r="U39" s="401">
        <f t="shared" si="3"/>
        <v>7766.1321149772248</v>
      </c>
      <c r="V39" s="713"/>
      <c r="W39" s="458">
        <f t="shared" si="6"/>
        <v>46069</v>
      </c>
      <c r="X39" s="704"/>
      <c r="Y39" s="610" t="s">
        <v>297</v>
      </c>
      <c r="Z39" s="492">
        <v>0</v>
      </c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704"/>
      <c r="J40" s="707"/>
      <c r="K40" s="205"/>
      <c r="L40" s="202">
        <v>4</v>
      </c>
      <c r="M40" s="325" t="s">
        <v>308</v>
      </c>
      <c r="N40" s="309" t="s">
        <v>322</v>
      </c>
      <c r="O40" s="438"/>
      <c r="P40" s="448">
        <v>0.1</v>
      </c>
      <c r="Q40" s="204">
        <f t="shared" si="4"/>
        <v>3934.5</v>
      </c>
      <c r="R40" s="719"/>
      <c r="S40" s="505"/>
      <c r="T40" s="416">
        <f t="shared" si="5"/>
        <v>46081</v>
      </c>
      <c r="U40" s="401">
        <f t="shared" si="3"/>
        <v>7766.1321149772248</v>
      </c>
      <c r="V40" s="713"/>
      <c r="W40" s="458">
        <f t="shared" si="6"/>
        <v>46076</v>
      </c>
      <c r="X40" s="704"/>
      <c r="Y40" s="610" t="s">
        <v>297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704"/>
      <c r="J41" s="707"/>
      <c r="K41" s="205"/>
      <c r="L41" s="202">
        <v>4</v>
      </c>
      <c r="M41" s="325" t="s">
        <v>308</v>
      </c>
      <c r="N41" s="309" t="s">
        <v>323</v>
      </c>
      <c r="O41" s="438"/>
      <c r="P41" s="448">
        <v>0.05</v>
      </c>
      <c r="Q41" s="204">
        <f t="shared" si="4"/>
        <v>1967.25</v>
      </c>
      <c r="R41" s="719"/>
      <c r="S41" s="505"/>
      <c r="T41" s="416">
        <f t="shared" si="5"/>
        <v>46112</v>
      </c>
      <c r="U41" s="401">
        <f t="shared" si="3"/>
        <v>3883.0660574886124</v>
      </c>
      <c r="V41" s="713"/>
      <c r="W41" s="458">
        <f t="shared" si="6"/>
        <v>46083</v>
      </c>
      <c r="X41" s="704"/>
      <c r="Y41" s="610" t="s">
        <v>246</v>
      </c>
      <c r="Z41" s="492">
        <f>SUM(Z30:Z40)</f>
        <v>259955.59999999998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5"/>
      <c r="I42" s="704"/>
      <c r="J42" s="707"/>
      <c r="K42" s="205"/>
      <c r="L42" s="202">
        <v>4</v>
      </c>
      <c r="M42" s="325" t="s">
        <v>308</v>
      </c>
      <c r="N42" s="309" t="s">
        <v>324</v>
      </c>
      <c r="O42" s="438"/>
      <c r="P42" s="448">
        <v>0.05</v>
      </c>
      <c r="Q42" s="204">
        <f t="shared" si="4"/>
        <v>1967.25</v>
      </c>
      <c r="R42" s="720"/>
      <c r="S42" s="505"/>
      <c r="T42" s="416">
        <f t="shared" si="5"/>
        <v>46142</v>
      </c>
      <c r="U42" s="401">
        <f t="shared" si="3"/>
        <v>3883.0660574886124</v>
      </c>
      <c r="V42" s="713"/>
      <c r="W42" s="458">
        <f t="shared" si="6"/>
        <v>46113</v>
      </c>
      <c r="X42" s="704"/>
      <c r="Y42" s="611" t="s">
        <v>305</v>
      </c>
      <c r="Z42" s="493">
        <f>Z41/'Project Plan'!$E$3/1000</f>
        <v>1.655768152866242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5"/>
      <c r="I43" s="704"/>
      <c r="J43" s="707"/>
      <c r="K43" s="205"/>
      <c r="L43" s="202">
        <v>4</v>
      </c>
      <c r="M43" s="325" t="s">
        <v>308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3"/>
        <v>0</v>
      </c>
      <c r="V43" s="713"/>
      <c r="W43" s="458"/>
      <c r="X43" s="704"/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5"/>
      <c r="I44" s="704"/>
      <c r="J44" s="707"/>
      <c r="K44" s="205"/>
      <c r="L44" s="202">
        <v>4</v>
      </c>
      <c r="M44" s="325" t="s">
        <v>308</v>
      </c>
      <c r="N44" s="309"/>
      <c r="O44" s="438"/>
      <c r="P44" s="351"/>
      <c r="Q44" s="204"/>
      <c r="R44" s="474"/>
      <c r="S44" s="505"/>
      <c r="T44" s="416" t="str">
        <f t="shared" si="0"/>
        <v/>
      </c>
      <c r="U44" s="401">
        <f t="shared" si="3"/>
        <v>0</v>
      </c>
      <c r="V44" s="713"/>
      <c r="W44" s="458"/>
      <c r="X44" s="704"/>
    </row>
    <row r="45" spans="1:27" ht="15" customHeight="1" thickBot="1">
      <c r="B45" s="206">
        <v>4</v>
      </c>
      <c r="C45" s="229"/>
      <c r="D45" s="229"/>
      <c r="E45" s="298"/>
      <c r="F45" s="353"/>
      <c r="G45" s="209"/>
      <c r="H45" s="555"/>
      <c r="I45" s="705"/>
      <c r="J45" s="708"/>
      <c r="K45" s="210"/>
      <c r="L45" s="206">
        <v>4</v>
      </c>
      <c r="M45" s="326" t="s">
        <v>308</v>
      </c>
      <c r="N45" s="229"/>
      <c r="O45" s="439"/>
      <c r="P45" s="353"/>
      <c r="Q45" s="209"/>
      <c r="R45" s="475"/>
      <c r="S45" s="506"/>
      <c r="T45" s="417" t="str">
        <f t="shared" si="0"/>
        <v/>
      </c>
      <c r="U45" s="402">
        <f t="shared" si="3"/>
        <v>0</v>
      </c>
      <c r="V45" s="714"/>
      <c r="W45" s="459"/>
      <c r="X45" s="705"/>
    </row>
    <row r="46" spans="1:27" ht="13.9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7"/>
      <c r="S46" s="508"/>
      <c r="T46" s="414" t="str">
        <f t="shared" si="0"/>
        <v/>
      </c>
      <c r="U46" s="405"/>
      <c r="V46" s="388"/>
      <c r="W46" s="456"/>
      <c r="X46" s="547"/>
    </row>
    <row r="47" spans="1:27" ht="14.25" customHeight="1">
      <c r="B47" s="185">
        <v>5</v>
      </c>
      <c r="C47" s="213" t="s">
        <v>325</v>
      </c>
      <c r="D47" s="231"/>
      <c r="E47" s="187"/>
      <c r="F47" s="336"/>
      <c r="G47" s="188"/>
      <c r="H47" s="542"/>
      <c r="I47" s="694">
        <f>SUM(G47:G53)</f>
        <v>0</v>
      </c>
      <c r="J47" s="697">
        <f>F168</f>
        <v>0</v>
      </c>
      <c r="K47" s="189"/>
      <c r="L47" s="185">
        <v>5</v>
      </c>
      <c r="M47" s="321" t="s">
        <v>326</v>
      </c>
      <c r="N47" s="231" t="s">
        <v>327</v>
      </c>
      <c r="O47" s="432"/>
      <c r="P47" s="336"/>
      <c r="Q47" s="188">
        <v>11169</v>
      </c>
      <c r="R47" s="476"/>
      <c r="S47" s="507"/>
      <c r="T47" s="418">
        <v>46081</v>
      </c>
      <c r="U47" s="396"/>
      <c r="V47" s="709">
        <f>J47-SUM(U47:U53)</f>
        <v>0</v>
      </c>
      <c r="W47" s="460">
        <v>46107</v>
      </c>
      <c r="X47" s="694">
        <f>SUM(Q47:Q53)</f>
        <v>11530.85</v>
      </c>
    </row>
    <row r="48" spans="1:27" ht="14.25" customHeight="1">
      <c r="B48" s="190">
        <v>5</v>
      </c>
      <c r="C48" s="214"/>
      <c r="D48" s="217"/>
      <c r="E48" s="349"/>
      <c r="F48" s="350"/>
      <c r="G48" s="219"/>
      <c r="H48" s="541"/>
      <c r="I48" s="695"/>
      <c r="J48" s="698"/>
      <c r="K48" s="192"/>
      <c r="L48" s="190">
        <v>5</v>
      </c>
      <c r="M48" s="327" t="s">
        <v>326</v>
      </c>
      <c r="N48" s="191" t="s">
        <v>328</v>
      </c>
      <c r="O48" s="440"/>
      <c r="P48" s="350"/>
      <c r="Q48" s="219">
        <v>361.85</v>
      </c>
      <c r="R48" s="517"/>
      <c r="S48" s="500" t="s">
        <v>329</v>
      </c>
      <c r="T48" s="652">
        <v>46053</v>
      </c>
      <c r="U48" s="396"/>
      <c r="V48" s="710"/>
      <c r="W48" s="453">
        <v>46079</v>
      </c>
      <c r="X48" s="695"/>
    </row>
    <row r="49" spans="1:24" ht="14.25" customHeight="1">
      <c r="B49" s="190">
        <v>5</v>
      </c>
      <c r="C49" s="214"/>
      <c r="D49" s="217"/>
      <c r="E49" s="218"/>
      <c r="F49" s="357"/>
      <c r="G49" s="219"/>
      <c r="H49" s="541"/>
      <c r="I49" s="695"/>
      <c r="J49" s="698"/>
      <c r="K49" s="192"/>
      <c r="L49" s="190">
        <v>5</v>
      </c>
      <c r="M49" s="327" t="s">
        <v>326</v>
      </c>
      <c r="N49" s="217"/>
      <c r="O49" s="433"/>
      <c r="P49" s="357"/>
      <c r="Q49" s="219"/>
      <c r="R49" s="469"/>
      <c r="S49" s="500"/>
      <c r="T49" s="411"/>
      <c r="U49" s="396"/>
      <c r="V49" s="710"/>
      <c r="W49" s="453"/>
      <c r="X49" s="695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1"/>
      <c r="I50" s="695"/>
      <c r="J50" s="698"/>
      <c r="K50" s="192"/>
      <c r="L50" s="215">
        <v>5</v>
      </c>
      <c r="M50" s="327" t="s">
        <v>326</v>
      </c>
      <c r="N50" s="217"/>
      <c r="O50" s="433"/>
      <c r="P50" s="357"/>
      <c r="Q50" s="219"/>
      <c r="R50" s="469"/>
      <c r="S50" s="500"/>
      <c r="T50" s="541" t="str">
        <f t="shared" si="0"/>
        <v/>
      </c>
      <c r="U50" s="396"/>
      <c r="V50" s="710"/>
      <c r="W50" s="453"/>
      <c r="X50" s="695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5"/>
      <c r="J51" s="698"/>
      <c r="K51" s="192"/>
      <c r="L51" s="215">
        <v>5</v>
      </c>
      <c r="M51" s="327" t="s">
        <v>326</v>
      </c>
      <c r="N51" s="288"/>
      <c r="O51" s="434"/>
      <c r="P51" s="343"/>
      <c r="Q51" s="287"/>
      <c r="R51" s="470"/>
      <c r="S51" s="501"/>
      <c r="T51" s="412" t="str">
        <f t="shared" si="0"/>
        <v/>
      </c>
      <c r="U51" s="396"/>
      <c r="V51" s="710"/>
      <c r="W51" s="454"/>
      <c r="X51" s="695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5"/>
      <c r="J52" s="698"/>
      <c r="K52" s="192"/>
      <c r="L52" s="215">
        <v>5</v>
      </c>
      <c r="M52" s="327" t="s">
        <v>326</v>
      </c>
      <c r="N52" s="288"/>
      <c r="O52" s="434"/>
      <c r="P52" s="343"/>
      <c r="Q52" s="287"/>
      <c r="R52" s="470"/>
      <c r="S52" s="501"/>
      <c r="T52" s="412" t="str">
        <f t="shared" si="0"/>
        <v/>
      </c>
      <c r="U52" s="397"/>
      <c r="V52" s="710"/>
      <c r="W52" s="454"/>
      <c r="X52" s="695"/>
    </row>
    <row r="53" spans="1:24" ht="15" customHeight="1" thickBot="1">
      <c r="B53" s="220">
        <v>5</v>
      </c>
      <c r="C53" s="241"/>
      <c r="D53" s="221"/>
      <c r="E53" s="222"/>
      <c r="F53" s="358"/>
      <c r="G53" s="234"/>
      <c r="H53" s="552"/>
      <c r="I53" s="696"/>
      <c r="J53" s="699"/>
      <c r="K53" s="193"/>
      <c r="L53" s="220">
        <v>5</v>
      </c>
      <c r="M53" s="323" t="s">
        <v>326</v>
      </c>
      <c r="N53" s="221"/>
      <c r="O53" s="435"/>
      <c r="P53" s="358"/>
      <c r="Q53" s="234"/>
      <c r="R53" s="471"/>
      <c r="S53" s="502"/>
      <c r="T53" s="413" t="str">
        <f t="shared" si="0"/>
        <v/>
      </c>
      <c r="U53" s="398"/>
      <c r="V53" s="711"/>
      <c r="W53" s="455"/>
      <c r="X53" s="696"/>
    </row>
    <row r="54" spans="1:24" ht="14.25" thickBot="1">
      <c r="A54" s="4"/>
      <c r="B54" s="194"/>
      <c r="C54" s="211"/>
      <c r="D54" s="182"/>
      <c r="E54" s="195"/>
      <c r="F54" s="354"/>
      <c r="G54" s="196"/>
      <c r="H54" s="553"/>
      <c r="I54" s="548"/>
      <c r="J54" s="230"/>
      <c r="K54" s="4"/>
      <c r="L54" s="194"/>
      <c r="M54" s="211"/>
      <c r="N54" s="182"/>
      <c r="O54" s="436"/>
      <c r="P54" s="354"/>
      <c r="Q54" s="196"/>
      <c r="R54" s="472"/>
      <c r="S54" s="503"/>
      <c r="T54" s="414" t="str">
        <f t="shared" si="0"/>
        <v/>
      </c>
      <c r="U54" s="403"/>
      <c r="V54" s="385"/>
      <c r="W54" s="456"/>
      <c r="X54" s="548"/>
    </row>
    <row r="55" spans="1:24" ht="14.25" customHeight="1">
      <c r="B55" s="197">
        <v>6</v>
      </c>
      <c r="C55" s="198" t="s">
        <v>280</v>
      </c>
      <c r="D55" s="199" t="s">
        <v>330</v>
      </c>
      <c r="E55" s="373"/>
      <c r="F55" s="355"/>
      <c r="G55" s="200">
        <f>D167</f>
        <v>139985.94782608695</v>
      </c>
      <c r="H55" s="554">
        <f>'Project Plan'!G24+30</f>
        <v>46087</v>
      </c>
      <c r="I55" s="703">
        <f>SUM(G55:G71)</f>
        <v>139985.94782608695</v>
      </c>
      <c r="J55" s="706">
        <f>F167</f>
        <v>174982.4347826087</v>
      </c>
      <c r="K55" s="201"/>
      <c r="L55" s="197">
        <v>6</v>
      </c>
      <c r="M55" s="330" t="s">
        <v>331</v>
      </c>
      <c r="N55" s="199"/>
      <c r="O55" s="428"/>
      <c r="P55" s="355"/>
      <c r="Q55" s="200"/>
      <c r="R55" s="473"/>
      <c r="S55" s="504"/>
      <c r="T55" s="415" t="str">
        <f t="shared" si="0"/>
        <v/>
      </c>
      <c r="U55" s="400">
        <f t="shared" ref="U55:U70" si="7">(Q55/$X$55*$J$55)</f>
        <v>0</v>
      </c>
      <c r="V55" s="712">
        <f>J55-SUM(U55:U71)</f>
        <v>0</v>
      </c>
      <c r="W55" s="457"/>
      <c r="X55" s="703">
        <f>SUM(Q55:Q71)</f>
        <v>144028.00000000003</v>
      </c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4"/>
      <c r="J56" s="707"/>
      <c r="K56" s="205"/>
      <c r="L56" s="202">
        <v>6</v>
      </c>
      <c r="M56" s="328" t="s">
        <v>331</v>
      </c>
      <c r="N56" s="342" t="s">
        <v>97</v>
      </c>
      <c r="O56" s="438"/>
      <c r="P56" s="351"/>
      <c r="Q56" s="225">
        <f>66958+14118</f>
        <v>81076</v>
      </c>
      <c r="R56" s="474" t="s">
        <v>332</v>
      </c>
      <c r="S56" s="505" t="s">
        <v>333</v>
      </c>
      <c r="T56" s="545">
        <v>46053</v>
      </c>
      <c r="U56" s="638">
        <v>98500.818468872589</v>
      </c>
      <c r="V56" s="713"/>
      <c r="W56" s="458">
        <v>46081</v>
      </c>
      <c r="X56" s="70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4"/>
      <c r="J57" s="707"/>
      <c r="K57" s="205"/>
      <c r="L57" s="202">
        <v>6</v>
      </c>
      <c r="M57" s="328" t="s">
        <v>331</v>
      </c>
      <c r="N57" s="342"/>
      <c r="O57" s="438"/>
      <c r="P57" s="351"/>
      <c r="Q57" s="225"/>
      <c r="R57" s="474"/>
      <c r="S57" s="505"/>
      <c r="T57" s="416" t="str">
        <f t="shared" si="0"/>
        <v/>
      </c>
      <c r="U57" s="401">
        <f t="shared" si="7"/>
        <v>0</v>
      </c>
      <c r="V57" s="713"/>
      <c r="W57" s="458"/>
      <c r="X57" s="70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4"/>
      <c r="J58" s="707"/>
      <c r="K58" s="205"/>
      <c r="L58" s="202">
        <v>6</v>
      </c>
      <c r="M58" s="328" t="s">
        <v>331</v>
      </c>
      <c r="N58" s="342"/>
      <c r="O58" s="438"/>
      <c r="P58" s="351"/>
      <c r="Q58" s="225"/>
      <c r="R58" s="474"/>
      <c r="S58" s="505"/>
      <c r="T58" s="416" t="str">
        <f t="shared" si="0"/>
        <v/>
      </c>
      <c r="U58" s="401">
        <f t="shared" si="7"/>
        <v>0</v>
      </c>
      <c r="V58" s="713"/>
      <c r="W58" s="458"/>
      <c r="X58" s="70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04"/>
      <c r="J59" s="707"/>
      <c r="K59" s="205"/>
      <c r="L59" s="202">
        <v>6</v>
      </c>
      <c r="M59" s="328" t="s">
        <v>331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7"/>
        <v>0</v>
      </c>
      <c r="V59" s="713"/>
      <c r="W59" s="458"/>
      <c r="X59" s="70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04"/>
      <c r="J60" s="707"/>
      <c r="K60" s="205"/>
      <c r="L60" s="202">
        <v>6</v>
      </c>
      <c r="M60" s="328" t="s">
        <v>331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7"/>
        <v>0</v>
      </c>
      <c r="V60" s="713"/>
      <c r="W60" s="458"/>
      <c r="X60" s="704"/>
    </row>
    <row r="61" spans="1:24" ht="14.25" customHeight="1">
      <c r="B61" s="202">
        <v>6</v>
      </c>
      <c r="C61" s="348"/>
      <c r="D61" s="203"/>
      <c r="E61" s="300"/>
      <c r="F61" s="352"/>
      <c r="G61" s="225"/>
      <c r="H61" s="545"/>
      <c r="I61" s="704"/>
      <c r="J61" s="707"/>
      <c r="K61" s="205"/>
      <c r="L61" s="202">
        <v>6</v>
      </c>
      <c r="M61" s="328" t="s">
        <v>331</v>
      </c>
      <c r="N61" s="309" t="s">
        <v>315</v>
      </c>
      <c r="O61" s="447">
        <f>Z30</f>
        <v>62952</v>
      </c>
      <c r="P61" s="448">
        <v>0.1</v>
      </c>
      <c r="Q61" s="204">
        <f>$O$61*P61</f>
        <v>6295.2000000000007</v>
      </c>
      <c r="R61" s="718" t="s">
        <v>316</v>
      </c>
      <c r="S61" s="505" t="str">
        <f>S93</f>
        <v>BDL Solar- IN000763</v>
      </c>
      <c r="T61" s="560">
        <f>T93</f>
        <v>46022</v>
      </c>
      <c r="U61" s="638">
        <v>7648.1616313736085</v>
      </c>
      <c r="V61" s="713"/>
      <c r="W61" s="631">
        <f>W93</f>
        <v>46003</v>
      </c>
      <c r="X61" s="70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4"/>
      <c r="J62" s="707"/>
      <c r="K62" s="205"/>
      <c r="L62" s="202">
        <v>6</v>
      </c>
      <c r="M62" s="329" t="s">
        <v>331</v>
      </c>
      <c r="N62" s="309" t="s">
        <v>153</v>
      </c>
      <c r="O62" s="438"/>
      <c r="P62" s="448">
        <v>0.15</v>
      </c>
      <c r="Q62" s="204">
        <f t="shared" ref="Q62:Q68" si="8">$O$61*P62</f>
        <v>9442.7999999999993</v>
      </c>
      <c r="R62" s="719"/>
      <c r="S62" s="505" t="str">
        <f>S94</f>
        <v>BDL Solar- IN000764</v>
      </c>
      <c r="T62" s="560">
        <f t="shared" si="0"/>
        <v>46022</v>
      </c>
      <c r="U62" s="638">
        <v>11472.242447060413</v>
      </c>
      <c r="V62" s="713"/>
      <c r="W62" s="631">
        <f t="shared" ref="W62:W68" si="9">W94</f>
        <v>46003</v>
      </c>
      <c r="X62" s="70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4"/>
      <c r="J63" s="707"/>
      <c r="K63" s="205"/>
      <c r="L63" s="202">
        <v>6</v>
      </c>
      <c r="M63" s="329" t="s">
        <v>331</v>
      </c>
      <c r="N63" s="309" t="s">
        <v>318</v>
      </c>
      <c r="O63" s="438"/>
      <c r="P63" s="448">
        <v>0.2</v>
      </c>
      <c r="Q63" s="204">
        <f t="shared" si="8"/>
        <v>12590.400000000001</v>
      </c>
      <c r="R63" s="719"/>
      <c r="S63" s="505"/>
      <c r="T63" s="419">
        <f t="shared" si="0"/>
        <v>46081</v>
      </c>
      <c r="U63" s="401">
        <f t="shared" si="7"/>
        <v>15296.323262747217</v>
      </c>
      <c r="V63" s="713"/>
      <c r="W63" s="458">
        <f t="shared" si="9"/>
        <v>46066</v>
      </c>
      <c r="X63" s="70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04"/>
      <c r="J64" s="707"/>
      <c r="K64" s="205"/>
      <c r="L64" s="202">
        <v>6</v>
      </c>
      <c r="M64" s="329" t="s">
        <v>331</v>
      </c>
      <c r="N64" s="309" t="s">
        <v>320</v>
      </c>
      <c r="O64" s="438"/>
      <c r="P64" s="448">
        <v>0.25</v>
      </c>
      <c r="Q64" s="204">
        <f t="shared" si="8"/>
        <v>15738</v>
      </c>
      <c r="R64" s="719"/>
      <c r="S64" s="505"/>
      <c r="T64" s="419">
        <f t="shared" si="0"/>
        <v>46081</v>
      </c>
      <c r="U64" s="401">
        <f t="shared" si="7"/>
        <v>19120.404078434021</v>
      </c>
      <c r="V64" s="713"/>
      <c r="W64" s="458">
        <f t="shared" si="9"/>
        <v>46062</v>
      </c>
      <c r="X64" s="70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4"/>
      <c r="J65" s="707"/>
      <c r="K65" s="205"/>
      <c r="L65" s="202">
        <v>6</v>
      </c>
      <c r="M65" s="329" t="s">
        <v>331</v>
      </c>
      <c r="N65" s="309" t="s">
        <v>321</v>
      </c>
      <c r="O65" s="438"/>
      <c r="P65" s="448">
        <v>0.1</v>
      </c>
      <c r="Q65" s="204">
        <f t="shared" si="8"/>
        <v>6295.2000000000007</v>
      </c>
      <c r="R65" s="719"/>
      <c r="S65" s="505"/>
      <c r="T65" s="419">
        <f t="shared" si="0"/>
        <v>46081</v>
      </c>
      <c r="U65" s="401">
        <f t="shared" si="7"/>
        <v>7648.1616313736085</v>
      </c>
      <c r="V65" s="713"/>
      <c r="W65" s="458">
        <f t="shared" si="9"/>
        <v>46069</v>
      </c>
      <c r="X65" s="70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4"/>
      <c r="J66" s="707"/>
      <c r="K66" s="205"/>
      <c r="L66" s="202">
        <v>6</v>
      </c>
      <c r="M66" s="329" t="s">
        <v>331</v>
      </c>
      <c r="N66" s="309" t="s">
        <v>322</v>
      </c>
      <c r="O66" s="438"/>
      <c r="P66" s="448">
        <v>0.1</v>
      </c>
      <c r="Q66" s="204">
        <f t="shared" si="8"/>
        <v>6295.2000000000007</v>
      </c>
      <c r="R66" s="719"/>
      <c r="S66" s="509"/>
      <c r="T66" s="419">
        <f t="shared" si="0"/>
        <v>46081</v>
      </c>
      <c r="U66" s="406">
        <f t="shared" si="7"/>
        <v>7648.1616313736085</v>
      </c>
      <c r="V66" s="713"/>
      <c r="W66" s="458">
        <f t="shared" si="9"/>
        <v>46076</v>
      </c>
      <c r="X66" s="70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4"/>
      <c r="J67" s="707"/>
      <c r="K67" s="205"/>
      <c r="L67" s="202">
        <v>6</v>
      </c>
      <c r="M67" s="329" t="s">
        <v>331</v>
      </c>
      <c r="N67" s="309" t="s">
        <v>323</v>
      </c>
      <c r="O67" s="438"/>
      <c r="P67" s="448">
        <v>0.05</v>
      </c>
      <c r="Q67" s="204">
        <f t="shared" si="8"/>
        <v>3147.6000000000004</v>
      </c>
      <c r="R67" s="719"/>
      <c r="S67" s="509"/>
      <c r="T67" s="419">
        <f t="shared" si="0"/>
        <v>46112</v>
      </c>
      <c r="U67" s="406">
        <f t="shared" si="7"/>
        <v>3824.0808156868043</v>
      </c>
      <c r="V67" s="713"/>
      <c r="W67" s="458">
        <f t="shared" si="9"/>
        <v>46083</v>
      </c>
      <c r="X67" s="70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4"/>
      <c r="J68" s="707"/>
      <c r="K68" s="205"/>
      <c r="L68" s="202">
        <v>6</v>
      </c>
      <c r="M68" s="329" t="s">
        <v>331</v>
      </c>
      <c r="N68" s="309" t="s">
        <v>324</v>
      </c>
      <c r="O68" s="438"/>
      <c r="P68" s="448">
        <v>0.05</v>
      </c>
      <c r="Q68" s="204">
        <f t="shared" si="8"/>
        <v>3147.6000000000004</v>
      </c>
      <c r="R68" s="720"/>
      <c r="S68" s="509"/>
      <c r="T68" s="419">
        <f t="shared" si="0"/>
        <v>46142</v>
      </c>
      <c r="U68" s="406">
        <f t="shared" si="7"/>
        <v>3824.0808156868043</v>
      </c>
      <c r="V68" s="713"/>
      <c r="W68" s="458">
        <f t="shared" si="9"/>
        <v>46113</v>
      </c>
      <c r="X68" s="70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4"/>
      <c r="J69" s="707"/>
      <c r="K69" s="205"/>
      <c r="L69" s="202">
        <v>6</v>
      </c>
      <c r="M69" s="329" t="s">
        <v>331</v>
      </c>
      <c r="N69" s="309"/>
      <c r="O69" s="438"/>
      <c r="P69" s="448"/>
      <c r="Q69" s="204"/>
      <c r="R69" s="478"/>
      <c r="S69" s="509"/>
      <c r="T69" s="419" t="str">
        <f t="shared" si="0"/>
        <v/>
      </c>
      <c r="U69" s="406">
        <f t="shared" si="7"/>
        <v>0</v>
      </c>
      <c r="V69" s="713"/>
      <c r="W69" s="461"/>
      <c r="X69" s="70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4"/>
      <c r="J70" s="707"/>
      <c r="K70" s="205"/>
      <c r="L70" s="202">
        <v>6</v>
      </c>
      <c r="M70" s="329" t="s">
        <v>331</v>
      </c>
      <c r="N70" s="309"/>
      <c r="O70" s="438"/>
      <c r="P70" s="448"/>
      <c r="Q70" s="204"/>
      <c r="R70" s="478"/>
      <c r="S70" s="509"/>
      <c r="T70" s="419" t="str">
        <f t="shared" si="0"/>
        <v/>
      </c>
      <c r="U70" s="406">
        <f t="shared" si="7"/>
        <v>0</v>
      </c>
      <c r="V70" s="713"/>
      <c r="W70" s="461"/>
      <c r="X70" s="704"/>
    </row>
    <row r="71" spans="1:24" ht="15" customHeight="1" thickBot="1">
      <c r="B71" s="206">
        <v>6</v>
      </c>
      <c r="C71" s="302"/>
      <c r="D71" s="208"/>
      <c r="E71" s="356"/>
      <c r="F71" s="353"/>
      <c r="G71" s="209"/>
      <c r="H71" s="555"/>
      <c r="I71" s="705"/>
      <c r="J71" s="708"/>
      <c r="K71" s="210"/>
      <c r="L71" s="206">
        <v>6</v>
      </c>
      <c r="M71" s="331" t="s">
        <v>331</v>
      </c>
      <c r="N71" s="208"/>
      <c r="O71" s="442"/>
      <c r="P71" s="353"/>
      <c r="Q71" s="209"/>
      <c r="R71" s="475"/>
      <c r="S71" s="506"/>
      <c r="T71" s="417" t="str">
        <f t="shared" si="0"/>
        <v/>
      </c>
      <c r="U71" s="402">
        <f>(Q71/$X$55*$J$55)</f>
        <v>0</v>
      </c>
      <c r="V71" s="714"/>
      <c r="W71" s="459"/>
      <c r="X71" s="705"/>
    </row>
    <row r="72" spans="1:24" ht="13.9" thickBot="1">
      <c r="A72" s="4"/>
      <c r="B72" s="194"/>
      <c r="C72" s="235"/>
      <c r="D72" s="212"/>
      <c r="E72" s="195"/>
      <c r="F72" s="354"/>
      <c r="G72" s="196"/>
      <c r="H72" s="557"/>
      <c r="I72" s="547"/>
      <c r="J72" s="184"/>
      <c r="K72" s="4"/>
      <c r="L72" s="194"/>
      <c r="M72" s="235"/>
      <c r="N72" s="212"/>
      <c r="O72" s="436"/>
      <c r="P72" s="354"/>
      <c r="Q72" s="196"/>
      <c r="R72" s="479"/>
      <c r="S72" s="510"/>
      <c r="T72" s="420" t="str">
        <f t="shared" si="0"/>
        <v/>
      </c>
      <c r="U72" s="407"/>
      <c r="V72" s="382"/>
      <c r="W72" s="462"/>
      <c r="X72" s="547"/>
    </row>
    <row r="73" spans="1:24" ht="14.25" customHeight="1">
      <c r="B73" s="281">
        <v>7</v>
      </c>
      <c r="C73" s="213" t="s">
        <v>334</v>
      </c>
      <c r="D73" s="282"/>
      <c r="E73" s="360"/>
      <c r="F73" s="366"/>
      <c r="G73" s="283"/>
      <c r="H73" s="558"/>
      <c r="I73" s="694">
        <f>SUM(G73:G80)</f>
        <v>0</v>
      </c>
      <c r="J73" s="697">
        <f>F172</f>
        <v>0</v>
      </c>
      <c r="K73" s="189"/>
      <c r="L73" s="281">
        <v>7</v>
      </c>
      <c r="M73" s="213" t="s">
        <v>335</v>
      </c>
      <c r="N73" s="282"/>
      <c r="O73" s="360"/>
      <c r="P73" s="366"/>
      <c r="Q73" s="283"/>
      <c r="R73" s="480"/>
      <c r="S73" s="511"/>
      <c r="T73" s="421" t="str">
        <f t="shared" ref="T73:T136" si="10">IF(W73&gt;1,EOMONTH(W73,0),"")</f>
        <v/>
      </c>
      <c r="U73" s="524"/>
      <c r="V73" s="715">
        <f>J73-SUM(U73:U80)</f>
        <v>0</v>
      </c>
      <c r="W73" s="463"/>
      <c r="X73" s="694">
        <f>SUM(Q73:Q80)</f>
        <v>0</v>
      </c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5"/>
      <c r="J74" s="698"/>
      <c r="K74" s="192"/>
      <c r="L74" s="284">
        <v>7</v>
      </c>
      <c r="M74" s="285" t="s">
        <v>335</v>
      </c>
      <c r="N74" s="286"/>
      <c r="O74" s="307"/>
      <c r="P74" s="343"/>
      <c r="Q74" s="287"/>
      <c r="R74" s="470"/>
      <c r="S74" s="501"/>
      <c r="T74" s="412" t="str">
        <f t="shared" si="10"/>
        <v/>
      </c>
      <c r="U74" s="397"/>
      <c r="V74" s="716"/>
      <c r="W74" s="454"/>
      <c r="X74" s="69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5"/>
      <c r="J75" s="698"/>
      <c r="K75" s="192"/>
      <c r="L75" s="284">
        <v>7</v>
      </c>
      <c r="M75" s="285" t="s">
        <v>335</v>
      </c>
      <c r="N75" s="286"/>
      <c r="O75" s="307"/>
      <c r="P75" s="343"/>
      <c r="Q75" s="287"/>
      <c r="R75" s="470"/>
      <c r="S75" s="501"/>
      <c r="T75" s="412" t="str">
        <f t="shared" si="10"/>
        <v/>
      </c>
      <c r="U75" s="397"/>
      <c r="V75" s="716"/>
      <c r="W75" s="454"/>
      <c r="X75" s="69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5"/>
      <c r="J76" s="698"/>
      <c r="K76" s="192"/>
      <c r="L76" s="284">
        <v>7</v>
      </c>
      <c r="M76" s="285" t="s">
        <v>335</v>
      </c>
      <c r="N76" s="286"/>
      <c r="O76" s="307"/>
      <c r="P76" s="343"/>
      <c r="Q76" s="287"/>
      <c r="R76" s="470"/>
      <c r="S76" s="501"/>
      <c r="T76" s="412" t="str">
        <f t="shared" si="10"/>
        <v/>
      </c>
      <c r="U76" s="397"/>
      <c r="V76" s="716"/>
      <c r="W76" s="454"/>
      <c r="X76" s="695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5"/>
      <c r="J77" s="698"/>
      <c r="K77" s="192"/>
      <c r="L77" s="284">
        <v>7</v>
      </c>
      <c r="M77" s="285" t="s">
        <v>335</v>
      </c>
      <c r="N77" s="286"/>
      <c r="O77" s="307"/>
      <c r="P77" s="343"/>
      <c r="Q77" s="287"/>
      <c r="R77" s="470"/>
      <c r="S77" s="501"/>
      <c r="T77" s="412" t="str">
        <f t="shared" si="10"/>
        <v/>
      </c>
      <c r="U77" s="397"/>
      <c r="V77" s="716"/>
      <c r="W77" s="454"/>
      <c r="X77" s="69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5"/>
      <c r="J78" s="698"/>
      <c r="K78" s="192"/>
      <c r="L78" s="284">
        <v>7</v>
      </c>
      <c r="M78" s="285" t="s">
        <v>335</v>
      </c>
      <c r="N78" s="286"/>
      <c r="O78" s="434"/>
      <c r="P78" s="343"/>
      <c r="Q78" s="287"/>
      <c r="R78" s="470"/>
      <c r="S78" s="501"/>
      <c r="T78" s="412" t="str">
        <f t="shared" si="10"/>
        <v/>
      </c>
      <c r="U78" s="397"/>
      <c r="V78" s="716"/>
      <c r="W78" s="454"/>
      <c r="X78" s="69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5"/>
      <c r="J79" s="698"/>
      <c r="K79" s="192"/>
      <c r="L79" s="284">
        <v>7</v>
      </c>
      <c r="M79" s="285" t="s">
        <v>335</v>
      </c>
      <c r="N79" s="286"/>
      <c r="O79" s="434"/>
      <c r="P79" s="343"/>
      <c r="Q79" s="287"/>
      <c r="R79" s="470"/>
      <c r="S79" s="501"/>
      <c r="T79" s="412" t="str">
        <f t="shared" si="10"/>
        <v/>
      </c>
      <c r="U79" s="397"/>
      <c r="V79" s="716"/>
      <c r="W79" s="454"/>
      <c r="X79" s="695"/>
    </row>
    <row r="80" spans="1:24" ht="15" customHeight="1" thickBot="1">
      <c r="B80" s="220">
        <v>7</v>
      </c>
      <c r="C80" s="241"/>
      <c r="D80" s="233"/>
      <c r="E80" s="222"/>
      <c r="F80" s="358"/>
      <c r="G80" s="234"/>
      <c r="H80" s="559"/>
      <c r="I80" s="696"/>
      <c r="J80" s="699"/>
      <c r="K80" s="193"/>
      <c r="L80" s="220">
        <v>7</v>
      </c>
      <c r="M80" s="241" t="s">
        <v>335</v>
      </c>
      <c r="N80" s="233"/>
      <c r="O80" s="435"/>
      <c r="P80" s="358"/>
      <c r="Q80" s="234"/>
      <c r="R80" s="471"/>
      <c r="S80" s="502"/>
      <c r="T80" s="413" t="str">
        <f t="shared" si="10"/>
        <v/>
      </c>
      <c r="U80" s="398"/>
      <c r="V80" s="717"/>
      <c r="W80" s="455"/>
      <c r="X80" s="696"/>
    </row>
    <row r="81" spans="1:24" ht="13.9" thickBot="1">
      <c r="A81" s="4"/>
      <c r="B81" s="194"/>
      <c r="C81" s="235"/>
      <c r="D81" s="212"/>
      <c r="E81" s="195"/>
      <c r="F81" s="354"/>
      <c r="G81" s="196"/>
      <c r="H81" s="553"/>
      <c r="I81" s="547"/>
      <c r="J81" s="184"/>
      <c r="K81" s="4"/>
      <c r="L81" s="194"/>
      <c r="M81" s="235"/>
      <c r="N81" s="212"/>
      <c r="O81" s="436"/>
      <c r="P81" s="354"/>
      <c r="Q81" s="196"/>
      <c r="R81" s="472"/>
      <c r="S81" s="503"/>
      <c r="T81" s="414" t="str">
        <f t="shared" si="10"/>
        <v/>
      </c>
      <c r="U81" s="403"/>
      <c r="V81" s="385"/>
      <c r="W81" s="456"/>
      <c r="X81" s="547"/>
    </row>
    <row r="82" spans="1:24" ht="14.25" customHeight="1">
      <c r="B82" s="236">
        <v>8</v>
      </c>
      <c r="C82" s="198" t="s">
        <v>336</v>
      </c>
      <c r="D82" s="237" t="s">
        <v>337</v>
      </c>
      <c r="E82" s="361"/>
      <c r="F82" s="315"/>
      <c r="G82" s="238">
        <f>D171</f>
        <v>34428</v>
      </c>
      <c r="H82" s="554">
        <f>H92</f>
        <v>46069</v>
      </c>
      <c r="I82" s="703">
        <f>SUM(G82:G90)</f>
        <v>34428</v>
      </c>
      <c r="J82" s="706">
        <f>F171</f>
        <v>43035</v>
      </c>
      <c r="K82" s="201"/>
      <c r="L82" s="236">
        <v>8</v>
      </c>
      <c r="M82" s="324" t="s">
        <v>338</v>
      </c>
      <c r="N82" s="237" t="s">
        <v>337</v>
      </c>
      <c r="O82" s="361"/>
      <c r="P82" s="315"/>
      <c r="Q82" s="238">
        <v>34428</v>
      </c>
      <c r="R82" s="473"/>
      <c r="S82" s="504"/>
      <c r="T82" s="415">
        <v>46081</v>
      </c>
      <c r="U82" s="400">
        <f>(Q82/$X$82*$J$82)</f>
        <v>40538.715661595706</v>
      </c>
      <c r="V82" s="733">
        <f>J82-SUM(U82:U90)</f>
        <v>0</v>
      </c>
      <c r="W82" s="457">
        <v>46081</v>
      </c>
      <c r="X82" s="703">
        <f>SUM(Q82:Q90)</f>
        <v>36548</v>
      </c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04"/>
      <c r="J83" s="707"/>
      <c r="K83" s="205"/>
      <c r="L83" s="226">
        <v>8</v>
      </c>
      <c r="M83" s="332" t="s">
        <v>338</v>
      </c>
      <c r="N83" s="239"/>
      <c r="O83" s="314"/>
      <c r="P83" s="359"/>
      <c r="Q83" s="228"/>
      <c r="R83" s="474"/>
      <c r="S83" s="505"/>
      <c r="T83" s="416"/>
      <c r="U83" s="401">
        <f t="shared" ref="U83:U90" si="11">(Q83/$X$82*$J$82)</f>
        <v>0</v>
      </c>
      <c r="V83" s="734"/>
      <c r="W83" s="458"/>
      <c r="X83" s="70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4"/>
      <c r="J84" s="707"/>
      <c r="K84" s="205"/>
      <c r="L84" s="226">
        <v>8</v>
      </c>
      <c r="M84" s="332" t="s">
        <v>338</v>
      </c>
      <c r="N84" s="239" t="s">
        <v>339</v>
      </c>
      <c r="O84" s="314"/>
      <c r="P84" s="359"/>
      <c r="Q84" s="228">
        <v>2120</v>
      </c>
      <c r="R84" s="474" t="s">
        <v>340</v>
      </c>
      <c r="S84" s="505" t="s">
        <v>341</v>
      </c>
      <c r="T84" s="545">
        <v>46081</v>
      </c>
      <c r="U84" s="401">
        <f t="shared" si="11"/>
        <v>2496.2843384042903</v>
      </c>
      <c r="V84" s="734"/>
      <c r="W84" s="458">
        <f>T84+30</f>
        <v>46111</v>
      </c>
      <c r="X84" s="70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4"/>
      <c r="J85" s="707"/>
      <c r="K85" s="205"/>
      <c r="L85" s="226">
        <v>8</v>
      </c>
      <c r="M85" s="332" t="s">
        <v>338</v>
      </c>
      <c r="N85" s="239"/>
      <c r="O85" s="314"/>
      <c r="P85" s="359"/>
      <c r="Q85" s="228"/>
      <c r="R85" s="474"/>
      <c r="S85" s="505"/>
      <c r="T85" s="416" t="str">
        <f t="shared" si="10"/>
        <v/>
      </c>
      <c r="U85" s="401">
        <f t="shared" si="11"/>
        <v>0</v>
      </c>
      <c r="V85" s="734"/>
      <c r="W85" s="458"/>
      <c r="X85" s="70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4"/>
      <c r="J86" s="707"/>
      <c r="K86" s="205"/>
      <c r="L86" s="226">
        <v>8</v>
      </c>
      <c r="M86" s="332" t="s">
        <v>338</v>
      </c>
      <c r="N86" s="239"/>
      <c r="O86" s="314"/>
      <c r="P86" s="359"/>
      <c r="Q86" s="228"/>
      <c r="R86" s="474"/>
      <c r="S86" s="505"/>
      <c r="T86" s="416" t="str">
        <f t="shared" si="10"/>
        <v/>
      </c>
      <c r="U86" s="401">
        <f t="shared" si="11"/>
        <v>0</v>
      </c>
      <c r="V86" s="734"/>
      <c r="W86" s="458"/>
      <c r="X86" s="70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4"/>
      <c r="J87" s="707"/>
      <c r="K87" s="205"/>
      <c r="L87" s="226">
        <v>8</v>
      </c>
      <c r="M87" s="332" t="s">
        <v>338</v>
      </c>
      <c r="N87" s="239"/>
      <c r="O87" s="441"/>
      <c r="P87" s="533"/>
      <c r="Q87" s="228"/>
      <c r="R87" s="474"/>
      <c r="S87" s="505"/>
      <c r="T87" s="416"/>
      <c r="U87" s="401">
        <f t="shared" si="11"/>
        <v>0</v>
      </c>
      <c r="V87" s="734"/>
      <c r="W87" s="458"/>
      <c r="X87" s="704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4"/>
      <c r="J88" s="707"/>
      <c r="K88" s="205"/>
      <c r="L88" s="226">
        <v>8</v>
      </c>
      <c r="M88" s="332" t="s">
        <v>338</v>
      </c>
      <c r="N88" s="239"/>
      <c r="O88" s="441"/>
      <c r="P88" s="359"/>
      <c r="Q88" s="228"/>
      <c r="R88" s="474"/>
      <c r="S88" s="505"/>
      <c r="T88" s="545" t="str">
        <f t="shared" si="10"/>
        <v/>
      </c>
      <c r="U88" s="401">
        <f t="shared" si="11"/>
        <v>0</v>
      </c>
      <c r="V88" s="734"/>
      <c r="W88" s="458"/>
      <c r="X88" s="70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04"/>
      <c r="J89" s="707"/>
      <c r="K89" s="205"/>
      <c r="L89" s="226">
        <v>8</v>
      </c>
      <c r="M89" s="332" t="s">
        <v>338</v>
      </c>
      <c r="N89" s="239"/>
      <c r="O89" s="441"/>
      <c r="P89" s="359"/>
      <c r="Q89" s="228"/>
      <c r="R89" s="478"/>
      <c r="S89" s="509"/>
      <c r="T89" s="419" t="str">
        <f t="shared" si="10"/>
        <v/>
      </c>
      <c r="U89" s="406">
        <f t="shared" si="11"/>
        <v>0</v>
      </c>
      <c r="V89" s="734"/>
      <c r="W89" s="461"/>
      <c r="X89" s="704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05"/>
      <c r="J90" s="708"/>
      <c r="K90" s="210"/>
      <c r="L90" s="206">
        <v>8</v>
      </c>
      <c r="M90" s="331" t="s">
        <v>338</v>
      </c>
      <c r="N90" s="208"/>
      <c r="O90" s="442"/>
      <c r="P90" s="353"/>
      <c r="Q90" s="209"/>
      <c r="R90" s="475"/>
      <c r="S90" s="506"/>
      <c r="T90" s="417" t="str">
        <f t="shared" si="10"/>
        <v/>
      </c>
      <c r="U90" s="402">
        <f t="shared" si="11"/>
        <v>0</v>
      </c>
      <c r="V90" s="735"/>
      <c r="W90" s="459"/>
      <c r="X90" s="705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342</v>
      </c>
      <c r="L91" s="240"/>
      <c r="M91" s="76"/>
      <c r="N91" s="76"/>
      <c r="O91" s="443"/>
      <c r="P91" s="367"/>
      <c r="Q91" s="76"/>
      <c r="R91" s="481"/>
      <c r="S91" s="240"/>
      <c r="T91" s="422" t="str">
        <f t="shared" si="10"/>
        <v/>
      </c>
      <c r="U91" s="387"/>
      <c r="V91" s="387"/>
      <c r="W91" s="427"/>
      <c r="X91" s="613"/>
    </row>
    <row r="92" spans="1:24" ht="15" customHeight="1">
      <c r="B92" s="215">
        <v>9</v>
      </c>
      <c r="C92" s="341" t="s">
        <v>343</v>
      </c>
      <c r="D92" s="231" t="s">
        <v>344</v>
      </c>
      <c r="E92" s="218"/>
      <c r="F92" s="336"/>
      <c r="G92" s="495">
        <f>D176</f>
        <v>39345</v>
      </c>
      <c r="H92" s="542">
        <f>'Project Plan'!G21+7</f>
        <v>46069</v>
      </c>
      <c r="I92" s="727">
        <f>SUM(G92:G103)</f>
        <v>125130</v>
      </c>
      <c r="J92" s="697">
        <f>F176+F177</f>
        <v>139033.33333333334</v>
      </c>
      <c r="K92" s="192"/>
      <c r="L92" s="215">
        <v>9</v>
      </c>
      <c r="M92" s="322" t="s">
        <v>345</v>
      </c>
      <c r="N92" s="231"/>
      <c r="O92" s="433"/>
      <c r="P92" s="336"/>
      <c r="Q92" s="219"/>
      <c r="R92" s="476"/>
      <c r="S92" s="507"/>
      <c r="T92" s="418" t="str">
        <f t="shared" si="10"/>
        <v/>
      </c>
      <c r="U92" s="404">
        <f t="shared" ref="U92:U103" si="12">(Q92/$X$92*$J$92)</f>
        <v>0</v>
      </c>
      <c r="V92" s="709">
        <f>J92-SUM(U92:U103)</f>
        <v>0</v>
      </c>
      <c r="W92" s="460"/>
      <c r="X92" s="694">
        <f>SUM(Q92:Q103)</f>
        <v>135346.79999999999</v>
      </c>
    </row>
    <row r="93" spans="1:24" ht="15" customHeight="1">
      <c r="B93" s="215">
        <v>9</v>
      </c>
      <c r="C93" s="341"/>
      <c r="D93" s="232" t="s">
        <v>346</v>
      </c>
      <c r="E93" s="218"/>
      <c r="F93" s="357"/>
      <c r="G93" s="495">
        <f>D177</f>
        <v>85785</v>
      </c>
      <c r="H93" s="541">
        <f>'Project Plan'!G28+7</f>
        <v>46059</v>
      </c>
      <c r="I93" s="728"/>
      <c r="J93" s="698"/>
      <c r="K93" s="192"/>
      <c r="L93" s="215">
        <v>9</v>
      </c>
      <c r="M93" s="322" t="s">
        <v>345</v>
      </c>
      <c r="N93" s="232" t="s">
        <v>315</v>
      </c>
      <c r="O93" s="450">
        <f>Z33+Z32</f>
        <v>135346.79999999999</v>
      </c>
      <c r="P93" s="451">
        <v>0.1</v>
      </c>
      <c r="Q93" s="219">
        <f>$O$93*P93</f>
        <v>13534.68</v>
      </c>
      <c r="R93" s="739" t="s">
        <v>316</v>
      </c>
      <c r="S93" s="500" t="s">
        <v>347</v>
      </c>
      <c r="T93" s="551">
        <v>46022</v>
      </c>
      <c r="U93" s="637">
        <v>13903.333333333336</v>
      </c>
      <c r="V93" s="710"/>
      <c r="W93" s="629">
        <v>46003</v>
      </c>
      <c r="X93" s="69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8"/>
      <c r="J94" s="698"/>
      <c r="K94" s="192"/>
      <c r="L94" s="284">
        <v>9</v>
      </c>
      <c r="M94" s="394" t="s">
        <v>345</v>
      </c>
      <c r="N94" s="286" t="s">
        <v>153</v>
      </c>
      <c r="O94" s="434"/>
      <c r="P94" s="449">
        <v>0.15</v>
      </c>
      <c r="Q94" s="219">
        <f t="shared" ref="Q94:Q100" si="13">$O$93*P94</f>
        <v>20302.019999999997</v>
      </c>
      <c r="R94" s="740"/>
      <c r="S94" s="501" t="s">
        <v>348</v>
      </c>
      <c r="T94" s="551">
        <v>46022</v>
      </c>
      <c r="U94" s="637">
        <v>20855</v>
      </c>
      <c r="V94" s="710"/>
      <c r="W94" s="630">
        <v>46003</v>
      </c>
      <c r="X94" s="69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8"/>
      <c r="J95" s="698"/>
      <c r="K95" s="192"/>
      <c r="L95" s="284">
        <v>9</v>
      </c>
      <c r="M95" s="394" t="s">
        <v>345</v>
      </c>
      <c r="N95" s="286" t="s">
        <v>318</v>
      </c>
      <c r="O95" s="434"/>
      <c r="P95" s="449">
        <v>0.2</v>
      </c>
      <c r="Q95" s="219">
        <f t="shared" si="13"/>
        <v>27069.360000000001</v>
      </c>
      <c r="R95" s="740"/>
      <c r="S95" s="501"/>
      <c r="T95" s="412">
        <f t="shared" si="10"/>
        <v>46081</v>
      </c>
      <c r="U95" s="397">
        <f t="shared" si="12"/>
        <v>27806.666666666672</v>
      </c>
      <c r="V95" s="710"/>
      <c r="W95" s="454">
        <f>'Project Plan'!K21+14</f>
        <v>46066</v>
      </c>
      <c r="X95" s="69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8"/>
      <c r="J96" s="698"/>
      <c r="K96" s="192"/>
      <c r="L96" s="284">
        <v>9</v>
      </c>
      <c r="M96" s="394" t="s">
        <v>345</v>
      </c>
      <c r="N96" s="286" t="s">
        <v>320</v>
      </c>
      <c r="O96" s="434"/>
      <c r="P96" s="449">
        <v>0.25</v>
      </c>
      <c r="Q96" s="219">
        <f t="shared" si="13"/>
        <v>33836.699999999997</v>
      </c>
      <c r="R96" s="740"/>
      <c r="S96" s="501"/>
      <c r="T96" s="412">
        <f t="shared" si="10"/>
        <v>46081</v>
      </c>
      <c r="U96" s="397">
        <f t="shared" si="12"/>
        <v>34758.333333333336</v>
      </c>
      <c r="V96" s="710"/>
      <c r="W96" s="454">
        <f>'Project Plan'!K28+14</f>
        <v>46062</v>
      </c>
      <c r="X96" s="69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8"/>
      <c r="J97" s="698"/>
      <c r="K97" s="192"/>
      <c r="L97" s="284">
        <v>9</v>
      </c>
      <c r="M97" s="394" t="s">
        <v>345</v>
      </c>
      <c r="N97" s="286" t="s">
        <v>321</v>
      </c>
      <c r="O97" s="434"/>
      <c r="P97" s="449">
        <v>0.1</v>
      </c>
      <c r="Q97" s="219">
        <f t="shared" si="13"/>
        <v>13534.68</v>
      </c>
      <c r="R97" s="740"/>
      <c r="S97" s="501"/>
      <c r="T97" s="412">
        <f t="shared" si="10"/>
        <v>46081</v>
      </c>
      <c r="U97" s="397">
        <f t="shared" si="12"/>
        <v>13903.333333333336</v>
      </c>
      <c r="V97" s="710"/>
      <c r="W97" s="454">
        <f>W96+7</f>
        <v>46069</v>
      </c>
      <c r="X97" s="69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8"/>
      <c r="J98" s="698"/>
      <c r="K98" s="192"/>
      <c r="L98" s="284">
        <v>9</v>
      </c>
      <c r="M98" s="394" t="s">
        <v>345</v>
      </c>
      <c r="N98" s="286" t="s">
        <v>322</v>
      </c>
      <c r="O98" s="434"/>
      <c r="P98" s="449">
        <v>0.1</v>
      </c>
      <c r="Q98" s="219">
        <f t="shared" si="13"/>
        <v>13534.68</v>
      </c>
      <c r="R98" s="740"/>
      <c r="S98" s="501"/>
      <c r="T98" s="412">
        <f t="shared" si="10"/>
        <v>46081</v>
      </c>
      <c r="U98" s="397">
        <f t="shared" si="12"/>
        <v>13903.333333333336</v>
      </c>
      <c r="V98" s="710"/>
      <c r="W98" s="454">
        <f>W97+7</f>
        <v>46076</v>
      </c>
      <c r="X98" s="69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8"/>
      <c r="J99" s="698"/>
      <c r="K99" s="192"/>
      <c r="L99" s="284">
        <v>9</v>
      </c>
      <c r="M99" s="394" t="s">
        <v>345</v>
      </c>
      <c r="N99" s="286" t="s">
        <v>323</v>
      </c>
      <c r="O99" s="434"/>
      <c r="P99" s="449">
        <v>0.05</v>
      </c>
      <c r="Q99" s="219">
        <f t="shared" si="13"/>
        <v>6767.34</v>
      </c>
      <c r="R99" s="740"/>
      <c r="S99" s="501"/>
      <c r="T99" s="412">
        <f t="shared" si="10"/>
        <v>46112</v>
      </c>
      <c r="U99" s="397">
        <f t="shared" si="12"/>
        <v>6951.6666666666679</v>
      </c>
      <c r="V99" s="710"/>
      <c r="W99" s="454">
        <f>W98+7</f>
        <v>46083</v>
      </c>
      <c r="X99" s="69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8"/>
      <c r="J100" s="698"/>
      <c r="K100" s="192"/>
      <c r="L100" s="284">
        <v>9</v>
      </c>
      <c r="M100" s="394" t="s">
        <v>345</v>
      </c>
      <c r="N100" s="286" t="s">
        <v>324</v>
      </c>
      <c r="O100" s="434"/>
      <c r="P100" s="449">
        <v>0.05</v>
      </c>
      <c r="Q100" s="219">
        <f t="shared" si="13"/>
        <v>6767.34</v>
      </c>
      <c r="R100" s="741"/>
      <c r="S100" s="501"/>
      <c r="T100" s="412">
        <f t="shared" si="10"/>
        <v>46142</v>
      </c>
      <c r="U100" s="397">
        <f t="shared" si="12"/>
        <v>6951.6666666666679</v>
      </c>
      <c r="V100" s="710"/>
      <c r="W100" s="454">
        <f>W99+30</f>
        <v>46113</v>
      </c>
      <c r="X100" s="69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8"/>
      <c r="J101" s="698"/>
      <c r="K101" s="192"/>
      <c r="L101" s="284">
        <v>9</v>
      </c>
      <c r="M101" s="394" t="s">
        <v>345</v>
      </c>
      <c r="N101" s="286"/>
      <c r="O101" s="434"/>
      <c r="P101" s="343"/>
      <c r="Q101" s="287"/>
      <c r="R101" s="470"/>
      <c r="S101" s="501"/>
      <c r="T101" s="412" t="str">
        <f t="shared" si="10"/>
        <v/>
      </c>
      <c r="U101" s="397">
        <f t="shared" si="12"/>
        <v>0</v>
      </c>
      <c r="V101" s="710"/>
      <c r="W101" s="454"/>
      <c r="X101" s="69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8"/>
      <c r="J102" s="698"/>
      <c r="K102" s="192"/>
      <c r="L102" s="284">
        <v>9</v>
      </c>
      <c r="M102" s="394" t="s">
        <v>345</v>
      </c>
      <c r="N102" s="286"/>
      <c r="O102" s="434"/>
      <c r="P102" s="343"/>
      <c r="Q102" s="287"/>
      <c r="R102" s="470"/>
      <c r="S102" s="501"/>
      <c r="T102" s="412" t="str">
        <f t="shared" si="10"/>
        <v/>
      </c>
      <c r="U102" s="397">
        <f t="shared" si="12"/>
        <v>0</v>
      </c>
      <c r="V102" s="710"/>
      <c r="W102" s="454"/>
      <c r="X102" s="695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9"/>
      <c r="J103" s="699"/>
      <c r="K103" s="267"/>
      <c r="L103" s="220">
        <v>9</v>
      </c>
      <c r="M103" s="340" t="s">
        <v>345</v>
      </c>
      <c r="N103" s="233"/>
      <c r="O103" s="435"/>
      <c r="P103" s="358"/>
      <c r="Q103" s="234"/>
      <c r="R103" s="471"/>
      <c r="S103" s="502"/>
      <c r="T103" s="413" t="str">
        <f t="shared" si="10"/>
        <v/>
      </c>
      <c r="U103" s="398">
        <f t="shared" si="12"/>
        <v>0</v>
      </c>
      <c r="V103" s="711"/>
      <c r="W103" s="455"/>
      <c r="X103" s="696"/>
    </row>
    <row r="104" spans="1:24" ht="13.9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2"/>
      <c r="S104" s="503"/>
      <c r="T104" s="414" t="str">
        <f t="shared" si="10"/>
        <v/>
      </c>
      <c r="U104" s="403"/>
      <c r="V104" s="385"/>
      <c r="W104" s="456"/>
      <c r="X104" s="547"/>
    </row>
    <row r="105" spans="1:24" ht="14.25" customHeight="1">
      <c r="B105" s="173">
        <v>10</v>
      </c>
      <c r="C105" s="174" t="s">
        <v>349</v>
      </c>
      <c r="D105" s="174" t="s">
        <v>288</v>
      </c>
      <c r="E105" s="175"/>
      <c r="F105" s="368"/>
      <c r="G105" s="242">
        <f>D180</f>
        <v>8500</v>
      </c>
      <c r="H105" s="561">
        <f>H92</f>
        <v>46069</v>
      </c>
      <c r="I105" s="721">
        <f>SUM(G105:G119)</f>
        <v>39318.666666666664</v>
      </c>
      <c r="J105" s="724">
        <f>F180+F183+F184+F182+F181</f>
        <v>43687.407407407409</v>
      </c>
      <c r="K105" s="243"/>
      <c r="L105" s="173">
        <v>10</v>
      </c>
      <c r="M105" s="333" t="s">
        <v>350</v>
      </c>
      <c r="N105" s="174"/>
      <c r="O105" s="444"/>
      <c r="P105" s="368"/>
      <c r="Q105" s="242"/>
      <c r="R105" s="482"/>
      <c r="S105" s="512"/>
      <c r="T105" s="423" t="str">
        <f t="shared" si="10"/>
        <v/>
      </c>
      <c r="U105" s="408">
        <f t="shared" ref="U105:U118" si="14">(Q105/$X$105*$J$105)</f>
        <v>0</v>
      </c>
      <c r="V105" s="730">
        <f>J105-SUM(U105:U119)</f>
        <v>0</v>
      </c>
      <c r="W105" s="464"/>
      <c r="X105" s="721">
        <f>SUM(Q105:Q119)</f>
        <v>22311.8</v>
      </c>
    </row>
    <row r="106" spans="1:24" ht="14.25" customHeight="1">
      <c r="B106" s="244">
        <v>10</v>
      </c>
      <c r="C106" s="245"/>
      <c r="D106" s="245" t="s">
        <v>289</v>
      </c>
      <c r="E106" s="246"/>
      <c r="F106" s="369"/>
      <c r="G106" s="247">
        <f>D184</f>
        <v>12818.666666666666</v>
      </c>
      <c r="H106" s="562">
        <f>H92</f>
        <v>46069</v>
      </c>
      <c r="I106" s="722"/>
      <c r="J106" s="725"/>
      <c r="K106" s="176"/>
      <c r="L106" s="244">
        <v>10</v>
      </c>
      <c r="M106" s="334" t="s">
        <v>350</v>
      </c>
      <c r="N106" s="245"/>
      <c r="O106" s="445"/>
      <c r="P106" s="369"/>
      <c r="Q106" s="247"/>
      <c r="R106" s="483"/>
      <c r="S106" s="513"/>
      <c r="T106" s="424" t="str">
        <f t="shared" si="10"/>
        <v/>
      </c>
      <c r="U106" s="523">
        <f t="shared" si="14"/>
        <v>0</v>
      </c>
      <c r="V106" s="731"/>
      <c r="W106" s="465"/>
      <c r="X106" s="722"/>
    </row>
    <row r="107" spans="1:24" ht="14.25" customHeight="1">
      <c r="B107" s="244">
        <v>10</v>
      </c>
      <c r="C107" s="245"/>
      <c r="D107" s="245" t="s">
        <v>351</v>
      </c>
      <c r="E107" s="246"/>
      <c r="F107" s="369"/>
      <c r="G107" s="247">
        <f>D183</f>
        <v>18000</v>
      </c>
      <c r="H107" s="562">
        <f>H92</f>
        <v>46069</v>
      </c>
      <c r="I107" s="722"/>
      <c r="J107" s="725"/>
      <c r="K107" s="176"/>
      <c r="L107" s="244">
        <v>10</v>
      </c>
      <c r="M107" s="334" t="s">
        <v>350</v>
      </c>
      <c r="N107" s="245"/>
      <c r="O107" s="445"/>
      <c r="P107" s="369"/>
      <c r="Q107" s="247"/>
      <c r="R107" s="483"/>
      <c r="S107" s="513"/>
      <c r="T107" s="424" t="str">
        <f t="shared" si="10"/>
        <v/>
      </c>
      <c r="U107" s="409">
        <f t="shared" si="14"/>
        <v>0</v>
      </c>
      <c r="V107" s="731"/>
      <c r="W107" s="465"/>
      <c r="X107" s="722"/>
    </row>
    <row r="108" spans="1:24" ht="14.25" customHeight="1">
      <c r="B108" s="244">
        <v>10</v>
      </c>
      <c r="C108" s="245"/>
      <c r="D108" s="245" t="s">
        <v>290</v>
      </c>
      <c r="E108" s="246"/>
      <c r="F108" s="369"/>
      <c r="G108" s="247">
        <f>D182</f>
        <v>0</v>
      </c>
      <c r="H108" s="562">
        <f>H92</f>
        <v>46069</v>
      </c>
      <c r="I108" s="722"/>
      <c r="J108" s="725"/>
      <c r="K108" s="176"/>
      <c r="L108" s="244">
        <v>10</v>
      </c>
      <c r="M108" s="334" t="s">
        <v>350</v>
      </c>
      <c r="N108" s="245"/>
      <c r="O108" s="445"/>
      <c r="P108" s="369"/>
      <c r="Q108" s="247"/>
      <c r="R108" s="483"/>
      <c r="S108" s="513"/>
      <c r="T108" s="424" t="str">
        <f t="shared" si="10"/>
        <v/>
      </c>
      <c r="U108" s="409">
        <f t="shared" si="14"/>
        <v>0</v>
      </c>
      <c r="V108" s="731"/>
      <c r="W108" s="465"/>
      <c r="X108" s="72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22"/>
      <c r="J109" s="725"/>
      <c r="K109" s="176"/>
      <c r="L109" s="244">
        <v>10</v>
      </c>
      <c r="M109" s="334" t="s">
        <v>350</v>
      </c>
      <c r="N109" s="245" t="s">
        <v>315</v>
      </c>
      <c r="O109" s="494">
        <f>SUM(Z34:Z38)</f>
        <v>22311.8</v>
      </c>
      <c r="P109" s="452">
        <v>0.1</v>
      </c>
      <c r="Q109" s="247">
        <f>$O$109*P109</f>
        <v>2231.1799999999998</v>
      </c>
      <c r="R109" s="736" t="s">
        <v>316</v>
      </c>
      <c r="S109" s="514" t="str">
        <f>S93</f>
        <v>BDL Solar- IN000763</v>
      </c>
      <c r="T109" s="563">
        <f>T93</f>
        <v>46022</v>
      </c>
      <c r="U109" s="640">
        <v>4368.7407407407409</v>
      </c>
      <c r="V109" s="731"/>
      <c r="W109" s="628">
        <f>W93</f>
        <v>46003</v>
      </c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2"/>
      <c r="J110" s="725"/>
      <c r="K110" s="176"/>
      <c r="L110" s="244">
        <v>10</v>
      </c>
      <c r="M110" s="334" t="s">
        <v>350</v>
      </c>
      <c r="N110" s="245" t="s">
        <v>153</v>
      </c>
      <c r="O110" s="445"/>
      <c r="P110" s="452">
        <v>0.15</v>
      </c>
      <c r="Q110" s="247">
        <f t="shared" ref="Q110:Q116" si="15">$O$109*P110</f>
        <v>3346.77</v>
      </c>
      <c r="R110" s="737"/>
      <c r="S110" s="519" t="str">
        <f>S94</f>
        <v>BDL Solar- IN000764</v>
      </c>
      <c r="T110" s="563">
        <f t="shared" ref="T110:T116" si="16">T94</f>
        <v>46022</v>
      </c>
      <c r="U110" s="640">
        <v>6553.1111111111113</v>
      </c>
      <c r="V110" s="731"/>
      <c r="W110" s="628">
        <f t="shared" ref="W110:W116" si="17">W94</f>
        <v>46003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2"/>
      <c r="J111" s="725"/>
      <c r="K111" s="176"/>
      <c r="L111" s="244">
        <v>10</v>
      </c>
      <c r="M111" s="334" t="s">
        <v>350</v>
      </c>
      <c r="N111" s="245" t="s">
        <v>318</v>
      </c>
      <c r="O111" s="445"/>
      <c r="P111" s="452">
        <v>0.2</v>
      </c>
      <c r="Q111" s="247">
        <f t="shared" si="15"/>
        <v>4462.3599999999997</v>
      </c>
      <c r="R111" s="737"/>
      <c r="S111" s="514"/>
      <c r="T111" s="425">
        <f t="shared" si="16"/>
        <v>46081</v>
      </c>
      <c r="U111" s="409">
        <f t="shared" si="14"/>
        <v>8737.4814814814818</v>
      </c>
      <c r="V111" s="731"/>
      <c r="W111" s="466">
        <f t="shared" si="17"/>
        <v>46066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2"/>
      <c r="J112" s="725"/>
      <c r="K112" s="176"/>
      <c r="L112" s="244">
        <v>10</v>
      </c>
      <c r="M112" s="334" t="s">
        <v>350</v>
      </c>
      <c r="N112" s="245" t="s">
        <v>320</v>
      </c>
      <c r="O112" s="445"/>
      <c r="P112" s="452">
        <v>0.25</v>
      </c>
      <c r="Q112" s="247">
        <f t="shared" si="15"/>
        <v>5577.95</v>
      </c>
      <c r="R112" s="737"/>
      <c r="S112" s="514"/>
      <c r="T112" s="425">
        <f t="shared" si="16"/>
        <v>46081</v>
      </c>
      <c r="U112" s="409">
        <f t="shared" si="14"/>
        <v>10921.851851851852</v>
      </c>
      <c r="V112" s="731"/>
      <c r="W112" s="466">
        <f t="shared" si="17"/>
        <v>46062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2"/>
      <c r="J113" s="725"/>
      <c r="K113" s="176"/>
      <c r="L113" s="244">
        <v>10</v>
      </c>
      <c r="M113" s="334" t="s">
        <v>350</v>
      </c>
      <c r="N113" s="245" t="s">
        <v>321</v>
      </c>
      <c r="O113" s="445"/>
      <c r="P113" s="452">
        <v>0.1</v>
      </c>
      <c r="Q113" s="247">
        <f t="shared" si="15"/>
        <v>2231.1799999999998</v>
      </c>
      <c r="R113" s="737"/>
      <c r="S113" s="514"/>
      <c r="T113" s="425">
        <f t="shared" si="16"/>
        <v>46081</v>
      </c>
      <c r="U113" s="409">
        <f t="shared" si="14"/>
        <v>4368.7407407407409</v>
      </c>
      <c r="V113" s="731"/>
      <c r="W113" s="466">
        <f t="shared" si="17"/>
        <v>46069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2"/>
      <c r="J114" s="725"/>
      <c r="K114" s="176"/>
      <c r="L114" s="244">
        <v>10</v>
      </c>
      <c r="M114" s="334" t="s">
        <v>350</v>
      </c>
      <c r="N114" s="245" t="s">
        <v>322</v>
      </c>
      <c r="O114" s="445"/>
      <c r="P114" s="452">
        <v>0.1</v>
      </c>
      <c r="Q114" s="247">
        <f t="shared" si="15"/>
        <v>2231.1799999999998</v>
      </c>
      <c r="R114" s="737"/>
      <c r="S114" s="514"/>
      <c r="T114" s="425">
        <f t="shared" si="16"/>
        <v>46081</v>
      </c>
      <c r="U114" s="409">
        <f t="shared" si="14"/>
        <v>4368.7407407407409</v>
      </c>
      <c r="V114" s="731"/>
      <c r="W114" s="466">
        <f t="shared" si="17"/>
        <v>46076</v>
      </c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2"/>
      <c r="J115" s="725"/>
      <c r="K115" s="176"/>
      <c r="L115" s="244">
        <v>10</v>
      </c>
      <c r="M115" s="334" t="s">
        <v>350</v>
      </c>
      <c r="N115" s="245" t="s">
        <v>323</v>
      </c>
      <c r="O115" s="445"/>
      <c r="P115" s="452">
        <v>0.05</v>
      </c>
      <c r="Q115" s="247">
        <f t="shared" si="15"/>
        <v>1115.5899999999999</v>
      </c>
      <c r="R115" s="737"/>
      <c r="S115" s="514"/>
      <c r="T115" s="425">
        <f t="shared" si="16"/>
        <v>46112</v>
      </c>
      <c r="U115" s="409">
        <f t="shared" si="14"/>
        <v>2184.3703703703704</v>
      </c>
      <c r="V115" s="731"/>
      <c r="W115" s="466">
        <f t="shared" si="17"/>
        <v>46083</v>
      </c>
      <c r="X115" s="72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2"/>
      <c r="J116" s="725"/>
      <c r="K116" s="176"/>
      <c r="L116" s="244">
        <v>10</v>
      </c>
      <c r="M116" s="334" t="s">
        <v>350</v>
      </c>
      <c r="N116" s="245" t="s">
        <v>324</v>
      </c>
      <c r="O116" s="445"/>
      <c r="P116" s="452">
        <v>0.05</v>
      </c>
      <c r="Q116" s="247">
        <f t="shared" si="15"/>
        <v>1115.5899999999999</v>
      </c>
      <c r="R116" s="738"/>
      <c r="S116" s="514"/>
      <c r="T116" s="425">
        <f t="shared" si="16"/>
        <v>46142</v>
      </c>
      <c r="U116" s="409">
        <f t="shared" si="14"/>
        <v>2184.3703703703704</v>
      </c>
      <c r="V116" s="731"/>
      <c r="W116" s="466">
        <f t="shared" si="17"/>
        <v>46113</v>
      </c>
      <c r="X116" s="72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2"/>
      <c r="J117" s="725"/>
      <c r="K117" s="176"/>
      <c r="L117" s="244">
        <v>10</v>
      </c>
      <c r="M117" s="334" t="s">
        <v>350</v>
      </c>
      <c r="N117" s="245"/>
      <c r="O117" s="445"/>
      <c r="P117" s="369"/>
      <c r="Q117" s="247"/>
      <c r="R117" s="484"/>
      <c r="S117" s="514"/>
      <c r="T117" s="425" t="str">
        <f t="shared" si="10"/>
        <v/>
      </c>
      <c r="U117" s="409">
        <f t="shared" si="14"/>
        <v>0</v>
      </c>
      <c r="V117" s="731"/>
      <c r="W117" s="466"/>
      <c r="X117" s="72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2"/>
      <c r="J118" s="725"/>
      <c r="K118" s="176"/>
      <c r="L118" s="244">
        <v>10</v>
      </c>
      <c r="M118" s="334" t="s">
        <v>350</v>
      </c>
      <c r="N118" s="245"/>
      <c r="O118" s="445"/>
      <c r="P118" s="369"/>
      <c r="Q118" s="247"/>
      <c r="R118" s="484"/>
      <c r="S118" s="514"/>
      <c r="T118" s="425" t="str">
        <f t="shared" si="10"/>
        <v/>
      </c>
      <c r="U118" s="409">
        <f t="shared" si="14"/>
        <v>0</v>
      </c>
      <c r="V118" s="731"/>
      <c r="W118" s="466"/>
      <c r="X118" s="722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723"/>
      <c r="J119" s="726"/>
      <c r="K119" s="179"/>
      <c r="L119" s="177">
        <v>10</v>
      </c>
      <c r="M119" s="335" t="s">
        <v>350</v>
      </c>
      <c r="N119" s="248"/>
      <c r="O119" s="446"/>
      <c r="P119" s="370"/>
      <c r="Q119" s="178"/>
      <c r="R119" s="485"/>
      <c r="S119" s="515"/>
      <c r="T119" s="426" t="str">
        <f t="shared" si="10"/>
        <v/>
      </c>
      <c r="U119" s="410"/>
      <c r="V119" s="732"/>
      <c r="W119" s="467"/>
      <c r="X119" s="723"/>
    </row>
    <row r="120" spans="1:24" ht="13.9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7"/>
      <c r="S120" s="508"/>
      <c r="T120" s="414" t="str">
        <f t="shared" si="10"/>
        <v/>
      </c>
      <c r="U120" s="399"/>
      <c r="V120" s="386"/>
      <c r="W120" s="456"/>
      <c r="X120" s="547"/>
    </row>
    <row r="121" spans="1:24" ht="14.25" customHeight="1">
      <c r="B121" s="185">
        <v>11</v>
      </c>
      <c r="C121" s="186" t="s">
        <v>352</v>
      </c>
      <c r="D121" s="255" t="s">
        <v>353</v>
      </c>
      <c r="E121" s="187"/>
      <c r="F121" s="336"/>
      <c r="G121" s="188">
        <v>11000</v>
      </c>
      <c r="H121" s="542">
        <f>'Project Plan'!G39</f>
        <v>46071</v>
      </c>
      <c r="I121" s="694">
        <f>SUM(G121:G125)</f>
        <v>29000</v>
      </c>
      <c r="J121" s="697">
        <f>F179</f>
        <v>32222.222222222223</v>
      </c>
      <c r="K121" s="189"/>
      <c r="L121" s="185">
        <v>11</v>
      </c>
      <c r="M121" s="255" t="s">
        <v>354</v>
      </c>
      <c r="N121" s="255" t="s">
        <v>353</v>
      </c>
      <c r="O121" s="187"/>
      <c r="P121" s="336"/>
      <c r="Q121" s="188">
        <v>12577.5</v>
      </c>
      <c r="R121" s="535"/>
      <c r="S121" s="507"/>
      <c r="T121" s="418">
        <f t="shared" si="10"/>
        <v>46081</v>
      </c>
      <c r="U121" s="397">
        <f>(Q121/$X$121*$J$121)</f>
        <v>21815.368052751983</v>
      </c>
      <c r="V121" s="709">
        <f>J121-SUM(U121:U125)</f>
        <v>0</v>
      </c>
      <c r="W121" s="460">
        <f>'Project Plan'!K39+14</f>
        <v>46073</v>
      </c>
      <c r="X121" s="694">
        <f>SUM(Q121:Q125)</f>
        <v>18577.5</v>
      </c>
    </row>
    <row r="122" spans="1:24" ht="15" customHeight="1">
      <c r="B122" s="215">
        <v>11</v>
      </c>
      <c r="C122" s="217"/>
      <c r="D122" s="217" t="s">
        <v>355</v>
      </c>
      <c r="E122" s="218"/>
      <c r="F122" s="357"/>
      <c r="G122" s="219">
        <v>18000</v>
      </c>
      <c r="H122" s="542">
        <f>H121</f>
        <v>46071</v>
      </c>
      <c r="I122" s="695"/>
      <c r="J122" s="698"/>
      <c r="K122" s="192"/>
      <c r="L122" s="215">
        <v>11</v>
      </c>
      <c r="M122" s="290" t="s">
        <v>354</v>
      </c>
      <c r="N122" s="217" t="s">
        <v>356</v>
      </c>
      <c r="O122" s="218"/>
      <c r="P122" s="357"/>
      <c r="Q122" s="219">
        <v>0</v>
      </c>
      <c r="R122" s="517"/>
      <c r="S122" s="500"/>
      <c r="T122" s="411"/>
      <c r="U122" s="397">
        <f>(Q122/$X$121*$J$121)</f>
        <v>0</v>
      </c>
      <c r="V122" s="710"/>
      <c r="W122" s="453"/>
      <c r="X122" s="695"/>
    </row>
    <row r="123" spans="1:24" ht="15" customHeight="1">
      <c r="B123" s="215">
        <v>11</v>
      </c>
      <c r="C123" s="217"/>
      <c r="D123" s="217" t="s">
        <v>357</v>
      </c>
      <c r="E123" s="218"/>
      <c r="F123" s="357"/>
      <c r="G123" s="219">
        <v>0</v>
      </c>
      <c r="H123" s="542"/>
      <c r="I123" s="695"/>
      <c r="J123" s="698"/>
      <c r="K123" s="192"/>
      <c r="L123" s="215">
        <v>11</v>
      </c>
      <c r="M123" s="290" t="s">
        <v>354</v>
      </c>
      <c r="N123" s="217"/>
      <c r="O123" s="218"/>
      <c r="P123" s="357"/>
      <c r="Q123" s="219"/>
      <c r="R123" s="469"/>
      <c r="S123" s="500"/>
      <c r="T123" s="411"/>
      <c r="U123" s="397">
        <f>(Q123/$X$121*$J$121)</f>
        <v>0</v>
      </c>
      <c r="V123" s="710"/>
      <c r="W123" s="453"/>
      <c r="X123" s="695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95"/>
      <c r="J124" s="698"/>
      <c r="K124" s="192"/>
      <c r="L124" s="215">
        <v>11</v>
      </c>
      <c r="M124" s="290" t="s">
        <v>354</v>
      </c>
      <c r="N124" s="288" t="s">
        <v>358</v>
      </c>
      <c r="O124" s="434"/>
      <c r="P124" s="343"/>
      <c r="Q124" s="287">
        <v>6000</v>
      </c>
      <c r="R124" s="470"/>
      <c r="S124" s="501"/>
      <c r="T124" s="411">
        <f t="shared" si="10"/>
        <v>46081</v>
      </c>
      <c r="U124" s="397">
        <f>(Q124/$X$121*$J$121)</f>
        <v>10406.854169470236</v>
      </c>
      <c r="V124" s="710"/>
      <c r="W124" s="454">
        <v>46081</v>
      </c>
      <c r="X124" s="695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96"/>
      <c r="J125" s="699"/>
      <c r="K125" s="193"/>
      <c r="L125" s="220">
        <v>11</v>
      </c>
      <c r="M125" s="318" t="s">
        <v>354</v>
      </c>
      <c r="N125" s="221"/>
      <c r="O125" s="222"/>
      <c r="P125" s="358"/>
      <c r="Q125" s="234"/>
      <c r="R125" s="471"/>
      <c r="S125" s="502"/>
      <c r="T125" s="413" t="str">
        <f t="shared" si="10"/>
        <v/>
      </c>
      <c r="U125" s="398">
        <f>(Q125/$X$121*$J$121)</f>
        <v>0</v>
      </c>
      <c r="V125" s="711"/>
      <c r="W125" s="455"/>
      <c r="X125" s="696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2"/>
      <c r="S126" s="503"/>
      <c r="T126" s="414" t="str">
        <f t="shared" si="10"/>
        <v/>
      </c>
      <c r="U126" s="403"/>
      <c r="V126" s="385"/>
      <c r="W126" s="456"/>
      <c r="X126" s="547"/>
    </row>
    <row r="127" spans="1:24">
      <c r="B127" s="173">
        <v>12</v>
      </c>
      <c r="C127" s="174" t="s">
        <v>359</v>
      </c>
      <c r="D127" s="174" t="s">
        <v>360</v>
      </c>
      <c r="E127" s="175"/>
      <c r="F127" s="368"/>
      <c r="G127" s="242">
        <v>0</v>
      </c>
      <c r="H127" s="561"/>
      <c r="I127" s="721">
        <f>SUM(G127:G128)</f>
        <v>0</v>
      </c>
      <c r="J127" s="724">
        <v>0</v>
      </c>
      <c r="K127" s="742"/>
      <c r="L127" s="173">
        <v>12</v>
      </c>
      <c r="M127" s="174" t="s">
        <v>361</v>
      </c>
      <c r="N127" s="174" t="s">
        <v>360</v>
      </c>
      <c r="O127" s="444"/>
      <c r="P127" s="368"/>
      <c r="Q127" s="242">
        <f>G127</f>
        <v>0</v>
      </c>
      <c r="R127" s="482"/>
      <c r="S127" s="512"/>
      <c r="T127" s="423" t="str">
        <f t="shared" si="10"/>
        <v/>
      </c>
      <c r="U127" s="408"/>
      <c r="V127" s="384"/>
      <c r="W127" s="464"/>
      <c r="X127" s="721">
        <f>SUM(Q127:Q128)</f>
        <v>0</v>
      </c>
    </row>
    <row r="128" spans="1:24" ht="15" customHeight="1" thickBot="1">
      <c r="B128" s="177">
        <v>12</v>
      </c>
      <c r="C128" s="248" t="s">
        <v>359</v>
      </c>
      <c r="D128" s="248"/>
      <c r="E128" s="249"/>
      <c r="F128" s="370"/>
      <c r="G128" s="178"/>
      <c r="H128" s="564"/>
      <c r="I128" s="723"/>
      <c r="J128" s="726"/>
      <c r="K128" s="743"/>
      <c r="L128" s="177">
        <v>12</v>
      </c>
      <c r="M128" s="248" t="s">
        <v>361</v>
      </c>
      <c r="N128" s="248"/>
      <c r="O128" s="446"/>
      <c r="P128" s="370"/>
      <c r="Q128" s="178"/>
      <c r="R128" s="485"/>
      <c r="S128" s="515"/>
      <c r="T128" s="426" t="str">
        <f t="shared" si="10"/>
        <v/>
      </c>
      <c r="U128" s="410"/>
      <c r="V128" s="383"/>
      <c r="W128" s="467"/>
      <c r="X128" s="723"/>
    </row>
    <row r="129" spans="1:24" ht="14.2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0"/>
        <v/>
      </c>
      <c r="U129" s="403"/>
      <c r="V129" s="385"/>
      <c r="W129" s="456"/>
      <c r="X129" s="548"/>
    </row>
    <row r="130" spans="1:24" ht="15.75" customHeight="1">
      <c r="B130" s="185">
        <v>13</v>
      </c>
      <c r="C130" s="186" t="s">
        <v>362</v>
      </c>
      <c r="D130" s="255" t="s">
        <v>363</v>
      </c>
      <c r="E130" s="187"/>
      <c r="F130" s="336"/>
      <c r="G130" s="188">
        <f>D178</f>
        <v>13306.77253115942</v>
      </c>
      <c r="H130" s="542">
        <f>'Project Plan'!G48</f>
        <v>46085</v>
      </c>
      <c r="I130" s="694">
        <f>SUM(G130:G134)</f>
        <v>13306.77253115942</v>
      </c>
      <c r="J130" s="697">
        <f>F178</f>
        <v>15121.332421772069</v>
      </c>
      <c r="K130" s="189"/>
      <c r="L130" s="185">
        <v>13</v>
      </c>
      <c r="M130" s="255" t="s">
        <v>364</v>
      </c>
      <c r="N130" s="255" t="s">
        <v>365</v>
      </c>
      <c r="O130" s="432"/>
      <c r="P130" s="336"/>
      <c r="Q130" s="188">
        <v>0</v>
      </c>
      <c r="R130" s="476"/>
      <c r="S130" s="507" t="s">
        <v>366</v>
      </c>
      <c r="T130" s="626">
        <v>46053</v>
      </c>
      <c r="U130" s="656">
        <v>15121.332421772069</v>
      </c>
      <c r="V130" s="709">
        <f>J130-SUM(U130:U135)</f>
        <v>0</v>
      </c>
      <c r="W130" s="627">
        <v>46081</v>
      </c>
      <c r="X130" s="694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5"/>
      <c r="J131" s="698"/>
      <c r="K131" s="192"/>
      <c r="L131" s="215">
        <v>13</v>
      </c>
      <c r="M131" s="290" t="s">
        <v>364</v>
      </c>
      <c r="N131" s="217"/>
      <c r="O131" s="433"/>
      <c r="P131" s="357"/>
      <c r="Q131" s="219"/>
      <c r="R131" s="469"/>
      <c r="S131" s="500"/>
      <c r="T131" s="411" t="str">
        <f t="shared" si="10"/>
        <v/>
      </c>
      <c r="U131" s="396">
        <v>0</v>
      </c>
      <c r="V131" s="710"/>
      <c r="W131" s="453"/>
      <c r="X131" s="695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5"/>
      <c r="J132" s="698"/>
      <c r="K132" s="192"/>
      <c r="L132" s="215">
        <v>13</v>
      </c>
      <c r="M132" s="290" t="s">
        <v>364</v>
      </c>
      <c r="N132" s="217"/>
      <c r="O132" s="433"/>
      <c r="P132" s="357"/>
      <c r="Q132" s="219"/>
      <c r="R132" s="469"/>
      <c r="S132" s="500"/>
      <c r="T132" s="411" t="str">
        <f t="shared" si="10"/>
        <v/>
      </c>
      <c r="U132" s="396">
        <v>0</v>
      </c>
      <c r="V132" s="710"/>
      <c r="W132" s="453"/>
      <c r="X132" s="695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5"/>
      <c r="J133" s="698"/>
      <c r="K133" s="192"/>
      <c r="L133" s="215">
        <v>13</v>
      </c>
      <c r="M133" s="290" t="s">
        <v>364</v>
      </c>
      <c r="N133" s="217"/>
      <c r="O133" s="433"/>
      <c r="P133" s="357"/>
      <c r="Q133" s="219"/>
      <c r="R133" s="469"/>
      <c r="S133" s="500"/>
      <c r="T133" s="411" t="str">
        <f t="shared" si="10"/>
        <v/>
      </c>
      <c r="U133" s="396">
        <v>0</v>
      </c>
      <c r="V133" s="710"/>
      <c r="W133" s="453"/>
      <c r="X133" s="695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5"/>
      <c r="J134" s="698"/>
      <c r="K134" s="192"/>
      <c r="L134" s="215">
        <v>13</v>
      </c>
      <c r="M134" s="290" t="s">
        <v>364</v>
      </c>
      <c r="N134" s="217"/>
      <c r="O134" s="433"/>
      <c r="P134" s="357"/>
      <c r="Q134" s="219"/>
      <c r="R134" s="469"/>
      <c r="S134" s="500"/>
      <c r="T134" s="411" t="str">
        <f t="shared" si="10"/>
        <v/>
      </c>
      <c r="U134" s="396">
        <v>0</v>
      </c>
      <c r="V134" s="710"/>
      <c r="W134" s="453"/>
      <c r="X134" s="695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96"/>
      <c r="J135" s="699"/>
      <c r="K135" s="267"/>
      <c r="L135" s="220">
        <v>13</v>
      </c>
      <c r="M135" s="318" t="s">
        <v>364</v>
      </c>
      <c r="N135" s="221"/>
      <c r="O135" s="435"/>
      <c r="P135" s="358"/>
      <c r="Q135" s="234"/>
      <c r="R135" s="471"/>
      <c r="S135" s="502"/>
      <c r="T135" s="413" t="str">
        <f t="shared" si="10"/>
        <v/>
      </c>
      <c r="U135" s="398">
        <v>0</v>
      </c>
      <c r="V135" s="711"/>
      <c r="W135" s="455"/>
      <c r="X135" s="696"/>
    </row>
    <row r="136" spans="1:24" ht="14.2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2"/>
      <c r="S136" s="503"/>
      <c r="T136" s="414" t="str">
        <f t="shared" si="10"/>
        <v/>
      </c>
      <c r="U136" s="403"/>
      <c r="V136" s="385"/>
      <c r="W136" s="456"/>
      <c r="X136" s="548"/>
    </row>
    <row r="137" spans="1:24" ht="14.25" customHeight="1">
      <c r="B137" s="173">
        <v>14</v>
      </c>
      <c r="C137" s="174" t="s">
        <v>367</v>
      </c>
      <c r="D137" s="174" t="s">
        <v>368</v>
      </c>
      <c r="E137" s="175"/>
      <c r="F137" s="368"/>
      <c r="G137" s="242">
        <f>D189</f>
        <v>2625</v>
      </c>
      <c r="H137" s="561">
        <f>'Project Plan'!G48</f>
        <v>46085</v>
      </c>
      <c r="I137" s="721">
        <f>SUM(G137:G148)</f>
        <v>2625</v>
      </c>
      <c r="J137" s="724">
        <f>F189</f>
        <v>2916.6666666666665</v>
      </c>
      <c r="K137" s="243"/>
      <c r="L137" s="173">
        <v>14</v>
      </c>
      <c r="M137" s="333" t="s">
        <v>369</v>
      </c>
      <c r="N137" s="174" t="s">
        <v>370</v>
      </c>
      <c r="O137" s="444"/>
      <c r="P137" s="527"/>
      <c r="Q137" s="532">
        <v>428.4</v>
      </c>
      <c r="R137" s="529"/>
      <c r="S137" s="518" t="s">
        <v>371</v>
      </c>
      <c r="T137" s="624">
        <v>45991</v>
      </c>
      <c r="U137" s="636">
        <v>521.24397722295214</v>
      </c>
      <c r="V137" s="730">
        <f>J137-SUM(U137:U148)</f>
        <v>4.5542934590230288E-3</v>
      </c>
      <c r="W137" s="625">
        <v>45996</v>
      </c>
      <c r="X137" s="721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22"/>
      <c r="J138" s="725"/>
      <c r="K138" s="176"/>
      <c r="L138" s="244">
        <v>14</v>
      </c>
      <c r="M138" s="334" t="s">
        <v>369</v>
      </c>
      <c r="N138" s="245" t="s">
        <v>370</v>
      </c>
      <c r="O138" s="445"/>
      <c r="P138" s="528"/>
      <c r="Q138" s="531">
        <v>456.96</v>
      </c>
      <c r="R138" s="530"/>
      <c r="S138" s="518" t="s">
        <v>371</v>
      </c>
      <c r="T138" s="635">
        <v>46022</v>
      </c>
      <c r="U138" s="640">
        <v>606.40805146824641</v>
      </c>
      <c r="V138" s="731"/>
      <c r="W138" s="625">
        <v>46030</v>
      </c>
      <c r="X138" s="72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22"/>
      <c r="J139" s="725"/>
      <c r="K139" s="176"/>
      <c r="L139" s="244">
        <v>14</v>
      </c>
      <c r="M139" s="334" t="s">
        <v>369</v>
      </c>
      <c r="N139" s="245" t="s">
        <v>370</v>
      </c>
      <c r="O139" s="445"/>
      <c r="P139" s="369"/>
      <c r="Q139" s="247">
        <v>913.92</v>
      </c>
      <c r="R139" s="484"/>
      <c r="S139" s="518" t="s">
        <v>371</v>
      </c>
      <c r="T139" s="635">
        <v>46053</v>
      </c>
      <c r="U139" s="640">
        <v>558.8058275970667</v>
      </c>
      <c r="V139" s="731"/>
      <c r="W139" s="625">
        <v>46058</v>
      </c>
      <c r="X139" s="72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2"/>
      <c r="J140" s="725"/>
      <c r="K140" s="176"/>
      <c r="L140" s="244">
        <v>14</v>
      </c>
      <c r="M140" s="334" t="s">
        <v>369</v>
      </c>
      <c r="N140" s="245" t="s">
        <v>370</v>
      </c>
      <c r="O140" s="445"/>
      <c r="P140" s="369"/>
      <c r="Q140" s="247">
        <f>$G$137/4</f>
        <v>656.25</v>
      </c>
      <c r="R140" s="484"/>
      <c r="S140" s="512"/>
      <c r="T140" s="425">
        <f t="shared" ref="T140:T161" si="18">IF(W140&gt;1,EOMONTH(W140,0),"")</f>
        <v>46081</v>
      </c>
      <c r="U140" s="409">
        <f>(Q140/$X$137*$J$137)</f>
        <v>615.10212804247089</v>
      </c>
      <c r="V140" s="731"/>
      <c r="W140" s="466">
        <v>46081</v>
      </c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2"/>
      <c r="J141" s="725"/>
      <c r="K141" s="176"/>
      <c r="L141" s="244">
        <v>14</v>
      </c>
      <c r="M141" s="334" t="s">
        <v>369</v>
      </c>
      <c r="N141" s="245" t="s">
        <v>370</v>
      </c>
      <c r="O141" s="445"/>
      <c r="P141" s="369"/>
      <c r="Q141" s="247">
        <f>$G$137/4</f>
        <v>656.25</v>
      </c>
      <c r="R141" s="484"/>
      <c r="S141" s="512"/>
      <c r="T141" s="425">
        <v>46112</v>
      </c>
      <c r="U141" s="409">
        <f t="shared" ref="U141:U148" si="19">(Q141/$X$137*$J$137)</f>
        <v>615.10212804247089</v>
      </c>
      <c r="V141" s="731"/>
      <c r="W141" s="466">
        <v>46121</v>
      </c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2"/>
      <c r="J142" s="725"/>
      <c r="K142" s="176"/>
      <c r="L142" s="244">
        <v>14</v>
      </c>
      <c r="M142" s="334" t="s">
        <v>369</v>
      </c>
      <c r="N142" s="245" t="s">
        <v>370</v>
      </c>
      <c r="O142" s="445"/>
      <c r="P142" s="369"/>
      <c r="Q142" s="247"/>
      <c r="R142" s="484"/>
      <c r="S142" s="512"/>
      <c r="T142" s="641"/>
      <c r="U142" s="409">
        <f t="shared" si="19"/>
        <v>0</v>
      </c>
      <c r="V142" s="731"/>
      <c r="W142" s="466"/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2"/>
      <c r="J143" s="725"/>
      <c r="K143" s="176"/>
      <c r="L143" s="244">
        <v>14</v>
      </c>
      <c r="M143" s="334" t="s">
        <v>369</v>
      </c>
      <c r="N143" s="245" t="s">
        <v>370</v>
      </c>
      <c r="O143" s="445"/>
      <c r="P143" s="369"/>
      <c r="Q143" s="247"/>
      <c r="R143" s="484"/>
      <c r="S143" s="512"/>
      <c r="T143" s="425" t="str">
        <f t="shared" si="18"/>
        <v/>
      </c>
      <c r="U143" s="409">
        <f t="shared" si="19"/>
        <v>0</v>
      </c>
      <c r="V143" s="731"/>
      <c r="W143" s="466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2"/>
      <c r="J144" s="725"/>
      <c r="K144" s="176"/>
      <c r="L144" s="244">
        <v>14</v>
      </c>
      <c r="M144" s="334" t="s">
        <v>369</v>
      </c>
      <c r="N144" s="245" t="s">
        <v>370</v>
      </c>
      <c r="O144" s="445"/>
      <c r="P144" s="369"/>
      <c r="Q144" s="247"/>
      <c r="R144" s="484"/>
      <c r="S144" s="512"/>
      <c r="T144" s="425" t="str">
        <f t="shared" si="18"/>
        <v/>
      </c>
      <c r="U144" s="409">
        <f t="shared" si="19"/>
        <v>0</v>
      </c>
      <c r="V144" s="731"/>
      <c r="W144" s="466"/>
      <c r="X144" s="72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2"/>
      <c r="J145" s="725"/>
      <c r="K145" s="176"/>
      <c r="L145" s="244">
        <v>14</v>
      </c>
      <c r="M145" s="334" t="s">
        <v>369</v>
      </c>
      <c r="N145" s="245" t="s">
        <v>370</v>
      </c>
      <c r="O145" s="445"/>
      <c r="P145" s="369"/>
      <c r="Q145" s="247"/>
      <c r="R145" s="484"/>
      <c r="S145" s="512"/>
      <c r="T145" s="425" t="str">
        <f t="shared" si="18"/>
        <v/>
      </c>
      <c r="U145" s="409">
        <f t="shared" si="19"/>
        <v>0</v>
      </c>
      <c r="V145" s="731"/>
      <c r="W145" s="466"/>
      <c r="X145" s="72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2"/>
      <c r="J146" s="725"/>
      <c r="K146" s="176"/>
      <c r="L146" s="244">
        <v>14</v>
      </c>
      <c r="M146" s="334" t="s">
        <v>369</v>
      </c>
      <c r="N146" s="245" t="s">
        <v>370</v>
      </c>
      <c r="O146" s="445"/>
      <c r="P146" s="369"/>
      <c r="Q146" s="247"/>
      <c r="R146" s="484"/>
      <c r="S146" s="512"/>
      <c r="T146" s="425" t="str">
        <f t="shared" si="18"/>
        <v/>
      </c>
      <c r="U146" s="409">
        <f t="shared" si="19"/>
        <v>0</v>
      </c>
      <c r="V146" s="731"/>
      <c r="W146" s="466"/>
      <c r="X146" s="72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2"/>
      <c r="J147" s="725"/>
      <c r="K147" s="176"/>
      <c r="L147" s="244">
        <v>14</v>
      </c>
      <c r="M147" s="334" t="s">
        <v>369</v>
      </c>
      <c r="N147" s="245"/>
      <c r="O147" s="445"/>
      <c r="P147" s="369"/>
      <c r="Q147" s="247"/>
      <c r="R147" s="484"/>
      <c r="S147" s="514"/>
      <c r="T147" s="425" t="str">
        <f t="shared" si="18"/>
        <v/>
      </c>
      <c r="U147" s="409">
        <f t="shared" si="19"/>
        <v>0</v>
      </c>
      <c r="V147" s="731"/>
      <c r="W147" s="466"/>
      <c r="X147" s="722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723"/>
      <c r="J148" s="726"/>
      <c r="K148" s="179"/>
      <c r="L148" s="177">
        <v>14</v>
      </c>
      <c r="M148" s="335" t="s">
        <v>369</v>
      </c>
      <c r="N148" s="248"/>
      <c r="O148" s="446"/>
      <c r="P148" s="370"/>
      <c r="Q148" s="178"/>
      <c r="R148" s="485"/>
      <c r="S148" s="515"/>
      <c r="T148" s="426" t="str">
        <f t="shared" si="18"/>
        <v/>
      </c>
      <c r="U148" s="410">
        <f t="shared" si="19"/>
        <v>0</v>
      </c>
      <c r="V148" s="732"/>
      <c r="W148" s="467"/>
      <c r="X148" s="723"/>
    </row>
    <row r="149" spans="1:24" ht="14.2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2"/>
      <c r="S149" s="503"/>
      <c r="T149" s="414" t="str">
        <f t="shared" si="18"/>
        <v/>
      </c>
      <c r="U149" s="403"/>
      <c r="V149" s="385"/>
      <c r="W149" s="456"/>
      <c r="X149" s="549"/>
    </row>
    <row r="150" spans="1:24">
      <c r="B150" s="185">
        <v>15</v>
      </c>
      <c r="C150" s="186" t="s">
        <v>372</v>
      </c>
      <c r="D150" s="186"/>
      <c r="E150" s="187"/>
      <c r="F150" s="336"/>
      <c r="G150" s="188"/>
      <c r="H150" s="542"/>
      <c r="I150" s="694">
        <f>SUM(G150:G161)</f>
        <v>0</v>
      </c>
      <c r="J150" s="697">
        <f>F186</f>
        <v>0</v>
      </c>
      <c r="K150" s="189"/>
      <c r="L150" s="185">
        <v>15</v>
      </c>
      <c r="M150" s="255" t="s">
        <v>373</v>
      </c>
      <c r="N150" s="186" t="s">
        <v>374</v>
      </c>
      <c r="O150" s="187"/>
      <c r="P150" s="336"/>
      <c r="Q150" s="188">
        <v>450</v>
      </c>
      <c r="R150" s="476"/>
      <c r="S150" s="507" t="s">
        <v>375</v>
      </c>
      <c r="T150" s="626">
        <v>45991</v>
      </c>
      <c r="U150" s="404"/>
      <c r="V150" s="709">
        <v>0</v>
      </c>
      <c r="W150" s="627">
        <v>45932</v>
      </c>
      <c r="X150" s="694">
        <f>SUM(Q150:Q161)</f>
        <v>34347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5"/>
      <c r="J151" s="698"/>
      <c r="K151" s="192"/>
      <c r="L151" s="215">
        <v>15</v>
      </c>
      <c r="M151" s="290" t="s">
        <v>373</v>
      </c>
      <c r="N151" s="217" t="s">
        <v>376</v>
      </c>
      <c r="O151" s="433"/>
      <c r="P151" s="357"/>
      <c r="Q151" s="219">
        <v>30000</v>
      </c>
      <c r="R151" s="469" t="s">
        <v>377</v>
      </c>
      <c r="S151" s="500" t="s">
        <v>378</v>
      </c>
      <c r="T151" s="652">
        <v>46081</v>
      </c>
      <c r="U151" s="396"/>
      <c r="V151" s="710"/>
      <c r="W151" s="453">
        <v>46065</v>
      </c>
      <c r="X151" s="69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5"/>
      <c r="J152" s="698"/>
      <c r="K152" s="192"/>
      <c r="L152" s="215">
        <v>15</v>
      </c>
      <c r="M152" s="290" t="s">
        <v>373</v>
      </c>
      <c r="N152" s="217" t="s">
        <v>379</v>
      </c>
      <c r="O152" s="433"/>
      <c r="P152" s="357"/>
      <c r="Q152" s="219">
        <v>3897</v>
      </c>
      <c r="R152" s="469" t="s">
        <v>380</v>
      </c>
      <c r="S152" s="500"/>
      <c r="T152" s="411">
        <v>46081</v>
      </c>
      <c r="U152" s="396"/>
      <c r="V152" s="710"/>
      <c r="W152" s="453">
        <f>T152-14</f>
        <v>46067</v>
      </c>
      <c r="X152" s="69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5"/>
      <c r="J153" s="698"/>
      <c r="K153" s="192"/>
      <c r="L153" s="215">
        <v>15</v>
      </c>
      <c r="M153" s="290" t="s">
        <v>373</v>
      </c>
      <c r="N153" s="217"/>
      <c r="O153" s="433"/>
      <c r="P153" s="357"/>
      <c r="Q153" s="219"/>
      <c r="R153" s="469"/>
      <c r="S153" s="500"/>
      <c r="T153" s="411" t="str">
        <f t="shared" si="18"/>
        <v/>
      </c>
      <c r="U153" s="396"/>
      <c r="V153" s="710"/>
      <c r="W153" s="453"/>
      <c r="X153" s="69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5"/>
      <c r="J154" s="698"/>
      <c r="K154" s="192"/>
      <c r="L154" s="215">
        <v>15</v>
      </c>
      <c r="M154" s="290" t="s">
        <v>373</v>
      </c>
      <c r="N154" s="217"/>
      <c r="O154" s="433"/>
      <c r="P154" s="357"/>
      <c r="Q154" s="219"/>
      <c r="R154" s="469"/>
      <c r="S154" s="500"/>
      <c r="T154" s="411" t="str">
        <f t="shared" si="18"/>
        <v/>
      </c>
      <c r="U154" s="396"/>
      <c r="V154" s="710"/>
      <c r="W154" s="453"/>
      <c r="X154" s="69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5"/>
      <c r="J155" s="698"/>
      <c r="K155" s="192"/>
      <c r="L155" s="215">
        <v>15</v>
      </c>
      <c r="M155" s="290" t="s">
        <v>373</v>
      </c>
      <c r="N155" s="217"/>
      <c r="O155" s="433"/>
      <c r="P155" s="357"/>
      <c r="Q155" s="219"/>
      <c r="R155" s="469"/>
      <c r="S155" s="500"/>
      <c r="T155" s="411" t="str">
        <f t="shared" si="18"/>
        <v/>
      </c>
      <c r="U155" s="396"/>
      <c r="V155" s="710"/>
      <c r="W155" s="453"/>
      <c r="X155" s="69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5"/>
      <c r="J156" s="698"/>
      <c r="K156" s="192"/>
      <c r="L156" s="215">
        <v>15</v>
      </c>
      <c r="M156" s="290" t="s">
        <v>373</v>
      </c>
      <c r="N156" s="217"/>
      <c r="O156" s="433"/>
      <c r="P156" s="357"/>
      <c r="Q156" s="219"/>
      <c r="R156" s="469"/>
      <c r="S156" s="500"/>
      <c r="T156" s="411" t="str">
        <f t="shared" si="18"/>
        <v/>
      </c>
      <c r="U156" s="396"/>
      <c r="V156" s="710"/>
      <c r="W156" s="453"/>
      <c r="X156" s="69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5"/>
      <c r="J157" s="698"/>
      <c r="K157" s="192"/>
      <c r="L157" s="215">
        <v>15</v>
      </c>
      <c r="M157" s="290" t="s">
        <v>373</v>
      </c>
      <c r="N157" s="217"/>
      <c r="O157" s="433"/>
      <c r="P157" s="357"/>
      <c r="Q157" s="219"/>
      <c r="R157" s="469"/>
      <c r="S157" s="500"/>
      <c r="T157" s="411" t="str">
        <f t="shared" si="18"/>
        <v/>
      </c>
      <c r="U157" s="396"/>
      <c r="V157" s="710"/>
      <c r="W157" s="453"/>
      <c r="X157" s="69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5"/>
      <c r="J158" s="698"/>
      <c r="K158" s="192"/>
      <c r="L158" s="215">
        <v>15</v>
      </c>
      <c r="M158" s="290" t="s">
        <v>373</v>
      </c>
      <c r="N158" s="217"/>
      <c r="O158" s="433"/>
      <c r="P158" s="357"/>
      <c r="Q158" s="219"/>
      <c r="R158" s="469"/>
      <c r="S158" s="500"/>
      <c r="T158" s="411" t="str">
        <f t="shared" si="18"/>
        <v/>
      </c>
      <c r="U158" s="396"/>
      <c r="V158" s="710"/>
      <c r="W158" s="453"/>
      <c r="X158" s="69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5"/>
      <c r="J159" s="698"/>
      <c r="K159" s="192"/>
      <c r="L159" s="215">
        <v>15</v>
      </c>
      <c r="M159" s="290" t="s">
        <v>373</v>
      </c>
      <c r="N159" s="217"/>
      <c r="O159" s="433"/>
      <c r="P159" s="357"/>
      <c r="Q159" s="219"/>
      <c r="R159" s="469"/>
      <c r="S159" s="500"/>
      <c r="T159" s="411" t="str">
        <f t="shared" si="18"/>
        <v/>
      </c>
      <c r="U159" s="396"/>
      <c r="V159" s="710"/>
      <c r="W159" s="453"/>
      <c r="X159" s="69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5"/>
      <c r="J160" s="698"/>
      <c r="K160" s="192"/>
      <c r="L160" s="215">
        <v>15</v>
      </c>
      <c r="M160" s="290" t="s">
        <v>373</v>
      </c>
      <c r="N160" s="217"/>
      <c r="O160" s="433"/>
      <c r="P160" s="357"/>
      <c r="Q160" s="219"/>
      <c r="R160" s="469"/>
      <c r="S160" s="500"/>
      <c r="T160" s="411" t="str">
        <f t="shared" si="18"/>
        <v/>
      </c>
      <c r="U160" s="396"/>
      <c r="V160" s="710"/>
      <c r="W160" s="453"/>
      <c r="X160" s="695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96"/>
      <c r="J161" s="699"/>
      <c r="K161" s="193"/>
      <c r="L161" s="220">
        <v>15</v>
      </c>
      <c r="M161" s="318" t="s">
        <v>373</v>
      </c>
      <c r="N161" s="221"/>
      <c r="O161" s="435"/>
      <c r="P161" s="358"/>
      <c r="Q161" s="234"/>
      <c r="R161" s="471"/>
      <c r="S161" s="502"/>
      <c r="T161" s="413" t="str">
        <f t="shared" si="18"/>
        <v/>
      </c>
      <c r="U161" s="398"/>
      <c r="V161" s="711"/>
      <c r="W161" s="455"/>
      <c r="X161" s="696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381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>
      <c r="B164" s="26"/>
      <c r="C164" s="431" t="s">
        <v>382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>
      <c r="B165" s="26"/>
      <c r="C165" s="431" t="s">
        <v>383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>
      <c r="B166" s="26"/>
      <c r="C166" s="431" t="s">
        <v>311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>
      <c r="B167" s="26"/>
      <c r="C167" s="431" t="s">
        <v>330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>
      <c r="B168" s="26"/>
      <c r="C168" s="431" t="s">
        <v>384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385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386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387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>
      <c r="B172" s="26"/>
      <c r="C172" s="431" t="s">
        <v>388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390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391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>
      <c r="C177" s="431" t="s">
        <v>392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>
      <c r="C178" s="431" t="s">
        <v>393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>
      <c r="C179" s="431" t="s">
        <v>394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>
      <c r="C180" s="431" t="s">
        <v>395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396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397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398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>
      <c r="C184" s="431" t="s">
        <v>399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>
      <c r="C185" s="431" t="s">
        <v>400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387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401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402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403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404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208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405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5"/>
      <c r="B5" s="110" t="s">
        <v>209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5"/>
      <c r="B7" s="115" t="s">
        <v>407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4" t="s">
        <v>205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408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545952.95273360435</v>
      </c>
      <c r="U9" s="122">
        <f>SUMIFS('Revenue Tracking'!$F$13:$F$19, 'Revenue Tracking'!$P$13:$P$19, "&gt;="&amp;U1,'Revenue Tracking'!$P$13:$P$19, "&lt;"&amp;V1)</f>
        <v>272976.47636680218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409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1091905.9054672087</v>
      </c>
      <c r="U10" s="122">
        <f t="shared" si="21"/>
        <v>1364882.3818340108</v>
      </c>
      <c r="V10" s="122">
        <f t="shared" si="21"/>
        <v>1364882.3818340108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5"/>
      <c r="B11" s="123" t="s">
        <v>410</v>
      </c>
      <c r="C11" s="124">
        <f>'Revenue Tracking'!F5</f>
        <v>948906.40000000014</v>
      </c>
      <c r="D11" s="124">
        <f>SUM(F11:KF11)</f>
        <v>948456.4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150877.02000000002</v>
      </c>
      <c r="T11" s="125">
        <f>SUMIFS('Expenditure Breakdown'!$Q$6:$Q$169, 'Expenditure Breakdown'!$W$6:$W$169, "&gt;="&amp;T1,'Expenditure Breakdown'!$W$6:$W$169, "&lt;"&amp;U1)</f>
        <v>38573.06</v>
      </c>
      <c r="U11" s="125">
        <f>SUMIFS('Expenditure Breakdown'!$Q$6:$Q$169, 'Expenditure Breakdown'!$W$6:$W$169, "&gt;="&amp;U1,'Expenditure Breakdown'!$W$6:$W$169, "&lt;"&amp;V1)</f>
        <v>149182.63</v>
      </c>
      <c r="V11" s="125">
        <f>SUMIFS('Expenditure Breakdown'!$Q$6:$Q$169, 'Expenditure Breakdown'!$W$6:$W$169, "&gt;="&amp;V1,'Expenditure Breakdown'!$W$6:$W$169, "&lt;"&amp;W1)</f>
        <v>12997.78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15117.78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720759.9</v>
      </c>
      <c r="T12" s="125">
        <f t="shared" si="26"/>
        <v>759332.96</v>
      </c>
      <c r="U12" s="125">
        <f t="shared" si="26"/>
        <v>908515.59</v>
      </c>
      <c r="V12" s="125">
        <f t="shared" si="26"/>
        <v>921513.37</v>
      </c>
      <c r="W12" s="125">
        <f t="shared" si="26"/>
        <v>921513.37</v>
      </c>
      <c r="X12" s="125">
        <f t="shared" si="26"/>
        <v>921513.37</v>
      </c>
      <c r="Y12" s="125">
        <f t="shared" si="26"/>
        <v>932682.37</v>
      </c>
      <c r="Z12" s="125">
        <f t="shared" si="26"/>
        <v>947800.15</v>
      </c>
      <c r="AA12" s="125">
        <f t="shared" si="26"/>
        <v>948456.4</v>
      </c>
      <c r="AB12" s="125">
        <f t="shared" si="26"/>
        <v>948456.4</v>
      </c>
      <c r="AC12" s="125">
        <f t="shared" si="26"/>
        <v>948456.4</v>
      </c>
      <c r="AD12" s="125">
        <f>AC12+AD11</f>
        <v>948456.4</v>
      </c>
      <c r="AE12" s="125">
        <f t="shared" si="26"/>
        <v>948456.4</v>
      </c>
      <c r="AF12" s="125">
        <f t="shared" si="26"/>
        <v>948456.4</v>
      </c>
      <c r="AG12" s="125">
        <f t="shared" si="26"/>
        <v>948456.4</v>
      </c>
      <c r="AH12" s="125">
        <f t="shared" si="26"/>
        <v>948456.4</v>
      </c>
      <c r="AI12" s="125">
        <f t="shared" si="26"/>
        <v>948456.4</v>
      </c>
      <c r="AJ12" s="125">
        <f t="shared" si="26"/>
        <v>948456.4</v>
      </c>
      <c r="AK12" s="125">
        <f t="shared" si="26"/>
        <v>948456.4</v>
      </c>
      <c r="AL12" s="125">
        <f t="shared" si="26"/>
        <v>948456.4</v>
      </c>
      <c r="AM12" s="125">
        <f t="shared" si="26"/>
        <v>948456.4</v>
      </c>
      <c r="AN12" s="125">
        <f t="shared" si="26"/>
        <v>948456.4</v>
      </c>
      <c r="AO12" s="125">
        <f t="shared" si="26"/>
        <v>948456.4</v>
      </c>
      <c r="AP12" s="125">
        <f t="shared" si="26"/>
        <v>948456.4</v>
      </c>
      <c r="AQ12" s="125">
        <f t="shared" si="26"/>
        <v>948456.4</v>
      </c>
      <c r="AR12" s="125">
        <f t="shared" si="26"/>
        <v>948456.4</v>
      </c>
      <c r="AS12" s="125">
        <f t="shared" si="26"/>
        <v>948456.4</v>
      </c>
      <c r="AT12" s="125">
        <f t="shared" si="26"/>
        <v>948456.4</v>
      </c>
      <c r="AU12" s="125">
        <f t="shared" si="26"/>
        <v>948456.4</v>
      </c>
      <c r="AV12" s="125">
        <f t="shared" si="26"/>
        <v>948456.4</v>
      </c>
      <c r="AW12" s="125">
        <f t="shared" si="26"/>
        <v>948456.4</v>
      </c>
      <c r="AX12" s="125">
        <f t="shared" si="26"/>
        <v>948456.4</v>
      </c>
      <c r="AY12" s="125">
        <f t="shared" si="26"/>
        <v>948456.4</v>
      </c>
      <c r="AZ12" s="125">
        <f t="shared" si="26"/>
        <v>948456.4</v>
      </c>
      <c r="BA12" s="125">
        <f t="shared" si="26"/>
        <v>948456.4</v>
      </c>
      <c r="BB12" s="125">
        <f t="shared" si="26"/>
        <v>948456.4</v>
      </c>
      <c r="BC12" s="125">
        <f t="shared" si="26"/>
        <v>948456.4</v>
      </c>
      <c r="BD12" s="125">
        <f t="shared" si="26"/>
        <v>948456.4</v>
      </c>
      <c r="BE12" s="125">
        <f t="shared" si="26"/>
        <v>948456.4</v>
      </c>
      <c r="BF12" s="125">
        <f t="shared" si="26"/>
        <v>948456.4</v>
      </c>
      <c r="BG12" s="125">
        <f t="shared" si="26"/>
        <v>948456.4</v>
      </c>
      <c r="BH12" s="125">
        <f t="shared" si="26"/>
        <v>948456.4</v>
      </c>
      <c r="BI12" s="125">
        <f t="shared" si="26"/>
        <v>948456.4</v>
      </c>
      <c r="BJ12" s="125">
        <f t="shared" si="26"/>
        <v>948456.4</v>
      </c>
      <c r="BK12" s="125">
        <f t="shared" si="26"/>
        <v>948456.4</v>
      </c>
      <c r="BL12" s="125">
        <f t="shared" si="26"/>
        <v>948456.4</v>
      </c>
      <c r="BM12" s="125">
        <f t="shared" si="26"/>
        <v>948456.4</v>
      </c>
      <c r="BN12" s="125">
        <f t="shared" si="26"/>
        <v>948456.4</v>
      </c>
      <c r="BO12" s="125">
        <f t="shared" si="26"/>
        <v>948456.4</v>
      </c>
      <c r="BP12" s="125">
        <f t="shared" si="26"/>
        <v>948456.4</v>
      </c>
      <c r="BQ12" s="125">
        <f t="shared" si="26"/>
        <v>948456.4</v>
      </c>
      <c r="BR12" s="125">
        <f t="shared" si="26"/>
        <v>948456.4</v>
      </c>
      <c r="BS12" s="125">
        <f t="shared" si="26"/>
        <v>948456.4</v>
      </c>
      <c r="BT12" s="125">
        <f t="shared" si="26"/>
        <v>948456.4</v>
      </c>
      <c r="BU12" s="125">
        <f t="shared" ref="BU12:EF12" si="27">BT12+BU11</f>
        <v>948456.4</v>
      </c>
      <c r="BV12" s="125">
        <f t="shared" si="27"/>
        <v>948456.4</v>
      </c>
      <c r="BW12" s="125">
        <f t="shared" si="27"/>
        <v>948456.4</v>
      </c>
      <c r="BX12" s="125">
        <f t="shared" si="27"/>
        <v>948456.4</v>
      </c>
      <c r="BY12" s="125">
        <f t="shared" si="27"/>
        <v>948456.4</v>
      </c>
      <c r="BZ12" s="125">
        <f t="shared" si="27"/>
        <v>948456.4</v>
      </c>
      <c r="CA12" s="125">
        <f t="shared" si="27"/>
        <v>948456.4</v>
      </c>
      <c r="CB12" s="125">
        <f t="shared" si="27"/>
        <v>948456.4</v>
      </c>
      <c r="CC12" s="125">
        <f t="shared" si="27"/>
        <v>948456.4</v>
      </c>
      <c r="CD12" s="125">
        <f t="shared" si="27"/>
        <v>948456.4</v>
      </c>
      <c r="CE12" s="125">
        <f t="shared" si="27"/>
        <v>948456.4</v>
      </c>
      <c r="CF12" s="125">
        <f t="shared" si="27"/>
        <v>948456.4</v>
      </c>
      <c r="CG12" s="125">
        <f t="shared" si="27"/>
        <v>948456.4</v>
      </c>
      <c r="CH12" s="125">
        <f t="shared" si="27"/>
        <v>948456.4</v>
      </c>
      <c r="CI12" s="125">
        <f t="shared" si="27"/>
        <v>948456.4</v>
      </c>
      <c r="CJ12" s="125">
        <f t="shared" si="27"/>
        <v>948456.4</v>
      </c>
      <c r="CK12" s="125">
        <f t="shared" si="27"/>
        <v>948456.4</v>
      </c>
      <c r="CL12" s="125">
        <f t="shared" si="27"/>
        <v>948456.4</v>
      </c>
      <c r="CM12" s="125">
        <f t="shared" si="27"/>
        <v>948456.4</v>
      </c>
      <c r="CN12" s="125">
        <f t="shared" si="27"/>
        <v>948456.4</v>
      </c>
      <c r="CO12" s="125">
        <f t="shared" si="27"/>
        <v>948456.4</v>
      </c>
      <c r="CP12" s="125">
        <f t="shared" si="27"/>
        <v>948456.4</v>
      </c>
      <c r="CQ12" s="125">
        <f t="shared" si="27"/>
        <v>948456.4</v>
      </c>
      <c r="CR12" s="125">
        <f t="shared" si="27"/>
        <v>948456.4</v>
      </c>
      <c r="CS12" s="125">
        <f t="shared" si="27"/>
        <v>948456.4</v>
      </c>
      <c r="CT12" s="125">
        <f t="shared" si="27"/>
        <v>948456.4</v>
      </c>
      <c r="CU12" s="125">
        <f t="shared" si="27"/>
        <v>948456.4</v>
      </c>
      <c r="CV12" s="125">
        <f t="shared" si="27"/>
        <v>948456.4</v>
      </c>
      <c r="CW12" s="125">
        <f t="shared" si="27"/>
        <v>948456.4</v>
      </c>
      <c r="CX12" s="125">
        <f t="shared" si="27"/>
        <v>948456.4</v>
      </c>
      <c r="CY12" s="125">
        <f t="shared" si="27"/>
        <v>948456.4</v>
      </c>
      <c r="CZ12" s="125">
        <f t="shared" si="27"/>
        <v>948456.4</v>
      </c>
      <c r="DA12" s="125">
        <f t="shared" si="27"/>
        <v>948456.4</v>
      </c>
      <c r="DB12" s="125">
        <f t="shared" si="27"/>
        <v>948456.4</v>
      </c>
      <c r="DC12" s="125">
        <f t="shared" si="27"/>
        <v>948456.4</v>
      </c>
      <c r="DD12" s="125">
        <f t="shared" si="27"/>
        <v>948456.4</v>
      </c>
      <c r="DE12" s="125">
        <f t="shared" si="27"/>
        <v>948456.4</v>
      </c>
      <c r="DF12" s="125">
        <f t="shared" si="27"/>
        <v>948456.4</v>
      </c>
      <c r="DG12" s="125">
        <f t="shared" si="27"/>
        <v>948456.4</v>
      </c>
      <c r="DH12" s="125">
        <f t="shared" si="27"/>
        <v>948456.4</v>
      </c>
      <c r="DI12" s="125">
        <f t="shared" si="27"/>
        <v>948456.4</v>
      </c>
      <c r="DJ12" s="125">
        <f t="shared" si="27"/>
        <v>948456.4</v>
      </c>
      <c r="DK12" s="125">
        <f t="shared" si="27"/>
        <v>948456.4</v>
      </c>
      <c r="DL12" s="125">
        <f t="shared" si="27"/>
        <v>948456.4</v>
      </c>
      <c r="DM12" s="125">
        <f t="shared" si="27"/>
        <v>948456.4</v>
      </c>
      <c r="DN12" s="125">
        <f t="shared" si="27"/>
        <v>948456.4</v>
      </c>
      <c r="DO12" s="125">
        <f t="shared" si="27"/>
        <v>948456.4</v>
      </c>
      <c r="DP12" s="125">
        <f t="shared" si="27"/>
        <v>948456.4</v>
      </c>
      <c r="DQ12" s="125">
        <f t="shared" si="27"/>
        <v>948456.4</v>
      </c>
      <c r="DR12" s="125">
        <f t="shared" si="27"/>
        <v>948456.4</v>
      </c>
      <c r="DS12" s="125">
        <f t="shared" si="27"/>
        <v>948456.4</v>
      </c>
      <c r="DT12" s="125">
        <f t="shared" si="27"/>
        <v>948456.4</v>
      </c>
      <c r="DU12" s="125">
        <f t="shared" si="27"/>
        <v>948456.4</v>
      </c>
      <c r="DV12" s="125">
        <f t="shared" si="27"/>
        <v>948456.4</v>
      </c>
      <c r="DW12" s="125">
        <f t="shared" si="27"/>
        <v>948456.4</v>
      </c>
      <c r="DX12" s="125">
        <f t="shared" si="27"/>
        <v>948456.4</v>
      </c>
      <c r="DY12" s="125">
        <f t="shared" si="27"/>
        <v>948456.4</v>
      </c>
      <c r="DZ12" s="125">
        <f t="shared" si="27"/>
        <v>948456.4</v>
      </c>
      <c r="EA12" s="125">
        <f t="shared" si="27"/>
        <v>948456.4</v>
      </c>
      <c r="EB12" s="125">
        <f t="shared" si="27"/>
        <v>948456.4</v>
      </c>
      <c r="EC12" s="125">
        <f t="shared" si="27"/>
        <v>948456.4</v>
      </c>
      <c r="ED12" s="125">
        <f t="shared" si="27"/>
        <v>948456.4</v>
      </c>
      <c r="EE12" s="125">
        <f t="shared" si="27"/>
        <v>948456.4</v>
      </c>
      <c r="EF12" s="125">
        <f t="shared" si="27"/>
        <v>948456.4</v>
      </c>
      <c r="EG12" s="125">
        <f t="shared" ref="EG12:GR12" si="28">EF12+EG11</f>
        <v>948456.4</v>
      </c>
      <c r="EH12" s="125">
        <f t="shared" si="28"/>
        <v>948456.4</v>
      </c>
      <c r="EI12" s="125">
        <f t="shared" si="28"/>
        <v>948456.4</v>
      </c>
      <c r="EJ12" s="125">
        <f t="shared" si="28"/>
        <v>948456.4</v>
      </c>
      <c r="EK12" s="125">
        <f t="shared" si="28"/>
        <v>948456.4</v>
      </c>
      <c r="EL12" s="125">
        <f t="shared" si="28"/>
        <v>948456.4</v>
      </c>
      <c r="EM12" s="125">
        <f t="shared" si="28"/>
        <v>948456.4</v>
      </c>
      <c r="EN12" s="125">
        <f t="shared" si="28"/>
        <v>948456.4</v>
      </c>
      <c r="EO12" s="125">
        <f t="shared" si="28"/>
        <v>948456.4</v>
      </c>
      <c r="EP12" s="125">
        <f t="shared" si="28"/>
        <v>948456.4</v>
      </c>
      <c r="EQ12" s="125">
        <f t="shared" si="28"/>
        <v>948456.4</v>
      </c>
      <c r="ER12" s="125">
        <f t="shared" si="28"/>
        <v>948456.4</v>
      </c>
      <c r="ES12" s="125">
        <f t="shared" si="28"/>
        <v>948456.4</v>
      </c>
      <c r="ET12" s="125">
        <f t="shared" si="28"/>
        <v>948456.4</v>
      </c>
      <c r="EU12" s="125">
        <f t="shared" si="28"/>
        <v>948456.4</v>
      </c>
      <c r="EV12" s="125">
        <f t="shared" si="28"/>
        <v>948456.4</v>
      </c>
      <c r="EW12" s="125">
        <f t="shared" si="28"/>
        <v>948456.4</v>
      </c>
      <c r="EX12" s="125">
        <f t="shared" si="28"/>
        <v>948456.4</v>
      </c>
      <c r="EY12" s="125">
        <f t="shared" si="28"/>
        <v>948456.4</v>
      </c>
      <c r="EZ12" s="125">
        <f t="shared" si="28"/>
        <v>948456.4</v>
      </c>
      <c r="FA12" s="125">
        <f t="shared" si="28"/>
        <v>948456.4</v>
      </c>
      <c r="FB12" s="125">
        <f t="shared" si="28"/>
        <v>948456.4</v>
      </c>
      <c r="FC12" s="125">
        <f t="shared" si="28"/>
        <v>948456.4</v>
      </c>
      <c r="FD12" s="125">
        <f t="shared" si="28"/>
        <v>948456.4</v>
      </c>
      <c r="FE12" s="125">
        <f t="shared" si="28"/>
        <v>948456.4</v>
      </c>
      <c r="FF12" s="125">
        <f t="shared" si="28"/>
        <v>948456.4</v>
      </c>
      <c r="FG12" s="125">
        <f t="shared" si="28"/>
        <v>948456.4</v>
      </c>
      <c r="FH12" s="125">
        <f t="shared" si="28"/>
        <v>948456.4</v>
      </c>
      <c r="FI12" s="125">
        <f t="shared" si="28"/>
        <v>948456.4</v>
      </c>
      <c r="FJ12" s="125">
        <f t="shared" si="28"/>
        <v>948456.4</v>
      </c>
      <c r="FK12" s="125">
        <f t="shared" si="28"/>
        <v>948456.4</v>
      </c>
      <c r="FL12" s="125">
        <f t="shared" si="28"/>
        <v>948456.4</v>
      </c>
      <c r="FM12" s="125">
        <f t="shared" si="28"/>
        <v>948456.4</v>
      </c>
      <c r="FN12" s="125">
        <f t="shared" si="28"/>
        <v>948456.4</v>
      </c>
      <c r="FO12" s="125">
        <f t="shared" si="28"/>
        <v>948456.4</v>
      </c>
      <c r="FP12" s="125">
        <f t="shared" si="28"/>
        <v>948456.4</v>
      </c>
      <c r="FQ12" s="125">
        <f t="shared" si="28"/>
        <v>948456.4</v>
      </c>
      <c r="FR12" s="125">
        <f t="shared" si="28"/>
        <v>948456.4</v>
      </c>
      <c r="FS12" s="125">
        <f t="shared" si="28"/>
        <v>948456.4</v>
      </c>
      <c r="FT12" s="125">
        <f t="shared" si="28"/>
        <v>948456.4</v>
      </c>
      <c r="FU12" s="125">
        <f t="shared" si="28"/>
        <v>948456.4</v>
      </c>
      <c r="FV12" s="125">
        <f t="shared" si="28"/>
        <v>948456.4</v>
      </c>
      <c r="FW12" s="125">
        <f t="shared" si="28"/>
        <v>948456.4</v>
      </c>
      <c r="FX12" s="125">
        <f t="shared" si="28"/>
        <v>948456.4</v>
      </c>
      <c r="FY12" s="125">
        <f t="shared" si="28"/>
        <v>948456.4</v>
      </c>
      <c r="FZ12" s="125">
        <f t="shared" si="28"/>
        <v>948456.4</v>
      </c>
      <c r="GA12" s="125">
        <f t="shared" si="28"/>
        <v>948456.4</v>
      </c>
      <c r="GB12" s="125">
        <f t="shared" si="28"/>
        <v>948456.4</v>
      </c>
      <c r="GC12" s="125">
        <f t="shared" si="28"/>
        <v>948456.4</v>
      </c>
      <c r="GD12" s="125">
        <f t="shared" si="28"/>
        <v>948456.4</v>
      </c>
      <c r="GE12" s="125">
        <f t="shared" si="28"/>
        <v>948456.4</v>
      </c>
      <c r="GF12" s="125">
        <f t="shared" si="28"/>
        <v>948456.4</v>
      </c>
      <c r="GG12" s="125">
        <f t="shared" si="28"/>
        <v>948456.4</v>
      </c>
      <c r="GH12" s="125">
        <f t="shared" si="28"/>
        <v>948456.4</v>
      </c>
      <c r="GI12" s="125">
        <f t="shared" si="28"/>
        <v>948456.4</v>
      </c>
      <c r="GJ12" s="125">
        <f t="shared" si="28"/>
        <v>948456.4</v>
      </c>
      <c r="GK12" s="125">
        <f t="shared" si="28"/>
        <v>948456.4</v>
      </c>
      <c r="GL12" s="125">
        <f t="shared" si="28"/>
        <v>948456.4</v>
      </c>
      <c r="GM12" s="125">
        <f t="shared" si="28"/>
        <v>948456.4</v>
      </c>
      <c r="GN12" s="125">
        <f t="shared" si="28"/>
        <v>948456.4</v>
      </c>
      <c r="GO12" s="125">
        <f t="shared" si="28"/>
        <v>948456.4</v>
      </c>
      <c r="GP12" s="125">
        <f t="shared" si="28"/>
        <v>948456.4</v>
      </c>
      <c r="GQ12" s="125">
        <f t="shared" si="28"/>
        <v>948456.4</v>
      </c>
      <c r="GR12" s="125">
        <f t="shared" si="28"/>
        <v>948456.4</v>
      </c>
      <c r="GS12" s="125">
        <f t="shared" ref="GS12:JD12" si="29">GR12+GS11</f>
        <v>948456.4</v>
      </c>
      <c r="GT12" s="125">
        <f t="shared" si="29"/>
        <v>948456.4</v>
      </c>
      <c r="GU12" s="125">
        <f t="shared" si="29"/>
        <v>948456.4</v>
      </c>
      <c r="GV12" s="125">
        <f t="shared" si="29"/>
        <v>948456.4</v>
      </c>
      <c r="GW12" s="125">
        <f t="shared" si="29"/>
        <v>948456.4</v>
      </c>
      <c r="GX12" s="125">
        <f t="shared" si="29"/>
        <v>948456.4</v>
      </c>
      <c r="GY12" s="125">
        <f t="shared" si="29"/>
        <v>948456.4</v>
      </c>
      <c r="GZ12" s="125">
        <f t="shared" si="29"/>
        <v>948456.4</v>
      </c>
      <c r="HA12" s="125">
        <f t="shared" si="29"/>
        <v>948456.4</v>
      </c>
      <c r="HB12" s="125">
        <f t="shared" si="29"/>
        <v>948456.4</v>
      </c>
      <c r="HC12" s="125">
        <f t="shared" si="29"/>
        <v>948456.4</v>
      </c>
      <c r="HD12" s="125">
        <f t="shared" si="29"/>
        <v>948456.4</v>
      </c>
      <c r="HE12" s="125">
        <f t="shared" si="29"/>
        <v>948456.4</v>
      </c>
      <c r="HF12" s="125">
        <f t="shared" si="29"/>
        <v>948456.4</v>
      </c>
      <c r="HG12" s="125">
        <f t="shared" si="29"/>
        <v>948456.4</v>
      </c>
      <c r="HH12" s="125">
        <f t="shared" si="29"/>
        <v>948456.4</v>
      </c>
      <c r="HI12" s="125">
        <f t="shared" si="29"/>
        <v>948456.4</v>
      </c>
      <c r="HJ12" s="125">
        <f t="shared" si="29"/>
        <v>948456.4</v>
      </c>
      <c r="HK12" s="125">
        <f t="shared" si="29"/>
        <v>948456.4</v>
      </c>
      <c r="HL12" s="125">
        <f t="shared" si="29"/>
        <v>948456.4</v>
      </c>
      <c r="HM12" s="125">
        <f t="shared" si="29"/>
        <v>948456.4</v>
      </c>
      <c r="HN12" s="125">
        <f t="shared" si="29"/>
        <v>948456.4</v>
      </c>
      <c r="HO12" s="125">
        <f t="shared" si="29"/>
        <v>948456.4</v>
      </c>
      <c r="HP12" s="125">
        <f t="shared" si="29"/>
        <v>948456.4</v>
      </c>
      <c r="HQ12" s="125">
        <f t="shared" si="29"/>
        <v>948456.4</v>
      </c>
      <c r="HR12" s="125">
        <f t="shared" si="29"/>
        <v>948456.4</v>
      </c>
      <c r="HS12" s="125">
        <f t="shared" si="29"/>
        <v>948456.4</v>
      </c>
      <c r="HT12" s="125">
        <f t="shared" si="29"/>
        <v>948456.4</v>
      </c>
      <c r="HU12" s="125">
        <f t="shared" si="29"/>
        <v>948456.4</v>
      </c>
      <c r="HV12" s="125">
        <f t="shared" si="29"/>
        <v>948456.4</v>
      </c>
      <c r="HW12" s="125">
        <f t="shared" si="29"/>
        <v>948456.4</v>
      </c>
      <c r="HX12" s="125">
        <f t="shared" si="29"/>
        <v>948456.4</v>
      </c>
      <c r="HY12" s="125">
        <f t="shared" si="29"/>
        <v>948456.4</v>
      </c>
      <c r="HZ12" s="125">
        <f t="shared" si="29"/>
        <v>948456.4</v>
      </c>
      <c r="IA12" s="125">
        <f t="shared" si="29"/>
        <v>948456.4</v>
      </c>
      <c r="IB12" s="125">
        <f t="shared" si="29"/>
        <v>948456.4</v>
      </c>
      <c r="IC12" s="125">
        <f t="shared" si="29"/>
        <v>948456.4</v>
      </c>
      <c r="ID12" s="125">
        <f t="shared" si="29"/>
        <v>948456.4</v>
      </c>
      <c r="IE12" s="125">
        <f t="shared" si="29"/>
        <v>948456.4</v>
      </c>
      <c r="IF12" s="125">
        <f t="shared" si="29"/>
        <v>948456.4</v>
      </c>
      <c r="IG12" s="125">
        <f t="shared" si="29"/>
        <v>948456.4</v>
      </c>
      <c r="IH12" s="125">
        <f t="shared" si="29"/>
        <v>948456.4</v>
      </c>
      <c r="II12" s="125">
        <f t="shared" si="29"/>
        <v>948456.4</v>
      </c>
      <c r="IJ12" s="125">
        <f t="shared" si="29"/>
        <v>948456.4</v>
      </c>
      <c r="IK12" s="125">
        <f t="shared" si="29"/>
        <v>948456.4</v>
      </c>
      <c r="IL12" s="125">
        <f t="shared" si="29"/>
        <v>948456.4</v>
      </c>
      <c r="IM12" s="125">
        <f t="shared" si="29"/>
        <v>948456.4</v>
      </c>
      <c r="IN12" s="125">
        <f t="shared" si="29"/>
        <v>948456.4</v>
      </c>
      <c r="IO12" s="125">
        <f t="shared" si="29"/>
        <v>948456.4</v>
      </c>
      <c r="IP12" s="125">
        <f t="shared" si="29"/>
        <v>948456.4</v>
      </c>
      <c r="IQ12" s="125">
        <f t="shared" si="29"/>
        <v>948456.4</v>
      </c>
      <c r="IR12" s="125">
        <f t="shared" si="29"/>
        <v>948456.4</v>
      </c>
      <c r="IS12" s="125">
        <f t="shared" si="29"/>
        <v>948456.4</v>
      </c>
      <c r="IT12" s="125">
        <f t="shared" si="29"/>
        <v>948456.4</v>
      </c>
      <c r="IU12" s="125">
        <f t="shared" si="29"/>
        <v>948456.4</v>
      </c>
      <c r="IV12" s="125">
        <f t="shared" si="29"/>
        <v>948456.4</v>
      </c>
      <c r="IW12" s="125">
        <f t="shared" si="29"/>
        <v>948456.4</v>
      </c>
      <c r="IX12" s="125">
        <f t="shared" si="29"/>
        <v>948456.4</v>
      </c>
      <c r="IY12" s="125">
        <f t="shared" si="29"/>
        <v>948456.4</v>
      </c>
      <c r="IZ12" s="125">
        <f t="shared" si="29"/>
        <v>948456.4</v>
      </c>
      <c r="JA12" s="125">
        <f t="shared" si="29"/>
        <v>948456.4</v>
      </c>
      <c r="JB12" s="125">
        <f t="shared" si="29"/>
        <v>948456.4</v>
      </c>
      <c r="JC12" s="125">
        <f t="shared" si="29"/>
        <v>948456.4</v>
      </c>
      <c r="JD12" s="125">
        <f t="shared" si="29"/>
        <v>948456.4</v>
      </c>
      <c r="JE12" s="125">
        <f t="shared" ref="JE12:KF12" si="30">JD12+JE11</f>
        <v>948456.4</v>
      </c>
      <c r="JF12" s="125">
        <f t="shared" si="30"/>
        <v>948456.4</v>
      </c>
      <c r="JG12" s="125">
        <f t="shared" si="30"/>
        <v>948456.4</v>
      </c>
      <c r="JH12" s="125">
        <f t="shared" si="30"/>
        <v>948456.4</v>
      </c>
      <c r="JI12" s="125">
        <f t="shared" si="30"/>
        <v>948456.4</v>
      </c>
      <c r="JJ12" s="125">
        <f t="shared" si="30"/>
        <v>948456.4</v>
      </c>
      <c r="JK12" s="125">
        <f t="shared" si="30"/>
        <v>948456.4</v>
      </c>
      <c r="JL12" s="125">
        <f t="shared" si="30"/>
        <v>948456.4</v>
      </c>
      <c r="JM12" s="125">
        <f t="shared" si="30"/>
        <v>948456.4</v>
      </c>
      <c r="JN12" s="125">
        <f t="shared" si="30"/>
        <v>948456.4</v>
      </c>
      <c r="JO12" s="125">
        <f t="shared" si="30"/>
        <v>948456.4</v>
      </c>
      <c r="JP12" s="125">
        <f t="shared" si="30"/>
        <v>948456.4</v>
      </c>
      <c r="JQ12" s="125">
        <f t="shared" si="30"/>
        <v>948456.4</v>
      </c>
      <c r="JR12" s="125">
        <f t="shared" si="30"/>
        <v>948456.4</v>
      </c>
      <c r="JS12" s="125">
        <f t="shared" si="30"/>
        <v>948456.4</v>
      </c>
      <c r="JT12" s="125">
        <f t="shared" si="30"/>
        <v>948456.4</v>
      </c>
      <c r="JU12" s="125">
        <f t="shared" si="30"/>
        <v>948456.4</v>
      </c>
      <c r="JV12" s="125">
        <f t="shared" si="30"/>
        <v>948456.4</v>
      </c>
      <c r="JW12" s="125">
        <f t="shared" si="30"/>
        <v>948456.4</v>
      </c>
      <c r="JX12" s="125">
        <f t="shared" si="30"/>
        <v>948456.4</v>
      </c>
      <c r="JY12" s="125">
        <f t="shared" si="30"/>
        <v>948456.4</v>
      </c>
      <c r="JZ12" s="125">
        <f t="shared" si="30"/>
        <v>948456.4</v>
      </c>
      <c r="KA12" s="125">
        <f t="shared" si="30"/>
        <v>948456.4</v>
      </c>
      <c r="KB12" s="125">
        <f t="shared" si="30"/>
        <v>948456.4</v>
      </c>
      <c r="KC12" s="125">
        <f t="shared" si="30"/>
        <v>948456.4</v>
      </c>
      <c r="KD12" s="125">
        <f t="shared" si="30"/>
        <v>948456.4</v>
      </c>
      <c r="KE12" s="125">
        <f t="shared" si="30"/>
        <v>948456.4</v>
      </c>
      <c r="KF12" s="125">
        <f t="shared" si="30"/>
        <v>948456.4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412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-174806.94726639567</v>
      </c>
      <c r="T14" s="118">
        <f t="shared" si="32"/>
        <v>332572.94546720874</v>
      </c>
      <c r="U14" s="118">
        <f t="shared" si="32"/>
        <v>456366.79183401086</v>
      </c>
      <c r="V14" s="118">
        <f t="shared" si="32"/>
        <v>443369.01183401083</v>
      </c>
      <c r="W14" s="118">
        <f t="shared" si="32"/>
        <v>443369.01183401083</v>
      </c>
      <c r="X14" s="118">
        <f t="shared" si="32"/>
        <v>443369.01183401083</v>
      </c>
      <c r="Y14" s="118">
        <f t="shared" si="32"/>
        <v>432200.01183401083</v>
      </c>
      <c r="Z14" s="118">
        <f t="shared" si="32"/>
        <v>417082.2318340108</v>
      </c>
      <c r="AA14" s="118">
        <f t="shared" si="32"/>
        <v>416425.9818340108</v>
      </c>
      <c r="AB14" s="118">
        <f t="shared" si="32"/>
        <v>416425.9818340108</v>
      </c>
      <c r="AC14" s="118">
        <f t="shared" si="32"/>
        <v>416425.9818340108</v>
      </c>
      <c r="AD14" s="118">
        <f t="shared" si="32"/>
        <v>416425.9818340108</v>
      </c>
      <c r="AE14" s="118">
        <f t="shared" si="32"/>
        <v>416425.9818340108</v>
      </c>
      <c r="AF14" s="118">
        <f t="shared" si="32"/>
        <v>416425.9818340108</v>
      </c>
      <c r="AG14" s="118">
        <f t="shared" si="32"/>
        <v>416425.9818340108</v>
      </c>
      <c r="AH14" s="118">
        <f t="shared" si="32"/>
        <v>416425.9818340108</v>
      </c>
      <c r="AI14" s="118">
        <f t="shared" si="32"/>
        <v>416425.9818340108</v>
      </c>
      <c r="AJ14" s="118">
        <f t="shared" si="32"/>
        <v>416425.9818340108</v>
      </c>
      <c r="AK14" s="118">
        <f t="shared" si="32"/>
        <v>416425.9818340108</v>
      </c>
      <c r="AL14" s="118">
        <f t="shared" si="32"/>
        <v>416425.9818340108</v>
      </c>
      <c r="AM14" s="118">
        <f t="shared" si="32"/>
        <v>416425.9818340108</v>
      </c>
      <c r="AN14" s="118">
        <f t="shared" si="32"/>
        <v>416425.9818340108</v>
      </c>
      <c r="AO14" s="118">
        <f t="shared" si="32"/>
        <v>416425.9818340108</v>
      </c>
      <c r="AP14" s="118">
        <f t="shared" si="32"/>
        <v>416425.9818340108</v>
      </c>
      <c r="AQ14" s="118">
        <f t="shared" si="32"/>
        <v>416425.9818340108</v>
      </c>
      <c r="AR14" s="118">
        <f t="shared" si="32"/>
        <v>416425.9818340108</v>
      </c>
      <c r="AS14" s="118">
        <f t="shared" si="32"/>
        <v>416425.9818340108</v>
      </c>
      <c r="AT14" s="118">
        <f t="shared" si="32"/>
        <v>416425.9818340108</v>
      </c>
      <c r="AU14" s="118">
        <f t="shared" si="32"/>
        <v>416425.9818340108</v>
      </c>
      <c r="AV14" s="118">
        <f t="shared" si="32"/>
        <v>416425.9818340108</v>
      </c>
      <c r="AW14" s="118">
        <f t="shared" si="32"/>
        <v>416425.9818340108</v>
      </c>
      <c r="AX14" s="118">
        <f t="shared" si="32"/>
        <v>416425.9818340108</v>
      </c>
      <c r="AY14" s="118">
        <f t="shared" si="32"/>
        <v>416425.9818340108</v>
      </c>
      <c r="AZ14" s="118">
        <f t="shared" si="32"/>
        <v>416425.9818340108</v>
      </c>
      <c r="BA14" s="118">
        <f t="shared" si="32"/>
        <v>416425.9818340108</v>
      </c>
      <c r="BB14" s="118">
        <f t="shared" si="32"/>
        <v>416425.9818340108</v>
      </c>
      <c r="BC14" s="118">
        <f t="shared" si="32"/>
        <v>416425.9818340108</v>
      </c>
      <c r="BD14" s="118">
        <f t="shared" si="32"/>
        <v>416425.9818340108</v>
      </c>
      <c r="BE14" s="118">
        <f t="shared" si="32"/>
        <v>416425.9818340108</v>
      </c>
      <c r="BF14" s="118">
        <f t="shared" si="32"/>
        <v>416425.9818340108</v>
      </c>
      <c r="BG14" s="118">
        <f t="shared" si="32"/>
        <v>416425.9818340108</v>
      </c>
      <c r="BH14" s="118">
        <f t="shared" si="32"/>
        <v>416425.9818340108</v>
      </c>
      <c r="BI14" s="118">
        <f t="shared" si="32"/>
        <v>416425.9818340108</v>
      </c>
      <c r="BJ14" s="118">
        <f t="shared" si="32"/>
        <v>416425.9818340108</v>
      </c>
      <c r="BK14" s="118">
        <f t="shared" si="32"/>
        <v>416425.9818340108</v>
      </c>
      <c r="BL14" s="118">
        <f t="shared" si="32"/>
        <v>416425.9818340108</v>
      </c>
      <c r="BM14" s="118">
        <f t="shared" si="32"/>
        <v>416425.9818340108</v>
      </c>
      <c r="BN14" s="118">
        <f t="shared" si="32"/>
        <v>416425.9818340108</v>
      </c>
      <c r="BO14" s="118">
        <f t="shared" si="32"/>
        <v>416425.9818340108</v>
      </c>
      <c r="BP14" s="118">
        <f t="shared" si="32"/>
        <v>416425.9818340108</v>
      </c>
      <c r="BQ14" s="118">
        <f t="shared" si="32"/>
        <v>416425.9818340108</v>
      </c>
      <c r="BR14" s="118">
        <f t="shared" si="32"/>
        <v>416425.9818340108</v>
      </c>
      <c r="BS14" s="118">
        <f t="shared" si="32"/>
        <v>416425.9818340108</v>
      </c>
      <c r="BT14" s="118">
        <f t="shared" si="32"/>
        <v>416425.9818340108</v>
      </c>
      <c r="BU14" s="118">
        <f t="shared" ref="BU14:EF14" si="33">BU10-BU12</f>
        <v>416425.9818340108</v>
      </c>
      <c r="BV14" s="118">
        <f t="shared" si="33"/>
        <v>416425.9818340108</v>
      </c>
      <c r="BW14" s="118">
        <f t="shared" si="33"/>
        <v>416425.9818340108</v>
      </c>
      <c r="BX14" s="118">
        <f t="shared" si="33"/>
        <v>416425.9818340108</v>
      </c>
      <c r="BY14" s="118">
        <f t="shared" si="33"/>
        <v>416425.9818340108</v>
      </c>
      <c r="BZ14" s="118">
        <f t="shared" si="33"/>
        <v>416425.9818340108</v>
      </c>
      <c r="CA14" s="118">
        <f t="shared" si="33"/>
        <v>416425.9818340108</v>
      </c>
      <c r="CB14" s="118">
        <f t="shared" si="33"/>
        <v>416425.9818340108</v>
      </c>
      <c r="CC14" s="118">
        <f t="shared" si="33"/>
        <v>416425.9818340108</v>
      </c>
      <c r="CD14" s="118">
        <f t="shared" si="33"/>
        <v>416425.9818340108</v>
      </c>
      <c r="CE14" s="118">
        <f t="shared" si="33"/>
        <v>416425.9818340108</v>
      </c>
      <c r="CF14" s="118">
        <f t="shared" si="33"/>
        <v>416425.9818340108</v>
      </c>
      <c r="CG14" s="118">
        <f t="shared" si="33"/>
        <v>416425.9818340108</v>
      </c>
      <c r="CH14" s="118">
        <f t="shared" si="33"/>
        <v>416425.9818340108</v>
      </c>
      <c r="CI14" s="118">
        <f t="shared" si="33"/>
        <v>416425.9818340108</v>
      </c>
      <c r="CJ14" s="118">
        <f t="shared" si="33"/>
        <v>416425.9818340108</v>
      </c>
      <c r="CK14" s="118">
        <f t="shared" si="33"/>
        <v>416425.9818340108</v>
      </c>
      <c r="CL14" s="118">
        <f t="shared" si="33"/>
        <v>416425.9818340108</v>
      </c>
      <c r="CM14" s="118">
        <f t="shared" si="33"/>
        <v>416425.9818340108</v>
      </c>
      <c r="CN14" s="118">
        <f t="shared" si="33"/>
        <v>416425.9818340108</v>
      </c>
      <c r="CO14" s="118">
        <f t="shared" si="33"/>
        <v>416425.9818340108</v>
      </c>
      <c r="CP14" s="118">
        <f t="shared" si="33"/>
        <v>416425.9818340108</v>
      </c>
      <c r="CQ14" s="118">
        <f t="shared" si="33"/>
        <v>416425.9818340108</v>
      </c>
      <c r="CR14" s="118">
        <f t="shared" si="33"/>
        <v>416425.9818340108</v>
      </c>
      <c r="CS14" s="118">
        <f t="shared" si="33"/>
        <v>416425.9818340108</v>
      </c>
      <c r="CT14" s="118">
        <f t="shared" si="33"/>
        <v>416425.9818340108</v>
      </c>
      <c r="CU14" s="118">
        <f t="shared" si="33"/>
        <v>416425.9818340108</v>
      </c>
      <c r="CV14" s="118">
        <f t="shared" si="33"/>
        <v>416425.9818340108</v>
      </c>
      <c r="CW14" s="118">
        <f t="shared" si="33"/>
        <v>416425.9818340108</v>
      </c>
      <c r="CX14" s="118">
        <f t="shared" si="33"/>
        <v>416425.9818340108</v>
      </c>
      <c r="CY14" s="118">
        <f t="shared" si="33"/>
        <v>416425.9818340108</v>
      </c>
      <c r="CZ14" s="118">
        <f t="shared" si="33"/>
        <v>416425.9818340108</v>
      </c>
      <c r="DA14" s="118">
        <f t="shared" si="33"/>
        <v>416425.9818340108</v>
      </c>
      <c r="DB14" s="118">
        <f t="shared" si="33"/>
        <v>416425.9818340108</v>
      </c>
      <c r="DC14" s="118">
        <f t="shared" si="33"/>
        <v>416425.9818340108</v>
      </c>
      <c r="DD14" s="118">
        <f t="shared" si="33"/>
        <v>416425.9818340108</v>
      </c>
      <c r="DE14" s="118">
        <f t="shared" si="33"/>
        <v>416425.9818340108</v>
      </c>
      <c r="DF14" s="118">
        <f t="shared" si="33"/>
        <v>416425.9818340108</v>
      </c>
      <c r="DG14" s="118">
        <f t="shared" si="33"/>
        <v>416425.9818340108</v>
      </c>
      <c r="DH14" s="118">
        <f t="shared" si="33"/>
        <v>416425.9818340108</v>
      </c>
      <c r="DI14" s="118">
        <f t="shared" si="33"/>
        <v>416425.9818340108</v>
      </c>
      <c r="DJ14" s="118">
        <f t="shared" si="33"/>
        <v>416425.9818340108</v>
      </c>
      <c r="DK14" s="118">
        <f t="shared" si="33"/>
        <v>416425.9818340108</v>
      </c>
      <c r="DL14" s="118">
        <f t="shared" si="33"/>
        <v>416425.9818340108</v>
      </c>
      <c r="DM14" s="118">
        <f t="shared" si="33"/>
        <v>416425.9818340108</v>
      </c>
      <c r="DN14" s="118">
        <f t="shared" si="33"/>
        <v>416425.9818340108</v>
      </c>
      <c r="DO14" s="118">
        <f t="shared" si="33"/>
        <v>416425.9818340108</v>
      </c>
      <c r="DP14" s="118">
        <f t="shared" si="33"/>
        <v>416425.9818340108</v>
      </c>
      <c r="DQ14" s="118">
        <f t="shared" si="33"/>
        <v>416425.9818340108</v>
      </c>
      <c r="DR14" s="118">
        <f t="shared" si="33"/>
        <v>416425.9818340108</v>
      </c>
      <c r="DS14" s="118">
        <f t="shared" si="33"/>
        <v>416425.9818340108</v>
      </c>
      <c r="DT14" s="118">
        <f t="shared" si="33"/>
        <v>416425.9818340108</v>
      </c>
      <c r="DU14" s="118">
        <f t="shared" si="33"/>
        <v>416425.9818340108</v>
      </c>
      <c r="DV14" s="118">
        <f t="shared" si="33"/>
        <v>416425.9818340108</v>
      </c>
      <c r="DW14" s="118">
        <f t="shared" si="33"/>
        <v>416425.9818340108</v>
      </c>
      <c r="DX14" s="118">
        <f t="shared" si="33"/>
        <v>416425.9818340108</v>
      </c>
      <c r="DY14" s="118">
        <f t="shared" si="33"/>
        <v>416425.9818340108</v>
      </c>
      <c r="DZ14" s="118">
        <f t="shared" si="33"/>
        <v>416425.9818340108</v>
      </c>
      <c r="EA14" s="118">
        <f t="shared" si="33"/>
        <v>416425.9818340108</v>
      </c>
      <c r="EB14" s="118">
        <f t="shared" si="33"/>
        <v>416425.9818340108</v>
      </c>
      <c r="EC14" s="118">
        <f t="shared" si="33"/>
        <v>416425.9818340108</v>
      </c>
      <c r="ED14" s="118">
        <f t="shared" si="33"/>
        <v>416425.9818340108</v>
      </c>
      <c r="EE14" s="118">
        <f t="shared" si="33"/>
        <v>416425.9818340108</v>
      </c>
      <c r="EF14" s="118">
        <f t="shared" si="33"/>
        <v>416425.9818340108</v>
      </c>
      <c r="EG14" s="118">
        <f t="shared" ref="EG14:GR14" si="34">EG10-EG12</f>
        <v>416425.9818340108</v>
      </c>
      <c r="EH14" s="118">
        <f t="shared" si="34"/>
        <v>416425.9818340108</v>
      </c>
      <c r="EI14" s="118">
        <f t="shared" si="34"/>
        <v>416425.9818340108</v>
      </c>
      <c r="EJ14" s="118">
        <f t="shared" si="34"/>
        <v>416425.9818340108</v>
      </c>
      <c r="EK14" s="118">
        <f t="shared" si="34"/>
        <v>416425.9818340108</v>
      </c>
      <c r="EL14" s="118">
        <f t="shared" si="34"/>
        <v>416425.9818340108</v>
      </c>
      <c r="EM14" s="118">
        <f t="shared" si="34"/>
        <v>416425.9818340108</v>
      </c>
      <c r="EN14" s="118">
        <f t="shared" si="34"/>
        <v>416425.9818340108</v>
      </c>
      <c r="EO14" s="118">
        <f t="shared" si="34"/>
        <v>416425.9818340108</v>
      </c>
      <c r="EP14" s="118">
        <f t="shared" si="34"/>
        <v>416425.9818340108</v>
      </c>
      <c r="EQ14" s="118">
        <f t="shared" si="34"/>
        <v>416425.9818340108</v>
      </c>
      <c r="ER14" s="118">
        <f t="shared" si="34"/>
        <v>416425.9818340108</v>
      </c>
      <c r="ES14" s="118">
        <f t="shared" si="34"/>
        <v>416425.9818340108</v>
      </c>
      <c r="ET14" s="118">
        <f t="shared" si="34"/>
        <v>416425.9818340108</v>
      </c>
      <c r="EU14" s="118">
        <f t="shared" si="34"/>
        <v>416425.9818340108</v>
      </c>
      <c r="EV14" s="118">
        <f t="shared" si="34"/>
        <v>416425.9818340108</v>
      </c>
      <c r="EW14" s="118">
        <f t="shared" si="34"/>
        <v>416425.9818340108</v>
      </c>
      <c r="EX14" s="118">
        <f t="shared" si="34"/>
        <v>416425.9818340108</v>
      </c>
      <c r="EY14" s="118">
        <f t="shared" si="34"/>
        <v>416425.9818340108</v>
      </c>
      <c r="EZ14" s="118">
        <f t="shared" si="34"/>
        <v>416425.9818340108</v>
      </c>
      <c r="FA14" s="118">
        <f t="shared" si="34"/>
        <v>416425.9818340108</v>
      </c>
      <c r="FB14" s="118">
        <f t="shared" si="34"/>
        <v>416425.9818340108</v>
      </c>
      <c r="FC14" s="118">
        <f t="shared" si="34"/>
        <v>416425.9818340108</v>
      </c>
      <c r="FD14" s="118">
        <f t="shared" si="34"/>
        <v>416425.9818340108</v>
      </c>
      <c r="FE14" s="118">
        <f t="shared" si="34"/>
        <v>416425.9818340108</v>
      </c>
      <c r="FF14" s="118">
        <f t="shared" si="34"/>
        <v>416425.9818340108</v>
      </c>
      <c r="FG14" s="118">
        <f t="shared" si="34"/>
        <v>416425.9818340108</v>
      </c>
      <c r="FH14" s="118">
        <f t="shared" si="34"/>
        <v>416425.9818340108</v>
      </c>
      <c r="FI14" s="118">
        <f t="shared" si="34"/>
        <v>416425.9818340108</v>
      </c>
      <c r="FJ14" s="118">
        <f t="shared" si="34"/>
        <v>416425.9818340108</v>
      </c>
      <c r="FK14" s="118">
        <f t="shared" si="34"/>
        <v>416425.9818340108</v>
      </c>
      <c r="FL14" s="118">
        <f t="shared" si="34"/>
        <v>416425.9818340108</v>
      </c>
      <c r="FM14" s="118">
        <f t="shared" si="34"/>
        <v>416425.9818340108</v>
      </c>
      <c r="FN14" s="118">
        <f t="shared" si="34"/>
        <v>416425.9818340108</v>
      </c>
      <c r="FO14" s="118">
        <f t="shared" si="34"/>
        <v>416425.9818340108</v>
      </c>
      <c r="FP14" s="118">
        <f t="shared" si="34"/>
        <v>416425.9818340108</v>
      </c>
      <c r="FQ14" s="118">
        <f t="shared" si="34"/>
        <v>416425.9818340108</v>
      </c>
      <c r="FR14" s="118">
        <f t="shared" si="34"/>
        <v>416425.9818340108</v>
      </c>
      <c r="FS14" s="118">
        <f t="shared" si="34"/>
        <v>416425.9818340108</v>
      </c>
      <c r="FT14" s="118">
        <f t="shared" si="34"/>
        <v>416425.9818340108</v>
      </c>
      <c r="FU14" s="118">
        <f t="shared" si="34"/>
        <v>416425.9818340108</v>
      </c>
      <c r="FV14" s="118">
        <f t="shared" si="34"/>
        <v>416425.9818340108</v>
      </c>
      <c r="FW14" s="118">
        <f t="shared" si="34"/>
        <v>416425.9818340108</v>
      </c>
      <c r="FX14" s="118">
        <f t="shared" si="34"/>
        <v>416425.9818340108</v>
      </c>
      <c r="FY14" s="118">
        <f t="shared" si="34"/>
        <v>416425.9818340108</v>
      </c>
      <c r="FZ14" s="118">
        <f t="shared" si="34"/>
        <v>416425.9818340108</v>
      </c>
      <c r="GA14" s="118">
        <f t="shared" si="34"/>
        <v>416425.9818340108</v>
      </c>
      <c r="GB14" s="118">
        <f t="shared" si="34"/>
        <v>416425.9818340108</v>
      </c>
      <c r="GC14" s="118">
        <f t="shared" si="34"/>
        <v>416425.9818340108</v>
      </c>
      <c r="GD14" s="118">
        <f t="shared" si="34"/>
        <v>416425.9818340108</v>
      </c>
      <c r="GE14" s="118">
        <f t="shared" si="34"/>
        <v>416425.9818340108</v>
      </c>
      <c r="GF14" s="118">
        <f t="shared" si="34"/>
        <v>416425.9818340108</v>
      </c>
      <c r="GG14" s="118">
        <f t="shared" si="34"/>
        <v>416425.9818340108</v>
      </c>
      <c r="GH14" s="118">
        <f t="shared" si="34"/>
        <v>416425.9818340108</v>
      </c>
      <c r="GI14" s="118">
        <f t="shared" si="34"/>
        <v>416425.9818340108</v>
      </c>
      <c r="GJ14" s="118">
        <f t="shared" si="34"/>
        <v>416425.9818340108</v>
      </c>
      <c r="GK14" s="118">
        <f t="shared" si="34"/>
        <v>416425.9818340108</v>
      </c>
      <c r="GL14" s="118">
        <f t="shared" si="34"/>
        <v>416425.9818340108</v>
      </c>
      <c r="GM14" s="118">
        <f t="shared" si="34"/>
        <v>416425.9818340108</v>
      </c>
      <c r="GN14" s="118">
        <f t="shared" si="34"/>
        <v>416425.9818340108</v>
      </c>
      <c r="GO14" s="118">
        <f t="shared" si="34"/>
        <v>416425.9818340108</v>
      </c>
      <c r="GP14" s="118">
        <f t="shared" si="34"/>
        <v>416425.9818340108</v>
      </c>
      <c r="GQ14" s="118">
        <f t="shared" si="34"/>
        <v>416425.9818340108</v>
      </c>
      <c r="GR14" s="118">
        <f t="shared" si="34"/>
        <v>416425.9818340108</v>
      </c>
      <c r="GS14" s="118">
        <f t="shared" ref="GS14:JD14" si="35">GS10-GS12</f>
        <v>416425.9818340108</v>
      </c>
      <c r="GT14" s="118">
        <f t="shared" si="35"/>
        <v>416425.9818340108</v>
      </c>
      <c r="GU14" s="118">
        <f t="shared" si="35"/>
        <v>416425.9818340108</v>
      </c>
      <c r="GV14" s="118">
        <f t="shared" si="35"/>
        <v>416425.9818340108</v>
      </c>
      <c r="GW14" s="118">
        <f t="shared" si="35"/>
        <v>416425.9818340108</v>
      </c>
      <c r="GX14" s="118">
        <f t="shared" si="35"/>
        <v>416425.9818340108</v>
      </c>
      <c r="GY14" s="118">
        <f t="shared" si="35"/>
        <v>416425.9818340108</v>
      </c>
      <c r="GZ14" s="118">
        <f t="shared" si="35"/>
        <v>416425.9818340108</v>
      </c>
      <c r="HA14" s="118">
        <f t="shared" si="35"/>
        <v>416425.9818340108</v>
      </c>
      <c r="HB14" s="118">
        <f t="shared" si="35"/>
        <v>416425.9818340108</v>
      </c>
      <c r="HC14" s="118">
        <f t="shared" si="35"/>
        <v>416425.9818340108</v>
      </c>
      <c r="HD14" s="118">
        <f t="shared" si="35"/>
        <v>416425.9818340108</v>
      </c>
      <c r="HE14" s="118">
        <f t="shared" si="35"/>
        <v>416425.9818340108</v>
      </c>
      <c r="HF14" s="118">
        <f t="shared" si="35"/>
        <v>416425.9818340108</v>
      </c>
      <c r="HG14" s="118">
        <f t="shared" si="35"/>
        <v>416425.9818340108</v>
      </c>
      <c r="HH14" s="118">
        <f t="shared" si="35"/>
        <v>416425.9818340108</v>
      </c>
      <c r="HI14" s="118">
        <f t="shared" si="35"/>
        <v>416425.9818340108</v>
      </c>
      <c r="HJ14" s="118">
        <f t="shared" si="35"/>
        <v>416425.9818340108</v>
      </c>
      <c r="HK14" s="118">
        <f t="shared" si="35"/>
        <v>416425.9818340108</v>
      </c>
      <c r="HL14" s="118">
        <f t="shared" si="35"/>
        <v>416425.9818340108</v>
      </c>
      <c r="HM14" s="118">
        <f t="shared" si="35"/>
        <v>416425.9818340108</v>
      </c>
      <c r="HN14" s="118">
        <f t="shared" si="35"/>
        <v>416425.9818340108</v>
      </c>
      <c r="HO14" s="118">
        <f t="shared" si="35"/>
        <v>416425.9818340108</v>
      </c>
      <c r="HP14" s="118">
        <f t="shared" si="35"/>
        <v>416425.9818340108</v>
      </c>
      <c r="HQ14" s="118">
        <f t="shared" si="35"/>
        <v>416425.9818340108</v>
      </c>
      <c r="HR14" s="118">
        <f t="shared" si="35"/>
        <v>416425.9818340108</v>
      </c>
      <c r="HS14" s="118">
        <f t="shared" si="35"/>
        <v>416425.9818340108</v>
      </c>
      <c r="HT14" s="118">
        <f t="shared" si="35"/>
        <v>416425.9818340108</v>
      </c>
      <c r="HU14" s="118">
        <f t="shared" si="35"/>
        <v>416425.9818340108</v>
      </c>
      <c r="HV14" s="118">
        <f t="shared" si="35"/>
        <v>416425.9818340108</v>
      </c>
      <c r="HW14" s="118">
        <f t="shared" si="35"/>
        <v>416425.9818340108</v>
      </c>
      <c r="HX14" s="118">
        <f t="shared" si="35"/>
        <v>416425.9818340108</v>
      </c>
      <c r="HY14" s="118">
        <f t="shared" si="35"/>
        <v>416425.9818340108</v>
      </c>
      <c r="HZ14" s="118">
        <f t="shared" si="35"/>
        <v>416425.9818340108</v>
      </c>
      <c r="IA14" s="118">
        <f t="shared" si="35"/>
        <v>416425.9818340108</v>
      </c>
      <c r="IB14" s="118">
        <f t="shared" si="35"/>
        <v>416425.9818340108</v>
      </c>
      <c r="IC14" s="118">
        <f t="shared" si="35"/>
        <v>416425.9818340108</v>
      </c>
      <c r="ID14" s="118">
        <f t="shared" si="35"/>
        <v>416425.9818340108</v>
      </c>
      <c r="IE14" s="118">
        <f t="shared" si="35"/>
        <v>416425.9818340108</v>
      </c>
      <c r="IF14" s="118">
        <f t="shared" si="35"/>
        <v>416425.9818340108</v>
      </c>
      <c r="IG14" s="118">
        <f t="shared" si="35"/>
        <v>416425.9818340108</v>
      </c>
      <c r="IH14" s="118">
        <f t="shared" si="35"/>
        <v>416425.9818340108</v>
      </c>
      <c r="II14" s="118">
        <f t="shared" si="35"/>
        <v>416425.9818340108</v>
      </c>
      <c r="IJ14" s="118">
        <f t="shared" si="35"/>
        <v>416425.9818340108</v>
      </c>
      <c r="IK14" s="118">
        <f t="shared" si="35"/>
        <v>416425.9818340108</v>
      </c>
      <c r="IL14" s="118">
        <f t="shared" si="35"/>
        <v>416425.9818340108</v>
      </c>
      <c r="IM14" s="118">
        <f t="shared" si="35"/>
        <v>416425.9818340108</v>
      </c>
      <c r="IN14" s="118">
        <f t="shared" si="35"/>
        <v>416425.9818340108</v>
      </c>
      <c r="IO14" s="118">
        <f t="shared" si="35"/>
        <v>416425.9818340108</v>
      </c>
      <c r="IP14" s="118">
        <f t="shared" si="35"/>
        <v>416425.9818340108</v>
      </c>
      <c r="IQ14" s="118">
        <f t="shared" si="35"/>
        <v>416425.9818340108</v>
      </c>
      <c r="IR14" s="118">
        <f t="shared" si="35"/>
        <v>416425.9818340108</v>
      </c>
      <c r="IS14" s="118">
        <f t="shared" si="35"/>
        <v>416425.9818340108</v>
      </c>
      <c r="IT14" s="118">
        <f t="shared" si="35"/>
        <v>416425.9818340108</v>
      </c>
      <c r="IU14" s="118">
        <f t="shared" si="35"/>
        <v>416425.9818340108</v>
      </c>
      <c r="IV14" s="118">
        <f t="shared" si="35"/>
        <v>416425.9818340108</v>
      </c>
      <c r="IW14" s="118">
        <f t="shared" si="35"/>
        <v>416425.9818340108</v>
      </c>
      <c r="IX14" s="118">
        <f t="shared" si="35"/>
        <v>416425.9818340108</v>
      </c>
      <c r="IY14" s="118">
        <f t="shared" si="35"/>
        <v>416425.9818340108</v>
      </c>
      <c r="IZ14" s="118">
        <f t="shared" si="35"/>
        <v>416425.9818340108</v>
      </c>
      <c r="JA14" s="118">
        <f t="shared" si="35"/>
        <v>416425.9818340108</v>
      </c>
      <c r="JB14" s="118">
        <f t="shared" si="35"/>
        <v>416425.9818340108</v>
      </c>
      <c r="JC14" s="118">
        <f t="shared" si="35"/>
        <v>416425.9818340108</v>
      </c>
      <c r="JD14" s="118">
        <f t="shared" si="35"/>
        <v>416425.9818340108</v>
      </c>
      <c r="JE14" s="118">
        <f t="shared" ref="JE14:KF14" si="36">JE10-JE12</f>
        <v>416425.9818340108</v>
      </c>
      <c r="JF14" s="118">
        <f t="shared" si="36"/>
        <v>416425.9818340108</v>
      </c>
      <c r="JG14" s="118">
        <f t="shared" si="36"/>
        <v>416425.9818340108</v>
      </c>
      <c r="JH14" s="118">
        <f t="shared" si="36"/>
        <v>416425.9818340108</v>
      </c>
      <c r="JI14" s="118">
        <f t="shared" si="36"/>
        <v>416425.9818340108</v>
      </c>
      <c r="JJ14" s="118">
        <f t="shared" si="36"/>
        <v>416425.9818340108</v>
      </c>
      <c r="JK14" s="118">
        <f t="shared" si="36"/>
        <v>416425.9818340108</v>
      </c>
      <c r="JL14" s="118">
        <f t="shared" si="36"/>
        <v>416425.9818340108</v>
      </c>
      <c r="JM14" s="118">
        <f t="shared" si="36"/>
        <v>416425.9818340108</v>
      </c>
      <c r="JN14" s="118">
        <f t="shared" si="36"/>
        <v>416425.9818340108</v>
      </c>
      <c r="JO14" s="118">
        <f t="shared" si="36"/>
        <v>416425.9818340108</v>
      </c>
      <c r="JP14" s="118">
        <f t="shared" si="36"/>
        <v>416425.9818340108</v>
      </c>
      <c r="JQ14" s="118">
        <f t="shared" si="36"/>
        <v>416425.9818340108</v>
      </c>
      <c r="JR14" s="118">
        <f t="shared" si="36"/>
        <v>416425.9818340108</v>
      </c>
      <c r="JS14" s="118">
        <f t="shared" si="36"/>
        <v>416425.9818340108</v>
      </c>
      <c r="JT14" s="118">
        <f t="shared" si="36"/>
        <v>416425.9818340108</v>
      </c>
      <c r="JU14" s="118">
        <f t="shared" si="36"/>
        <v>416425.9818340108</v>
      </c>
      <c r="JV14" s="118">
        <f t="shared" si="36"/>
        <v>416425.9818340108</v>
      </c>
      <c r="JW14" s="118">
        <f t="shared" si="36"/>
        <v>416425.9818340108</v>
      </c>
      <c r="JX14" s="118">
        <f t="shared" si="36"/>
        <v>416425.9818340108</v>
      </c>
      <c r="JY14" s="118">
        <f t="shared" si="36"/>
        <v>416425.9818340108</v>
      </c>
      <c r="JZ14" s="118">
        <f t="shared" si="36"/>
        <v>416425.9818340108</v>
      </c>
      <c r="KA14" s="118">
        <f t="shared" si="36"/>
        <v>416425.9818340108</v>
      </c>
      <c r="KB14" s="118">
        <f t="shared" si="36"/>
        <v>416425.9818340108</v>
      </c>
      <c r="KC14" s="118">
        <f t="shared" si="36"/>
        <v>416425.9818340108</v>
      </c>
      <c r="KD14" s="118">
        <f t="shared" si="36"/>
        <v>416425.9818340108</v>
      </c>
      <c r="KE14" s="118">
        <f t="shared" si="36"/>
        <v>416425.9818340108</v>
      </c>
      <c r="KF14" s="118">
        <f t="shared" si="36"/>
        <v>416425.9818340108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46"/>
      <c r="B17" s="106" t="s">
        <v>413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294833.71518302662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17458.28603825493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16843.183910212458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6"/>
      <c r="B18" s="106" t="s">
        <v>414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1330580.9069811497</v>
      </c>
      <c r="V18" s="125">
        <f t="shared" si="37"/>
        <v>1330580.9069811497</v>
      </c>
      <c r="W18" s="125">
        <f t="shared" si="37"/>
        <v>1330580.9069811497</v>
      </c>
      <c r="X18" s="125">
        <f t="shared" si="37"/>
        <v>1330580.9069811497</v>
      </c>
      <c r="Y18" s="125">
        <f t="shared" si="37"/>
        <v>1330580.9069811497</v>
      </c>
      <c r="Z18" s="125">
        <f t="shared" si="37"/>
        <v>1348039.1930194045</v>
      </c>
      <c r="AA18" s="125">
        <f t="shared" si="37"/>
        <v>1348039.1930194045</v>
      </c>
      <c r="AB18" s="125">
        <f t="shared" si="37"/>
        <v>1348039.1930194045</v>
      </c>
      <c r="AC18" s="125">
        <f t="shared" si="37"/>
        <v>1348039.1930194045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40625" defaultRowHeight="14.25"/>
  <cols>
    <col min="1" max="1" width="39.42578125" style="269" bestFit="1" customWidth="1"/>
    <col min="2" max="2" width="17.28515625" style="270" bestFit="1" customWidth="1"/>
    <col min="3" max="3" width="11.7109375" style="269" bestFit="1" customWidth="1"/>
    <col min="4" max="4" width="13.28515625" style="269" bestFit="1" customWidth="1"/>
    <col min="5" max="5" width="4.85546875" style="269" bestFit="1" customWidth="1"/>
    <col min="6" max="7" width="13.28515625" style="269" bestFit="1" customWidth="1"/>
    <col min="8" max="9" width="12" style="269" bestFit="1" customWidth="1"/>
    <col min="10" max="10" width="14.8554687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415</v>
      </c>
      <c r="B3" s="540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417</v>
      </c>
      <c r="B4" t="s">
        <v>418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5" t="s">
        <v>282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294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5" t="s">
        <v>308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338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345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350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354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364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369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373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361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335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2578125" defaultRowHeight="14.25"/>
  <cols>
    <col min="1" max="1" width="21.7109375" bestFit="1" customWidth="1"/>
    <col min="2" max="2" width="17.28515625" style="308" bestFit="1" customWidth="1"/>
    <col min="3" max="3" width="11.7109375" style="308" bestFit="1" customWidth="1"/>
    <col min="4" max="4" width="13.28515625" style="308" bestFit="1" customWidth="1"/>
    <col min="5" max="5" width="4.85546875" style="308" bestFit="1" customWidth="1"/>
    <col min="6" max="7" width="13.28515625" style="308" bestFit="1" customWidth="1"/>
    <col min="8" max="9" width="12" style="308" bestFit="1" customWidth="1"/>
    <col min="10" max="10" width="13.28515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0">
      <c r="A3" s="540" t="s">
        <v>420</v>
      </c>
      <c r="B3" s="540" t="s">
        <v>416</v>
      </c>
      <c r="C3"/>
      <c r="D3"/>
      <c r="E3"/>
      <c r="F3"/>
      <c r="G3"/>
      <c r="H3"/>
      <c r="I3"/>
    </row>
    <row r="4" spans="1:10">
      <c r="A4" s="540" t="s">
        <v>417</v>
      </c>
      <c r="B4" t="s">
        <v>418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419</v>
      </c>
    </row>
    <row r="5" spans="1:10">
      <c r="A5" s="345" t="s">
        <v>418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274</v>
      </c>
      <c r="B6" s="347"/>
      <c r="C6" s="347"/>
      <c r="D6" s="347">
        <v>306891</v>
      </c>
      <c r="E6" s="347"/>
      <c r="F6" s="347"/>
      <c r="G6" s="347"/>
      <c r="H6" s="347"/>
      <c r="I6" s="347"/>
      <c r="J6" s="347">
        <v>306891</v>
      </c>
    </row>
    <row r="7" spans="1:10">
      <c r="A7" s="345" t="s">
        <v>282</v>
      </c>
      <c r="B7" s="347"/>
      <c r="C7" s="347"/>
      <c r="D7" s="347">
        <v>112476.43000000001</v>
      </c>
      <c r="E7" s="347"/>
      <c r="F7" s="347"/>
      <c r="G7" s="347"/>
      <c r="H7" s="347"/>
      <c r="I7" s="347"/>
      <c r="J7" s="347">
        <v>112476.43000000001</v>
      </c>
    </row>
    <row r="8" spans="1:10">
      <c r="A8" s="345" t="s">
        <v>294</v>
      </c>
      <c r="B8" s="347"/>
      <c r="C8" s="347"/>
      <c r="D8" s="347">
        <v>5492</v>
      </c>
      <c r="E8" s="347"/>
      <c r="F8" s="347">
        <v>22235.27</v>
      </c>
      <c r="G8" s="347"/>
      <c r="H8" s="347"/>
      <c r="I8" s="347"/>
      <c r="J8" s="347">
        <v>27727.27</v>
      </c>
    </row>
    <row r="9" spans="1:10">
      <c r="A9" s="345" t="s">
        <v>308</v>
      </c>
      <c r="B9" s="347"/>
      <c r="C9" s="347"/>
      <c r="D9" s="347">
        <v>9836.25</v>
      </c>
      <c r="E9" s="347"/>
      <c r="F9" s="347">
        <v>56664.97</v>
      </c>
      <c r="G9" s="347">
        <v>25574.25</v>
      </c>
      <c r="H9" s="347">
        <v>1967.25</v>
      </c>
      <c r="I9" s="347">
        <v>1967.25</v>
      </c>
      <c r="J9" s="347">
        <v>96009.97</v>
      </c>
    </row>
    <row r="10" spans="1:10">
      <c r="A10" s="345" t="s">
        <v>326</v>
      </c>
      <c r="B10" s="347"/>
      <c r="C10" s="347"/>
      <c r="D10" s="347"/>
      <c r="E10" s="347"/>
      <c r="F10" s="347">
        <v>361.85</v>
      </c>
      <c r="G10" s="347">
        <v>11169</v>
      </c>
      <c r="H10" s="347"/>
      <c r="I10" s="347"/>
      <c r="J10" s="347">
        <v>11530.85</v>
      </c>
    </row>
    <row r="11" spans="1:10">
      <c r="A11" s="345" t="s">
        <v>331</v>
      </c>
      <c r="B11" s="347"/>
      <c r="C11" s="347"/>
      <c r="D11" s="347">
        <v>15738</v>
      </c>
      <c r="E11" s="347"/>
      <c r="F11" s="347">
        <v>81076</v>
      </c>
      <c r="G11" s="347">
        <v>40918.800000000003</v>
      </c>
      <c r="H11" s="347">
        <v>3147.6000000000004</v>
      </c>
      <c r="I11" s="347">
        <v>3147.6000000000004</v>
      </c>
      <c r="J11" s="347">
        <v>144028</v>
      </c>
    </row>
    <row r="12" spans="1:10">
      <c r="A12" s="345" t="s">
        <v>338</v>
      </c>
      <c r="B12" s="347"/>
      <c r="C12" s="347"/>
      <c r="D12" s="347"/>
      <c r="E12" s="347"/>
      <c r="F12" s="347"/>
      <c r="G12" s="347">
        <v>36548</v>
      </c>
      <c r="H12" s="347"/>
      <c r="I12" s="347"/>
      <c r="J12" s="347">
        <v>36548</v>
      </c>
    </row>
    <row r="13" spans="1:10">
      <c r="A13" s="345" t="s">
        <v>345</v>
      </c>
      <c r="B13" s="347"/>
      <c r="C13" s="347"/>
      <c r="D13" s="347">
        <v>33836.699999999997</v>
      </c>
      <c r="E13" s="347"/>
      <c r="F13" s="347"/>
      <c r="G13" s="347">
        <v>87975.419999999984</v>
      </c>
      <c r="H13" s="347">
        <v>6767.34</v>
      </c>
      <c r="I13" s="347">
        <v>6767.34</v>
      </c>
      <c r="J13" s="347">
        <v>135346.79999999999</v>
      </c>
    </row>
    <row r="14" spans="1:10">
      <c r="A14" s="345" t="s">
        <v>350</v>
      </c>
      <c r="B14" s="347"/>
      <c r="C14" s="347"/>
      <c r="D14" s="347">
        <v>5577.95</v>
      </c>
      <c r="E14" s="347"/>
      <c r="F14" s="347"/>
      <c r="G14" s="347">
        <v>14502.67</v>
      </c>
      <c r="H14" s="347">
        <v>1115.5899999999999</v>
      </c>
      <c r="I14" s="347">
        <v>1115.5899999999999</v>
      </c>
      <c r="J14" s="347">
        <v>22311.8</v>
      </c>
    </row>
    <row r="15" spans="1:10">
      <c r="A15" s="345" t="s">
        <v>354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/>
      <c r="J15" s="347">
        <v>18577.5</v>
      </c>
    </row>
    <row r="16" spans="1:10">
      <c r="A16" s="345" t="s">
        <v>364</v>
      </c>
      <c r="B16" s="347"/>
      <c r="C16" s="347"/>
      <c r="D16" s="347"/>
      <c r="E16" s="347"/>
      <c r="F16" s="347">
        <v>0</v>
      </c>
      <c r="G16" s="347"/>
      <c r="H16" s="347"/>
      <c r="I16" s="347"/>
      <c r="J16" s="347">
        <v>0</v>
      </c>
    </row>
    <row r="17" spans="1:10">
      <c r="A17" s="345" t="s">
        <v>369</v>
      </c>
      <c r="B17" s="347"/>
      <c r="C17" s="347">
        <v>428.4</v>
      </c>
      <c r="D17" s="347">
        <v>456.96</v>
      </c>
      <c r="E17" s="347"/>
      <c r="F17" s="347">
        <v>913.92</v>
      </c>
      <c r="G17" s="347">
        <v>656.25</v>
      </c>
      <c r="H17" s="347">
        <v>656.25</v>
      </c>
      <c r="I17" s="347"/>
      <c r="J17" s="347">
        <v>3111.7799999999997</v>
      </c>
    </row>
    <row r="18" spans="1:10">
      <c r="A18" s="345" t="s">
        <v>373</v>
      </c>
      <c r="B18" s="347"/>
      <c r="C18" s="347">
        <v>450</v>
      </c>
      <c r="D18" s="347"/>
      <c r="E18" s="347"/>
      <c r="F18" s="347"/>
      <c r="G18" s="347">
        <v>33897</v>
      </c>
      <c r="H18" s="347"/>
      <c r="I18" s="347"/>
      <c r="J18" s="347">
        <v>34347</v>
      </c>
    </row>
    <row r="19" spans="1:10">
      <c r="A19" s="345" t="s">
        <v>361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>
        <v>0</v>
      </c>
    </row>
    <row r="20" spans="1:10">
      <c r="A20" s="345" t="s">
        <v>335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419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161252.01000000004</v>
      </c>
      <c r="G21" s="347">
        <v>269818.89</v>
      </c>
      <c r="H21" s="347">
        <v>13654.03</v>
      </c>
      <c r="I21" s="347">
        <v>12997.78</v>
      </c>
      <c r="J21" s="347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.15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>
        <v>46031</v>
      </c>
      <c r="D41" s="9" t="s">
        <v>441</v>
      </c>
    </row>
    <row r="42" spans="3:4">
      <c r="C42" s="15">
        <v>46032</v>
      </c>
      <c r="D42" s="9" t="s">
        <v>441</v>
      </c>
    </row>
    <row r="43" spans="3:4">
      <c r="C43" s="15">
        <v>46033</v>
      </c>
      <c r="D43" s="9" t="s">
        <v>441</v>
      </c>
    </row>
    <row r="44" spans="3:4">
      <c r="C44" s="15">
        <v>46034</v>
      </c>
      <c r="D44" s="9" t="s">
        <v>441</v>
      </c>
    </row>
    <row r="45" spans="3:4">
      <c r="C45" s="15">
        <v>46035</v>
      </c>
      <c r="D45" s="9" t="s">
        <v>441</v>
      </c>
    </row>
    <row r="46" spans="3:4">
      <c r="C46" s="15">
        <v>46036</v>
      </c>
      <c r="D46" s="9" t="s">
        <v>441</v>
      </c>
    </row>
    <row r="47" spans="3:4">
      <c r="C47" s="15">
        <v>46037</v>
      </c>
      <c r="D47" s="9" t="s">
        <v>441</v>
      </c>
    </row>
    <row r="48" spans="3:4">
      <c r="C48" s="15">
        <v>46038</v>
      </c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15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441C1C24-4181-4445-B0E6-1F7C5086FAC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2026-02-11T11:21:07Z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