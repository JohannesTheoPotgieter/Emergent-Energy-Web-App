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4" documentId="13_ncr:1_{D81B22CD-1ABD-4A37-8DB0-37744E5D41CF}" xr6:coauthVersionLast="47" xr6:coauthVersionMax="47" xr10:uidLastSave="{C273E6F6-F202-42A3-B98B-A73C58693506}"/>
  <bookViews>
    <workbookView xWindow="28680" yWindow="-120" windowWidth="29040" windowHeight="15720" tabRatio="837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60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W99" i="18"/>
  <c r="W98" i="18"/>
  <c r="W97" i="18"/>
  <c r="W96" i="18"/>
  <c r="W95" i="18"/>
  <c r="W84" i="18"/>
  <c r="W152" i="18"/>
  <c r="U21" i="18" l="1"/>
  <c r="U23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1" i="18"/>
  <c r="T140" i="18"/>
  <c r="T139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3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Q139" i="18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 l="1"/>
  <c r="J23" i="3"/>
  <c r="X6" i="18"/>
  <c r="J20" i="3"/>
  <c r="H11" i="3"/>
  <c r="J11" i="3" s="1"/>
  <c r="U24" i="18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2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56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U139" i="18" s="1"/>
  <c r="V130" i="18"/>
  <c r="G37" i="2"/>
  <c r="E35" i="2"/>
  <c r="V6" i="18"/>
  <c r="J9" i="3"/>
  <c r="C5" i="6" l="1"/>
  <c r="V3" i="5"/>
  <c r="D6" i="5"/>
  <c r="F25" i="3"/>
  <c r="U116" i="18"/>
  <c r="U140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31" i="18"/>
  <c r="U33" i="18"/>
  <c r="U44" i="18"/>
  <c r="U32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T96" i="18"/>
  <c r="W112" i="18"/>
  <c r="W64" i="18"/>
  <c r="T64" i="18" s="1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T95" i="18"/>
  <c r="W63" i="18"/>
  <c r="T63" i="18" s="1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W121" i="18"/>
  <c r="T121" i="18" s="1"/>
  <c r="J9" i="2"/>
  <c r="K2" i="2"/>
  <c r="K3" i="2" s="1"/>
  <c r="K4" i="2" s="1"/>
  <c r="K45" i="2"/>
  <c r="N45" i="2" s="1"/>
  <c r="N44" i="2" s="1"/>
  <c r="I46" i="2" l="1"/>
  <c r="W113" i="18"/>
  <c r="W39" i="18"/>
  <c r="W65" i="18"/>
  <c r="T65" i="18" s="1"/>
  <c r="T97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9" i="2" s="1"/>
  <c r="N46" i="2"/>
  <c r="AA1" i="6"/>
  <c r="I51" i="2" l="1"/>
  <c r="I50" i="2"/>
  <c r="AB1" i="6"/>
  <c r="G50" i="2"/>
  <c r="E48" i="2"/>
  <c r="J44" i="2"/>
  <c r="U19" i="2" s="1"/>
  <c r="V19" i="2"/>
  <c r="W40" i="18"/>
  <c r="W114" i="18"/>
  <c r="W66" i="18"/>
  <c r="T66" i="18" s="1"/>
  <c r="T98" i="18"/>
  <c r="W116" i="18"/>
  <c r="T100" i="18"/>
  <c r="W68" i="18"/>
  <c r="T68" i="18" s="1"/>
  <c r="W42" i="18"/>
  <c r="W67" i="18"/>
  <c r="T67" i="18" s="1"/>
  <c r="T99" i="18"/>
  <c r="W41" i="18"/>
  <c r="W115" i="18"/>
  <c r="T41" i="18" l="1"/>
  <c r="T115" i="18"/>
  <c r="H15" i="5"/>
  <c r="G48" i="2"/>
  <c r="AA11" i="6"/>
  <c r="T42" i="18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<sst xmlns="http://schemas.openxmlformats.org/spreadsheetml/2006/main" count="770" uniqueCount="437">
  <si>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</si>
  <si>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</si>
  <si>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</si>
  <si>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</si>
  <si>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</si>
  <si>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</si>
  <si>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</si>
  <si>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</si>
  <si>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</si>
  <si>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</si>
  <si>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</si>
  <si>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</si>
  <si>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</si>
  <si>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</si>
  <si>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</si>
  <si>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</si>
  <si>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</si>
  <si>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</si>
  <si>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</si>
  <si>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</si>
  <si>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</si>
  <si>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</si>
  <si>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</si>
  <si>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</si>
  <si>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</si>
  <si>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</si>
  <si>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</si>
  <si>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</si>
  <si>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</si>
  <si>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</si>
  <si>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</si>
  <si>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</si>
  <si>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</si>
  <si>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</si>
  <si>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</si>
  <si>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</si>
  <si>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</si>
  <si>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</si>
  <si>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</si>
  <si>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</si>
  <si>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</si>
  <si>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</si>
  <si>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</si>
  <si>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</si>
  <si>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</si>
  <si>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</si>
  <si>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</si>
  <si>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</si>
  <si>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</si>
  <si>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</si>
  <si>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</si>
  <si>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</si>
  <si>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</si>
  <si>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</si>
  <si>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</si>
  <si>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</si>
  <si>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</si>
  <si>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</si>
  <si>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</si>
  <si>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</si>
  <si>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</si>
  <si>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</si>
  <si>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</si>
  <si>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</si>
  <si>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</si>
  <si>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</si>
  <si>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</si>
  <si>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</si>
  <si>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</si>
  <si>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</si>
  <si>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</si>
  <si>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</si>
  <si>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</si>
  <si>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</si>
  <si>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</si>
  <si>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</si>
  <si>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</si>
  <si>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</si>
  <si>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</si>
  <si>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</si>
  <si>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</si>
  <si>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</si>
  <si>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</si>
  <si>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</si>
  <si>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</si>
  <si>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</si>
  <si>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</si>
  <si>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</si>
  <si>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</si>
  <si>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</si>
  <si>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</si>
  <si>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</si>
  <si>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</si>
  <si>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</si>
  <si>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</si>
  <si>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</si>
  <si>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</si>
  <si>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</si>
  <si>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</si>
  <si>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</si>
  <si>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</si>
  <si>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</si>
  <si>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</si>
  <si>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</si>
  <si>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</si>
  <si>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</si>
  <si>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</si>
  <si>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</si>
  <si>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</si>
  <si>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</si>
  <si>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</si>
  <si>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</si>
  <si>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</si>
  <si>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</si>
  <si>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</si>
  <si>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</si>
  <si>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</si>
  <si>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</si>
  <si>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</si>
  <si>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</si>
  <si>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</si>
  <si>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</si>
  <si>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</si>
  <si>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</si>
  <si>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</si>
  <si>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</si>
  <si>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</si>
  <si>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</si>
  <si>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</si>
  <si>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</si>
  <si>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</si>
  <si>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</si>
  <si>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</si>
  <si>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</si>
  <si>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</si>
  <si>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</si>
  <si>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</si>
  <si>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</si>
  <si>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</si>
  <si>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</si>
  <si>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</si>
  <si>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</si>
  <si>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</si>
  <si>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</si>
  <si>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</si>
  <si>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</si>
  <si>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</si>
  <si>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</si>
  <si>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</si>
  <si>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</si>
  <si>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</si>
  <si>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</si>
  <si>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</si>
  <si>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</si>
  <si>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</si>
  <si>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</si>
  <si>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</si>
  <si>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</si>
  <si>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</si>
  <si>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</si>
  <si>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</si>
  <si>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</si>
  <si>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</si>
  <si>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</si>
  <si>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</si>
  <si>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</si>
  <si>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</si>
  <si>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</si>
  <si>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</si>
  <si>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</si>
  <si>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</si>
  <si>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</si>
  <si>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</si>
  <si>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</si>
  <si>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</si>
  <si>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</si>
  <si>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</si>
  <si>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</si>
  <si>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</si>
  <si>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</si>
  <si>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</si>
  <si>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</si>
  <si>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</si>
  <si>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</si>
  <si>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</si>
  <si>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</si>
  <si>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</si>
  <si>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</si>
  <si>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</si>
  <si>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</si>
  <si>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</si>
  <si>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</si>
  <si>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</si>
  <si>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</si>
  <si>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</si>
  <si>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</si>
  <si>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</si>
  <si>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</si>
  <si>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</si>
  <si>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</si>
  <si>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</si>
  <si>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</si>
  <si>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</si>
  <si>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</si>
  <si>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</si>
  <si>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</si>
  <si>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</si>
  <si>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</si>
  <si>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</si>
  <si>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</si>
  <si>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</si>
  <si>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</si>
  <si>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</si>
  <si>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</si>
  <si>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</si>
  <si>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</si>
  <si>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</si>
  <si>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</si>
  <si>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</si>
  <si>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</si>
  <si>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</si>
  <si>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</si>
  <si>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</si>
  <si>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</si>
  <si>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</si>
  <si>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</si>
  <si>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</si>
  <si>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</si>
  <si>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</si>
  <si>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</si>
  <si>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</si>
  <si>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</si>
  <si>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</si>
  <si>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</si>
  <si>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</si>
  <si>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</si>
  <si>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</si>
  <si>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</si>
  <si>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</si>
  <si>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</si>
  <si>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</si>
  <si>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</si>
  <si>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</si>
  <si>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</si>
  <si>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</si>
  <si>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</si>
  <si>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</si>
  <si>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</si>
  <si>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</si>
  <si>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</si>
  <si>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</si>
  <si>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</si>
  <si>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</si>
  <si>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</si>
  <si>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</si>
  <si>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</si>
  <si>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</si>
  <si>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</si>
  <si>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</si>
  <si>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</si>
  <si>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</si>
  <si>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</si>
  <si>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</si>
  <si>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</si>
  <si>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</si>
  <si>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</si>
  <si>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</si>
  <si>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</si>
  <si>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</si>
  <si>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</si>
  <si>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</si>
  <si>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</si>
  <si>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</si>
  <si>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</si>
  <si>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</si>
  <si>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</si>
  <si>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</si>
  <si>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</si>
  <si>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</si>
  <si>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</si>
  <si>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</si>
  <si>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</si>
  <si>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</si>
  <si>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</si>
  <si>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</si>
  <si>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</si>
  <si>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</si>
  <si>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</si>
  <si>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</si>
  <si>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</si>
  <si>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</si>
  <si>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</si>
  <si>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</si>
  <si>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</si>
  <si>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</si>
  <si>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</si>
  <si>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</si>
  <si>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</si>
  <si>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</si>
  <si>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Joburg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</si>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</sst>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49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4" fontId="49" fillId="9" borderId="51" xfId="0" applyNumberFormat="1" applyFont="1" applyFill="1" applyBorder="1" applyAlignment="1" applyProtection="1">
      <alignment horizontal="center"/>
      <protection locked="0"/>
    </xf>
    <xf numFmtId="14" fontId="49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9" fillId="8" borderId="53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11" borderId="50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50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9" fillId="11" borderId="51" xfId="0" applyNumberFormat="1" applyFont="1" applyFill="1" applyBorder="1" applyAlignment="1" applyProtection="1">
      <alignment horizontal="center"/>
      <protection locked="0"/>
    </xf>
    <xf numFmtId="14" fontId="49" fillId="11" borderId="49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149696.58000000002</c:v>
                </c:pt>
                <c:pt idx="12">
                  <c:v>569064.01</c:v>
                </c:pt>
                <c:pt idx="13">
                  <c:v>719941.03</c:v>
                </c:pt>
                <c:pt idx="14">
                  <c:v>758514.09000000008</c:v>
                </c:pt>
                <c:pt idx="15">
                  <c:v>906669.90000000014</c:v>
                </c:pt>
                <c:pt idx="16">
                  <c:v>919667.68000000017</c:v>
                </c:pt>
                <c:pt idx="17">
                  <c:v>919667.68000000017</c:v>
                </c:pt>
                <c:pt idx="18">
                  <c:v>919667.68000000017</c:v>
                </c:pt>
                <c:pt idx="19">
                  <c:v>919667.68000000017</c:v>
                </c:pt>
                <c:pt idx="20">
                  <c:v>934785.4600000002</c:v>
                </c:pt>
                <c:pt idx="21">
                  <c:v>934785.4600000002</c:v>
                </c:pt>
                <c:pt idx="22">
                  <c:v>934785.4600000002</c:v>
                </c:pt>
                <c:pt idx="23">
                  <c:v>934785.4600000002</c:v>
                </c:pt>
                <c:pt idx="24">
                  <c:v>934785.4600000002</c:v>
                </c:pt>
                <c:pt idx="25">
                  <c:v>934785.4600000002</c:v>
                </c:pt>
                <c:pt idx="26">
                  <c:v>934785.4600000002</c:v>
                </c:pt>
                <c:pt idx="27">
                  <c:v>934785.4600000002</c:v>
                </c:pt>
                <c:pt idx="28">
                  <c:v>934785.4600000002</c:v>
                </c:pt>
                <c:pt idx="29">
                  <c:v>934785.4600000002</c:v>
                </c:pt>
                <c:pt idx="30">
                  <c:v>934785.4600000002</c:v>
                </c:pt>
                <c:pt idx="31">
                  <c:v>934785.4600000002</c:v>
                </c:pt>
                <c:pt idx="32">
                  <c:v>934785.4600000002</c:v>
                </c:pt>
                <c:pt idx="33">
                  <c:v>934785.4600000002</c:v>
                </c:pt>
                <c:pt idx="34">
                  <c:v>934785.4600000002</c:v>
                </c:pt>
                <c:pt idx="35">
                  <c:v>934785.4600000002</c:v>
                </c:pt>
                <c:pt idx="36">
                  <c:v>934785.4600000002</c:v>
                </c:pt>
                <c:pt idx="37">
                  <c:v>934785.4600000002</c:v>
                </c:pt>
                <c:pt idx="38">
                  <c:v>934785.4600000002</c:v>
                </c:pt>
                <c:pt idx="39">
                  <c:v>934785.4600000002</c:v>
                </c:pt>
                <c:pt idx="40">
                  <c:v>934785.4600000002</c:v>
                </c:pt>
                <c:pt idx="41">
                  <c:v>934785.4600000002</c:v>
                </c:pt>
                <c:pt idx="42">
                  <c:v>934785.4600000002</c:v>
                </c:pt>
                <c:pt idx="43">
                  <c:v>934785.4600000002</c:v>
                </c:pt>
                <c:pt idx="44">
                  <c:v>934785.4600000002</c:v>
                </c:pt>
                <c:pt idx="45">
                  <c:v>934785.4600000002</c:v>
                </c:pt>
                <c:pt idx="46">
                  <c:v>934785.4600000002</c:v>
                </c:pt>
                <c:pt idx="47">
                  <c:v>934785.4600000002</c:v>
                </c:pt>
                <c:pt idx="48">
                  <c:v>934785.4600000002</c:v>
                </c:pt>
                <c:pt idx="49">
                  <c:v>934785.4600000002</c:v>
                </c:pt>
                <c:pt idx="50">
                  <c:v>934785.4600000002</c:v>
                </c:pt>
                <c:pt idx="51">
                  <c:v>934785.4600000002</c:v>
                </c:pt>
                <c:pt idx="52">
                  <c:v>934785.4600000002</c:v>
                </c:pt>
                <c:pt idx="53">
                  <c:v>934785.4600000002</c:v>
                </c:pt>
                <c:pt idx="54">
                  <c:v>934785.4600000002</c:v>
                </c:pt>
                <c:pt idx="55">
                  <c:v>934785.4600000002</c:v>
                </c:pt>
                <c:pt idx="56">
                  <c:v>934785.4600000002</c:v>
                </c:pt>
                <c:pt idx="57">
                  <c:v>934785.4600000002</c:v>
                </c:pt>
                <c:pt idx="58">
                  <c:v>934785.4600000002</c:v>
                </c:pt>
                <c:pt idx="59">
                  <c:v>934785.4600000002</c:v>
                </c:pt>
                <c:pt idx="60">
                  <c:v>934785.4600000002</c:v>
                </c:pt>
                <c:pt idx="61">
                  <c:v>934785.4600000002</c:v>
                </c:pt>
                <c:pt idx="62">
                  <c:v>934785.4600000002</c:v>
                </c:pt>
                <c:pt idx="63">
                  <c:v>934785.4600000002</c:v>
                </c:pt>
                <c:pt idx="64">
                  <c:v>934785.4600000002</c:v>
                </c:pt>
                <c:pt idx="65">
                  <c:v>934785.4600000002</c:v>
                </c:pt>
                <c:pt idx="66">
                  <c:v>934785.4600000002</c:v>
                </c:pt>
                <c:pt idx="67">
                  <c:v>934785.4600000002</c:v>
                </c:pt>
                <c:pt idx="68">
                  <c:v>934785.4600000002</c:v>
                </c:pt>
                <c:pt idx="69">
                  <c:v>934785.4600000002</c:v>
                </c:pt>
                <c:pt idx="70">
                  <c:v>934785.4600000002</c:v>
                </c:pt>
                <c:pt idx="71">
                  <c:v>934785.4600000002</c:v>
                </c:pt>
                <c:pt idx="72">
                  <c:v>934785.4600000002</c:v>
                </c:pt>
                <c:pt idx="73">
                  <c:v>934785.4600000002</c:v>
                </c:pt>
                <c:pt idx="74">
                  <c:v>934785.4600000002</c:v>
                </c:pt>
                <c:pt idx="75">
                  <c:v>934785.4600000002</c:v>
                </c:pt>
                <c:pt idx="76">
                  <c:v>934785.4600000002</c:v>
                </c:pt>
                <c:pt idx="77">
                  <c:v>934785.4600000002</c:v>
                </c:pt>
                <c:pt idx="78">
                  <c:v>934785.4600000002</c:v>
                </c:pt>
                <c:pt idx="79">
                  <c:v>934785.4600000002</c:v>
                </c:pt>
                <c:pt idx="80">
                  <c:v>934785.4600000002</c:v>
                </c:pt>
                <c:pt idx="81">
                  <c:v>934785.4600000002</c:v>
                </c:pt>
                <c:pt idx="82">
                  <c:v>934785.4600000002</c:v>
                </c:pt>
                <c:pt idx="83">
                  <c:v>934785.4600000002</c:v>
                </c:pt>
                <c:pt idx="84">
                  <c:v>934785.4600000002</c:v>
                </c:pt>
                <c:pt idx="85">
                  <c:v>934785.4600000002</c:v>
                </c:pt>
                <c:pt idx="86">
                  <c:v>934785.4600000002</c:v>
                </c:pt>
                <c:pt idx="87">
                  <c:v>934785.4600000002</c:v>
                </c:pt>
                <c:pt idx="88">
                  <c:v>934785.4600000002</c:v>
                </c:pt>
                <c:pt idx="89">
                  <c:v>934785.4600000002</c:v>
                </c:pt>
                <c:pt idx="90">
                  <c:v>934785.4600000002</c:v>
                </c:pt>
                <c:pt idx="91">
                  <c:v>934785.4600000002</c:v>
                </c:pt>
                <c:pt idx="92">
                  <c:v>934785.4600000002</c:v>
                </c:pt>
                <c:pt idx="93">
                  <c:v>934785.4600000002</c:v>
                </c:pt>
                <c:pt idx="94">
                  <c:v>934785.4600000002</c:v>
                </c:pt>
                <c:pt idx="95">
                  <c:v>934785.4600000002</c:v>
                </c:pt>
                <c:pt idx="96">
                  <c:v>934785.4600000002</c:v>
                </c:pt>
                <c:pt idx="97">
                  <c:v>934785.4600000002</c:v>
                </c:pt>
                <c:pt idx="98">
                  <c:v>934785.4600000002</c:v>
                </c:pt>
                <c:pt idx="99">
                  <c:v>934785.4600000002</c:v>
                </c:pt>
                <c:pt idx="100">
                  <c:v>934785.4600000002</c:v>
                </c:pt>
                <c:pt idx="101">
                  <c:v>934785.4600000002</c:v>
                </c:pt>
                <c:pt idx="102">
                  <c:v>934785.4600000002</c:v>
                </c:pt>
                <c:pt idx="103">
                  <c:v>934785.4600000002</c:v>
                </c:pt>
                <c:pt idx="104">
                  <c:v>934785.4600000002</c:v>
                </c:pt>
                <c:pt idx="105">
                  <c:v>934785.4600000002</c:v>
                </c:pt>
                <c:pt idx="106">
                  <c:v>934785.4600000002</c:v>
                </c:pt>
                <c:pt idx="107">
                  <c:v>934785.4600000002</c:v>
                </c:pt>
                <c:pt idx="108">
                  <c:v>934785.4600000002</c:v>
                </c:pt>
                <c:pt idx="109">
                  <c:v>934785.4600000002</c:v>
                </c:pt>
                <c:pt idx="110">
                  <c:v>934785.4600000002</c:v>
                </c:pt>
                <c:pt idx="111">
                  <c:v>934785.4600000002</c:v>
                </c:pt>
                <c:pt idx="112">
                  <c:v>934785.4600000002</c:v>
                </c:pt>
                <c:pt idx="113">
                  <c:v>934785.4600000002</c:v>
                </c:pt>
                <c:pt idx="114">
                  <c:v>934785.4600000002</c:v>
                </c:pt>
                <c:pt idx="115">
                  <c:v>934785.4600000002</c:v>
                </c:pt>
                <c:pt idx="116">
                  <c:v>934785.4600000002</c:v>
                </c:pt>
                <c:pt idx="117">
                  <c:v>934785.4600000002</c:v>
                </c:pt>
                <c:pt idx="118">
                  <c:v>934785.4600000002</c:v>
                </c:pt>
                <c:pt idx="119">
                  <c:v>934785.4600000002</c:v>
                </c:pt>
                <c:pt idx="120">
                  <c:v>934785.4600000002</c:v>
                </c:pt>
                <c:pt idx="121">
                  <c:v>934785.4600000002</c:v>
                </c:pt>
                <c:pt idx="122">
                  <c:v>934785.4600000002</c:v>
                </c:pt>
                <c:pt idx="123">
                  <c:v>934785.4600000002</c:v>
                </c:pt>
                <c:pt idx="124">
                  <c:v>934785.4600000002</c:v>
                </c:pt>
                <c:pt idx="125">
                  <c:v>934785.4600000002</c:v>
                </c:pt>
                <c:pt idx="126">
                  <c:v>934785.4600000002</c:v>
                </c:pt>
                <c:pt idx="127">
                  <c:v>934785.4600000002</c:v>
                </c:pt>
                <c:pt idx="128">
                  <c:v>934785.4600000002</c:v>
                </c:pt>
                <c:pt idx="129">
                  <c:v>934785.4600000002</c:v>
                </c:pt>
                <c:pt idx="130">
                  <c:v>934785.4600000002</c:v>
                </c:pt>
                <c:pt idx="131">
                  <c:v>934785.4600000002</c:v>
                </c:pt>
                <c:pt idx="132">
                  <c:v>934785.4600000002</c:v>
                </c:pt>
                <c:pt idx="133">
                  <c:v>934785.4600000002</c:v>
                </c:pt>
                <c:pt idx="134">
                  <c:v>934785.4600000002</c:v>
                </c:pt>
                <c:pt idx="135">
                  <c:v>934785.4600000002</c:v>
                </c:pt>
                <c:pt idx="136">
                  <c:v>934785.4600000002</c:v>
                </c:pt>
                <c:pt idx="137">
                  <c:v>934785.4600000002</c:v>
                </c:pt>
                <c:pt idx="138">
                  <c:v>934785.4600000002</c:v>
                </c:pt>
                <c:pt idx="139">
                  <c:v>934785.4600000002</c:v>
                </c:pt>
                <c:pt idx="140">
                  <c:v>934785.4600000002</c:v>
                </c:pt>
                <c:pt idx="141">
                  <c:v>934785.4600000002</c:v>
                </c:pt>
                <c:pt idx="142">
                  <c:v>934785.4600000002</c:v>
                </c:pt>
                <c:pt idx="143">
                  <c:v>934785.4600000002</c:v>
                </c:pt>
                <c:pt idx="144">
                  <c:v>934785.4600000002</c:v>
                </c:pt>
                <c:pt idx="145">
                  <c:v>934785.4600000002</c:v>
                </c:pt>
                <c:pt idx="146">
                  <c:v>934785.4600000002</c:v>
                </c:pt>
                <c:pt idx="147">
                  <c:v>934785.4600000002</c:v>
                </c:pt>
                <c:pt idx="148">
                  <c:v>934785.4600000002</c:v>
                </c:pt>
                <c:pt idx="149">
                  <c:v>934785.4600000002</c:v>
                </c:pt>
                <c:pt idx="150">
                  <c:v>934785.4600000002</c:v>
                </c:pt>
                <c:pt idx="151">
                  <c:v>934785.4600000002</c:v>
                </c:pt>
                <c:pt idx="152">
                  <c:v>934785.4600000002</c:v>
                </c:pt>
                <c:pt idx="153">
                  <c:v>934785.4600000002</c:v>
                </c:pt>
                <c:pt idx="154">
                  <c:v>934785.4600000002</c:v>
                </c:pt>
                <c:pt idx="155">
                  <c:v>934785.4600000002</c:v>
                </c:pt>
                <c:pt idx="156">
                  <c:v>934785.4600000002</c:v>
                </c:pt>
                <c:pt idx="157">
                  <c:v>934785.4600000002</c:v>
                </c:pt>
                <c:pt idx="158">
                  <c:v>934785.4600000002</c:v>
                </c:pt>
                <c:pt idx="159">
                  <c:v>934785.4600000002</c:v>
                </c:pt>
                <c:pt idx="160">
                  <c:v>934785.4600000002</c:v>
                </c:pt>
                <c:pt idx="161">
                  <c:v>934785.4600000002</c:v>
                </c:pt>
                <c:pt idx="162">
                  <c:v>934785.4600000002</c:v>
                </c:pt>
                <c:pt idx="163">
                  <c:v>934785.4600000002</c:v>
                </c:pt>
                <c:pt idx="164">
                  <c:v>934785.4600000002</c:v>
                </c:pt>
                <c:pt idx="165">
                  <c:v>934785.4600000002</c:v>
                </c:pt>
                <c:pt idx="166">
                  <c:v>934785.4600000002</c:v>
                </c:pt>
                <c:pt idx="167">
                  <c:v>934785.4600000002</c:v>
                </c:pt>
                <c:pt idx="168">
                  <c:v>934785.4600000002</c:v>
                </c:pt>
                <c:pt idx="169">
                  <c:v>934785.4600000002</c:v>
                </c:pt>
                <c:pt idx="170">
                  <c:v>934785.4600000002</c:v>
                </c:pt>
                <c:pt idx="171">
                  <c:v>934785.4600000002</c:v>
                </c:pt>
                <c:pt idx="172">
                  <c:v>934785.4600000002</c:v>
                </c:pt>
                <c:pt idx="173">
                  <c:v>934785.4600000002</c:v>
                </c:pt>
                <c:pt idx="174">
                  <c:v>934785.4600000002</c:v>
                </c:pt>
                <c:pt idx="175">
                  <c:v>934785.4600000002</c:v>
                </c:pt>
                <c:pt idx="176">
                  <c:v>934785.4600000002</c:v>
                </c:pt>
                <c:pt idx="177">
                  <c:v>934785.4600000002</c:v>
                </c:pt>
                <c:pt idx="178">
                  <c:v>934785.4600000002</c:v>
                </c:pt>
                <c:pt idx="179">
                  <c:v>934785.4600000002</c:v>
                </c:pt>
                <c:pt idx="180">
                  <c:v>934785.4600000002</c:v>
                </c:pt>
                <c:pt idx="181">
                  <c:v>934785.4600000002</c:v>
                </c:pt>
                <c:pt idx="182">
                  <c:v>934785.4600000002</c:v>
                </c:pt>
                <c:pt idx="183">
                  <c:v>934785.4600000002</c:v>
                </c:pt>
                <c:pt idx="184">
                  <c:v>934785.4600000002</c:v>
                </c:pt>
                <c:pt idx="185">
                  <c:v>934785.4600000002</c:v>
                </c:pt>
                <c:pt idx="186">
                  <c:v>934785.4600000002</c:v>
                </c:pt>
                <c:pt idx="187">
                  <c:v>934785.4600000002</c:v>
                </c:pt>
                <c:pt idx="188">
                  <c:v>934785.4600000002</c:v>
                </c:pt>
                <c:pt idx="189">
                  <c:v>934785.4600000002</c:v>
                </c:pt>
                <c:pt idx="190">
                  <c:v>934785.4600000002</c:v>
                </c:pt>
                <c:pt idx="191">
                  <c:v>934785.4600000002</c:v>
                </c:pt>
                <c:pt idx="192">
                  <c:v>934785.4600000002</c:v>
                </c:pt>
                <c:pt idx="193">
                  <c:v>934785.4600000002</c:v>
                </c:pt>
                <c:pt idx="194">
                  <c:v>934785.4600000002</c:v>
                </c:pt>
                <c:pt idx="195">
                  <c:v>934785.4600000002</c:v>
                </c:pt>
                <c:pt idx="196">
                  <c:v>934785.4600000002</c:v>
                </c:pt>
                <c:pt idx="197">
                  <c:v>934785.4600000002</c:v>
                </c:pt>
                <c:pt idx="198">
                  <c:v>934785.4600000002</c:v>
                </c:pt>
                <c:pt idx="199">
                  <c:v>934785.4600000002</c:v>
                </c:pt>
                <c:pt idx="200">
                  <c:v>934785.4600000002</c:v>
                </c:pt>
                <c:pt idx="201">
                  <c:v>934785.4600000002</c:v>
                </c:pt>
                <c:pt idx="202">
                  <c:v>934785.4600000002</c:v>
                </c:pt>
                <c:pt idx="203">
                  <c:v>934785.4600000002</c:v>
                </c:pt>
                <c:pt idx="204">
                  <c:v>934785.4600000002</c:v>
                </c:pt>
                <c:pt idx="205">
                  <c:v>934785.4600000002</c:v>
                </c:pt>
                <c:pt idx="206">
                  <c:v>934785.4600000002</c:v>
                </c:pt>
                <c:pt idx="207">
                  <c:v>934785.4600000002</c:v>
                </c:pt>
                <c:pt idx="208">
                  <c:v>934785.4600000002</c:v>
                </c:pt>
                <c:pt idx="209">
                  <c:v>934785.4600000002</c:v>
                </c:pt>
                <c:pt idx="210">
                  <c:v>934785.4600000002</c:v>
                </c:pt>
                <c:pt idx="211">
                  <c:v>934785.4600000002</c:v>
                </c:pt>
                <c:pt idx="212">
                  <c:v>934785.4600000002</c:v>
                </c:pt>
                <c:pt idx="213">
                  <c:v>934785.4600000002</c:v>
                </c:pt>
                <c:pt idx="214">
                  <c:v>934785.4600000002</c:v>
                </c:pt>
                <c:pt idx="215">
                  <c:v>934785.4600000002</c:v>
                </c:pt>
                <c:pt idx="216">
                  <c:v>934785.4600000002</c:v>
                </c:pt>
                <c:pt idx="217">
                  <c:v>934785.4600000002</c:v>
                </c:pt>
                <c:pt idx="218">
                  <c:v>934785.4600000002</c:v>
                </c:pt>
                <c:pt idx="219">
                  <c:v>934785.4600000002</c:v>
                </c:pt>
                <c:pt idx="220">
                  <c:v>934785.4600000002</c:v>
                </c:pt>
                <c:pt idx="221">
                  <c:v>934785.4600000002</c:v>
                </c:pt>
                <c:pt idx="222">
                  <c:v>934785.4600000002</c:v>
                </c:pt>
                <c:pt idx="223">
                  <c:v>934785.4600000002</c:v>
                </c:pt>
                <c:pt idx="224">
                  <c:v>934785.4600000002</c:v>
                </c:pt>
                <c:pt idx="225">
                  <c:v>934785.4600000002</c:v>
                </c:pt>
                <c:pt idx="226">
                  <c:v>934785.4600000002</c:v>
                </c:pt>
                <c:pt idx="227">
                  <c:v>934785.4600000002</c:v>
                </c:pt>
                <c:pt idx="228">
                  <c:v>934785.4600000002</c:v>
                </c:pt>
                <c:pt idx="229">
                  <c:v>934785.4600000002</c:v>
                </c:pt>
                <c:pt idx="230">
                  <c:v>934785.4600000002</c:v>
                </c:pt>
                <c:pt idx="231">
                  <c:v>934785.4600000002</c:v>
                </c:pt>
                <c:pt idx="232">
                  <c:v>934785.4600000002</c:v>
                </c:pt>
                <c:pt idx="233">
                  <c:v>934785.4600000002</c:v>
                </c:pt>
                <c:pt idx="234">
                  <c:v>934785.4600000002</c:v>
                </c:pt>
                <c:pt idx="235">
                  <c:v>934785.4600000002</c:v>
                </c:pt>
                <c:pt idx="236">
                  <c:v>934785.4600000002</c:v>
                </c:pt>
                <c:pt idx="237">
                  <c:v>934785.4600000002</c:v>
                </c:pt>
                <c:pt idx="238">
                  <c:v>934785.4600000002</c:v>
                </c:pt>
                <c:pt idx="239">
                  <c:v>934785.4600000002</c:v>
                </c:pt>
                <c:pt idx="240">
                  <c:v>934785.4600000002</c:v>
                </c:pt>
                <c:pt idx="241">
                  <c:v>934785.4600000002</c:v>
                </c:pt>
                <c:pt idx="242">
                  <c:v>934785.4600000002</c:v>
                </c:pt>
                <c:pt idx="243">
                  <c:v>934785.4600000002</c:v>
                </c:pt>
                <c:pt idx="244">
                  <c:v>934785.4600000002</c:v>
                </c:pt>
                <c:pt idx="245">
                  <c:v>934785.4600000002</c:v>
                </c:pt>
                <c:pt idx="246">
                  <c:v>934785.4600000002</c:v>
                </c:pt>
                <c:pt idx="247">
                  <c:v>934785.4600000002</c:v>
                </c:pt>
                <c:pt idx="248">
                  <c:v>934785.4600000002</c:v>
                </c:pt>
                <c:pt idx="249">
                  <c:v>934785.4600000002</c:v>
                </c:pt>
                <c:pt idx="250">
                  <c:v>934785.4600000002</c:v>
                </c:pt>
                <c:pt idx="251">
                  <c:v>934785.4600000002</c:v>
                </c:pt>
                <c:pt idx="252">
                  <c:v>934785.4600000002</c:v>
                </c:pt>
                <c:pt idx="253">
                  <c:v>934785.4600000002</c:v>
                </c:pt>
                <c:pt idx="254">
                  <c:v>934785.4600000002</c:v>
                </c:pt>
                <c:pt idx="255">
                  <c:v>934785.4600000002</c:v>
                </c:pt>
                <c:pt idx="256">
                  <c:v>934785.4600000002</c:v>
                </c:pt>
                <c:pt idx="257">
                  <c:v>934785.4600000002</c:v>
                </c:pt>
                <c:pt idx="258">
                  <c:v>934785.4600000002</c:v>
                </c:pt>
                <c:pt idx="259">
                  <c:v>934785.4600000002</c:v>
                </c:pt>
                <c:pt idx="260">
                  <c:v>934785.4600000002</c:v>
                </c:pt>
                <c:pt idx="261">
                  <c:v>934785.4600000002</c:v>
                </c:pt>
                <c:pt idx="262">
                  <c:v>934785.4600000002</c:v>
                </c:pt>
                <c:pt idx="263">
                  <c:v>934785.4600000002</c:v>
                </c:pt>
                <c:pt idx="264">
                  <c:v>934785.4600000002</c:v>
                </c:pt>
                <c:pt idx="265">
                  <c:v>934785.4600000002</c:v>
                </c:pt>
                <c:pt idx="266">
                  <c:v>934785.4600000002</c:v>
                </c:pt>
                <c:pt idx="267">
                  <c:v>934785.4600000002</c:v>
                </c:pt>
                <c:pt idx="268">
                  <c:v>934785.4600000002</c:v>
                </c:pt>
                <c:pt idx="269">
                  <c:v>934785.4600000002</c:v>
                </c:pt>
                <c:pt idx="270">
                  <c:v>934785.4600000002</c:v>
                </c:pt>
                <c:pt idx="271">
                  <c:v>934785.4600000002</c:v>
                </c:pt>
                <c:pt idx="272">
                  <c:v>934785.4600000002</c:v>
                </c:pt>
                <c:pt idx="273">
                  <c:v>934785.4600000002</c:v>
                </c:pt>
                <c:pt idx="274">
                  <c:v>934785.4600000002</c:v>
                </c:pt>
                <c:pt idx="275">
                  <c:v>934785.4600000002</c:v>
                </c:pt>
                <c:pt idx="276">
                  <c:v>934785.4600000002</c:v>
                </c:pt>
                <c:pt idx="277">
                  <c:v>934785.4600000002</c:v>
                </c:pt>
                <c:pt idx="278">
                  <c:v>934785.4600000002</c:v>
                </c:pt>
                <c:pt idx="279">
                  <c:v>934785.4600000002</c:v>
                </c:pt>
                <c:pt idx="280">
                  <c:v>934785.4600000002</c:v>
                </c:pt>
                <c:pt idx="281">
                  <c:v>934785.4600000002</c:v>
                </c:pt>
                <c:pt idx="282">
                  <c:v>934785.4600000002</c:v>
                </c:pt>
                <c:pt idx="283">
                  <c:v>934785.4600000002</c:v>
                </c:pt>
                <c:pt idx="284">
                  <c:v>934785.4600000002</c:v>
                </c:pt>
                <c:pt idx="285">
                  <c:v>934785.4600000002</c:v>
                </c:pt>
                <c:pt idx="286">
                  <c:v>934785.4600000002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396256.37273360434</c:v>
                </c:pt>
                <c:pt idx="12">
                  <c:v>-23111.057266395655</c:v>
                </c:pt>
                <c:pt idx="13">
                  <c:v>371964.87546720868</c:v>
                </c:pt>
                <c:pt idx="14">
                  <c:v>333391.81546720862</c:v>
                </c:pt>
                <c:pt idx="15">
                  <c:v>458212.48183401069</c:v>
                </c:pt>
                <c:pt idx="16">
                  <c:v>445214.70183401066</c:v>
                </c:pt>
                <c:pt idx="17">
                  <c:v>445214.70183401066</c:v>
                </c:pt>
                <c:pt idx="18">
                  <c:v>445214.70183401066</c:v>
                </c:pt>
                <c:pt idx="19">
                  <c:v>445214.70183401066</c:v>
                </c:pt>
                <c:pt idx="20">
                  <c:v>430096.92183401063</c:v>
                </c:pt>
                <c:pt idx="21">
                  <c:v>430096.92183401063</c:v>
                </c:pt>
                <c:pt idx="22">
                  <c:v>430096.92183401063</c:v>
                </c:pt>
                <c:pt idx="23">
                  <c:v>430096.92183401063</c:v>
                </c:pt>
                <c:pt idx="24">
                  <c:v>430096.92183401063</c:v>
                </c:pt>
                <c:pt idx="25">
                  <c:v>430096.92183401063</c:v>
                </c:pt>
                <c:pt idx="26">
                  <c:v>430096.92183401063</c:v>
                </c:pt>
                <c:pt idx="27">
                  <c:v>430096.92183401063</c:v>
                </c:pt>
                <c:pt idx="28">
                  <c:v>430096.92183401063</c:v>
                </c:pt>
                <c:pt idx="29">
                  <c:v>430096.92183401063</c:v>
                </c:pt>
                <c:pt idx="30">
                  <c:v>430096.92183401063</c:v>
                </c:pt>
                <c:pt idx="31">
                  <c:v>430096.92183401063</c:v>
                </c:pt>
                <c:pt idx="32">
                  <c:v>430096.92183401063</c:v>
                </c:pt>
                <c:pt idx="33">
                  <c:v>430096.92183401063</c:v>
                </c:pt>
                <c:pt idx="34">
                  <c:v>430096.92183401063</c:v>
                </c:pt>
                <c:pt idx="35">
                  <c:v>430096.92183401063</c:v>
                </c:pt>
                <c:pt idx="36">
                  <c:v>430096.92183401063</c:v>
                </c:pt>
                <c:pt idx="37">
                  <c:v>430096.92183401063</c:v>
                </c:pt>
                <c:pt idx="38">
                  <c:v>430096.92183401063</c:v>
                </c:pt>
                <c:pt idx="39">
                  <c:v>430096.92183401063</c:v>
                </c:pt>
                <c:pt idx="40">
                  <c:v>430096.92183401063</c:v>
                </c:pt>
                <c:pt idx="41">
                  <c:v>430096.92183401063</c:v>
                </c:pt>
                <c:pt idx="42">
                  <c:v>430096.92183401063</c:v>
                </c:pt>
                <c:pt idx="43">
                  <c:v>430096.92183401063</c:v>
                </c:pt>
                <c:pt idx="44">
                  <c:v>430096.92183401063</c:v>
                </c:pt>
                <c:pt idx="45">
                  <c:v>430096.92183401063</c:v>
                </c:pt>
                <c:pt idx="46">
                  <c:v>430096.92183401063</c:v>
                </c:pt>
                <c:pt idx="47">
                  <c:v>430096.92183401063</c:v>
                </c:pt>
                <c:pt idx="48">
                  <c:v>430096.92183401063</c:v>
                </c:pt>
                <c:pt idx="49">
                  <c:v>430096.92183401063</c:v>
                </c:pt>
                <c:pt idx="50">
                  <c:v>430096.92183401063</c:v>
                </c:pt>
                <c:pt idx="51">
                  <c:v>430096.92183401063</c:v>
                </c:pt>
                <c:pt idx="52">
                  <c:v>430096.92183401063</c:v>
                </c:pt>
                <c:pt idx="53">
                  <c:v>430096.92183401063</c:v>
                </c:pt>
                <c:pt idx="54">
                  <c:v>430096.92183401063</c:v>
                </c:pt>
                <c:pt idx="55">
                  <c:v>430096.92183401063</c:v>
                </c:pt>
                <c:pt idx="56">
                  <c:v>430096.92183401063</c:v>
                </c:pt>
                <c:pt idx="57">
                  <c:v>430096.92183401063</c:v>
                </c:pt>
                <c:pt idx="58">
                  <c:v>430096.92183401063</c:v>
                </c:pt>
                <c:pt idx="59">
                  <c:v>430096.92183401063</c:v>
                </c:pt>
                <c:pt idx="60">
                  <c:v>430096.92183401063</c:v>
                </c:pt>
                <c:pt idx="61">
                  <c:v>430096.92183401063</c:v>
                </c:pt>
                <c:pt idx="62">
                  <c:v>430096.92183401063</c:v>
                </c:pt>
                <c:pt idx="63">
                  <c:v>430096.92183401063</c:v>
                </c:pt>
                <c:pt idx="64">
                  <c:v>430096.92183401063</c:v>
                </c:pt>
                <c:pt idx="65">
                  <c:v>430096.92183401063</c:v>
                </c:pt>
                <c:pt idx="66">
                  <c:v>430096.92183401063</c:v>
                </c:pt>
                <c:pt idx="67">
                  <c:v>430096.92183401063</c:v>
                </c:pt>
                <c:pt idx="68">
                  <c:v>430096.92183401063</c:v>
                </c:pt>
                <c:pt idx="69">
                  <c:v>430096.92183401063</c:v>
                </c:pt>
                <c:pt idx="70">
                  <c:v>430096.92183401063</c:v>
                </c:pt>
                <c:pt idx="71">
                  <c:v>430096.92183401063</c:v>
                </c:pt>
                <c:pt idx="72">
                  <c:v>430096.92183401063</c:v>
                </c:pt>
                <c:pt idx="73">
                  <c:v>430096.92183401063</c:v>
                </c:pt>
                <c:pt idx="74">
                  <c:v>430096.92183401063</c:v>
                </c:pt>
                <c:pt idx="75">
                  <c:v>430096.92183401063</c:v>
                </c:pt>
                <c:pt idx="76">
                  <c:v>430096.92183401063</c:v>
                </c:pt>
                <c:pt idx="77">
                  <c:v>430096.92183401063</c:v>
                </c:pt>
                <c:pt idx="78">
                  <c:v>430096.92183401063</c:v>
                </c:pt>
                <c:pt idx="79">
                  <c:v>430096.92183401063</c:v>
                </c:pt>
                <c:pt idx="80">
                  <c:v>430096.92183401063</c:v>
                </c:pt>
                <c:pt idx="81">
                  <c:v>430096.92183401063</c:v>
                </c:pt>
                <c:pt idx="82">
                  <c:v>430096.92183401063</c:v>
                </c:pt>
                <c:pt idx="83">
                  <c:v>430096.92183401063</c:v>
                </c:pt>
                <c:pt idx="84">
                  <c:v>430096.92183401063</c:v>
                </c:pt>
                <c:pt idx="85">
                  <c:v>430096.92183401063</c:v>
                </c:pt>
                <c:pt idx="86">
                  <c:v>430096.92183401063</c:v>
                </c:pt>
                <c:pt idx="87">
                  <c:v>430096.92183401063</c:v>
                </c:pt>
                <c:pt idx="88">
                  <c:v>430096.92183401063</c:v>
                </c:pt>
                <c:pt idx="89">
                  <c:v>430096.92183401063</c:v>
                </c:pt>
                <c:pt idx="90">
                  <c:v>430096.92183401063</c:v>
                </c:pt>
                <c:pt idx="91">
                  <c:v>430096.92183401063</c:v>
                </c:pt>
                <c:pt idx="92">
                  <c:v>430096.92183401063</c:v>
                </c:pt>
                <c:pt idx="93">
                  <c:v>430096.92183401063</c:v>
                </c:pt>
                <c:pt idx="94">
                  <c:v>430096.92183401063</c:v>
                </c:pt>
                <c:pt idx="95">
                  <c:v>430096.92183401063</c:v>
                </c:pt>
                <c:pt idx="96">
                  <c:v>430096.92183401063</c:v>
                </c:pt>
                <c:pt idx="97">
                  <c:v>430096.92183401063</c:v>
                </c:pt>
                <c:pt idx="98">
                  <c:v>430096.92183401063</c:v>
                </c:pt>
                <c:pt idx="99">
                  <c:v>430096.92183401063</c:v>
                </c:pt>
                <c:pt idx="100">
                  <c:v>430096.92183401063</c:v>
                </c:pt>
                <c:pt idx="101">
                  <c:v>430096.92183401063</c:v>
                </c:pt>
                <c:pt idx="102">
                  <c:v>430096.92183401063</c:v>
                </c:pt>
                <c:pt idx="103">
                  <c:v>430096.92183401063</c:v>
                </c:pt>
                <c:pt idx="104">
                  <c:v>430096.92183401063</c:v>
                </c:pt>
                <c:pt idx="105">
                  <c:v>430096.92183401063</c:v>
                </c:pt>
                <c:pt idx="106">
                  <c:v>430096.92183401063</c:v>
                </c:pt>
                <c:pt idx="107">
                  <c:v>430096.92183401063</c:v>
                </c:pt>
                <c:pt idx="108">
                  <c:v>430096.92183401063</c:v>
                </c:pt>
                <c:pt idx="109">
                  <c:v>430096.92183401063</c:v>
                </c:pt>
                <c:pt idx="110">
                  <c:v>430096.92183401063</c:v>
                </c:pt>
                <c:pt idx="111">
                  <c:v>430096.92183401063</c:v>
                </c:pt>
                <c:pt idx="112">
                  <c:v>430096.92183401063</c:v>
                </c:pt>
                <c:pt idx="113">
                  <c:v>430096.92183401063</c:v>
                </c:pt>
                <c:pt idx="114">
                  <c:v>430096.92183401063</c:v>
                </c:pt>
                <c:pt idx="115">
                  <c:v>430096.92183401063</c:v>
                </c:pt>
                <c:pt idx="116">
                  <c:v>430096.92183401063</c:v>
                </c:pt>
                <c:pt idx="117">
                  <c:v>430096.92183401063</c:v>
                </c:pt>
                <c:pt idx="118">
                  <c:v>430096.92183401063</c:v>
                </c:pt>
                <c:pt idx="119">
                  <c:v>430096.92183401063</c:v>
                </c:pt>
                <c:pt idx="120">
                  <c:v>430096.92183401063</c:v>
                </c:pt>
                <c:pt idx="121">
                  <c:v>430096.92183401063</c:v>
                </c:pt>
                <c:pt idx="122">
                  <c:v>430096.92183401063</c:v>
                </c:pt>
                <c:pt idx="123">
                  <c:v>430096.92183401063</c:v>
                </c:pt>
                <c:pt idx="124">
                  <c:v>430096.92183401063</c:v>
                </c:pt>
                <c:pt idx="125">
                  <c:v>430096.92183401063</c:v>
                </c:pt>
                <c:pt idx="126">
                  <c:v>430096.92183401063</c:v>
                </c:pt>
                <c:pt idx="127">
                  <c:v>430096.92183401063</c:v>
                </c:pt>
                <c:pt idx="128">
                  <c:v>430096.92183401063</c:v>
                </c:pt>
                <c:pt idx="129">
                  <c:v>430096.92183401063</c:v>
                </c:pt>
                <c:pt idx="130">
                  <c:v>430096.92183401063</c:v>
                </c:pt>
                <c:pt idx="131">
                  <c:v>430096.92183401063</c:v>
                </c:pt>
                <c:pt idx="132">
                  <c:v>430096.92183401063</c:v>
                </c:pt>
                <c:pt idx="133">
                  <c:v>430096.92183401063</c:v>
                </c:pt>
                <c:pt idx="134">
                  <c:v>430096.92183401063</c:v>
                </c:pt>
                <c:pt idx="135">
                  <c:v>430096.92183401063</c:v>
                </c:pt>
                <c:pt idx="136">
                  <c:v>430096.92183401063</c:v>
                </c:pt>
                <c:pt idx="137">
                  <c:v>430096.92183401063</c:v>
                </c:pt>
                <c:pt idx="138">
                  <c:v>430096.92183401063</c:v>
                </c:pt>
                <c:pt idx="139">
                  <c:v>430096.92183401063</c:v>
                </c:pt>
                <c:pt idx="140">
                  <c:v>430096.92183401063</c:v>
                </c:pt>
                <c:pt idx="141">
                  <c:v>430096.92183401063</c:v>
                </c:pt>
                <c:pt idx="142">
                  <c:v>430096.92183401063</c:v>
                </c:pt>
                <c:pt idx="143">
                  <c:v>430096.92183401063</c:v>
                </c:pt>
                <c:pt idx="144">
                  <c:v>430096.92183401063</c:v>
                </c:pt>
                <c:pt idx="145">
                  <c:v>430096.92183401063</c:v>
                </c:pt>
                <c:pt idx="146">
                  <c:v>430096.92183401063</c:v>
                </c:pt>
                <c:pt idx="147">
                  <c:v>430096.92183401063</c:v>
                </c:pt>
                <c:pt idx="148">
                  <c:v>430096.92183401063</c:v>
                </c:pt>
                <c:pt idx="149">
                  <c:v>430096.92183401063</c:v>
                </c:pt>
                <c:pt idx="150">
                  <c:v>430096.92183401063</c:v>
                </c:pt>
                <c:pt idx="151">
                  <c:v>430096.92183401063</c:v>
                </c:pt>
                <c:pt idx="152">
                  <c:v>430096.92183401063</c:v>
                </c:pt>
                <c:pt idx="153">
                  <c:v>430096.92183401063</c:v>
                </c:pt>
                <c:pt idx="154">
                  <c:v>430096.92183401063</c:v>
                </c:pt>
                <c:pt idx="155">
                  <c:v>430096.92183401063</c:v>
                </c:pt>
                <c:pt idx="156">
                  <c:v>430096.92183401063</c:v>
                </c:pt>
                <c:pt idx="157">
                  <c:v>430096.92183401063</c:v>
                </c:pt>
                <c:pt idx="158">
                  <c:v>430096.92183401063</c:v>
                </c:pt>
                <c:pt idx="159">
                  <c:v>430096.92183401063</c:v>
                </c:pt>
                <c:pt idx="160">
                  <c:v>430096.92183401063</c:v>
                </c:pt>
                <c:pt idx="161">
                  <c:v>430096.92183401063</c:v>
                </c:pt>
                <c:pt idx="162">
                  <c:v>430096.92183401063</c:v>
                </c:pt>
                <c:pt idx="163">
                  <c:v>430096.92183401063</c:v>
                </c:pt>
                <c:pt idx="164">
                  <c:v>430096.92183401063</c:v>
                </c:pt>
                <c:pt idx="165">
                  <c:v>430096.92183401063</c:v>
                </c:pt>
                <c:pt idx="166">
                  <c:v>430096.92183401063</c:v>
                </c:pt>
                <c:pt idx="167">
                  <c:v>430096.92183401063</c:v>
                </c:pt>
                <c:pt idx="168">
                  <c:v>430096.92183401063</c:v>
                </c:pt>
                <c:pt idx="169">
                  <c:v>430096.92183401063</c:v>
                </c:pt>
                <c:pt idx="170">
                  <c:v>430096.92183401063</c:v>
                </c:pt>
                <c:pt idx="171">
                  <c:v>430096.92183401063</c:v>
                </c:pt>
                <c:pt idx="172">
                  <c:v>430096.92183401063</c:v>
                </c:pt>
                <c:pt idx="173">
                  <c:v>430096.92183401063</c:v>
                </c:pt>
                <c:pt idx="174">
                  <c:v>430096.92183401063</c:v>
                </c:pt>
                <c:pt idx="175">
                  <c:v>430096.92183401063</c:v>
                </c:pt>
                <c:pt idx="176">
                  <c:v>430096.92183401063</c:v>
                </c:pt>
                <c:pt idx="177">
                  <c:v>430096.92183401063</c:v>
                </c:pt>
                <c:pt idx="178">
                  <c:v>430096.92183401063</c:v>
                </c:pt>
                <c:pt idx="179">
                  <c:v>430096.92183401063</c:v>
                </c:pt>
                <c:pt idx="180">
                  <c:v>430096.92183401063</c:v>
                </c:pt>
                <c:pt idx="181">
                  <c:v>430096.92183401063</c:v>
                </c:pt>
                <c:pt idx="182">
                  <c:v>430096.92183401063</c:v>
                </c:pt>
                <c:pt idx="183">
                  <c:v>430096.92183401063</c:v>
                </c:pt>
                <c:pt idx="184">
                  <c:v>430096.92183401063</c:v>
                </c:pt>
                <c:pt idx="185">
                  <c:v>430096.92183401063</c:v>
                </c:pt>
                <c:pt idx="186">
                  <c:v>430096.92183401063</c:v>
                </c:pt>
                <c:pt idx="187">
                  <c:v>430096.92183401063</c:v>
                </c:pt>
                <c:pt idx="188">
                  <c:v>430096.92183401063</c:v>
                </c:pt>
                <c:pt idx="189">
                  <c:v>430096.92183401063</c:v>
                </c:pt>
                <c:pt idx="190">
                  <c:v>430096.92183401063</c:v>
                </c:pt>
                <c:pt idx="191">
                  <c:v>430096.92183401063</c:v>
                </c:pt>
                <c:pt idx="192">
                  <c:v>430096.92183401063</c:v>
                </c:pt>
                <c:pt idx="193">
                  <c:v>430096.92183401063</c:v>
                </c:pt>
                <c:pt idx="194">
                  <c:v>430096.92183401063</c:v>
                </c:pt>
                <c:pt idx="195">
                  <c:v>430096.92183401063</c:v>
                </c:pt>
                <c:pt idx="196">
                  <c:v>430096.92183401063</c:v>
                </c:pt>
                <c:pt idx="197">
                  <c:v>430096.92183401063</c:v>
                </c:pt>
                <c:pt idx="198">
                  <c:v>430096.92183401063</c:v>
                </c:pt>
                <c:pt idx="199">
                  <c:v>430096.92183401063</c:v>
                </c:pt>
                <c:pt idx="200">
                  <c:v>430096.92183401063</c:v>
                </c:pt>
                <c:pt idx="201">
                  <c:v>430096.92183401063</c:v>
                </c:pt>
                <c:pt idx="202">
                  <c:v>430096.92183401063</c:v>
                </c:pt>
                <c:pt idx="203">
                  <c:v>430096.92183401063</c:v>
                </c:pt>
                <c:pt idx="204">
                  <c:v>430096.92183401063</c:v>
                </c:pt>
                <c:pt idx="205">
                  <c:v>430096.92183401063</c:v>
                </c:pt>
                <c:pt idx="206">
                  <c:v>430096.92183401063</c:v>
                </c:pt>
                <c:pt idx="207">
                  <c:v>430096.92183401063</c:v>
                </c:pt>
                <c:pt idx="208">
                  <c:v>430096.92183401063</c:v>
                </c:pt>
                <c:pt idx="209">
                  <c:v>430096.92183401063</c:v>
                </c:pt>
                <c:pt idx="210">
                  <c:v>430096.92183401063</c:v>
                </c:pt>
                <c:pt idx="211">
                  <c:v>430096.92183401063</c:v>
                </c:pt>
                <c:pt idx="212">
                  <c:v>430096.92183401063</c:v>
                </c:pt>
                <c:pt idx="213">
                  <c:v>430096.92183401063</c:v>
                </c:pt>
                <c:pt idx="214">
                  <c:v>430096.92183401063</c:v>
                </c:pt>
                <c:pt idx="215">
                  <c:v>430096.92183401063</c:v>
                </c:pt>
                <c:pt idx="216">
                  <c:v>430096.92183401063</c:v>
                </c:pt>
                <c:pt idx="217">
                  <c:v>430096.92183401063</c:v>
                </c:pt>
                <c:pt idx="218">
                  <c:v>430096.92183401063</c:v>
                </c:pt>
                <c:pt idx="219">
                  <c:v>430096.92183401063</c:v>
                </c:pt>
                <c:pt idx="220">
                  <c:v>430096.92183401063</c:v>
                </c:pt>
                <c:pt idx="221">
                  <c:v>430096.92183401063</c:v>
                </c:pt>
                <c:pt idx="222">
                  <c:v>430096.92183401063</c:v>
                </c:pt>
                <c:pt idx="223">
                  <c:v>430096.92183401063</c:v>
                </c:pt>
                <c:pt idx="224">
                  <c:v>430096.92183401063</c:v>
                </c:pt>
                <c:pt idx="225">
                  <c:v>430096.92183401063</c:v>
                </c:pt>
                <c:pt idx="226">
                  <c:v>430096.92183401063</c:v>
                </c:pt>
                <c:pt idx="227">
                  <c:v>430096.92183401063</c:v>
                </c:pt>
                <c:pt idx="228">
                  <c:v>430096.92183401063</c:v>
                </c:pt>
                <c:pt idx="229">
                  <c:v>430096.92183401063</c:v>
                </c:pt>
                <c:pt idx="230">
                  <c:v>430096.92183401063</c:v>
                </c:pt>
                <c:pt idx="231">
                  <c:v>430096.92183401063</c:v>
                </c:pt>
                <c:pt idx="232">
                  <c:v>430096.92183401063</c:v>
                </c:pt>
                <c:pt idx="233">
                  <c:v>430096.92183401063</c:v>
                </c:pt>
                <c:pt idx="234">
                  <c:v>430096.92183401063</c:v>
                </c:pt>
                <c:pt idx="235">
                  <c:v>430096.92183401063</c:v>
                </c:pt>
                <c:pt idx="236">
                  <c:v>430096.92183401063</c:v>
                </c:pt>
                <c:pt idx="237">
                  <c:v>430096.92183401063</c:v>
                </c:pt>
                <c:pt idx="238">
                  <c:v>430096.92183401063</c:v>
                </c:pt>
                <c:pt idx="239">
                  <c:v>430096.92183401063</c:v>
                </c:pt>
                <c:pt idx="240">
                  <c:v>430096.92183401063</c:v>
                </c:pt>
                <c:pt idx="241">
                  <c:v>430096.92183401063</c:v>
                </c:pt>
                <c:pt idx="242">
                  <c:v>430096.92183401063</c:v>
                </c:pt>
                <c:pt idx="243">
                  <c:v>430096.92183401063</c:v>
                </c:pt>
                <c:pt idx="244">
                  <c:v>430096.92183401063</c:v>
                </c:pt>
                <c:pt idx="245">
                  <c:v>430096.92183401063</c:v>
                </c:pt>
                <c:pt idx="246">
                  <c:v>430096.92183401063</c:v>
                </c:pt>
                <c:pt idx="247">
                  <c:v>430096.92183401063</c:v>
                </c:pt>
                <c:pt idx="248">
                  <c:v>430096.92183401063</c:v>
                </c:pt>
                <c:pt idx="249">
                  <c:v>430096.92183401063</c:v>
                </c:pt>
                <c:pt idx="250">
                  <c:v>430096.92183401063</c:v>
                </c:pt>
                <c:pt idx="251">
                  <c:v>430096.92183401063</c:v>
                </c:pt>
                <c:pt idx="252">
                  <c:v>430096.92183401063</c:v>
                </c:pt>
                <c:pt idx="253">
                  <c:v>430096.92183401063</c:v>
                </c:pt>
                <c:pt idx="254">
                  <c:v>430096.92183401063</c:v>
                </c:pt>
                <c:pt idx="255">
                  <c:v>430096.92183401063</c:v>
                </c:pt>
                <c:pt idx="256">
                  <c:v>430096.92183401063</c:v>
                </c:pt>
                <c:pt idx="257">
                  <c:v>430096.92183401063</c:v>
                </c:pt>
                <c:pt idx="258">
                  <c:v>430096.92183401063</c:v>
                </c:pt>
                <c:pt idx="259">
                  <c:v>430096.92183401063</c:v>
                </c:pt>
                <c:pt idx="260">
                  <c:v>430096.92183401063</c:v>
                </c:pt>
                <c:pt idx="261">
                  <c:v>430096.92183401063</c:v>
                </c:pt>
                <c:pt idx="262">
                  <c:v>430096.92183401063</c:v>
                </c:pt>
                <c:pt idx="263">
                  <c:v>430096.92183401063</c:v>
                </c:pt>
                <c:pt idx="264">
                  <c:v>430096.92183401063</c:v>
                </c:pt>
                <c:pt idx="265">
                  <c:v>430096.92183401063</c:v>
                </c:pt>
                <c:pt idx="266">
                  <c:v>430096.92183401063</c:v>
                </c:pt>
                <c:pt idx="267">
                  <c:v>430096.92183401063</c:v>
                </c:pt>
                <c:pt idx="268">
                  <c:v>430096.92183401063</c:v>
                </c:pt>
                <c:pt idx="269">
                  <c:v>430096.92183401063</c:v>
                </c:pt>
                <c:pt idx="270">
                  <c:v>430096.92183401063</c:v>
                </c:pt>
                <c:pt idx="271">
                  <c:v>430096.92183401063</c:v>
                </c:pt>
                <c:pt idx="272">
                  <c:v>430096.92183401063</c:v>
                </c:pt>
                <c:pt idx="273">
                  <c:v>430096.92183401063</c:v>
                </c:pt>
                <c:pt idx="274">
                  <c:v>430096.92183401063</c:v>
                </c:pt>
                <c:pt idx="275">
                  <c:v>430096.92183401063</c:v>
                </c:pt>
                <c:pt idx="276">
                  <c:v>430096.92183401063</c:v>
                </c:pt>
                <c:pt idx="277">
                  <c:v>430096.92183401063</c:v>
                </c:pt>
                <c:pt idx="278">
                  <c:v>430096.92183401063</c:v>
                </c:pt>
                <c:pt idx="279">
                  <c:v>430096.92183401063</c:v>
                </c:pt>
                <c:pt idx="280">
                  <c:v>430096.92183401063</c:v>
                </c:pt>
                <c:pt idx="281">
                  <c:v>430096.92183401063</c:v>
                </c:pt>
                <c:pt idx="282">
                  <c:v>430096.92183401063</c:v>
                </c:pt>
                <c:pt idx="283">
                  <c:v>430096.92183401063</c:v>
                </c:pt>
                <c:pt idx="284">
                  <c:v>430096.92183401063</c:v>
                </c:pt>
                <c:pt idx="285">
                  <c:v>430096.92183401063</c:v>
                </c:pt>
                <c:pt idx="286">
                  <c:v>430096.92183401063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1035883.8921827306</c:v>
                </c:pt>
                <c:pt idx="12">
                  <c:v>1035883.8921827306</c:v>
                </c:pt>
                <c:pt idx="13">
                  <c:v>1035883.8921827306</c:v>
                </c:pt>
                <c:pt idx="14">
                  <c:v>1035883.8921827306</c:v>
                </c:pt>
                <c:pt idx="15">
                  <c:v>1331349.0752913123</c:v>
                </c:pt>
                <c:pt idx="16">
                  <c:v>1331349.0752913123</c:v>
                </c:pt>
                <c:pt idx="17">
                  <c:v>1331349.0752913123</c:v>
                </c:pt>
                <c:pt idx="18">
                  <c:v>1331349.0752913123</c:v>
                </c:pt>
                <c:pt idx="19">
                  <c:v>1331349.0752913123</c:v>
                </c:pt>
                <c:pt idx="20">
                  <c:v>1348219.3410876882</c:v>
                </c:pt>
                <c:pt idx="21">
                  <c:v>1348219.3410876882</c:v>
                </c:pt>
                <c:pt idx="22">
                  <c:v>1348219.3410876882</c:v>
                </c:pt>
                <c:pt idx="23">
                  <c:v>1348219.3410876882</c:v>
                </c:pt>
                <c:pt idx="24">
                  <c:v>1365089.6068840642</c:v>
                </c:pt>
                <c:pt idx="25">
                  <c:v>1365089.6068840642</c:v>
                </c:pt>
                <c:pt idx="26">
                  <c:v>1365089.6068840642</c:v>
                </c:pt>
                <c:pt idx="27">
                  <c:v>1365089.6068840642</c:v>
                </c:pt>
                <c:pt idx="28">
                  <c:v>1365089.6068840642</c:v>
                </c:pt>
                <c:pt idx="29">
                  <c:v>1365089.6068840642</c:v>
                </c:pt>
                <c:pt idx="30">
                  <c:v>1365089.6068840642</c:v>
                </c:pt>
                <c:pt idx="31">
                  <c:v>1365089.6068840642</c:v>
                </c:pt>
                <c:pt idx="32">
                  <c:v>1365089.6068840642</c:v>
                </c:pt>
                <c:pt idx="33">
                  <c:v>1365089.6068840642</c:v>
                </c:pt>
                <c:pt idx="34">
                  <c:v>1365089.6068840642</c:v>
                </c:pt>
                <c:pt idx="35">
                  <c:v>1365089.6068840642</c:v>
                </c:pt>
                <c:pt idx="36">
                  <c:v>1365089.6068840642</c:v>
                </c:pt>
                <c:pt idx="37">
                  <c:v>1365089.6068840642</c:v>
                </c:pt>
                <c:pt idx="38">
                  <c:v>1365089.6068840642</c:v>
                </c:pt>
                <c:pt idx="39">
                  <c:v>1365089.6068840642</c:v>
                </c:pt>
                <c:pt idx="40">
                  <c:v>1365089.6068840642</c:v>
                </c:pt>
                <c:pt idx="41">
                  <c:v>1365089.6068840642</c:v>
                </c:pt>
                <c:pt idx="42">
                  <c:v>1365089.6068840642</c:v>
                </c:pt>
                <c:pt idx="43">
                  <c:v>1365089.6068840642</c:v>
                </c:pt>
                <c:pt idx="44">
                  <c:v>1365089.6068840642</c:v>
                </c:pt>
                <c:pt idx="45">
                  <c:v>1365089.6068840642</c:v>
                </c:pt>
                <c:pt idx="46">
                  <c:v>1365089.6068840642</c:v>
                </c:pt>
                <c:pt idx="47">
                  <c:v>1365089.6068840642</c:v>
                </c:pt>
                <c:pt idx="48">
                  <c:v>1365089.6068840642</c:v>
                </c:pt>
                <c:pt idx="49">
                  <c:v>1365089.6068840642</c:v>
                </c:pt>
                <c:pt idx="50">
                  <c:v>1365089.6068840642</c:v>
                </c:pt>
                <c:pt idx="51">
                  <c:v>1365089.6068840642</c:v>
                </c:pt>
                <c:pt idx="52">
                  <c:v>1365089.6068840642</c:v>
                </c:pt>
                <c:pt idx="53">
                  <c:v>1365089.6068840642</c:v>
                </c:pt>
                <c:pt idx="54">
                  <c:v>1365089.6068840642</c:v>
                </c:pt>
                <c:pt idx="55">
                  <c:v>1365089.6068840642</c:v>
                </c:pt>
                <c:pt idx="56">
                  <c:v>1365089.6068840642</c:v>
                </c:pt>
                <c:pt idx="57">
                  <c:v>1365089.6068840642</c:v>
                </c:pt>
                <c:pt idx="58">
                  <c:v>1365089.6068840642</c:v>
                </c:pt>
                <c:pt idx="59">
                  <c:v>1365089.6068840642</c:v>
                </c:pt>
                <c:pt idx="60">
                  <c:v>1365089.6068840642</c:v>
                </c:pt>
                <c:pt idx="61">
                  <c:v>1365089.6068840642</c:v>
                </c:pt>
                <c:pt idx="62">
                  <c:v>1365089.6068840642</c:v>
                </c:pt>
                <c:pt idx="63">
                  <c:v>1365089.6068840642</c:v>
                </c:pt>
                <c:pt idx="64">
                  <c:v>1365089.6068840642</c:v>
                </c:pt>
                <c:pt idx="65">
                  <c:v>1365089.6068840642</c:v>
                </c:pt>
                <c:pt idx="66">
                  <c:v>1365089.6068840642</c:v>
                </c:pt>
                <c:pt idx="67">
                  <c:v>1365089.6068840642</c:v>
                </c:pt>
                <c:pt idx="68">
                  <c:v>1365089.6068840642</c:v>
                </c:pt>
                <c:pt idx="69">
                  <c:v>1365089.6068840642</c:v>
                </c:pt>
                <c:pt idx="70">
                  <c:v>1365089.6068840642</c:v>
                </c:pt>
                <c:pt idx="71">
                  <c:v>1365089.6068840642</c:v>
                </c:pt>
                <c:pt idx="72">
                  <c:v>1365089.6068840642</c:v>
                </c:pt>
                <c:pt idx="73">
                  <c:v>1365089.6068840642</c:v>
                </c:pt>
                <c:pt idx="74">
                  <c:v>1365089.6068840642</c:v>
                </c:pt>
                <c:pt idx="75">
                  <c:v>1365089.6068840642</c:v>
                </c:pt>
                <c:pt idx="76">
                  <c:v>1365089.6068840642</c:v>
                </c:pt>
                <c:pt idx="77">
                  <c:v>1365089.6068840642</c:v>
                </c:pt>
                <c:pt idx="78">
                  <c:v>1365089.6068840642</c:v>
                </c:pt>
                <c:pt idx="79">
                  <c:v>1365089.6068840642</c:v>
                </c:pt>
                <c:pt idx="80">
                  <c:v>1365089.6068840642</c:v>
                </c:pt>
                <c:pt idx="81">
                  <c:v>1365089.6068840642</c:v>
                </c:pt>
                <c:pt idx="82">
                  <c:v>1365089.6068840642</c:v>
                </c:pt>
                <c:pt idx="83">
                  <c:v>1365089.6068840642</c:v>
                </c:pt>
                <c:pt idx="84">
                  <c:v>1365089.6068840642</c:v>
                </c:pt>
                <c:pt idx="85">
                  <c:v>1365089.6068840642</c:v>
                </c:pt>
                <c:pt idx="86">
                  <c:v>1365089.6068840642</c:v>
                </c:pt>
                <c:pt idx="87">
                  <c:v>1365089.6068840642</c:v>
                </c:pt>
                <c:pt idx="88">
                  <c:v>1365089.6068840642</c:v>
                </c:pt>
                <c:pt idx="89">
                  <c:v>1365089.6068840642</c:v>
                </c:pt>
                <c:pt idx="90">
                  <c:v>1365089.6068840642</c:v>
                </c:pt>
                <c:pt idx="91">
                  <c:v>1365089.6068840642</c:v>
                </c:pt>
                <c:pt idx="92">
                  <c:v>1365089.6068840642</c:v>
                </c:pt>
                <c:pt idx="93">
                  <c:v>1365089.6068840642</c:v>
                </c:pt>
                <c:pt idx="94">
                  <c:v>1365089.6068840642</c:v>
                </c:pt>
                <c:pt idx="95">
                  <c:v>1365089.6068840642</c:v>
                </c:pt>
                <c:pt idx="96">
                  <c:v>1365089.6068840642</c:v>
                </c:pt>
                <c:pt idx="97">
                  <c:v>1365089.6068840642</c:v>
                </c:pt>
                <c:pt idx="98">
                  <c:v>1365089.6068840642</c:v>
                </c:pt>
                <c:pt idx="99">
                  <c:v>1365089.6068840642</c:v>
                </c:pt>
                <c:pt idx="100">
                  <c:v>1365089.6068840642</c:v>
                </c:pt>
                <c:pt idx="101">
                  <c:v>1365089.6068840642</c:v>
                </c:pt>
                <c:pt idx="102">
                  <c:v>1365089.6068840642</c:v>
                </c:pt>
                <c:pt idx="103">
                  <c:v>1365089.6068840642</c:v>
                </c:pt>
                <c:pt idx="104">
                  <c:v>1365089.6068840642</c:v>
                </c:pt>
                <c:pt idx="105">
                  <c:v>1365089.6068840642</c:v>
                </c:pt>
                <c:pt idx="106">
                  <c:v>1365089.6068840642</c:v>
                </c:pt>
                <c:pt idx="107">
                  <c:v>1365089.6068840642</c:v>
                </c:pt>
                <c:pt idx="108">
                  <c:v>1365089.6068840642</c:v>
                </c:pt>
                <c:pt idx="109">
                  <c:v>1365089.6068840642</c:v>
                </c:pt>
                <c:pt idx="110">
                  <c:v>1365089.6068840642</c:v>
                </c:pt>
                <c:pt idx="111">
                  <c:v>1365089.6068840642</c:v>
                </c:pt>
                <c:pt idx="112">
                  <c:v>1365089.6068840642</c:v>
                </c:pt>
                <c:pt idx="113">
                  <c:v>1365089.6068840642</c:v>
                </c:pt>
                <c:pt idx="114">
                  <c:v>1365089.6068840642</c:v>
                </c:pt>
                <c:pt idx="115">
                  <c:v>1365089.6068840642</c:v>
                </c:pt>
                <c:pt idx="116">
                  <c:v>1365089.6068840642</c:v>
                </c:pt>
                <c:pt idx="117">
                  <c:v>1365089.6068840642</c:v>
                </c:pt>
                <c:pt idx="118">
                  <c:v>1365089.6068840642</c:v>
                </c:pt>
                <c:pt idx="119">
                  <c:v>1365089.6068840642</c:v>
                </c:pt>
                <c:pt idx="120">
                  <c:v>1365089.6068840642</c:v>
                </c:pt>
                <c:pt idx="121">
                  <c:v>1365089.6068840642</c:v>
                </c:pt>
                <c:pt idx="122">
                  <c:v>1365089.6068840642</c:v>
                </c:pt>
                <c:pt idx="123">
                  <c:v>1365089.6068840642</c:v>
                </c:pt>
                <c:pt idx="124">
                  <c:v>1365089.6068840642</c:v>
                </c:pt>
                <c:pt idx="125">
                  <c:v>1365089.6068840642</c:v>
                </c:pt>
                <c:pt idx="126">
                  <c:v>1365089.6068840642</c:v>
                </c:pt>
                <c:pt idx="127">
                  <c:v>1365089.6068840642</c:v>
                </c:pt>
                <c:pt idx="128">
                  <c:v>1365089.6068840642</c:v>
                </c:pt>
                <c:pt idx="129">
                  <c:v>1365089.6068840642</c:v>
                </c:pt>
                <c:pt idx="130">
                  <c:v>1365089.6068840642</c:v>
                </c:pt>
                <c:pt idx="131">
                  <c:v>1365089.6068840642</c:v>
                </c:pt>
                <c:pt idx="132">
                  <c:v>1365089.6068840642</c:v>
                </c:pt>
                <c:pt idx="133">
                  <c:v>1365089.6068840642</c:v>
                </c:pt>
                <c:pt idx="134">
                  <c:v>1365089.6068840642</c:v>
                </c:pt>
                <c:pt idx="135">
                  <c:v>1365089.6068840642</c:v>
                </c:pt>
                <c:pt idx="136">
                  <c:v>1365089.6068840642</c:v>
                </c:pt>
                <c:pt idx="137">
                  <c:v>1365089.6068840642</c:v>
                </c:pt>
                <c:pt idx="138">
                  <c:v>1365089.6068840642</c:v>
                </c:pt>
                <c:pt idx="139">
                  <c:v>1365089.6068840642</c:v>
                </c:pt>
                <c:pt idx="140">
                  <c:v>1365089.6068840642</c:v>
                </c:pt>
                <c:pt idx="141">
                  <c:v>1365089.6068840642</c:v>
                </c:pt>
                <c:pt idx="142">
                  <c:v>1365089.6068840642</c:v>
                </c:pt>
                <c:pt idx="143">
                  <c:v>1365089.6068840642</c:v>
                </c:pt>
                <c:pt idx="144">
                  <c:v>1365089.6068840642</c:v>
                </c:pt>
                <c:pt idx="145">
                  <c:v>1365089.6068840642</c:v>
                </c:pt>
                <c:pt idx="146">
                  <c:v>1365089.6068840642</c:v>
                </c:pt>
                <c:pt idx="147">
                  <c:v>1365089.6068840642</c:v>
                </c:pt>
                <c:pt idx="148">
                  <c:v>1365089.6068840642</c:v>
                </c:pt>
                <c:pt idx="149">
                  <c:v>1365089.6068840642</c:v>
                </c:pt>
                <c:pt idx="150">
                  <c:v>1365089.6068840642</c:v>
                </c:pt>
                <c:pt idx="151">
                  <c:v>1365089.6068840642</c:v>
                </c:pt>
                <c:pt idx="152">
                  <c:v>1365089.6068840642</c:v>
                </c:pt>
                <c:pt idx="153">
                  <c:v>1365089.6068840642</c:v>
                </c:pt>
                <c:pt idx="154">
                  <c:v>1365089.6068840642</c:v>
                </c:pt>
                <c:pt idx="155">
                  <c:v>1365089.6068840642</c:v>
                </c:pt>
                <c:pt idx="156">
                  <c:v>1365089.6068840642</c:v>
                </c:pt>
                <c:pt idx="157">
                  <c:v>1365089.6068840642</c:v>
                </c:pt>
                <c:pt idx="158">
                  <c:v>1365089.6068840642</c:v>
                </c:pt>
                <c:pt idx="159">
                  <c:v>1365089.6068840642</c:v>
                </c:pt>
                <c:pt idx="160">
                  <c:v>1365089.6068840642</c:v>
                </c:pt>
                <c:pt idx="161">
                  <c:v>1365089.6068840642</c:v>
                </c:pt>
                <c:pt idx="162">
                  <c:v>1365089.6068840642</c:v>
                </c:pt>
                <c:pt idx="163">
                  <c:v>1365089.6068840642</c:v>
                </c:pt>
                <c:pt idx="164">
                  <c:v>1365089.6068840642</c:v>
                </c:pt>
                <c:pt idx="165">
                  <c:v>1365089.6068840642</c:v>
                </c:pt>
                <c:pt idx="166">
                  <c:v>1365089.6068840642</c:v>
                </c:pt>
                <c:pt idx="167">
                  <c:v>1365089.6068840642</c:v>
                </c:pt>
                <c:pt idx="168">
                  <c:v>1365089.6068840642</c:v>
                </c:pt>
                <c:pt idx="169">
                  <c:v>1365089.6068840642</c:v>
                </c:pt>
                <c:pt idx="170">
                  <c:v>1365089.6068840642</c:v>
                </c:pt>
                <c:pt idx="171">
                  <c:v>1365089.6068840642</c:v>
                </c:pt>
                <c:pt idx="172">
                  <c:v>1365089.6068840642</c:v>
                </c:pt>
                <c:pt idx="173">
                  <c:v>1365089.6068840642</c:v>
                </c:pt>
                <c:pt idx="174">
                  <c:v>1365089.6068840642</c:v>
                </c:pt>
                <c:pt idx="175">
                  <c:v>1365089.6068840642</c:v>
                </c:pt>
                <c:pt idx="176">
                  <c:v>1365089.6068840642</c:v>
                </c:pt>
                <c:pt idx="177">
                  <c:v>1365089.6068840642</c:v>
                </c:pt>
                <c:pt idx="178">
                  <c:v>1365089.6068840642</c:v>
                </c:pt>
                <c:pt idx="179">
                  <c:v>1365089.6068840642</c:v>
                </c:pt>
                <c:pt idx="180">
                  <c:v>1365089.6068840642</c:v>
                </c:pt>
                <c:pt idx="181">
                  <c:v>1365089.6068840642</c:v>
                </c:pt>
                <c:pt idx="182">
                  <c:v>1365089.6068840642</c:v>
                </c:pt>
                <c:pt idx="183">
                  <c:v>1365089.6068840642</c:v>
                </c:pt>
                <c:pt idx="184">
                  <c:v>1365089.6068840642</c:v>
                </c:pt>
                <c:pt idx="185">
                  <c:v>1365089.6068840642</c:v>
                </c:pt>
                <c:pt idx="186">
                  <c:v>1365089.6068840642</c:v>
                </c:pt>
                <c:pt idx="187">
                  <c:v>1365089.6068840642</c:v>
                </c:pt>
                <c:pt idx="188">
                  <c:v>1365089.6068840642</c:v>
                </c:pt>
                <c:pt idx="189">
                  <c:v>1365089.6068840642</c:v>
                </c:pt>
                <c:pt idx="190">
                  <c:v>1365089.6068840642</c:v>
                </c:pt>
                <c:pt idx="191">
                  <c:v>1365089.6068840642</c:v>
                </c:pt>
                <c:pt idx="192">
                  <c:v>1365089.6068840642</c:v>
                </c:pt>
                <c:pt idx="193">
                  <c:v>1365089.6068840642</c:v>
                </c:pt>
                <c:pt idx="194">
                  <c:v>1365089.6068840642</c:v>
                </c:pt>
                <c:pt idx="195">
                  <c:v>1365089.6068840642</c:v>
                </c:pt>
                <c:pt idx="196">
                  <c:v>1365089.6068840642</c:v>
                </c:pt>
                <c:pt idx="197">
                  <c:v>1365089.6068840642</c:v>
                </c:pt>
                <c:pt idx="198">
                  <c:v>1365089.6068840642</c:v>
                </c:pt>
                <c:pt idx="199">
                  <c:v>1365089.6068840642</c:v>
                </c:pt>
                <c:pt idx="200">
                  <c:v>1365089.6068840642</c:v>
                </c:pt>
                <c:pt idx="201">
                  <c:v>1365089.6068840642</c:v>
                </c:pt>
                <c:pt idx="202">
                  <c:v>1365089.6068840642</c:v>
                </c:pt>
                <c:pt idx="203">
                  <c:v>1365089.6068840642</c:v>
                </c:pt>
                <c:pt idx="204">
                  <c:v>1365089.6068840642</c:v>
                </c:pt>
                <c:pt idx="205">
                  <c:v>1365089.6068840642</c:v>
                </c:pt>
                <c:pt idx="206">
                  <c:v>1365089.6068840642</c:v>
                </c:pt>
                <c:pt idx="207">
                  <c:v>1365089.6068840642</c:v>
                </c:pt>
                <c:pt idx="208">
                  <c:v>1365089.6068840642</c:v>
                </c:pt>
                <c:pt idx="209">
                  <c:v>1365089.6068840642</c:v>
                </c:pt>
                <c:pt idx="210">
                  <c:v>1365089.6068840642</c:v>
                </c:pt>
                <c:pt idx="211">
                  <c:v>1365089.6068840642</c:v>
                </c:pt>
                <c:pt idx="212">
                  <c:v>1365089.6068840642</c:v>
                </c:pt>
                <c:pt idx="213">
                  <c:v>1365089.6068840642</c:v>
                </c:pt>
                <c:pt idx="214">
                  <c:v>1365089.6068840642</c:v>
                </c:pt>
                <c:pt idx="215">
                  <c:v>1365089.6068840642</c:v>
                </c:pt>
                <c:pt idx="216">
                  <c:v>1365089.6068840642</c:v>
                </c:pt>
                <c:pt idx="217">
                  <c:v>1365089.6068840642</c:v>
                </c:pt>
                <c:pt idx="218">
                  <c:v>1365089.6068840642</c:v>
                </c:pt>
                <c:pt idx="219">
                  <c:v>1365089.6068840642</c:v>
                </c:pt>
                <c:pt idx="220">
                  <c:v>1365089.6068840642</c:v>
                </c:pt>
                <c:pt idx="221">
                  <c:v>1365089.6068840642</c:v>
                </c:pt>
                <c:pt idx="222">
                  <c:v>1365089.6068840642</c:v>
                </c:pt>
                <c:pt idx="223">
                  <c:v>1365089.6068840642</c:v>
                </c:pt>
                <c:pt idx="224">
                  <c:v>1365089.6068840642</c:v>
                </c:pt>
                <c:pt idx="225">
                  <c:v>1365089.6068840642</c:v>
                </c:pt>
                <c:pt idx="226">
                  <c:v>1365089.6068840642</c:v>
                </c:pt>
                <c:pt idx="227">
                  <c:v>1365089.6068840642</c:v>
                </c:pt>
                <c:pt idx="228">
                  <c:v>1365089.6068840642</c:v>
                </c:pt>
                <c:pt idx="229">
                  <c:v>1365089.6068840642</c:v>
                </c:pt>
                <c:pt idx="230">
                  <c:v>1365089.6068840642</c:v>
                </c:pt>
                <c:pt idx="231">
                  <c:v>1365089.6068840642</c:v>
                </c:pt>
                <c:pt idx="232">
                  <c:v>1365089.6068840642</c:v>
                </c:pt>
                <c:pt idx="233">
                  <c:v>1365089.6068840642</c:v>
                </c:pt>
                <c:pt idx="234">
                  <c:v>1365089.6068840642</c:v>
                </c:pt>
                <c:pt idx="235">
                  <c:v>1365089.6068840642</c:v>
                </c:pt>
                <c:pt idx="236">
                  <c:v>1365089.6068840642</c:v>
                </c:pt>
                <c:pt idx="237">
                  <c:v>1365089.6068840642</c:v>
                </c:pt>
                <c:pt idx="238">
                  <c:v>1365089.6068840642</c:v>
                </c:pt>
                <c:pt idx="239">
                  <c:v>1365089.6068840642</c:v>
                </c:pt>
                <c:pt idx="240">
                  <c:v>1365089.6068840642</c:v>
                </c:pt>
                <c:pt idx="241">
                  <c:v>1365089.6068840642</c:v>
                </c:pt>
                <c:pt idx="242">
                  <c:v>1365089.6068840642</c:v>
                </c:pt>
                <c:pt idx="243">
                  <c:v>1365089.6068840642</c:v>
                </c:pt>
                <c:pt idx="244">
                  <c:v>1365089.6068840642</c:v>
                </c:pt>
                <c:pt idx="245">
                  <c:v>1365089.6068840642</c:v>
                </c:pt>
                <c:pt idx="246">
                  <c:v>1365089.6068840642</c:v>
                </c:pt>
                <c:pt idx="247">
                  <c:v>1365089.6068840642</c:v>
                </c:pt>
                <c:pt idx="248">
                  <c:v>1365089.6068840642</c:v>
                </c:pt>
                <c:pt idx="249">
                  <c:v>1365089.6068840642</c:v>
                </c:pt>
                <c:pt idx="250">
                  <c:v>1365089.6068840642</c:v>
                </c:pt>
                <c:pt idx="251">
                  <c:v>1365089.6068840642</c:v>
                </c:pt>
                <c:pt idx="252">
                  <c:v>1365089.6068840642</c:v>
                </c:pt>
                <c:pt idx="253">
                  <c:v>1365089.6068840642</c:v>
                </c:pt>
                <c:pt idx="254">
                  <c:v>1365089.6068840642</c:v>
                </c:pt>
                <c:pt idx="255">
                  <c:v>1365089.6068840642</c:v>
                </c:pt>
                <c:pt idx="256">
                  <c:v>1365089.6068840642</c:v>
                </c:pt>
                <c:pt idx="257">
                  <c:v>1365089.6068840642</c:v>
                </c:pt>
                <c:pt idx="258">
                  <c:v>1365089.6068840642</c:v>
                </c:pt>
                <c:pt idx="259">
                  <c:v>1365089.6068840642</c:v>
                </c:pt>
                <c:pt idx="260">
                  <c:v>1365089.6068840642</c:v>
                </c:pt>
                <c:pt idx="261">
                  <c:v>1365089.6068840642</c:v>
                </c:pt>
                <c:pt idx="262">
                  <c:v>1365089.6068840642</c:v>
                </c:pt>
                <c:pt idx="263">
                  <c:v>1365089.6068840642</c:v>
                </c:pt>
                <c:pt idx="264">
                  <c:v>1365089.6068840642</c:v>
                </c:pt>
                <c:pt idx="265">
                  <c:v>1365089.6068840642</c:v>
                </c:pt>
                <c:pt idx="266">
                  <c:v>1365089.6068840642</c:v>
                </c:pt>
                <c:pt idx="267">
                  <c:v>1365089.6068840642</c:v>
                </c:pt>
                <c:pt idx="268">
                  <c:v>1365089.6068840642</c:v>
                </c:pt>
                <c:pt idx="269">
                  <c:v>1365089.6068840642</c:v>
                </c:pt>
                <c:pt idx="270">
                  <c:v>1365089.6068840642</c:v>
                </c:pt>
                <c:pt idx="271">
                  <c:v>1365089.6068840642</c:v>
                </c:pt>
                <c:pt idx="272">
                  <c:v>1365089.6068840642</c:v>
                </c:pt>
                <c:pt idx="273">
                  <c:v>1365089.6068840642</c:v>
                </c:pt>
                <c:pt idx="274">
                  <c:v>1365089.6068840642</c:v>
                </c:pt>
                <c:pt idx="275">
                  <c:v>1365089.6068840642</c:v>
                </c:pt>
                <c:pt idx="276">
                  <c:v>1365089.6068840642</c:v>
                </c:pt>
                <c:pt idx="277">
                  <c:v>1365089.6068840642</c:v>
                </c:pt>
                <c:pt idx="278">
                  <c:v>1365089.6068840642</c:v>
                </c:pt>
                <c:pt idx="279">
                  <c:v>1365089.6068840642</c:v>
                </c:pt>
                <c:pt idx="280">
                  <c:v>1365089.6068840642</c:v>
                </c:pt>
                <c:pt idx="281">
                  <c:v>1365089.6068840642</c:v>
                </c:pt>
                <c:pt idx="282">
                  <c:v>1365089.6068840642</c:v>
                </c:pt>
                <c:pt idx="283">
                  <c:v>1365089.6068840642</c:v>
                </c:pt>
                <c:pt idx="284">
                  <c:v>1365089.6068840642</c:v>
                </c:pt>
                <c:pt idx="285">
                  <c:v>1365089.6068840642</c:v>
                </c:pt>
                <c:pt idx="286">
                  <c:v>1365089.6068840642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31168055559" createdVersion="8" refreshedVersion="8" minRefreshableVersion="3" recordCount="154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6">
        <m/>
        <d v="2025-12-31T00:00:00"/>
        <s v=""/>
        <d v="2026-01-31T00:00:00"/>
        <d v="2026-02-28T00:00:00"/>
        <d v="2026-03-31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0" maxValue="3.5710285283130361E-3"/>
    </cacheField>
    <cacheField name="FINANCE PAYMENT DATE" numFmtId="0">
      <sharedItems containsNonDate="0" containsDate="1" containsString="0" containsBlank="1" minDate="2025-10-02T00:00:00" maxDate="2026-04-02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7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7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 - Stock"/>
    <m/>
    <m/>
    <n v="69250"/>
    <m/>
    <m/>
    <x v="3"/>
    <n v="82021.391085333555"/>
    <n v="0"/>
    <d v="2026-02-27T00:00:00"/>
    <n v="74742"/>
  </r>
  <r>
    <n v="3"/>
    <x v="3"/>
    <m/>
    <m/>
    <m/>
    <m/>
    <m/>
    <m/>
    <x v="2"/>
    <n v="0"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6-01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3.75"/>
    <n v="55000"/>
    <m/>
    <m/>
    <x v="3"/>
    <n v="110477.8870104404"/>
    <n v="0"/>
    <d v="2026-04-01T00:00:00"/>
    <n v="9434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806.372597911919"/>
    <m/>
    <d v="2026-02-06T00:00:00"/>
    <m/>
  </r>
  <r>
    <n v="4"/>
    <x v="4"/>
    <s v="DC Installation Complete"/>
    <m/>
    <n v="0.25"/>
    <n v="9836.25"/>
    <m/>
    <m/>
    <x v="4"/>
    <n v="19757.965747389899"/>
    <m/>
    <d v="2026-02-02T00:00:00"/>
    <m/>
  </r>
  <r>
    <n v="4"/>
    <x v="4"/>
    <s v="Commissioning Complete"/>
    <m/>
    <n v="0.1"/>
    <n v="3934.5"/>
    <m/>
    <m/>
    <x v="4"/>
    <n v="7903.1862989559595"/>
    <m/>
    <d v="2026-02-17T00:00:00"/>
    <m/>
  </r>
  <r>
    <n v="4"/>
    <x v="4"/>
    <s v="Site De-establisment"/>
    <m/>
    <n v="0.1"/>
    <n v="3934.5"/>
    <m/>
    <m/>
    <x v="4"/>
    <n v="7903.1862989559595"/>
    <m/>
    <d v="2026-02-18T00:00:00"/>
    <m/>
  </r>
  <r>
    <n v="4"/>
    <x v="4"/>
    <s v="Handover Document Complete"/>
    <m/>
    <n v="0.05"/>
    <n v="1967.25"/>
    <m/>
    <m/>
    <x v="4"/>
    <n v="3951.5931494779798"/>
    <m/>
    <d v="2026-02-18T00:00:00"/>
    <m/>
  </r>
  <r>
    <n v="4"/>
    <x v="4"/>
    <s v="End of Defects Period"/>
    <m/>
    <n v="0.05"/>
    <n v="1967.25"/>
    <m/>
    <m/>
    <x v="5"/>
    <n v="3951.5931494779798"/>
    <m/>
    <d v="2026-03-1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m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06T00:00:00"/>
    <m/>
  </r>
  <r>
    <n v="6"/>
    <x v="6"/>
    <s v="DC Installation Complete"/>
    <m/>
    <n v="0.25"/>
    <n v="15738"/>
    <m/>
    <m/>
    <x v="4"/>
    <n v="19120.404078434021"/>
    <m/>
    <d v="2026-02-02T00:00:00"/>
    <m/>
  </r>
  <r>
    <n v="6"/>
    <x v="6"/>
    <s v="Commissioning Complete"/>
    <m/>
    <n v="0.1"/>
    <n v="6295.2000000000007"/>
    <m/>
    <m/>
    <x v="4"/>
    <n v="7648.1616313736085"/>
    <m/>
    <d v="2026-02-17T00:00:00"/>
    <m/>
  </r>
  <r>
    <n v="6"/>
    <x v="6"/>
    <s v="Site De-establisment"/>
    <m/>
    <n v="0.1"/>
    <n v="6295.2000000000007"/>
    <m/>
    <m/>
    <x v="4"/>
    <n v="7648.1616313736085"/>
    <m/>
    <d v="2026-02-18T00:00:00"/>
    <m/>
  </r>
  <r>
    <n v="6"/>
    <x v="6"/>
    <s v="Handover Document Complete"/>
    <m/>
    <n v="0.05"/>
    <n v="3147.6000000000004"/>
    <m/>
    <m/>
    <x v="4"/>
    <n v="3824.0808156868043"/>
    <m/>
    <d v="2026-02-18T00:00:00"/>
    <m/>
  </r>
  <r>
    <n v="6"/>
    <x v="6"/>
    <s v="End of Defects Period"/>
    <m/>
    <n v="0.05"/>
    <n v="3147.6000000000004"/>
    <m/>
    <m/>
    <x v="5"/>
    <n v="3824.0808156868043"/>
    <m/>
    <d v="2026-03-1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3035"/>
    <n v="0"/>
    <d v="2026-02-28T00:00:00"/>
    <n v="34428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06T00:00:00"/>
    <m/>
  </r>
  <r>
    <n v="9"/>
    <x v="9"/>
    <s v="DC Installation Complete"/>
    <m/>
    <n v="0.25"/>
    <n v="33836.699999999997"/>
    <m/>
    <m/>
    <x v="4"/>
    <n v="34758.333333333336"/>
    <m/>
    <d v="2026-02-02T00:00:00"/>
    <m/>
  </r>
  <r>
    <n v="9"/>
    <x v="9"/>
    <s v="Commissioning Complete"/>
    <m/>
    <n v="0.1"/>
    <n v="13534.68"/>
    <m/>
    <m/>
    <x v="4"/>
    <n v="13903.333333333336"/>
    <m/>
    <d v="2026-02-17T00:00:00"/>
    <m/>
  </r>
  <r>
    <n v="9"/>
    <x v="9"/>
    <s v="Site De-establisment"/>
    <m/>
    <n v="0.1"/>
    <n v="13534.68"/>
    <m/>
    <m/>
    <x v="4"/>
    <n v="13903.333333333336"/>
    <m/>
    <d v="2026-02-18T00:00:00"/>
    <m/>
  </r>
  <r>
    <n v="9"/>
    <x v="9"/>
    <s v="Handover Document Complete"/>
    <m/>
    <n v="0.05"/>
    <n v="6767.34"/>
    <m/>
    <m/>
    <x v="4"/>
    <n v="6951.6666666666679"/>
    <m/>
    <d v="2026-02-18T00:00:00"/>
    <m/>
  </r>
  <r>
    <n v="9"/>
    <x v="9"/>
    <s v="End of Defects Period"/>
    <m/>
    <n v="0.05"/>
    <n v="6767.34"/>
    <m/>
    <m/>
    <x v="5"/>
    <n v="6951.6666666666679"/>
    <m/>
    <d v="2026-03-1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06T00:00:00"/>
    <m/>
  </r>
  <r>
    <n v="10"/>
    <x v="10"/>
    <s v="DC Installation Complete"/>
    <m/>
    <n v="0.25"/>
    <n v="5577.95"/>
    <m/>
    <m/>
    <x v="4"/>
    <n v="10921.851851851852"/>
    <m/>
    <d v="2026-02-02T00:00:00"/>
    <m/>
  </r>
  <r>
    <n v="10"/>
    <x v="10"/>
    <s v="Commissioning Complete"/>
    <m/>
    <n v="0.1"/>
    <n v="2231.1799999999998"/>
    <m/>
    <m/>
    <x v="4"/>
    <n v="4368.7407407407409"/>
    <m/>
    <d v="2026-02-17T00:00:00"/>
    <m/>
  </r>
  <r>
    <n v="10"/>
    <x v="10"/>
    <s v="Site De-establisment"/>
    <m/>
    <n v="0.1"/>
    <n v="2231.1799999999998"/>
    <m/>
    <m/>
    <x v="4"/>
    <n v="4368.7407407407409"/>
    <m/>
    <d v="2026-02-18T00:00:00"/>
    <m/>
  </r>
  <r>
    <n v="10"/>
    <x v="10"/>
    <s v="Handover Document Complete"/>
    <m/>
    <n v="0.05"/>
    <n v="1115.5899999999999"/>
    <m/>
    <m/>
    <x v="4"/>
    <n v="2184.3703703703704"/>
    <m/>
    <d v="2026-02-18T00:00:00"/>
    <m/>
  </r>
  <r>
    <n v="10"/>
    <x v="10"/>
    <s v="End of Defects Period"/>
    <m/>
    <n v="0.05"/>
    <n v="1115.5899999999999"/>
    <m/>
    <m/>
    <x v="5"/>
    <n v="2184.3703703703704"/>
    <m/>
    <d v="2026-03-1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4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7061.029772925136"/>
    <m/>
    <m/>
    <x v="4"/>
    <n v="15121.332421772069"/>
    <n v="0"/>
    <d v="2026-02-28T00:00:00"/>
    <n v="17061.029772925136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6"/>
    <n v="521.24397722295214"/>
    <n v="3.5710285283130361E-3"/>
    <d v="2025-12-05T00:00:00"/>
    <n v="2197.85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656.25"/>
    <m/>
    <m/>
    <x v="3"/>
    <n v="894.50553347346977"/>
    <m/>
    <d v="2026-01-31T00:00:00"/>
    <m/>
  </r>
  <r>
    <n v="14"/>
    <x v="14"/>
    <s v="Travel"/>
    <m/>
    <m/>
    <n v="656.25"/>
    <m/>
    <m/>
    <x v="4"/>
    <n v="894.50553347346977"/>
    <m/>
    <d v="2026-02-2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6"/>
    <m/>
    <n v="0"/>
    <d v="2025-10-02T00:00:00"/>
    <n v="45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>
      <c r="B3" s="615"/>
      <c r="H3" s="662"/>
      <c r="I3" s="663"/>
      <c r="J3" s="663"/>
      <c r="K3" s="663"/>
      <c r="L3" s="663"/>
      <c r="M3" s="663"/>
      <c r="N3" s="663"/>
      <c r="O3" s="664"/>
    </row>
    <row r="4" spans="2:15">
      <c r="B4" s="616" t="s">
        <v>2</v>
      </c>
      <c r="C4" s="617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6" t="s">
        <v>3</v>
      </c>
      <c r="C5" s="617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>
      <c r="B6" s="616" t="s">
        <v>5</v>
      </c>
      <c r="C6" s="617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6" t="s">
        <v>7</v>
      </c>
      <c r="C7" s="617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5"/>
      <c r="H8" s="662"/>
      <c r="I8" s="663"/>
      <c r="J8" s="663"/>
      <c r="K8" s="663"/>
      <c r="L8" s="663"/>
      <c r="M8" s="663"/>
      <c r="N8" s="663"/>
      <c r="O8" s="664"/>
    </row>
    <row r="9" spans="2:15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5" thickBot="1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>
      <c r="B11" s="618" t="s">
        <v>11</v>
      </c>
      <c r="C11" s="657"/>
      <c r="D11" s="657"/>
      <c r="E11" s="657"/>
    </row>
    <row r="12" spans="2:15">
      <c r="B12" s="618" t="s">
        <v>12</v>
      </c>
      <c r="C12" s="657"/>
      <c r="D12" s="657"/>
      <c r="E12" s="657"/>
    </row>
    <row r="13" spans="2:15">
      <c r="B13" s="618" t="s">
        <v>13</v>
      </c>
      <c r="C13" s="657"/>
      <c r="D13" s="657"/>
      <c r="E13" s="657"/>
    </row>
    <row r="14" spans="2:15">
      <c r="B14" s="618" t="s">
        <v>14</v>
      </c>
      <c r="C14" s="657"/>
      <c r="D14" s="657"/>
      <c r="E14" s="657"/>
    </row>
    <row r="15" spans="2:15">
      <c r="B15" s="618" t="s">
        <v>15</v>
      </c>
      <c r="C15" s="657"/>
      <c r="D15" s="657"/>
      <c r="E15" s="657"/>
    </row>
    <row r="16" spans="2:15" ht="15" customHeight="1">
      <c r="B16" s="618" t="s">
        <v>16</v>
      </c>
      <c r="C16" s="657"/>
      <c r="D16" s="657"/>
      <c r="E16" s="657"/>
    </row>
    <row r="17" spans="2:5">
      <c r="B17" s="615"/>
    </row>
    <row r="18" spans="2:5">
      <c r="B18" s="669" t="s">
        <v>17</v>
      </c>
      <c r="C18" s="669"/>
      <c r="D18" s="669"/>
      <c r="E18" s="66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>
      <c r="B3" s="615"/>
      <c r="H3" s="662"/>
      <c r="I3" s="663"/>
      <c r="J3" s="663"/>
      <c r="K3" s="663"/>
      <c r="L3" s="663"/>
      <c r="M3" s="663"/>
      <c r="N3" s="663"/>
      <c r="O3" s="664"/>
    </row>
    <row r="4" spans="2:15">
      <c r="B4" s="616" t="s">
        <v>2</v>
      </c>
      <c r="C4" s="617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6" t="s">
        <v>24</v>
      </c>
      <c r="C5" s="617"/>
      <c r="H5" s="662"/>
      <c r="I5" s="663"/>
      <c r="J5" s="663"/>
      <c r="K5" s="663"/>
      <c r="L5" s="663"/>
      <c r="M5" s="663"/>
      <c r="N5" s="663"/>
      <c r="O5" s="664"/>
    </row>
    <row r="6" spans="2:15">
      <c r="B6" s="616" t="s">
        <v>5</v>
      </c>
      <c r="C6" s="617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6" t="s">
        <v>25</v>
      </c>
      <c r="C7" s="617" t="str">
        <f>'Project Plan'!E5</f>
        <v>Lloyd Brown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6" t="s">
        <v>26</v>
      </c>
      <c r="C8" s="617"/>
      <c r="H8" s="662"/>
      <c r="I8" s="663"/>
      <c r="J8" s="663"/>
      <c r="K8" s="663"/>
      <c r="L8" s="663"/>
      <c r="M8" s="663"/>
      <c r="N8" s="663"/>
      <c r="O8" s="664"/>
    </row>
    <row r="9" spans="2:15">
      <c r="B9" s="615"/>
      <c r="H9" s="662"/>
      <c r="I9" s="663"/>
      <c r="J9" s="663"/>
      <c r="K9" s="663"/>
      <c r="L9" s="663"/>
      <c r="M9" s="663"/>
      <c r="N9" s="663"/>
      <c r="O9" s="664"/>
    </row>
    <row r="10" spans="2:15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5" thickBot="1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6.45">
      <c r="B12" s="618" t="s">
        <v>27</v>
      </c>
      <c r="C12" s="657"/>
      <c r="D12" s="657"/>
      <c r="E12" s="657"/>
    </row>
    <row r="13" spans="2:15">
      <c r="B13" s="618" t="s">
        <v>28</v>
      </c>
      <c r="C13" s="657"/>
      <c r="D13" s="657"/>
      <c r="E13" s="657"/>
    </row>
    <row r="14" spans="2:15">
      <c r="B14" s="618" t="s">
        <v>29</v>
      </c>
      <c r="C14" s="657"/>
      <c r="D14" s="657"/>
      <c r="E14" s="657"/>
    </row>
    <row r="15" spans="2:15">
      <c r="B15" s="618" t="s">
        <v>30</v>
      </c>
      <c r="C15" s="657"/>
      <c r="D15" s="657"/>
      <c r="E15" s="657"/>
    </row>
    <row r="16" spans="2:15" ht="26.45">
      <c r="B16" s="618" t="s">
        <v>31</v>
      </c>
      <c r="C16" s="657"/>
      <c r="D16" s="657"/>
      <c r="E16" s="657"/>
    </row>
    <row r="17" spans="2:5">
      <c r="B17" s="618" t="s">
        <v>32</v>
      </c>
      <c r="C17" s="657"/>
      <c r="D17" s="657"/>
      <c r="E17" s="657"/>
    </row>
    <row r="18" spans="2:5">
      <c r="B18" s="618" t="s">
        <v>33</v>
      </c>
      <c r="C18" s="657"/>
      <c r="D18" s="657"/>
      <c r="E18" s="657"/>
    </row>
    <row r="19" spans="2:5">
      <c r="B19" s="618" t="s">
        <v>34</v>
      </c>
      <c r="C19" s="657"/>
      <c r="D19" s="657"/>
      <c r="E19" s="657"/>
    </row>
    <row r="20" spans="2:5">
      <c r="B20" s="618" t="s">
        <v>35</v>
      </c>
      <c r="C20" s="657"/>
      <c r="D20" s="657"/>
      <c r="E20" s="657"/>
    </row>
    <row r="21" spans="2:5">
      <c r="B21" s="618" t="s">
        <v>36</v>
      </c>
      <c r="C21" s="657"/>
      <c r="D21" s="657"/>
      <c r="E21" s="657"/>
    </row>
    <row r="22" spans="2:5" ht="15" customHeight="1">
      <c r="B22" s="618" t="s">
        <v>16</v>
      </c>
      <c r="C22" s="657"/>
      <c r="D22" s="657"/>
      <c r="E22" s="657"/>
    </row>
    <row r="23" spans="2:5">
      <c r="B23" s="615"/>
    </row>
    <row r="24" spans="2:5">
      <c r="B24" s="669" t="s">
        <v>17</v>
      </c>
      <c r="C24" s="669"/>
      <c r="D24" s="669"/>
      <c r="E24" s="66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2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/>
      <c r="D6" s="602"/>
      <c r="E6" s="605"/>
      <c r="F6" s="602"/>
      <c r="G6" s="1"/>
    </row>
    <row r="7" spans="1:7">
      <c r="A7" s="126"/>
      <c r="B7" s="602" t="s">
        <v>90</v>
      </c>
      <c r="C7" s="602"/>
      <c r="D7" s="602"/>
      <c r="E7" s="605"/>
      <c r="F7" s="602"/>
      <c r="G7" s="1"/>
    </row>
    <row r="8" spans="1:7">
      <c r="A8" s="126"/>
      <c r="B8" s="602" t="s">
        <v>91</v>
      </c>
      <c r="C8" s="602"/>
      <c r="D8" s="602"/>
      <c r="E8" s="605"/>
      <c r="F8" s="602"/>
      <c r="G8" s="1"/>
    </row>
    <row r="9" spans="1:7">
      <c r="A9" s="126"/>
      <c r="B9" s="602" t="s">
        <v>92</v>
      </c>
      <c r="C9" s="602"/>
      <c r="D9" s="602"/>
      <c r="E9" s="605"/>
      <c r="F9" s="602"/>
      <c r="G9" s="1"/>
    </row>
    <row r="10" spans="1:7">
      <c r="A10" s="126"/>
      <c r="B10" s="602" t="s">
        <v>93</v>
      </c>
      <c r="C10" s="602"/>
      <c r="D10" s="602"/>
      <c r="E10" s="605"/>
      <c r="F10" s="602"/>
      <c r="G10" s="1"/>
    </row>
    <row r="11" spans="1:7">
      <c r="A11" s="126"/>
      <c r="B11" s="602" t="s">
        <v>94</v>
      </c>
      <c r="C11" s="602"/>
      <c r="D11" s="602"/>
      <c r="E11" s="605"/>
      <c r="F11" s="602"/>
      <c r="G11" s="1"/>
    </row>
    <row r="12" spans="1:7">
      <c r="A12" s="126"/>
      <c r="B12" s="602" t="s">
        <v>95</v>
      </c>
      <c r="C12" s="602"/>
      <c r="D12" s="602"/>
      <c r="E12" s="605"/>
      <c r="F12" s="602"/>
      <c r="G12" s="1"/>
    </row>
    <row r="13" spans="1:7">
      <c r="A13" s="126"/>
      <c r="B13" s="602" t="s">
        <v>96</v>
      </c>
      <c r="C13" s="602"/>
      <c r="D13" s="602"/>
      <c r="E13" s="605"/>
      <c r="F13" s="602"/>
      <c r="G13" s="1"/>
    </row>
    <row r="14" spans="1:7">
      <c r="A14" s="126"/>
      <c r="B14" s="602" t="s">
        <v>97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98</v>
      </c>
      <c r="C23" s="26"/>
      <c r="D23" s="26"/>
      <c r="E23" s="26"/>
      <c r="F23" s="26"/>
      <c r="G23" s="26"/>
    </row>
    <row r="24" spans="1:7">
      <c r="A24" s="26"/>
      <c r="B24" s="603" t="s">
        <v>99</v>
      </c>
      <c r="C24" s="26"/>
      <c r="D24" s="26"/>
      <c r="E24" s="26"/>
      <c r="F24" s="26"/>
    </row>
    <row r="25" spans="1:7">
      <c r="A25" s="26"/>
      <c r="B25" s="603" t="s">
        <v>100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101</v>
      </c>
      <c r="C27" s="26"/>
      <c r="D27" s="26"/>
      <c r="E27" s="26"/>
      <c r="F27" s="26"/>
    </row>
    <row r="28" spans="1:7">
      <c r="A28" s="26"/>
      <c r="B28" s="603" t="s">
        <v>102</v>
      </c>
      <c r="C28" s="26"/>
      <c r="D28" s="26"/>
      <c r="E28" s="26"/>
      <c r="F28" s="26"/>
    </row>
    <row r="29" spans="1:7">
      <c r="A29" s="26"/>
      <c r="B29" s="603" t="s">
        <v>103</v>
      </c>
      <c r="C29" s="26"/>
      <c r="D29" s="26"/>
      <c r="E29" s="26"/>
      <c r="F29" s="26"/>
    </row>
    <row r="30" spans="1:7">
      <c r="A30" s="26"/>
      <c r="B30" s="603" t="s">
        <v>104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4" t="s">
        <v>114</v>
      </c>
      <c r="C16" s="675"/>
      <c r="D16" s="675"/>
      <c r="E16" s="675"/>
      <c r="F16" s="67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" zoomScaleNormal="100" workbookViewId="0">
      <selection activeCell="F7" sqref="F7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4.45" thickBot="1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>
      <c r="B7" s="635"/>
      <c r="C7" s="634" t="s">
        <v>128</v>
      </c>
      <c r="E7" s="633" t="s">
        <v>129</v>
      </c>
      <c r="F7" s="80"/>
      <c r="G7" s="97"/>
      <c r="J7" s="27"/>
      <c r="Q7" s="1"/>
    </row>
    <row r="8" spans="2:28" ht="30" customHeight="1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0.69910714285714282</v>
      </c>
      <c r="N9" s="265">
        <f ca="1">AVERAGE(N11,N18,N21,N28,N35,N39,N48,N44)</f>
        <v>0.89999196940560577</v>
      </c>
      <c r="O9" s="680"/>
      <c r="S9" s="586">
        <f ca="1">TODAY()</f>
        <v>46063</v>
      </c>
      <c r="T9" s="586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16</v>
      </c>
      <c r="V20" s="538">
        <f>K48</f>
        <v>46079</v>
      </c>
    </row>
    <row r="21" spans="2:28" s="28" customFormat="1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0.59285714285714286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0.43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0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16</v>
      </c>
      <c r="K48" s="571">
        <f>MAX(K49:K51)</f>
        <v>46079</v>
      </c>
      <c r="L48" s="574"/>
      <c r="M48" s="575">
        <f>(J49*M49+J50*M50+J51*M51)/SUM(J49:J51)</f>
        <v>0</v>
      </c>
      <c r="N48" s="575">
        <f ca="1">(K46*N46+K42*N42+K49*N49+K50*N50+K51*N51)/SUM(K46:K51)</f>
        <v>0.1999357552448463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f>WORKDAY.INTL(K49,0,1,Data!$C$3:$C$60)</f>
        <v>46072</v>
      </c>
      <c r="J50" s="577">
        <v>1</v>
      </c>
      <c r="K50" s="582">
        <f>WORKDAY.INTL(I50,J50,1,Data!$C$3:$C$60)</f>
        <v>46073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197</v>
      </c>
      <c r="C51" s="154" t="s">
        <v>198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30" zoomScaleNormal="130" workbookViewId="0">
      <selection activeCell="F19" sqref="F19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6" style="43" customWidth="1"/>
    <col min="19" max="19" width="33.140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3.1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T3" s="53"/>
      <c r="U3" s="30">
        <f>D4</f>
        <v>1364882.3818340108</v>
      </c>
      <c r="V3" s="30">
        <f>D5</f>
        <v>1114901.5750239133</v>
      </c>
      <c r="W3" s="646">
        <f>SUMIFS('Expenditure Breakdown'!$U:$U,
        'Expenditure Breakdown'!$T:$T, "&gt;"&amp;DATE(2025,8,31),
        'Expenditure Breakdown'!$T:$T, "&lt;="&amp;DATE(2026,8,31),
        'Expenditure Breakdown'!$S:$S, "&lt;&gt;")</f>
        <v>1022364.3385658893</v>
      </c>
      <c r="X3" s="646">
        <f>SUMIFS('Expenditure Breakdown'!$Q:$Q,
        'Expenditure Breakdown'!$T:$T, "&gt;"&amp;DATE(2025,8,31),
        'Expenditure Breakdown'!$T:$T, "&lt;="&amp;DATE(2026,8,31),
        'Expenditure Breakdown'!$S:$S, "&lt;&gt;")</f>
        <v>682053.76000000013</v>
      </c>
    </row>
    <row r="4" spans="1:42" s="24" customFormat="1" ht="13.15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935235.46000000008</v>
      </c>
      <c r="G5" s="647" t="s">
        <v>210</v>
      </c>
      <c r="H5" s="647" t="s">
        <v>211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429646.92183401075</v>
      </c>
      <c r="G6" s="543">
        <f>D6*0.05</f>
        <v>12499.040340504878</v>
      </c>
      <c r="H6" s="646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0.31478677397585597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643" t="s">
        <v>224</v>
      </c>
      <c r="T12" s="53"/>
    </row>
    <row r="13" spans="1:42" s="24" customFormat="1" ht="13.15">
      <c r="B13" s="589">
        <v>1</v>
      </c>
      <c r="C13" s="686" t="s">
        <v>225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226</v>
      </c>
      <c r="M13" s="597"/>
      <c r="N13" s="593">
        <v>45880</v>
      </c>
      <c r="O13" s="597"/>
      <c r="P13" s="624">
        <v>45974</v>
      </c>
      <c r="R13" s="86"/>
      <c r="S13" s="644" t="b">
        <v>0</v>
      </c>
      <c r="T13" s="53"/>
      <c r="AP13" s="525">
        <f>'Change Register'!$Q$14+ 7</f>
        <v>7</v>
      </c>
    </row>
    <row r="14" spans="1:42" s="24" customFormat="1" ht="13.15">
      <c r="B14" s="599">
        <v>2</v>
      </c>
      <c r="C14" s="686" t="s">
        <v>227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228</v>
      </c>
      <c r="M14" s="594"/>
      <c r="N14" s="593">
        <v>46006</v>
      </c>
      <c r="O14" s="594"/>
      <c r="P14" s="598">
        <v>46066</v>
      </c>
      <c r="R14" s="280" t="s">
        <v>229</v>
      </c>
      <c r="S14" s="644" t="b">
        <v>0</v>
      </c>
      <c r="T14" s="53"/>
    </row>
    <row r="15" spans="1:42" s="24" customFormat="1" ht="13.15">
      <c r="B15" s="589">
        <v>3</v>
      </c>
      <c r="C15" s="686" t="s">
        <v>230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46080</v>
      </c>
      <c r="R15" s="280"/>
      <c r="S15" s="644" t="b">
        <v>0</v>
      </c>
      <c r="T15" s="53"/>
    </row>
    <row r="16" spans="1:42" s="24" customFormat="1" ht="13.15">
      <c r="B16" s="589">
        <v>4</v>
      </c>
      <c r="C16" s="684" t="s">
        <v>231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4" t="b">
        <v>0</v>
      </c>
      <c r="T16" s="53"/>
    </row>
    <row r="17" spans="2:20" s="24" customFormat="1" ht="13.15">
      <c r="B17" s="589">
        <v>5</v>
      </c>
      <c r="C17" s="684" t="s">
        <v>231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4" t="b">
        <v>0</v>
      </c>
      <c r="T17" s="53"/>
    </row>
    <row r="18" spans="2:20" s="24" customFormat="1" ht="13.15">
      <c r="B18" s="589">
        <v>6</v>
      </c>
      <c r="C18" s="684" t="s">
        <v>231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5" t="b">
        <v>0</v>
      </c>
      <c r="T18" s="53"/>
    </row>
    <row r="19" spans="2:20" s="24" customFormat="1" ht="13.15">
      <c r="B19" s="589">
        <v>7</v>
      </c>
      <c r="C19" s="686" t="s">
        <v>231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4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232</v>
      </c>
      <c r="C23" s="57" t="s">
        <v>233</v>
      </c>
      <c r="D23" s="57"/>
      <c r="F23" s="58"/>
      <c r="H23" s="30"/>
    </row>
    <row r="24" spans="2:20" s="24" customFormat="1" ht="13.15">
      <c r="C24" s="59" t="s">
        <v>234</v>
      </c>
      <c r="D24" s="60"/>
      <c r="F24" s="61"/>
    </row>
    <row r="25" spans="2:20" s="24" customFormat="1" ht="13.15">
      <c r="C25" s="59" t="s">
        <v>235</v>
      </c>
      <c r="D25" s="60"/>
    </row>
    <row r="26" spans="2:20" s="24" customFormat="1" ht="13.15">
      <c r="C26" s="62" t="s">
        <v>236</v>
      </c>
      <c r="D26" s="63"/>
    </row>
    <row r="27" spans="2:20" s="24" customFormat="1" ht="13.15">
      <c r="C27" s="64" t="s">
        <v>237</v>
      </c>
      <c r="D27" s="60"/>
    </row>
    <row r="28" spans="2:20" s="24" customFormat="1" ht="13.15">
      <c r="B28" s="31"/>
      <c r="C28" s="64" t="s">
        <v>238</v>
      </c>
      <c r="D28" s="60"/>
    </row>
    <row r="29" spans="2:20" s="24" customFormat="1" ht="13.15">
      <c r="B29" s="31"/>
      <c r="C29" s="24" t="s">
        <v>239</v>
      </c>
    </row>
    <row r="30" spans="2:20" s="24" customFormat="1" ht="27.75" customHeight="1">
      <c r="B30" s="31"/>
      <c r="C30" s="65" t="s">
        <v>240</v>
      </c>
      <c r="D30" s="65"/>
      <c r="F30" s="61"/>
    </row>
    <row r="31" spans="2:20" s="24" customFormat="1" ht="13.15">
      <c r="B31" s="31"/>
      <c r="F31" s="58"/>
      <c r="N31" s="543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8"/>
      <c r="C4" s="688"/>
      <c r="D4" s="688"/>
      <c r="E4" s="313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4.45" thickBot="1">
      <c r="A5" s="126"/>
      <c r="B5" s="689" t="s">
        <v>249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935235.46000000008</v>
      </c>
      <c r="I5" s="126"/>
      <c r="J5" s="134">
        <f>SUM(J9:J23)</f>
        <v>179666.11502391307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27166.07</v>
      </c>
      <c r="I11" s="23"/>
      <c r="J11" s="143">
        <f t="shared" si="0"/>
        <v>43654.93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95345</v>
      </c>
      <c r="I12" s="23"/>
      <c r="J12" s="143">
        <f t="shared" si="0"/>
        <v>56262.799999999988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2197.8599999999997</v>
      </c>
      <c r="I22" s="23"/>
      <c r="J22" s="143">
        <f t="shared" si="0"/>
        <v>427.14000000000033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O1" zoomScale="81" zoomScaleNormal="70" workbookViewId="0">
      <pane ySplit="4" topLeftCell="J143" activePane="bottomLeft" state="frozen"/>
      <selection pane="bottomLeft" activeCell="N156" sqref="N156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255</v>
      </c>
      <c r="C2" s="738"/>
      <c r="D2" s="738"/>
      <c r="E2" s="738"/>
      <c r="F2" s="738"/>
      <c r="G2" s="738"/>
      <c r="H2" s="395"/>
      <c r="I2" s="162">
        <f>SUM(I6:I162)</f>
        <v>1114901.5750239133</v>
      </c>
      <c r="J2" s="162">
        <f>SUM(J6:J162)</f>
        <v>1364882.3818340106</v>
      </c>
      <c r="L2" s="739" t="s">
        <v>256</v>
      </c>
      <c r="M2" s="740"/>
      <c r="N2" s="740"/>
      <c r="O2" s="740"/>
      <c r="P2" s="740"/>
      <c r="Q2" s="740"/>
      <c r="R2" s="741" t="s">
        <v>257</v>
      </c>
      <c r="S2" s="742"/>
      <c r="T2" s="742"/>
      <c r="U2" s="742"/>
      <c r="V2" s="742"/>
      <c r="W2" s="743"/>
      <c r="X2" s="162">
        <f>SUM(X6:X162)</f>
        <v>935235.46000000008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6" t="s">
        <v>268</v>
      </c>
      <c r="S4" s="497" t="s">
        <v>220</v>
      </c>
      <c r="T4" s="521" t="s">
        <v>221</v>
      </c>
      <c r="U4" s="522" t="s">
        <v>269</v>
      </c>
      <c r="V4" s="274" t="s">
        <v>270</v>
      </c>
      <c r="W4" s="521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D163</f>
        <v>388678.38800000004</v>
      </c>
      <c r="H6" s="550">
        <f>'Project Plan'!E36+60</f>
        <v>46061</v>
      </c>
      <c r="I6" s="690">
        <f>SUM(G6:G11)</f>
        <v>388678.38800000004</v>
      </c>
      <c r="J6" s="693">
        <f>F163</f>
        <v>485847.98500000004</v>
      </c>
      <c r="K6" s="289"/>
      <c r="L6" s="185">
        <v>1</v>
      </c>
      <c r="M6" s="316" t="s">
        <v>274</v>
      </c>
      <c r="N6" s="186" t="s">
        <v>275</v>
      </c>
      <c r="O6" s="520">
        <v>258</v>
      </c>
      <c r="P6" s="336">
        <v>1189.5</v>
      </c>
      <c r="Q6" s="292">
        <f>O6*P6</f>
        <v>306891</v>
      </c>
      <c r="R6" s="468"/>
      <c r="S6" s="499" t="s">
        <v>276</v>
      </c>
      <c r="T6" s="541">
        <v>46022</v>
      </c>
      <c r="U6" s="638">
        <v>485847.98500000004</v>
      </c>
      <c r="V6" s="702">
        <f>J6-SUM(U6:U11)</f>
        <v>0</v>
      </c>
      <c r="W6" s="655">
        <v>46057</v>
      </c>
      <c r="X6" s="690">
        <f>SUM(Q6:Q11)</f>
        <v>306891</v>
      </c>
    </row>
    <row r="7" spans="1:76" ht="15" customHeight="1">
      <c r="B7" s="215">
        <v>1</v>
      </c>
      <c r="C7" s="317"/>
      <c r="D7" s="290" t="s">
        <v>277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274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8">
        <v>0</v>
      </c>
      <c r="V7" s="703"/>
      <c r="W7" s="453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274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8">
        <v>0</v>
      </c>
      <c r="V8" s="703"/>
      <c r="W8" s="453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274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8">
        <v>0</v>
      </c>
      <c r="V9" s="703"/>
      <c r="W9" s="454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274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8">
        <v>0</v>
      </c>
      <c r="V10" s="703"/>
      <c r="W10" s="454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274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8">
        <v>0</v>
      </c>
      <c r="V11" s="704"/>
      <c r="W11" s="455"/>
      <c r="X11" s="692"/>
      <c r="Y11" s="607" t="s">
        <v>278</v>
      </c>
      <c r="Z11" s="486" t="s">
        <v>279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280</v>
      </c>
      <c r="Z12" s="487">
        <f>G55</f>
        <v>139985.94782608695</v>
      </c>
      <c r="AA12" s="526"/>
    </row>
    <row r="13" spans="1:76" ht="14.25" customHeight="1">
      <c r="B13" s="197">
        <v>2</v>
      </c>
      <c r="C13" s="223" t="s">
        <v>87</v>
      </c>
      <c r="D13" s="223" t="s">
        <v>281</v>
      </c>
      <c r="E13" s="268"/>
      <c r="F13" s="355"/>
      <c r="G13" s="200">
        <f>D164</f>
        <v>120000</v>
      </c>
      <c r="H13" s="554">
        <f>'Project Plan'!E22+60</f>
        <v>46061</v>
      </c>
      <c r="I13" s="719">
        <f>SUM(G13:G19)</f>
        <v>120000</v>
      </c>
      <c r="J13" s="722">
        <f>F164</f>
        <v>150000</v>
      </c>
      <c r="K13" s="201"/>
      <c r="L13" s="197">
        <v>2</v>
      </c>
      <c r="M13" s="319" t="s">
        <v>282</v>
      </c>
      <c r="N13" s="223" t="s">
        <v>283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9">
        <v>91846.376169656171</v>
      </c>
      <c r="V13" s="734">
        <f>J13-SUM(U13:U19)</f>
        <v>0</v>
      </c>
      <c r="W13" s="656">
        <f>W6</f>
        <v>46057</v>
      </c>
      <c r="X13" s="719">
        <f>SUM(Q13:Q19)</f>
        <v>112476.43000000001</v>
      </c>
      <c r="Y13" s="608" t="s">
        <v>284</v>
      </c>
      <c r="Z13" s="488">
        <f>G32</f>
        <v>100395.79999999999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282</v>
      </c>
      <c r="N14" s="309" t="s">
        <v>285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9">
        <v>58153.623830343837</v>
      </c>
      <c r="V14" s="735"/>
      <c r="W14" s="632">
        <f>W13</f>
        <v>46057</v>
      </c>
      <c r="X14" s="720"/>
      <c r="Y14" s="608" t="s">
        <v>286</v>
      </c>
      <c r="Z14" s="487">
        <f>G92</f>
        <v>39345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282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9">
        <v>0</v>
      </c>
      <c r="V15" s="735"/>
      <c r="W15" s="458"/>
      <c r="X15" s="720"/>
      <c r="Y15" s="608" t="s">
        <v>287</v>
      </c>
      <c r="Z15" s="487">
        <f>G93</f>
        <v>85785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282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9">
        <v>0</v>
      </c>
      <c r="V16" s="735"/>
      <c r="W16" s="458"/>
      <c r="X16" s="720"/>
      <c r="Y16" s="608" t="s">
        <v>288</v>
      </c>
      <c r="Z16" s="487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282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9">
        <v>0</v>
      </c>
      <c r="V17" s="735"/>
      <c r="W17" s="458"/>
      <c r="X17" s="720"/>
      <c r="Y17" s="608" t="s">
        <v>289</v>
      </c>
      <c r="Z17" s="487">
        <f>G106</f>
        <v>12818.666666666666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282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9">
        <v>0</v>
      </c>
      <c r="V18" s="735"/>
      <c r="W18" s="458"/>
      <c r="X18" s="720"/>
      <c r="Y18" s="608" t="s">
        <v>290</v>
      </c>
      <c r="Z18" s="487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282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40">
        <v>0</v>
      </c>
      <c r="V19" s="736"/>
      <c r="W19" s="459"/>
      <c r="X19" s="721"/>
      <c r="Y19" s="608" t="s">
        <v>291</v>
      </c>
      <c r="Z19" s="487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6"/>
    </row>
    <row r="21" spans="1:27" ht="14.25" customHeight="1">
      <c r="B21" s="185">
        <v>3</v>
      </c>
      <c r="C21" s="213" t="s">
        <v>292</v>
      </c>
      <c r="D21" s="231" t="s">
        <v>293</v>
      </c>
      <c r="E21" s="187"/>
      <c r="F21" s="336"/>
      <c r="G21" s="188">
        <f>D165</f>
        <v>70821</v>
      </c>
      <c r="H21" s="542">
        <f>'Project Plan'!E30+30</f>
        <v>46031</v>
      </c>
      <c r="I21" s="690">
        <f>SUM(G21:G29)</f>
        <v>70821</v>
      </c>
      <c r="J21" s="693">
        <f>F165</f>
        <v>88526.25</v>
      </c>
      <c r="K21" s="189"/>
      <c r="L21" s="185">
        <v>3</v>
      </c>
      <c r="M21" s="321" t="s">
        <v>294</v>
      </c>
      <c r="N21" s="231" t="s">
        <v>295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296</v>
      </c>
      <c r="T21" s="627">
        <v>46053</v>
      </c>
      <c r="U21" s="397">
        <f>(Q21/$X$21*$J$21)+11391.96</f>
        <v>63146.737282838483</v>
      </c>
      <c r="V21" s="702">
        <f>J21-SUM(U21:U29)</f>
        <v>-2.5919521285686642E-3</v>
      </c>
      <c r="W21" s="628">
        <v>46053</v>
      </c>
      <c r="X21" s="690">
        <f>SUM(Q21:Q29)</f>
        <v>27166.07</v>
      </c>
      <c r="Y21" s="608" t="s">
        <v>297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294</v>
      </c>
      <c r="N22" s="232" t="s">
        <v>298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296</v>
      </c>
      <c r="T22" s="653">
        <v>46053</v>
      </c>
      <c r="U22" s="397">
        <f t="shared" ref="U22:U29" si="2">(Q22/$X$21*$J$21)</f>
        <v>8063.0501812555149</v>
      </c>
      <c r="V22" s="703"/>
      <c r="W22" s="654">
        <v>46053</v>
      </c>
      <c r="X22" s="691"/>
      <c r="Y22" s="608" t="s">
        <v>246</v>
      </c>
      <c r="Z22" s="487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294</v>
      </c>
      <c r="N23" s="232" t="s">
        <v>298</v>
      </c>
      <c r="O23" s="433">
        <v>184</v>
      </c>
      <c r="P23" s="357">
        <v>11.14</v>
      </c>
      <c r="Q23" s="219">
        <f t="shared" si="1"/>
        <v>2049.7600000000002</v>
      </c>
      <c r="R23" s="469"/>
      <c r="S23" s="500" t="s">
        <v>299</v>
      </c>
      <c r="T23" s="653">
        <v>46053</v>
      </c>
      <c r="U23" s="397">
        <f>(Q23/$X$21*$J$21)</f>
        <v>6679.5663193093451</v>
      </c>
      <c r="V23" s="703"/>
      <c r="W23" s="654">
        <v>46053</v>
      </c>
      <c r="X23" s="691"/>
      <c r="Y23" s="608"/>
      <c r="Z23" s="487"/>
    </row>
    <row r="24" spans="1:27" ht="14.25" customHeight="1">
      <c r="B24" s="215"/>
      <c r="C24" s="216"/>
      <c r="D24" s="232"/>
      <c r="E24" s="218"/>
      <c r="F24" s="357"/>
      <c r="G24" s="219"/>
      <c r="H24" s="541"/>
      <c r="I24" s="691"/>
      <c r="J24" s="694"/>
      <c r="K24" s="192"/>
      <c r="L24" s="215">
        <v>3</v>
      </c>
      <c r="M24" s="322" t="s">
        <v>294</v>
      </c>
      <c r="N24" s="232" t="s">
        <v>300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296</v>
      </c>
      <c r="T24" s="653">
        <v>46053</v>
      </c>
      <c r="U24" s="397">
        <f t="shared" si="2"/>
        <v>4132.0398938823319</v>
      </c>
      <c r="V24" s="703"/>
      <c r="W24" s="654">
        <v>46053</v>
      </c>
      <c r="X24" s="691"/>
      <c r="Y24" s="608"/>
      <c r="Z24" s="487"/>
    </row>
    <row r="25" spans="1:27" ht="14.25" customHeight="1">
      <c r="B25" s="215"/>
      <c r="C25" s="216"/>
      <c r="D25" s="232"/>
      <c r="E25" s="218"/>
      <c r="F25" s="357"/>
      <c r="G25" s="219"/>
      <c r="H25" s="541"/>
      <c r="I25" s="691"/>
      <c r="J25" s="694"/>
      <c r="K25" s="192"/>
      <c r="L25" s="215">
        <v>3</v>
      </c>
      <c r="M25" s="322" t="s">
        <v>294</v>
      </c>
      <c r="N25" s="232"/>
      <c r="O25" s="433"/>
      <c r="P25" s="357"/>
      <c r="Q25" s="219"/>
      <c r="R25" s="469"/>
      <c r="S25" s="500"/>
      <c r="T25" s="411"/>
      <c r="U25" s="397"/>
      <c r="V25" s="703"/>
      <c r="W25" s="453"/>
      <c r="X25" s="691"/>
      <c r="Y25" s="608"/>
      <c r="Z25" s="487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1"/>
      <c r="I26" s="691"/>
      <c r="J26" s="694"/>
      <c r="K26" s="192"/>
      <c r="L26" s="215">
        <v>3</v>
      </c>
      <c r="M26" s="322" t="s">
        <v>294</v>
      </c>
      <c r="N26" s="232" t="s">
        <v>301</v>
      </c>
      <c r="O26" s="433"/>
      <c r="P26" s="357"/>
      <c r="Q26" s="219">
        <v>5492</v>
      </c>
      <c r="R26" s="469" t="s">
        <v>302</v>
      </c>
      <c r="S26" s="500" t="s">
        <v>303</v>
      </c>
      <c r="T26" s="541">
        <v>46022</v>
      </c>
      <c r="U26" s="638">
        <v>6504.8589146664526</v>
      </c>
      <c r="V26" s="703"/>
      <c r="W26" s="654">
        <v>46021</v>
      </c>
      <c r="X26" s="691"/>
      <c r="Y26" s="608" t="s">
        <v>304</v>
      </c>
      <c r="Z26" s="490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1"/>
      <c r="I27" s="691"/>
      <c r="J27" s="694"/>
      <c r="K27" s="192"/>
      <c r="L27" s="215">
        <v>3</v>
      </c>
      <c r="M27" s="322" t="s">
        <v>294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si="2"/>
        <v>0</v>
      </c>
      <c r="V27" s="703"/>
      <c r="W27" s="454"/>
      <c r="X27" s="691"/>
      <c r="Y27" s="609" t="s">
        <v>305</v>
      </c>
      <c r="Z27" s="489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1"/>
      <c r="I28" s="691"/>
      <c r="J28" s="694"/>
      <c r="K28" s="192"/>
      <c r="L28" s="215">
        <v>3</v>
      </c>
      <c r="M28" s="322" t="s">
        <v>294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03"/>
      <c r="W28" s="454"/>
      <c r="X28" s="691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2"/>
      <c r="I29" s="692"/>
      <c r="J29" s="695"/>
      <c r="K29" s="193"/>
      <c r="L29" s="220">
        <v>3</v>
      </c>
      <c r="M29" s="323" t="s">
        <v>294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04"/>
      <c r="W29" s="455"/>
      <c r="X29" s="692"/>
      <c r="Y29" s="610" t="s">
        <v>205</v>
      </c>
      <c r="Z29" s="491" t="s">
        <v>306</v>
      </c>
    </row>
    <row r="30" spans="1:27" ht="14.4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1" t="str">
        <f>Y12</f>
        <v>AC Equipment</v>
      </c>
      <c r="Z30" s="492">
        <v>62952</v>
      </c>
    </row>
    <row r="31" spans="1:27" ht="14.25" customHeight="1">
      <c r="B31" s="197">
        <v>4</v>
      </c>
      <c r="C31" s="198" t="s">
        <v>284</v>
      </c>
      <c r="D31" s="198" t="s">
        <v>307</v>
      </c>
      <c r="E31" s="268">
        <v>3658</v>
      </c>
      <c r="F31" s="355"/>
      <c r="G31" s="200">
        <v>51212</v>
      </c>
      <c r="H31" s="554">
        <f>'Project Plan'!E32+60</f>
        <v>46061</v>
      </c>
      <c r="I31" s="719">
        <f>SUM(G31:G45)</f>
        <v>151607.79999999999</v>
      </c>
      <c r="J31" s="722">
        <f>F166</f>
        <v>189509.75</v>
      </c>
      <c r="K31" s="201"/>
      <c r="L31" s="197">
        <v>4</v>
      </c>
      <c r="M31" s="324" t="s">
        <v>308</v>
      </c>
      <c r="N31" s="198" t="s">
        <v>309</v>
      </c>
      <c r="O31" s="429">
        <v>2000</v>
      </c>
      <c r="P31" s="648">
        <v>14</v>
      </c>
      <c r="Q31" s="200">
        <f>O31*P31</f>
        <v>28000</v>
      </c>
      <c r="R31" s="473"/>
      <c r="S31" s="504" t="s">
        <v>310</v>
      </c>
      <c r="T31" s="649">
        <v>46053</v>
      </c>
      <c r="U31" s="401">
        <f t="shared" ref="U31:U45" si="3">(Q31/$X$31*$J$31)</f>
        <v>55653.395563479993</v>
      </c>
      <c r="V31" s="734">
        <f>J31-SUM(U31:U45)</f>
        <v>-207.2260291299026</v>
      </c>
      <c r="W31" s="651">
        <v>46053</v>
      </c>
      <c r="X31" s="719">
        <f>SUM(Q31:Q45)</f>
        <v>95345</v>
      </c>
      <c r="Y31" s="611" t="str">
        <f>Y13</f>
        <v>DC Equipment</v>
      </c>
      <c r="Z31" s="492">
        <v>39345</v>
      </c>
    </row>
    <row r="32" spans="1:27" ht="14.25" customHeight="1">
      <c r="B32" s="224">
        <v>4</v>
      </c>
      <c r="C32" s="309"/>
      <c r="D32" s="309" t="s">
        <v>311</v>
      </c>
      <c r="E32" s="295"/>
      <c r="F32" s="351"/>
      <c r="G32" s="516">
        <f>D166-G31</f>
        <v>100395.79999999999</v>
      </c>
      <c r="H32" s="545">
        <f>'Project Plan'!G28</f>
        <v>46052</v>
      </c>
      <c r="I32" s="720"/>
      <c r="J32" s="723"/>
      <c r="K32" s="205"/>
      <c r="L32" s="202">
        <v>4</v>
      </c>
      <c r="M32" s="325" t="s">
        <v>308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310</v>
      </c>
      <c r="T32" s="650">
        <v>46053</v>
      </c>
      <c r="U32" s="401">
        <f t="shared" si="3"/>
        <v>55653.395563479993</v>
      </c>
      <c r="V32" s="735"/>
      <c r="W32" s="652">
        <v>46053</v>
      </c>
      <c r="X32" s="720"/>
      <c r="Y32" s="611" t="str">
        <f>Y14</f>
        <v>AC Labour</v>
      </c>
      <c r="Z32" s="492">
        <v>40918.800000000003</v>
      </c>
      <c r="AA32" s="526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20"/>
      <c r="J33" s="723"/>
      <c r="K33" s="205"/>
      <c r="L33" s="202">
        <v>4</v>
      </c>
      <c r="M33" s="325" t="s">
        <v>308</v>
      </c>
      <c r="N33" s="309"/>
      <c r="O33" s="430"/>
      <c r="P33" s="351"/>
      <c r="Q33" s="204"/>
      <c r="R33" s="474"/>
      <c r="S33" s="505"/>
      <c r="T33" s="416" t="str">
        <f t="shared" si="0"/>
        <v/>
      </c>
      <c r="U33" s="401">
        <f t="shared" si="3"/>
        <v>0</v>
      </c>
      <c r="V33" s="735"/>
      <c r="W33" s="458"/>
      <c r="X33" s="720"/>
      <c r="Y33" s="611" t="str">
        <f>Y15</f>
        <v>DC Labour</v>
      </c>
      <c r="Z33" s="492">
        <v>94428</v>
      </c>
      <c r="AA33" s="526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20"/>
      <c r="J34" s="723"/>
      <c r="K34" s="205"/>
      <c r="L34" s="202">
        <v>4</v>
      </c>
      <c r="M34" s="325" t="s">
        <v>308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si="3"/>
        <v>0</v>
      </c>
      <c r="V34" s="735"/>
      <c r="W34" s="458"/>
      <c r="X34" s="720"/>
      <c r="Y34" s="611" t="s">
        <v>312</v>
      </c>
      <c r="Z34" s="492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308</v>
      </c>
      <c r="N35" s="309" t="s">
        <v>313</v>
      </c>
      <c r="O35" s="447">
        <f>Z31</f>
        <v>39345</v>
      </c>
      <c r="P35" s="448">
        <v>0.1</v>
      </c>
      <c r="Q35" s="204">
        <f>$O$35*P35</f>
        <v>3934.5</v>
      </c>
      <c r="R35" s="716" t="s">
        <v>314</v>
      </c>
      <c r="S35" s="505" t="str">
        <f>S93</f>
        <v>BDL Solar- IN000763</v>
      </c>
      <c r="T35" s="545">
        <f>T93</f>
        <v>46022</v>
      </c>
      <c r="U35" s="639">
        <v>7903.1862989559595</v>
      </c>
      <c r="V35" s="735"/>
      <c r="W35" s="632">
        <f>W93</f>
        <v>46003</v>
      </c>
      <c r="X35" s="720"/>
      <c r="Y35" s="611" t="s">
        <v>105</v>
      </c>
      <c r="Z35" s="492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308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7"/>
      <c r="S36" s="505" t="str">
        <f>S62</f>
        <v>BDL Solar- IN000764</v>
      </c>
      <c r="T36" s="545">
        <f t="shared" ref="T36:T42" si="5">T94</f>
        <v>46022</v>
      </c>
      <c r="U36" s="639">
        <v>11854.779448433939</v>
      </c>
      <c r="V36" s="735"/>
      <c r="W36" s="632">
        <f t="shared" ref="W36:W42" si="6">W94</f>
        <v>46003</v>
      </c>
      <c r="X36" s="720"/>
      <c r="Y36" s="611" t="s">
        <v>315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308</v>
      </c>
      <c r="N37" s="309" t="s">
        <v>316</v>
      </c>
      <c r="O37" s="438"/>
      <c r="P37" s="448">
        <v>0.2</v>
      </c>
      <c r="Q37" s="204">
        <f t="shared" si="4"/>
        <v>7869</v>
      </c>
      <c r="R37" s="717"/>
      <c r="S37" s="505"/>
      <c r="T37" s="416">
        <f t="shared" si="5"/>
        <v>46081</v>
      </c>
      <c r="U37" s="401">
        <f t="shared" si="3"/>
        <v>15640.591774608003</v>
      </c>
      <c r="V37" s="735"/>
      <c r="W37" s="458">
        <f t="shared" si="6"/>
        <v>46066</v>
      </c>
      <c r="X37" s="720"/>
      <c r="Y37" s="611" t="s">
        <v>317</v>
      </c>
      <c r="Z37" s="492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308</v>
      </c>
      <c r="N38" s="309" t="s">
        <v>318</v>
      </c>
      <c r="O38" s="438"/>
      <c r="P38" s="448">
        <v>0.25</v>
      </c>
      <c r="Q38" s="204">
        <f t="shared" si="4"/>
        <v>9836.25</v>
      </c>
      <c r="R38" s="717"/>
      <c r="S38" s="505"/>
      <c r="T38" s="416">
        <f t="shared" si="5"/>
        <v>46081</v>
      </c>
      <c r="U38" s="401">
        <f t="shared" si="3"/>
        <v>19550.739718260003</v>
      </c>
      <c r="V38" s="735"/>
      <c r="W38" s="458">
        <f t="shared" si="6"/>
        <v>46062</v>
      </c>
      <c r="X38" s="720"/>
      <c r="Y38" s="611" t="s">
        <v>105</v>
      </c>
      <c r="Z38" s="492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308</v>
      </c>
      <c r="N39" s="309" t="s">
        <v>319</v>
      </c>
      <c r="O39" s="438"/>
      <c r="P39" s="448">
        <v>0.1</v>
      </c>
      <c r="Q39" s="204">
        <f t="shared" si="4"/>
        <v>3934.5</v>
      </c>
      <c r="R39" s="717"/>
      <c r="S39" s="505"/>
      <c r="T39" s="416">
        <f t="shared" si="5"/>
        <v>46081</v>
      </c>
      <c r="U39" s="401">
        <f t="shared" si="3"/>
        <v>7820.2958873040016</v>
      </c>
      <c r="V39" s="735"/>
      <c r="W39" s="458">
        <f t="shared" si="6"/>
        <v>46069</v>
      </c>
      <c r="X39" s="720"/>
      <c r="Y39" s="611" t="s">
        <v>297</v>
      </c>
      <c r="Z39" s="492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308</v>
      </c>
      <c r="N40" s="309" t="s">
        <v>320</v>
      </c>
      <c r="O40" s="438"/>
      <c r="P40" s="448">
        <v>0.1</v>
      </c>
      <c r="Q40" s="204">
        <f t="shared" si="4"/>
        <v>3934.5</v>
      </c>
      <c r="R40" s="717"/>
      <c r="S40" s="505"/>
      <c r="T40" s="416">
        <f t="shared" si="5"/>
        <v>46081</v>
      </c>
      <c r="U40" s="401">
        <f t="shared" si="3"/>
        <v>7820.2958873040016</v>
      </c>
      <c r="V40" s="735"/>
      <c r="W40" s="458">
        <f t="shared" si="6"/>
        <v>46076</v>
      </c>
      <c r="X40" s="720"/>
      <c r="Y40" s="611" t="s">
        <v>297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308</v>
      </c>
      <c r="N41" s="309" t="s">
        <v>321</v>
      </c>
      <c r="O41" s="438"/>
      <c r="P41" s="448">
        <v>0.05</v>
      </c>
      <c r="Q41" s="204">
        <f t="shared" si="4"/>
        <v>1967.25</v>
      </c>
      <c r="R41" s="717"/>
      <c r="S41" s="505"/>
      <c r="T41" s="416">
        <f t="shared" si="5"/>
        <v>46112</v>
      </c>
      <c r="U41" s="401">
        <f t="shared" si="3"/>
        <v>3910.1479436520008</v>
      </c>
      <c r="V41" s="735"/>
      <c r="W41" s="458">
        <f t="shared" si="6"/>
        <v>46083</v>
      </c>
      <c r="X41" s="720"/>
      <c r="Y41" s="611" t="s">
        <v>246</v>
      </c>
      <c r="Z41" s="492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5"/>
      <c r="I42" s="720"/>
      <c r="J42" s="723"/>
      <c r="K42" s="205"/>
      <c r="L42" s="202">
        <v>4</v>
      </c>
      <c r="M42" s="325" t="s">
        <v>308</v>
      </c>
      <c r="N42" s="309" t="s">
        <v>322</v>
      </c>
      <c r="O42" s="438"/>
      <c r="P42" s="448">
        <v>0.05</v>
      </c>
      <c r="Q42" s="204">
        <f t="shared" si="4"/>
        <v>1967.25</v>
      </c>
      <c r="R42" s="718"/>
      <c r="S42" s="505"/>
      <c r="T42" s="416">
        <f t="shared" si="5"/>
        <v>46142</v>
      </c>
      <c r="U42" s="401">
        <f t="shared" si="3"/>
        <v>3910.1479436520008</v>
      </c>
      <c r="V42" s="735"/>
      <c r="W42" s="458">
        <f t="shared" si="6"/>
        <v>46113</v>
      </c>
      <c r="X42" s="720"/>
      <c r="Y42" s="612" t="s">
        <v>305</v>
      </c>
      <c r="Z42" s="493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5"/>
      <c r="I43" s="720"/>
      <c r="J43" s="723"/>
      <c r="K43" s="205"/>
      <c r="L43" s="202">
        <v>4</v>
      </c>
      <c r="M43" s="325" t="s">
        <v>308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35"/>
      <c r="W43" s="458"/>
      <c r="X43" s="720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5"/>
      <c r="I44" s="720"/>
      <c r="J44" s="723"/>
      <c r="K44" s="205"/>
      <c r="L44" s="202">
        <v>4</v>
      </c>
      <c r="M44" s="325" t="s">
        <v>308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35"/>
      <c r="W44" s="458"/>
      <c r="X44" s="720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5"/>
      <c r="I45" s="721"/>
      <c r="J45" s="724"/>
      <c r="K45" s="210"/>
      <c r="L45" s="206">
        <v>4</v>
      </c>
      <c r="M45" s="326" t="s">
        <v>308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36"/>
      <c r="W45" s="459"/>
      <c r="X45" s="721"/>
    </row>
    <row r="46" spans="1:27" ht="14.4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>
      <c r="B47" s="185">
        <v>5</v>
      </c>
      <c r="C47" s="213" t="s">
        <v>323</v>
      </c>
      <c r="D47" s="231"/>
      <c r="E47" s="187"/>
      <c r="F47" s="336"/>
      <c r="G47" s="188"/>
      <c r="H47" s="542"/>
      <c r="I47" s="690">
        <f>SUM(G47:G53)</f>
        <v>0</v>
      </c>
      <c r="J47" s="693">
        <f>F168</f>
        <v>0</v>
      </c>
      <c r="K47" s="189"/>
      <c r="L47" s="185">
        <v>5</v>
      </c>
      <c r="M47" s="321" t="s">
        <v>324</v>
      </c>
      <c r="N47" s="231"/>
      <c r="O47" s="432"/>
      <c r="P47" s="336"/>
      <c r="Q47" s="188"/>
      <c r="R47" s="476"/>
      <c r="S47" s="507"/>
      <c r="T47" s="418"/>
      <c r="U47" s="396"/>
      <c r="V47" s="702">
        <f>J47-SUM(U47:U53)</f>
        <v>0</v>
      </c>
      <c r="W47" s="460"/>
      <c r="X47" s="690">
        <f>SUM(Q47:Q53)</f>
        <v>0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1"/>
      <c r="I48" s="691"/>
      <c r="J48" s="694"/>
      <c r="K48" s="192"/>
      <c r="L48" s="190">
        <v>5</v>
      </c>
      <c r="M48" s="327" t="s">
        <v>324</v>
      </c>
      <c r="N48" s="191"/>
      <c r="O48" s="440"/>
      <c r="P48" s="350"/>
      <c r="Q48" s="219"/>
      <c r="R48" s="517"/>
      <c r="S48" s="500"/>
      <c r="T48" s="606"/>
      <c r="U48" s="396"/>
      <c r="V48" s="703"/>
      <c r="W48" s="453"/>
      <c r="X48" s="691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1"/>
      <c r="I49" s="691"/>
      <c r="J49" s="694"/>
      <c r="K49" s="192"/>
      <c r="L49" s="190">
        <v>5</v>
      </c>
      <c r="M49" s="327" t="s">
        <v>324</v>
      </c>
      <c r="N49" s="217"/>
      <c r="O49" s="433"/>
      <c r="P49" s="357"/>
      <c r="Q49" s="219"/>
      <c r="R49" s="469"/>
      <c r="S49" s="500"/>
      <c r="T49" s="411"/>
      <c r="U49" s="396"/>
      <c r="V49" s="703"/>
      <c r="W49" s="453"/>
      <c r="X49" s="691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1"/>
      <c r="I50" s="691"/>
      <c r="J50" s="694"/>
      <c r="K50" s="192"/>
      <c r="L50" s="215">
        <v>5</v>
      </c>
      <c r="M50" s="327" t="s">
        <v>324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03"/>
      <c r="W50" s="453"/>
      <c r="X50" s="691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1"/>
      <c r="J51" s="694"/>
      <c r="K51" s="192"/>
      <c r="L51" s="215">
        <v>5</v>
      </c>
      <c r="M51" s="327" t="s">
        <v>324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03"/>
      <c r="W51" s="454"/>
      <c r="X51" s="691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1"/>
      <c r="J52" s="694"/>
      <c r="K52" s="192"/>
      <c r="L52" s="215">
        <v>5</v>
      </c>
      <c r="M52" s="327" t="s">
        <v>324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03"/>
      <c r="W52" s="454"/>
      <c r="X52" s="691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2"/>
      <c r="I53" s="692"/>
      <c r="J53" s="695"/>
      <c r="K53" s="193"/>
      <c r="L53" s="220">
        <v>5</v>
      </c>
      <c r="M53" s="323" t="s">
        <v>324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04"/>
      <c r="W53" s="455"/>
      <c r="X53" s="692"/>
    </row>
    <row r="54" spans="1:24" ht="14.45" thickBot="1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>
      <c r="B55" s="197">
        <v>6</v>
      </c>
      <c r="C55" s="198" t="s">
        <v>280</v>
      </c>
      <c r="D55" s="199" t="s">
        <v>325</v>
      </c>
      <c r="E55" s="373"/>
      <c r="F55" s="355"/>
      <c r="G55" s="200">
        <f>D167</f>
        <v>139985.94782608695</v>
      </c>
      <c r="H55" s="554">
        <f>'Project Plan'!G24+30</f>
        <v>46087</v>
      </c>
      <c r="I55" s="719">
        <f>SUM(G55:G71)</f>
        <v>139985.94782608695</v>
      </c>
      <c r="J55" s="722">
        <f>F167</f>
        <v>174982.4347826087</v>
      </c>
      <c r="K55" s="201"/>
      <c r="L55" s="197">
        <v>6</v>
      </c>
      <c r="M55" s="330" t="s">
        <v>326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34">
        <f>J55-SUM(U55:U71)</f>
        <v>0</v>
      </c>
      <c r="W55" s="457"/>
      <c r="X55" s="719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20"/>
      <c r="J56" s="723"/>
      <c r="K56" s="205"/>
      <c r="L56" s="202">
        <v>6</v>
      </c>
      <c r="M56" s="328" t="s">
        <v>326</v>
      </c>
      <c r="N56" s="342" t="s">
        <v>97</v>
      </c>
      <c r="O56" s="438"/>
      <c r="P56" s="351"/>
      <c r="Q56" s="225">
        <f>66958+14118</f>
        <v>81076</v>
      </c>
      <c r="R56" s="474" t="s">
        <v>327</v>
      </c>
      <c r="S56" s="505" t="s">
        <v>328</v>
      </c>
      <c r="T56" s="545">
        <v>46053</v>
      </c>
      <c r="U56" s="401">
        <f t="shared" si="7"/>
        <v>98500.818468872589</v>
      </c>
      <c r="V56" s="735"/>
      <c r="W56" s="458">
        <v>46081</v>
      </c>
      <c r="X56" s="72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20"/>
      <c r="J57" s="723"/>
      <c r="K57" s="205"/>
      <c r="L57" s="202">
        <v>6</v>
      </c>
      <c r="M57" s="328" t="s">
        <v>326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35"/>
      <c r="W57" s="458"/>
      <c r="X57" s="72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20"/>
      <c r="J58" s="723"/>
      <c r="K58" s="205"/>
      <c r="L58" s="202">
        <v>6</v>
      </c>
      <c r="M58" s="328" t="s">
        <v>326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35"/>
      <c r="W58" s="458"/>
      <c r="X58" s="72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20"/>
      <c r="J59" s="723"/>
      <c r="K59" s="205"/>
      <c r="L59" s="202">
        <v>6</v>
      </c>
      <c r="M59" s="328" t="s">
        <v>326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35"/>
      <c r="W59" s="458"/>
      <c r="X59" s="72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20"/>
      <c r="J60" s="723"/>
      <c r="K60" s="205"/>
      <c r="L60" s="202">
        <v>6</v>
      </c>
      <c r="M60" s="328" t="s">
        <v>326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35"/>
      <c r="W60" s="458"/>
      <c r="X60" s="720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5"/>
      <c r="I61" s="720"/>
      <c r="J61" s="723"/>
      <c r="K61" s="205"/>
      <c r="L61" s="202">
        <v>6</v>
      </c>
      <c r="M61" s="328" t="s">
        <v>326</v>
      </c>
      <c r="N61" s="309" t="s">
        <v>313</v>
      </c>
      <c r="O61" s="447">
        <f>Z30</f>
        <v>62952</v>
      </c>
      <c r="P61" s="448">
        <v>0.1</v>
      </c>
      <c r="Q61" s="204">
        <f>$O$61*P61</f>
        <v>6295.2000000000007</v>
      </c>
      <c r="R61" s="716" t="s">
        <v>314</v>
      </c>
      <c r="S61" s="505" t="str">
        <f>S93</f>
        <v>BDL Solar- IN000763</v>
      </c>
      <c r="T61" s="560">
        <f>T93</f>
        <v>46022</v>
      </c>
      <c r="U61" s="639">
        <v>7648.1616313736085</v>
      </c>
      <c r="V61" s="735"/>
      <c r="W61" s="632">
        <f>W93</f>
        <v>46003</v>
      </c>
      <c r="X61" s="72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20"/>
      <c r="J62" s="723"/>
      <c r="K62" s="205"/>
      <c r="L62" s="202">
        <v>6</v>
      </c>
      <c r="M62" s="329" t="s">
        <v>326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7"/>
      <c r="S62" s="505" t="str">
        <f>S94</f>
        <v>BDL Solar- IN000764</v>
      </c>
      <c r="T62" s="560">
        <f t="shared" si="0"/>
        <v>46022</v>
      </c>
      <c r="U62" s="639">
        <v>11472.242447060413</v>
      </c>
      <c r="V62" s="735"/>
      <c r="W62" s="632">
        <f t="shared" ref="W62:W68" si="9">W94</f>
        <v>46003</v>
      </c>
      <c r="X62" s="72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20"/>
      <c r="J63" s="723"/>
      <c r="K63" s="205"/>
      <c r="L63" s="202">
        <v>6</v>
      </c>
      <c r="M63" s="329" t="s">
        <v>326</v>
      </c>
      <c r="N63" s="309" t="s">
        <v>316</v>
      </c>
      <c r="O63" s="438"/>
      <c r="P63" s="448">
        <v>0.2</v>
      </c>
      <c r="Q63" s="204">
        <f t="shared" si="8"/>
        <v>12590.400000000001</v>
      </c>
      <c r="R63" s="717"/>
      <c r="S63" s="505"/>
      <c r="T63" s="419">
        <f t="shared" si="0"/>
        <v>46081</v>
      </c>
      <c r="U63" s="401">
        <f t="shared" si="7"/>
        <v>15296.323262747217</v>
      </c>
      <c r="V63" s="735"/>
      <c r="W63" s="458">
        <f t="shared" si="9"/>
        <v>46066</v>
      </c>
      <c r="X63" s="72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20"/>
      <c r="J64" s="723"/>
      <c r="K64" s="205"/>
      <c r="L64" s="202">
        <v>6</v>
      </c>
      <c r="M64" s="329" t="s">
        <v>326</v>
      </c>
      <c r="N64" s="309" t="s">
        <v>318</v>
      </c>
      <c r="O64" s="438"/>
      <c r="P64" s="448">
        <v>0.25</v>
      </c>
      <c r="Q64" s="204">
        <f t="shared" si="8"/>
        <v>15738</v>
      </c>
      <c r="R64" s="717"/>
      <c r="S64" s="505"/>
      <c r="T64" s="419">
        <f t="shared" si="0"/>
        <v>46081</v>
      </c>
      <c r="U64" s="401">
        <f t="shared" si="7"/>
        <v>19120.404078434021</v>
      </c>
      <c r="V64" s="735"/>
      <c r="W64" s="458">
        <f t="shared" si="9"/>
        <v>46062</v>
      </c>
      <c r="X64" s="72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0"/>
      <c r="J65" s="723"/>
      <c r="K65" s="205"/>
      <c r="L65" s="202">
        <v>6</v>
      </c>
      <c r="M65" s="329" t="s">
        <v>326</v>
      </c>
      <c r="N65" s="309" t="s">
        <v>319</v>
      </c>
      <c r="O65" s="438"/>
      <c r="P65" s="448">
        <v>0.1</v>
      </c>
      <c r="Q65" s="204">
        <f t="shared" si="8"/>
        <v>6295.2000000000007</v>
      </c>
      <c r="R65" s="717"/>
      <c r="S65" s="505"/>
      <c r="T65" s="419">
        <f t="shared" si="0"/>
        <v>46081</v>
      </c>
      <c r="U65" s="401">
        <f t="shared" si="7"/>
        <v>7648.1616313736085</v>
      </c>
      <c r="V65" s="735"/>
      <c r="W65" s="458">
        <f t="shared" si="9"/>
        <v>46069</v>
      </c>
      <c r="X65" s="72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20"/>
      <c r="J66" s="723"/>
      <c r="K66" s="205"/>
      <c r="L66" s="202">
        <v>6</v>
      </c>
      <c r="M66" s="329" t="s">
        <v>326</v>
      </c>
      <c r="N66" s="309" t="s">
        <v>320</v>
      </c>
      <c r="O66" s="438"/>
      <c r="P66" s="448">
        <v>0.1</v>
      </c>
      <c r="Q66" s="204">
        <f t="shared" si="8"/>
        <v>6295.2000000000007</v>
      </c>
      <c r="R66" s="717"/>
      <c r="S66" s="509"/>
      <c r="T66" s="419">
        <f t="shared" si="0"/>
        <v>46081</v>
      </c>
      <c r="U66" s="406">
        <f t="shared" si="7"/>
        <v>7648.1616313736085</v>
      </c>
      <c r="V66" s="735"/>
      <c r="W66" s="458">
        <f t="shared" si="9"/>
        <v>46076</v>
      </c>
      <c r="X66" s="72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20"/>
      <c r="J67" s="723"/>
      <c r="K67" s="205"/>
      <c r="L67" s="202">
        <v>6</v>
      </c>
      <c r="M67" s="329" t="s">
        <v>326</v>
      </c>
      <c r="N67" s="309" t="s">
        <v>321</v>
      </c>
      <c r="O67" s="438"/>
      <c r="P67" s="448">
        <v>0.05</v>
      </c>
      <c r="Q67" s="204">
        <f t="shared" si="8"/>
        <v>3147.6000000000004</v>
      </c>
      <c r="R67" s="717"/>
      <c r="S67" s="509"/>
      <c r="T67" s="419">
        <f t="shared" si="0"/>
        <v>46112</v>
      </c>
      <c r="U67" s="406">
        <f t="shared" si="7"/>
        <v>3824.0808156868043</v>
      </c>
      <c r="V67" s="735"/>
      <c r="W67" s="458">
        <f t="shared" si="9"/>
        <v>46083</v>
      </c>
      <c r="X67" s="72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0"/>
      <c r="J68" s="723"/>
      <c r="K68" s="205"/>
      <c r="L68" s="202">
        <v>6</v>
      </c>
      <c r="M68" s="329" t="s">
        <v>326</v>
      </c>
      <c r="N68" s="309" t="s">
        <v>322</v>
      </c>
      <c r="O68" s="438"/>
      <c r="P68" s="448">
        <v>0.05</v>
      </c>
      <c r="Q68" s="204">
        <f t="shared" si="8"/>
        <v>3147.6000000000004</v>
      </c>
      <c r="R68" s="718"/>
      <c r="S68" s="509"/>
      <c r="T68" s="419">
        <f t="shared" si="0"/>
        <v>46142</v>
      </c>
      <c r="U68" s="406">
        <f t="shared" si="7"/>
        <v>3824.0808156868043</v>
      </c>
      <c r="V68" s="735"/>
      <c r="W68" s="458">
        <f t="shared" si="9"/>
        <v>46113</v>
      </c>
      <c r="X68" s="72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0"/>
      <c r="J69" s="723"/>
      <c r="K69" s="205"/>
      <c r="L69" s="202">
        <v>6</v>
      </c>
      <c r="M69" s="329" t="s">
        <v>326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35"/>
      <c r="W69" s="461"/>
      <c r="X69" s="72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0"/>
      <c r="J70" s="723"/>
      <c r="K70" s="205"/>
      <c r="L70" s="202">
        <v>6</v>
      </c>
      <c r="M70" s="329" t="s">
        <v>326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35"/>
      <c r="W70" s="461"/>
      <c r="X70" s="720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5"/>
      <c r="I71" s="721"/>
      <c r="J71" s="724"/>
      <c r="K71" s="210"/>
      <c r="L71" s="206">
        <v>6</v>
      </c>
      <c r="M71" s="331" t="s">
        <v>326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36"/>
      <c r="W71" s="459"/>
      <c r="X71" s="721"/>
    </row>
    <row r="72" spans="1:24" ht="14.45" thickBot="1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>
      <c r="B73" s="281">
        <v>7</v>
      </c>
      <c r="C73" s="213" t="s">
        <v>329</v>
      </c>
      <c r="D73" s="282"/>
      <c r="E73" s="360"/>
      <c r="F73" s="366"/>
      <c r="G73" s="283"/>
      <c r="H73" s="558"/>
      <c r="I73" s="690">
        <f>SUM(G73:G80)</f>
        <v>0</v>
      </c>
      <c r="J73" s="693">
        <f>F172</f>
        <v>0</v>
      </c>
      <c r="K73" s="189"/>
      <c r="L73" s="281">
        <v>7</v>
      </c>
      <c r="M73" s="213" t="s">
        <v>330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31">
        <f>J73-SUM(U73:U80)</f>
        <v>0</v>
      </c>
      <c r="W73" s="463"/>
      <c r="X73" s="690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1"/>
      <c r="J74" s="694"/>
      <c r="K74" s="192"/>
      <c r="L74" s="284">
        <v>7</v>
      </c>
      <c r="M74" s="285" t="s">
        <v>330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32"/>
      <c r="W74" s="454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330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32"/>
      <c r="W75" s="454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330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32"/>
      <c r="W76" s="454"/>
      <c r="X76" s="69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330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32"/>
      <c r="W77" s="454"/>
      <c r="X77" s="69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1"/>
      <c r="J78" s="694"/>
      <c r="K78" s="192"/>
      <c r="L78" s="284">
        <v>7</v>
      </c>
      <c r="M78" s="285" t="s">
        <v>330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32"/>
      <c r="W78" s="454"/>
      <c r="X78" s="69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1"/>
      <c r="J79" s="694"/>
      <c r="K79" s="192"/>
      <c r="L79" s="284">
        <v>7</v>
      </c>
      <c r="M79" s="285" t="s">
        <v>330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32"/>
      <c r="W79" s="454"/>
      <c r="X79" s="691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59"/>
      <c r="I80" s="692"/>
      <c r="J80" s="695"/>
      <c r="K80" s="193"/>
      <c r="L80" s="220">
        <v>7</v>
      </c>
      <c r="M80" s="241" t="s">
        <v>330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33"/>
      <c r="W80" s="455"/>
      <c r="X80" s="692"/>
    </row>
    <row r="81" spans="1:24" ht="14.45" thickBot="1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>
      <c r="B82" s="236">
        <v>8</v>
      </c>
      <c r="C82" s="198" t="s">
        <v>331</v>
      </c>
      <c r="D82" s="237" t="s">
        <v>332</v>
      </c>
      <c r="E82" s="361"/>
      <c r="F82" s="315"/>
      <c r="G82" s="238">
        <f>D171</f>
        <v>34428</v>
      </c>
      <c r="H82" s="554">
        <f>H92</f>
        <v>46069</v>
      </c>
      <c r="I82" s="719">
        <f>SUM(G82:G90)</f>
        <v>34428</v>
      </c>
      <c r="J82" s="722">
        <f>F171</f>
        <v>43035</v>
      </c>
      <c r="K82" s="201"/>
      <c r="L82" s="236">
        <v>8</v>
      </c>
      <c r="M82" s="324" t="s">
        <v>333</v>
      </c>
      <c r="N82" s="237" t="s">
        <v>332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28">
        <f>J82-SUM(U82:U90)</f>
        <v>0</v>
      </c>
      <c r="W82" s="457">
        <v>46081</v>
      </c>
      <c r="X82" s="719">
        <f>SUM(Q82:Q90)</f>
        <v>36548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20"/>
      <c r="J83" s="723"/>
      <c r="K83" s="205"/>
      <c r="L83" s="226">
        <v>8</v>
      </c>
      <c r="M83" s="332" t="s">
        <v>333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29"/>
      <c r="W83" s="458"/>
      <c r="X83" s="72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20"/>
      <c r="J84" s="723"/>
      <c r="K84" s="205"/>
      <c r="L84" s="226">
        <v>8</v>
      </c>
      <c r="M84" s="332" t="s">
        <v>333</v>
      </c>
      <c r="N84" s="239" t="s">
        <v>334</v>
      </c>
      <c r="O84" s="314"/>
      <c r="P84" s="359"/>
      <c r="Q84" s="228">
        <v>2120</v>
      </c>
      <c r="R84" s="474" t="s">
        <v>335</v>
      </c>
      <c r="S84" s="505" t="s">
        <v>336</v>
      </c>
      <c r="T84" s="545">
        <v>46081</v>
      </c>
      <c r="U84" s="401">
        <f t="shared" si="11"/>
        <v>2496.2843384042903</v>
      </c>
      <c r="V84" s="729"/>
      <c r="W84" s="458">
        <f>T84+30</f>
        <v>46111</v>
      </c>
      <c r="X84" s="72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20"/>
      <c r="J85" s="723"/>
      <c r="K85" s="205"/>
      <c r="L85" s="226">
        <v>8</v>
      </c>
      <c r="M85" s="332" t="s">
        <v>333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29"/>
      <c r="W85" s="458"/>
      <c r="X85" s="72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333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29"/>
      <c r="W86" s="458"/>
      <c r="X86" s="72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333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29"/>
      <c r="W87" s="458"/>
      <c r="X87" s="720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0"/>
      <c r="J88" s="723"/>
      <c r="K88" s="205"/>
      <c r="L88" s="226">
        <v>8</v>
      </c>
      <c r="M88" s="332" t="s">
        <v>333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29"/>
      <c r="W88" s="458"/>
      <c r="X88" s="72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20"/>
      <c r="J89" s="723"/>
      <c r="K89" s="205"/>
      <c r="L89" s="226">
        <v>8</v>
      </c>
      <c r="M89" s="332" t="s">
        <v>333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29"/>
      <c r="W89" s="461"/>
      <c r="X89" s="720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21"/>
      <c r="J90" s="724"/>
      <c r="K90" s="210"/>
      <c r="L90" s="206">
        <v>8</v>
      </c>
      <c r="M90" s="331" t="s">
        <v>333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0"/>
      <c r="W90" s="459"/>
      <c r="X90" s="721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337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4"/>
    </row>
    <row r="92" spans="1:24" ht="15" customHeight="1">
      <c r="B92" s="215">
        <v>9</v>
      </c>
      <c r="C92" s="341" t="s">
        <v>338</v>
      </c>
      <c r="D92" s="231" t="s">
        <v>339</v>
      </c>
      <c r="E92" s="218"/>
      <c r="F92" s="336"/>
      <c r="G92" s="495">
        <f>D176</f>
        <v>39345</v>
      </c>
      <c r="H92" s="542">
        <f>'Project Plan'!G21+7</f>
        <v>46069</v>
      </c>
      <c r="I92" s="725">
        <f>SUM(G92:G103)</f>
        <v>125130</v>
      </c>
      <c r="J92" s="693">
        <f>F176+F177</f>
        <v>139033.33333333334</v>
      </c>
      <c r="K92" s="192"/>
      <c r="L92" s="215">
        <v>9</v>
      </c>
      <c r="M92" s="322" t="s">
        <v>340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2">
        <f>J92-SUM(U92:U103)</f>
        <v>0</v>
      </c>
      <c r="W92" s="460"/>
      <c r="X92" s="690">
        <f>SUM(Q92:Q103)</f>
        <v>135346.79999999999</v>
      </c>
    </row>
    <row r="93" spans="1:24" ht="15" customHeight="1">
      <c r="B93" s="215">
        <v>9</v>
      </c>
      <c r="C93" s="341"/>
      <c r="D93" s="232" t="s">
        <v>341</v>
      </c>
      <c r="E93" s="218"/>
      <c r="F93" s="357"/>
      <c r="G93" s="495">
        <f>D177</f>
        <v>85785</v>
      </c>
      <c r="H93" s="541">
        <f>'Project Plan'!G28+7</f>
        <v>46059</v>
      </c>
      <c r="I93" s="726"/>
      <c r="J93" s="694"/>
      <c r="K93" s="192"/>
      <c r="L93" s="215">
        <v>9</v>
      </c>
      <c r="M93" s="322" t="s">
        <v>340</v>
      </c>
      <c r="N93" s="232" t="s">
        <v>313</v>
      </c>
      <c r="O93" s="450">
        <f>Z33+Z32</f>
        <v>135346.79999999999</v>
      </c>
      <c r="P93" s="451">
        <v>0.1</v>
      </c>
      <c r="Q93" s="219">
        <f>$O$93*P93</f>
        <v>13534.68</v>
      </c>
      <c r="R93" s="711" t="s">
        <v>314</v>
      </c>
      <c r="S93" s="500" t="s">
        <v>342</v>
      </c>
      <c r="T93" s="551">
        <v>46022</v>
      </c>
      <c r="U93" s="638">
        <v>13903.333333333336</v>
      </c>
      <c r="V93" s="703"/>
      <c r="W93" s="630">
        <v>46003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6"/>
      <c r="J94" s="694"/>
      <c r="K94" s="192"/>
      <c r="L94" s="284">
        <v>9</v>
      </c>
      <c r="M94" s="394" t="s">
        <v>340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12"/>
      <c r="S94" s="501" t="s">
        <v>343</v>
      </c>
      <c r="T94" s="551">
        <v>46022</v>
      </c>
      <c r="U94" s="638">
        <v>20855</v>
      </c>
      <c r="V94" s="703"/>
      <c r="W94" s="631">
        <v>46003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6"/>
      <c r="J95" s="694"/>
      <c r="K95" s="192"/>
      <c r="L95" s="284">
        <v>9</v>
      </c>
      <c r="M95" s="394" t="s">
        <v>340</v>
      </c>
      <c r="N95" s="286" t="s">
        <v>316</v>
      </c>
      <c r="O95" s="434"/>
      <c r="P95" s="449">
        <v>0.2</v>
      </c>
      <c r="Q95" s="219">
        <f t="shared" si="13"/>
        <v>27069.360000000001</v>
      </c>
      <c r="R95" s="712"/>
      <c r="S95" s="501"/>
      <c r="T95" s="412">
        <f t="shared" si="10"/>
        <v>46081</v>
      </c>
      <c r="U95" s="397">
        <f t="shared" si="12"/>
        <v>27806.666666666672</v>
      </c>
      <c r="V95" s="703"/>
      <c r="W95" s="454">
        <f>'Project Plan'!K21+14</f>
        <v>46066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6"/>
      <c r="J96" s="694"/>
      <c r="K96" s="192"/>
      <c r="L96" s="284">
        <v>9</v>
      </c>
      <c r="M96" s="394" t="s">
        <v>340</v>
      </c>
      <c r="N96" s="286" t="s">
        <v>318</v>
      </c>
      <c r="O96" s="434"/>
      <c r="P96" s="449">
        <v>0.25</v>
      </c>
      <c r="Q96" s="219">
        <f t="shared" si="13"/>
        <v>33836.699999999997</v>
      </c>
      <c r="R96" s="712"/>
      <c r="S96" s="501"/>
      <c r="T96" s="412">
        <f t="shared" si="10"/>
        <v>46081</v>
      </c>
      <c r="U96" s="397">
        <f t="shared" si="12"/>
        <v>34758.333333333336</v>
      </c>
      <c r="V96" s="703"/>
      <c r="W96" s="454">
        <f>'Project Plan'!K28+14</f>
        <v>46062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6"/>
      <c r="J97" s="694"/>
      <c r="K97" s="192"/>
      <c r="L97" s="284">
        <v>9</v>
      </c>
      <c r="M97" s="394" t="s">
        <v>340</v>
      </c>
      <c r="N97" s="286" t="s">
        <v>319</v>
      </c>
      <c r="O97" s="434"/>
      <c r="P97" s="449">
        <v>0.1</v>
      </c>
      <c r="Q97" s="219">
        <f t="shared" si="13"/>
        <v>13534.68</v>
      </c>
      <c r="R97" s="712"/>
      <c r="S97" s="501"/>
      <c r="T97" s="412">
        <f t="shared" si="10"/>
        <v>46081</v>
      </c>
      <c r="U97" s="397">
        <f t="shared" si="12"/>
        <v>13903.333333333336</v>
      </c>
      <c r="V97" s="703"/>
      <c r="W97" s="454">
        <f>W96+7</f>
        <v>46069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6"/>
      <c r="J98" s="694"/>
      <c r="K98" s="192"/>
      <c r="L98" s="284">
        <v>9</v>
      </c>
      <c r="M98" s="394" t="s">
        <v>340</v>
      </c>
      <c r="N98" s="286" t="s">
        <v>320</v>
      </c>
      <c r="O98" s="434"/>
      <c r="P98" s="449">
        <v>0.1</v>
      </c>
      <c r="Q98" s="219">
        <f t="shared" si="13"/>
        <v>13534.68</v>
      </c>
      <c r="R98" s="712"/>
      <c r="S98" s="501"/>
      <c r="T98" s="412">
        <f t="shared" si="10"/>
        <v>46081</v>
      </c>
      <c r="U98" s="397">
        <f t="shared" si="12"/>
        <v>13903.333333333336</v>
      </c>
      <c r="V98" s="703"/>
      <c r="W98" s="454">
        <f>W97+7</f>
        <v>46076</v>
      </c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6"/>
      <c r="J99" s="694"/>
      <c r="K99" s="192"/>
      <c r="L99" s="284">
        <v>9</v>
      </c>
      <c r="M99" s="394" t="s">
        <v>340</v>
      </c>
      <c r="N99" s="286" t="s">
        <v>321</v>
      </c>
      <c r="O99" s="434"/>
      <c r="P99" s="449">
        <v>0.05</v>
      </c>
      <c r="Q99" s="219">
        <f t="shared" si="13"/>
        <v>6767.34</v>
      </c>
      <c r="R99" s="712"/>
      <c r="S99" s="501"/>
      <c r="T99" s="412">
        <f t="shared" si="10"/>
        <v>46112</v>
      </c>
      <c r="U99" s="397">
        <f t="shared" si="12"/>
        <v>6951.6666666666679</v>
      </c>
      <c r="V99" s="703"/>
      <c r="W99" s="454">
        <f>W98+7</f>
        <v>46083</v>
      </c>
      <c r="X99" s="69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6"/>
      <c r="J100" s="694"/>
      <c r="K100" s="192"/>
      <c r="L100" s="284">
        <v>9</v>
      </c>
      <c r="M100" s="394" t="s">
        <v>340</v>
      </c>
      <c r="N100" s="286" t="s">
        <v>322</v>
      </c>
      <c r="O100" s="434"/>
      <c r="P100" s="449">
        <v>0.05</v>
      </c>
      <c r="Q100" s="219">
        <f t="shared" si="13"/>
        <v>6767.34</v>
      </c>
      <c r="R100" s="713"/>
      <c r="S100" s="501"/>
      <c r="T100" s="412">
        <f t="shared" si="10"/>
        <v>46142</v>
      </c>
      <c r="U100" s="397">
        <f t="shared" si="12"/>
        <v>6951.6666666666679</v>
      </c>
      <c r="V100" s="703"/>
      <c r="W100" s="454">
        <f>W99+30</f>
        <v>46113</v>
      </c>
      <c r="X100" s="69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6"/>
      <c r="J101" s="694"/>
      <c r="K101" s="192"/>
      <c r="L101" s="284">
        <v>9</v>
      </c>
      <c r="M101" s="394" t="s">
        <v>340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03"/>
      <c r="W101" s="454"/>
      <c r="X101" s="69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6"/>
      <c r="J102" s="694"/>
      <c r="K102" s="192"/>
      <c r="L102" s="284">
        <v>9</v>
      </c>
      <c r="M102" s="394" t="s">
        <v>340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03"/>
      <c r="W102" s="454"/>
      <c r="X102" s="691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7"/>
      <c r="J103" s="695"/>
      <c r="K103" s="267"/>
      <c r="L103" s="220">
        <v>9</v>
      </c>
      <c r="M103" s="340" t="s">
        <v>340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04"/>
      <c r="W103" s="455"/>
      <c r="X103" s="692"/>
    </row>
    <row r="104" spans="1:24" ht="14.45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>
      <c r="B105" s="173">
        <v>10</v>
      </c>
      <c r="C105" s="174" t="s">
        <v>344</v>
      </c>
      <c r="D105" s="174" t="s">
        <v>288</v>
      </c>
      <c r="E105" s="175"/>
      <c r="F105" s="368"/>
      <c r="G105" s="242">
        <f>D180</f>
        <v>8500</v>
      </c>
      <c r="H105" s="561">
        <f>H92</f>
        <v>46069</v>
      </c>
      <c r="I105" s="696">
        <f>SUM(G105:G119)</f>
        <v>39318.666666666664</v>
      </c>
      <c r="J105" s="699">
        <f>F180+F183+F184+F182+F181</f>
        <v>43687.407407407409</v>
      </c>
      <c r="K105" s="243"/>
      <c r="L105" s="173">
        <v>10</v>
      </c>
      <c r="M105" s="333" t="s">
        <v>345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05">
        <f>J105-SUM(U105:U119)</f>
        <v>0</v>
      </c>
      <c r="W105" s="464"/>
      <c r="X105" s="696">
        <f>SUM(Q105:Q119)</f>
        <v>22311.8</v>
      </c>
    </row>
    <row r="106" spans="1:24" ht="14.25" customHeight="1">
      <c r="B106" s="244">
        <v>10</v>
      </c>
      <c r="C106" s="245"/>
      <c r="D106" s="245" t="s">
        <v>289</v>
      </c>
      <c r="E106" s="246"/>
      <c r="F106" s="369"/>
      <c r="G106" s="247">
        <f>D184</f>
        <v>12818.666666666666</v>
      </c>
      <c r="H106" s="562">
        <f>H92</f>
        <v>46069</v>
      </c>
      <c r="I106" s="697"/>
      <c r="J106" s="700"/>
      <c r="K106" s="176"/>
      <c r="L106" s="244">
        <v>10</v>
      </c>
      <c r="M106" s="334" t="s">
        <v>345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06"/>
      <c r="W106" s="465"/>
      <c r="X106" s="697"/>
    </row>
    <row r="107" spans="1:24" ht="14.25" customHeight="1">
      <c r="B107" s="244">
        <v>10</v>
      </c>
      <c r="C107" s="245"/>
      <c r="D107" s="245" t="s">
        <v>346</v>
      </c>
      <c r="E107" s="246"/>
      <c r="F107" s="369"/>
      <c r="G107" s="247">
        <f>D183</f>
        <v>18000</v>
      </c>
      <c r="H107" s="562">
        <f>H92</f>
        <v>46069</v>
      </c>
      <c r="I107" s="697"/>
      <c r="J107" s="700"/>
      <c r="K107" s="176"/>
      <c r="L107" s="244">
        <v>10</v>
      </c>
      <c r="M107" s="334" t="s">
        <v>345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06"/>
      <c r="W107" s="465"/>
      <c r="X107" s="697"/>
    </row>
    <row r="108" spans="1:24" ht="14.25" customHeight="1">
      <c r="B108" s="244">
        <v>10</v>
      </c>
      <c r="C108" s="245"/>
      <c r="D108" s="245" t="s">
        <v>290</v>
      </c>
      <c r="E108" s="246"/>
      <c r="F108" s="369"/>
      <c r="G108" s="247">
        <f>D182</f>
        <v>0</v>
      </c>
      <c r="H108" s="562">
        <f>H92</f>
        <v>46069</v>
      </c>
      <c r="I108" s="697"/>
      <c r="J108" s="700"/>
      <c r="K108" s="176"/>
      <c r="L108" s="244">
        <v>10</v>
      </c>
      <c r="M108" s="334" t="s">
        <v>345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06"/>
      <c r="W108" s="465"/>
      <c r="X108" s="69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7"/>
      <c r="J109" s="700"/>
      <c r="K109" s="176"/>
      <c r="L109" s="244">
        <v>10</v>
      </c>
      <c r="M109" s="334" t="s">
        <v>345</v>
      </c>
      <c r="N109" s="245" t="s">
        <v>313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08" t="s">
        <v>314</v>
      </c>
      <c r="S109" s="514" t="str">
        <f>S93</f>
        <v>BDL Solar- IN000763</v>
      </c>
      <c r="T109" s="563">
        <f>T93</f>
        <v>46022</v>
      </c>
      <c r="U109" s="641">
        <v>4368.7407407407409</v>
      </c>
      <c r="V109" s="706"/>
      <c r="W109" s="629">
        <f>W93</f>
        <v>46003</v>
      </c>
      <c r="X109" s="69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7"/>
      <c r="J110" s="700"/>
      <c r="K110" s="176"/>
      <c r="L110" s="244">
        <v>10</v>
      </c>
      <c r="M110" s="334" t="s">
        <v>345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09"/>
      <c r="S110" s="519" t="str">
        <f>S94</f>
        <v>BDL Solar- IN000764</v>
      </c>
      <c r="T110" s="563">
        <f t="shared" ref="T110:T116" si="16">T94</f>
        <v>46022</v>
      </c>
      <c r="U110" s="641">
        <v>6553.1111111111113</v>
      </c>
      <c r="V110" s="706"/>
      <c r="W110" s="629">
        <f t="shared" ref="W110:W116" si="17">W94</f>
        <v>46003</v>
      </c>
      <c r="X110" s="69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7"/>
      <c r="J111" s="700"/>
      <c r="K111" s="176"/>
      <c r="L111" s="244">
        <v>10</v>
      </c>
      <c r="M111" s="334" t="s">
        <v>345</v>
      </c>
      <c r="N111" s="245" t="s">
        <v>316</v>
      </c>
      <c r="O111" s="445"/>
      <c r="P111" s="452">
        <v>0.2</v>
      </c>
      <c r="Q111" s="247">
        <f t="shared" si="15"/>
        <v>4462.3599999999997</v>
      </c>
      <c r="R111" s="709"/>
      <c r="S111" s="514"/>
      <c r="T111" s="425">
        <f t="shared" si="16"/>
        <v>46081</v>
      </c>
      <c r="U111" s="409">
        <f t="shared" si="14"/>
        <v>8737.4814814814818</v>
      </c>
      <c r="V111" s="706"/>
      <c r="W111" s="466">
        <f t="shared" si="17"/>
        <v>46066</v>
      </c>
      <c r="X111" s="69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7"/>
      <c r="J112" s="700"/>
      <c r="K112" s="176"/>
      <c r="L112" s="244">
        <v>10</v>
      </c>
      <c r="M112" s="334" t="s">
        <v>345</v>
      </c>
      <c r="N112" s="245" t="s">
        <v>318</v>
      </c>
      <c r="O112" s="445"/>
      <c r="P112" s="452">
        <v>0.25</v>
      </c>
      <c r="Q112" s="247">
        <f t="shared" si="15"/>
        <v>5577.95</v>
      </c>
      <c r="R112" s="709"/>
      <c r="S112" s="514"/>
      <c r="T112" s="425">
        <f t="shared" si="16"/>
        <v>46081</v>
      </c>
      <c r="U112" s="409">
        <f t="shared" si="14"/>
        <v>10921.851851851852</v>
      </c>
      <c r="V112" s="706"/>
      <c r="W112" s="466">
        <f t="shared" si="17"/>
        <v>46062</v>
      </c>
      <c r="X112" s="69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7"/>
      <c r="J113" s="700"/>
      <c r="K113" s="176"/>
      <c r="L113" s="244">
        <v>10</v>
      </c>
      <c r="M113" s="334" t="s">
        <v>345</v>
      </c>
      <c r="N113" s="245" t="s">
        <v>319</v>
      </c>
      <c r="O113" s="445"/>
      <c r="P113" s="452">
        <v>0.1</v>
      </c>
      <c r="Q113" s="247">
        <f t="shared" si="15"/>
        <v>2231.1799999999998</v>
      </c>
      <c r="R113" s="709"/>
      <c r="S113" s="514"/>
      <c r="T113" s="425">
        <f t="shared" si="16"/>
        <v>46081</v>
      </c>
      <c r="U113" s="409">
        <f t="shared" si="14"/>
        <v>4368.7407407407409</v>
      </c>
      <c r="V113" s="706"/>
      <c r="W113" s="466">
        <f t="shared" si="17"/>
        <v>46069</v>
      </c>
      <c r="X113" s="69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7"/>
      <c r="J114" s="700"/>
      <c r="K114" s="176"/>
      <c r="L114" s="244">
        <v>10</v>
      </c>
      <c r="M114" s="334" t="s">
        <v>345</v>
      </c>
      <c r="N114" s="245" t="s">
        <v>320</v>
      </c>
      <c r="O114" s="445"/>
      <c r="P114" s="452">
        <v>0.1</v>
      </c>
      <c r="Q114" s="247">
        <f t="shared" si="15"/>
        <v>2231.1799999999998</v>
      </c>
      <c r="R114" s="709"/>
      <c r="S114" s="514"/>
      <c r="T114" s="425">
        <f t="shared" si="16"/>
        <v>46081</v>
      </c>
      <c r="U114" s="409">
        <f t="shared" si="14"/>
        <v>4368.7407407407409</v>
      </c>
      <c r="V114" s="706"/>
      <c r="W114" s="466">
        <f t="shared" si="17"/>
        <v>46076</v>
      </c>
      <c r="X114" s="69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7"/>
      <c r="J115" s="700"/>
      <c r="K115" s="176"/>
      <c r="L115" s="244">
        <v>10</v>
      </c>
      <c r="M115" s="334" t="s">
        <v>345</v>
      </c>
      <c r="N115" s="245" t="s">
        <v>321</v>
      </c>
      <c r="O115" s="445"/>
      <c r="P115" s="452">
        <v>0.05</v>
      </c>
      <c r="Q115" s="247">
        <f t="shared" si="15"/>
        <v>1115.5899999999999</v>
      </c>
      <c r="R115" s="709"/>
      <c r="S115" s="514"/>
      <c r="T115" s="425">
        <f t="shared" si="16"/>
        <v>46112</v>
      </c>
      <c r="U115" s="409">
        <f t="shared" si="14"/>
        <v>2184.3703703703704</v>
      </c>
      <c r="V115" s="706"/>
      <c r="W115" s="466">
        <f t="shared" si="17"/>
        <v>46083</v>
      </c>
      <c r="X115" s="69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7"/>
      <c r="J116" s="700"/>
      <c r="K116" s="176"/>
      <c r="L116" s="244">
        <v>10</v>
      </c>
      <c r="M116" s="334" t="s">
        <v>345</v>
      </c>
      <c r="N116" s="245" t="s">
        <v>322</v>
      </c>
      <c r="O116" s="445"/>
      <c r="P116" s="452">
        <v>0.05</v>
      </c>
      <c r="Q116" s="247">
        <f t="shared" si="15"/>
        <v>1115.5899999999999</v>
      </c>
      <c r="R116" s="710"/>
      <c r="S116" s="514"/>
      <c r="T116" s="425">
        <f t="shared" si="16"/>
        <v>46142</v>
      </c>
      <c r="U116" s="409">
        <f t="shared" si="14"/>
        <v>2184.3703703703704</v>
      </c>
      <c r="V116" s="706"/>
      <c r="W116" s="466">
        <f t="shared" si="17"/>
        <v>46113</v>
      </c>
      <c r="X116" s="69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7"/>
      <c r="J117" s="700"/>
      <c r="K117" s="176"/>
      <c r="L117" s="244">
        <v>10</v>
      </c>
      <c r="M117" s="334" t="s">
        <v>345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06"/>
      <c r="W117" s="466"/>
      <c r="X117" s="69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7"/>
      <c r="J118" s="700"/>
      <c r="K118" s="176"/>
      <c r="L118" s="244">
        <v>10</v>
      </c>
      <c r="M118" s="334" t="s">
        <v>345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06"/>
      <c r="W118" s="466"/>
      <c r="X118" s="697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698"/>
      <c r="J119" s="701"/>
      <c r="K119" s="179"/>
      <c r="L119" s="177">
        <v>10</v>
      </c>
      <c r="M119" s="335" t="s">
        <v>345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07"/>
      <c r="W119" s="467"/>
      <c r="X119" s="698"/>
    </row>
    <row r="120" spans="1:24" ht="14.45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>
      <c r="B121" s="185">
        <v>11</v>
      </c>
      <c r="C121" s="186" t="s">
        <v>347</v>
      </c>
      <c r="D121" s="255" t="s">
        <v>348</v>
      </c>
      <c r="E121" s="187"/>
      <c r="F121" s="336"/>
      <c r="G121" s="188">
        <v>11000</v>
      </c>
      <c r="H121" s="542">
        <f>'Project Plan'!G39</f>
        <v>46071</v>
      </c>
      <c r="I121" s="690">
        <f>SUM(G121:G125)</f>
        <v>29000</v>
      </c>
      <c r="J121" s="693">
        <f>F179</f>
        <v>32222.222222222223</v>
      </c>
      <c r="K121" s="189"/>
      <c r="L121" s="185">
        <v>11</v>
      </c>
      <c r="M121" s="255" t="s">
        <v>349</v>
      </c>
      <c r="N121" s="255" t="s">
        <v>348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2">
        <f>J121-SUM(U121:U125)</f>
        <v>0</v>
      </c>
      <c r="W121" s="460">
        <f>'Project Plan'!K39+14</f>
        <v>46073</v>
      </c>
      <c r="X121" s="690">
        <f>SUM(Q121:Q125)</f>
        <v>18577.5</v>
      </c>
    </row>
    <row r="122" spans="1:24" ht="15" customHeight="1">
      <c r="B122" s="215">
        <v>11</v>
      </c>
      <c r="C122" s="217"/>
      <c r="D122" s="217" t="s">
        <v>350</v>
      </c>
      <c r="E122" s="218"/>
      <c r="F122" s="357"/>
      <c r="G122" s="219">
        <v>18000</v>
      </c>
      <c r="H122" s="542">
        <f>H121</f>
        <v>46071</v>
      </c>
      <c r="I122" s="691"/>
      <c r="J122" s="694"/>
      <c r="K122" s="192"/>
      <c r="L122" s="215">
        <v>11</v>
      </c>
      <c r="M122" s="290" t="s">
        <v>349</v>
      </c>
      <c r="N122" s="217" t="s">
        <v>351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03"/>
      <c r="W122" s="453"/>
      <c r="X122" s="691"/>
    </row>
    <row r="123" spans="1:24" ht="15" customHeight="1">
      <c r="B123" s="215">
        <v>11</v>
      </c>
      <c r="C123" s="217"/>
      <c r="D123" s="217" t="s">
        <v>352</v>
      </c>
      <c r="E123" s="218"/>
      <c r="F123" s="357"/>
      <c r="G123" s="219">
        <v>0</v>
      </c>
      <c r="H123" s="542"/>
      <c r="I123" s="691"/>
      <c r="J123" s="694"/>
      <c r="K123" s="192"/>
      <c r="L123" s="215">
        <v>11</v>
      </c>
      <c r="M123" s="290" t="s">
        <v>349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03"/>
      <c r="W123" s="453"/>
      <c r="X123" s="691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1"/>
      <c r="J124" s="694"/>
      <c r="K124" s="192"/>
      <c r="L124" s="215">
        <v>11</v>
      </c>
      <c r="M124" s="290" t="s">
        <v>349</v>
      </c>
      <c r="N124" s="288" t="s">
        <v>353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03"/>
      <c r="W124" s="454">
        <v>46081</v>
      </c>
      <c r="X124" s="691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2"/>
      <c r="J125" s="695"/>
      <c r="K125" s="193"/>
      <c r="L125" s="220">
        <v>11</v>
      </c>
      <c r="M125" s="318" t="s">
        <v>349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04"/>
      <c r="W125" s="455"/>
      <c r="X125" s="692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>
      <c r="B127" s="173">
        <v>12</v>
      </c>
      <c r="C127" s="174" t="s">
        <v>354</v>
      </c>
      <c r="D127" s="174" t="s">
        <v>355</v>
      </c>
      <c r="E127" s="175"/>
      <c r="F127" s="368"/>
      <c r="G127" s="242">
        <v>0</v>
      </c>
      <c r="H127" s="561"/>
      <c r="I127" s="696">
        <f>SUM(G127:G128)</f>
        <v>0</v>
      </c>
      <c r="J127" s="699">
        <v>0</v>
      </c>
      <c r="K127" s="714"/>
      <c r="L127" s="173">
        <v>12</v>
      </c>
      <c r="M127" s="174" t="s">
        <v>356</v>
      </c>
      <c r="N127" s="174" t="s">
        <v>355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696">
        <f>SUM(Q127:Q128)</f>
        <v>0</v>
      </c>
    </row>
    <row r="128" spans="1:24" ht="15" customHeight="1" thickBot="1">
      <c r="B128" s="177">
        <v>12</v>
      </c>
      <c r="C128" s="248" t="s">
        <v>354</v>
      </c>
      <c r="D128" s="248"/>
      <c r="E128" s="249"/>
      <c r="F128" s="370"/>
      <c r="G128" s="178"/>
      <c r="H128" s="564"/>
      <c r="I128" s="698"/>
      <c r="J128" s="701"/>
      <c r="K128" s="715"/>
      <c r="L128" s="177">
        <v>12</v>
      </c>
      <c r="M128" s="248" t="s">
        <v>356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698"/>
    </row>
    <row r="129" spans="1:24" ht="14.4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>
      <c r="B130" s="185">
        <v>13</v>
      </c>
      <c r="C130" s="186" t="s">
        <v>357</v>
      </c>
      <c r="D130" s="255" t="s">
        <v>358</v>
      </c>
      <c r="E130" s="187"/>
      <c r="F130" s="336"/>
      <c r="G130" s="188">
        <f>D178</f>
        <v>13306.77253115942</v>
      </c>
      <c r="H130" s="542">
        <f>'Project Plan'!G48</f>
        <v>46085</v>
      </c>
      <c r="I130" s="690">
        <f>SUM(G130:G134)</f>
        <v>13306.77253115942</v>
      </c>
      <c r="J130" s="693">
        <f>F178</f>
        <v>15121.332421772069</v>
      </c>
      <c r="K130" s="189"/>
      <c r="L130" s="185">
        <v>13</v>
      </c>
      <c r="M130" s="255" t="s">
        <v>359</v>
      </c>
      <c r="N130" s="255" t="s">
        <v>360</v>
      </c>
      <c r="O130" s="432"/>
      <c r="P130" s="336"/>
      <c r="Q130" s="188">
        <v>0</v>
      </c>
      <c r="R130" s="476"/>
      <c r="S130" s="507"/>
      <c r="T130" s="418">
        <v>46053</v>
      </c>
      <c r="U130" s="404">
        <v>15121.332421772069</v>
      </c>
      <c r="V130" s="702">
        <f>J130-SUM(U130:U135)</f>
        <v>0</v>
      </c>
      <c r="W130" s="460">
        <v>46081</v>
      </c>
      <c r="X130" s="690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1"/>
      <c r="J131" s="694"/>
      <c r="K131" s="192"/>
      <c r="L131" s="215">
        <v>13</v>
      </c>
      <c r="M131" s="290" t="s">
        <v>359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03"/>
      <c r="W131" s="453"/>
      <c r="X131" s="69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1"/>
      <c r="J132" s="694"/>
      <c r="K132" s="192"/>
      <c r="L132" s="215">
        <v>13</v>
      </c>
      <c r="M132" s="290" t="s">
        <v>359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03"/>
      <c r="W132" s="453"/>
      <c r="X132" s="691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1"/>
      <c r="J133" s="694"/>
      <c r="K133" s="192"/>
      <c r="L133" s="215">
        <v>13</v>
      </c>
      <c r="M133" s="290" t="s">
        <v>359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03"/>
      <c r="W133" s="453"/>
      <c r="X133" s="691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1"/>
      <c r="J134" s="694"/>
      <c r="K134" s="192"/>
      <c r="L134" s="215">
        <v>13</v>
      </c>
      <c r="M134" s="290" t="s">
        <v>359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03"/>
      <c r="W134" s="453"/>
      <c r="X134" s="691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2"/>
      <c r="J135" s="695"/>
      <c r="K135" s="267"/>
      <c r="L135" s="220">
        <v>13</v>
      </c>
      <c r="M135" s="318" t="s">
        <v>359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04"/>
      <c r="W135" s="455"/>
      <c r="X135" s="692"/>
    </row>
    <row r="136" spans="1:24" ht="14.4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>
      <c r="B137" s="173">
        <v>14</v>
      </c>
      <c r="C137" s="174" t="s">
        <v>361</v>
      </c>
      <c r="D137" s="174" t="s">
        <v>362</v>
      </c>
      <c r="E137" s="175"/>
      <c r="F137" s="368"/>
      <c r="G137" s="242">
        <f>D189</f>
        <v>2625</v>
      </c>
      <c r="H137" s="561">
        <f>'Project Plan'!G48</f>
        <v>46085</v>
      </c>
      <c r="I137" s="696">
        <f>SUM(G137:G148)</f>
        <v>2625</v>
      </c>
      <c r="J137" s="699">
        <f>F189</f>
        <v>2916.6666666666665</v>
      </c>
      <c r="K137" s="243"/>
      <c r="L137" s="173">
        <v>14</v>
      </c>
      <c r="M137" s="333" t="s">
        <v>363</v>
      </c>
      <c r="N137" s="174" t="s">
        <v>364</v>
      </c>
      <c r="O137" s="444"/>
      <c r="P137" s="527"/>
      <c r="Q137" s="532">
        <v>428.4</v>
      </c>
      <c r="R137" s="529"/>
      <c r="S137" s="518" t="s">
        <v>365</v>
      </c>
      <c r="T137" s="625">
        <v>45991</v>
      </c>
      <c r="U137" s="637">
        <v>521.24397722295214</v>
      </c>
      <c r="V137" s="705">
        <f>J137-SUM(U137:U148)</f>
        <v>3.5710285283130361E-3</v>
      </c>
      <c r="W137" s="626">
        <v>45996</v>
      </c>
      <c r="X137" s="696">
        <f>SUM(Q137:Q148)</f>
        <v>2197.8599999999997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7"/>
      <c r="J138" s="700"/>
      <c r="K138" s="176"/>
      <c r="L138" s="244">
        <v>14</v>
      </c>
      <c r="M138" s="334" t="s">
        <v>363</v>
      </c>
      <c r="N138" s="245" t="s">
        <v>364</v>
      </c>
      <c r="O138" s="445"/>
      <c r="P138" s="528"/>
      <c r="Q138" s="531">
        <v>456.96</v>
      </c>
      <c r="R138" s="530"/>
      <c r="S138" s="518" t="s">
        <v>365</v>
      </c>
      <c r="T138" s="636">
        <v>46022</v>
      </c>
      <c r="U138" s="641">
        <v>606.40805146824641</v>
      </c>
      <c r="V138" s="706"/>
      <c r="W138" s="626">
        <v>46030</v>
      </c>
      <c r="X138" s="69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7"/>
      <c r="J139" s="700"/>
      <c r="K139" s="176"/>
      <c r="L139" s="244">
        <v>14</v>
      </c>
      <c r="M139" s="334" t="s">
        <v>363</v>
      </c>
      <c r="N139" s="245" t="s">
        <v>364</v>
      </c>
      <c r="O139" s="445"/>
      <c r="P139" s="369"/>
      <c r="Q139" s="247">
        <f>$G$137/4</f>
        <v>656.25</v>
      </c>
      <c r="R139" s="484"/>
      <c r="S139" s="518"/>
      <c r="T139" s="425">
        <f t="shared" ref="T139:T161" si="18">IF(W139&gt;1,EOMONTH(W139,0),"")</f>
        <v>46053</v>
      </c>
      <c r="U139" s="409">
        <f>(Q139/$X$137*$J$137)+23.63</f>
        <v>894.50553347346977</v>
      </c>
      <c r="V139" s="706"/>
      <c r="W139" s="466">
        <v>46053</v>
      </c>
      <c r="X139" s="69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7"/>
      <c r="J140" s="700"/>
      <c r="K140" s="176"/>
      <c r="L140" s="244">
        <v>14</v>
      </c>
      <c r="M140" s="334" t="s">
        <v>363</v>
      </c>
      <c r="N140" s="245" t="s">
        <v>364</v>
      </c>
      <c r="O140" s="445"/>
      <c r="P140" s="369"/>
      <c r="Q140" s="247">
        <f>$G$137/4</f>
        <v>656.25</v>
      </c>
      <c r="R140" s="484"/>
      <c r="S140" s="512"/>
      <c r="T140" s="425">
        <f t="shared" si="18"/>
        <v>46081</v>
      </c>
      <c r="U140" s="409">
        <f>(Q140/$X$137*$J$137)+23.63</f>
        <v>894.50553347346977</v>
      </c>
      <c r="V140" s="706"/>
      <c r="W140" s="466">
        <v>46081</v>
      </c>
      <c r="X140" s="69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7"/>
      <c r="J141" s="700"/>
      <c r="K141" s="176"/>
      <c r="L141" s="244">
        <v>14</v>
      </c>
      <c r="M141" s="334" t="s">
        <v>363</v>
      </c>
      <c r="N141" s="245" t="s">
        <v>364</v>
      </c>
      <c r="O141" s="445"/>
      <c r="P141" s="369"/>
      <c r="Q141" s="247"/>
      <c r="R141" s="484"/>
      <c r="S141" s="512"/>
      <c r="T141" s="425" t="str">
        <f t="shared" si="18"/>
        <v/>
      </c>
      <c r="U141" s="409">
        <f t="shared" ref="U141:U148" si="19">(Q141/$X$137*$J$137)</f>
        <v>0</v>
      </c>
      <c r="V141" s="706"/>
      <c r="W141" s="466"/>
      <c r="X141" s="69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7"/>
      <c r="J142" s="700"/>
      <c r="K142" s="176"/>
      <c r="L142" s="244">
        <v>14</v>
      </c>
      <c r="M142" s="334" t="s">
        <v>363</v>
      </c>
      <c r="N142" s="245" t="s">
        <v>364</v>
      </c>
      <c r="O142" s="445"/>
      <c r="P142" s="369"/>
      <c r="Q142" s="247"/>
      <c r="R142" s="484"/>
      <c r="S142" s="512"/>
      <c r="T142" s="642"/>
      <c r="U142" s="409">
        <f t="shared" si="19"/>
        <v>0</v>
      </c>
      <c r="V142" s="706"/>
      <c r="W142" s="466"/>
      <c r="X142" s="69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7"/>
      <c r="J143" s="700"/>
      <c r="K143" s="176"/>
      <c r="L143" s="244">
        <v>14</v>
      </c>
      <c r="M143" s="334" t="s">
        <v>363</v>
      </c>
      <c r="N143" s="245" t="s">
        <v>364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06"/>
      <c r="W143" s="466"/>
      <c r="X143" s="69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7"/>
      <c r="J144" s="700"/>
      <c r="K144" s="176"/>
      <c r="L144" s="244">
        <v>14</v>
      </c>
      <c r="M144" s="334" t="s">
        <v>363</v>
      </c>
      <c r="N144" s="245" t="s">
        <v>364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06"/>
      <c r="W144" s="466"/>
      <c r="X144" s="69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7"/>
      <c r="J145" s="700"/>
      <c r="K145" s="176"/>
      <c r="L145" s="244">
        <v>14</v>
      </c>
      <c r="M145" s="334" t="s">
        <v>363</v>
      </c>
      <c r="N145" s="245" t="s">
        <v>364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06"/>
      <c r="W145" s="466"/>
      <c r="X145" s="69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7"/>
      <c r="J146" s="700"/>
      <c r="K146" s="176"/>
      <c r="L146" s="244">
        <v>14</v>
      </c>
      <c r="M146" s="334" t="s">
        <v>363</v>
      </c>
      <c r="N146" s="245" t="s">
        <v>364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06"/>
      <c r="W146" s="466"/>
      <c r="X146" s="69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7"/>
      <c r="J147" s="700"/>
      <c r="K147" s="176"/>
      <c r="L147" s="244">
        <v>14</v>
      </c>
      <c r="M147" s="334" t="s">
        <v>363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06"/>
      <c r="W147" s="466"/>
      <c r="X147" s="697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698"/>
      <c r="J148" s="701"/>
      <c r="K148" s="179"/>
      <c r="L148" s="177">
        <v>14</v>
      </c>
      <c r="M148" s="335" t="s">
        <v>363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07"/>
      <c r="W148" s="467"/>
      <c r="X148" s="698"/>
    </row>
    <row r="149" spans="1:24" ht="14.4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>
      <c r="B150" s="185">
        <v>15</v>
      </c>
      <c r="C150" s="186" t="s">
        <v>366</v>
      </c>
      <c r="D150" s="186"/>
      <c r="E150" s="187"/>
      <c r="F150" s="336"/>
      <c r="G150" s="188"/>
      <c r="H150" s="542"/>
      <c r="I150" s="690">
        <f>SUM(G150:G161)</f>
        <v>0</v>
      </c>
      <c r="J150" s="693">
        <f>F186</f>
        <v>0</v>
      </c>
      <c r="K150" s="189"/>
      <c r="L150" s="185">
        <v>15</v>
      </c>
      <c r="M150" s="255" t="s">
        <v>367</v>
      </c>
      <c r="N150" s="186" t="s">
        <v>368</v>
      </c>
      <c r="O150" s="187"/>
      <c r="P150" s="336"/>
      <c r="Q150" s="188">
        <v>450</v>
      </c>
      <c r="R150" s="476"/>
      <c r="S150" s="507" t="s">
        <v>369</v>
      </c>
      <c r="T150" s="627">
        <v>45991</v>
      </c>
      <c r="U150" s="404"/>
      <c r="V150" s="702">
        <v>0</v>
      </c>
      <c r="W150" s="628">
        <v>45932</v>
      </c>
      <c r="X150" s="690">
        <f>SUM(Q150:Q161)</f>
        <v>34347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1"/>
      <c r="J151" s="694"/>
      <c r="K151" s="192"/>
      <c r="L151" s="215">
        <v>15</v>
      </c>
      <c r="M151" s="290" t="s">
        <v>367</v>
      </c>
      <c r="N151" s="217" t="s">
        <v>370</v>
      </c>
      <c r="O151" s="433"/>
      <c r="P151" s="357"/>
      <c r="Q151" s="219">
        <v>30000</v>
      </c>
      <c r="R151" s="469" t="s">
        <v>371</v>
      </c>
      <c r="S151" s="500" t="s">
        <v>372</v>
      </c>
      <c r="T151" s="653">
        <v>46081</v>
      </c>
      <c r="U151" s="396"/>
      <c r="V151" s="703"/>
      <c r="W151" s="453">
        <v>46065</v>
      </c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1"/>
      <c r="J152" s="694"/>
      <c r="K152" s="192"/>
      <c r="L152" s="215">
        <v>15</v>
      </c>
      <c r="M152" s="290" t="s">
        <v>367</v>
      </c>
      <c r="N152" s="217" t="s">
        <v>373</v>
      </c>
      <c r="O152" s="433"/>
      <c r="P152" s="357"/>
      <c r="Q152" s="219">
        <v>3897</v>
      </c>
      <c r="R152" s="469" t="s">
        <v>374</v>
      </c>
      <c r="S152" s="500"/>
      <c r="T152" s="411">
        <v>46081</v>
      </c>
      <c r="U152" s="396"/>
      <c r="V152" s="703"/>
      <c r="W152" s="453">
        <f>T152-14</f>
        <v>46067</v>
      </c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367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03"/>
      <c r="W153" s="453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367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03"/>
      <c r="W154" s="453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367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03"/>
      <c r="W155" s="453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367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03"/>
      <c r="W156" s="453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367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03"/>
      <c r="W157" s="453"/>
      <c r="X157" s="69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367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03"/>
      <c r="W158" s="453"/>
      <c r="X158" s="69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367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03"/>
      <c r="W159" s="453"/>
      <c r="X159" s="69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367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03"/>
      <c r="W160" s="453"/>
      <c r="X160" s="691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2"/>
      <c r="J161" s="695"/>
      <c r="K161" s="193"/>
      <c r="L161" s="220">
        <v>15</v>
      </c>
      <c r="M161" s="318" t="s">
        <v>367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04"/>
      <c r="W161" s="455"/>
      <c r="X161" s="692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375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376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377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311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325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381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382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384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385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392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393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394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395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396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397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398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399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5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5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5"/>
      <c r="B7" s="115" t="s">
        <v>401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4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402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545952.95273360435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403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1091905.9054672087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5"/>
      <c r="B11" s="123" t="s">
        <v>404</v>
      </c>
      <c r="C11" s="124">
        <f>'Revenue Tracking'!F5</f>
        <v>935235.46000000008</v>
      </c>
      <c r="D11" s="124">
        <f>SUM(F11:KF11)</f>
        <v>934785.4600000002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78330.320000000007</v>
      </c>
      <c r="R11" s="125">
        <f>SUMIFS('Expenditure Breakdown'!$Q$6:$Q$169, 'Expenditure Breakdown'!$W$6:$W$169, "&gt;="&amp;R1,'Expenditure Breakdown'!$W$6:$W$169, "&lt;"&amp;S1)</f>
        <v>419367.43</v>
      </c>
      <c r="S11" s="125">
        <f>SUMIFS('Expenditure Breakdown'!$Q$6:$Q$169, 'Expenditure Breakdown'!$W$6:$W$169, "&gt;="&amp;S1,'Expenditure Breakdown'!$W$6:$W$169, "&lt;"&amp;T1)</f>
        <v>150877.02000000002</v>
      </c>
      <c r="T11" s="125">
        <f>SUMIFS('Expenditure Breakdown'!$Q$6:$Q$169, 'Expenditure Breakdown'!$W$6:$W$169, "&gt;="&amp;T1,'Expenditure Breakdown'!$W$6:$W$169, "&lt;"&amp;U1)</f>
        <v>38573.06</v>
      </c>
      <c r="U11" s="125">
        <f>SUMIFS('Expenditure Breakdown'!$Q$6:$Q$169, 'Expenditure Breakdown'!$W$6:$W$169, "&gt;="&amp;U1,'Expenditure Breakdown'!$W$6:$W$169, "&lt;"&amp;V1)</f>
        <v>148155.81</v>
      </c>
      <c r="V11" s="125">
        <f>SUMIFS('Expenditure Breakdown'!$Q$6:$Q$169, 'Expenditure Breakdown'!$W$6:$W$169, "&gt;="&amp;V1,'Expenditure Breakdown'!$W$6:$W$169, "&lt;"&amp;W1)</f>
        <v>12997.78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0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0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5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149696.58000000002</v>
      </c>
      <c r="R12" s="125">
        <f t="shared" si="26"/>
        <v>569064.01</v>
      </c>
      <c r="S12" s="125">
        <f t="shared" si="26"/>
        <v>719941.03</v>
      </c>
      <c r="T12" s="125">
        <f t="shared" si="26"/>
        <v>758514.09000000008</v>
      </c>
      <c r="U12" s="125">
        <f t="shared" si="26"/>
        <v>906669.90000000014</v>
      </c>
      <c r="V12" s="125">
        <f t="shared" si="26"/>
        <v>919667.68000000017</v>
      </c>
      <c r="W12" s="125">
        <f t="shared" si="26"/>
        <v>919667.68000000017</v>
      </c>
      <c r="X12" s="125">
        <f t="shared" si="26"/>
        <v>919667.68000000017</v>
      </c>
      <c r="Y12" s="125">
        <f t="shared" si="26"/>
        <v>919667.68000000017</v>
      </c>
      <c r="Z12" s="125">
        <f t="shared" si="26"/>
        <v>934785.4600000002</v>
      </c>
      <c r="AA12" s="125">
        <f t="shared" si="26"/>
        <v>934785.4600000002</v>
      </c>
      <c r="AB12" s="125">
        <f t="shared" si="26"/>
        <v>934785.4600000002</v>
      </c>
      <c r="AC12" s="125">
        <f t="shared" si="26"/>
        <v>934785.4600000002</v>
      </c>
      <c r="AD12" s="125">
        <f>AC12+AD11</f>
        <v>934785.4600000002</v>
      </c>
      <c r="AE12" s="125">
        <f t="shared" si="26"/>
        <v>934785.4600000002</v>
      </c>
      <c r="AF12" s="125">
        <f t="shared" si="26"/>
        <v>934785.4600000002</v>
      </c>
      <c r="AG12" s="125">
        <f t="shared" si="26"/>
        <v>934785.4600000002</v>
      </c>
      <c r="AH12" s="125">
        <f t="shared" si="26"/>
        <v>934785.4600000002</v>
      </c>
      <c r="AI12" s="125">
        <f t="shared" si="26"/>
        <v>934785.4600000002</v>
      </c>
      <c r="AJ12" s="125">
        <f t="shared" si="26"/>
        <v>934785.4600000002</v>
      </c>
      <c r="AK12" s="125">
        <f t="shared" si="26"/>
        <v>934785.4600000002</v>
      </c>
      <c r="AL12" s="125">
        <f t="shared" si="26"/>
        <v>934785.4600000002</v>
      </c>
      <c r="AM12" s="125">
        <f t="shared" si="26"/>
        <v>934785.4600000002</v>
      </c>
      <c r="AN12" s="125">
        <f t="shared" si="26"/>
        <v>934785.4600000002</v>
      </c>
      <c r="AO12" s="125">
        <f t="shared" si="26"/>
        <v>934785.4600000002</v>
      </c>
      <c r="AP12" s="125">
        <f t="shared" si="26"/>
        <v>934785.4600000002</v>
      </c>
      <c r="AQ12" s="125">
        <f t="shared" si="26"/>
        <v>934785.4600000002</v>
      </c>
      <c r="AR12" s="125">
        <f t="shared" si="26"/>
        <v>934785.4600000002</v>
      </c>
      <c r="AS12" s="125">
        <f t="shared" si="26"/>
        <v>934785.4600000002</v>
      </c>
      <c r="AT12" s="125">
        <f t="shared" si="26"/>
        <v>934785.4600000002</v>
      </c>
      <c r="AU12" s="125">
        <f t="shared" si="26"/>
        <v>934785.4600000002</v>
      </c>
      <c r="AV12" s="125">
        <f t="shared" si="26"/>
        <v>934785.4600000002</v>
      </c>
      <c r="AW12" s="125">
        <f t="shared" si="26"/>
        <v>934785.4600000002</v>
      </c>
      <c r="AX12" s="125">
        <f t="shared" si="26"/>
        <v>934785.4600000002</v>
      </c>
      <c r="AY12" s="125">
        <f t="shared" si="26"/>
        <v>934785.4600000002</v>
      </c>
      <c r="AZ12" s="125">
        <f t="shared" si="26"/>
        <v>934785.4600000002</v>
      </c>
      <c r="BA12" s="125">
        <f t="shared" si="26"/>
        <v>934785.4600000002</v>
      </c>
      <c r="BB12" s="125">
        <f t="shared" si="26"/>
        <v>934785.4600000002</v>
      </c>
      <c r="BC12" s="125">
        <f t="shared" si="26"/>
        <v>934785.4600000002</v>
      </c>
      <c r="BD12" s="125">
        <f t="shared" si="26"/>
        <v>934785.4600000002</v>
      </c>
      <c r="BE12" s="125">
        <f t="shared" si="26"/>
        <v>934785.4600000002</v>
      </c>
      <c r="BF12" s="125">
        <f t="shared" si="26"/>
        <v>934785.4600000002</v>
      </c>
      <c r="BG12" s="125">
        <f t="shared" si="26"/>
        <v>934785.4600000002</v>
      </c>
      <c r="BH12" s="125">
        <f t="shared" si="26"/>
        <v>934785.4600000002</v>
      </c>
      <c r="BI12" s="125">
        <f t="shared" si="26"/>
        <v>934785.4600000002</v>
      </c>
      <c r="BJ12" s="125">
        <f t="shared" si="26"/>
        <v>934785.4600000002</v>
      </c>
      <c r="BK12" s="125">
        <f t="shared" si="26"/>
        <v>934785.4600000002</v>
      </c>
      <c r="BL12" s="125">
        <f t="shared" si="26"/>
        <v>934785.4600000002</v>
      </c>
      <c r="BM12" s="125">
        <f t="shared" si="26"/>
        <v>934785.4600000002</v>
      </c>
      <c r="BN12" s="125">
        <f t="shared" si="26"/>
        <v>934785.4600000002</v>
      </c>
      <c r="BO12" s="125">
        <f t="shared" si="26"/>
        <v>934785.4600000002</v>
      </c>
      <c r="BP12" s="125">
        <f t="shared" si="26"/>
        <v>934785.4600000002</v>
      </c>
      <c r="BQ12" s="125">
        <f t="shared" si="26"/>
        <v>934785.4600000002</v>
      </c>
      <c r="BR12" s="125">
        <f t="shared" si="26"/>
        <v>934785.4600000002</v>
      </c>
      <c r="BS12" s="125">
        <f t="shared" si="26"/>
        <v>934785.4600000002</v>
      </c>
      <c r="BT12" s="125">
        <f t="shared" si="26"/>
        <v>934785.4600000002</v>
      </c>
      <c r="BU12" s="125">
        <f t="shared" ref="BU12:EF12" si="27">BT12+BU11</f>
        <v>934785.4600000002</v>
      </c>
      <c r="BV12" s="125">
        <f t="shared" si="27"/>
        <v>934785.4600000002</v>
      </c>
      <c r="BW12" s="125">
        <f t="shared" si="27"/>
        <v>934785.4600000002</v>
      </c>
      <c r="BX12" s="125">
        <f t="shared" si="27"/>
        <v>934785.4600000002</v>
      </c>
      <c r="BY12" s="125">
        <f t="shared" si="27"/>
        <v>934785.4600000002</v>
      </c>
      <c r="BZ12" s="125">
        <f t="shared" si="27"/>
        <v>934785.4600000002</v>
      </c>
      <c r="CA12" s="125">
        <f t="shared" si="27"/>
        <v>934785.4600000002</v>
      </c>
      <c r="CB12" s="125">
        <f t="shared" si="27"/>
        <v>934785.4600000002</v>
      </c>
      <c r="CC12" s="125">
        <f t="shared" si="27"/>
        <v>934785.4600000002</v>
      </c>
      <c r="CD12" s="125">
        <f t="shared" si="27"/>
        <v>934785.4600000002</v>
      </c>
      <c r="CE12" s="125">
        <f t="shared" si="27"/>
        <v>934785.4600000002</v>
      </c>
      <c r="CF12" s="125">
        <f t="shared" si="27"/>
        <v>934785.4600000002</v>
      </c>
      <c r="CG12" s="125">
        <f t="shared" si="27"/>
        <v>934785.4600000002</v>
      </c>
      <c r="CH12" s="125">
        <f t="shared" si="27"/>
        <v>934785.4600000002</v>
      </c>
      <c r="CI12" s="125">
        <f t="shared" si="27"/>
        <v>934785.4600000002</v>
      </c>
      <c r="CJ12" s="125">
        <f t="shared" si="27"/>
        <v>934785.4600000002</v>
      </c>
      <c r="CK12" s="125">
        <f t="shared" si="27"/>
        <v>934785.4600000002</v>
      </c>
      <c r="CL12" s="125">
        <f t="shared" si="27"/>
        <v>934785.4600000002</v>
      </c>
      <c r="CM12" s="125">
        <f t="shared" si="27"/>
        <v>934785.4600000002</v>
      </c>
      <c r="CN12" s="125">
        <f t="shared" si="27"/>
        <v>934785.4600000002</v>
      </c>
      <c r="CO12" s="125">
        <f t="shared" si="27"/>
        <v>934785.4600000002</v>
      </c>
      <c r="CP12" s="125">
        <f t="shared" si="27"/>
        <v>934785.4600000002</v>
      </c>
      <c r="CQ12" s="125">
        <f t="shared" si="27"/>
        <v>934785.4600000002</v>
      </c>
      <c r="CR12" s="125">
        <f t="shared" si="27"/>
        <v>934785.4600000002</v>
      </c>
      <c r="CS12" s="125">
        <f t="shared" si="27"/>
        <v>934785.4600000002</v>
      </c>
      <c r="CT12" s="125">
        <f t="shared" si="27"/>
        <v>934785.4600000002</v>
      </c>
      <c r="CU12" s="125">
        <f t="shared" si="27"/>
        <v>934785.4600000002</v>
      </c>
      <c r="CV12" s="125">
        <f t="shared" si="27"/>
        <v>934785.4600000002</v>
      </c>
      <c r="CW12" s="125">
        <f t="shared" si="27"/>
        <v>934785.4600000002</v>
      </c>
      <c r="CX12" s="125">
        <f t="shared" si="27"/>
        <v>934785.4600000002</v>
      </c>
      <c r="CY12" s="125">
        <f t="shared" si="27"/>
        <v>934785.4600000002</v>
      </c>
      <c r="CZ12" s="125">
        <f t="shared" si="27"/>
        <v>934785.4600000002</v>
      </c>
      <c r="DA12" s="125">
        <f t="shared" si="27"/>
        <v>934785.4600000002</v>
      </c>
      <c r="DB12" s="125">
        <f t="shared" si="27"/>
        <v>934785.4600000002</v>
      </c>
      <c r="DC12" s="125">
        <f t="shared" si="27"/>
        <v>934785.4600000002</v>
      </c>
      <c r="DD12" s="125">
        <f t="shared" si="27"/>
        <v>934785.4600000002</v>
      </c>
      <c r="DE12" s="125">
        <f t="shared" si="27"/>
        <v>934785.4600000002</v>
      </c>
      <c r="DF12" s="125">
        <f t="shared" si="27"/>
        <v>934785.4600000002</v>
      </c>
      <c r="DG12" s="125">
        <f t="shared" si="27"/>
        <v>934785.4600000002</v>
      </c>
      <c r="DH12" s="125">
        <f t="shared" si="27"/>
        <v>934785.4600000002</v>
      </c>
      <c r="DI12" s="125">
        <f t="shared" si="27"/>
        <v>934785.4600000002</v>
      </c>
      <c r="DJ12" s="125">
        <f t="shared" si="27"/>
        <v>934785.4600000002</v>
      </c>
      <c r="DK12" s="125">
        <f t="shared" si="27"/>
        <v>934785.4600000002</v>
      </c>
      <c r="DL12" s="125">
        <f t="shared" si="27"/>
        <v>934785.4600000002</v>
      </c>
      <c r="DM12" s="125">
        <f t="shared" si="27"/>
        <v>934785.4600000002</v>
      </c>
      <c r="DN12" s="125">
        <f t="shared" si="27"/>
        <v>934785.4600000002</v>
      </c>
      <c r="DO12" s="125">
        <f t="shared" si="27"/>
        <v>934785.4600000002</v>
      </c>
      <c r="DP12" s="125">
        <f t="shared" si="27"/>
        <v>934785.4600000002</v>
      </c>
      <c r="DQ12" s="125">
        <f t="shared" si="27"/>
        <v>934785.4600000002</v>
      </c>
      <c r="DR12" s="125">
        <f t="shared" si="27"/>
        <v>934785.4600000002</v>
      </c>
      <c r="DS12" s="125">
        <f t="shared" si="27"/>
        <v>934785.4600000002</v>
      </c>
      <c r="DT12" s="125">
        <f t="shared" si="27"/>
        <v>934785.4600000002</v>
      </c>
      <c r="DU12" s="125">
        <f t="shared" si="27"/>
        <v>934785.4600000002</v>
      </c>
      <c r="DV12" s="125">
        <f t="shared" si="27"/>
        <v>934785.4600000002</v>
      </c>
      <c r="DW12" s="125">
        <f t="shared" si="27"/>
        <v>934785.4600000002</v>
      </c>
      <c r="DX12" s="125">
        <f t="shared" si="27"/>
        <v>934785.4600000002</v>
      </c>
      <c r="DY12" s="125">
        <f t="shared" si="27"/>
        <v>934785.4600000002</v>
      </c>
      <c r="DZ12" s="125">
        <f t="shared" si="27"/>
        <v>934785.4600000002</v>
      </c>
      <c r="EA12" s="125">
        <f t="shared" si="27"/>
        <v>934785.4600000002</v>
      </c>
      <c r="EB12" s="125">
        <f t="shared" si="27"/>
        <v>934785.4600000002</v>
      </c>
      <c r="EC12" s="125">
        <f t="shared" si="27"/>
        <v>934785.4600000002</v>
      </c>
      <c r="ED12" s="125">
        <f t="shared" si="27"/>
        <v>934785.4600000002</v>
      </c>
      <c r="EE12" s="125">
        <f t="shared" si="27"/>
        <v>934785.4600000002</v>
      </c>
      <c r="EF12" s="125">
        <f t="shared" si="27"/>
        <v>934785.4600000002</v>
      </c>
      <c r="EG12" s="125">
        <f t="shared" ref="EG12:GR12" si="28">EF12+EG11</f>
        <v>934785.4600000002</v>
      </c>
      <c r="EH12" s="125">
        <f t="shared" si="28"/>
        <v>934785.4600000002</v>
      </c>
      <c r="EI12" s="125">
        <f t="shared" si="28"/>
        <v>934785.4600000002</v>
      </c>
      <c r="EJ12" s="125">
        <f t="shared" si="28"/>
        <v>934785.4600000002</v>
      </c>
      <c r="EK12" s="125">
        <f t="shared" si="28"/>
        <v>934785.4600000002</v>
      </c>
      <c r="EL12" s="125">
        <f t="shared" si="28"/>
        <v>934785.4600000002</v>
      </c>
      <c r="EM12" s="125">
        <f t="shared" si="28"/>
        <v>934785.4600000002</v>
      </c>
      <c r="EN12" s="125">
        <f t="shared" si="28"/>
        <v>934785.4600000002</v>
      </c>
      <c r="EO12" s="125">
        <f t="shared" si="28"/>
        <v>934785.4600000002</v>
      </c>
      <c r="EP12" s="125">
        <f t="shared" si="28"/>
        <v>934785.4600000002</v>
      </c>
      <c r="EQ12" s="125">
        <f t="shared" si="28"/>
        <v>934785.4600000002</v>
      </c>
      <c r="ER12" s="125">
        <f t="shared" si="28"/>
        <v>934785.4600000002</v>
      </c>
      <c r="ES12" s="125">
        <f t="shared" si="28"/>
        <v>934785.4600000002</v>
      </c>
      <c r="ET12" s="125">
        <f t="shared" si="28"/>
        <v>934785.4600000002</v>
      </c>
      <c r="EU12" s="125">
        <f t="shared" si="28"/>
        <v>934785.4600000002</v>
      </c>
      <c r="EV12" s="125">
        <f t="shared" si="28"/>
        <v>934785.4600000002</v>
      </c>
      <c r="EW12" s="125">
        <f t="shared" si="28"/>
        <v>934785.4600000002</v>
      </c>
      <c r="EX12" s="125">
        <f t="shared" si="28"/>
        <v>934785.4600000002</v>
      </c>
      <c r="EY12" s="125">
        <f t="shared" si="28"/>
        <v>934785.4600000002</v>
      </c>
      <c r="EZ12" s="125">
        <f t="shared" si="28"/>
        <v>934785.4600000002</v>
      </c>
      <c r="FA12" s="125">
        <f t="shared" si="28"/>
        <v>934785.4600000002</v>
      </c>
      <c r="FB12" s="125">
        <f t="shared" si="28"/>
        <v>934785.4600000002</v>
      </c>
      <c r="FC12" s="125">
        <f t="shared" si="28"/>
        <v>934785.4600000002</v>
      </c>
      <c r="FD12" s="125">
        <f t="shared" si="28"/>
        <v>934785.4600000002</v>
      </c>
      <c r="FE12" s="125">
        <f t="shared" si="28"/>
        <v>934785.4600000002</v>
      </c>
      <c r="FF12" s="125">
        <f t="shared" si="28"/>
        <v>934785.4600000002</v>
      </c>
      <c r="FG12" s="125">
        <f t="shared" si="28"/>
        <v>934785.4600000002</v>
      </c>
      <c r="FH12" s="125">
        <f t="shared" si="28"/>
        <v>934785.4600000002</v>
      </c>
      <c r="FI12" s="125">
        <f t="shared" si="28"/>
        <v>934785.4600000002</v>
      </c>
      <c r="FJ12" s="125">
        <f t="shared" si="28"/>
        <v>934785.4600000002</v>
      </c>
      <c r="FK12" s="125">
        <f t="shared" si="28"/>
        <v>934785.4600000002</v>
      </c>
      <c r="FL12" s="125">
        <f t="shared" si="28"/>
        <v>934785.4600000002</v>
      </c>
      <c r="FM12" s="125">
        <f t="shared" si="28"/>
        <v>934785.4600000002</v>
      </c>
      <c r="FN12" s="125">
        <f t="shared" si="28"/>
        <v>934785.4600000002</v>
      </c>
      <c r="FO12" s="125">
        <f t="shared" si="28"/>
        <v>934785.4600000002</v>
      </c>
      <c r="FP12" s="125">
        <f t="shared" si="28"/>
        <v>934785.4600000002</v>
      </c>
      <c r="FQ12" s="125">
        <f t="shared" si="28"/>
        <v>934785.4600000002</v>
      </c>
      <c r="FR12" s="125">
        <f t="shared" si="28"/>
        <v>934785.4600000002</v>
      </c>
      <c r="FS12" s="125">
        <f t="shared" si="28"/>
        <v>934785.4600000002</v>
      </c>
      <c r="FT12" s="125">
        <f t="shared" si="28"/>
        <v>934785.4600000002</v>
      </c>
      <c r="FU12" s="125">
        <f t="shared" si="28"/>
        <v>934785.4600000002</v>
      </c>
      <c r="FV12" s="125">
        <f t="shared" si="28"/>
        <v>934785.4600000002</v>
      </c>
      <c r="FW12" s="125">
        <f t="shared" si="28"/>
        <v>934785.4600000002</v>
      </c>
      <c r="FX12" s="125">
        <f t="shared" si="28"/>
        <v>934785.4600000002</v>
      </c>
      <c r="FY12" s="125">
        <f t="shared" si="28"/>
        <v>934785.4600000002</v>
      </c>
      <c r="FZ12" s="125">
        <f t="shared" si="28"/>
        <v>934785.4600000002</v>
      </c>
      <c r="GA12" s="125">
        <f t="shared" si="28"/>
        <v>934785.4600000002</v>
      </c>
      <c r="GB12" s="125">
        <f t="shared" si="28"/>
        <v>934785.4600000002</v>
      </c>
      <c r="GC12" s="125">
        <f t="shared" si="28"/>
        <v>934785.4600000002</v>
      </c>
      <c r="GD12" s="125">
        <f t="shared" si="28"/>
        <v>934785.4600000002</v>
      </c>
      <c r="GE12" s="125">
        <f t="shared" si="28"/>
        <v>934785.4600000002</v>
      </c>
      <c r="GF12" s="125">
        <f t="shared" si="28"/>
        <v>934785.4600000002</v>
      </c>
      <c r="GG12" s="125">
        <f t="shared" si="28"/>
        <v>934785.4600000002</v>
      </c>
      <c r="GH12" s="125">
        <f t="shared" si="28"/>
        <v>934785.4600000002</v>
      </c>
      <c r="GI12" s="125">
        <f t="shared" si="28"/>
        <v>934785.4600000002</v>
      </c>
      <c r="GJ12" s="125">
        <f t="shared" si="28"/>
        <v>934785.4600000002</v>
      </c>
      <c r="GK12" s="125">
        <f t="shared" si="28"/>
        <v>934785.4600000002</v>
      </c>
      <c r="GL12" s="125">
        <f t="shared" si="28"/>
        <v>934785.4600000002</v>
      </c>
      <c r="GM12" s="125">
        <f t="shared" si="28"/>
        <v>934785.4600000002</v>
      </c>
      <c r="GN12" s="125">
        <f t="shared" si="28"/>
        <v>934785.4600000002</v>
      </c>
      <c r="GO12" s="125">
        <f t="shared" si="28"/>
        <v>934785.4600000002</v>
      </c>
      <c r="GP12" s="125">
        <f t="shared" si="28"/>
        <v>934785.4600000002</v>
      </c>
      <c r="GQ12" s="125">
        <f t="shared" si="28"/>
        <v>934785.4600000002</v>
      </c>
      <c r="GR12" s="125">
        <f t="shared" si="28"/>
        <v>934785.4600000002</v>
      </c>
      <c r="GS12" s="125">
        <f t="shared" ref="GS12:JD12" si="29">GR12+GS11</f>
        <v>934785.4600000002</v>
      </c>
      <c r="GT12" s="125">
        <f t="shared" si="29"/>
        <v>934785.4600000002</v>
      </c>
      <c r="GU12" s="125">
        <f t="shared" si="29"/>
        <v>934785.4600000002</v>
      </c>
      <c r="GV12" s="125">
        <f t="shared" si="29"/>
        <v>934785.4600000002</v>
      </c>
      <c r="GW12" s="125">
        <f t="shared" si="29"/>
        <v>934785.4600000002</v>
      </c>
      <c r="GX12" s="125">
        <f t="shared" si="29"/>
        <v>934785.4600000002</v>
      </c>
      <c r="GY12" s="125">
        <f t="shared" si="29"/>
        <v>934785.4600000002</v>
      </c>
      <c r="GZ12" s="125">
        <f t="shared" si="29"/>
        <v>934785.4600000002</v>
      </c>
      <c r="HA12" s="125">
        <f t="shared" si="29"/>
        <v>934785.4600000002</v>
      </c>
      <c r="HB12" s="125">
        <f t="shared" si="29"/>
        <v>934785.4600000002</v>
      </c>
      <c r="HC12" s="125">
        <f t="shared" si="29"/>
        <v>934785.4600000002</v>
      </c>
      <c r="HD12" s="125">
        <f t="shared" si="29"/>
        <v>934785.4600000002</v>
      </c>
      <c r="HE12" s="125">
        <f t="shared" si="29"/>
        <v>934785.4600000002</v>
      </c>
      <c r="HF12" s="125">
        <f t="shared" si="29"/>
        <v>934785.4600000002</v>
      </c>
      <c r="HG12" s="125">
        <f t="shared" si="29"/>
        <v>934785.4600000002</v>
      </c>
      <c r="HH12" s="125">
        <f t="shared" si="29"/>
        <v>934785.4600000002</v>
      </c>
      <c r="HI12" s="125">
        <f t="shared" si="29"/>
        <v>934785.4600000002</v>
      </c>
      <c r="HJ12" s="125">
        <f t="shared" si="29"/>
        <v>934785.4600000002</v>
      </c>
      <c r="HK12" s="125">
        <f t="shared" si="29"/>
        <v>934785.4600000002</v>
      </c>
      <c r="HL12" s="125">
        <f t="shared" si="29"/>
        <v>934785.4600000002</v>
      </c>
      <c r="HM12" s="125">
        <f t="shared" si="29"/>
        <v>934785.4600000002</v>
      </c>
      <c r="HN12" s="125">
        <f t="shared" si="29"/>
        <v>934785.4600000002</v>
      </c>
      <c r="HO12" s="125">
        <f t="shared" si="29"/>
        <v>934785.4600000002</v>
      </c>
      <c r="HP12" s="125">
        <f t="shared" si="29"/>
        <v>934785.4600000002</v>
      </c>
      <c r="HQ12" s="125">
        <f t="shared" si="29"/>
        <v>934785.4600000002</v>
      </c>
      <c r="HR12" s="125">
        <f t="shared" si="29"/>
        <v>934785.4600000002</v>
      </c>
      <c r="HS12" s="125">
        <f t="shared" si="29"/>
        <v>934785.4600000002</v>
      </c>
      <c r="HT12" s="125">
        <f t="shared" si="29"/>
        <v>934785.4600000002</v>
      </c>
      <c r="HU12" s="125">
        <f t="shared" si="29"/>
        <v>934785.4600000002</v>
      </c>
      <c r="HV12" s="125">
        <f t="shared" si="29"/>
        <v>934785.4600000002</v>
      </c>
      <c r="HW12" s="125">
        <f t="shared" si="29"/>
        <v>934785.4600000002</v>
      </c>
      <c r="HX12" s="125">
        <f t="shared" si="29"/>
        <v>934785.4600000002</v>
      </c>
      <c r="HY12" s="125">
        <f t="shared" si="29"/>
        <v>934785.4600000002</v>
      </c>
      <c r="HZ12" s="125">
        <f t="shared" si="29"/>
        <v>934785.4600000002</v>
      </c>
      <c r="IA12" s="125">
        <f t="shared" si="29"/>
        <v>934785.4600000002</v>
      </c>
      <c r="IB12" s="125">
        <f t="shared" si="29"/>
        <v>934785.4600000002</v>
      </c>
      <c r="IC12" s="125">
        <f t="shared" si="29"/>
        <v>934785.4600000002</v>
      </c>
      <c r="ID12" s="125">
        <f t="shared" si="29"/>
        <v>934785.4600000002</v>
      </c>
      <c r="IE12" s="125">
        <f t="shared" si="29"/>
        <v>934785.4600000002</v>
      </c>
      <c r="IF12" s="125">
        <f t="shared" si="29"/>
        <v>934785.4600000002</v>
      </c>
      <c r="IG12" s="125">
        <f t="shared" si="29"/>
        <v>934785.4600000002</v>
      </c>
      <c r="IH12" s="125">
        <f t="shared" si="29"/>
        <v>934785.4600000002</v>
      </c>
      <c r="II12" s="125">
        <f t="shared" si="29"/>
        <v>934785.4600000002</v>
      </c>
      <c r="IJ12" s="125">
        <f t="shared" si="29"/>
        <v>934785.4600000002</v>
      </c>
      <c r="IK12" s="125">
        <f t="shared" si="29"/>
        <v>934785.4600000002</v>
      </c>
      <c r="IL12" s="125">
        <f t="shared" si="29"/>
        <v>934785.4600000002</v>
      </c>
      <c r="IM12" s="125">
        <f t="shared" si="29"/>
        <v>934785.4600000002</v>
      </c>
      <c r="IN12" s="125">
        <f t="shared" si="29"/>
        <v>934785.4600000002</v>
      </c>
      <c r="IO12" s="125">
        <f t="shared" si="29"/>
        <v>934785.4600000002</v>
      </c>
      <c r="IP12" s="125">
        <f t="shared" si="29"/>
        <v>934785.4600000002</v>
      </c>
      <c r="IQ12" s="125">
        <f t="shared" si="29"/>
        <v>934785.4600000002</v>
      </c>
      <c r="IR12" s="125">
        <f t="shared" si="29"/>
        <v>934785.4600000002</v>
      </c>
      <c r="IS12" s="125">
        <f t="shared" si="29"/>
        <v>934785.4600000002</v>
      </c>
      <c r="IT12" s="125">
        <f t="shared" si="29"/>
        <v>934785.4600000002</v>
      </c>
      <c r="IU12" s="125">
        <f t="shared" si="29"/>
        <v>934785.4600000002</v>
      </c>
      <c r="IV12" s="125">
        <f t="shared" si="29"/>
        <v>934785.4600000002</v>
      </c>
      <c r="IW12" s="125">
        <f t="shared" si="29"/>
        <v>934785.4600000002</v>
      </c>
      <c r="IX12" s="125">
        <f t="shared" si="29"/>
        <v>934785.4600000002</v>
      </c>
      <c r="IY12" s="125">
        <f t="shared" si="29"/>
        <v>934785.4600000002</v>
      </c>
      <c r="IZ12" s="125">
        <f t="shared" si="29"/>
        <v>934785.4600000002</v>
      </c>
      <c r="JA12" s="125">
        <f t="shared" si="29"/>
        <v>934785.4600000002</v>
      </c>
      <c r="JB12" s="125">
        <f t="shared" si="29"/>
        <v>934785.4600000002</v>
      </c>
      <c r="JC12" s="125">
        <f t="shared" si="29"/>
        <v>934785.4600000002</v>
      </c>
      <c r="JD12" s="125">
        <f t="shared" si="29"/>
        <v>934785.4600000002</v>
      </c>
      <c r="JE12" s="125">
        <f t="shared" ref="JE12:KF12" si="30">JD12+JE11</f>
        <v>934785.4600000002</v>
      </c>
      <c r="JF12" s="125">
        <f t="shared" si="30"/>
        <v>934785.4600000002</v>
      </c>
      <c r="JG12" s="125">
        <f t="shared" si="30"/>
        <v>934785.4600000002</v>
      </c>
      <c r="JH12" s="125">
        <f t="shared" si="30"/>
        <v>934785.4600000002</v>
      </c>
      <c r="JI12" s="125">
        <f t="shared" si="30"/>
        <v>934785.4600000002</v>
      </c>
      <c r="JJ12" s="125">
        <f t="shared" si="30"/>
        <v>934785.4600000002</v>
      </c>
      <c r="JK12" s="125">
        <f t="shared" si="30"/>
        <v>934785.4600000002</v>
      </c>
      <c r="JL12" s="125">
        <f t="shared" si="30"/>
        <v>934785.4600000002</v>
      </c>
      <c r="JM12" s="125">
        <f t="shared" si="30"/>
        <v>934785.4600000002</v>
      </c>
      <c r="JN12" s="125">
        <f t="shared" si="30"/>
        <v>934785.4600000002</v>
      </c>
      <c r="JO12" s="125">
        <f t="shared" si="30"/>
        <v>934785.4600000002</v>
      </c>
      <c r="JP12" s="125">
        <f t="shared" si="30"/>
        <v>934785.4600000002</v>
      </c>
      <c r="JQ12" s="125">
        <f t="shared" si="30"/>
        <v>934785.4600000002</v>
      </c>
      <c r="JR12" s="125">
        <f t="shared" si="30"/>
        <v>934785.4600000002</v>
      </c>
      <c r="JS12" s="125">
        <f t="shared" si="30"/>
        <v>934785.4600000002</v>
      </c>
      <c r="JT12" s="125">
        <f t="shared" si="30"/>
        <v>934785.4600000002</v>
      </c>
      <c r="JU12" s="125">
        <f t="shared" si="30"/>
        <v>934785.4600000002</v>
      </c>
      <c r="JV12" s="125">
        <f t="shared" si="30"/>
        <v>934785.4600000002</v>
      </c>
      <c r="JW12" s="125">
        <f t="shared" si="30"/>
        <v>934785.4600000002</v>
      </c>
      <c r="JX12" s="125">
        <f t="shared" si="30"/>
        <v>934785.4600000002</v>
      </c>
      <c r="JY12" s="125">
        <f t="shared" si="30"/>
        <v>934785.4600000002</v>
      </c>
      <c r="JZ12" s="125">
        <f t="shared" si="30"/>
        <v>934785.4600000002</v>
      </c>
      <c r="KA12" s="125">
        <f t="shared" si="30"/>
        <v>934785.4600000002</v>
      </c>
      <c r="KB12" s="125">
        <f t="shared" si="30"/>
        <v>934785.4600000002</v>
      </c>
      <c r="KC12" s="125">
        <f t="shared" si="30"/>
        <v>934785.4600000002</v>
      </c>
      <c r="KD12" s="125">
        <f t="shared" si="30"/>
        <v>934785.4600000002</v>
      </c>
      <c r="KE12" s="125">
        <f t="shared" si="30"/>
        <v>934785.4600000002</v>
      </c>
      <c r="KF12" s="125">
        <f t="shared" si="30"/>
        <v>934785.4600000002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406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396256.37273360434</v>
      </c>
      <c r="R14" s="118">
        <f t="shared" si="32"/>
        <v>-23111.057266395655</v>
      </c>
      <c r="S14" s="118">
        <f t="shared" si="32"/>
        <v>371964.87546720868</v>
      </c>
      <c r="T14" s="118">
        <f t="shared" si="32"/>
        <v>333391.81546720862</v>
      </c>
      <c r="U14" s="118">
        <f t="shared" si="32"/>
        <v>458212.48183401069</v>
      </c>
      <c r="V14" s="118">
        <f t="shared" si="32"/>
        <v>445214.70183401066</v>
      </c>
      <c r="W14" s="118">
        <f t="shared" si="32"/>
        <v>445214.70183401066</v>
      </c>
      <c r="X14" s="118">
        <f t="shared" si="32"/>
        <v>445214.70183401066</v>
      </c>
      <c r="Y14" s="118">
        <f t="shared" si="32"/>
        <v>445214.70183401066</v>
      </c>
      <c r="Z14" s="118">
        <f t="shared" si="32"/>
        <v>430096.92183401063</v>
      </c>
      <c r="AA14" s="118">
        <f t="shared" si="32"/>
        <v>430096.92183401063</v>
      </c>
      <c r="AB14" s="118">
        <f t="shared" si="32"/>
        <v>430096.92183401063</v>
      </c>
      <c r="AC14" s="118">
        <f t="shared" si="32"/>
        <v>430096.92183401063</v>
      </c>
      <c r="AD14" s="118">
        <f t="shared" si="32"/>
        <v>430096.92183401063</v>
      </c>
      <c r="AE14" s="118">
        <f t="shared" si="32"/>
        <v>430096.92183401063</v>
      </c>
      <c r="AF14" s="118">
        <f t="shared" si="32"/>
        <v>430096.92183401063</v>
      </c>
      <c r="AG14" s="118">
        <f t="shared" si="32"/>
        <v>430096.92183401063</v>
      </c>
      <c r="AH14" s="118">
        <f t="shared" si="32"/>
        <v>430096.92183401063</v>
      </c>
      <c r="AI14" s="118">
        <f t="shared" si="32"/>
        <v>430096.92183401063</v>
      </c>
      <c r="AJ14" s="118">
        <f t="shared" si="32"/>
        <v>430096.92183401063</v>
      </c>
      <c r="AK14" s="118">
        <f t="shared" si="32"/>
        <v>430096.92183401063</v>
      </c>
      <c r="AL14" s="118">
        <f t="shared" si="32"/>
        <v>430096.92183401063</v>
      </c>
      <c r="AM14" s="118">
        <f t="shared" si="32"/>
        <v>430096.92183401063</v>
      </c>
      <c r="AN14" s="118">
        <f t="shared" si="32"/>
        <v>430096.92183401063</v>
      </c>
      <c r="AO14" s="118">
        <f t="shared" si="32"/>
        <v>430096.92183401063</v>
      </c>
      <c r="AP14" s="118">
        <f t="shared" si="32"/>
        <v>430096.92183401063</v>
      </c>
      <c r="AQ14" s="118">
        <f t="shared" si="32"/>
        <v>430096.92183401063</v>
      </c>
      <c r="AR14" s="118">
        <f t="shared" si="32"/>
        <v>430096.92183401063</v>
      </c>
      <c r="AS14" s="118">
        <f t="shared" si="32"/>
        <v>430096.92183401063</v>
      </c>
      <c r="AT14" s="118">
        <f t="shared" si="32"/>
        <v>430096.92183401063</v>
      </c>
      <c r="AU14" s="118">
        <f t="shared" si="32"/>
        <v>430096.92183401063</v>
      </c>
      <c r="AV14" s="118">
        <f t="shared" si="32"/>
        <v>430096.92183401063</v>
      </c>
      <c r="AW14" s="118">
        <f t="shared" si="32"/>
        <v>430096.92183401063</v>
      </c>
      <c r="AX14" s="118">
        <f t="shared" si="32"/>
        <v>430096.92183401063</v>
      </c>
      <c r="AY14" s="118">
        <f t="shared" si="32"/>
        <v>430096.92183401063</v>
      </c>
      <c r="AZ14" s="118">
        <f t="shared" si="32"/>
        <v>430096.92183401063</v>
      </c>
      <c r="BA14" s="118">
        <f t="shared" si="32"/>
        <v>430096.92183401063</v>
      </c>
      <c r="BB14" s="118">
        <f t="shared" si="32"/>
        <v>430096.92183401063</v>
      </c>
      <c r="BC14" s="118">
        <f t="shared" si="32"/>
        <v>430096.92183401063</v>
      </c>
      <c r="BD14" s="118">
        <f t="shared" si="32"/>
        <v>430096.92183401063</v>
      </c>
      <c r="BE14" s="118">
        <f t="shared" si="32"/>
        <v>430096.92183401063</v>
      </c>
      <c r="BF14" s="118">
        <f t="shared" si="32"/>
        <v>430096.92183401063</v>
      </c>
      <c r="BG14" s="118">
        <f t="shared" si="32"/>
        <v>430096.92183401063</v>
      </c>
      <c r="BH14" s="118">
        <f t="shared" si="32"/>
        <v>430096.92183401063</v>
      </c>
      <c r="BI14" s="118">
        <f t="shared" si="32"/>
        <v>430096.92183401063</v>
      </c>
      <c r="BJ14" s="118">
        <f t="shared" si="32"/>
        <v>430096.92183401063</v>
      </c>
      <c r="BK14" s="118">
        <f t="shared" si="32"/>
        <v>430096.92183401063</v>
      </c>
      <c r="BL14" s="118">
        <f t="shared" si="32"/>
        <v>430096.92183401063</v>
      </c>
      <c r="BM14" s="118">
        <f t="shared" si="32"/>
        <v>430096.92183401063</v>
      </c>
      <c r="BN14" s="118">
        <f t="shared" si="32"/>
        <v>430096.92183401063</v>
      </c>
      <c r="BO14" s="118">
        <f t="shared" si="32"/>
        <v>430096.92183401063</v>
      </c>
      <c r="BP14" s="118">
        <f t="shared" si="32"/>
        <v>430096.92183401063</v>
      </c>
      <c r="BQ14" s="118">
        <f t="shared" si="32"/>
        <v>430096.92183401063</v>
      </c>
      <c r="BR14" s="118">
        <f t="shared" si="32"/>
        <v>430096.92183401063</v>
      </c>
      <c r="BS14" s="118">
        <f t="shared" si="32"/>
        <v>430096.92183401063</v>
      </c>
      <c r="BT14" s="118">
        <f t="shared" si="32"/>
        <v>430096.92183401063</v>
      </c>
      <c r="BU14" s="118">
        <f t="shared" ref="BU14:EF14" si="33">BU10-BU12</f>
        <v>430096.92183401063</v>
      </c>
      <c r="BV14" s="118">
        <f t="shared" si="33"/>
        <v>430096.92183401063</v>
      </c>
      <c r="BW14" s="118">
        <f t="shared" si="33"/>
        <v>430096.92183401063</v>
      </c>
      <c r="BX14" s="118">
        <f t="shared" si="33"/>
        <v>430096.92183401063</v>
      </c>
      <c r="BY14" s="118">
        <f t="shared" si="33"/>
        <v>430096.92183401063</v>
      </c>
      <c r="BZ14" s="118">
        <f t="shared" si="33"/>
        <v>430096.92183401063</v>
      </c>
      <c r="CA14" s="118">
        <f t="shared" si="33"/>
        <v>430096.92183401063</v>
      </c>
      <c r="CB14" s="118">
        <f t="shared" si="33"/>
        <v>430096.92183401063</v>
      </c>
      <c r="CC14" s="118">
        <f t="shared" si="33"/>
        <v>430096.92183401063</v>
      </c>
      <c r="CD14" s="118">
        <f t="shared" si="33"/>
        <v>430096.92183401063</v>
      </c>
      <c r="CE14" s="118">
        <f t="shared" si="33"/>
        <v>430096.92183401063</v>
      </c>
      <c r="CF14" s="118">
        <f t="shared" si="33"/>
        <v>430096.92183401063</v>
      </c>
      <c r="CG14" s="118">
        <f t="shared" si="33"/>
        <v>430096.92183401063</v>
      </c>
      <c r="CH14" s="118">
        <f t="shared" si="33"/>
        <v>430096.92183401063</v>
      </c>
      <c r="CI14" s="118">
        <f t="shared" si="33"/>
        <v>430096.92183401063</v>
      </c>
      <c r="CJ14" s="118">
        <f t="shared" si="33"/>
        <v>430096.92183401063</v>
      </c>
      <c r="CK14" s="118">
        <f t="shared" si="33"/>
        <v>430096.92183401063</v>
      </c>
      <c r="CL14" s="118">
        <f t="shared" si="33"/>
        <v>430096.92183401063</v>
      </c>
      <c r="CM14" s="118">
        <f t="shared" si="33"/>
        <v>430096.92183401063</v>
      </c>
      <c r="CN14" s="118">
        <f t="shared" si="33"/>
        <v>430096.92183401063</v>
      </c>
      <c r="CO14" s="118">
        <f t="shared" si="33"/>
        <v>430096.92183401063</v>
      </c>
      <c r="CP14" s="118">
        <f t="shared" si="33"/>
        <v>430096.92183401063</v>
      </c>
      <c r="CQ14" s="118">
        <f t="shared" si="33"/>
        <v>430096.92183401063</v>
      </c>
      <c r="CR14" s="118">
        <f t="shared" si="33"/>
        <v>430096.92183401063</v>
      </c>
      <c r="CS14" s="118">
        <f t="shared" si="33"/>
        <v>430096.92183401063</v>
      </c>
      <c r="CT14" s="118">
        <f t="shared" si="33"/>
        <v>430096.92183401063</v>
      </c>
      <c r="CU14" s="118">
        <f t="shared" si="33"/>
        <v>430096.92183401063</v>
      </c>
      <c r="CV14" s="118">
        <f t="shared" si="33"/>
        <v>430096.92183401063</v>
      </c>
      <c r="CW14" s="118">
        <f t="shared" si="33"/>
        <v>430096.92183401063</v>
      </c>
      <c r="CX14" s="118">
        <f t="shared" si="33"/>
        <v>430096.92183401063</v>
      </c>
      <c r="CY14" s="118">
        <f t="shared" si="33"/>
        <v>430096.92183401063</v>
      </c>
      <c r="CZ14" s="118">
        <f t="shared" si="33"/>
        <v>430096.92183401063</v>
      </c>
      <c r="DA14" s="118">
        <f t="shared" si="33"/>
        <v>430096.92183401063</v>
      </c>
      <c r="DB14" s="118">
        <f t="shared" si="33"/>
        <v>430096.92183401063</v>
      </c>
      <c r="DC14" s="118">
        <f t="shared" si="33"/>
        <v>430096.92183401063</v>
      </c>
      <c r="DD14" s="118">
        <f t="shared" si="33"/>
        <v>430096.92183401063</v>
      </c>
      <c r="DE14" s="118">
        <f t="shared" si="33"/>
        <v>430096.92183401063</v>
      </c>
      <c r="DF14" s="118">
        <f t="shared" si="33"/>
        <v>430096.92183401063</v>
      </c>
      <c r="DG14" s="118">
        <f t="shared" si="33"/>
        <v>430096.92183401063</v>
      </c>
      <c r="DH14" s="118">
        <f t="shared" si="33"/>
        <v>430096.92183401063</v>
      </c>
      <c r="DI14" s="118">
        <f t="shared" si="33"/>
        <v>430096.92183401063</v>
      </c>
      <c r="DJ14" s="118">
        <f t="shared" si="33"/>
        <v>430096.92183401063</v>
      </c>
      <c r="DK14" s="118">
        <f t="shared" si="33"/>
        <v>430096.92183401063</v>
      </c>
      <c r="DL14" s="118">
        <f t="shared" si="33"/>
        <v>430096.92183401063</v>
      </c>
      <c r="DM14" s="118">
        <f t="shared" si="33"/>
        <v>430096.92183401063</v>
      </c>
      <c r="DN14" s="118">
        <f t="shared" si="33"/>
        <v>430096.92183401063</v>
      </c>
      <c r="DO14" s="118">
        <f t="shared" si="33"/>
        <v>430096.92183401063</v>
      </c>
      <c r="DP14" s="118">
        <f t="shared" si="33"/>
        <v>430096.92183401063</v>
      </c>
      <c r="DQ14" s="118">
        <f t="shared" si="33"/>
        <v>430096.92183401063</v>
      </c>
      <c r="DR14" s="118">
        <f t="shared" si="33"/>
        <v>430096.92183401063</v>
      </c>
      <c r="DS14" s="118">
        <f t="shared" si="33"/>
        <v>430096.92183401063</v>
      </c>
      <c r="DT14" s="118">
        <f t="shared" si="33"/>
        <v>430096.92183401063</v>
      </c>
      <c r="DU14" s="118">
        <f t="shared" si="33"/>
        <v>430096.92183401063</v>
      </c>
      <c r="DV14" s="118">
        <f t="shared" si="33"/>
        <v>430096.92183401063</v>
      </c>
      <c r="DW14" s="118">
        <f t="shared" si="33"/>
        <v>430096.92183401063</v>
      </c>
      <c r="DX14" s="118">
        <f t="shared" si="33"/>
        <v>430096.92183401063</v>
      </c>
      <c r="DY14" s="118">
        <f t="shared" si="33"/>
        <v>430096.92183401063</v>
      </c>
      <c r="DZ14" s="118">
        <f t="shared" si="33"/>
        <v>430096.92183401063</v>
      </c>
      <c r="EA14" s="118">
        <f t="shared" si="33"/>
        <v>430096.92183401063</v>
      </c>
      <c r="EB14" s="118">
        <f t="shared" si="33"/>
        <v>430096.92183401063</v>
      </c>
      <c r="EC14" s="118">
        <f t="shared" si="33"/>
        <v>430096.92183401063</v>
      </c>
      <c r="ED14" s="118">
        <f t="shared" si="33"/>
        <v>430096.92183401063</v>
      </c>
      <c r="EE14" s="118">
        <f t="shared" si="33"/>
        <v>430096.92183401063</v>
      </c>
      <c r="EF14" s="118">
        <f t="shared" si="33"/>
        <v>430096.92183401063</v>
      </c>
      <c r="EG14" s="118">
        <f t="shared" ref="EG14:GR14" si="34">EG10-EG12</f>
        <v>430096.92183401063</v>
      </c>
      <c r="EH14" s="118">
        <f t="shared" si="34"/>
        <v>430096.92183401063</v>
      </c>
      <c r="EI14" s="118">
        <f t="shared" si="34"/>
        <v>430096.92183401063</v>
      </c>
      <c r="EJ14" s="118">
        <f t="shared" si="34"/>
        <v>430096.92183401063</v>
      </c>
      <c r="EK14" s="118">
        <f t="shared" si="34"/>
        <v>430096.92183401063</v>
      </c>
      <c r="EL14" s="118">
        <f t="shared" si="34"/>
        <v>430096.92183401063</v>
      </c>
      <c r="EM14" s="118">
        <f t="shared" si="34"/>
        <v>430096.92183401063</v>
      </c>
      <c r="EN14" s="118">
        <f t="shared" si="34"/>
        <v>430096.92183401063</v>
      </c>
      <c r="EO14" s="118">
        <f t="shared" si="34"/>
        <v>430096.92183401063</v>
      </c>
      <c r="EP14" s="118">
        <f t="shared" si="34"/>
        <v>430096.92183401063</v>
      </c>
      <c r="EQ14" s="118">
        <f t="shared" si="34"/>
        <v>430096.92183401063</v>
      </c>
      <c r="ER14" s="118">
        <f t="shared" si="34"/>
        <v>430096.92183401063</v>
      </c>
      <c r="ES14" s="118">
        <f t="shared" si="34"/>
        <v>430096.92183401063</v>
      </c>
      <c r="ET14" s="118">
        <f t="shared" si="34"/>
        <v>430096.92183401063</v>
      </c>
      <c r="EU14" s="118">
        <f t="shared" si="34"/>
        <v>430096.92183401063</v>
      </c>
      <c r="EV14" s="118">
        <f t="shared" si="34"/>
        <v>430096.92183401063</v>
      </c>
      <c r="EW14" s="118">
        <f t="shared" si="34"/>
        <v>430096.92183401063</v>
      </c>
      <c r="EX14" s="118">
        <f t="shared" si="34"/>
        <v>430096.92183401063</v>
      </c>
      <c r="EY14" s="118">
        <f t="shared" si="34"/>
        <v>430096.92183401063</v>
      </c>
      <c r="EZ14" s="118">
        <f t="shared" si="34"/>
        <v>430096.92183401063</v>
      </c>
      <c r="FA14" s="118">
        <f t="shared" si="34"/>
        <v>430096.92183401063</v>
      </c>
      <c r="FB14" s="118">
        <f t="shared" si="34"/>
        <v>430096.92183401063</v>
      </c>
      <c r="FC14" s="118">
        <f t="shared" si="34"/>
        <v>430096.92183401063</v>
      </c>
      <c r="FD14" s="118">
        <f t="shared" si="34"/>
        <v>430096.92183401063</v>
      </c>
      <c r="FE14" s="118">
        <f t="shared" si="34"/>
        <v>430096.92183401063</v>
      </c>
      <c r="FF14" s="118">
        <f t="shared" si="34"/>
        <v>430096.92183401063</v>
      </c>
      <c r="FG14" s="118">
        <f t="shared" si="34"/>
        <v>430096.92183401063</v>
      </c>
      <c r="FH14" s="118">
        <f t="shared" si="34"/>
        <v>430096.92183401063</v>
      </c>
      <c r="FI14" s="118">
        <f t="shared" si="34"/>
        <v>430096.92183401063</v>
      </c>
      <c r="FJ14" s="118">
        <f t="shared" si="34"/>
        <v>430096.92183401063</v>
      </c>
      <c r="FK14" s="118">
        <f t="shared" si="34"/>
        <v>430096.92183401063</v>
      </c>
      <c r="FL14" s="118">
        <f t="shared" si="34"/>
        <v>430096.92183401063</v>
      </c>
      <c r="FM14" s="118">
        <f t="shared" si="34"/>
        <v>430096.92183401063</v>
      </c>
      <c r="FN14" s="118">
        <f t="shared" si="34"/>
        <v>430096.92183401063</v>
      </c>
      <c r="FO14" s="118">
        <f t="shared" si="34"/>
        <v>430096.92183401063</v>
      </c>
      <c r="FP14" s="118">
        <f t="shared" si="34"/>
        <v>430096.92183401063</v>
      </c>
      <c r="FQ14" s="118">
        <f t="shared" si="34"/>
        <v>430096.92183401063</v>
      </c>
      <c r="FR14" s="118">
        <f t="shared" si="34"/>
        <v>430096.92183401063</v>
      </c>
      <c r="FS14" s="118">
        <f t="shared" si="34"/>
        <v>430096.92183401063</v>
      </c>
      <c r="FT14" s="118">
        <f t="shared" si="34"/>
        <v>430096.92183401063</v>
      </c>
      <c r="FU14" s="118">
        <f t="shared" si="34"/>
        <v>430096.92183401063</v>
      </c>
      <c r="FV14" s="118">
        <f t="shared" si="34"/>
        <v>430096.92183401063</v>
      </c>
      <c r="FW14" s="118">
        <f t="shared" si="34"/>
        <v>430096.92183401063</v>
      </c>
      <c r="FX14" s="118">
        <f t="shared" si="34"/>
        <v>430096.92183401063</v>
      </c>
      <c r="FY14" s="118">
        <f t="shared" si="34"/>
        <v>430096.92183401063</v>
      </c>
      <c r="FZ14" s="118">
        <f t="shared" si="34"/>
        <v>430096.92183401063</v>
      </c>
      <c r="GA14" s="118">
        <f t="shared" si="34"/>
        <v>430096.92183401063</v>
      </c>
      <c r="GB14" s="118">
        <f t="shared" si="34"/>
        <v>430096.92183401063</v>
      </c>
      <c r="GC14" s="118">
        <f t="shared" si="34"/>
        <v>430096.92183401063</v>
      </c>
      <c r="GD14" s="118">
        <f t="shared" si="34"/>
        <v>430096.92183401063</v>
      </c>
      <c r="GE14" s="118">
        <f t="shared" si="34"/>
        <v>430096.92183401063</v>
      </c>
      <c r="GF14" s="118">
        <f t="shared" si="34"/>
        <v>430096.92183401063</v>
      </c>
      <c r="GG14" s="118">
        <f t="shared" si="34"/>
        <v>430096.92183401063</v>
      </c>
      <c r="GH14" s="118">
        <f t="shared" si="34"/>
        <v>430096.92183401063</v>
      </c>
      <c r="GI14" s="118">
        <f t="shared" si="34"/>
        <v>430096.92183401063</v>
      </c>
      <c r="GJ14" s="118">
        <f t="shared" si="34"/>
        <v>430096.92183401063</v>
      </c>
      <c r="GK14" s="118">
        <f t="shared" si="34"/>
        <v>430096.92183401063</v>
      </c>
      <c r="GL14" s="118">
        <f t="shared" si="34"/>
        <v>430096.92183401063</v>
      </c>
      <c r="GM14" s="118">
        <f t="shared" si="34"/>
        <v>430096.92183401063</v>
      </c>
      <c r="GN14" s="118">
        <f t="shared" si="34"/>
        <v>430096.92183401063</v>
      </c>
      <c r="GO14" s="118">
        <f t="shared" si="34"/>
        <v>430096.92183401063</v>
      </c>
      <c r="GP14" s="118">
        <f t="shared" si="34"/>
        <v>430096.92183401063</v>
      </c>
      <c r="GQ14" s="118">
        <f t="shared" si="34"/>
        <v>430096.92183401063</v>
      </c>
      <c r="GR14" s="118">
        <f t="shared" si="34"/>
        <v>430096.92183401063</v>
      </c>
      <c r="GS14" s="118">
        <f t="shared" ref="GS14:JD14" si="35">GS10-GS12</f>
        <v>430096.92183401063</v>
      </c>
      <c r="GT14" s="118">
        <f t="shared" si="35"/>
        <v>430096.92183401063</v>
      </c>
      <c r="GU14" s="118">
        <f t="shared" si="35"/>
        <v>430096.92183401063</v>
      </c>
      <c r="GV14" s="118">
        <f t="shared" si="35"/>
        <v>430096.92183401063</v>
      </c>
      <c r="GW14" s="118">
        <f t="shared" si="35"/>
        <v>430096.92183401063</v>
      </c>
      <c r="GX14" s="118">
        <f t="shared" si="35"/>
        <v>430096.92183401063</v>
      </c>
      <c r="GY14" s="118">
        <f t="shared" si="35"/>
        <v>430096.92183401063</v>
      </c>
      <c r="GZ14" s="118">
        <f t="shared" si="35"/>
        <v>430096.92183401063</v>
      </c>
      <c r="HA14" s="118">
        <f t="shared" si="35"/>
        <v>430096.92183401063</v>
      </c>
      <c r="HB14" s="118">
        <f t="shared" si="35"/>
        <v>430096.92183401063</v>
      </c>
      <c r="HC14" s="118">
        <f t="shared" si="35"/>
        <v>430096.92183401063</v>
      </c>
      <c r="HD14" s="118">
        <f t="shared" si="35"/>
        <v>430096.92183401063</v>
      </c>
      <c r="HE14" s="118">
        <f t="shared" si="35"/>
        <v>430096.92183401063</v>
      </c>
      <c r="HF14" s="118">
        <f t="shared" si="35"/>
        <v>430096.92183401063</v>
      </c>
      <c r="HG14" s="118">
        <f t="shared" si="35"/>
        <v>430096.92183401063</v>
      </c>
      <c r="HH14" s="118">
        <f t="shared" si="35"/>
        <v>430096.92183401063</v>
      </c>
      <c r="HI14" s="118">
        <f t="shared" si="35"/>
        <v>430096.92183401063</v>
      </c>
      <c r="HJ14" s="118">
        <f t="shared" si="35"/>
        <v>430096.92183401063</v>
      </c>
      <c r="HK14" s="118">
        <f t="shared" si="35"/>
        <v>430096.92183401063</v>
      </c>
      <c r="HL14" s="118">
        <f t="shared" si="35"/>
        <v>430096.92183401063</v>
      </c>
      <c r="HM14" s="118">
        <f t="shared" si="35"/>
        <v>430096.92183401063</v>
      </c>
      <c r="HN14" s="118">
        <f t="shared" si="35"/>
        <v>430096.92183401063</v>
      </c>
      <c r="HO14" s="118">
        <f t="shared" si="35"/>
        <v>430096.92183401063</v>
      </c>
      <c r="HP14" s="118">
        <f t="shared" si="35"/>
        <v>430096.92183401063</v>
      </c>
      <c r="HQ14" s="118">
        <f t="shared" si="35"/>
        <v>430096.92183401063</v>
      </c>
      <c r="HR14" s="118">
        <f t="shared" si="35"/>
        <v>430096.92183401063</v>
      </c>
      <c r="HS14" s="118">
        <f t="shared" si="35"/>
        <v>430096.92183401063</v>
      </c>
      <c r="HT14" s="118">
        <f t="shared" si="35"/>
        <v>430096.92183401063</v>
      </c>
      <c r="HU14" s="118">
        <f t="shared" si="35"/>
        <v>430096.92183401063</v>
      </c>
      <c r="HV14" s="118">
        <f t="shared" si="35"/>
        <v>430096.92183401063</v>
      </c>
      <c r="HW14" s="118">
        <f t="shared" si="35"/>
        <v>430096.92183401063</v>
      </c>
      <c r="HX14" s="118">
        <f t="shared" si="35"/>
        <v>430096.92183401063</v>
      </c>
      <c r="HY14" s="118">
        <f t="shared" si="35"/>
        <v>430096.92183401063</v>
      </c>
      <c r="HZ14" s="118">
        <f t="shared" si="35"/>
        <v>430096.92183401063</v>
      </c>
      <c r="IA14" s="118">
        <f t="shared" si="35"/>
        <v>430096.92183401063</v>
      </c>
      <c r="IB14" s="118">
        <f t="shared" si="35"/>
        <v>430096.92183401063</v>
      </c>
      <c r="IC14" s="118">
        <f t="shared" si="35"/>
        <v>430096.92183401063</v>
      </c>
      <c r="ID14" s="118">
        <f t="shared" si="35"/>
        <v>430096.92183401063</v>
      </c>
      <c r="IE14" s="118">
        <f t="shared" si="35"/>
        <v>430096.92183401063</v>
      </c>
      <c r="IF14" s="118">
        <f t="shared" si="35"/>
        <v>430096.92183401063</v>
      </c>
      <c r="IG14" s="118">
        <f t="shared" si="35"/>
        <v>430096.92183401063</v>
      </c>
      <c r="IH14" s="118">
        <f t="shared" si="35"/>
        <v>430096.92183401063</v>
      </c>
      <c r="II14" s="118">
        <f t="shared" si="35"/>
        <v>430096.92183401063</v>
      </c>
      <c r="IJ14" s="118">
        <f t="shared" si="35"/>
        <v>430096.92183401063</v>
      </c>
      <c r="IK14" s="118">
        <f t="shared" si="35"/>
        <v>430096.92183401063</v>
      </c>
      <c r="IL14" s="118">
        <f t="shared" si="35"/>
        <v>430096.92183401063</v>
      </c>
      <c r="IM14" s="118">
        <f t="shared" si="35"/>
        <v>430096.92183401063</v>
      </c>
      <c r="IN14" s="118">
        <f t="shared" si="35"/>
        <v>430096.92183401063</v>
      </c>
      <c r="IO14" s="118">
        <f t="shared" si="35"/>
        <v>430096.92183401063</v>
      </c>
      <c r="IP14" s="118">
        <f t="shared" si="35"/>
        <v>430096.92183401063</v>
      </c>
      <c r="IQ14" s="118">
        <f t="shared" si="35"/>
        <v>430096.92183401063</v>
      </c>
      <c r="IR14" s="118">
        <f t="shared" si="35"/>
        <v>430096.92183401063</v>
      </c>
      <c r="IS14" s="118">
        <f t="shared" si="35"/>
        <v>430096.92183401063</v>
      </c>
      <c r="IT14" s="118">
        <f t="shared" si="35"/>
        <v>430096.92183401063</v>
      </c>
      <c r="IU14" s="118">
        <f t="shared" si="35"/>
        <v>430096.92183401063</v>
      </c>
      <c r="IV14" s="118">
        <f t="shared" si="35"/>
        <v>430096.92183401063</v>
      </c>
      <c r="IW14" s="118">
        <f t="shared" si="35"/>
        <v>430096.92183401063</v>
      </c>
      <c r="IX14" s="118">
        <f t="shared" si="35"/>
        <v>430096.92183401063</v>
      </c>
      <c r="IY14" s="118">
        <f t="shared" si="35"/>
        <v>430096.92183401063</v>
      </c>
      <c r="IZ14" s="118">
        <f t="shared" si="35"/>
        <v>430096.92183401063</v>
      </c>
      <c r="JA14" s="118">
        <f t="shared" si="35"/>
        <v>430096.92183401063</v>
      </c>
      <c r="JB14" s="118">
        <f t="shared" si="35"/>
        <v>430096.92183401063</v>
      </c>
      <c r="JC14" s="118">
        <f t="shared" si="35"/>
        <v>430096.92183401063</v>
      </c>
      <c r="JD14" s="118">
        <f t="shared" si="35"/>
        <v>430096.92183401063</v>
      </c>
      <c r="JE14" s="118">
        <f t="shared" ref="JE14:KF14" si="36">JE10-JE12</f>
        <v>430096.92183401063</v>
      </c>
      <c r="JF14" s="118">
        <f t="shared" si="36"/>
        <v>430096.92183401063</v>
      </c>
      <c r="JG14" s="118">
        <f t="shared" si="36"/>
        <v>430096.92183401063</v>
      </c>
      <c r="JH14" s="118">
        <f t="shared" si="36"/>
        <v>430096.92183401063</v>
      </c>
      <c r="JI14" s="118">
        <f t="shared" si="36"/>
        <v>430096.92183401063</v>
      </c>
      <c r="JJ14" s="118">
        <f t="shared" si="36"/>
        <v>430096.92183401063</v>
      </c>
      <c r="JK14" s="118">
        <f t="shared" si="36"/>
        <v>430096.92183401063</v>
      </c>
      <c r="JL14" s="118">
        <f t="shared" si="36"/>
        <v>430096.92183401063</v>
      </c>
      <c r="JM14" s="118">
        <f t="shared" si="36"/>
        <v>430096.92183401063</v>
      </c>
      <c r="JN14" s="118">
        <f t="shared" si="36"/>
        <v>430096.92183401063</v>
      </c>
      <c r="JO14" s="118">
        <f t="shared" si="36"/>
        <v>430096.92183401063</v>
      </c>
      <c r="JP14" s="118">
        <f t="shared" si="36"/>
        <v>430096.92183401063</v>
      </c>
      <c r="JQ14" s="118">
        <f t="shared" si="36"/>
        <v>430096.92183401063</v>
      </c>
      <c r="JR14" s="118">
        <f t="shared" si="36"/>
        <v>430096.92183401063</v>
      </c>
      <c r="JS14" s="118">
        <f t="shared" si="36"/>
        <v>430096.92183401063</v>
      </c>
      <c r="JT14" s="118">
        <f t="shared" si="36"/>
        <v>430096.92183401063</v>
      </c>
      <c r="JU14" s="118">
        <f t="shared" si="36"/>
        <v>430096.92183401063</v>
      </c>
      <c r="JV14" s="118">
        <f t="shared" si="36"/>
        <v>430096.92183401063</v>
      </c>
      <c r="JW14" s="118">
        <f t="shared" si="36"/>
        <v>430096.92183401063</v>
      </c>
      <c r="JX14" s="118">
        <f t="shared" si="36"/>
        <v>430096.92183401063</v>
      </c>
      <c r="JY14" s="118">
        <f t="shared" si="36"/>
        <v>430096.92183401063</v>
      </c>
      <c r="JZ14" s="118">
        <f t="shared" si="36"/>
        <v>430096.92183401063</v>
      </c>
      <c r="KA14" s="118">
        <f t="shared" si="36"/>
        <v>430096.92183401063</v>
      </c>
      <c r="KB14" s="118">
        <f t="shared" si="36"/>
        <v>430096.92183401063</v>
      </c>
      <c r="KC14" s="118">
        <f t="shared" si="36"/>
        <v>430096.92183401063</v>
      </c>
      <c r="KD14" s="118">
        <f t="shared" si="36"/>
        <v>430096.92183401063</v>
      </c>
      <c r="KE14" s="118">
        <f t="shared" si="36"/>
        <v>430096.92183401063</v>
      </c>
      <c r="KF14" s="118">
        <f t="shared" si="36"/>
        <v>430096.92183401063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46"/>
      <c r="B17" s="106" t="s">
        <v>407</v>
      </c>
      <c r="C17" s="275">
        <f>C3-D17</f>
        <v>-207.22505005332641</v>
      </c>
      <c r="D17" s="107">
        <f>SUM(F17:KF17)</f>
        <v>1365089.6068840642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307844.84122836374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295465.18310858164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16870.265796375843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16870.265796375843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6"/>
      <c r="B18" s="106" t="s">
        <v>408</v>
      </c>
      <c r="C18" s="275">
        <f>D17-D18</f>
        <v>0</v>
      </c>
      <c r="D18" s="107">
        <f>MAX(F18:KF18)</f>
        <v>1365089.6068840642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1035883.8921827306</v>
      </c>
      <c r="R18" s="125">
        <f t="shared" si="37"/>
        <v>1035883.8921827306</v>
      </c>
      <c r="S18" s="125">
        <f t="shared" si="37"/>
        <v>1035883.8921827306</v>
      </c>
      <c r="T18" s="125">
        <f t="shared" si="37"/>
        <v>1035883.8921827306</v>
      </c>
      <c r="U18" s="125">
        <f t="shared" si="37"/>
        <v>1331349.0752913123</v>
      </c>
      <c r="V18" s="125">
        <f t="shared" si="37"/>
        <v>1331349.0752913123</v>
      </c>
      <c r="W18" s="125">
        <f t="shared" si="37"/>
        <v>1331349.0752913123</v>
      </c>
      <c r="X18" s="125">
        <f t="shared" si="37"/>
        <v>1331349.0752913123</v>
      </c>
      <c r="Y18" s="125">
        <f t="shared" si="37"/>
        <v>1331349.0752913123</v>
      </c>
      <c r="Z18" s="125">
        <f t="shared" si="37"/>
        <v>1348219.3410876882</v>
      </c>
      <c r="AA18" s="125">
        <f t="shared" si="37"/>
        <v>1348219.3410876882</v>
      </c>
      <c r="AB18" s="125">
        <f t="shared" si="37"/>
        <v>1348219.3410876882</v>
      </c>
      <c r="AC18" s="125">
        <f t="shared" si="37"/>
        <v>1348219.3410876882</v>
      </c>
      <c r="AD18" s="125">
        <f>AC18+AD17</f>
        <v>1365089.6068840642</v>
      </c>
      <c r="AE18" s="125">
        <f t="shared" si="37"/>
        <v>1365089.6068840642</v>
      </c>
      <c r="AF18" s="125">
        <f t="shared" si="37"/>
        <v>1365089.6068840642</v>
      </c>
      <c r="AG18" s="125">
        <f t="shared" si="37"/>
        <v>1365089.6068840642</v>
      </c>
      <c r="AH18" s="125">
        <f t="shared" si="37"/>
        <v>1365089.6068840642</v>
      </c>
      <c r="AI18" s="125">
        <f t="shared" si="37"/>
        <v>1365089.6068840642</v>
      </c>
      <c r="AJ18" s="125">
        <f t="shared" si="37"/>
        <v>1365089.6068840642</v>
      </c>
      <c r="AK18" s="125">
        <f t="shared" si="37"/>
        <v>1365089.6068840642</v>
      </c>
      <c r="AL18" s="125">
        <f t="shared" si="37"/>
        <v>1365089.6068840642</v>
      </c>
      <c r="AM18" s="125">
        <f t="shared" si="37"/>
        <v>1365089.6068840642</v>
      </c>
      <c r="AN18" s="125">
        <f t="shared" si="37"/>
        <v>1365089.6068840642</v>
      </c>
      <c r="AO18" s="125">
        <f t="shared" si="37"/>
        <v>1365089.6068840642</v>
      </c>
      <c r="AP18" s="125">
        <f t="shared" si="37"/>
        <v>1365089.6068840642</v>
      </c>
      <c r="AQ18" s="125">
        <f t="shared" si="37"/>
        <v>1365089.6068840642</v>
      </c>
      <c r="AR18" s="125">
        <f t="shared" si="37"/>
        <v>1365089.6068840642</v>
      </c>
      <c r="AS18" s="125">
        <f t="shared" si="37"/>
        <v>1365089.6068840642</v>
      </c>
      <c r="AT18" s="125">
        <f t="shared" si="37"/>
        <v>1365089.6068840642</v>
      </c>
      <c r="AU18" s="125">
        <f t="shared" si="37"/>
        <v>1365089.6068840642</v>
      </c>
      <c r="AV18" s="125">
        <f t="shared" si="37"/>
        <v>1365089.6068840642</v>
      </c>
      <c r="AW18" s="125">
        <f t="shared" si="37"/>
        <v>1365089.6068840642</v>
      </c>
      <c r="AX18" s="125">
        <f t="shared" si="37"/>
        <v>1365089.6068840642</v>
      </c>
      <c r="AY18" s="125">
        <f t="shared" si="37"/>
        <v>1365089.6068840642</v>
      </c>
      <c r="AZ18" s="125">
        <f t="shared" si="37"/>
        <v>1365089.6068840642</v>
      </c>
      <c r="BA18" s="125">
        <f t="shared" si="37"/>
        <v>1365089.6068840642</v>
      </c>
      <c r="BB18" s="125">
        <f t="shared" si="37"/>
        <v>1365089.6068840642</v>
      </c>
      <c r="BC18" s="125">
        <f t="shared" si="37"/>
        <v>1365089.6068840642</v>
      </c>
      <c r="BD18" s="125">
        <f t="shared" si="37"/>
        <v>1365089.6068840642</v>
      </c>
      <c r="BE18" s="125">
        <f t="shared" si="37"/>
        <v>1365089.6068840642</v>
      </c>
      <c r="BF18" s="125">
        <f t="shared" si="37"/>
        <v>1365089.6068840642</v>
      </c>
      <c r="BG18" s="125">
        <f t="shared" si="37"/>
        <v>1365089.6068840642</v>
      </c>
      <c r="BH18" s="125">
        <f t="shared" si="37"/>
        <v>1365089.6068840642</v>
      </c>
      <c r="BI18" s="125">
        <f t="shared" si="37"/>
        <v>1365089.6068840642</v>
      </c>
      <c r="BJ18" s="125">
        <f t="shared" si="37"/>
        <v>1365089.6068840642</v>
      </c>
      <c r="BK18" s="125">
        <f t="shared" si="37"/>
        <v>1365089.6068840642</v>
      </c>
      <c r="BL18" s="125">
        <f t="shared" si="37"/>
        <v>1365089.6068840642</v>
      </c>
      <c r="BM18" s="125">
        <f t="shared" si="37"/>
        <v>1365089.6068840642</v>
      </c>
      <c r="BN18" s="125">
        <f t="shared" si="37"/>
        <v>1365089.6068840642</v>
      </c>
      <c r="BO18" s="125">
        <f t="shared" si="37"/>
        <v>1365089.6068840642</v>
      </c>
      <c r="BP18" s="125">
        <f t="shared" si="37"/>
        <v>1365089.6068840642</v>
      </c>
      <c r="BQ18" s="125">
        <f t="shared" si="37"/>
        <v>1365089.6068840642</v>
      </c>
      <c r="BR18" s="125">
        <f t="shared" si="37"/>
        <v>1365089.6068840642</v>
      </c>
      <c r="BS18" s="125">
        <f t="shared" si="37"/>
        <v>1365089.6068840642</v>
      </c>
      <c r="BT18" s="125">
        <f t="shared" si="37"/>
        <v>1365089.6068840642</v>
      </c>
      <c r="BU18" s="125">
        <f t="shared" ref="BU18:EF18" si="38">BT18+BU17</f>
        <v>1365089.6068840642</v>
      </c>
      <c r="BV18" s="125">
        <f t="shared" si="38"/>
        <v>1365089.6068840642</v>
      </c>
      <c r="BW18" s="125">
        <f t="shared" si="38"/>
        <v>1365089.6068840642</v>
      </c>
      <c r="BX18" s="125">
        <f t="shared" si="38"/>
        <v>1365089.6068840642</v>
      </c>
      <c r="BY18" s="125">
        <f t="shared" si="38"/>
        <v>1365089.6068840642</v>
      </c>
      <c r="BZ18" s="125">
        <f t="shared" si="38"/>
        <v>1365089.6068840642</v>
      </c>
      <c r="CA18" s="125">
        <f t="shared" si="38"/>
        <v>1365089.6068840642</v>
      </c>
      <c r="CB18" s="125">
        <f t="shared" si="38"/>
        <v>1365089.6068840642</v>
      </c>
      <c r="CC18" s="125">
        <f t="shared" si="38"/>
        <v>1365089.6068840642</v>
      </c>
      <c r="CD18" s="125">
        <f t="shared" si="38"/>
        <v>1365089.6068840642</v>
      </c>
      <c r="CE18" s="125">
        <f t="shared" si="38"/>
        <v>1365089.6068840642</v>
      </c>
      <c r="CF18" s="125">
        <f t="shared" si="38"/>
        <v>1365089.6068840642</v>
      </c>
      <c r="CG18" s="125">
        <f t="shared" si="38"/>
        <v>1365089.6068840642</v>
      </c>
      <c r="CH18" s="125">
        <f t="shared" si="38"/>
        <v>1365089.6068840642</v>
      </c>
      <c r="CI18" s="125">
        <f t="shared" si="38"/>
        <v>1365089.6068840642</v>
      </c>
      <c r="CJ18" s="125">
        <f t="shared" si="38"/>
        <v>1365089.6068840642</v>
      </c>
      <c r="CK18" s="125">
        <f t="shared" si="38"/>
        <v>1365089.6068840642</v>
      </c>
      <c r="CL18" s="125">
        <f t="shared" si="38"/>
        <v>1365089.6068840642</v>
      </c>
      <c r="CM18" s="125">
        <f t="shared" si="38"/>
        <v>1365089.6068840642</v>
      </c>
      <c r="CN18" s="125">
        <f t="shared" si="38"/>
        <v>1365089.6068840642</v>
      </c>
      <c r="CO18" s="125">
        <f t="shared" si="38"/>
        <v>1365089.6068840642</v>
      </c>
      <c r="CP18" s="125">
        <f t="shared" si="38"/>
        <v>1365089.6068840642</v>
      </c>
      <c r="CQ18" s="125">
        <f t="shared" si="38"/>
        <v>1365089.6068840642</v>
      </c>
      <c r="CR18" s="125">
        <f t="shared" si="38"/>
        <v>1365089.6068840642</v>
      </c>
      <c r="CS18" s="125">
        <f t="shared" si="38"/>
        <v>1365089.6068840642</v>
      </c>
      <c r="CT18" s="125">
        <f t="shared" si="38"/>
        <v>1365089.6068840642</v>
      </c>
      <c r="CU18" s="125">
        <f t="shared" si="38"/>
        <v>1365089.6068840642</v>
      </c>
      <c r="CV18" s="125">
        <f t="shared" si="38"/>
        <v>1365089.6068840642</v>
      </c>
      <c r="CW18" s="125">
        <f t="shared" si="38"/>
        <v>1365089.6068840642</v>
      </c>
      <c r="CX18" s="125">
        <f t="shared" si="38"/>
        <v>1365089.6068840642</v>
      </c>
      <c r="CY18" s="125">
        <f t="shared" si="38"/>
        <v>1365089.6068840642</v>
      </c>
      <c r="CZ18" s="125">
        <f t="shared" si="38"/>
        <v>1365089.6068840642</v>
      </c>
      <c r="DA18" s="125">
        <f t="shared" si="38"/>
        <v>1365089.6068840642</v>
      </c>
      <c r="DB18" s="125">
        <f t="shared" si="38"/>
        <v>1365089.6068840642</v>
      </c>
      <c r="DC18" s="125">
        <f t="shared" si="38"/>
        <v>1365089.6068840642</v>
      </c>
      <c r="DD18" s="125">
        <f t="shared" si="38"/>
        <v>1365089.6068840642</v>
      </c>
      <c r="DE18" s="125">
        <f t="shared" si="38"/>
        <v>1365089.6068840642</v>
      </c>
      <c r="DF18" s="125">
        <f t="shared" si="38"/>
        <v>1365089.6068840642</v>
      </c>
      <c r="DG18" s="125">
        <f t="shared" si="38"/>
        <v>1365089.6068840642</v>
      </c>
      <c r="DH18" s="125">
        <f t="shared" si="38"/>
        <v>1365089.6068840642</v>
      </c>
      <c r="DI18" s="125">
        <f t="shared" si="38"/>
        <v>1365089.6068840642</v>
      </c>
      <c r="DJ18" s="125">
        <f t="shared" si="38"/>
        <v>1365089.6068840642</v>
      </c>
      <c r="DK18" s="125">
        <f t="shared" si="38"/>
        <v>1365089.6068840642</v>
      </c>
      <c r="DL18" s="125">
        <f t="shared" si="38"/>
        <v>1365089.6068840642</v>
      </c>
      <c r="DM18" s="125">
        <f t="shared" si="38"/>
        <v>1365089.6068840642</v>
      </c>
      <c r="DN18" s="125">
        <f t="shared" si="38"/>
        <v>1365089.6068840642</v>
      </c>
      <c r="DO18" s="125">
        <f t="shared" si="38"/>
        <v>1365089.6068840642</v>
      </c>
      <c r="DP18" s="125">
        <f t="shared" si="38"/>
        <v>1365089.6068840642</v>
      </c>
      <c r="DQ18" s="125">
        <f t="shared" si="38"/>
        <v>1365089.6068840642</v>
      </c>
      <c r="DR18" s="125">
        <f t="shared" si="38"/>
        <v>1365089.6068840642</v>
      </c>
      <c r="DS18" s="125">
        <f t="shared" si="38"/>
        <v>1365089.6068840642</v>
      </c>
      <c r="DT18" s="125">
        <f t="shared" si="38"/>
        <v>1365089.6068840642</v>
      </c>
      <c r="DU18" s="125">
        <f t="shared" si="38"/>
        <v>1365089.6068840642</v>
      </c>
      <c r="DV18" s="125">
        <f t="shared" si="38"/>
        <v>1365089.6068840642</v>
      </c>
      <c r="DW18" s="125">
        <f t="shared" si="38"/>
        <v>1365089.6068840642</v>
      </c>
      <c r="DX18" s="125">
        <f t="shared" si="38"/>
        <v>1365089.6068840642</v>
      </c>
      <c r="DY18" s="125">
        <f t="shared" si="38"/>
        <v>1365089.6068840642</v>
      </c>
      <c r="DZ18" s="125">
        <f t="shared" si="38"/>
        <v>1365089.6068840642</v>
      </c>
      <c r="EA18" s="125">
        <f t="shared" si="38"/>
        <v>1365089.6068840642</v>
      </c>
      <c r="EB18" s="125">
        <f t="shared" si="38"/>
        <v>1365089.6068840642</v>
      </c>
      <c r="EC18" s="125">
        <f t="shared" si="38"/>
        <v>1365089.6068840642</v>
      </c>
      <c r="ED18" s="125">
        <f t="shared" si="38"/>
        <v>1365089.6068840642</v>
      </c>
      <c r="EE18" s="125">
        <f t="shared" si="38"/>
        <v>1365089.6068840642</v>
      </c>
      <c r="EF18" s="125">
        <f t="shared" si="38"/>
        <v>1365089.6068840642</v>
      </c>
      <c r="EG18" s="125">
        <f t="shared" ref="EG18:GR18" si="39">EF18+EG17</f>
        <v>1365089.6068840642</v>
      </c>
      <c r="EH18" s="125">
        <f t="shared" si="39"/>
        <v>1365089.6068840642</v>
      </c>
      <c r="EI18" s="125">
        <f t="shared" si="39"/>
        <v>1365089.6068840642</v>
      </c>
      <c r="EJ18" s="125">
        <f t="shared" si="39"/>
        <v>1365089.6068840642</v>
      </c>
      <c r="EK18" s="125">
        <f t="shared" si="39"/>
        <v>1365089.6068840642</v>
      </c>
      <c r="EL18" s="125">
        <f t="shared" si="39"/>
        <v>1365089.6068840642</v>
      </c>
      <c r="EM18" s="125">
        <f t="shared" si="39"/>
        <v>1365089.6068840642</v>
      </c>
      <c r="EN18" s="125">
        <f t="shared" si="39"/>
        <v>1365089.6068840642</v>
      </c>
      <c r="EO18" s="125">
        <f t="shared" si="39"/>
        <v>1365089.6068840642</v>
      </c>
      <c r="EP18" s="125">
        <f t="shared" si="39"/>
        <v>1365089.6068840642</v>
      </c>
      <c r="EQ18" s="125">
        <f t="shared" si="39"/>
        <v>1365089.6068840642</v>
      </c>
      <c r="ER18" s="125">
        <f t="shared" si="39"/>
        <v>1365089.6068840642</v>
      </c>
      <c r="ES18" s="125">
        <f t="shared" si="39"/>
        <v>1365089.6068840642</v>
      </c>
      <c r="ET18" s="125">
        <f t="shared" si="39"/>
        <v>1365089.6068840642</v>
      </c>
      <c r="EU18" s="125">
        <f t="shared" si="39"/>
        <v>1365089.6068840642</v>
      </c>
      <c r="EV18" s="125">
        <f t="shared" si="39"/>
        <v>1365089.6068840642</v>
      </c>
      <c r="EW18" s="125">
        <f t="shared" si="39"/>
        <v>1365089.6068840642</v>
      </c>
      <c r="EX18" s="125">
        <f t="shared" si="39"/>
        <v>1365089.6068840642</v>
      </c>
      <c r="EY18" s="125">
        <f t="shared" si="39"/>
        <v>1365089.6068840642</v>
      </c>
      <c r="EZ18" s="125">
        <f t="shared" si="39"/>
        <v>1365089.6068840642</v>
      </c>
      <c r="FA18" s="125">
        <f t="shared" si="39"/>
        <v>1365089.6068840642</v>
      </c>
      <c r="FB18" s="125">
        <f t="shared" si="39"/>
        <v>1365089.6068840642</v>
      </c>
      <c r="FC18" s="125">
        <f t="shared" si="39"/>
        <v>1365089.6068840642</v>
      </c>
      <c r="FD18" s="125">
        <f t="shared" si="39"/>
        <v>1365089.6068840642</v>
      </c>
      <c r="FE18" s="125">
        <f t="shared" si="39"/>
        <v>1365089.6068840642</v>
      </c>
      <c r="FF18" s="125">
        <f t="shared" si="39"/>
        <v>1365089.6068840642</v>
      </c>
      <c r="FG18" s="125">
        <f t="shared" si="39"/>
        <v>1365089.6068840642</v>
      </c>
      <c r="FH18" s="125">
        <f t="shared" si="39"/>
        <v>1365089.6068840642</v>
      </c>
      <c r="FI18" s="125">
        <f t="shared" si="39"/>
        <v>1365089.6068840642</v>
      </c>
      <c r="FJ18" s="125">
        <f t="shared" si="39"/>
        <v>1365089.6068840642</v>
      </c>
      <c r="FK18" s="125">
        <f t="shared" si="39"/>
        <v>1365089.6068840642</v>
      </c>
      <c r="FL18" s="125">
        <f t="shared" si="39"/>
        <v>1365089.6068840642</v>
      </c>
      <c r="FM18" s="125">
        <f t="shared" si="39"/>
        <v>1365089.6068840642</v>
      </c>
      <c r="FN18" s="125">
        <f t="shared" si="39"/>
        <v>1365089.6068840642</v>
      </c>
      <c r="FO18" s="125">
        <f t="shared" si="39"/>
        <v>1365089.6068840642</v>
      </c>
      <c r="FP18" s="125">
        <f t="shared" si="39"/>
        <v>1365089.6068840642</v>
      </c>
      <c r="FQ18" s="125">
        <f t="shared" si="39"/>
        <v>1365089.6068840642</v>
      </c>
      <c r="FR18" s="125">
        <f t="shared" si="39"/>
        <v>1365089.6068840642</v>
      </c>
      <c r="FS18" s="125">
        <f t="shared" si="39"/>
        <v>1365089.6068840642</v>
      </c>
      <c r="FT18" s="125">
        <f t="shared" si="39"/>
        <v>1365089.6068840642</v>
      </c>
      <c r="FU18" s="125">
        <f t="shared" si="39"/>
        <v>1365089.6068840642</v>
      </c>
      <c r="FV18" s="125">
        <f t="shared" si="39"/>
        <v>1365089.6068840642</v>
      </c>
      <c r="FW18" s="125">
        <f t="shared" si="39"/>
        <v>1365089.6068840642</v>
      </c>
      <c r="FX18" s="125">
        <f t="shared" si="39"/>
        <v>1365089.6068840642</v>
      </c>
      <c r="FY18" s="125">
        <f t="shared" si="39"/>
        <v>1365089.6068840642</v>
      </c>
      <c r="FZ18" s="125">
        <f t="shared" si="39"/>
        <v>1365089.6068840642</v>
      </c>
      <c r="GA18" s="125">
        <f t="shared" si="39"/>
        <v>1365089.6068840642</v>
      </c>
      <c r="GB18" s="125">
        <f t="shared" si="39"/>
        <v>1365089.6068840642</v>
      </c>
      <c r="GC18" s="125">
        <f t="shared" si="39"/>
        <v>1365089.6068840642</v>
      </c>
      <c r="GD18" s="125">
        <f t="shared" si="39"/>
        <v>1365089.6068840642</v>
      </c>
      <c r="GE18" s="125">
        <f t="shared" si="39"/>
        <v>1365089.6068840642</v>
      </c>
      <c r="GF18" s="125">
        <f t="shared" si="39"/>
        <v>1365089.6068840642</v>
      </c>
      <c r="GG18" s="125">
        <f t="shared" si="39"/>
        <v>1365089.6068840642</v>
      </c>
      <c r="GH18" s="125">
        <f t="shared" si="39"/>
        <v>1365089.6068840642</v>
      </c>
      <c r="GI18" s="125">
        <f t="shared" si="39"/>
        <v>1365089.6068840642</v>
      </c>
      <c r="GJ18" s="125">
        <f t="shared" si="39"/>
        <v>1365089.6068840642</v>
      </c>
      <c r="GK18" s="125">
        <f t="shared" si="39"/>
        <v>1365089.6068840642</v>
      </c>
      <c r="GL18" s="125">
        <f t="shared" si="39"/>
        <v>1365089.6068840642</v>
      </c>
      <c r="GM18" s="125">
        <f t="shared" si="39"/>
        <v>1365089.6068840642</v>
      </c>
      <c r="GN18" s="125">
        <f t="shared" si="39"/>
        <v>1365089.6068840642</v>
      </c>
      <c r="GO18" s="125">
        <f t="shared" si="39"/>
        <v>1365089.6068840642</v>
      </c>
      <c r="GP18" s="125">
        <f t="shared" si="39"/>
        <v>1365089.6068840642</v>
      </c>
      <c r="GQ18" s="125">
        <f t="shared" si="39"/>
        <v>1365089.6068840642</v>
      </c>
      <c r="GR18" s="125">
        <f t="shared" si="39"/>
        <v>1365089.6068840642</v>
      </c>
      <c r="GS18" s="125">
        <f t="shared" ref="GS18:JD18" si="40">GR18+GS17</f>
        <v>1365089.6068840642</v>
      </c>
      <c r="GT18" s="125">
        <f t="shared" si="40"/>
        <v>1365089.6068840642</v>
      </c>
      <c r="GU18" s="125">
        <f t="shared" si="40"/>
        <v>1365089.6068840642</v>
      </c>
      <c r="GV18" s="125">
        <f t="shared" si="40"/>
        <v>1365089.6068840642</v>
      </c>
      <c r="GW18" s="125">
        <f t="shared" si="40"/>
        <v>1365089.6068840642</v>
      </c>
      <c r="GX18" s="125">
        <f t="shared" si="40"/>
        <v>1365089.6068840642</v>
      </c>
      <c r="GY18" s="125">
        <f t="shared" si="40"/>
        <v>1365089.6068840642</v>
      </c>
      <c r="GZ18" s="125">
        <f t="shared" si="40"/>
        <v>1365089.6068840642</v>
      </c>
      <c r="HA18" s="125">
        <f t="shared" si="40"/>
        <v>1365089.6068840642</v>
      </c>
      <c r="HB18" s="125">
        <f t="shared" si="40"/>
        <v>1365089.6068840642</v>
      </c>
      <c r="HC18" s="125">
        <f t="shared" si="40"/>
        <v>1365089.6068840642</v>
      </c>
      <c r="HD18" s="125">
        <f t="shared" si="40"/>
        <v>1365089.6068840642</v>
      </c>
      <c r="HE18" s="125">
        <f t="shared" si="40"/>
        <v>1365089.6068840642</v>
      </c>
      <c r="HF18" s="125">
        <f t="shared" si="40"/>
        <v>1365089.6068840642</v>
      </c>
      <c r="HG18" s="125">
        <f t="shared" si="40"/>
        <v>1365089.6068840642</v>
      </c>
      <c r="HH18" s="125">
        <f t="shared" si="40"/>
        <v>1365089.6068840642</v>
      </c>
      <c r="HI18" s="125">
        <f t="shared" si="40"/>
        <v>1365089.6068840642</v>
      </c>
      <c r="HJ18" s="125">
        <f t="shared" si="40"/>
        <v>1365089.6068840642</v>
      </c>
      <c r="HK18" s="125">
        <f t="shared" si="40"/>
        <v>1365089.6068840642</v>
      </c>
      <c r="HL18" s="125">
        <f t="shared" si="40"/>
        <v>1365089.6068840642</v>
      </c>
      <c r="HM18" s="125">
        <f t="shared" si="40"/>
        <v>1365089.6068840642</v>
      </c>
      <c r="HN18" s="125">
        <f t="shared" si="40"/>
        <v>1365089.6068840642</v>
      </c>
      <c r="HO18" s="125">
        <f t="shared" si="40"/>
        <v>1365089.6068840642</v>
      </c>
      <c r="HP18" s="125">
        <f t="shared" si="40"/>
        <v>1365089.6068840642</v>
      </c>
      <c r="HQ18" s="125">
        <f t="shared" si="40"/>
        <v>1365089.6068840642</v>
      </c>
      <c r="HR18" s="125">
        <f t="shared" si="40"/>
        <v>1365089.6068840642</v>
      </c>
      <c r="HS18" s="125">
        <f t="shared" si="40"/>
        <v>1365089.6068840642</v>
      </c>
      <c r="HT18" s="125">
        <f t="shared" si="40"/>
        <v>1365089.6068840642</v>
      </c>
      <c r="HU18" s="125">
        <f t="shared" si="40"/>
        <v>1365089.6068840642</v>
      </c>
      <c r="HV18" s="125">
        <f t="shared" si="40"/>
        <v>1365089.6068840642</v>
      </c>
      <c r="HW18" s="125">
        <f t="shared" si="40"/>
        <v>1365089.6068840642</v>
      </c>
      <c r="HX18" s="125">
        <f t="shared" si="40"/>
        <v>1365089.6068840642</v>
      </c>
      <c r="HY18" s="125">
        <f t="shared" si="40"/>
        <v>1365089.6068840642</v>
      </c>
      <c r="HZ18" s="125">
        <f t="shared" si="40"/>
        <v>1365089.6068840642</v>
      </c>
      <c r="IA18" s="125">
        <f t="shared" si="40"/>
        <v>1365089.6068840642</v>
      </c>
      <c r="IB18" s="125">
        <f t="shared" si="40"/>
        <v>1365089.6068840642</v>
      </c>
      <c r="IC18" s="125">
        <f t="shared" si="40"/>
        <v>1365089.6068840642</v>
      </c>
      <c r="ID18" s="125">
        <f t="shared" si="40"/>
        <v>1365089.6068840642</v>
      </c>
      <c r="IE18" s="125">
        <f t="shared" si="40"/>
        <v>1365089.6068840642</v>
      </c>
      <c r="IF18" s="125">
        <f t="shared" si="40"/>
        <v>1365089.6068840642</v>
      </c>
      <c r="IG18" s="125">
        <f t="shared" si="40"/>
        <v>1365089.6068840642</v>
      </c>
      <c r="IH18" s="125">
        <f t="shared" si="40"/>
        <v>1365089.6068840642</v>
      </c>
      <c r="II18" s="125">
        <f t="shared" si="40"/>
        <v>1365089.6068840642</v>
      </c>
      <c r="IJ18" s="125">
        <f t="shared" si="40"/>
        <v>1365089.6068840642</v>
      </c>
      <c r="IK18" s="125">
        <f t="shared" si="40"/>
        <v>1365089.6068840642</v>
      </c>
      <c r="IL18" s="125">
        <f t="shared" si="40"/>
        <v>1365089.6068840642</v>
      </c>
      <c r="IM18" s="125">
        <f t="shared" si="40"/>
        <v>1365089.6068840642</v>
      </c>
      <c r="IN18" s="125">
        <f t="shared" si="40"/>
        <v>1365089.6068840642</v>
      </c>
      <c r="IO18" s="125">
        <f t="shared" si="40"/>
        <v>1365089.6068840642</v>
      </c>
      <c r="IP18" s="125">
        <f t="shared" si="40"/>
        <v>1365089.6068840642</v>
      </c>
      <c r="IQ18" s="125">
        <f t="shared" si="40"/>
        <v>1365089.6068840642</v>
      </c>
      <c r="IR18" s="125">
        <f t="shared" si="40"/>
        <v>1365089.6068840642</v>
      </c>
      <c r="IS18" s="125">
        <f t="shared" si="40"/>
        <v>1365089.6068840642</v>
      </c>
      <c r="IT18" s="125">
        <f t="shared" si="40"/>
        <v>1365089.6068840642</v>
      </c>
      <c r="IU18" s="125">
        <f t="shared" si="40"/>
        <v>1365089.6068840642</v>
      </c>
      <c r="IV18" s="125">
        <f t="shared" si="40"/>
        <v>1365089.6068840642</v>
      </c>
      <c r="IW18" s="125">
        <f t="shared" si="40"/>
        <v>1365089.6068840642</v>
      </c>
      <c r="IX18" s="125">
        <f t="shared" si="40"/>
        <v>1365089.6068840642</v>
      </c>
      <c r="IY18" s="125">
        <f t="shared" si="40"/>
        <v>1365089.6068840642</v>
      </c>
      <c r="IZ18" s="125">
        <f t="shared" si="40"/>
        <v>1365089.6068840642</v>
      </c>
      <c r="JA18" s="125">
        <f t="shared" si="40"/>
        <v>1365089.6068840642</v>
      </c>
      <c r="JB18" s="125">
        <f t="shared" si="40"/>
        <v>1365089.6068840642</v>
      </c>
      <c r="JC18" s="125">
        <f t="shared" si="40"/>
        <v>1365089.6068840642</v>
      </c>
      <c r="JD18" s="125">
        <f t="shared" si="40"/>
        <v>1365089.6068840642</v>
      </c>
      <c r="JE18" s="125">
        <f t="shared" ref="JE18:KF18" si="41">JD18+JE17</f>
        <v>1365089.6068840642</v>
      </c>
      <c r="JF18" s="125">
        <f t="shared" si="41"/>
        <v>1365089.6068840642</v>
      </c>
      <c r="JG18" s="125">
        <f t="shared" si="41"/>
        <v>1365089.6068840642</v>
      </c>
      <c r="JH18" s="125">
        <f t="shared" si="41"/>
        <v>1365089.6068840642</v>
      </c>
      <c r="JI18" s="125">
        <f t="shared" si="41"/>
        <v>1365089.6068840642</v>
      </c>
      <c r="JJ18" s="125">
        <f t="shared" si="41"/>
        <v>1365089.6068840642</v>
      </c>
      <c r="JK18" s="125">
        <f t="shared" si="41"/>
        <v>1365089.6068840642</v>
      </c>
      <c r="JL18" s="125">
        <f t="shared" si="41"/>
        <v>1365089.6068840642</v>
      </c>
      <c r="JM18" s="125">
        <f t="shared" si="41"/>
        <v>1365089.6068840642</v>
      </c>
      <c r="JN18" s="125">
        <f t="shared" si="41"/>
        <v>1365089.6068840642</v>
      </c>
      <c r="JO18" s="125">
        <f t="shared" si="41"/>
        <v>1365089.6068840642</v>
      </c>
      <c r="JP18" s="125">
        <f t="shared" si="41"/>
        <v>1365089.6068840642</v>
      </c>
      <c r="JQ18" s="125">
        <f t="shared" si="41"/>
        <v>1365089.6068840642</v>
      </c>
      <c r="JR18" s="125">
        <f t="shared" si="41"/>
        <v>1365089.6068840642</v>
      </c>
      <c r="JS18" s="125">
        <f t="shared" si="41"/>
        <v>1365089.6068840642</v>
      </c>
      <c r="JT18" s="125">
        <f t="shared" si="41"/>
        <v>1365089.6068840642</v>
      </c>
      <c r="JU18" s="125">
        <f t="shared" si="41"/>
        <v>1365089.6068840642</v>
      </c>
      <c r="JV18" s="125">
        <f t="shared" si="41"/>
        <v>1365089.6068840642</v>
      </c>
      <c r="JW18" s="125">
        <f t="shared" si="41"/>
        <v>1365089.6068840642</v>
      </c>
      <c r="JX18" s="125">
        <f t="shared" si="41"/>
        <v>1365089.6068840642</v>
      </c>
      <c r="JY18" s="125">
        <f t="shared" si="41"/>
        <v>1365089.6068840642</v>
      </c>
      <c r="JZ18" s="125">
        <f t="shared" si="41"/>
        <v>1365089.6068840642</v>
      </c>
      <c r="KA18" s="125">
        <f t="shared" si="41"/>
        <v>1365089.6068840642</v>
      </c>
      <c r="KB18" s="125">
        <f t="shared" si="41"/>
        <v>1365089.6068840642</v>
      </c>
      <c r="KC18" s="125">
        <f t="shared" si="41"/>
        <v>1365089.6068840642</v>
      </c>
      <c r="KD18" s="125">
        <f t="shared" si="41"/>
        <v>1365089.6068840642</v>
      </c>
      <c r="KE18" s="125">
        <f t="shared" si="41"/>
        <v>1365089.6068840642</v>
      </c>
      <c r="KF18" s="125">
        <f t="shared" si="41"/>
        <v>1365089.6068840642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D21" sqref="D21"/>
    </sheetView>
  </sheetViews>
  <sheetFormatPr defaultColWidth="12.140625" defaultRowHeight="14.45"/>
  <cols>
    <col min="1" max="1" width="39.42578125" style="269" bestFit="1" customWidth="1"/>
    <col min="2" max="2" width="17.140625" style="270" bestFit="1" customWidth="1"/>
    <col min="3" max="3" width="11.85546875" style="269" bestFit="1" customWidth="1"/>
    <col min="4" max="4" width="13.140625" style="269" bestFit="1" customWidth="1"/>
    <col min="5" max="5" width="4.85546875" style="269" bestFit="1" customWidth="1"/>
    <col min="6" max="7" width="13.140625" style="269" bestFit="1" customWidth="1"/>
    <col min="8" max="8" width="12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409</v>
      </c>
      <c r="B3" s="540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413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>
        <v>485847.98500000004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>
        <v>150000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294</v>
      </c>
      <c r="B8" s="272"/>
      <c r="C8" s="272"/>
      <c r="D8" s="272">
        <v>6504.8589146664526</v>
      </c>
      <c r="E8" s="272">
        <v>0</v>
      </c>
      <c r="F8" s="272">
        <v>82021.391085333555</v>
      </c>
      <c r="G8" s="272"/>
      <c r="H8" s="272"/>
      <c r="I8" s="272">
        <v>88526.25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308</v>
      </c>
      <c r="B9" s="272"/>
      <c r="C9" s="272"/>
      <c r="D9" s="272">
        <v>19757.965747389899</v>
      </c>
      <c r="E9" s="272">
        <v>0</v>
      </c>
      <c r="F9" s="272">
        <v>110477.8870104404</v>
      </c>
      <c r="G9" s="272">
        <v>55322.304092691717</v>
      </c>
      <c r="H9" s="272">
        <v>3951.5931494779798</v>
      </c>
      <c r="I9" s="272">
        <v>189509.75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/>
      <c r="E10" s="272"/>
      <c r="F10" s="272"/>
      <c r="G10" s="272"/>
      <c r="H10" s="272"/>
      <c r="I10" s="272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326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53537.131419615253</v>
      </c>
      <c r="H11" s="272">
        <v>3824.0808156868043</v>
      </c>
      <c r="I11" s="272">
        <v>174982.43478260867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333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>
        <v>43035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34758.333333333336</v>
      </c>
      <c r="E13" s="272">
        <v>0</v>
      </c>
      <c r="F13" s="272"/>
      <c r="G13" s="272">
        <v>97323.333333333358</v>
      </c>
      <c r="H13" s="272">
        <v>6951.6666666666679</v>
      </c>
      <c r="I13" s="272">
        <v>139033.33333333334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345</v>
      </c>
      <c r="B14" s="272"/>
      <c r="C14" s="272"/>
      <c r="D14" s="272">
        <v>10921.851851851852</v>
      </c>
      <c r="E14" s="272">
        <v>0</v>
      </c>
      <c r="F14" s="272"/>
      <c r="G14" s="272">
        <v>30581.18518518519</v>
      </c>
      <c r="H14" s="272">
        <v>2184.3703703703704</v>
      </c>
      <c r="I14" s="272">
        <v>43687.407407407416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349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/>
      <c r="E16" s="272">
        <v>0</v>
      </c>
      <c r="F16" s="272"/>
      <c r="G16" s="272">
        <v>15121.332421772069</v>
      </c>
      <c r="H16" s="272"/>
      <c r="I16" s="272">
        <v>15121.332421772069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363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894.50553347346977</v>
      </c>
      <c r="G17" s="272">
        <v>894.50553347346977</v>
      </c>
      <c r="H17" s="272"/>
      <c r="I17" s="272">
        <v>2916.6630956381382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291894.60209811997</v>
      </c>
      <c r="G21" s="272">
        <v>328037.01420829329</v>
      </c>
      <c r="H21" s="272">
        <v>16911.711002201824</v>
      </c>
      <c r="I21" s="272">
        <v>1364882.378262982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1.85546875" bestFit="1" customWidth="1"/>
    <col min="2" max="2" width="17.140625" style="308" bestFit="1" customWidth="1"/>
    <col min="3" max="3" width="11.85546875" style="308" bestFit="1" customWidth="1"/>
    <col min="4" max="4" width="13.140625" style="308" bestFit="1" customWidth="1"/>
    <col min="5" max="5" width="4.85546875" style="308" bestFit="1" customWidth="1"/>
    <col min="6" max="7" width="13.140625" style="308" bestFit="1" customWidth="1"/>
    <col min="8" max="8" width="12" style="308" bestFit="1" customWidth="1"/>
    <col min="9" max="9" width="13.1406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414</v>
      </c>
      <c r="B3" s="540" t="s">
        <v>410</v>
      </c>
      <c r="C3"/>
      <c r="D3"/>
      <c r="E3"/>
      <c r="F3"/>
      <c r="G3"/>
      <c r="H3"/>
      <c r="I3"/>
    </row>
    <row r="4" spans="1:9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413</v>
      </c>
    </row>
    <row r="5" spans="1:9">
      <c r="A5" s="345" t="s">
        <v>412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>
        <v>306891</v>
      </c>
      <c r="E6" s="347"/>
      <c r="F6" s="347"/>
      <c r="G6" s="347"/>
      <c r="H6" s="347"/>
      <c r="I6" s="347">
        <v>306891</v>
      </c>
    </row>
    <row r="7" spans="1:9">
      <c r="A7" s="345" t="s">
        <v>282</v>
      </c>
      <c r="B7" s="347"/>
      <c r="C7" s="347"/>
      <c r="D7" s="347">
        <v>112476.43000000001</v>
      </c>
      <c r="E7" s="347"/>
      <c r="F7" s="347"/>
      <c r="G7" s="347"/>
      <c r="H7" s="347"/>
      <c r="I7" s="347">
        <v>112476.43000000001</v>
      </c>
    </row>
    <row r="8" spans="1:9">
      <c r="A8" s="345" t="s">
        <v>294</v>
      </c>
      <c r="B8" s="347"/>
      <c r="C8" s="347"/>
      <c r="D8" s="347">
        <v>5492</v>
      </c>
      <c r="E8" s="347"/>
      <c r="F8" s="347">
        <v>69250</v>
      </c>
      <c r="G8" s="347"/>
      <c r="H8" s="347"/>
      <c r="I8" s="347">
        <v>74742</v>
      </c>
    </row>
    <row r="9" spans="1:9">
      <c r="A9" s="345" t="s">
        <v>308</v>
      </c>
      <c r="B9" s="347"/>
      <c r="C9" s="347"/>
      <c r="D9" s="347">
        <v>9836.25</v>
      </c>
      <c r="E9" s="347"/>
      <c r="F9" s="347">
        <v>55000</v>
      </c>
      <c r="G9" s="347">
        <v>27541.5</v>
      </c>
      <c r="H9" s="347">
        <v>1967.25</v>
      </c>
      <c r="I9" s="347">
        <v>94345</v>
      </c>
    </row>
    <row r="10" spans="1:9">
      <c r="A10" s="345" t="s">
        <v>324</v>
      </c>
      <c r="B10" s="347"/>
      <c r="C10" s="347"/>
      <c r="D10" s="347"/>
      <c r="E10" s="347"/>
      <c r="F10" s="347"/>
      <c r="G10" s="347"/>
      <c r="H10" s="347"/>
      <c r="I10" s="347"/>
    </row>
    <row r="11" spans="1:9">
      <c r="A11" s="345" t="s">
        <v>326</v>
      </c>
      <c r="B11" s="347"/>
      <c r="C11" s="347"/>
      <c r="D11" s="347">
        <v>15738</v>
      </c>
      <c r="E11" s="347"/>
      <c r="F11" s="347">
        <v>81076</v>
      </c>
      <c r="G11" s="347">
        <v>44066.400000000001</v>
      </c>
      <c r="H11" s="347">
        <v>3147.6000000000004</v>
      </c>
      <c r="I11" s="347">
        <v>144028</v>
      </c>
    </row>
    <row r="12" spans="1:9">
      <c r="A12" s="345" t="s">
        <v>333</v>
      </c>
      <c r="B12" s="347"/>
      <c r="C12" s="347"/>
      <c r="D12" s="347"/>
      <c r="E12" s="347"/>
      <c r="F12" s="347"/>
      <c r="G12" s="347">
        <v>34428</v>
      </c>
      <c r="H12" s="347"/>
      <c r="I12" s="347">
        <v>34428</v>
      </c>
    </row>
    <row r="13" spans="1:9">
      <c r="A13" s="345" t="s">
        <v>340</v>
      </c>
      <c r="B13" s="347"/>
      <c r="C13" s="347"/>
      <c r="D13" s="347">
        <v>33836.699999999997</v>
      </c>
      <c r="E13" s="347"/>
      <c r="F13" s="347"/>
      <c r="G13" s="347">
        <v>94742.75999999998</v>
      </c>
      <c r="H13" s="347">
        <v>6767.34</v>
      </c>
      <c r="I13" s="347">
        <v>135346.79999999999</v>
      </c>
    </row>
    <row r="14" spans="1:9">
      <c r="A14" s="345" t="s">
        <v>345</v>
      </c>
      <c r="B14" s="347"/>
      <c r="C14" s="347"/>
      <c r="D14" s="347">
        <v>5577.95</v>
      </c>
      <c r="E14" s="347"/>
      <c r="F14" s="347"/>
      <c r="G14" s="347">
        <v>15618.26</v>
      </c>
      <c r="H14" s="347">
        <v>1115.5899999999999</v>
      </c>
      <c r="I14" s="347">
        <v>22311.8</v>
      </c>
    </row>
    <row r="15" spans="1:9">
      <c r="A15" s="345" t="s">
        <v>349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>
        <v>18577.5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17061.029772925136</v>
      </c>
      <c r="H16" s="347"/>
      <c r="I16" s="347">
        <v>17061.029772925136</v>
      </c>
    </row>
    <row r="17" spans="1:9">
      <c r="A17" s="345" t="s">
        <v>363</v>
      </c>
      <c r="B17" s="347"/>
      <c r="C17" s="347">
        <v>428.4</v>
      </c>
      <c r="D17" s="347">
        <v>456.96</v>
      </c>
      <c r="E17" s="347"/>
      <c r="F17" s="347">
        <v>656.25</v>
      </c>
      <c r="G17" s="347">
        <v>656.25</v>
      </c>
      <c r="H17" s="347"/>
      <c r="I17" s="347">
        <v>2197.8599999999997</v>
      </c>
    </row>
    <row r="18" spans="1:9">
      <c r="A18" s="345" t="s">
        <v>367</v>
      </c>
      <c r="B18" s="347"/>
      <c r="C18" s="347">
        <v>450</v>
      </c>
      <c r="D18" s="347"/>
      <c r="E18" s="347"/>
      <c r="F18" s="347"/>
      <c r="G18" s="347"/>
      <c r="H18" s="347"/>
      <c r="I18" s="347">
        <v>450</v>
      </c>
    </row>
    <row r="19" spans="1:9">
      <c r="A19" s="345" t="s">
        <v>356</v>
      </c>
      <c r="B19" s="347"/>
      <c r="C19" s="347"/>
      <c r="D19" s="347"/>
      <c r="E19" s="347">
        <v>0</v>
      </c>
      <c r="F19" s="347"/>
      <c r="G19" s="347"/>
      <c r="H19" s="347"/>
      <c r="I19" s="347">
        <v>0</v>
      </c>
    </row>
    <row r="20" spans="1:9">
      <c r="A20" s="345" t="s">
        <v>330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413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205982.25</v>
      </c>
      <c r="G21" s="347">
        <v>252691.69977292512</v>
      </c>
      <c r="H21" s="347">
        <v>12997.78</v>
      </c>
      <c r="I21" s="347">
        <v>962855.4197729252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3.9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>
        <v>46031</v>
      </c>
      <c r="D41" s="9" t="s">
        <v>435</v>
      </c>
    </row>
    <row r="42" spans="3:4">
      <c r="C42" s="15">
        <v>46032</v>
      </c>
      <c r="D42" s="9" t="s">
        <v>435</v>
      </c>
    </row>
    <row r="43" spans="3:4">
      <c r="C43" s="15">
        <v>46033</v>
      </c>
      <c r="D43" s="9" t="s">
        <v>435</v>
      </c>
    </row>
    <row r="44" spans="3:4">
      <c r="C44" s="15">
        <v>46034</v>
      </c>
      <c r="D44" s="9" t="s">
        <v>435</v>
      </c>
    </row>
    <row r="45" spans="3:4">
      <c r="C45" s="15">
        <v>46035</v>
      </c>
      <c r="D45" s="9" t="s">
        <v>435</v>
      </c>
    </row>
    <row r="46" spans="3:4">
      <c r="C46" s="15">
        <v>46036</v>
      </c>
      <c r="D46" s="9" t="s">
        <v>435</v>
      </c>
    </row>
    <row r="47" spans="3:4">
      <c r="C47" s="15">
        <v>46037</v>
      </c>
      <c r="D47" s="9" t="s">
        <v>435</v>
      </c>
    </row>
    <row r="48" spans="3:4">
      <c r="C48" s="15">
        <v>46038</v>
      </c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3.9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441C1C24-4181-4445-B0E6-1F7C5086FAC6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2026-02-10T14:08:16Z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