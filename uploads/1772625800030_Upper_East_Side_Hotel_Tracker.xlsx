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19" documentId="13_ncr:1_{CDEA10F9-77C5-44A1-9473-92107CACD0EC}" xr6:coauthVersionLast="47" xr6:coauthVersionMax="47" xr10:uidLastSave="{EE0F39D4-2DBA-4F6B-ADCF-24A75F97AED8}"/>
  <bookViews>
    <workbookView minimized="1" xWindow="2580" yWindow="2580" windowWidth="17280" windowHeight="8880" tabRatio="661" firstSheet="6" activeTab="6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5" i="18" l="1"/>
  <c r="U128" i="18"/>
  <c r="Q29" i="18"/>
  <c r="W98" i="18"/>
  <c r="K52" i="2"/>
  <c r="M30" i="2"/>
  <c r="Q153" i="18"/>
  <c r="Q152" i="18"/>
  <c r="Q7" i="18" l="1"/>
  <c r="H6" i="5"/>
  <c r="W151" i="18"/>
  <c r="Q151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07" i="18"/>
  <c r="U117" i="18"/>
  <c r="U110" i="18"/>
  <c r="U109" i="18"/>
  <c r="U108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N44" i="2" s="1"/>
  <c r="J44" i="2"/>
  <c r="W67" i="2" s="1"/>
  <c r="W58" i="18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<sst xmlns="http://schemas.openxmlformats.org/spreadsheetml/2006/main" count="909" uniqueCount="496">
  <si>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</si>
  <si>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</si>
  <si>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</si>
  <si>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</si>
  <si>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</si>
  <si>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</si>
  <si>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</si>
  <si>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</si>
  <si>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</si>
  <si>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</si>
  <si>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</si>
  <si>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</si>
  <si>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</si>
  <si>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</si>
  <si>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</si>
  <si>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</si>
  <si>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</si>
  <si>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</si>
  <si>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</si>
  <si>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</si>
  <si>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</si>
  <si>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</si>
  <si>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</si>
  <si>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</si>
  <si>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</si>
  <si>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</si>
  <si>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</si>
  <si>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</si>
  <si>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</si>
  <si>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</si>
  <si>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</si>
  <si>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</si>
  <si>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</si>
  <si>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</si>
  <si>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</si>
  <si>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</si>
  <si>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</si>
  <si>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</si>
  <si>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</si>
  <si>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</si>
  <si>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</si>
  <si>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</si>
  <si>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</si>
  <si>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</si>
  <si>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</si>
  <si>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</si>
  <si>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</si>
  <si>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</si>
  <si>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</si>
  <si>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</si>
  <si>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</si>
  <si>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</si>
  <si>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</si>
  <si>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</si>
  <si>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</si>
  <si>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</si>
  <si>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</si>
  <si>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</si>
  <si>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</si>
  <si>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</si>
  <si>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</si>
  <si>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</si>
  <si>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</si>
  <si>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</si>
  <si>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</si>
  <si>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</si>
  <si>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</si>
  <si>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</si>
  <si>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</si>
  <si>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</si>
  <si>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</si>
  <si>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</si>
  <si>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</si>
  <si>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</si>
  <si>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</si>
  <si>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</si>
  <si>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</si>
  <si>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</si>
  <si>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</si>
  <si>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</si>
  <si>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</si>
  <si>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</si>
  <si>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</si>
  <si>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</si>
  <si>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</si>
  <si>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</si>
  <si>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</si>
  <si>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</si>
  <si>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</si>
  <si>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</si>
  <si>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</si>
  <si>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</si>
  <si>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</si>
  <si>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</si>
  <si>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</si>
  <si>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</si>
  <si>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</si>
  <si>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</si>
  <si>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</si>
  <si>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</si>
  <si>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</si>
  <si>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</si>
  <si>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</si>
  <si>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</si>
  <si>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</si>
  <si>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</si>
  <si>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</si>
  <si>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</si>
  <si>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</si>
  <si>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</si>
  <si>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</si>
  <si>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</si>
  <si>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</si>
  <si>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</si>
  <si>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</si>
  <si>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</si>
  <si>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</si>
  <si>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</si>
  <si>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</si>
  <si>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</si>
  <si>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</si>
  <si>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</si>
  <si>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</si>
  <si>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</si>
  <si>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</si>
  <si>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</si>
  <si>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</si>
  <si>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</si>
  <si>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</si>
  <si>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</si>
  <si>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</si>
  <si>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</si>
  <si>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</si>
  <si>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</si>
  <si>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</si>
  <si>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</si>
  <si>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</si>
  <si>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</si>
  <si>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</si>
  <si>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</si>
  <si>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</si>
  <si>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</si>
  <si>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</si>
  <si>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</si>
  <si>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</si>
  <si>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</si>
  <si>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</si>
  <si>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</si>
  <si>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</si>
  <si>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</si>
  <si>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</si>
  <si>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</si>
  <si>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</si>
  <si>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</si>
  <si>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</si>
  <si>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</si>
  <si>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</si>
  <si>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</si>
  <si>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</si>
  <si>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</si>
  <si>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</si>
  <si>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</si>
  <si>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</si>
  <si>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</si>
  <si>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</si>
  <si>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</si>
  <si>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</si>
  <si>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</si>
  <si>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</si>
  <si>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</si>
  <si>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</si>
  <si>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</si>
  <si>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</si>
  <si>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</si>
  <si>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</si>
  <si>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</si>
  <si>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</si>
  <si>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</si>
  <si>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</si>
  <si>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</si>
  <si>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</si>
  <si>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</si>
  <si>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</si>
  <si>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</si>
  <si>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</si>
  <si>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</si>
  <si>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</si>
  <si>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</si>
  <si>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</si>
  <si>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</si>
  <si>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</si>
  <si>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</si>
  <si>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</si>
  <si>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</si>
  <si>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</si>
  <si>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</si>
  <si>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</si>
  <si>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</si>
  <si>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</si>
  <si>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</si>
  <si>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</si>
  <si>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</si>
  <si>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</si>
  <si>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</si>
  <si>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</si>
  <si>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</si>
  <si>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</si>
  <si>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</si>
  <si>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</si>
  <si>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</si>
  <si>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</si>
  <si>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</si>
  <si>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</si>
  <si>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</si>
  <si>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</si>
  <si>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</si>
  <si>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</si>
  <si>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</si>
  <si>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</si>
  <si>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</si>
  <si>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</si>
  <si>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</si>
  <si>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</si>
  <si>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</si>
  <si>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</si>
  <si>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</si>
  <si>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</si>
  <si>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</si>
  <si>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</si>
  <si>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</si>
  <si>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</si>
  <si>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</si>
  <si>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</si>
  <si>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</si>
  <si>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</si>
  <si>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</si>
  <si>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</si>
  <si>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</si>
  <si>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</si>
  <si>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</si>
  <si>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</si>
  <si>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</si>
  <si>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</si>
  <si>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</si>
  <si>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</si>
  <si>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</si>
  <si>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</si>
  <si>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</si>
  <si>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</si>
  <si>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</si>
  <si>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</si>
  <si>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</si>
  <si>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</si>
  <si>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</si>
  <si>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</si>
  <si>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</si>
  <si>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</si>
  <si>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</si>
  <si>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</si>
  <si>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</si>
  <si>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</si>
  <si>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</si>
  <si>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</si>
  <si>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</si>
  <si>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</si>
  <si>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</si>
  <si>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</si>
  <si>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</si>
  <si>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</si>
  <si>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</si>
  <si>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</si>
  <si>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</si>
  <si>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</si>
  <si>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</si>
  <si>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</si>
  <si>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</si>
  <si>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</si>
  <si>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</si>
  <si>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</si>
  <si>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</si>
  <si>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</si>
  <si>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</si>
  <si>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</si>
  <si>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</si>
  <si>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</si>
  <si>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</si>
  <si>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</si>
  <si>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</si>
  <si>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</si>
  <si>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</si>
  <si>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</si>
  <si>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</si>
  <si>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</si>
  <si>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</si>
  <si>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</si>
  <si>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</si>
  <si>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</si>
  <si>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</si>
  <si>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</si>
  <si>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</si>
  <si>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</si>
  <si>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</si>
  <si>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</si>
  <si>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</si>
  <si>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</si>
  <si>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</si>
  <si>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</si>
  <si>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</si>
  <si>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</si>
  <si>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</si>
  <si>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</si>
  <si>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</si>
  <si>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</si>
  <si>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</si>
  <si>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</si>
  <si>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</si>
  <si>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</si>
  <si>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</si>
  <si>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</si>
  <si>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</si>
  <si>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</si>
  <si>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</si>
  <si>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</si>
  <si>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</si>
  <si>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</si>
  <si>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</si>
  <si>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</si>
  <si>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</si>
  <si>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</si>
  <si>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</si>
  <si>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</si>
  <si>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</si>
  <si>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</si>
  <si>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</si>
  <si>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</si>
  <si>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</si>
  <si>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</si>
  <si>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</si>
  <si>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</si>
  <si>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</si>
  <si>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</si>
  <si>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</si>
  <si>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</si>
  <si>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</si>
  <si>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</si>
  <si>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</si>
  <si>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</si>
  <si>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</si>
  <si>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</si>
  <si>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</si>
  <si>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Investments E041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</si>
  <si>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</si>
  <si>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</si>
  <si>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</si>
  <si>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</si>
  <si>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</si>
  <si>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</si>
  <si>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</si>
  <si>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Matriarch - INV-6571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</si>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</sst>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7429258.8099999996</c:v>
                </c:pt>
                <c:pt idx="58">
                  <c:v>7542554.7599999998</c:v>
                </c:pt>
                <c:pt idx="59">
                  <c:v>7719203.6849999996</c:v>
                </c:pt>
                <c:pt idx="60">
                  <c:v>7719203.6849999996</c:v>
                </c:pt>
                <c:pt idx="61">
                  <c:v>7719203.6849999996</c:v>
                </c:pt>
                <c:pt idx="62">
                  <c:v>7879089.8234999999</c:v>
                </c:pt>
                <c:pt idx="63">
                  <c:v>7882570.8234999999</c:v>
                </c:pt>
                <c:pt idx="64">
                  <c:v>7882570.8234999999</c:v>
                </c:pt>
                <c:pt idx="65">
                  <c:v>7882570.8234999999</c:v>
                </c:pt>
                <c:pt idx="66">
                  <c:v>7882570.8234999999</c:v>
                </c:pt>
                <c:pt idx="67">
                  <c:v>7883350.8234999999</c:v>
                </c:pt>
                <c:pt idx="68">
                  <c:v>7883350.8234999999</c:v>
                </c:pt>
                <c:pt idx="69">
                  <c:v>7883350.8234999999</c:v>
                </c:pt>
                <c:pt idx="70">
                  <c:v>7883350.8234999999</c:v>
                </c:pt>
                <c:pt idx="71">
                  <c:v>7883350.8234999999</c:v>
                </c:pt>
                <c:pt idx="72">
                  <c:v>7883350.8234999999</c:v>
                </c:pt>
                <c:pt idx="73">
                  <c:v>7883350.8234999999</c:v>
                </c:pt>
                <c:pt idx="74">
                  <c:v>7883350.8234999999</c:v>
                </c:pt>
                <c:pt idx="75">
                  <c:v>7883350.8234999999</c:v>
                </c:pt>
                <c:pt idx="76">
                  <c:v>7883350.8234999999</c:v>
                </c:pt>
                <c:pt idx="77">
                  <c:v>7883350.8234999999</c:v>
                </c:pt>
                <c:pt idx="78">
                  <c:v>7883350.8234999999</c:v>
                </c:pt>
                <c:pt idx="79">
                  <c:v>7883350.8234999999</c:v>
                </c:pt>
                <c:pt idx="80">
                  <c:v>7883350.8234999999</c:v>
                </c:pt>
                <c:pt idx="81">
                  <c:v>7883350.8234999999</c:v>
                </c:pt>
                <c:pt idx="82">
                  <c:v>7883350.8234999999</c:v>
                </c:pt>
                <c:pt idx="83">
                  <c:v>7883350.8234999999</c:v>
                </c:pt>
                <c:pt idx="84">
                  <c:v>7883350.8234999999</c:v>
                </c:pt>
                <c:pt idx="85">
                  <c:v>7883350.8234999999</c:v>
                </c:pt>
                <c:pt idx="86">
                  <c:v>7883350.8234999999</c:v>
                </c:pt>
                <c:pt idx="87">
                  <c:v>7883350.8234999999</c:v>
                </c:pt>
                <c:pt idx="88">
                  <c:v>7883350.8234999999</c:v>
                </c:pt>
                <c:pt idx="89">
                  <c:v>7883350.8234999999</c:v>
                </c:pt>
                <c:pt idx="90">
                  <c:v>7883350.8234999999</c:v>
                </c:pt>
                <c:pt idx="91">
                  <c:v>7883350.8234999999</c:v>
                </c:pt>
                <c:pt idx="92">
                  <c:v>7883350.8234999999</c:v>
                </c:pt>
                <c:pt idx="93">
                  <c:v>7883350.8234999999</c:v>
                </c:pt>
                <c:pt idx="94">
                  <c:v>7883350.8234999999</c:v>
                </c:pt>
                <c:pt idx="95">
                  <c:v>7883350.8234999999</c:v>
                </c:pt>
                <c:pt idx="96">
                  <c:v>7883350.8234999999</c:v>
                </c:pt>
                <c:pt idx="97">
                  <c:v>7883350.8234999999</c:v>
                </c:pt>
                <c:pt idx="98">
                  <c:v>7883350.8234999999</c:v>
                </c:pt>
                <c:pt idx="99">
                  <c:v>7883350.8234999999</c:v>
                </c:pt>
                <c:pt idx="100">
                  <c:v>7883350.8234999999</c:v>
                </c:pt>
                <c:pt idx="101">
                  <c:v>7883350.8234999999</c:v>
                </c:pt>
                <c:pt idx="102">
                  <c:v>7883350.8234999999</c:v>
                </c:pt>
                <c:pt idx="103">
                  <c:v>7883350.8234999999</c:v>
                </c:pt>
                <c:pt idx="104">
                  <c:v>7883350.8234999999</c:v>
                </c:pt>
                <c:pt idx="105">
                  <c:v>7883350.8234999999</c:v>
                </c:pt>
                <c:pt idx="106">
                  <c:v>7883350.8234999999</c:v>
                </c:pt>
                <c:pt idx="107">
                  <c:v>7883350.8234999999</c:v>
                </c:pt>
                <c:pt idx="108">
                  <c:v>7883350.8234999999</c:v>
                </c:pt>
                <c:pt idx="109">
                  <c:v>7883350.8234999999</c:v>
                </c:pt>
                <c:pt idx="110">
                  <c:v>7883350.8234999999</c:v>
                </c:pt>
                <c:pt idx="111">
                  <c:v>7883350.8234999999</c:v>
                </c:pt>
                <c:pt idx="112">
                  <c:v>7883350.8234999999</c:v>
                </c:pt>
                <c:pt idx="113">
                  <c:v>7883350.8234999999</c:v>
                </c:pt>
                <c:pt idx="114">
                  <c:v>7883350.8234999999</c:v>
                </c:pt>
                <c:pt idx="115">
                  <c:v>7883350.8234999999</c:v>
                </c:pt>
                <c:pt idx="116">
                  <c:v>7883350.8234999999</c:v>
                </c:pt>
                <c:pt idx="117">
                  <c:v>7883350.8234999999</c:v>
                </c:pt>
                <c:pt idx="118">
                  <c:v>7883350.8234999999</c:v>
                </c:pt>
                <c:pt idx="119">
                  <c:v>7883350.8234999999</c:v>
                </c:pt>
                <c:pt idx="120">
                  <c:v>7883350.8234999999</c:v>
                </c:pt>
                <c:pt idx="121">
                  <c:v>7883350.8234999999</c:v>
                </c:pt>
                <c:pt idx="122">
                  <c:v>7883350.8234999999</c:v>
                </c:pt>
                <c:pt idx="123">
                  <c:v>7883350.8234999999</c:v>
                </c:pt>
                <c:pt idx="124">
                  <c:v>7883350.8234999999</c:v>
                </c:pt>
                <c:pt idx="125">
                  <c:v>7883350.8234999999</c:v>
                </c:pt>
                <c:pt idx="126">
                  <c:v>7883350.8234999999</c:v>
                </c:pt>
                <c:pt idx="127">
                  <c:v>7883350.8234999999</c:v>
                </c:pt>
                <c:pt idx="128">
                  <c:v>7883350.8234999999</c:v>
                </c:pt>
                <c:pt idx="129">
                  <c:v>7883350.8234999999</c:v>
                </c:pt>
                <c:pt idx="130">
                  <c:v>7883350.8234999999</c:v>
                </c:pt>
                <c:pt idx="131">
                  <c:v>7883350.8234999999</c:v>
                </c:pt>
                <c:pt idx="132">
                  <c:v>7883350.8234999999</c:v>
                </c:pt>
                <c:pt idx="133">
                  <c:v>7883350.8234999999</c:v>
                </c:pt>
                <c:pt idx="134">
                  <c:v>7883350.8234999999</c:v>
                </c:pt>
                <c:pt idx="135">
                  <c:v>7883350.8234999999</c:v>
                </c:pt>
                <c:pt idx="136">
                  <c:v>7883350.8234999999</c:v>
                </c:pt>
                <c:pt idx="137">
                  <c:v>7883350.8234999999</c:v>
                </c:pt>
                <c:pt idx="138">
                  <c:v>7883350.8234999999</c:v>
                </c:pt>
                <c:pt idx="139">
                  <c:v>7883350.8234999999</c:v>
                </c:pt>
                <c:pt idx="140">
                  <c:v>7883350.8234999999</c:v>
                </c:pt>
                <c:pt idx="141">
                  <c:v>7883350.8234999999</c:v>
                </c:pt>
                <c:pt idx="142">
                  <c:v>7883350.8234999999</c:v>
                </c:pt>
                <c:pt idx="143">
                  <c:v>7883350.8234999999</c:v>
                </c:pt>
                <c:pt idx="144">
                  <c:v>7883350.8234999999</c:v>
                </c:pt>
                <c:pt idx="145">
                  <c:v>7883350.8234999999</c:v>
                </c:pt>
                <c:pt idx="146">
                  <c:v>7883350.8234999999</c:v>
                </c:pt>
                <c:pt idx="147">
                  <c:v>7883350.8234999999</c:v>
                </c:pt>
                <c:pt idx="148">
                  <c:v>7883350.8234999999</c:v>
                </c:pt>
                <c:pt idx="149">
                  <c:v>7883350.8234999999</c:v>
                </c:pt>
                <c:pt idx="150">
                  <c:v>7883350.8234999999</c:v>
                </c:pt>
                <c:pt idx="151">
                  <c:v>7883350.8234999999</c:v>
                </c:pt>
                <c:pt idx="152">
                  <c:v>7883350.8234999999</c:v>
                </c:pt>
                <c:pt idx="153">
                  <c:v>7883350.8234999999</c:v>
                </c:pt>
                <c:pt idx="154">
                  <c:v>7883350.8234999999</c:v>
                </c:pt>
                <c:pt idx="155">
                  <c:v>7883350.8234999999</c:v>
                </c:pt>
                <c:pt idx="156">
                  <c:v>7883350.8234999999</c:v>
                </c:pt>
                <c:pt idx="157">
                  <c:v>7883350.8234999999</c:v>
                </c:pt>
                <c:pt idx="158">
                  <c:v>7883350.8234999999</c:v>
                </c:pt>
                <c:pt idx="159">
                  <c:v>7883350.8234999999</c:v>
                </c:pt>
                <c:pt idx="160">
                  <c:v>7883350.8234999999</c:v>
                </c:pt>
                <c:pt idx="161">
                  <c:v>7883350.8234999999</c:v>
                </c:pt>
                <c:pt idx="162">
                  <c:v>7883350.8234999999</c:v>
                </c:pt>
                <c:pt idx="163">
                  <c:v>7883350.8234999999</c:v>
                </c:pt>
                <c:pt idx="164">
                  <c:v>7883350.8234999999</c:v>
                </c:pt>
                <c:pt idx="165">
                  <c:v>7883350.8234999999</c:v>
                </c:pt>
                <c:pt idx="166">
                  <c:v>7883350.8234999999</c:v>
                </c:pt>
                <c:pt idx="167">
                  <c:v>7883350.8234999999</c:v>
                </c:pt>
                <c:pt idx="168">
                  <c:v>7883350.8234999999</c:v>
                </c:pt>
                <c:pt idx="169">
                  <c:v>7883350.8234999999</c:v>
                </c:pt>
                <c:pt idx="170">
                  <c:v>7883350.8234999999</c:v>
                </c:pt>
                <c:pt idx="171">
                  <c:v>7883350.8234999999</c:v>
                </c:pt>
                <c:pt idx="172">
                  <c:v>7883350.8234999999</c:v>
                </c:pt>
                <c:pt idx="173">
                  <c:v>7883350.8234999999</c:v>
                </c:pt>
                <c:pt idx="174">
                  <c:v>7883350.8234999999</c:v>
                </c:pt>
                <c:pt idx="175">
                  <c:v>7883350.8234999999</c:v>
                </c:pt>
                <c:pt idx="176">
                  <c:v>7883350.8234999999</c:v>
                </c:pt>
                <c:pt idx="177">
                  <c:v>7883350.8234999999</c:v>
                </c:pt>
                <c:pt idx="178">
                  <c:v>7883350.8234999999</c:v>
                </c:pt>
                <c:pt idx="179">
                  <c:v>7883350.8234999999</c:v>
                </c:pt>
                <c:pt idx="180">
                  <c:v>7883350.8234999999</c:v>
                </c:pt>
                <c:pt idx="181">
                  <c:v>7883350.8234999999</c:v>
                </c:pt>
                <c:pt idx="182">
                  <c:v>7883350.8234999999</c:v>
                </c:pt>
                <c:pt idx="183">
                  <c:v>7883350.8234999999</c:v>
                </c:pt>
                <c:pt idx="184">
                  <c:v>7883350.8234999999</c:v>
                </c:pt>
                <c:pt idx="185">
                  <c:v>7883350.8234999999</c:v>
                </c:pt>
                <c:pt idx="186">
                  <c:v>7883350.8234999999</c:v>
                </c:pt>
                <c:pt idx="187">
                  <c:v>7883350.8234999999</c:v>
                </c:pt>
                <c:pt idx="188">
                  <c:v>7883350.8234999999</c:v>
                </c:pt>
                <c:pt idx="189">
                  <c:v>7883350.8234999999</c:v>
                </c:pt>
                <c:pt idx="190">
                  <c:v>7883350.8234999999</c:v>
                </c:pt>
                <c:pt idx="191">
                  <c:v>7883350.8234999999</c:v>
                </c:pt>
                <c:pt idx="192">
                  <c:v>7883350.8234999999</c:v>
                </c:pt>
                <c:pt idx="193">
                  <c:v>7883350.8234999999</c:v>
                </c:pt>
                <c:pt idx="194">
                  <c:v>7883350.8234999999</c:v>
                </c:pt>
                <c:pt idx="195">
                  <c:v>7883350.8234999999</c:v>
                </c:pt>
                <c:pt idx="196">
                  <c:v>7883350.8234999999</c:v>
                </c:pt>
                <c:pt idx="197">
                  <c:v>7883350.8234999999</c:v>
                </c:pt>
                <c:pt idx="198">
                  <c:v>7883350.8234999999</c:v>
                </c:pt>
                <c:pt idx="199">
                  <c:v>7883350.8234999999</c:v>
                </c:pt>
                <c:pt idx="200">
                  <c:v>7883350.8234999999</c:v>
                </c:pt>
                <c:pt idx="201">
                  <c:v>7883350.8234999999</c:v>
                </c:pt>
                <c:pt idx="202">
                  <c:v>7883350.8234999999</c:v>
                </c:pt>
                <c:pt idx="203">
                  <c:v>7883350.8234999999</c:v>
                </c:pt>
                <c:pt idx="204">
                  <c:v>7883350.8234999999</c:v>
                </c:pt>
                <c:pt idx="205">
                  <c:v>7883350.8234999999</c:v>
                </c:pt>
                <c:pt idx="206">
                  <c:v>7883350.8234999999</c:v>
                </c:pt>
                <c:pt idx="207">
                  <c:v>7883350.8234999999</c:v>
                </c:pt>
                <c:pt idx="208">
                  <c:v>7883350.8234999999</c:v>
                </c:pt>
                <c:pt idx="209">
                  <c:v>7883350.8234999999</c:v>
                </c:pt>
                <c:pt idx="210">
                  <c:v>7883350.8234999999</c:v>
                </c:pt>
                <c:pt idx="211">
                  <c:v>7883350.8234999999</c:v>
                </c:pt>
                <c:pt idx="212">
                  <c:v>7883350.8234999999</c:v>
                </c:pt>
                <c:pt idx="213">
                  <c:v>7883350.8234999999</c:v>
                </c:pt>
                <c:pt idx="214">
                  <c:v>7883350.8234999999</c:v>
                </c:pt>
                <c:pt idx="215">
                  <c:v>7883350.8234999999</c:v>
                </c:pt>
                <c:pt idx="216">
                  <c:v>7883350.8234999999</c:v>
                </c:pt>
                <c:pt idx="217">
                  <c:v>7883350.8234999999</c:v>
                </c:pt>
                <c:pt idx="218">
                  <c:v>7883350.8234999999</c:v>
                </c:pt>
                <c:pt idx="219">
                  <c:v>7883350.8234999999</c:v>
                </c:pt>
                <c:pt idx="220">
                  <c:v>7883350.8234999999</c:v>
                </c:pt>
                <c:pt idx="221">
                  <c:v>7883350.8234999999</c:v>
                </c:pt>
                <c:pt idx="222">
                  <c:v>7883350.8234999999</c:v>
                </c:pt>
                <c:pt idx="223">
                  <c:v>7883350.8234999999</c:v>
                </c:pt>
                <c:pt idx="224">
                  <c:v>7883350.8234999999</c:v>
                </c:pt>
                <c:pt idx="225">
                  <c:v>7883350.8234999999</c:v>
                </c:pt>
                <c:pt idx="226">
                  <c:v>7883350.8234999999</c:v>
                </c:pt>
                <c:pt idx="227">
                  <c:v>7883350.8234999999</c:v>
                </c:pt>
                <c:pt idx="228">
                  <c:v>7883350.8234999999</c:v>
                </c:pt>
                <c:pt idx="229">
                  <c:v>7883350.8234999999</c:v>
                </c:pt>
                <c:pt idx="230">
                  <c:v>7883350.8234999999</c:v>
                </c:pt>
                <c:pt idx="231">
                  <c:v>7883350.8234999999</c:v>
                </c:pt>
                <c:pt idx="232">
                  <c:v>7883350.8234999999</c:v>
                </c:pt>
                <c:pt idx="233">
                  <c:v>7883350.8234999999</c:v>
                </c:pt>
                <c:pt idx="234">
                  <c:v>7883350.8234999999</c:v>
                </c:pt>
                <c:pt idx="235">
                  <c:v>7883350.8234999999</c:v>
                </c:pt>
                <c:pt idx="236">
                  <c:v>7883350.8234999999</c:v>
                </c:pt>
                <c:pt idx="237">
                  <c:v>7883350.8234999999</c:v>
                </c:pt>
                <c:pt idx="238">
                  <c:v>7883350.8234999999</c:v>
                </c:pt>
                <c:pt idx="239">
                  <c:v>7883350.8234999999</c:v>
                </c:pt>
                <c:pt idx="240">
                  <c:v>7883350.8234999999</c:v>
                </c:pt>
                <c:pt idx="241">
                  <c:v>7883350.8234999999</c:v>
                </c:pt>
                <c:pt idx="242">
                  <c:v>7883350.8234999999</c:v>
                </c:pt>
                <c:pt idx="243">
                  <c:v>7883350.8234999999</c:v>
                </c:pt>
                <c:pt idx="244">
                  <c:v>7883350.8234999999</c:v>
                </c:pt>
                <c:pt idx="245">
                  <c:v>7883350.8234999999</c:v>
                </c:pt>
                <c:pt idx="246">
                  <c:v>7883350.8234999999</c:v>
                </c:pt>
                <c:pt idx="247">
                  <c:v>7883350.8234999999</c:v>
                </c:pt>
                <c:pt idx="248">
                  <c:v>7883350.8234999999</c:v>
                </c:pt>
                <c:pt idx="249">
                  <c:v>7883350.8234999999</c:v>
                </c:pt>
                <c:pt idx="250">
                  <c:v>7883350.8234999999</c:v>
                </c:pt>
                <c:pt idx="251">
                  <c:v>7883350.8234999999</c:v>
                </c:pt>
                <c:pt idx="252">
                  <c:v>7883350.8234999999</c:v>
                </c:pt>
                <c:pt idx="253">
                  <c:v>7883350.8234999999</c:v>
                </c:pt>
                <c:pt idx="254">
                  <c:v>7883350.8234999999</c:v>
                </c:pt>
                <c:pt idx="255">
                  <c:v>7883350.8234999999</c:v>
                </c:pt>
                <c:pt idx="256">
                  <c:v>7883350.8234999999</c:v>
                </c:pt>
                <c:pt idx="257">
                  <c:v>7883350.8234999999</c:v>
                </c:pt>
                <c:pt idx="258">
                  <c:v>7883350.8234999999</c:v>
                </c:pt>
                <c:pt idx="259">
                  <c:v>7883350.8234999999</c:v>
                </c:pt>
                <c:pt idx="260">
                  <c:v>7883350.8234999999</c:v>
                </c:pt>
                <c:pt idx="261">
                  <c:v>7883350.8234999999</c:v>
                </c:pt>
                <c:pt idx="262">
                  <c:v>7883350.8234999999</c:v>
                </c:pt>
                <c:pt idx="263">
                  <c:v>7883350.8234999999</c:v>
                </c:pt>
                <c:pt idx="264">
                  <c:v>7883350.8234999999</c:v>
                </c:pt>
                <c:pt idx="265">
                  <c:v>7883350.8234999999</c:v>
                </c:pt>
                <c:pt idx="266">
                  <c:v>7883350.8234999999</c:v>
                </c:pt>
                <c:pt idx="267">
                  <c:v>7883350.8234999999</c:v>
                </c:pt>
                <c:pt idx="268">
                  <c:v>7883350.8234999999</c:v>
                </c:pt>
                <c:pt idx="269">
                  <c:v>7883350.8234999999</c:v>
                </c:pt>
                <c:pt idx="270">
                  <c:v>7883350.8234999999</c:v>
                </c:pt>
                <c:pt idx="271">
                  <c:v>7883350.8234999999</c:v>
                </c:pt>
                <c:pt idx="272">
                  <c:v>7883350.8234999999</c:v>
                </c:pt>
                <c:pt idx="273">
                  <c:v>7883350.8234999999</c:v>
                </c:pt>
                <c:pt idx="274">
                  <c:v>7883350.8234999999</c:v>
                </c:pt>
                <c:pt idx="275">
                  <c:v>7883350.8234999999</c:v>
                </c:pt>
                <c:pt idx="276">
                  <c:v>7883350.8234999999</c:v>
                </c:pt>
                <c:pt idx="277">
                  <c:v>7883350.8234999999</c:v>
                </c:pt>
                <c:pt idx="278">
                  <c:v>7883350.8234999999</c:v>
                </c:pt>
                <c:pt idx="279">
                  <c:v>7883350.8234999999</c:v>
                </c:pt>
                <c:pt idx="280">
                  <c:v>7883350.8234999999</c:v>
                </c:pt>
                <c:pt idx="281">
                  <c:v>7883350.8234999999</c:v>
                </c:pt>
                <c:pt idx="282">
                  <c:v>7883350.8234999999</c:v>
                </c:pt>
                <c:pt idx="283">
                  <c:v>7883350.8234999999</c:v>
                </c:pt>
                <c:pt idx="284">
                  <c:v>7883350.8234999999</c:v>
                </c:pt>
                <c:pt idx="285">
                  <c:v>7883350.8234999999</c:v>
                </c:pt>
                <c:pt idx="286">
                  <c:v>7883350.8234999999</c:v>
                </c:pt>
                <c:pt idx="287">
                  <c:v>7883350.8234999999</c:v>
                </c:pt>
                <c:pt idx="288">
                  <c:v>7883350.8234999999</c:v>
                </c:pt>
                <c:pt idx="289">
                  <c:v>7883350.8234999999</c:v>
                </c:pt>
                <c:pt idx="290">
                  <c:v>7883350.8234999999</c:v>
                </c:pt>
                <c:pt idx="291">
                  <c:v>7883350.8234999999</c:v>
                </c:pt>
                <c:pt idx="292">
                  <c:v>7883350.8234999999</c:v>
                </c:pt>
                <c:pt idx="293">
                  <c:v>7883350.8234999999</c:v>
                </c:pt>
                <c:pt idx="294">
                  <c:v>7883350.8234999999</c:v>
                </c:pt>
                <c:pt idx="295">
                  <c:v>7883350.8234999999</c:v>
                </c:pt>
                <c:pt idx="296">
                  <c:v>7883350.8234999999</c:v>
                </c:pt>
                <c:pt idx="297">
                  <c:v>7883350.8234999999</c:v>
                </c:pt>
                <c:pt idx="298">
                  <c:v>7883350.8234999999</c:v>
                </c:pt>
                <c:pt idx="299">
                  <c:v>7883350.8234999999</c:v>
                </c:pt>
                <c:pt idx="300">
                  <c:v>7883350.8234999999</c:v>
                </c:pt>
                <c:pt idx="301">
                  <c:v>7883350.8234999999</c:v>
                </c:pt>
                <c:pt idx="302">
                  <c:v>7883350.8234999999</c:v>
                </c:pt>
                <c:pt idx="303">
                  <c:v>7883350.8234999999</c:v>
                </c:pt>
                <c:pt idx="304">
                  <c:v>7883350.8234999999</c:v>
                </c:pt>
                <c:pt idx="305">
                  <c:v>7883350.8234999999</c:v>
                </c:pt>
                <c:pt idx="306">
                  <c:v>7883350.8234999999</c:v>
                </c:pt>
                <c:pt idx="307">
                  <c:v>7883350.8234999999</c:v>
                </c:pt>
                <c:pt idx="308">
                  <c:v>7883350.8234999999</c:v>
                </c:pt>
                <c:pt idx="309">
                  <c:v>7883350.8234999999</c:v>
                </c:pt>
                <c:pt idx="310">
                  <c:v>7883350.8234999999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4192541.8116521733</c:v>
                </c:pt>
                <c:pt idx="58">
                  <c:v>4079245.8616521731</c:v>
                </c:pt>
                <c:pt idx="59">
                  <c:v>3902596.9366521733</c:v>
                </c:pt>
                <c:pt idx="60">
                  <c:v>3902596.9366521733</c:v>
                </c:pt>
                <c:pt idx="61">
                  <c:v>3902596.9366521733</c:v>
                </c:pt>
                <c:pt idx="62">
                  <c:v>3742710.7981521729</c:v>
                </c:pt>
                <c:pt idx="63">
                  <c:v>3739229.7981521729</c:v>
                </c:pt>
                <c:pt idx="64">
                  <c:v>3739229.7981521729</c:v>
                </c:pt>
                <c:pt idx="65">
                  <c:v>3739229.7981521729</c:v>
                </c:pt>
                <c:pt idx="66">
                  <c:v>3739229.7981521729</c:v>
                </c:pt>
                <c:pt idx="67">
                  <c:v>3738449.7981521729</c:v>
                </c:pt>
                <c:pt idx="68">
                  <c:v>3738449.7981521729</c:v>
                </c:pt>
                <c:pt idx="69">
                  <c:v>3738449.7981521729</c:v>
                </c:pt>
                <c:pt idx="70">
                  <c:v>3738449.7981521729</c:v>
                </c:pt>
                <c:pt idx="71">
                  <c:v>3738449.7981521729</c:v>
                </c:pt>
                <c:pt idx="72">
                  <c:v>3738449.7981521729</c:v>
                </c:pt>
                <c:pt idx="73">
                  <c:v>3738449.7981521729</c:v>
                </c:pt>
                <c:pt idx="74">
                  <c:v>3738449.7981521729</c:v>
                </c:pt>
                <c:pt idx="75">
                  <c:v>3738449.7981521729</c:v>
                </c:pt>
                <c:pt idx="76">
                  <c:v>3738449.7981521729</c:v>
                </c:pt>
                <c:pt idx="77">
                  <c:v>3738449.7981521729</c:v>
                </c:pt>
                <c:pt idx="78">
                  <c:v>3738449.7981521729</c:v>
                </c:pt>
                <c:pt idx="79">
                  <c:v>3738449.7981521729</c:v>
                </c:pt>
                <c:pt idx="80">
                  <c:v>3738449.7981521729</c:v>
                </c:pt>
                <c:pt idx="81">
                  <c:v>3738449.7981521729</c:v>
                </c:pt>
                <c:pt idx="82">
                  <c:v>3738449.7981521729</c:v>
                </c:pt>
                <c:pt idx="83">
                  <c:v>3738449.7981521729</c:v>
                </c:pt>
                <c:pt idx="84">
                  <c:v>3738449.7981521729</c:v>
                </c:pt>
                <c:pt idx="85">
                  <c:v>3738449.7981521729</c:v>
                </c:pt>
                <c:pt idx="86">
                  <c:v>3738449.7981521729</c:v>
                </c:pt>
                <c:pt idx="87">
                  <c:v>3738449.7981521729</c:v>
                </c:pt>
                <c:pt idx="88">
                  <c:v>3738449.7981521729</c:v>
                </c:pt>
                <c:pt idx="89">
                  <c:v>3738449.7981521729</c:v>
                </c:pt>
                <c:pt idx="90">
                  <c:v>3738449.7981521729</c:v>
                </c:pt>
                <c:pt idx="91">
                  <c:v>3738449.7981521729</c:v>
                </c:pt>
                <c:pt idx="92">
                  <c:v>3738449.7981521729</c:v>
                </c:pt>
                <c:pt idx="93">
                  <c:v>3738449.7981521729</c:v>
                </c:pt>
                <c:pt idx="94">
                  <c:v>3738449.7981521729</c:v>
                </c:pt>
                <c:pt idx="95">
                  <c:v>3738449.7981521729</c:v>
                </c:pt>
                <c:pt idx="96">
                  <c:v>3738449.7981521729</c:v>
                </c:pt>
                <c:pt idx="97">
                  <c:v>3738449.7981521729</c:v>
                </c:pt>
                <c:pt idx="98">
                  <c:v>3738449.7981521729</c:v>
                </c:pt>
                <c:pt idx="99">
                  <c:v>3738449.7981521729</c:v>
                </c:pt>
                <c:pt idx="100">
                  <c:v>3738449.7981521729</c:v>
                </c:pt>
                <c:pt idx="101">
                  <c:v>3738449.7981521729</c:v>
                </c:pt>
                <c:pt idx="102">
                  <c:v>3738449.7981521729</c:v>
                </c:pt>
                <c:pt idx="103">
                  <c:v>3738449.7981521729</c:v>
                </c:pt>
                <c:pt idx="104">
                  <c:v>3738449.7981521729</c:v>
                </c:pt>
                <c:pt idx="105">
                  <c:v>3738449.7981521729</c:v>
                </c:pt>
                <c:pt idx="106">
                  <c:v>3738449.7981521729</c:v>
                </c:pt>
                <c:pt idx="107">
                  <c:v>3738449.7981521729</c:v>
                </c:pt>
                <c:pt idx="108">
                  <c:v>3738449.7981521729</c:v>
                </c:pt>
                <c:pt idx="109">
                  <c:v>3738449.7981521729</c:v>
                </c:pt>
                <c:pt idx="110">
                  <c:v>3738449.7981521729</c:v>
                </c:pt>
                <c:pt idx="111">
                  <c:v>3738449.7981521729</c:v>
                </c:pt>
                <c:pt idx="112">
                  <c:v>3738449.7981521729</c:v>
                </c:pt>
                <c:pt idx="113">
                  <c:v>3738449.7981521729</c:v>
                </c:pt>
                <c:pt idx="114">
                  <c:v>3738449.7981521729</c:v>
                </c:pt>
                <c:pt idx="115">
                  <c:v>3738449.7981521729</c:v>
                </c:pt>
                <c:pt idx="116">
                  <c:v>3738449.7981521729</c:v>
                </c:pt>
                <c:pt idx="117">
                  <c:v>3738449.7981521729</c:v>
                </c:pt>
                <c:pt idx="118">
                  <c:v>3738449.7981521729</c:v>
                </c:pt>
                <c:pt idx="119">
                  <c:v>3738449.7981521729</c:v>
                </c:pt>
                <c:pt idx="120">
                  <c:v>3738449.7981521729</c:v>
                </c:pt>
                <c:pt idx="121">
                  <c:v>3738449.7981521729</c:v>
                </c:pt>
                <c:pt idx="122">
                  <c:v>3738449.7981521729</c:v>
                </c:pt>
                <c:pt idx="123">
                  <c:v>3738449.7981521729</c:v>
                </c:pt>
                <c:pt idx="124">
                  <c:v>3738449.7981521729</c:v>
                </c:pt>
                <c:pt idx="125">
                  <c:v>3738449.7981521729</c:v>
                </c:pt>
                <c:pt idx="126">
                  <c:v>3738449.7981521729</c:v>
                </c:pt>
                <c:pt idx="127">
                  <c:v>3738449.7981521729</c:v>
                </c:pt>
                <c:pt idx="128">
                  <c:v>3738449.7981521729</c:v>
                </c:pt>
                <c:pt idx="129">
                  <c:v>3738449.7981521729</c:v>
                </c:pt>
                <c:pt idx="130">
                  <c:v>3738449.7981521729</c:v>
                </c:pt>
                <c:pt idx="131">
                  <c:v>3738449.7981521729</c:v>
                </c:pt>
                <c:pt idx="132">
                  <c:v>3738449.7981521729</c:v>
                </c:pt>
                <c:pt idx="133">
                  <c:v>3738449.7981521729</c:v>
                </c:pt>
                <c:pt idx="134">
                  <c:v>3738449.7981521729</c:v>
                </c:pt>
                <c:pt idx="135">
                  <c:v>3738449.7981521729</c:v>
                </c:pt>
                <c:pt idx="136">
                  <c:v>3738449.7981521729</c:v>
                </c:pt>
                <c:pt idx="137">
                  <c:v>3738449.7981521729</c:v>
                </c:pt>
                <c:pt idx="138">
                  <c:v>3738449.7981521729</c:v>
                </c:pt>
                <c:pt idx="139">
                  <c:v>3738449.7981521729</c:v>
                </c:pt>
                <c:pt idx="140">
                  <c:v>3738449.7981521729</c:v>
                </c:pt>
                <c:pt idx="141">
                  <c:v>3738449.7981521729</c:v>
                </c:pt>
                <c:pt idx="142">
                  <c:v>3738449.7981521729</c:v>
                </c:pt>
                <c:pt idx="143">
                  <c:v>3738449.7981521729</c:v>
                </c:pt>
                <c:pt idx="144">
                  <c:v>3738449.7981521729</c:v>
                </c:pt>
                <c:pt idx="145">
                  <c:v>3738449.7981521729</c:v>
                </c:pt>
                <c:pt idx="146">
                  <c:v>3738449.7981521729</c:v>
                </c:pt>
                <c:pt idx="147">
                  <c:v>3738449.7981521729</c:v>
                </c:pt>
                <c:pt idx="148">
                  <c:v>3738449.7981521729</c:v>
                </c:pt>
                <c:pt idx="149">
                  <c:v>3738449.7981521729</c:v>
                </c:pt>
                <c:pt idx="150">
                  <c:v>3738449.7981521729</c:v>
                </c:pt>
                <c:pt idx="151">
                  <c:v>3738449.7981521729</c:v>
                </c:pt>
                <c:pt idx="152">
                  <c:v>3738449.7981521729</c:v>
                </c:pt>
                <c:pt idx="153">
                  <c:v>3738449.7981521729</c:v>
                </c:pt>
                <c:pt idx="154">
                  <c:v>3738449.7981521729</c:v>
                </c:pt>
                <c:pt idx="155">
                  <c:v>3738449.7981521729</c:v>
                </c:pt>
                <c:pt idx="156">
                  <c:v>3738449.7981521729</c:v>
                </c:pt>
                <c:pt idx="157">
                  <c:v>3738449.7981521729</c:v>
                </c:pt>
                <c:pt idx="158">
                  <c:v>3738449.7981521729</c:v>
                </c:pt>
                <c:pt idx="159">
                  <c:v>3738449.7981521729</c:v>
                </c:pt>
                <c:pt idx="160">
                  <c:v>3738449.7981521729</c:v>
                </c:pt>
                <c:pt idx="161">
                  <c:v>3738449.7981521729</c:v>
                </c:pt>
                <c:pt idx="162">
                  <c:v>3738449.7981521729</c:v>
                </c:pt>
                <c:pt idx="163">
                  <c:v>3738449.7981521729</c:v>
                </c:pt>
                <c:pt idx="164">
                  <c:v>3738449.7981521729</c:v>
                </c:pt>
                <c:pt idx="165">
                  <c:v>3738449.7981521729</c:v>
                </c:pt>
                <c:pt idx="166">
                  <c:v>3738449.7981521729</c:v>
                </c:pt>
                <c:pt idx="167">
                  <c:v>3738449.7981521729</c:v>
                </c:pt>
                <c:pt idx="168">
                  <c:v>3738449.7981521729</c:v>
                </c:pt>
                <c:pt idx="169">
                  <c:v>3738449.7981521729</c:v>
                </c:pt>
                <c:pt idx="170">
                  <c:v>3738449.7981521729</c:v>
                </c:pt>
                <c:pt idx="171">
                  <c:v>3738449.7981521729</c:v>
                </c:pt>
                <c:pt idx="172">
                  <c:v>3738449.7981521729</c:v>
                </c:pt>
                <c:pt idx="173">
                  <c:v>3738449.7981521729</c:v>
                </c:pt>
                <c:pt idx="174">
                  <c:v>3738449.7981521729</c:v>
                </c:pt>
                <c:pt idx="175">
                  <c:v>3738449.7981521729</c:v>
                </c:pt>
                <c:pt idx="176">
                  <c:v>3738449.7981521729</c:v>
                </c:pt>
                <c:pt idx="177">
                  <c:v>3738449.7981521729</c:v>
                </c:pt>
                <c:pt idx="178">
                  <c:v>3738449.7981521729</c:v>
                </c:pt>
                <c:pt idx="179">
                  <c:v>3738449.7981521729</c:v>
                </c:pt>
                <c:pt idx="180">
                  <c:v>3738449.7981521729</c:v>
                </c:pt>
                <c:pt idx="181">
                  <c:v>3738449.7981521729</c:v>
                </c:pt>
                <c:pt idx="182">
                  <c:v>3738449.7981521729</c:v>
                </c:pt>
                <c:pt idx="183">
                  <c:v>3738449.7981521729</c:v>
                </c:pt>
                <c:pt idx="184">
                  <c:v>3738449.7981521729</c:v>
                </c:pt>
                <c:pt idx="185">
                  <c:v>3738449.7981521729</c:v>
                </c:pt>
                <c:pt idx="186">
                  <c:v>3738449.7981521729</c:v>
                </c:pt>
                <c:pt idx="187">
                  <c:v>3738449.7981521729</c:v>
                </c:pt>
                <c:pt idx="188">
                  <c:v>3738449.7981521729</c:v>
                </c:pt>
                <c:pt idx="189">
                  <c:v>3738449.7981521729</c:v>
                </c:pt>
                <c:pt idx="190">
                  <c:v>3738449.7981521729</c:v>
                </c:pt>
                <c:pt idx="191">
                  <c:v>3738449.7981521729</c:v>
                </c:pt>
                <c:pt idx="192">
                  <c:v>3738449.7981521729</c:v>
                </c:pt>
                <c:pt idx="193">
                  <c:v>3738449.7981521729</c:v>
                </c:pt>
                <c:pt idx="194">
                  <c:v>3738449.7981521729</c:v>
                </c:pt>
                <c:pt idx="195">
                  <c:v>3738449.7981521729</c:v>
                </c:pt>
                <c:pt idx="196">
                  <c:v>3738449.7981521729</c:v>
                </c:pt>
                <c:pt idx="197">
                  <c:v>3738449.7981521729</c:v>
                </c:pt>
                <c:pt idx="198">
                  <c:v>3738449.7981521729</c:v>
                </c:pt>
                <c:pt idx="199">
                  <c:v>3738449.7981521729</c:v>
                </c:pt>
                <c:pt idx="200">
                  <c:v>3738449.7981521729</c:v>
                </c:pt>
                <c:pt idx="201">
                  <c:v>3738449.7981521729</c:v>
                </c:pt>
                <c:pt idx="202">
                  <c:v>3738449.7981521729</c:v>
                </c:pt>
                <c:pt idx="203">
                  <c:v>3738449.7981521729</c:v>
                </c:pt>
                <c:pt idx="204">
                  <c:v>3738449.7981521729</c:v>
                </c:pt>
                <c:pt idx="205">
                  <c:v>3738449.7981521729</c:v>
                </c:pt>
                <c:pt idx="206">
                  <c:v>3738449.7981521729</c:v>
                </c:pt>
                <c:pt idx="207">
                  <c:v>3738449.7981521729</c:v>
                </c:pt>
                <c:pt idx="208">
                  <c:v>3738449.7981521729</c:v>
                </c:pt>
                <c:pt idx="209">
                  <c:v>3738449.7981521729</c:v>
                </c:pt>
                <c:pt idx="210">
                  <c:v>3738449.7981521729</c:v>
                </c:pt>
                <c:pt idx="211">
                  <c:v>3738449.7981521729</c:v>
                </c:pt>
                <c:pt idx="212">
                  <c:v>3738449.7981521729</c:v>
                </c:pt>
                <c:pt idx="213">
                  <c:v>3738449.7981521729</c:v>
                </c:pt>
                <c:pt idx="214">
                  <c:v>3738449.7981521729</c:v>
                </c:pt>
                <c:pt idx="215">
                  <c:v>3738449.7981521729</c:v>
                </c:pt>
                <c:pt idx="216">
                  <c:v>3738449.7981521729</c:v>
                </c:pt>
                <c:pt idx="217">
                  <c:v>3738449.7981521729</c:v>
                </c:pt>
                <c:pt idx="218">
                  <c:v>3738449.7981521729</c:v>
                </c:pt>
                <c:pt idx="219">
                  <c:v>3738449.7981521729</c:v>
                </c:pt>
                <c:pt idx="220">
                  <c:v>3738449.7981521729</c:v>
                </c:pt>
                <c:pt idx="221">
                  <c:v>3738449.7981521729</c:v>
                </c:pt>
                <c:pt idx="222">
                  <c:v>3738449.7981521729</c:v>
                </c:pt>
                <c:pt idx="223">
                  <c:v>3738449.7981521729</c:v>
                </c:pt>
                <c:pt idx="224">
                  <c:v>3738449.7981521729</c:v>
                </c:pt>
                <c:pt idx="225">
                  <c:v>3738449.7981521729</c:v>
                </c:pt>
                <c:pt idx="226">
                  <c:v>3738449.7981521729</c:v>
                </c:pt>
                <c:pt idx="227">
                  <c:v>3738449.7981521729</c:v>
                </c:pt>
                <c:pt idx="228">
                  <c:v>3738449.7981521729</c:v>
                </c:pt>
                <c:pt idx="229">
                  <c:v>3738449.7981521729</c:v>
                </c:pt>
                <c:pt idx="230">
                  <c:v>3738449.7981521729</c:v>
                </c:pt>
                <c:pt idx="231">
                  <c:v>3738449.7981521729</c:v>
                </c:pt>
                <c:pt idx="232">
                  <c:v>3738449.7981521729</c:v>
                </c:pt>
                <c:pt idx="233">
                  <c:v>3738449.7981521729</c:v>
                </c:pt>
                <c:pt idx="234">
                  <c:v>3738449.7981521729</c:v>
                </c:pt>
                <c:pt idx="235">
                  <c:v>3738449.7981521729</c:v>
                </c:pt>
                <c:pt idx="236">
                  <c:v>3738449.7981521729</c:v>
                </c:pt>
                <c:pt idx="237">
                  <c:v>3738449.7981521729</c:v>
                </c:pt>
                <c:pt idx="238">
                  <c:v>3738449.7981521729</c:v>
                </c:pt>
                <c:pt idx="239">
                  <c:v>3738449.7981521729</c:v>
                </c:pt>
                <c:pt idx="240">
                  <c:v>3738449.7981521729</c:v>
                </c:pt>
                <c:pt idx="241">
                  <c:v>3738449.7981521729</c:v>
                </c:pt>
                <c:pt idx="242">
                  <c:v>3738449.7981521729</c:v>
                </c:pt>
                <c:pt idx="243">
                  <c:v>3738449.7981521729</c:v>
                </c:pt>
                <c:pt idx="244">
                  <c:v>3738449.7981521729</c:v>
                </c:pt>
                <c:pt idx="245">
                  <c:v>3738449.7981521729</c:v>
                </c:pt>
                <c:pt idx="246">
                  <c:v>3738449.7981521729</c:v>
                </c:pt>
                <c:pt idx="247">
                  <c:v>3738449.7981521729</c:v>
                </c:pt>
                <c:pt idx="248">
                  <c:v>3738449.7981521729</c:v>
                </c:pt>
                <c:pt idx="249">
                  <c:v>3738449.7981521729</c:v>
                </c:pt>
                <c:pt idx="250">
                  <c:v>3738449.7981521729</c:v>
                </c:pt>
                <c:pt idx="251">
                  <c:v>3738449.7981521729</c:v>
                </c:pt>
                <c:pt idx="252">
                  <c:v>3738449.7981521729</c:v>
                </c:pt>
                <c:pt idx="253">
                  <c:v>3738449.7981521729</c:v>
                </c:pt>
                <c:pt idx="254">
                  <c:v>3738449.7981521729</c:v>
                </c:pt>
                <c:pt idx="255">
                  <c:v>3738449.7981521729</c:v>
                </c:pt>
                <c:pt idx="256">
                  <c:v>3738449.7981521729</c:v>
                </c:pt>
                <c:pt idx="257">
                  <c:v>3738449.7981521729</c:v>
                </c:pt>
                <c:pt idx="258">
                  <c:v>3738449.7981521729</c:v>
                </c:pt>
                <c:pt idx="259">
                  <c:v>3738449.7981521729</c:v>
                </c:pt>
                <c:pt idx="260">
                  <c:v>3738449.7981521729</c:v>
                </c:pt>
                <c:pt idx="261">
                  <c:v>3738449.7981521729</c:v>
                </c:pt>
                <c:pt idx="262">
                  <c:v>3738449.7981521729</c:v>
                </c:pt>
                <c:pt idx="263">
                  <c:v>3738449.7981521729</c:v>
                </c:pt>
                <c:pt idx="264">
                  <c:v>3738449.7981521729</c:v>
                </c:pt>
                <c:pt idx="265">
                  <c:v>3738449.7981521729</c:v>
                </c:pt>
                <c:pt idx="266">
                  <c:v>3738449.7981521729</c:v>
                </c:pt>
                <c:pt idx="267">
                  <c:v>3738449.7981521729</c:v>
                </c:pt>
                <c:pt idx="268">
                  <c:v>3738449.7981521729</c:v>
                </c:pt>
                <c:pt idx="269">
                  <c:v>3738449.7981521729</c:v>
                </c:pt>
                <c:pt idx="270">
                  <c:v>3738449.7981521729</c:v>
                </c:pt>
                <c:pt idx="271">
                  <c:v>3738449.7981521729</c:v>
                </c:pt>
                <c:pt idx="272">
                  <c:v>3738449.7981521729</c:v>
                </c:pt>
                <c:pt idx="273">
                  <c:v>3738449.7981521729</c:v>
                </c:pt>
                <c:pt idx="274">
                  <c:v>3738449.7981521729</c:v>
                </c:pt>
                <c:pt idx="275">
                  <c:v>3738449.7981521729</c:v>
                </c:pt>
                <c:pt idx="276">
                  <c:v>3738449.7981521729</c:v>
                </c:pt>
                <c:pt idx="277">
                  <c:v>3738449.7981521729</c:v>
                </c:pt>
                <c:pt idx="278">
                  <c:v>3738449.7981521729</c:v>
                </c:pt>
                <c:pt idx="279">
                  <c:v>3738449.7981521729</c:v>
                </c:pt>
                <c:pt idx="280">
                  <c:v>3738449.7981521729</c:v>
                </c:pt>
                <c:pt idx="281">
                  <c:v>3738449.7981521729</c:v>
                </c:pt>
                <c:pt idx="282">
                  <c:v>3738449.7981521729</c:v>
                </c:pt>
                <c:pt idx="283">
                  <c:v>3738449.7981521729</c:v>
                </c:pt>
                <c:pt idx="284">
                  <c:v>3738449.7981521729</c:v>
                </c:pt>
                <c:pt idx="285">
                  <c:v>3738449.7981521729</c:v>
                </c:pt>
                <c:pt idx="286">
                  <c:v>3738449.7981521729</c:v>
                </c:pt>
                <c:pt idx="287">
                  <c:v>3738449.7981521729</c:v>
                </c:pt>
                <c:pt idx="288">
                  <c:v>3738449.7981521729</c:v>
                </c:pt>
                <c:pt idx="289">
                  <c:v>3738449.7981521729</c:v>
                </c:pt>
                <c:pt idx="290">
                  <c:v>3738449.7981521729</c:v>
                </c:pt>
                <c:pt idx="291">
                  <c:v>3738449.7981521729</c:v>
                </c:pt>
                <c:pt idx="292">
                  <c:v>3738449.7981521729</c:v>
                </c:pt>
                <c:pt idx="293">
                  <c:v>3738449.7981521729</c:v>
                </c:pt>
                <c:pt idx="294">
                  <c:v>3738449.7981521729</c:v>
                </c:pt>
                <c:pt idx="295">
                  <c:v>3738449.7981521729</c:v>
                </c:pt>
                <c:pt idx="296">
                  <c:v>3738449.7981521729</c:v>
                </c:pt>
                <c:pt idx="297">
                  <c:v>3738449.7981521729</c:v>
                </c:pt>
                <c:pt idx="298">
                  <c:v>3738449.7981521729</c:v>
                </c:pt>
                <c:pt idx="299">
                  <c:v>3738449.7981521729</c:v>
                </c:pt>
                <c:pt idx="300">
                  <c:v>3738449.7981521729</c:v>
                </c:pt>
                <c:pt idx="301">
                  <c:v>3738449.7981521729</c:v>
                </c:pt>
                <c:pt idx="302">
                  <c:v>3738449.7981521729</c:v>
                </c:pt>
                <c:pt idx="303">
                  <c:v>3738449.7981521729</c:v>
                </c:pt>
                <c:pt idx="304">
                  <c:v>3738449.7981521729</c:v>
                </c:pt>
                <c:pt idx="305">
                  <c:v>3738449.7981521729</c:v>
                </c:pt>
                <c:pt idx="306">
                  <c:v>3738449.7981521729</c:v>
                </c:pt>
                <c:pt idx="307">
                  <c:v>3738449.7981521729</c:v>
                </c:pt>
                <c:pt idx="308">
                  <c:v>3738449.7981521729</c:v>
                </c:pt>
                <c:pt idx="309">
                  <c:v>3738449.7981521729</c:v>
                </c:pt>
                <c:pt idx="310">
                  <c:v>3738449.7981521729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8361353.4006112842</c:v>
                </c:pt>
                <c:pt idx="58">
                  <c:v>8361353.4006112842</c:v>
                </c:pt>
                <c:pt idx="59">
                  <c:v>8361353.4006112842</c:v>
                </c:pt>
                <c:pt idx="60">
                  <c:v>8361353.4006112842</c:v>
                </c:pt>
                <c:pt idx="61">
                  <c:v>8361353.4006112842</c:v>
                </c:pt>
                <c:pt idx="62">
                  <c:v>8629747.2840448953</c:v>
                </c:pt>
                <c:pt idx="63">
                  <c:v>8629747.2840448953</c:v>
                </c:pt>
                <c:pt idx="64">
                  <c:v>8629747.2840448953</c:v>
                </c:pt>
                <c:pt idx="65">
                  <c:v>8629747.2840448953</c:v>
                </c:pt>
                <c:pt idx="66">
                  <c:v>8632084.3744785059</c:v>
                </c:pt>
                <c:pt idx="67">
                  <c:v>8632084.3744785059</c:v>
                </c:pt>
                <c:pt idx="68">
                  <c:v>8632084.3744785059</c:v>
                </c:pt>
                <c:pt idx="69">
                  <c:v>8632084.3744785059</c:v>
                </c:pt>
                <c:pt idx="70">
                  <c:v>8632084.3744785059</c:v>
                </c:pt>
                <c:pt idx="71">
                  <c:v>8632084.3744785059</c:v>
                </c:pt>
                <c:pt idx="72">
                  <c:v>8632084.3744785059</c:v>
                </c:pt>
                <c:pt idx="73">
                  <c:v>8632084.3744785059</c:v>
                </c:pt>
                <c:pt idx="74">
                  <c:v>8632084.3744785059</c:v>
                </c:pt>
                <c:pt idx="75">
                  <c:v>8632084.3744785059</c:v>
                </c:pt>
                <c:pt idx="76">
                  <c:v>8632084.3744785059</c:v>
                </c:pt>
                <c:pt idx="77">
                  <c:v>8632084.3744785059</c:v>
                </c:pt>
                <c:pt idx="78">
                  <c:v>8632084.3744785059</c:v>
                </c:pt>
                <c:pt idx="79">
                  <c:v>8632084.3744785059</c:v>
                </c:pt>
                <c:pt idx="80">
                  <c:v>8632084.3744785059</c:v>
                </c:pt>
                <c:pt idx="81">
                  <c:v>8632084.3744785059</c:v>
                </c:pt>
                <c:pt idx="82">
                  <c:v>8632084.3744785059</c:v>
                </c:pt>
                <c:pt idx="83">
                  <c:v>8632084.3744785059</c:v>
                </c:pt>
                <c:pt idx="84">
                  <c:v>8632084.3744785059</c:v>
                </c:pt>
                <c:pt idx="85">
                  <c:v>8632084.3744785059</c:v>
                </c:pt>
                <c:pt idx="86">
                  <c:v>8632084.3744785059</c:v>
                </c:pt>
                <c:pt idx="87">
                  <c:v>8632084.3744785059</c:v>
                </c:pt>
                <c:pt idx="88">
                  <c:v>8632084.3744785059</c:v>
                </c:pt>
                <c:pt idx="89">
                  <c:v>8632084.3744785059</c:v>
                </c:pt>
                <c:pt idx="90">
                  <c:v>8632084.3744785059</c:v>
                </c:pt>
                <c:pt idx="91">
                  <c:v>8632084.3744785059</c:v>
                </c:pt>
                <c:pt idx="92">
                  <c:v>8632084.3744785059</c:v>
                </c:pt>
                <c:pt idx="93">
                  <c:v>8632084.3744785059</c:v>
                </c:pt>
                <c:pt idx="94">
                  <c:v>8632084.3744785059</c:v>
                </c:pt>
                <c:pt idx="95">
                  <c:v>8632084.3744785059</c:v>
                </c:pt>
                <c:pt idx="96">
                  <c:v>8632084.3744785059</c:v>
                </c:pt>
                <c:pt idx="97">
                  <c:v>8632084.3744785059</c:v>
                </c:pt>
                <c:pt idx="98">
                  <c:v>8632084.3744785059</c:v>
                </c:pt>
                <c:pt idx="99">
                  <c:v>8632084.3744785059</c:v>
                </c:pt>
                <c:pt idx="100">
                  <c:v>8632084.3744785059</c:v>
                </c:pt>
                <c:pt idx="101">
                  <c:v>8632084.3744785059</c:v>
                </c:pt>
                <c:pt idx="102">
                  <c:v>8632084.3744785059</c:v>
                </c:pt>
                <c:pt idx="103">
                  <c:v>8632084.3744785059</c:v>
                </c:pt>
                <c:pt idx="104">
                  <c:v>8632084.3744785059</c:v>
                </c:pt>
                <c:pt idx="105">
                  <c:v>8632084.3744785059</c:v>
                </c:pt>
                <c:pt idx="106">
                  <c:v>8632084.3744785059</c:v>
                </c:pt>
                <c:pt idx="107">
                  <c:v>8632084.3744785059</c:v>
                </c:pt>
                <c:pt idx="108">
                  <c:v>8632084.3744785059</c:v>
                </c:pt>
                <c:pt idx="109">
                  <c:v>8632084.3744785059</c:v>
                </c:pt>
                <c:pt idx="110">
                  <c:v>8632084.3744785059</c:v>
                </c:pt>
                <c:pt idx="111">
                  <c:v>8632084.3744785059</c:v>
                </c:pt>
                <c:pt idx="112">
                  <c:v>8632084.3744785059</c:v>
                </c:pt>
                <c:pt idx="113">
                  <c:v>8632084.3744785059</c:v>
                </c:pt>
                <c:pt idx="114">
                  <c:v>8632084.3744785059</c:v>
                </c:pt>
                <c:pt idx="115">
                  <c:v>8632084.3744785059</c:v>
                </c:pt>
                <c:pt idx="116">
                  <c:v>8632084.3744785059</c:v>
                </c:pt>
                <c:pt idx="117">
                  <c:v>8632084.3744785059</c:v>
                </c:pt>
                <c:pt idx="118">
                  <c:v>8632084.3744785059</c:v>
                </c:pt>
                <c:pt idx="119">
                  <c:v>8632084.3744785059</c:v>
                </c:pt>
                <c:pt idx="120">
                  <c:v>8632084.3744785059</c:v>
                </c:pt>
                <c:pt idx="121">
                  <c:v>8632084.3744785059</c:v>
                </c:pt>
                <c:pt idx="122">
                  <c:v>8632084.3744785059</c:v>
                </c:pt>
                <c:pt idx="123">
                  <c:v>8632084.3744785059</c:v>
                </c:pt>
                <c:pt idx="124">
                  <c:v>8632084.3744785059</c:v>
                </c:pt>
                <c:pt idx="125">
                  <c:v>8632084.3744785059</c:v>
                </c:pt>
                <c:pt idx="126">
                  <c:v>8632084.3744785059</c:v>
                </c:pt>
                <c:pt idx="127">
                  <c:v>8632084.3744785059</c:v>
                </c:pt>
                <c:pt idx="128">
                  <c:v>8632084.3744785059</c:v>
                </c:pt>
                <c:pt idx="129">
                  <c:v>8632084.3744785059</c:v>
                </c:pt>
                <c:pt idx="130">
                  <c:v>8632084.3744785059</c:v>
                </c:pt>
                <c:pt idx="131">
                  <c:v>8632084.3744785059</c:v>
                </c:pt>
                <c:pt idx="132">
                  <c:v>8632084.3744785059</c:v>
                </c:pt>
                <c:pt idx="133">
                  <c:v>8632084.3744785059</c:v>
                </c:pt>
                <c:pt idx="134">
                  <c:v>8632084.3744785059</c:v>
                </c:pt>
                <c:pt idx="135">
                  <c:v>8632084.3744785059</c:v>
                </c:pt>
                <c:pt idx="136">
                  <c:v>8632084.3744785059</c:v>
                </c:pt>
                <c:pt idx="137">
                  <c:v>8632084.3744785059</c:v>
                </c:pt>
                <c:pt idx="138">
                  <c:v>8632084.3744785059</c:v>
                </c:pt>
                <c:pt idx="139">
                  <c:v>8632084.3744785059</c:v>
                </c:pt>
                <c:pt idx="140">
                  <c:v>8632084.3744785059</c:v>
                </c:pt>
                <c:pt idx="141">
                  <c:v>8632084.3744785059</c:v>
                </c:pt>
                <c:pt idx="142">
                  <c:v>8632084.3744785059</c:v>
                </c:pt>
                <c:pt idx="143">
                  <c:v>8632084.3744785059</c:v>
                </c:pt>
                <c:pt idx="144">
                  <c:v>8632084.3744785059</c:v>
                </c:pt>
                <c:pt idx="145">
                  <c:v>8632084.3744785059</c:v>
                </c:pt>
                <c:pt idx="146">
                  <c:v>8632084.3744785059</c:v>
                </c:pt>
                <c:pt idx="147">
                  <c:v>8632084.3744785059</c:v>
                </c:pt>
                <c:pt idx="148">
                  <c:v>8632084.3744785059</c:v>
                </c:pt>
                <c:pt idx="149">
                  <c:v>8632084.3744785059</c:v>
                </c:pt>
                <c:pt idx="150">
                  <c:v>8632084.3744785059</c:v>
                </c:pt>
                <c:pt idx="151">
                  <c:v>8632084.3744785059</c:v>
                </c:pt>
                <c:pt idx="152">
                  <c:v>8632084.3744785059</c:v>
                </c:pt>
                <c:pt idx="153">
                  <c:v>8632084.3744785059</c:v>
                </c:pt>
                <c:pt idx="154">
                  <c:v>8632084.3744785059</c:v>
                </c:pt>
                <c:pt idx="155">
                  <c:v>8632084.3744785059</c:v>
                </c:pt>
                <c:pt idx="156">
                  <c:v>8632084.3744785059</c:v>
                </c:pt>
                <c:pt idx="157">
                  <c:v>8632084.3744785059</c:v>
                </c:pt>
                <c:pt idx="158">
                  <c:v>8632084.3744785059</c:v>
                </c:pt>
                <c:pt idx="159">
                  <c:v>8632084.3744785059</c:v>
                </c:pt>
                <c:pt idx="160">
                  <c:v>8632084.3744785059</c:v>
                </c:pt>
                <c:pt idx="161">
                  <c:v>8632084.3744785059</c:v>
                </c:pt>
                <c:pt idx="162">
                  <c:v>8632084.3744785059</c:v>
                </c:pt>
                <c:pt idx="163">
                  <c:v>8632084.3744785059</c:v>
                </c:pt>
                <c:pt idx="164">
                  <c:v>8632084.3744785059</c:v>
                </c:pt>
                <c:pt idx="165">
                  <c:v>8632084.3744785059</c:v>
                </c:pt>
                <c:pt idx="166">
                  <c:v>8632084.3744785059</c:v>
                </c:pt>
                <c:pt idx="167">
                  <c:v>8632084.3744785059</c:v>
                </c:pt>
                <c:pt idx="168">
                  <c:v>8632084.3744785059</c:v>
                </c:pt>
                <c:pt idx="169">
                  <c:v>8632084.3744785059</c:v>
                </c:pt>
                <c:pt idx="170">
                  <c:v>8632084.3744785059</c:v>
                </c:pt>
                <c:pt idx="171">
                  <c:v>8632084.3744785059</c:v>
                </c:pt>
                <c:pt idx="172">
                  <c:v>8632084.3744785059</c:v>
                </c:pt>
                <c:pt idx="173">
                  <c:v>8632084.3744785059</c:v>
                </c:pt>
                <c:pt idx="174">
                  <c:v>8632084.3744785059</c:v>
                </c:pt>
                <c:pt idx="175">
                  <c:v>8632084.3744785059</c:v>
                </c:pt>
                <c:pt idx="176">
                  <c:v>8632084.3744785059</c:v>
                </c:pt>
                <c:pt idx="177">
                  <c:v>8632084.3744785059</c:v>
                </c:pt>
                <c:pt idx="178">
                  <c:v>8632084.3744785059</c:v>
                </c:pt>
                <c:pt idx="179">
                  <c:v>8632084.3744785059</c:v>
                </c:pt>
                <c:pt idx="180">
                  <c:v>8632084.3744785059</c:v>
                </c:pt>
                <c:pt idx="181">
                  <c:v>8632084.3744785059</c:v>
                </c:pt>
                <c:pt idx="182">
                  <c:v>8632084.3744785059</c:v>
                </c:pt>
                <c:pt idx="183">
                  <c:v>8632084.3744785059</c:v>
                </c:pt>
                <c:pt idx="184">
                  <c:v>8632084.3744785059</c:v>
                </c:pt>
                <c:pt idx="185">
                  <c:v>8632084.3744785059</c:v>
                </c:pt>
                <c:pt idx="186">
                  <c:v>8632084.3744785059</c:v>
                </c:pt>
                <c:pt idx="187">
                  <c:v>8632084.3744785059</c:v>
                </c:pt>
                <c:pt idx="188">
                  <c:v>8632084.3744785059</c:v>
                </c:pt>
                <c:pt idx="189">
                  <c:v>8632084.3744785059</c:v>
                </c:pt>
                <c:pt idx="190">
                  <c:v>8632084.3744785059</c:v>
                </c:pt>
                <c:pt idx="191">
                  <c:v>8632084.3744785059</c:v>
                </c:pt>
                <c:pt idx="192">
                  <c:v>8632084.3744785059</c:v>
                </c:pt>
                <c:pt idx="193">
                  <c:v>8632084.3744785059</c:v>
                </c:pt>
                <c:pt idx="194">
                  <c:v>8632084.3744785059</c:v>
                </c:pt>
                <c:pt idx="195">
                  <c:v>8632084.3744785059</c:v>
                </c:pt>
                <c:pt idx="196">
                  <c:v>8632084.3744785059</c:v>
                </c:pt>
                <c:pt idx="197">
                  <c:v>8632084.3744785059</c:v>
                </c:pt>
                <c:pt idx="198">
                  <c:v>8632084.3744785059</c:v>
                </c:pt>
                <c:pt idx="199">
                  <c:v>8632084.3744785059</c:v>
                </c:pt>
                <c:pt idx="200">
                  <c:v>8632084.3744785059</c:v>
                </c:pt>
                <c:pt idx="201">
                  <c:v>8632084.3744785059</c:v>
                </c:pt>
                <c:pt idx="202">
                  <c:v>8632084.3744785059</c:v>
                </c:pt>
                <c:pt idx="203">
                  <c:v>8632084.3744785059</c:v>
                </c:pt>
                <c:pt idx="204">
                  <c:v>8632084.3744785059</c:v>
                </c:pt>
                <c:pt idx="205">
                  <c:v>8632084.3744785059</c:v>
                </c:pt>
                <c:pt idx="206">
                  <c:v>8632084.3744785059</c:v>
                </c:pt>
                <c:pt idx="207">
                  <c:v>8632084.3744785059</c:v>
                </c:pt>
                <c:pt idx="208">
                  <c:v>8632084.3744785059</c:v>
                </c:pt>
                <c:pt idx="209">
                  <c:v>8632084.3744785059</c:v>
                </c:pt>
                <c:pt idx="210">
                  <c:v>8632084.3744785059</c:v>
                </c:pt>
                <c:pt idx="211">
                  <c:v>8632084.3744785059</c:v>
                </c:pt>
                <c:pt idx="212">
                  <c:v>8632084.3744785059</c:v>
                </c:pt>
                <c:pt idx="213">
                  <c:v>8632084.3744785059</c:v>
                </c:pt>
                <c:pt idx="214">
                  <c:v>8632084.3744785059</c:v>
                </c:pt>
                <c:pt idx="215">
                  <c:v>8632084.3744785059</c:v>
                </c:pt>
                <c:pt idx="216">
                  <c:v>8632084.3744785059</c:v>
                </c:pt>
                <c:pt idx="217">
                  <c:v>8632084.3744785059</c:v>
                </c:pt>
                <c:pt idx="218">
                  <c:v>8632084.3744785059</c:v>
                </c:pt>
                <c:pt idx="219">
                  <c:v>8632084.3744785059</c:v>
                </c:pt>
                <c:pt idx="220">
                  <c:v>8632084.3744785059</c:v>
                </c:pt>
                <c:pt idx="221">
                  <c:v>8632084.3744785059</c:v>
                </c:pt>
                <c:pt idx="222">
                  <c:v>8632084.3744785059</c:v>
                </c:pt>
                <c:pt idx="223">
                  <c:v>8632084.3744785059</c:v>
                </c:pt>
                <c:pt idx="224">
                  <c:v>8632084.3744785059</c:v>
                </c:pt>
                <c:pt idx="225">
                  <c:v>8632084.3744785059</c:v>
                </c:pt>
                <c:pt idx="226">
                  <c:v>8632084.3744785059</c:v>
                </c:pt>
                <c:pt idx="227">
                  <c:v>8632084.3744785059</c:v>
                </c:pt>
                <c:pt idx="228">
                  <c:v>8632084.3744785059</c:v>
                </c:pt>
                <c:pt idx="229">
                  <c:v>8632084.3744785059</c:v>
                </c:pt>
                <c:pt idx="230">
                  <c:v>8632084.3744785059</c:v>
                </c:pt>
                <c:pt idx="231">
                  <c:v>8632084.3744785059</c:v>
                </c:pt>
                <c:pt idx="232">
                  <c:v>8632084.3744785059</c:v>
                </c:pt>
                <c:pt idx="233">
                  <c:v>8632084.3744785059</c:v>
                </c:pt>
                <c:pt idx="234">
                  <c:v>8632084.3744785059</c:v>
                </c:pt>
                <c:pt idx="235">
                  <c:v>8632084.3744785059</c:v>
                </c:pt>
                <c:pt idx="236">
                  <c:v>8632084.3744785059</c:v>
                </c:pt>
                <c:pt idx="237">
                  <c:v>8632084.3744785059</c:v>
                </c:pt>
                <c:pt idx="238">
                  <c:v>8632084.3744785059</c:v>
                </c:pt>
                <c:pt idx="239">
                  <c:v>8632084.3744785059</c:v>
                </c:pt>
                <c:pt idx="240">
                  <c:v>8632084.3744785059</c:v>
                </c:pt>
                <c:pt idx="241">
                  <c:v>8632084.3744785059</c:v>
                </c:pt>
                <c:pt idx="242">
                  <c:v>8632084.3744785059</c:v>
                </c:pt>
                <c:pt idx="243">
                  <c:v>8632084.3744785059</c:v>
                </c:pt>
                <c:pt idx="244">
                  <c:v>8632084.3744785059</c:v>
                </c:pt>
                <c:pt idx="245">
                  <c:v>8632084.3744785059</c:v>
                </c:pt>
                <c:pt idx="246">
                  <c:v>8632084.3744785059</c:v>
                </c:pt>
                <c:pt idx="247">
                  <c:v>8632084.3744785059</c:v>
                </c:pt>
                <c:pt idx="248">
                  <c:v>8632084.3744785059</c:v>
                </c:pt>
                <c:pt idx="249">
                  <c:v>8632084.3744785059</c:v>
                </c:pt>
                <c:pt idx="250">
                  <c:v>8632084.3744785059</c:v>
                </c:pt>
                <c:pt idx="251">
                  <c:v>8632084.3744785059</c:v>
                </c:pt>
                <c:pt idx="252">
                  <c:v>8632084.3744785059</c:v>
                </c:pt>
                <c:pt idx="253">
                  <c:v>8632084.3744785059</c:v>
                </c:pt>
                <c:pt idx="254">
                  <c:v>8632084.3744785059</c:v>
                </c:pt>
                <c:pt idx="255">
                  <c:v>8632084.3744785059</c:v>
                </c:pt>
                <c:pt idx="256">
                  <c:v>8632084.3744785059</c:v>
                </c:pt>
                <c:pt idx="257">
                  <c:v>8632084.3744785059</c:v>
                </c:pt>
                <c:pt idx="258">
                  <c:v>8632084.3744785059</c:v>
                </c:pt>
                <c:pt idx="259">
                  <c:v>8632084.3744785059</c:v>
                </c:pt>
                <c:pt idx="260">
                  <c:v>8632084.3744785059</c:v>
                </c:pt>
                <c:pt idx="261">
                  <c:v>8632084.3744785059</c:v>
                </c:pt>
                <c:pt idx="262">
                  <c:v>8632084.3744785059</c:v>
                </c:pt>
                <c:pt idx="263">
                  <c:v>8632084.3744785059</c:v>
                </c:pt>
                <c:pt idx="264">
                  <c:v>8632084.3744785059</c:v>
                </c:pt>
                <c:pt idx="265">
                  <c:v>8632084.3744785059</c:v>
                </c:pt>
                <c:pt idx="266">
                  <c:v>8632084.3744785059</c:v>
                </c:pt>
                <c:pt idx="267">
                  <c:v>8632084.3744785059</c:v>
                </c:pt>
                <c:pt idx="268">
                  <c:v>8632084.3744785059</c:v>
                </c:pt>
                <c:pt idx="269">
                  <c:v>8632084.3744785059</c:v>
                </c:pt>
                <c:pt idx="270">
                  <c:v>8632084.3744785059</c:v>
                </c:pt>
                <c:pt idx="271">
                  <c:v>8632084.3744785059</c:v>
                </c:pt>
                <c:pt idx="272">
                  <c:v>8632084.3744785059</c:v>
                </c:pt>
                <c:pt idx="273">
                  <c:v>8632084.3744785059</c:v>
                </c:pt>
                <c:pt idx="274">
                  <c:v>8632084.3744785059</c:v>
                </c:pt>
                <c:pt idx="275">
                  <c:v>8632084.3744785059</c:v>
                </c:pt>
                <c:pt idx="276">
                  <c:v>8632084.3744785059</c:v>
                </c:pt>
                <c:pt idx="277">
                  <c:v>8632084.3744785059</c:v>
                </c:pt>
                <c:pt idx="278">
                  <c:v>8632084.3744785059</c:v>
                </c:pt>
                <c:pt idx="279">
                  <c:v>8632084.3744785059</c:v>
                </c:pt>
                <c:pt idx="280">
                  <c:v>8632084.3744785059</c:v>
                </c:pt>
                <c:pt idx="281">
                  <c:v>8632084.3744785059</c:v>
                </c:pt>
                <c:pt idx="282">
                  <c:v>8632084.3744785059</c:v>
                </c:pt>
                <c:pt idx="283">
                  <c:v>8632084.3744785059</c:v>
                </c:pt>
                <c:pt idx="284">
                  <c:v>8632084.3744785059</c:v>
                </c:pt>
                <c:pt idx="285">
                  <c:v>8632084.3744785059</c:v>
                </c:pt>
                <c:pt idx="286">
                  <c:v>8632084.3744785059</c:v>
                </c:pt>
                <c:pt idx="287">
                  <c:v>8632084.3744785059</c:v>
                </c:pt>
                <c:pt idx="288">
                  <c:v>8632084.3744785059</c:v>
                </c:pt>
                <c:pt idx="289">
                  <c:v>8632084.3744785059</c:v>
                </c:pt>
                <c:pt idx="290">
                  <c:v>8632084.3744785059</c:v>
                </c:pt>
                <c:pt idx="291">
                  <c:v>8632084.3744785059</c:v>
                </c:pt>
                <c:pt idx="292">
                  <c:v>8632084.3744785059</c:v>
                </c:pt>
                <c:pt idx="293">
                  <c:v>8632084.3744785059</c:v>
                </c:pt>
                <c:pt idx="294">
                  <c:v>8632084.3744785059</c:v>
                </c:pt>
                <c:pt idx="295">
                  <c:v>8632084.3744785059</c:v>
                </c:pt>
                <c:pt idx="296">
                  <c:v>8632084.3744785059</c:v>
                </c:pt>
                <c:pt idx="297">
                  <c:v>8632084.3744785059</c:v>
                </c:pt>
                <c:pt idx="298">
                  <c:v>8632084.3744785059</c:v>
                </c:pt>
                <c:pt idx="299">
                  <c:v>8632084.3744785059</c:v>
                </c:pt>
                <c:pt idx="300">
                  <c:v>8632084.3744785059</c:v>
                </c:pt>
                <c:pt idx="301">
                  <c:v>8632084.3744785059</c:v>
                </c:pt>
                <c:pt idx="302">
                  <c:v>8632084.3744785059</c:v>
                </c:pt>
                <c:pt idx="303">
                  <c:v>8632084.3744785059</c:v>
                </c:pt>
                <c:pt idx="304">
                  <c:v>8632084.3744785059</c:v>
                </c:pt>
                <c:pt idx="305">
                  <c:v>8632084.3744785059</c:v>
                </c:pt>
                <c:pt idx="306">
                  <c:v>8632084.3744785059</c:v>
                </c:pt>
                <c:pt idx="307">
                  <c:v>8632084.3744785059</c:v>
                </c:pt>
                <c:pt idx="308">
                  <c:v>8632084.3744785059</c:v>
                </c:pt>
                <c:pt idx="309">
                  <c:v>8632084.3744785059</c:v>
                </c:pt>
                <c:pt idx="310">
                  <c:v>8632084.3744785059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4.4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33" zoomScaleNormal="100" workbookViewId="0">
      <selection activeCell="I55" sqref="I55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" style="111" customWidth="1"/>
    <col min="5" max="5" width="14.5546875" style="24" customWidth="1"/>
    <col min="6" max="6" width="10" style="167" customWidth="1"/>
    <col min="7" max="7" width="13.5546875" style="64" customWidth="1"/>
    <col min="8" max="8" width="5" style="111" customWidth="1"/>
    <col min="9" max="9" width="13.44140625" style="11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39.44140625" style="111" bestFit="1" customWidth="1"/>
    <col min="16" max="16" width="1.44140625" style="111" customWidth="1"/>
    <col min="17" max="17" width="5.5546875" style="3" customWidth="1"/>
    <col min="18" max="20" width="8.44140625" style="111"/>
    <col min="21" max="22" width="19" style="111" customWidth="1"/>
    <col min="23" max="23" width="19" style="690" customWidth="1"/>
    <col min="24" max="24" width="19" style="111" customWidth="1"/>
    <col min="25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46085</v>
      </c>
      <c r="O1" s="404">
        <f ca="1">TODAY()</f>
        <v>46085</v>
      </c>
      <c r="Q1" s="3"/>
      <c r="W1" s="690"/>
    </row>
    <row r="2" spans="2:28">
      <c r="B2" s="175"/>
      <c r="C2" s="176" t="s">
        <v>0</v>
      </c>
      <c r="D2" s="177"/>
      <c r="E2" s="786" t="s">
        <v>58</v>
      </c>
      <c r="F2" s="787"/>
      <c r="G2" s="787"/>
      <c r="H2" s="788"/>
      <c r="N2" s="405">
        <v>0</v>
      </c>
      <c r="O2" s="405">
        <v>1</v>
      </c>
    </row>
    <row r="3" spans="2:28" s="111" customFormat="1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>
      <c r="B4" s="178"/>
      <c r="C4" s="179" t="s">
        <v>60</v>
      </c>
      <c r="D4" s="177"/>
      <c r="E4" s="789" t="s">
        <v>61</v>
      </c>
      <c r="F4" s="790"/>
      <c r="G4" s="790"/>
      <c r="H4" s="791"/>
      <c r="J4" s="112"/>
      <c r="Q4" s="3"/>
      <c r="W4" s="690"/>
    </row>
    <row r="5" spans="2:28" s="111" customFormat="1">
      <c r="B5" s="178"/>
      <c r="C5" s="179" t="s">
        <v>62</v>
      </c>
      <c r="D5" s="177"/>
      <c r="E5" s="789" t="s">
        <v>63</v>
      </c>
      <c r="F5" s="790"/>
      <c r="G5" s="790"/>
      <c r="H5" s="791"/>
      <c r="J5" s="112"/>
      <c r="Q5" s="3"/>
      <c r="W5" s="690"/>
    </row>
    <row r="6" spans="2:28">
      <c r="B6" s="183"/>
      <c r="C6" s="184" t="s">
        <v>64</v>
      </c>
      <c r="D6" s="177"/>
      <c r="E6" s="792">
        <v>6640297.8799999999</v>
      </c>
      <c r="F6" s="793"/>
      <c r="G6" s="793"/>
      <c r="H6" s="794"/>
    </row>
    <row r="7" spans="2:28" s="111" customFormat="1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98" t="s">
        <v>67</v>
      </c>
      <c r="C8" s="799" t="s">
        <v>68</v>
      </c>
      <c r="D8" s="214"/>
      <c r="E8" s="797" t="s">
        <v>69</v>
      </c>
      <c r="F8" s="236" t="s">
        <v>70</v>
      </c>
      <c r="G8" s="797" t="s">
        <v>71</v>
      </c>
      <c r="H8" s="237"/>
      <c r="I8" s="797" t="s">
        <v>72</v>
      </c>
      <c r="J8" s="236" t="s">
        <v>70</v>
      </c>
      <c r="K8" s="797" t="s">
        <v>73</v>
      </c>
      <c r="M8" s="411" t="s">
        <v>74</v>
      </c>
      <c r="N8" s="675" t="s">
        <v>75</v>
      </c>
      <c r="O8" s="795" t="s">
        <v>76</v>
      </c>
      <c r="Z8" s="111"/>
      <c r="AA8" s="111"/>
      <c r="AB8" s="111"/>
    </row>
    <row r="9" spans="2:28">
      <c r="B9" s="798"/>
      <c r="C9" s="799"/>
      <c r="D9" s="214"/>
      <c r="E9" s="797"/>
      <c r="F9" s="125">
        <f>G46-E19</f>
        <v>101</v>
      </c>
      <c r="G9" s="797"/>
      <c r="H9" s="237"/>
      <c r="I9" s="797"/>
      <c r="J9" s="126">
        <f>K46-I19</f>
        <v>206</v>
      </c>
      <c r="K9" s="797"/>
      <c r="M9" s="361">
        <f>AVERAGE(M11,M18,M23,M30,M40,M44,M51,M48)</f>
        <v>0.78874999999999995</v>
      </c>
      <c r="N9" s="361">
        <f ca="1">AVERAGE(N11,N18,N23,N30,N40,N44,N51,N48)</f>
        <v>0.95832655253222232</v>
      </c>
      <c r="O9" s="796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1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1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21</v>
      </c>
      <c r="K51" s="245">
        <f>MAX(K52:K57)</f>
        <v>46094</v>
      </c>
      <c r="L51" s="113"/>
      <c r="M51" s="360">
        <f>(J52*M52+J53*M53+J54*M54+J55*M55+J56*M56+J57*M57)/SUM(J52:J57)</f>
        <v>0.31</v>
      </c>
      <c r="N51" s="360">
        <f ca="1">(K52*N52+K53*N53+K54*N54+K55*N55+K56*N56+K57*N57)/SUM(K52:K57)</f>
        <v>0.66661242025777889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0.6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1</v>
      </c>
      <c r="O52" s="121"/>
      <c r="Y52" s="24"/>
    </row>
    <row r="53" spans="2:28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1</v>
      </c>
      <c r="O53" s="121"/>
      <c r="Y53" s="24"/>
    </row>
    <row r="54" spans="2:28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0.8</v>
      </c>
      <c r="N54" s="253">
        <f t="shared" ca="1" si="6"/>
        <v>1</v>
      </c>
      <c r="O54" s="121"/>
      <c r="Y54" s="24"/>
    </row>
    <row r="55" spans="2:28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0.2</v>
      </c>
      <c r="N55" s="253">
        <f t="shared" ca="1" si="6"/>
        <v>1</v>
      </c>
      <c r="O55" s="121"/>
      <c r="Y55" s="24"/>
    </row>
    <row r="56" spans="2:28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46093</v>
      </c>
      <c r="J56" s="250">
        <v>1</v>
      </c>
      <c r="K56" s="252">
        <f>WORKDAY.INTL(I56,J56,1,Data!$C$3:$C$41)</f>
        <v>46094</v>
      </c>
      <c r="M56" s="253">
        <v>0</v>
      </c>
      <c r="N56" s="253">
        <f t="shared" ca="1" si="6"/>
        <v>0</v>
      </c>
      <c r="O56" s="121"/>
      <c r="Y56" s="24"/>
    </row>
    <row r="57" spans="2:28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21</v>
      </c>
      <c r="X69" s="696">
        <f t="shared" si="14"/>
        <v>46094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44140625" defaultRowHeight="14.4"/>
  <cols>
    <col min="1" max="1" width="7" customWidth="1"/>
    <col min="2" max="2" width="37.5546875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00" t="s">
        <v>145</v>
      </c>
      <c r="C16" s="801"/>
      <c r="D16" s="801"/>
      <c r="E16" s="801"/>
      <c r="F16" s="802"/>
    </row>
    <row r="17" spans="2:6" ht="1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" style="128" customWidth="1"/>
    <col min="5" max="5" width="6.554687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44140625" style="128" customWidth="1"/>
    <col min="10" max="10" width="3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9" style="128" bestFit="1" customWidth="1"/>
    <col min="17" max="17" width="15" style="128" bestFit="1" customWidth="1"/>
    <col min="18" max="18" width="20.4414062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44140625" style="92"/>
    <col min="24" max="24" width="5.5546875" style="92" bestFit="1" customWidth="1"/>
    <col min="25" max="25" width="14" style="92" bestFit="1" customWidth="1"/>
    <col min="26" max="26" width="8.44140625" style="92"/>
    <col min="27" max="27" width="14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2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2786482.9684966528</v>
      </c>
      <c r="S4" s="680">
        <f>SUMIFS('Expenditure Breakdown'!$Q:$Q,
        'Expenditure Breakdown'!$T:$T, "&gt;"&amp;DATE(2025,8,31),
        'Expenditure Breakdown'!$T:$T, "&lt;="&amp;DATE(2026,8,31))</f>
        <v>3162516.1984999999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2465961.0461710561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3064548.0350000001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7883350.8235000009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750315.75215217378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8.6905805960603252E-2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2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3.2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3.2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3.2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3.2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3.2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3.2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2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3.2">
      <c r="C24" s="146" t="s">
        <v>188</v>
      </c>
      <c r="D24" s="147"/>
      <c r="F24" s="148"/>
      <c r="L24" s="700"/>
    </row>
    <row r="25" spans="2:18" s="92" customFormat="1" ht="13.2">
      <c r="C25" s="146" t="s">
        <v>189</v>
      </c>
      <c r="D25" s="147"/>
    </row>
    <row r="26" spans="2:18" s="92" customFormat="1" ht="13.2">
      <c r="C26" s="149" t="s">
        <v>190</v>
      </c>
      <c r="D26" s="150"/>
    </row>
    <row r="27" spans="2:18" s="92" customFormat="1" ht="13.2">
      <c r="C27" s="151" t="s">
        <v>191</v>
      </c>
      <c r="D27" s="147"/>
    </row>
    <row r="28" spans="2:18" s="92" customFormat="1" ht="13.2">
      <c r="B28" s="116"/>
      <c r="C28" s="151" t="s">
        <v>192</v>
      </c>
      <c r="D28" s="147"/>
    </row>
    <row r="29" spans="2:18" s="92" customFormat="1" ht="13.2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3.2">
      <c r="B31" s="116"/>
      <c r="F31" s="145"/>
    </row>
    <row r="32" spans="2:18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</row>
    <row r="36" spans="2:6" s="92" customFormat="1" ht="13.2">
      <c r="B36" s="116"/>
    </row>
    <row r="37" spans="2:6" s="92" customFormat="1" ht="13.2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3.2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6" ht="13.8" thickBot="1"/>
    <row r="2" spans="3:6" ht="13.8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8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8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4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7883350.8235000009</v>
      </c>
      <c r="I5" s="214"/>
      <c r="J5" s="222">
        <f>SUM(J9:J23)</f>
        <v>-2046947.6135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61934.13</v>
      </c>
      <c r="I19" s="88"/>
      <c r="J19" s="231">
        <f t="shared" si="0"/>
        <v>32112.870000000003</v>
      </c>
      <c r="K19" s="172"/>
      <c r="L19" s="254"/>
    </row>
    <row r="20" spans="1:12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80" zoomScaleNormal="80" workbookViewId="0">
      <pane ySplit="4" topLeftCell="A109" activePane="bottomLeft" state="frozen"/>
      <selection activeCell="X33" sqref="X33"/>
      <selection pane="bottomLeft" activeCell="O29" sqref="O29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74" hidden="1" customWidth="1"/>
    <col min="7" max="7" width="17.44140625" style="24" hidden="1" customWidth="1"/>
    <col min="8" max="8" width="13" style="111" hidden="1" customWidth="1"/>
    <col min="9" max="9" width="22.4414062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48.44140625" style="111" customWidth="1"/>
    <col min="15" max="15" width="16" style="111" bestFit="1" customWidth="1"/>
    <col min="16" max="17" width="17.44140625" style="111" customWidth="1"/>
    <col min="18" max="18" width="42" style="111" bestFit="1" customWidth="1"/>
    <col min="19" max="19" width="32.5546875" style="111" bestFit="1" customWidth="1"/>
    <col min="20" max="22" width="17.44140625" style="111" customWidth="1"/>
    <col min="23" max="23" width="15.5546875" style="111" customWidth="1"/>
    <col min="24" max="24" width="21" style="111" bestFit="1" customWidth="1"/>
    <col min="25" max="25" width="29.44140625" style="111" bestFit="1" customWidth="1"/>
    <col min="26" max="26" width="24.44140625" style="111" bestFit="1" customWidth="1"/>
    <col min="27" max="27" width="17.44140625" style="111" customWidth="1"/>
    <col min="28" max="28" width="7" style="111" customWidth="1"/>
    <col min="29" max="29" width="29.33203125" style="111" customWidth="1"/>
    <col min="30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75" t="s">
        <v>227</v>
      </c>
      <c r="C2" s="776"/>
      <c r="D2" s="776"/>
      <c r="E2" s="776"/>
      <c r="F2" s="776"/>
      <c r="G2" s="776"/>
      <c r="H2" s="674"/>
      <c r="I2" s="257">
        <f>SUM(I6:I168)</f>
        <v>5836403.2100000009</v>
      </c>
      <c r="J2" s="257">
        <f>SUM(J6:J168)</f>
        <v>6640297.8750170004</v>
      </c>
      <c r="L2" s="777" t="s">
        <v>228</v>
      </c>
      <c r="M2" s="778"/>
      <c r="N2" s="778"/>
      <c r="O2" s="778"/>
      <c r="P2" s="778"/>
      <c r="Q2" s="778"/>
      <c r="R2" s="779" t="s">
        <v>229</v>
      </c>
      <c r="S2" s="780"/>
      <c r="T2" s="780"/>
      <c r="U2" s="780"/>
      <c r="V2" s="780"/>
      <c r="W2" s="781"/>
      <c r="X2" s="478">
        <f>SUM(X6:X168)</f>
        <v>7883350.8235000009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35">
        <f>SUM(G6:G11)</f>
        <v>1222111.8400000001</v>
      </c>
      <c r="J6" s="735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32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36"/>
      <c r="J7" s="736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3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36"/>
      <c r="J8" s="736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3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36"/>
      <c r="J9" s="736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3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36"/>
      <c r="J10" s="736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3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37"/>
      <c r="J11" s="737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4"/>
      <c r="W11" s="573"/>
      <c r="X11" s="728"/>
      <c r="Y11" s="604" t="s">
        <v>253</v>
      </c>
      <c r="Z11" s="605" t="s">
        <v>254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9">
        <f>SUM(G13:G19)</f>
        <v>400000</v>
      </c>
      <c r="J13" s="749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73" t="s">
        <v>260</v>
      </c>
      <c r="S13" s="660" t="s">
        <v>261</v>
      </c>
      <c r="T13" s="657">
        <v>45869</v>
      </c>
      <c r="U13" s="664">
        <v>484689.4815102109</v>
      </c>
      <c r="V13" s="770">
        <f>J13-SUM(U13:U19)</f>
        <v>0</v>
      </c>
      <c r="W13" s="701">
        <v>45926</v>
      </c>
      <c r="X13" s="729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50"/>
      <c r="J14" s="750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74"/>
      <c r="S14" s="660" t="s">
        <v>261</v>
      </c>
      <c r="T14" s="658">
        <v>45869</v>
      </c>
      <c r="U14" s="665">
        <v>894.53963449166304</v>
      </c>
      <c r="V14" s="771"/>
      <c r="W14" s="702">
        <f>W13</f>
        <v>45926</v>
      </c>
      <c r="X14" s="730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50"/>
      <c r="J15" s="750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71"/>
      <c r="W15" s="702">
        <v>45926</v>
      </c>
      <c r="X15" s="730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50"/>
      <c r="J16" s="750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71"/>
      <c r="W16" s="576"/>
      <c r="X16" s="730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50"/>
      <c r="J17" s="750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71"/>
      <c r="W17" s="576"/>
      <c r="X17" s="730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50"/>
      <c r="J18" s="750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71"/>
      <c r="W18" s="576"/>
      <c r="X18" s="730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1"/>
      <c r="J19" s="751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72"/>
      <c r="W19" s="577"/>
      <c r="X19" s="731"/>
      <c r="Y19" s="606" t="s">
        <v>270</v>
      </c>
      <c r="Z19" s="607">
        <v>0</v>
      </c>
    </row>
    <row r="20" spans="1:30" ht="14.4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35">
        <f>SUM(G21:G26)</f>
        <v>181584</v>
      </c>
      <c r="J21" s="735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32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36"/>
      <c r="J22" s="736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3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36"/>
      <c r="J23" s="736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3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36"/>
      <c r="J24" s="736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3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36"/>
      <c r="J25" s="736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3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37"/>
      <c r="J26" s="737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4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4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9">
        <f>SUM(G28:G42)</f>
        <v>525691.6</v>
      </c>
      <c r="J28" s="749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70">
        <f>J28-SUM(U28:U42)</f>
        <v>0</v>
      </c>
      <c r="W28" s="701">
        <v>45900</v>
      </c>
      <c r="X28" s="729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50"/>
      <c r="J29" s="750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71"/>
      <c r="W29" s="536">
        <v>46081</v>
      </c>
      <c r="X29" s="730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50"/>
      <c r="J30" s="750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71"/>
      <c r="W30" s="576"/>
      <c r="X30" s="730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50"/>
      <c r="J31" s="750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71"/>
      <c r="W31" s="576"/>
      <c r="X31" s="730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50"/>
      <c r="J32" s="750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61" t="s">
        <v>293</v>
      </c>
      <c r="S32" s="629" t="s">
        <v>294</v>
      </c>
      <c r="T32" s="645">
        <v>45869</v>
      </c>
      <c r="U32" s="665">
        <v>33319.547598876474</v>
      </c>
      <c r="V32" s="771"/>
      <c r="W32" s="536">
        <f>W95</f>
        <v>45883</v>
      </c>
      <c r="X32" s="730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50"/>
      <c r="J33" s="750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63"/>
      <c r="S33" s="629" t="s">
        <v>295</v>
      </c>
      <c r="T33" s="645">
        <v>45869</v>
      </c>
      <c r="U33" s="665">
        <v>49979.321398314707</v>
      </c>
      <c r="V33" s="771"/>
      <c r="W33" s="536">
        <v>45869</v>
      </c>
      <c r="X33" s="730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50"/>
      <c r="J34" s="750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63"/>
      <c r="S34" s="629" t="s">
        <v>297</v>
      </c>
      <c r="T34" s="645">
        <v>45900</v>
      </c>
      <c r="U34" s="665">
        <v>66639.095197752948</v>
      </c>
      <c r="V34" s="771"/>
      <c r="W34" s="702">
        <v>46009</v>
      </c>
      <c r="X34" s="730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50"/>
      <c r="J35" s="750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63"/>
      <c r="S35" s="629" t="s">
        <v>297</v>
      </c>
      <c r="T35" s="645">
        <v>45900</v>
      </c>
      <c r="U35" s="665">
        <v>83298.868997191181</v>
      </c>
      <c r="V35" s="771"/>
      <c r="W35" s="536">
        <f t="shared" ref="W35:W39" si="10">W98</f>
        <v>46079</v>
      </c>
      <c r="X35" s="730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50"/>
      <c r="J36" s="750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63"/>
      <c r="S36" s="629" t="s">
        <v>297</v>
      </c>
      <c r="T36" s="645">
        <v>45900</v>
      </c>
      <c r="U36" s="665">
        <v>33319.547598876474</v>
      </c>
      <c r="V36" s="771"/>
      <c r="W36" s="576">
        <f t="shared" si="10"/>
        <v>46086</v>
      </c>
      <c r="X36" s="730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50"/>
      <c r="J37" s="750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63"/>
      <c r="S37" s="629" t="s">
        <v>297</v>
      </c>
      <c r="T37" s="645">
        <v>45900</v>
      </c>
      <c r="U37" s="665">
        <v>33319.547598876474</v>
      </c>
      <c r="V37" s="771"/>
      <c r="W37" s="576">
        <f t="shared" si="10"/>
        <v>46091</v>
      </c>
      <c r="X37" s="730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50"/>
      <c r="J38" s="750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63"/>
      <c r="S38" s="629" t="s">
        <v>297</v>
      </c>
      <c r="T38" s="645">
        <v>45900</v>
      </c>
      <c r="U38" s="665">
        <v>16659.773799438237</v>
      </c>
      <c r="V38" s="771"/>
      <c r="W38" s="576">
        <f t="shared" si="10"/>
        <v>46091</v>
      </c>
      <c r="X38" s="730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50"/>
      <c r="J39" s="750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62"/>
      <c r="S39" s="629" t="s">
        <v>297</v>
      </c>
      <c r="T39" s="645">
        <v>45900</v>
      </c>
      <c r="U39" s="665">
        <v>16659.773799438237</v>
      </c>
      <c r="V39" s="771"/>
      <c r="W39" s="576">
        <f t="shared" si="10"/>
        <v>46114</v>
      </c>
      <c r="X39" s="730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50"/>
      <c r="J40" s="750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71"/>
      <c r="W40" s="576"/>
      <c r="X40" s="730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50"/>
      <c r="J41" s="750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71"/>
      <c r="W41" s="576"/>
      <c r="X41" s="730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1"/>
      <c r="J42" s="751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72"/>
      <c r="W42" s="577"/>
      <c r="X42" s="731"/>
      <c r="Y42" s="482"/>
      <c r="Z42" s="652"/>
    </row>
    <row r="43" spans="1:30" ht="14.4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35">
        <f>SUM(G44:G50)</f>
        <v>174000</v>
      </c>
      <c r="J44" s="735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32">
        <f>J44-SUM(U44:U50)</f>
        <v>1021.3366127788613</v>
      </c>
      <c r="W44" s="578">
        <f>T44+30</f>
        <v>46111</v>
      </c>
      <c r="X44" s="726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36"/>
      <c r="J45" s="736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33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36"/>
      <c r="J46" s="736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33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36"/>
      <c r="J47" s="736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33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36"/>
      <c r="J48" s="736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3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36"/>
      <c r="J49" s="736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3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37"/>
      <c r="J50" s="737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4"/>
      <c r="W50" s="573"/>
      <c r="X50" s="728"/>
      <c r="Y50" s="482"/>
    </row>
    <row r="51" spans="1:25" ht="14.4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49">
        <f>SUM(G52:G64)</f>
        <v>567347.29</v>
      </c>
      <c r="J52" s="749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70">
        <f>J52-SUM(U52:U64)</f>
        <v>0</v>
      </c>
      <c r="W52" s="575"/>
      <c r="X52" s="729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50"/>
      <c r="J53" s="750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71"/>
      <c r="W53" s="576"/>
      <c r="X53" s="730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50"/>
      <c r="J54" s="750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61"/>
      <c r="S54" s="629" t="s">
        <v>294</v>
      </c>
      <c r="T54" s="645">
        <f t="shared" ref="T54:T61" si="11">T32</f>
        <v>45869</v>
      </c>
      <c r="U54" s="665">
        <v>69264.504460000011</v>
      </c>
      <c r="V54" s="771"/>
      <c r="W54" s="536">
        <f>W95</f>
        <v>45883</v>
      </c>
      <c r="X54" s="730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50"/>
      <c r="J55" s="750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63"/>
      <c r="S55" s="629" t="s">
        <v>295</v>
      </c>
      <c r="T55" s="645">
        <f>T33</f>
        <v>45869</v>
      </c>
      <c r="U55" s="665">
        <v>103896.75668999999</v>
      </c>
      <c r="V55" s="771"/>
      <c r="W55" s="536">
        <f t="shared" ref="W55:W61" si="14">W96</f>
        <v>45869</v>
      </c>
      <c r="X55" s="730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50"/>
      <c r="J56" s="750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63"/>
      <c r="S56" s="629" t="s">
        <v>297</v>
      </c>
      <c r="T56" s="645">
        <f t="shared" si="11"/>
        <v>45900</v>
      </c>
      <c r="U56" s="665">
        <v>138529.00892000002</v>
      </c>
      <c r="V56" s="771"/>
      <c r="W56" s="702">
        <v>46009</v>
      </c>
      <c r="X56" s="730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50"/>
      <c r="J57" s="750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63"/>
      <c r="S57" s="629" t="s">
        <v>297</v>
      </c>
      <c r="T57" s="645">
        <f t="shared" si="11"/>
        <v>45900</v>
      </c>
      <c r="U57" s="665">
        <v>173161.26115000001</v>
      </c>
      <c r="V57" s="771"/>
      <c r="W57" s="536">
        <f t="shared" si="14"/>
        <v>46079</v>
      </c>
      <c r="X57" s="730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50"/>
      <c r="J58" s="750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63"/>
      <c r="S58" s="629" t="s">
        <v>297</v>
      </c>
      <c r="T58" s="645">
        <f t="shared" si="11"/>
        <v>45900</v>
      </c>
      <c r="U58" s="665">
        <v>69264.504460000011</v>
      </c>
      <c r="V58" s="771"/>
      <c r="W58" s="576">
        <f t="shared" si="14"/>
        <v>46086</v>
      </c>
      <c r="X58" s="730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50"/>
      <c r="J59" s="750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63"/>
      <c r="S59" s="633" t="s">
        <v>297</v>
      </c>
      <c r="T59" s="645">
        <f t="shared" si="11"/>
        <v>45900</v>
      </c>
      <c r="U59" s="672">
        <v>69264.504460000011</v>
      </c>
      <c r="V59" s="771"/>
      <c r="W59" s="576">
        <f t="shared" si="14"/>
        <v>46091</v>
      </c>
      <c r="X59" s="730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50"/>
      <c r="J60" s="750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63"/>
      <c r="S60" s="633" t="s">
        <v>297</v>
      </c>
      <c r="T60" s="645">
        <f t="shared" si="11"/>
        <v>45900</v>
      </c>
      <c r="U60" s="672">
        <v>34632.252230000006</v>
      </c>
      <c r="V60" s="771"/>
      <c r="W60" s="576">
        <f t="shared" si="14"/>
        <v>46091</v>
      </c>
      <c r="X60" s="730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50"/>
      <c r="J61" s="750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62"/>
      <c r="S61" s="633" t="s">
        <v>297</v>
      </c>
      <c r="T61" s="645">
        <f t="shared" si="11"/>
        <v>45900</v>
      </c>
      <c r="U61" s="672">
        <v>34632.252230000006</v>
      </c>
      <c r="V61" s="771"/>
      <c r="W61" s="576">
        <f t="shared" si="14"/>
        <v>46114</v>
      </c>
      <c r="X61" s="730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50"/>
      <c r="J62" s="750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71"/>
      <c r="W62" s="579"/>
      <c r="X62" s="730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50"/>
      <c r="J63" s="750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71"/>
      <c r="W63" s="579"/>
      <c r="X63" s="730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1"/>
      <c r="J64" s="751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72"/>
      <c r="W64" s="577"/>
      <c r="X64" s="731"/>
      <c r="Y64" s="482"/>
    </row>
    <row r="65" spans="1:25" ht="14.4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35">
        <f>SUM(G66:G73)</f>
        <v>0</v>
      </c>
      <c r="J66" s="735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67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36"/>
      <c r="J67" s="736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68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36"/>
      <c r="J68" s="736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68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36"/>
      <c r="J69" s="736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68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36"/>
      <c r="J70" s="736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68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36"/>
      <c r="J71" s="736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68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36"/>
      <c r="J72" s="736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68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37"/>
      <c r="J73" s="737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69"/>
      <c r="W73" s="573"/>
      <c r="X73" s="728"/>
      <c r="Y73" s="482"/>
    </row>
    <row r="74" spans="1:25" ht="14.4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49">
        <f>SUM(G75:G92)</f>
        <v>2000000</v>
      </c>
      <c r="J75" s="749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58">
        <f>J75-SUM(U75:U92)</f>
        <v>-1993368.6954089673</v>
      </c>
      <c r="W75" s="575"/>
      <c r="X75" s="729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50"/>
      <c r="J76" s="750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59"/>
      <c r="W76" s="576"/>
      <c r="X76" s="730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50"/>
      <c r="J77" s="750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61" t="s">
        <v>325</v>
      </c>
      <c r="S77" s="629" t="s">
        <v>326</v>
      </c>
      <c r="T77" s="645">
        <v>45808</v>
      </c>
      <c r="U77" s="665">
        <v>1027779.9272249884</v>
      </c>
      <c r="V77" s="759"/>
      <c r="W77" s="536">
        <v>45792</v>
      </c>
      <c r="X77" s="730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50"/>
      <c r="J78" s="750"/>
      <c r="K78" s="300"/>
      <c r="L78" s="321">
        <v>8</v>
      </c>
      <c r="M78" s="433" t="s">
        <v>322</v>
      </c>
      <c r="N78" s="334"/>
      <c r="O78" s="556"/>
      <c r="P78" s="461"/>
      <c r="Q78" s="323"/>
      <c r="R78" s="762"/>
      <c r="S78" s="629"/>
      <c r="T78" s="523"/>
      <c r="U78" s="665">
        <v>0</v>
      </c>
      <c r="V78" s="759"/>
      <c r="W78" s="576"/>
      <c r="X78" s="730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50"/>
      <c r="J79" s="750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59"/>
      <c r="W79" s="536">
        <v>45805</v>
      </c>
      <c r="X79" s="730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50"/>
      <c r="J80" s="750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59"/>
      <c r="W80" s="576"/>
      <c r="X80" s="730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50"/>
      <c r="J81" s="750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59"/>
      <c r="W81" s="536">
        <v>45869</v>
      </c>
      <c r="X81" s="730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50"/>
      <c r="J82" s="750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59"/>
      <c r="W82" s="538">
        <v>45869</v>
      </c>
      <c r="X82" s="730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50"/>
      <c r="J83" s="750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59"/>
      <c r="W83" s="538">
        <v>45869</v>
      </c>
      <c r="X83" s="730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50"/>
      <c r="J84" s="750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59"/>
      <c r="W84" s="538">
        <v>45869</v>
      </c>
      <c r="X84" s="730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50"/>
      <c r="J85" s="750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59"/>
      <c r="W85" s="538">
        <v>45869</v>
      </c>
      <c r="X85" s="730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50"/>
      <c r="J86" s="750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59"/>
      <c r="W86" s="579"/>
      <c r="X86" s="730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50"/>
      <c r="J87" s="750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61" t="s">
        <v>333</v>
      </c>
      <c r="S87" s="633" t="s">
        <v>334</v>
      </c>
      <c r="T87" s="673">
        <v>45961</v>
      </c>
      <c r="U87" s="512">
        <v>0</v>
      </c>
      <c r="V87" s="759"/>
      <c r="W87" s="538">
        <v>45954</v>
      </c>
      <c r="X87" s="730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50"/>
      <c r="J88" s="750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62"/>
      <c r="S88" s="633" t="s">
        <v>334</v>
      </c>
      <c r="T88" s="673">
        <v>45961</v>
      </c>
      <c r="U88" s="512">
        <v>0</v>
      </c>
      <c r="V88" s="759"/>
      <c r="W88" s="703">
        <f>W87+14</f>
        <v>45968</v>
      </c>
      <c r="X88" s="730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50"/>
      <c r="J89" s="750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59"/>
      <c r="W89" s="703">
        <v>45939</v>
      </c>
      <c r="X89" s="730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50"/>
      <c r="J90" s="750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59"/>
      <c r="W90" s="703">
        <v>45991</v>
      </c>
      <c r="X90" s="730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50"/>
      <c r="J91" s="750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59"/>
      <c r="W91" s="703">
        <v>46009</v>
      </c>
      <c r="X91" s="730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1"/>
      <c r="J92" s="751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60"/>
      <c r="W92" s="577"/>
      <c r="X92" s="731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52">
        <f>SUM(G94:G105)</f>
        <v>371510</v>
      </c>
      <c r="J94" s="735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32">
        <f>J94-SUM(U94:U105)</f>
        <v>0</v>
      </c>
      <c r="W94" s="578"/>
      <c r="X94" s="755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53"/>
      <c r="J95" s="736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64"/>
      <c r="S95" s="624" t="s">
        <v>294</v>
      </c>
      <c r="T95" s="640">
        <v>45869</v>
      </c>
      <c r="U95" s="651">
        <v>43707.058830000002</v>
      </c>
      <c r="V95" s="733"/>
      <c r="W95" s="534">
        <v>45883</v>
      </c>
      <c r="X95" s="756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53"/>
      <c r="J96" s="736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65"/>
      <c r="S96" s="625" t="s">
        <v>295</v>
      </c>
      <c r="T96" s="662">
        <v>45869</v>
      </c>
      <c r="U96" s="667">
        <v>65560.588244999992</v>
      </c>
      <c r="V96" s="733"/>
      <c r="W96" s="535">
        <v>45869</v>
      </c>
      <c r="X96" s="756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53"/>
      <c r="J97" s="736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65"/>
      <c r="S97" s="625" t="s">
        <v>297</v>
      </c>
      <c r="T97" s="707">
        <v>45991</v>
      </c>
      <c r="U97" s="708">
        <v>87414.117660000004</v>
      </c>
      <c r="V97" s="733"/>
      <c r="W97" s="704">
        <v>46009</v>
      </c>
      <c r="X97" s="756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53"/>
      <c r="J98" s="736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65"/>
      <c r="S98" s="625" t="s">
        <v>297</v>
      </c>
      <c r="T98" s="662">
        <v>46081</v>
      </c>
      <c r="U98" s="503">
        <f t="shared" ref="U98:U105" si="19">(Q98/$X$94*$J$94)</f>
        <v>109267.647075</v>
      </c>
      <c r="V98" s="733"/>
      <c r="W98" s="535">
        <f>'Project Plan'!K30+8</f>
        <v>46079</v>
      </c>
      <c r="X98" s="756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53"/>
      <c r="J99" s="736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65"/>
      <c r="S99" s="625" t="s">
        <v>297</v>
      </c>
      <c r="T99" s="662">
        <v>46081</v>
      </c>
      <c r="U99" s="503">
        <f t="shared" si="19"/>
        <v>43707.058830000002</v>
      </c>
      <c r="V99" s="733"/>
      <c r="W99" s="572">
        <v>46086</v>
      </c>
      <c r="X99" s="756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53"/>
      <c r="J100" s="736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65"/>
      <c r="S100" s="625" t="s">
        <v>297</v>
      </c>
      <c r="T100" s="662">
        <v>46081</v>
      </c>
      <c r="U100" s="503">
        <f t="shared" si="19"/>
        <v>43707.058830000002</v>
      </c>
      <c r="V100" s="733"/>
      <c r="W100" s="572">
        <f>'Project Plan'!K53+7</f>
        <v>46091</v>
      </c>
      <c r="X100" s="756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53"/>
      <c r="J101" s="736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65"/>
      <c r="S101" s="625" t="s">
        <v>297</v>
      </c>
      <c r="T101" s="662">
        <v>46081</v>
      </c>
      <c r="U101" s="503">
        <f t="shared" si="19"/>
        <v>21853.529415000001</v>
      </c>
      <c r="V101" s="733"/>
      <c r="W101" s="572">
        <f>'Project Plan'!K53+7</f>
        <v>46091</v>
      </c>
      <c r="X101" s="756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53"/>
      <c r="J102" s="736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66"/>
      <c r="S102" s="625" t="s">
        <v>297</v>
      </c>
      <c r="T102" s="662">
        <v>46081</v>
      </c>
      <c r="U102" s="503">
        <f t="shared" si="19"/>
        <v>21853.529415000001</v>
      </c>
      <c r="V102" s="733"/>
      <c r="W102" s="572">
        <f>'Project Plan'!K53+30</f>
        <v>46114</v>
      </c>
      <c r="X102" s="756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53"/>
      <c r="J103" s="736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3"/>
      <c r="W103" s="572"/>
      <c r="X103" s="756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53"/>
      <c r="J104" s="736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3"/>
      <c r="W104" s="572"/>
      <c r="X104" s="756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54"/>
      <c r="J105" s="737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4"/>
      <c r="W105" s="573"/>
      <c r="X105" s="757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38">
        <f>SUM(G107:G123)</f>
        <v>58106.5</v>
      </c>
      <c r="J107" s="738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44">
        <f>J107-SUM(U107:U123)</f>
        <v>3.211347691831179E-3</v>
      </c>
      <c r="W107" s="582"/>
      <c r="X107" s="741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39"/>
      <c r="J108" s="739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45"/>
      <c r="W108" s="583"/>
      <c r="X108" s="742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39"/>
      <c r="J109" s="739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45"/>
      <c r="W109" s="583"/>
      <c r="X109" s="742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39"/>
      <c r="J110" s="739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45"/>
      <c r="W110" s="583"/>
      <c r="X110" s="742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39"/>
      <c r="J111" s="739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61"/>
      <c r="S111" s="638" t="s">
        <v>294</v>
      </c>
      <c r="T111" s="649">
        <f>T95</f>
        <v>45869</v>
      </c>
      <c r="U111" s="650">
        <v>6836.0588235000005</v>
      </c>
      <c r="V111" s="745"/>
      <c r="W111" s="540">
        <f>W95</f>
        <v>45883</v>
      </c>
      <c r="X111" s="742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39"/>
      <c r="J112" s="739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63"/>
      <c r="S112" s="638" t="s">
        <v>295</v>
      </c>
      <c r="T112" s="649">
        <f t="shared" ref="T112" si="21">T96</f>
        <v>45869</v>
      </c>
      <c r="U112" s="650">
        <v>10254.088235249999</v>
      </c>
      <c r="V112" s="745"/>
      <c r="W112" s="540">
        <f t="shared" ref="W112" si="22">W96</f>
        <v>45869</v>
      </c>
      <c r="X112" s="742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39"/>
      <c r="J113" s="739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63"/>
      <c r="S113" s="638" t="s">
        <v>295</v>
      </c>
      <c r="T113" s="649">
        <v>45900</v>
      </c>
      <c r="U113" s="650">
        <v>0</v>
      </c>
      <c r="V113" s="745"/>
      <c r="W113" s="540">
        <v>45900</v>
      </c>
      <c r="X113" s="742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39"/>
      <c r="J114" s="739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63"/>
      <c r="S114" s="638" t="s">
        <v>297</v>
      </c>
      <c r="T114" s="676">
        <f>T97</f>
        <v>45991</v>
      </c>
      <c r="U114" s="677">
        <v>13672.109457307282</v>
      </c>
      <c r="V114" s="745"/>
      <c r="W114" s="678">
        <f>W97</f>
        <v>46009</v>
      </c>
      <c r="X114" s="742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39"/>
      <c r="J115" s="739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63"/>
      <c r="S115" s="638" t="s">
        <v>297</v>
      </c>
      <c r="T115" s="649">
        <v>45900</v>
      </c>
      <c r="U115" s="516">
        <v>0</v>
      </c>
      <c r="V115" s="745"/>
      <c r="W115" s="540">
        <v>45900</v>
      </c>
      <c r="X115" s="742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39"/>
      <c r="J116" s="739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63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45"/>
      <c r="W116" s="540">
        <f>W98</f>
        <v>46079</v>
      </c>
      <c r="X116" s="742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39"/>
      <c r="J117" s="739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63"/>
      <c r="S117" s="638" t="s">
        <v>297</v>
      </c>
      <c r="T117" s="649">
        <v>46081</v>
      </c>
      <c r="U117" s="516">
        <f t="shared" si="23"/>
        <v>6836.0597286536413</v>
      </c>
      <c r="V117" s="745"/>
      <c r="W117" s="584">
        <f>W99</f>
        <v>46086</v>
      </c>
      <c r="X117" s="742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39"/>
      <c r="J118" s="739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63"/>
      <c r="S118" s="638" t="s">
        <v>297</v>
      </c>
      <c r="T118" s="649">
        <v>46081</v>
      </c>
      <c r="U118" s="516">
        <f t="shared" si="23"/>
        <v>6836.0597286536413</v>
      </c>
      <c r="V118" s="745"/>
      <c r="W118" s="584">
        <f>W100</f>
        <v>46091</v>
      </c>
      <c r="X118" s="742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39"/>
      <c r="J119" s="739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63"/>
      <c r="S119" s="638" t="s">
        <v>297</v>
      </c>
      <c r="T119" s="649">
        <v>46081</v>
      </c>
      <c r="U119" s="516">
        <f t="shared" si="23"/>
        <v>3418.0298643268206</v>
      </c>
      <c r="V119" s="745"/>
      <c r="W119" s="584">
        <f>W101</f>
        <v>46091</v>
      </c>
      <c r="X119" s="742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39"/>
      <c r="J120" s="739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62"/>
      <c r="S120" s="638" t="s">
        <v>297</v>
      </c>
      <c r="T120" s="649">
        <v>46081</v>
      </c>
      <c r="U120" s="516">
        <f t="shared" si="23"/>
        <v>3418.0298643268206</v>
      </c>
      <c r="V120" s="745"/>
      <c r="W120" s="584">
        <f>W102</f>
        <v>46114</v>
      </c>
      <c r="X120" s="742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39"/>
      <c r="J121" s="739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45"/>
      <c r="W121" s="584"/>
      <c r="X121" s="742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39"/>
      <c r="J122" s="739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45"/>
      <c r="W122" s="584"/>
      <c r="X122" s="742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40"/>
      <c r="J123" s="740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46"/>
      <c r="W123" s="585"/>
      <c r="X123" s="743"/>
      <c r="Y123" s="482"/>
    </row>
    <row r="124" spans="1:25" ht="14.4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35">
        <f>SUM(G125:G129)</f>
        <v>94047</v>
      </c>
      <c r="J125" s="735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7875</v>
      </c>
      <c r="R125" s="594"/>
      <c r="S125" s="631" t="s">
        <v>350</v>
      </c>
      <c r="T125" s="655">
        <v>46081</v>
      </c>
      <c r="U125" s="510">
        <f>(Q125/$X$125*$J$125)-2271.11</f>
        <v>11797.349410425237</v>
      </c>
      <c r="V125" s="732">
        <f>J125-SUM(U125:U129)</f>
        <v>4.5722062350250781E-3</v>
      </c>
      <c r="W125" s="578">
        <v>46094</v>
      </c>
      <c r="X125" s="726">
        <f>SUM(Q125:Q129)</f>
        <v>61934.13</v>
      </c>
      <c r="Y125" s="482"/>
    </row>
    <row r="126" spans="1:25" ht="15" customHeight="1">
      <c r="B126" s="310">
        <v>11</v>
      </c>
      <c r="C126" s="312"/>
      <c r="D126" s="312" t="s">
        <v>351</v>
      </c>
      <c r="E126" s="313"/>
      <c r="F126" s="459"/>
      <c r="G126" s="314">
        <v>22698</v>
      </c>
      <c r="H126" s="534">
        <v>45862</v>
      </c>
      <c r="I126" s="736"/>
      <c r="J126" s="736"/>
      <c r="K126" s="287"/>
      <c r="L126" s="310">
        <v>11</v>
      </c>
      <c r="M126" s="389" t="s">
        <v>349</v>
      </c>
      <c r="N126" s="312" t="s">
        <v>351</v>
      </c>
      <c r="O126" s="313"/>
      <c r="P126" s="459"/>
      <c r="Q126" s="314">
        <v>10650</v>
      </c>
      <c r="R126" s="587" t="s">
        <v>352</v>
      </c>
      <c r="S126" s="624" t="s">
        <v>353</v>
      </c>
      <c r="T126" s="640">
        <v>45777</v>
      </c>
      <c r="U126" s="644">
        <v>17839.415657202251</v>
      </c>
      <c r="V126" s="733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354</v>
      </c>
      <c r="E127" s="313"/>
      <c r="F127" s="459"/>
      <c r="G127" s="314">
        <v>60000</v>
      </c>
      <c r="H127" s="571">
        <v>45862</v>
      </c>
      <c r="I127" s="736"/>
      <c r="J127" s="736"/>
      <c r="K127" s="287"/>
      <c r="L127" s="310">
        <v>11</v>
      </c>
      <c r="M127" s="389" t="s">
        <v>349</v>
      </c>
      <c r="N127" s="312" t="s">
        <v>354</v>
      </c>
      <c r="O127" s="313"/>
      <c r="P127" s="459"/>
      <c r="Q127" s="314">
        <v>35409.129999999997</v>
      </c>
      <c r="R127" s="587" t="s">
        <v>355</v>
      </c>
      <c r="S127" s="624" t="s">
        <v>356</v>
      </c>
      <c r="T127" s="640">
        <v>45961</v>
      </c>
      <c r="U127" s="644">
        <v>66714.991470210472</v>
      </c>
      <c r="V127" s="733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36"/>
      <c r="J128" s="736"/>
      <c r="K128" s="287"/>
      <c r="L128" s="310">
        <v>11</v>
      </c>
      <c r="M128" s="389" t="s">
        <v>349</v>
      </c>
      <c r="N128" s="387" t="s">
        <v>357</v>
      </c>
      <c r="O128" s="549"/>
      <c r="P128" s="444"/>
      <c r="Q128" s="386">
        <v>8000</v>
      </c>
      <c r="R128" s="588"/>
      <c r="S128" s="625" t="s">
        <v>358</v>
      </c>
      <c r="T128" s="640">
        <v>46081</v>
      </c>
      <c r="U128" s="503">
        <f>(Q128/$X$125*$J$125)</f>
        <v>14291.768289955799</v>
      </c>
      <c r="V128" s="733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37"/>
      <c r="J129" s="737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4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359</v>
      </c>
      <c r="D131" s="269"/>
      <c r="E131" s="270"/>
      <c r="F131" s="470"/>
      <c r="G131" s="337"/>
      <c r="H131" s="582"/>
      <c r="I131" s="738">
        <v>0</v>
      </c>
      <c r="J131" s="738">
        <v>0</v>
      </c>
      <c r="K131" s="747"/>
      <c r="L131" s="268">
        <v>12</v>
      </c>
      <c r="M131" s="269" t="s">
        <v>360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41">
        <f>SUM(Q131:Q132)</f>
        <v>0</v>
      </c>
      <c r="Y131" s="482"/>
    </row>
    <row r="132" spans="1:25" ht="15" customHeight="1" thickBot="1">
      <c r="B132" s="272">
        <v>12</v>
      </c>
      <c r="C132" s="343" t="s">
        <v>359</v>
      </c>
      <c r="D132" s="343"/>
      <c r="E132" s="344"/>
      <c r="F132" s="472"/>
      <c r="G132" s="273"/>
      <c r="H132" s="585"/>
      <c r="I132" s="740"/>
      <c r="J132" s="740"/>
      <c r="K132" s="748"/>
      <c r="L132" s="272">
        <v>12</v>
      </c>
      <c r="M132" s="343" t="s">
        <v>360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43"/>
      <c r="Y132" s="482"/>
    </row>
    <row r="133" spans="1:25" ht="14.4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361</v>
      </c>
      <c r="D134" s="350" t="s">
        <v>362</v>
      </c>
      <c r="E134" s="282"/>
      <c r="F134" s="437"/>
      <c r="G134" s="283">
        <v>44929.98</v>
      </c>
      <c r="H134" s="578">
        <v>45900</v>
      </c>
      <c r="I134" s="735">
        <f>SUM(G134:G138)</f>
        <v>234129.98</v>
      </c>
      <c r="J134" s="735">
        <f>D184</f>
        <v>266056.79300000001</v>
      </c>
      <c r="K134" s="284"/>
      <c r="L134" s="280">
        <v>13</v>
      </c>
      <c r="M134" s="350" t="s">
        <v>363</v>
      </c>
      <c r="N134" s="350" t="s">
        <v>364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32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365</v>
      </c>
      <c r="E135" s="313"/>
      <c r="F135" s="459"/>
      <c r="G135" s="314">
        <v>32000</v>
      </c>
      <c r="H135" s="571">
        <v>45900</v>
      </c>
      <c r="I135" s="736"/>
      <c r="J135" s="736"/>
      <c r="K135" s="287"/>
      <c r="L135" s="310">
        <v>13</v>
      </c>
      <c r="M135" s="389" t="s">
        <v>363</v>
      </c>
      <c r="N135" s="312" t="s">
        <v>365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3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366</v>
      </c>
      <c r="E136" s="313"/>
      <c r="F136" s="459"/>
      <c r="G136" s="314">
        <v>81600</v>
      </c>
      <c r="H136" s="571">
        <v>45900</v>
      </c>
      <c r="I136" s="736"/>
      <c r="J136" s="736"/>
      <c r="K136" s="287"/>
      <c r="L136" s="310">
        <v>13</v>
      </c>
      <c r="M136" s="389" t="s">
        <v>363</v>
      </c>
      <c r="N136" s="312" t="s">
        <v>366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3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367</v>
      </c>
      <c r="E137" s="313"/>
      <c r="F137" s="459"/>
      <c r="G137" s="314">
        <v>41600</v>
      </c>
      <c r="H137" s="571">
        <v>45900</v>
      </c>
      <c r="I137" s="736"/>
      <c r="J137" s="736"/>
      <c r="K137" s="287"/>
      <c r="L137" s="310">
        <v>13</v>
      </c>
      <c r="M137" s="389" t="s">
        <v>363</v>
      </c>
      <c r="N137" s="312" t="s">
        <v>367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3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368</v>
      </c>
      <c r="E138" s="313"/>
      <c r="F138" s="459"/>
      <c r="G138" s="314">
        <v>34000</v>
      </c>
      <c r="H138" s="571">
        <v>45900</v>
      </c>
      <c r="I138" s="736"/>
      <c r="J138" s="736"/>
      <c r="K138" s="287"/>
      <c r="L138" s="310">
        <v>13</v>
      </c>
      <c r="M138" s="389" t="s">
        <v>363</v>
      </c>
      <c r="N138" s="312" t="s">
        <v>368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3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37"/>
      <c r="J139" s="737"/>
      <c r="K139" s="363"/>
      <c r="L139" s="315">
        <v>13</v>
      </c>
      <c r="M139" s="419" t="s">
        <v>363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4"/>
      <c r="W139" s="573"/>
      <c r="X139" s="728"/>
      <c r="Y139" s="482"/>
    </row>
    <row r="140" spans="1:25" ht="14.4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369</v>
      </c>
      <c r="D141" s="269" t="s">
        <v>370</v>
      </c>
      <c r="E141" s="270"/>
      <c r="F141" s="470"/>
      <c r="G141" s="337">
        <v>7875</v>
      </c>
      <c r="H141" s="642">
        <v>45785</v>
      </c>
      <c r="I141" s="738">
        <f>SUM(G141:G154)</f>
        <v>7875</v>
      </c>
      <c r="J141" s="738">
        <f>D195</f>
        <v>9264.7058820000002</v>
      </c>
      <c r="K141" s="338"/>
      <c r="L141" s="268">
        <v>14</v>
      </c>
      <c r="M141" s="434" t="s">
        <v>371</v>
      </c>
      <c r="N141" s="269" t="s">
        <v>372</v>
      </c>
      <c r="O141" s="561"/>
      <c r="P141" s="470"/>
      <c r="Q141" s="337">
        <v>119</v>
      </c>
      <c r="R141" s="600"/>
      <c r="S141" s="636" t="s">
        <v>373</v>
      </c>
      <c r="T141" s="641">
        <v>45777</v>
      </c>
      <c r="U141" s="643">
        <v>154.43339402689452</v>
      </c>
      <c r="V141" s="744">
        <f>J141-SUM(U141:U154)</f>
        <v>560.85155112850225</v>
      </c>
      <c r="W141" s="642">
        <v>45785</v>
      </c>
      <c r="X141" s="741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39"/>
      <c r="J142" s="739"/>
      <c r="K142" s="271"/>
      <c r="L142" s="339">
        <v>14</v>
      </c>
      <c r="M142" s="435" t="s">
        <v>371</v>
      </c>
      <c r="N142" s="340" t="s">
        <v>372</v>
      </c>
      <c r="O142" s="562"/>
      <c r="P142" s="471"/>
      <c r="Q142" s="342">
        <v>199.91999999996273</v>
      </c>
      <c r="R142" s="602"/>
      <c r="S142" s="636" t="s">
        <v>373</v>
      </c>
      <c r="T142" s="649">
        <v>45808</v>
      </c>
      <c r="U142" s="650">
        <v>282.39405266859563</v>
      </c>
      <c r="V142" s="745"/>
      <c r="W142" s="540">
        <v>45817</v>
      </c>
      <c r="X142" s="742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39"/>
      <c r="J143" s="739"/>
      <c r="K143" s="271"/>
      <c r="L143" s="339">
        <v>14</v>
      </c>
      <c r="M143" s="435" t="s">
        <v>371</v>
      </c>
      <c r="N143" s="340" t="s">
        <v>372</v>
      </c>
      <c r="O143" s="562"/>
      <c r="P143" s="471"/>
      <c r="Q143" s="342">
        <v>0</v>
      </c>
      <c r="R143" s="602"/>
      <c r="S143" s="636" t="s">
        <v>373</v>
      </c>
      <c r="T143" s="649">
        <f t="shared" ref="T143" si="25">IF(W143&gt;1,EOMONTH(W143,0),"")</f>
        <v>45838</v>
      </c>
      <c r="U143" s="650">
        <v>0</v>
      </c>
      <c r="V143" s="745"/>
      <c r="W143" s="540">
        <v>45838</v>
      </c>
      <c r="X143" s="742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39"/>
      <c r="J144" s="739"/>
      <c r="K144" s="271"/>
      <c r="L144" s="339">
        <v>14</v>
      </c>
      <c r="M144" s="435" t="s">
        <v>371</v>
      </c>
      <c r="N144" s="340" t="s">
        <v>372</v>
      </c>
      <c r="O144" s="562"/>
      <c r="P144" s="471"/>
      <c r="Q144" s="342">
        <v>233.24</v>
      </c>
      <c r="R144" s="602"/>
      <c r="S144" s="636" t="s">
        <v>373</v>
      </c>
      <c r="T144" s="649">
        <v>45869</v>
      </c>
      <c r="U144" s="650">
        <v>540.89342495598294</v>
      </c>
      <c r="V144" s="745"/>
      <c r="W144" s="540">
        <v>45876</v>
      </c>
      <c r="X144" s="742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39"/>
      <c r="J145" s="739"/>
      <c r="K145" s="271"/>
      <c r="L145" s="339">
        <v>14</v>
      </c>
      <c r="M145" s="435" t="s">
        <v>371</v>
      </c>
      <c r="N145" s="340" t="s">
        <v>372</v>
      </c>
      <c r="O145" s="562"/>
      <c r="P145" s="471"/>
      <c r="Q145" s="342">
        <v>0</v>
      </c>
      <c r="R145" s="602"/>
      <c r="S145" s="636" t="s">
        <v>373</v>
      </c>
      <c r="T145" s="649">
        <v>45900</v>
      </c>
      <c r="U145" s="650">
        <v>0</v>
      </c>
      <c r="V145" s="745"/>
      <c r="W145" s="540">
        <v>45900</v>
      </c>
      <c r="X145" s="742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39"/>
      <c r="J146" s="739"/>
      <c r="K146" s="271"/>
      <c r="L146" s="339">
        <v>14</v>
      </c>
      <c r="M146" s="435" t="s">
        <v>371</v>
      </c>
      <c r="N146" s="340" t="s">
        <v>372</v>
      </c>
      <c r="O146" s="562"/>
      <c r="P146" s="471"/>
      <c r="Q146" s="342">
        <v>0</v>
      </c>
      <c r="R146" s="602"/>
      <c r="S146" s="636" t="s">
        <v>373</v>
      </c>
      <c r="T146" s="676">
        <v>45930</v>
      </c>
      <c r="U146" s="677">
        <v>0</v>
      </c>
      <c r="V146" s="745"/>
      <c r="W146" s="678">
        <v>45930</v>
      </c>
      <c r="X146" s="742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39"/>
      <c r="J147" s="739"/>
      <c r="K147" s="271"/>
      <c r="L147" s="339">
        <v>14</v>
      </c>
      <c r="M147" s="435" t="s">
        <v>371</v>
      </c>
      <c r="N147" s="340" t="s">
        <v>372</v>
      </c>
      <c r="O147" s="562"/>
      <c r="P147" s="471"/>
      <c r="Q147" s="342">
        <v>95.2</v>
      </c>
      <c r="R147" s="602"/>
      <c r="S147" s="636" t="s">
        <v>373</v>
      </c>
      <c r="T147" s="676">
        <v>45961</v>
      </c>
      <c r="U147" s="677">
        <v>295.24</v>
      </c>
      <c r="V147" s="745"/>
      <c r="W147" s="678">
        <v>45967</v>
      </c>
      <c r="X147" s="742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39"/>
      <c r="J148" s="739"/>
      <c r="K148" s="271"/>
      <c r="L148" s="339">
        <v>14</v>
      </c>
      <c r="M148" s="435" t="s">
        <v>371</v>
      </c>
      <c r="N148" s="340" t="s">
        <v>372</v>
      </c>
      <c r="O148" s="562"/>
      <c r="P148" s="471"/>
      <c r="Q148" s="342">
        <v>0</v>
      </c>
      <c r="R148" s="699"/>
      <c r="S148" s="636" t="s">
        <v>373</v>
      </c>
      <c r="T148" s="676">
        <v>45991</v>
      </c>
      <c r="U148" s="677">
        <v>0</v>
      </c>
      <c r="V148" s="745"/>
      <c r="W148" s="678">
        <v>45991</v>
      </c>
      <c r="X148" s="742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39"/>
      <c r="J149" s="739"/>
      <c r="K149" s="271"/>
      <c r="L149" s="339">
        <v>14</v>
      </c>
      <c r="M149" s="435" t="s">
        <v>371</v>
      </c>
      <c r="N149" s="340" t="s">
        <v>372</v>
      </c>
      <c r="O149" s="562"/>
      <c r="P149" s="471"/>
      <c r="Q149" s="342">
        <v>104.72</v>
      </c>
      <c r="R149" s="602"/>
      <c r="S149" s="636" t="s">
        <v>373</v>
      </c>
      <c r="T149" s="676">
        <v>46022</v>
      </c>
      <c r="U149" s="677">
        <v>419.6221583868446</v>
      </c>
      <c r="V149" s="745"/>
      <c r="W149" s="678">
        <v>46030</v>
      </c>
      <c r="X149" s="742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39"/>
      <c r="J150" s="739"/>
      <c r="K150" s="271"/>
      <c r="L150" s="339">
        <v>14</v>
      </c>
      <c r="M150" s="435" t="s">
        <v>371</v>
      </c>
      <c r="N150" s="340" t="s">
        <v>372</v>
      </c>
      <c r="O150" s="562"/>
      <c r="P150" s="471"/>
      <c r="Q150" s="342">
        <v>0</v>
      </c>
      <c r="R150" s="602"/>
      <c r="S150" s="636" t="s">
        <v>373</v>
      </c>
      <c r="T150" s="676">
        <v>46053</v>
      </c>
      <c r="U150" s="516">
        <v>0</v>
      </c>
      <c r="V150" s="745"/>
      <c r="W150" s="678">
        <v>46058</v>
      </c>
      <c r="X150" s="742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39"/>
      <c r="J151" s="739"/>
      <c r="K151" s="271"/>
      <c r="L151" s="339">
        <v>14</v>
      </c>
      <c r="M151" s="435" t="s">
        <v>371</v>
      </c>
      <c r="N151" s="340" t="s">
        <v>372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45"/>
      <c r="W151" s="584">
        <f>T151+7</f>
        <v>46088</v>
      </c>
      <c r="X151" s="742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39"/>
      <c r="J152" s="739"/>
      <c r="K152" s="271"/>
      <c r="L152" s="339">
        <v>14</v>
      </c>
      <c r="M152" s="435" t="s">
        <v>371</v>
      </c>
      <c r="N152" s="340" t="s">
        <v>372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45"/>
      <c r="W152" s="584">
        <v>46121</v>
      </c>
      <c r="X152" s="742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39"/>
      <c r="J153" s="739"/>
      <c r="K153" s="271"/>
      <c r="L153" s="339">
        <v>14</v>
      </c>
      <c r="M153" s="435" t="s">
        <v>371</v>
      </c>
      <c r="N153" s="340" t="s">
        <v>372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45"/>
      <c r="W153" s="584">
        <v>46149</v>
      </c>
      <c r="X153" s="742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40"/>
      <c r="J154" s="740"/>
      <c r="K154" s="274"/>
      <c r="L154" s="272">
        <v>14</v>
      </c>
      <c r="M154" s="436" t="s">
        <v>371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46"/>
      <c r="W154" s="585"/>
      <c r="X154" s="743"/>
      <c r="Y154" s="482"/>
    </row>
    <row r="155" spans="1:25" ht="14.4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374</v>
      </c>
      <c r="D156" s="281"/>
      <c r="E156" s="282"/>
      <c r="F156" s="437"/>
      <c r="G156" s="283"/>
      <c r="H156" s="578"/>
      <c r="I156" s="735">
        <f>SUM(G156:G167)</f>
        <v>0</v>
      </c>
      <c r="J156" s="735">
        <v>0</v>
      </c>
      <c r="K156" s="284"/>
      <c r="L156" s="280">
        <v>15</v>
      </c>
      <c r="M156" s="350" t="s">
        <v>375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32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36"/>
      <c r="J157" s="736"/>
      <c r="K157" s="287"/>
      <c r="L157" s="310">
        <v>15</v>
      </c>
      <c r="M157" s="389" t="s">
        <v>375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3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36"/>
      <c r="J158" s="736"/>
      <c r="K158" s="287"/>
      <c r="L158" s="310">
        <v>15</v>
      </c>
      <c r="M158" s="389" t="s">
        <v>375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3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36"/>
      <c r="J159" s="736"/>
      <c r="K159" s="287"/>
      <c r="L159" s="310">
        <v>15</v>
      </c>
      <c r="M159" s="389" t="s">
        <v>375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3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36"/>
      <c r="J160" s="736"/>
      <c r="K160" s="287"/>
      <c r="L160" s="310">
        <v>15</v>
      </c>
      <c r="M160" s="389" t="s">
        <v>375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3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36"/>
      <c r="J161" s="736"/>
      <c r="K161" s="287"/>
      <c r="L161" s="310">
        <v>15</v>
      </c>
      <c r="M161" s="389" t="s">
        <v>375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3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36"/>
      <c r="J162" s="736"/>
      <c r="K162" s="287"/>
      <c r="L162" s="310">
        <v>15</v>
      </c>
      <c r="M162" s="389" t="s">
        <v>375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3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36"/>
      <c r="J163" s="736"/>
      <c r="K163" s="287"/>
      <c r="L163" s="310">
        <v>15</v>
      </c>
      <c r="M163" s="389" t="s">
        <v>375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3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36"/>
      <c r="J164" s="736"/>
      <c r="K164" s="287"/>
      <c r="L164" s="310">
        <v>15</v>
      </c>
      <c r="M164" s="389" t="s">
        <v>375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3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36"/>
      <c r="J165" s="736"/>
      <c r="K165" s="287"/>
      <c r="L165" s="310">
        <v>15</v>
      </c>
      <c r="M165" s="389" t="s">
        <v>375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3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36"/>
      <c r="J166" s="736"/>
      <c r="K166" s="287"/>
      <c r="L166" s="310">
        <v>15</v>
      </c>
      <c r="M166" s="389" t="s">
        <v>375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3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37"/>
      <c r="J167" s="737"/>
      <c r="K167" s="288"/>
      <c r="L167" s="315">
        <v>15</v>
      </c>
      <c r="M167" s="419" t="s">
        <v>375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4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376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377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378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379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380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381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382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383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384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385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386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387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388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389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390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391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392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393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394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381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395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396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6:X11"/>
    <mergeCell ref="V6:V11"/>
    <mergeCell ref="V13:V19"/>
    <mergeCell ref="V21:V26"/>
    <mergeCell ref="V28:V42"/>
    <mergeCell ref="X21:X26"/>
    <mergeCell ref="X28:X42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R13:R14"/>
    <mergeCell ref="R32:R39"/>
    <mergeCell ref="I44:I50"/>
    <mergeCell ref="J44:J50"/>
    <mergeCell ref="I52:I64"/>
    <mergeCell ref="J52:J64"/>
    <mergeCell ref="I28:I42"/>
    <mergeCell ref="J28:J42"/>
    <mergeCell ref="I66:I73"/>
    <mergeCell ref="X66:X73"/>
    <mergeCell ref="R54:R61"/>
    <mergeCell ref="J66:J73"/>
    <mergeCell ref="V66:V73"/>
    <mergeCell ref="V52:V64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J125:J129"/>
    <mergeCell ref="X125:X129"/>
    <mergeCell ref="I131:I132"/>
    <mergeCell ref="J131:J132"/>
    <mergeCell ref="K131:K132"/>
    <mergeCell ref="X131:X132"/>
    <mergeCell ref="V125:V129"/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397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398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399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400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401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402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403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404</v>
      </c>
      <c r="C11" s="212">
        <f>'Revenue Tracking'!F5</f>
        <v>7883350.8235000009</v>
      </c>
      <c r="D11" s="212">
        <f>SUM(F11:LD11)</f>
        <v>7883350.8234999999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407289.875</v>
      </c>
      <c r="BL11" s="213">
        <f>SUMIFS('Expenditure Breakdown'!$Q$6:$Q$175, 'Expenditure Breakdown'!$W$6:$W$175, "&gt;="&amp;BL1,'Expenditure Breakdown'!$W$6:$W$175, "&lt;"&amp;BM1)</f>
        <v>113295.95</v>
      </c>
      <c r="BM11" s="213">
        <f>SUMIFS('Expenditure Breakdown'!$Q$6:$Q$175, 'Expenditure Breakdown'!$W$6:$W$175, "&gt;="&amp;BM1,'Expenditure Breakdown'!$W$6:$W$175, "&lt;"&amp;BN1)</f>
        <v>176648.92499999999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405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7429258.8099999996</v>
      </c>
      <c r="BL12" s="213">
        <f t="shared" si="26"/>
        <v>7542554.7599999998</v>
      </c>
      <c r="BM12" s="213">
        <f t="shared" si="26"/>
        <v>7719203.6849999996</v>
      </c>
      <c r="BN12" s="213">
        <f t="shared" si="26"/>
        <v>7719203.6849999996</v>
      </c>
      <c r="BO12" s="213">
        <f t="shared" si="26"/>
        <v>7719203.6849999996</v>
      </c>
      <c r="BP12" s="213">
        <f t="shared" si="26"/>
        <v>7879089.8234999999</v>
      </c>
      <c r="BQ12" s="213">
        <f t="shared" si="26"/>
        <v>7882570.8234999999</v>
      </c>
      <c r="BR12" s="213">
        <f t="shared" si="26"/>
        <v>7882570.8234999999</v>
      </c>
      <c r="BS12" s="213">
        <f t="shared" si="26"/>
        <v>7882570.8234999999</v>
      </c>
      <c r="BT12" s="213">
        <f t="shared" si="26"/>
        <v>7882570.8234999999</v>
      </c>
      <c r="BU12" s="213">
        <f t="shared" ref="BU12:EF12" si="27">BT12+BU11</f>
        <v>7883350.8234999999</v>
      </c>
      <c r="BV12" s="213">
        <f t="shared" si="27"/>
        <v>7883350.8234999999</v>
      </c>
      <c r="BW12" s="213">
        <f t="shared" si="27"/>
        <v>7883350.8234999999</v>
      </c>
      <c r="BX12" s="213">
        <f t="shared" si="27"/>
        <v>7883350.8234999999</v>
      </c>
      <c r="BY12" s="213">
        <f t="shared" si="27"/>
        <v>7883350.8234999999</v>
      </c>
      <c r="BZ12" s="213">
        <f t="shared" si="27"/>
        <v>7883350.8234999999</v>
      </c>
      <c r="CA12" s="213">
        <f t="shared" si="27"/>
        <v>7883350.8234999999</v>
      </c>
      <c r="CB12" s="213">
        <f t="shared" si="27"/>
        <v>7883350.8234999999</v>
      </c>
      <c r="CC12" s="213">
        <f t="shared" si="27"/>
        <v>7883350.8234999999</v>
      </c>
      <c r="CD12" s="213">
        <f t="shared" si="27"/>
        <v>7883350.8234999999</v>
      </c>
      <c r="CE12" s="213">
        <f t="shared" si="27"/>
        <v>7883350.8234999999</v>
      </c>
      <c r="CF12" s="213">
        <f t="shared" si="27"/>
        <v>7883350.8234999999</v>
      </c>
      <c r="CG12" s="213">
        <f t="shared" si="27"/>
        <v>7883350.8234999999</v>
      </c>
      <c r="CH12" s="213">
        <f t="shared" si="27"/>
        <v>7883350.8234999999</v>
      </c>
      <c r="CI12" s="213">
        <f t="shared" si="27"/>
        <v>7883350.8234999999</v>
      </c>
      <c r="CJ12" s="213">
        <f t="shared" si="27"/>
        <v>7883350.8234999999</v>
      </c>
      <c r="CK12" s="213">
        <f t="shared" si="27"/>
        <v>7883350.8234999999</v>
      </c>
      <c r="CL12" s="213">
        <f t="shared" si="27"/>
        <v>7883350.8234999999</v>
      </c>
      <c r="CM12" s="213">
        <f t="shared" si="27"/>
        <v>7883350.8234999999</v>
      </c>
      <c r="CN12" s="213">
        <f t="shared" si="27"/>
        <v>7883350.8234999999</v>
      </c>
      <c r="CO12" s="213">
        <f t="shared" si="27"/>
        <v>7883350.8234999999</v>
      </c>
      <c r="CP12" s="213">
        <f t="shared" si="27"/>
        <v>7883350.8234999999</v>
      </c>
      <c r="CQ12" s="213">
        <f t="shared" si="27"/>
        <v>7883350.8234999999</v>
      </c>
      <c r="CR12" s="213">
        <f t="shared" si="27"/>
        <v>7883350.8234999999</v>
      </c>
      <c r="CS12" s="213">
        <f t="shared" si="27"/>
        <v>7883350.8234999999</v>
      </c>
      <c r="CT12" s="213">
        <f t="shared" si="27"/>
        <v>7883350.8234999999</v>
      </c>
      <c r="CU12" s="213">
        <f t="shared" si="27"/>
        <v>7883350.8234999999</v>
      </c>
      <c r="CV12" s="213">
        <f t="shared" si="27"/>
        <v>7883350.8234999999</v>
      </c>
      <c r="CW12" s="213">
        <f t="shared" si="27"/>
        <v>7883350.8234999999</v>
      </c>
      <c r="CX12" s="213">
        <f t="shared" si="27"/>
        <v>7883350.8234999999</v>
      </c>
      <c r="CY12" s="213">
        <f t="shared" si="27"/>
        <v>7883350.8234999999</v>
      </c>
      <c r="CZ12" s="213">
        <f t="shared" si="27"/>
        <v>7883350.8234999999</v>
      </c>
      <c r="DA12" s="213">
        <f t="shared" si="27"/>
        <v>7883350.8234999999</v>
      </c>
      <c r="DB12" s="213">
        <f t="shared" si="27"/>
        <v>7883350.8234999999</v>
      </c>
      <c r="DC12" s="213">
        <f t="shared" si="27"/>
        <v>7883350.8234999999</v>
      </c>
      <c r="DD12" s="213">
        <f t="shared" si="27"/>
        <v>7883350.8234999999</v>
      </c>
      <c r="DE12" s="213">
        <f t="shared" si="27"/>
        <v>7883350.8234999999</v>
      </c>
      <c r="DF12" s="213">
        <f t="shared" si="27"/>
        <v>7883350.8234999999</v>
      </c>
      <c r="DG12" s="213">
        <f t="shared" si="27"/>
        <v>7883350.8234999999</v>
      </c>
      <c r="DH12" s="213">
        <f t="shared" si="27"/>
        <v>7883350.8234999999</v>
      </c>
      <c r="DI12" s="213">
        <f t="shared" si="27"/>
        <v>7883350.8234999999</v>
      </c>
      <c r="DJ12" s="213">
        <f t="shared" si="27"/>
        <v>7883350.8234999999</v>
      </c>
      <c r="DK12" s="213">
        <f t="shared" si="27"/>
        <v>7883350.8234999999</v>
      </c>
      <c r="DL12" s="213">
        <f t="shared" si="27"/>
        <v>7883350.8234999999</v>
      </c>
      <c r="DM12" s="213">
        <f t="shared" si="27"/>
        <v>7883350.8234999999</v>
      </c>
      <c r="DN12" s="213">
        <f t="shared" si="27"/>
        <v>7883350.8234999999</v>
      </c>
      <c r="DO12" s="213">
        <f t="shared" si="27"/>
        <v>7883350.8234999999</v>
      </c>
      <c r="DP12" s="213">
        <f t="shared" si="27"/>
        <v>7883350.8234999999</v>
      </c>
      <c r="DQ12" s="213">
        <f t="shared" si="27"/>
        <v>7883350.8234999999</v>
      </c>
      <c r="DR12" s="213">
        <f t="shared" si="27"/>
        <v>7883350.8234999999</v>
      </c>
      <c r="DS12" s="213">
        <f t="shared" si="27"/>
        <v>7883350.8234999999</v>
      </c>
      <c r="DT12" s="213">
        <f t="shared" si="27"/>
        <v>7883350.8234999999</v>
      </c>
      <c r="DU12" s="213">
        <f t="shared" si="27"/>
        <v>7883350.8234999999</v>
      </c>
      <c r="DV12" s="213">
        <f t="shared" si="27"/>
        <v>7883350.8234999999</v>
      </c>
      <c r="DW12" s="213">
        <f t="shared" si="27"/>
        <v>7883350.8234999999</v>
      </c>
      <c r="DX12" s="213">
        <f t="shared" si="27"/>
        <v>7883350.8234999999</v>
      </c>
      <c r="DY12" s="213">
        <f t="shared" si="27"/>
        <v>7883350.8234999999</v>
      </c>
      <c r="DZ12" s="213">
        <f t="shared" si="27"/>
        <v>7883350.8234999999</v>
      </c>
      <c r="EA12" s="213">
        <f t="shared" si="27"/>
        <v>7883350.8234999999</v>
      </c>
      <c r="EB12" s="213">
        <f t="shared" si="27"/>
        <v>7883350.8234999999</v>
      </c>
      <c r="EC12" s="213">
        <f t="shared" si="27"/>
        <v>7883350.8234999999</v>
      </c>
      <c r="ED12" s="213">
        <f t="shared" si="27"/>
        <v>7883350.8234999999</v>
      </c>
      <c r="EE12" s="213">
        <f t="shared" si="27"/>
        <v>7883350.8234999999</v>
      </c>
      <c r="EF12" s="213">
        <f t="shared" si="27"/>
        <v>7883350.8234999999</v>
      </c>
      <c r="EG12" s="213">
        <f t="shared" ref="EG12:GR12" si="28">EF12+EG11</f>
        <v>7883350.8234999999</v>
      </c>
      <c r="EH12" s="213">
        <f t="shared" si="28"/>
        <v>7883350.8234999999</v>
      </c>
      <c r="EI12" s="213">
        <f t="shared" si="28"/>
        <v>7883350.8234999999</v>
      </c>
      <c r="EJ12" s="213">
        <f t="shared" si="28"/>
        <v>7883350.8234999999</v>
      </c>
      <c r="EK12" s="213">
        <f t="shared" si="28"/>
        <v>7883350.8234999999</v>
      </c>
      <c r="EL12" s="213">
        <f t="shared" si="28"/>
        <v>7883350.8234999999</v>
      </c>
      <c r="EM12" s="213">
        <f t="shared" si="28"/>
        <v>7883350.8234999999</v>
      </c>
      <c r="EN12" s="213">
        <f t="shared" si="28"/>
        <v>7883350.8234999999</v>
      </c>
      <c r="EO12" s="213">
        <f t="shared" si="28"/>
        <v>7883350.8234999999</v>
      </c>
      <c r="EP12" s="213">
        <f t="shared" si="28"/>
        <v>7883350.8234999999</v>
      </c>
      <c r="EQ12" s="213">
        <f t="shared" si="28"/>
        <v>7883350.8234999999</v>
      </c>
      <c r="ER12" s="213">
        <f t="shared" si="28"/>
        <v>7883350.8234999999</v>
      </c>
      <c r="ES12" s="213">
        <f t="shared" si="28"/>
        <v>7883350.8234999999</v>
      </c>
      <c r="ET12" s="213">
        <f t="shared" si="28"/>
        <v>7883350.8234999999</v>
      </c>
      <c r="EU12" s="213">
        <f t="shared" si="28"/>
        <v>7883350.8234999999</v>
      </c>
      <c r="EV12" s="213">
        <f t="shared" si="28"/>
        <v>7883350.8234999999</v>
      </c>
      <c r="EW12" s="213">
        <f t="shared" si="28"/>
        <v>7883350.8234999999</v>
      </c>
      <c r="EX12" s="213">
        <f t="shared" si="28"/>
        <v>7883350.8234999999</v>
      </c>
      <c r="EY12" s="213">
        <f t="shared" si="28"/>
        <v>7883350.8234999999</v>
      </c>
      <c r="EZ12" s="213">
        <f t="shared" si="28"/>
        <v>7883350.8234999999</v>
      </c>
      <c r="FA12" s="213">
        <f t="shared" si="28"/>
        <v>7883350.8234999999</v>
      </c>
      <c r="FB12" s="213">
        <f t="shared" si="28"/>
        <v>7883350.8234999999</v>
      </c>
      <c r="FC12" s="213">
        <f t="shared" si="28"/>
        <v>7883350.8234999999</v>
      </c>
      <c r="FD12" s="213">
        <f t="shared" si="28"/>
        <v>7883350.8234999999</v>
      </c>
      <c r="FE12" s="213">
        <f t="shared" si="28"/>
        <v>7883350.8234999999</v>
      </c>
      <c r="FF12" s="213">
        <f t="shared" si="28"/>
        <v>7883350.8234999999</v>
      </c>
      <c r="FG12" s="213">
        <f t="shared" si="28"/>
        <v>7883350.8234999999</v>
      </c>
      <c r="FH12" s="213">
        <f t="shared" si="28"/>
        <v>7883350.8234999999</v>
      </c>
      <c r="FI12" s="213">
        <f t="shared" si="28"/>
        <v>7883350.8234999999</v>
      </c>
      <c r="FJ12" s="213">
        <f t="shared" si="28"/>
        <v>7883350.8234999999</v>
      </c>
      <c r="FK12" s="213">
        <f t="shared" si="28"/>
        <v>7883350.8234999999</v>
      </c>
      <c r="FL12" s="213">
        <f t="shared" si="28"/>
        <v>7883350.8234999999</v>
      </c>
      <c r="FM12" s="213">
        <f t="shared" si="28"/>
        <v>7883350.8234999999</v>
      </c>
      <c r="FN12" s="213">
        <f t="shared" si="28"/>
        <v>7883350.8234999999</v>
      </c>
      <c r="FO12" s="213">
        <f t="shared" si="28"/>
        <v>7883350.8234999999</v>
      </c>
      <c r="FP12" s="213">
        <f t="shared" si="28"/>
        <v>7883350.8234999999</v>
      </c>
      <c r="FQ12" s="213">
        <f t="shared" si="28"/>
        <v>7883350.8234999999</v>
      </c>
      <c r="FR12" s="213">
        <f t="shared" si="28"/>
        <v>7883350.8234999999</v>
      </c>
      <c r="FS12" s="213">
        <f t="shared" si="28"/>
        <v>7883350.8234999999</v>
      </c>
      <c r="FT12" s="213">
        <f t="shared" si="28"/>
        <v>7883350.8234999999</v>
      </c>
      <c r="FU12" s="213">
        <f t="shared" si="28"/>
        <v>7883350.8234999999</v>
      </c>
      <c r="FV12" s="213">
        <f t="shared" si="28"/>
        <v>7883350.8234999999</v>
      </c>
      <c r="FW12" s="213">
        <f t="shared" si="28"/>
        <v>7883350.8234999999</v>
      </c>
      <c r="FX12" s="213">
        <f t="shared" si="28"/>
        <v>7883350.8234999999</v>
      </c>
      <c r="FY12" s="213">
        <f t="shared" si="28"/>
        <v>7883350.8234999999</v>
      </c>
      <c r="FZ12" s="213">
        <f t="shared" si="28"/>
        <v>7883350.8234999999</v>
      </c>
      <c r="GA12" s="213">
        <f t="shared" si="28"/>
        <v>7883350.8234999999</v>
      </c>
      <c r="GB12" s="213">
        <f t="shared" si="28"/>
        <v>7883350.8234999999</v>
      </c>
      <c r="GC12" s="213">
        <f t="shared" si="28"/>
        <v>7883350.8234999999</v>
      </c>
      <c r="GD12" s="213">
        <f t="shared" si="28"/>
        <v>7883350.8234999999</v>
      </c>
      <c r="GE12" s="213">
        <f t="shared" si="28"/>
        <v>7883350.8234999999</v>
      </c>
      <c r="GF12" s="213">
        <f t="shared" si="28"/>
        <v>7883350.8234999999</v>
      </c>
      <c r="GG12" s="213">
        <f t="shared" si="28"/>
        <v>7883350.8234999999</v>
      </c>
      <c r="GH12" s="213">
        <f t="shared" si="28"/>
        <v>7883350.8234999999</v>
      </c>
      <c r="GI12" s="213">
        <f t="shared" si="28"/>
        <v>7883350.8234999999</v>
      </c>
      <c r="GJ12" s="213">
        <f t="shared" si="28"/>
        <v>7883350.8234999999</v>
      </c>
      <c r="GK12" s="213">
        <f t="shared" si="28"/>
        <v>7883350.8234999999</v>
      </c>
      <c r="GL12" s="213">
        <f t="shared" si="28"/>
        <v>7883350.8234999999</v>
      </c>
      <c r="GM12" s="213">
        <f t="shared" si="28"/>
        <v>7883350.8234999999</v>
      </c>
      <c r="GN12" s="213">
        <f t="shared" si="28"/>
        <v>7883350.8234999999</v>
      </c>
      <c r="GO12" s="213">
        <f t="shared" si="28"/>
        <v>7883350.8234999999</v>
      </c>
      <c r="GP12" s="213">
        <f t="shared" si="28"/>
        <v>7883350.8234999999</v>
      </c>
      <c r="GQ12" s="213">
        <f t="shared" si="28"/>
        <v>7883350.8234999999</v>
      </c>
      <c r="GR12" s="213">
        <f t="shared" si="28"/>
        <v>7883350.8234999999</v>
      </c>
      <c r="GS12" s="213">
        <f t="shared" ref="GS12:JD12" si="29">GR12+GS11</f>
        <v>7883350.8234999999</v>
      </c>
      <c r="GT12" s="213">
        <f t="shared" si="29"/>
        <v>7883350.8234999999</v>
      </c>
      <c r="GU12" s="213">
        <f t="shared" si="29"/>
        <v>7883350.8234999999</v>
      </c>
      <c r="GV12" s="213">
        <f t="shared" si="29"/>
        <v>7883350.8234999999</v>
      </c>
      <c r="GW12" s="213">
        <f t="shared" si="29"/>
        <v>7883350.8234999999</v>
      </c>
      <c r="GX12" s="213">
        <f t="shared" si="29"/>
        <v>7883350.8234999999</v>
      </c>
      <c r="GY12" s="213">
        <f t="shared" si="29"/>
        <v>7883350.8234999999</v>
      </c>
      <c r="GZ12" s="213">
        <f t="shared" si="29"/>
        <v>7883350.8234999999</v>
      </c>
      <c r="HA12" s="213">
        <f t="shared" si="29"/>
        <v>7883350.8234999999</v>
      </c>
      <c r="HB12" s="213">
        <f t="shared" si="29"/>
        <v>7883350.8234999999</v>
      </c>
      <c r="HC12" s="213">
        <f t="shared" si="29"/>
        <v>7883350.8234999999</v>
      </c>
      <c r="HD12" s="213">
        <f t="shared" si="29"/>
        <v>7883350.8234999999</v>
      </c>
      <c r="HE12" s="213">
        <f t="shared" si="29"/>
        <v>7883350.8234999999</v>
      </c>
      <c r="HF12" s="213">
        <f t="shared" si="29"/>
        <v>7883350.8234999999</v>
      </c>
      <c r="HG12" s="213">
        <f t="shared" si="29"/>
        <v>7883350.8234999999</v>
      </c>
      <c r="HH12" s="213">
        <f t="shared" si="29"/>
        <v>7883350.8234999999</v>
      </c>
      <c r="HI12" s="213">
        <f t="shared" si="29"/>
        <v>7883350.8234999999</v>
      </c>
      <c r="HJ12" s="213">
        <f t="shared" si="29"/>
        <v>7883350.8234999999</v>
      </c>
      <c r="HK12" s="213">
        <f t="shared" si="29"/>
        <v>7883350.8234999999</v>
      </c>
      <c r="HL12" s="213">
        <f t="shared" si="29"/>
        <v>7883350.8234999999</v>
      </c>
      <c r="HM12" s="213">
        <f t="shared" si="29"/>
        <v>7883350.8234999999</v>
      </c>
      <c r="HN12" s="213">
        <f t="shared" si="29"/>
        <v>7883350.8234999999</v>
      </c>
      <c r="HO12" s="213">
        <f t="shared" si="29"/>
        <v>7883350.8234999999</v>
      </c>
      <c r="HP12" s="213">
        <f t="shared" si="29"/>
        <v>7883350.8234999999</v>
      </c>
      <c r="HQ12" s="213">
        <f t="shared" si="29"/>
        <v>7883350.8234999999</v>
      </c>
      <c r="HR12" s="213">
        <f t="shared" si="29"/>
        <v>7883350.8234999999</v>
      </c>
      <c r="HS12" s="213">
        <f t="shared" si="29"/>
        <v>7883350.8234999999</v>
      </c>
      <c r="HT12" s="213">
        <f t="shared" si="29"/>
        <v>7883350.8234999999</v>
      </c>
      <c r="HU12" s="213">
        <f t="shared" si="29"/>
        <v>7883350.8234999999</v>
      </c>
      <c r="HV12" s="213">
        <f t="shared" si="29"/>
        <v>7883350.8234999999</v>
      </c>
      <c r="HW12" s="213">
        <f t="shared" si="29"/>
        <v>7883350.8234999999</v>
      </c>
      <c r="HX12" s="213">
        <f t="shared" si="29"/>
        <v>7883350.8234999999</v>
      </c>
      <c r="HY12" s="213">
        <f t="shared" si="29"/>
        <v>7883350.8234999999</v>
      </c>
      <c r="HZ12" s="213">
        <f t="shared" si="29"/>
        <v>7883350.8234999999</v>
      </c>
      <c r="IA12" s="213">
        <f t="shared" si="29"/>
        <v>7883350.8234999999</v>
      </c>
      <c r="IB12" s="213">
        <f t="shared" si="29"/>
        <v>7883350.8234999999</v>
      </c>
      <c r="IC12" s="213">
        <f t="shared" si="29"/>
        <v>7883350.8234999999</v>
      </c>
      <c r="ID12" s="213">
        <f t="shared" si="29"/>
        <v>7883350.8234999999</v>
      </c>
      <c r="IE12" s="213">
        <f t="shared" si="29"/>
        <v>7883350.8234999999</v>
      </c>
      <c r="IF12" s="213">
        <f t="shared" si="29"/>
        <v>7883350.8234999999</v>
      </c>
      <c r="IG12" s="213">
        <f t="shared" si="29"/>
        <v>7883350.8234999999</v>
      </c>
      <c r="IH12" s="213">
        <f t="shared" si="29"/>
        <v>7883350.8234999999</v>
      </c>
      <c r="II12" s="213">
        <f t="shared" si="29"/>
        <v>7883350.8234999999</v>
      </c>
      <c r="IJ12" s="213">
        <f t="shared" si="29"/>
        <v>7883350.8234999999</v>
      </c>
      <c r="IK12" s="213">
        <f t="shared" si="29"/>
        <v>7883350.8234999999</v>
      </c>
      <c r="IL12" s="213">
        <f t="shared" si="29"/>
        <v>7883350.8234999999</v>
      </c>
      <c r="IM12" s="213">
        <f t="shared" si="29"/>
        <v>7883350.8234999999</v>
      </c>
      <c r="IN12" s="213">
        <f t="shared" si="29"/>
        <v>7883350.8234999999</v>
      </c>
      <c r="IO12" s="213">
        <f t="shared" si="29"/>
        <v>7883350.8234999999</v>
      </c>
      <c r="IP12" s="213">
        <f t="shared" si="29"/>
        <v>7883350.8234999999</v>
      </c>
      <c r="IQ12" s="213">
        <f t="shared" si="29"/>
        <v>7883350.8234999999</v>
      </c>
      <c r="IR12" s="213">
        <f t="shared" si="29"/>
        <v>7883350.8234999999</v>
      </c>
      <c r="IS12" s="213">
        <f t="shared" si="29"/>
        <v>7883350.8234999999</v>
      </c>
      <c r="IT12" s="213">
        <f t="shared" si="29"/>
        <v>7883350.8234999999</v>
      </c>
      <c r="IU12" s="213">
        <f t="shared" si="29"/>
        <v>7883350.8234999999</v>
      </c>
      <c r="IV12" s="213">
        <f t="shared" si="29"/>
        <v>7883350.8234999999</v>
      </c>
      <c r="IW12" s="213">
        <f t="shared" si="29"/>
        <v>7883350.8234999999</v>
      </c>
      <c r="IX12" s="213">
        <f t="shared" si="29"/>
        <v>7883350.8234999999</v>
      </c>
      <c r="IY12" s="213">
        <f t="shared" si="29"/>
        <v>7883350.8234999999</v>
      </c>
      <c r="IZ12" s="213">
        <f t="shared" si="29"/>
        <v>7883350.8234999999</v>
      </c>
      <c r="JA12" s="213">
        <f t="shared" si="29"/>
        <v>7883350.8234999999</v>
      </c>
      <c r="JB12" s="213">
        <f t="shared" si="29"/>
        <v>7883350.8234999999</v>
      </c>
      <c r="JC12" s="213">
        <f t="shared" si="29"/>
        <v>7883350.8234999999</v>
      </c>
      <c r="JD12" s="213">
        <f t="shared" si="29"/>
        <v>7883350.8234999999</v>
      </c>
      <c r="JE12" s="213">
        <f t="shared" ref="JE12:LD12" si="30">JD12+JE11</f>
        <v>7883350.8234999999</v>
      </c>
      <c r="JF12" s="213">
        <f t="shared" si="30"/>
        <v>7883350.8234999999</v>
      </c>
      <c r="JG12" s="213">
        <f t="shared" si="30"/>
        <v>7883350.8234999999</v>
      </c>
      <c r="JH12" s="213">
        <f t="shared" si="30"/>
        <v>7883350.8234999999</v>
      </c>
      <c r="JI12" s="213">
        <f t="shared" si="30"/>
        <v>7883350.8234999999</v>
      </c>
      <c r="JJ12" s="213">
        <f t="shared" si="30"/>
        <v>7883350.8234999999</v>
      </c>
      <c r="JK12" s="213">
        <f t="shared" si="30"/>
        <v>7883350.8234999999</v>
      </c>
      <c r="JL12" s="213">
        <f t="shared" si="30"/>
        <v>7883350.8234999999</v>
      </c>
      <c r="JM12" s="213">
        <f t="shared" si="30"/>
        <v>7883350.8234999999</v>
      </c>
      <c r="JN12" s="213">
        <f t="shared" si="30"/>
        <v>7883350.8234999999</v>
      </c>
      <c r="JO12" s="213">
        <f t="shared" si="30"/>
        <v>7883350.8234999999</v>
      </c>
      <c r="JP12" s="213">
        <f t="shared" si="30"/>
        <v>7883350.8234999999</v>
      </c>
      <c r="JQ12" s="213">
        <f t="shared" si="30"/>
        <v>7883350.8234999999</v>
      </c>
      <c r="JR12" s="213">
        <f t="shared" si="30"/>
        <v>7883350.8234999999</v>
      </c>
      <c r="JS12" s="213">
        <f t="shared" si="30"/>
        <v>7883350.8234999999</v>
      </c>
      <c r="JT12" s="213">
        <f t="shared" si="30"/>
        <v>7883350.8234999999</v>
      </c>
      <c r="JU12" s="213">
        <f t="shared" si="30"/>
        <v>7883350.8234999999</v>
      </c>
      <c r="JV12" s="213">
        <f t="shared" si="30"/>
        <v>7883350.8234999999</v>
      </c>
      <c r="JW12" s="213">
        <f t="shared" si="30"/>
        <v>7883350.8234999999</v>
      </c>
      <c r="JX12" s="213">
        <f t="shared" si="30"/>
        <v>7883350.8234999999</v>
      </c>
      <c r="JY12" s="213">
        <f t="shared" si="30"/>
        <v>7883350.8234999999</v>
      </c>
      <c r="JZ12" s="213">
        <f t="shared" si="30"/>
        <v>7883350.8234999999</v>
      </c>
      <c r="KA12" s="213">
        <f t="shared" si="30"/>
        <v>7883350.8234999999</v>
      </c>
      <c r="KB12" s="213">
        <f t="shared" si="30"/>
        <v>7883350.8234999999</v>
      </c>
      <c r="KC12" s="213">
        <f t="shared" si="30"/>
        <v>7883350.8234999999</v>
      </c>
      <c r="KD12" s="213">
        <f t="shared" si="30"/>
        <v>7883350.8234999999</v>
      </c>
      <c r="KE12" s="213">
        <f t="shared" si="30"/>
        <v>7883350.8234999999</v>
      </c>
      <c r="KF12" s="213">
        <f t="shared" si="30"/>
        <v>7883350.8234999999</v>
      </c>
      <c r="KG12" s="213">
        <f t="shared" si="30"/>
        <v>7883350.8234999999</v>
      </c>
      <c r="KH12" s="213">
        <f t="shared" si="30"/>
        <v>7883350.8234999999</v>
      </c>
      <c r="KI12" s="213">
        <f t="shared" si="30"/>
        <v>7883350.8234999999</v>
      </c>
      <c r="KJ12" s="213">
        <f t="shared" si="30"/>
        <v>7883350.8234999999</v>
      </c>
      <c r="KK12" s="213">
        <f t="shared" si="30"/>
        <v>7883350.8234999999</v>
      </c>
      <c r="KL12" s="213">
        <f t="shared" si="30"/>
        <v>7883350.8234999999</v>
      </c>
      <c r="KM12" s="213">
        <f t="shared" si="30"/>
        <v>7883350.8234999999</v>
      </c>
      <c r="KN12" s="213">
        <f t="shared" si="30"/>
        <v>7883350.8234999999</v>
      </c>
      <c r="KO12" s="213">
        <f t="shared" si="30"/>
        <v>7883350.8234999999</v>
      </c>
      <c r="KP12" s="213">
        <f t="shared" si="30"/>
        <v>7883350.8234999999</v>
      </c>
      <c r="KQ12" s="213">
        <f t="shared" si="30"/>
        <v>7883350.8234999999</v>
      </c>
      <c r="KR12" s="213">
        <f t="shared" si="30"/>
        <v>7883350.8234999999</v>
      </c>
      <c r="KS12" s="213">
        <f t="shared" si="30"/>
        <v>7883350.8234999999</v>
      </c>
      <c r="KT12" s="213">
        <f t="shared" si="30"/>
        <v>7883350.8234999999</v>
      </c>
      <c r="KU12" s="213">
        <f t="shared" si="30"/>
        <v>7883350.8234999999</v>
      </c>
      <c r="KV12" s="213">
        <f t="shared" si="30"/>
        <v>7883350.8234999999</v>
      </c>
      <c r="KW12" s="213">
        <f t="shared" si="30"/>
        <v>7883350.8234999999</v>
      </c>
      <c r="KX12" s="213">
        <f t="shared" si="30"/>
        <v>7883350.8234999999</v>
      </c>
      <c r="KY12" s="213">
        <f t="shared" si="30"/>
        <v>7883350.8234999999</v>
      </c>
      <c r="KZ12" s="213">
        <f t="shared" si="30"/>
        <v>7883350.8234999999</v>
      </c>
      <c r="LA12" s="213">
        <f t="shared" si="30"/>
        <v>7883350.8234999999</v>
      </c>
      <c r="LB12" s="213">
        <f t="shared" si="30"/>
        <v>7883350.8234999999</v>
      </c>
      <c r="LC12" s="213">
        <f t="shared" si="30"/>
        <v>7883350.8234999999</v>
      </c>
      <c r="LD12" s="213">
        <f t="shared" si="30"/>
        <v>7883350.8234999999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406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4192541.8116521733</v>
      </c>
      <c r="BL14" s="206">
        <f t="shared" si="32"/>
        <v>4079245.8616521731</v>
      </c>
      <c r="BM14" s="206">
        <f t="shared" si="32"/>
        <v>3902596.9366521733</v>
      </c>
      <c r="BN14" s="206">
        <f t="shared" si="32"/>
        <v>3902596.9366521733</v>
      </c>
      <c r="BO14" s="206">
        <f t="shared" si="32"/>
        <v>3902596.9366521733</v>
      </c>
      <c r="BP14" s="206">
        <f t="shared" si="32"/>
        <v>3742710.7981521729</v>
      </c>
      <c r="BQ14" s="206">
        <f t="shared" si="32"/>
        <v>3739229.7981521729</v>
      </c>
      <c r="BR14" s="206">
        <f t="shared" si="32"/>
        <v>3739229.7981521729</v>
      </c>
      <c r="BS14" s="206">
        <f t="shared" si="32"/>
        <v>3739229.7981521729</v>
      </c>
      <c r="BT14" s="206">
        <f t="shared" si="32"/>
        <v>3739229.7981521729</v>
      </c>
      <c r="BU14" s="206">
        <f t="shared" ref="BU14:EF14" si="33">BU10-BU12</f>
        <v>3738449.7981521729</v>
      </c>
      <c r="BV14" s="206">
        <f t="shared" si="33"/>
        <v>3738449.7981521729</v>
      </c>
      <c r="BW14" s="206">
        <f t="shared" si="33"/>
        <v>3738449.7981521729</v>
      </c>
      <c r="BX14" s="206">
        <f t="shared" si="33"/>
        <v>3738449.7981521729</v>
      </c>
      <c r="BY14" s="206">
        <f t="shared" si="33"/>
        <v>3738449.7981521729</v>
      </c>
      <c r="BZ14" s="206">
        <f t="shared" si="33"/>
        <v>3738449.7981521729</v>
      </c>
      <c r="CA14" s="206">
        <f t="shared" si="33"/>
        <v>3738449.7981521729</v>
      </c>
      <c r="CB14" s="206">
        <f t="shared" si="33"/>
        <v>3738449.7981521729</v>
      </c>
      <c r="CC14" s="206">
        <f t="shared" si="33"/>
        <v>3738449.7981521729</v>
      </c>
      <c r="CD14" s="206">
        <f t="shared" si="33"/>
        <v>3738449.7981521729</v>
      </c>
      <c r="CE14" s="206">
        <f t="shared" si="33"/>
        <v>3738449.7981521729</v>
      </c>
      <c r="CF14" s="206">
        <f t="shared" si="33"/>
        <v>3738449.7981521729</v>
      </c>
      <c r="CG14" s="206">
        <f t="shared" si="33"/>
        <v>3738449.7981521729</v>
      </c>
      <c r="CH14" s="206">
        <f t="shared" si="33"/>
        <v>3738449.7981521729</v>
      </c>
      <c r="CI14" s="206">
        <f t="shared" si="33"/>
        <v>3738449.7981521729</v>
      </c>
      <c r="CJ14" s="206">
        <f t="shared" si="33"/>
        <v>3738449.7981521729</v>
      </c>
      <c r="CK14" s="206">
        <f t="shared" si="33"/>
        <v>3738449.7981521729</v>
      </c>
      <c r="CL14" s="206">
        <f t="shared" si="33"/>
        <v>3738449.7981521729</v>
      </c>
      <c r="CM14" s="206">
        <f t="shared" si="33"/>
        <v>3738449.7981521729</v>
      </c>
      <c r="CN14" s="206">
        <f t="shared" si="33"/>
        <v>3738449.7981521729</v>
      </c>
      <c r="CO14" s="206">
        <f t="shared" si="33"/>
        <v>3738449.7981521729</v>
      </c>
      <c r="CP14" s="206">
        <f t="shared" si="33"/>
        <v>3738449.7981521729</v>
      </c>
      <c r="CQ14" s="206">
        <f t="shared" si="33"/>
        <v>3738449.7981521729</v>
      </c>
      <c r="CR14" s="206">
        <f t="shared" si="33"/>
        <v>3738449.7981521729</v>
      </c>
      <c r="CS14" s="206">
        <f t="shared" si="33"/>
        <v>3738449.7981521729</v>
      </c>
      <c r="CT14" s="206">
        <f t="shared" si="33"/>
        <v>3738449.7981521729</v>
      </c>
      <c r="CU14" s="206">
        <f t="shared" si="33"/>
        <v>3738449.7981521729</v>
      </c>
      <c r="CV14" s="206">
        <f t="shared" si="33"/>
        <v>3738449.7981521729</v>
      </c>
      <c r="CW14" s="206">
        <f t="shared" si="33"/>
        <v>3738449.7981521729</v>
      </c>
      <c r="CX14" s="206">
        <f t="shared" si="33"/>
        <v>3738449.7981521729</v>
      </c>
      <c r="CY14" s="206">
        <f t="shared" si="33"/>
        <v>3738449.7981521729</v>
      </c>
      <c r="CZ14" s="206">
        <f t="shared" si="33"/>
        <v>3738449.7981521729</v>
      </c>
      <c r="DA14" s="206">
        <f t="shared" si="33"/>
        <v>3738449.7981521729</v>
      </c>
      <c r="DB14" s="206">
        <f t="shared" si="33"/>
        <v>3738449.7981521729</v>
      </c>
      <c r="DC14" s="206">
        <f t="shared" si="33"/>
        <v>3738449.7981521729</v>
      </c>
      <c r="DD14" s="206">
        <f t="shared" si="33"/>
        <v>3738449.7981521729</v>
      </c>
      <c r="DE14" s="206">
        <f t="shared" si="33"/>
        <v>3738449.7981521729</v>
      </c>
      <c r="DF14" s="206">
        <f t="shared" si="33"/>
        <v>3738449.7981521729</v>
      </c>
      <c r="DG14" s="206">
        <f t="shared" si="33"/>
        <v>3738449.7981521729</v>
      </c>
      <c r="DH14" s="206">
        <f t="shared" si="33"/>
        <v>3738449.7981521729</v>
      </c>
      <c r="DI14" s="206">
        <f t="shared" si="33"/>
        <v>3738449.7981521729</v>
      </c>
      <c r="DJ14" s="206">
        <f t="shared" si="33"/>
        <v>3738449.7981521729</v>
      </c>
      <c r="DK14" s="206">
        <f t="shared" si="33"/>
        <v>3738449.7981521729</v>
      </c>
      <c r="DL14" s="206">
        <f t="shared" si="33"/>
        <v>3738449.7981521729</v>
      </c>
      <c r="DM14" s="206">
        <f t="shared" si="33"/>
        <v>3738449.7981521729</v>
      </c>
      <c r="DN14" s="206">
        <f t="shared" si="33"/>
        <v>3738449.7981521729</v>
      </c>
      <c r="DO14" s="206">
        <f t="shared" si="33"/>
        <v>3738449.7981521729</v>
      </c>
      <c r="DP14" s="206">
        <f t="shared" si="33"/>
        <v>3738449.7981521729</v>
      </c>
      <c r="DQ14" s="206">
        <f t="shared" si="33"/>
        <v>3738449.7981521729</v>
      </c>
      <c r="DR14" s="206">
        <f t="shared" si="33"/>
        <v>3738449.7981521729</v>
      </c>
      <c r="DS14" s="206">
        <f t="shared" si="33"/>
        <v>3738449.7981521729</v>
      </c>
      <c r="DT14" s="206">
        <f t="shared" si="33"/>
        <v>3738449.7981521729</v>
      </c>
      <c r="DU14" s="206">
        <f t="shared" si="33"/>
        <v>3738449.7981521729</v>
      </c>
      <c r="DV14" s="206">
        <f t="shared" si="33"/>
        <v>3738449.7981521729</v>
      </c>
      <c r="DW14" s="206">
        <f t="shared" si="33"/>
        <v>3738449.7981521729</v>
      </c>
      <c r="DX14" s="206">
        <f t="shared" si="33"/>
        <v>3738449.7981521729</v>
      </c>
      <c r="DY14" s="206">
        <f t="shared" si="33"/>
        <v>3738449.7981521729</v>
      </c>
      <c r="DZ14" s="206">
        <f t="shared" si="33"/>
        <v>3738449.7981521729</v>
      </c>
      <c r="EA14" s="206">
        <f t="shared" si="33"/>
        <v>3738449.7981521729</v>
      </c>
      <c r="EB14" s="206">
        <f t="shared" si="33"/>
        <v>3738449.7981521729</v>
      </c>
      <c r="EC14" s="206">
        <f t="shared" si="33"/>
        <v>3738449.7981521729</v>
      </c>
      <c r="ED14" s="206">
        <f t="shared" si="33"/>
        <v>3738449.7981521729</v>
      </c>
      <c r="EE14" s="206">
        <f t="shared" si="33"/>
        <v>3738449.7981521729</v>
      </c>
      <c r="EF14" s="206">
        <f t="shared" si="33"/>
        <v>3738449.7981521729</v>
      </c>
      <c r="EG14" s="206">
        <f t="shared" ref="EG14:GR14" si="34">EG10-EG12</f>
        <v>3738449.7981521729</v>
      </c>
      <c r="EH14" s="206">
        <f t="shared" si="34"/>
        <v>3738449.7981521729</v>
      </c>
      <c r="EI14" s="206">
        <f t="shared" si="34"/>
        <v>3738449.7981521729</v>
      </c>
      <c r="EJ14" s="206">
        <f t="shared" si="34"/>
        <v>3738449.7981521729</v>
      </c>
      <c r="EK14" s="206">
        <f t="shared" si="34"/>
        <v>3738449.7981521729</v>
      </c>
      <c r="EL14" s="206">
        <f t="shared" si="34"/>
        <v>3738449.7981521729</v>
      </c>
      <c r="EM14" s="206">
        <f t="shared" si="34"/>
        <v>3738449.7981521729</v>
      </c>
      <c r="EN14" s="206">
        <f t="shared" si="34"/>
        <v>3738449.7981521729</v>
      </c>
      <c r="EO14" s="206">
        <f t="shared" si="34"/>
        <v>3738449.7981521729</v>
      </c>
      <c r="EP14" s="206">
        <f t="shared" si="34"/>
        <v>3738449.7981521729</v>
      </c>
      <c r="EQ14" s="206">
        <f t="shared" si="34"/>
        <v>3738449.7981521729</v>
      </c>
      <c r="ER14" s="206">
        <f t="shared" si="34"/>
        <v>3738449.7981521729</v>
      </c>
      <c r="ES14" s="206">
        <f t="shared" si="34"/>
        <v>3738449.7981521729</v>
      </c>
      <c r="ET14" s="206">
        <f t="shared" si="34"/>
        <v>3738449.7981521729</v>
      </c>
      <c r="EU14" s="206">
        <f t="shared" si="34"/>
        <v>3738449.7981521729</v>
      </c>
      <c r="EV14" s="206">
        <f t="shared" si="34"/>
        <v>3738449.7981521729</v>
      </c>
      <c r="EW14" s="206">
        <f t="shared" si="34"/>
        <v>3738449.7981521729</v>
      </c>
      <c r="EX14" s="206">
        <f t="shared" si="34"/>
        <v>3738449.7981521729</v>
      </c>
      <c r="EY14" s="206">
        <f t="shared" si="34"/>
        <v>3738449.7981521729</v>
      </c>
      <c r="EZ14" s="206">
        <f t="shared" si="34"/>
        <v>3738449.7981521729</v>
      </c>
      <c r="FA14" s="206">
        <f t="shared" si="34"/>
        <v>3738449.7981521729</v>
      </c>
      <c r="FB14" s="206">
        <f t="shared" si="34"/>
        <v>3738449.7981521729</v>
      </c>
      <c r="FC14" s="206">
        <f t="shared" si="34"/>
        <v>3738449.7981521729</v>
      </c>
      <c r="FD14" s="206">
        <f t="shared" si="34"/>
        <v>3738449.7981521729</v>
      </c>
      <c r="FE14" s="206">
        <f t="shared" si="34"/>
        <v>3738449.7981521729</v>
      </c>
      <c r="FF14" s="206">
        <f t="shared" si="34"/>
        <v>3738449.7981521729</v>
      </c>
      <c r="FG14" s="206">
        <f t="shared" si="34"/>
        <v>3738449.7981521729</v>
      </c>
      <c r="FH14" s="206">
        <f t="shared" si="34"/>
        <v>3738449.7981521729</v>
      </c>
      <c r="FI14" s="206">
        <f t="shared" si="34"/>
        <v>3738449.7981521729</v>
      </c>
      <c r="FJ14" s="206">
        <f t="shared" si="34"/>
        <v>3738449.7981521729</v>
      </c>
      <c r="FK14" s="206">
        <f t="shared" si="34"/>
        <v>3738449.7981521729</v>
      </c>
      <c r="FL14" s="206">
        <f t="shared" si="34"/>
        <v>3738449.7981521729</v>
      </c>
      <c r="FM14" s="206">
        <f t="shared" si="34"/>
        <v>3738449.7981521729</v>
      </c>
      <c r="FN14" s="206">
        <f t="shared" si="34"/>
        <v>3738449.7981521729</v>
      </c>
      <c r="FO14" s="206">
        <f t="shared" si="34"/>
        <v>3738449.7981521729</v>
      </c>
      <c r="FP14" s="206">
        <f t="shared" si="34"/>
        <v>3738449.7981521729</v>
      </c>
      <c r="FQ14" s="206">
        <f t="shared" si="34"/>
        <v>3738449.7981521729</v>
      </c>
      <c r="FR14" s="206">
        <f t="shared" si="34"/>
        <v>3738449.7981521729</v>
      </c>
      <c r="FS14" s="206">
        <f t="shared" si="34"/>
        <v>3738449.7981521729</v>
      </c>
      <c r="FT14" s="206">
        <f t="shared" si="34"/>
        <v>3738449.7981521729</v>
      </c>
      <c r="FU14" s="206">
        <f t="shared" si="34"/>
        <v>3738449.7981521729</v>
      </c>
      <c r="FV14" s="206">
        <f t="shared" si="34"/>
        <v>3738449.7981521729</v>
      </c>
      <c r="FW14" s="206">
        <f t="shared" si="34"/>
        <v>3738449.7981521729</v>
      </c>
      <c r="FX14" s="206">
        <f t="shared" si="34"/>
        <v>3738449.7981521729</v>
      </c>
      <c r="FY14" s="206">
        <f t="shared" si="34"/>
        <v>3738449.7981521729</v>
      </c>
      <c r="FZ14" s="206">
        <f t="shared" si="34"/>
        <v>3738449.7981521729</v>
      </c>
      <c r="GA14" s="206">
        <f t="shared" si="34"/>
        <v>3738449.7981521729</v>
      </c>
      <c r="GB14" s="206">
        <f t="shared" si="34"/>
        <v>3738449.7981521729</v>
      </c>
      <c r="GC14" s="206">
        <f t="shared" si="34"/>
        <v>3738449.7981521729</v>
      </c>
      <c r="GD14" s="206">
        <f t="shared" si="34"/>
        <v>3738449.7981521729</v>
      </c>
      <c r="GE14" s="206">
        <f t="shared" si="34"/>
        <v>3738449.7981521729</v>
      </c>
      <c r="GF14" s="206">
        <f t="shared" si="34"/>
        <v>3738449.7981521729</v>
      </c>
      <c r="GG14" s="206">
        <f t="shared" si="34"/>
        <v>3738449.7981521729</v>
      </c>
      <c r="GH14" s="206">
        <f t="shared" si="34"/>
        <v>3738449.7981521729</v>
      </c>
      <c r="GI14" s="206">
        <f t="shared" si="34"/>
        <v>3738449.7981521729</v>
      </c>
      <c r="GJ14" s="206">
        <f t="shared" si="34"/>
        <v>3738449.7981521729</v>
      </c>
      <c r="GK14" s="206">
        <f t="shared" si="34"/>
        <v>3738449.7981521729</v>
      </c>
      <c r="GL14" s="206">
        <f t="shared" si="34"/>
        <v>3738449.7981521729</v>
      </c>
      <c r="GM14" s="206">
        <f t="shared" si="34"/>
        <v>3738449.7981521729</v>
      </c>
      <c r="GN14" s="206">
        <f t="shared" si="34"/>
        <v>3738449.7981521729</v>
      </c>
      <c r="GO14" s="206">
        <f t="shared" si="34"/>
        <v>3738449.7981521729</v>
      </c>
      <c r="GP14" s="206">
        <f t="shared" si="34"/>
        <v>3738449.7981521729</v>
      </c>
      <c r="GQ14" s="206">
        <f t="shared" si="34"/>
        <v>3738449.7981521729</v>
      </c>
      <c r="GR14" s="206">
        <f t="shared" si="34"/>
        <v>3738449.7981521729</v>
      </c>
      <c r="GS14" s="206">
        <f t="shared" ref="GS14:JD14" si="35">GS10-GS12</f>
        <v>3738449.7981521729</v>
      </c>
      <c r="GT14" s="206">
        <f t="shared" si="35"/>
        <v>3738449.7981521729</v>
      </c>
      <c r="GU14" s="206">
        <f t="shared" si="35"/>
        <v>3738449.7981521729</v>
      </c>
      <c r="GV14" s="206">
        <f t="shared" si="35"/>
        <v>3738449.7981521729</v>
      </c>
      <c r="GW14" s="206">
        <f t="shared" si="35"/>
        <v>3738449.7981521729</v>
      </c>
      <c r="GX14" s="206">
        <f t="shared" si="35"/>
        <v>3738449.7981521729</v>
      </c>
      <c r="GY14" s="206">
        <f t="shared" si="35"/>
        <v>3738449.7981521729</v>
      </c>
      <c r="GZ14" s="206">
        <f t="shared" si="35"/>
        <v>3738449.7981521729</v>
      </c>
      <c r="HA14" s="206">
        <f t="shared" si="35"/>
        <v>3738449.7981521729</v>
      </c>
      <c r="HB14" s="206">
        <f t="shared" si="35"/>
        <v>3738449.7981521729</v>
      </c>
      <c r="HC14" s="206">
        <f t="shared" si="35"/>
        <v>3738449.7981521729</v>
      </c>
      <c r="HD14" s="206">
        <f t="shared" si="35"/>
        <v>3738449.7981521729</v>
      </c>
      <c r="HE14" s="206">
        <f t="shared" si="35"/>
        <v>3738449.7981521729</v>
      </c>
      <c r="HF14" s="206">
        <f t="shared" si="35"/>
        <v>3738449.7981521729</v>
      </c>
      <c r="HG14" s="206">
        <f t="shared" si="35"/>
        <v>3738449.7981521729</v>
      </c>
      <c r="HH14" s="206">
        <f t="shared" si="35"/>
        <v>3738449.7981521729</v>
      </c>
      <c r="HI14" s="206">
        <f t="shared" si="35"/>
        <v>3738449.7981521729</v>
      </c>
      <c r="HJ14" s="206">
        <f t="shared" si="35"/>
        <v>3738449.7981521729</v>
      </c>
      <c r="HK14" s="206">
        <f t="shared" si="35"/>
        <v>3738449.7981521729</v>
      </c>
      <c r="HL14" s="206">
        <f t="shared" si="35"/>
        <v>3738449.7981521729</v>
      </c>
      <c r="HM14" s="206">
        <f t="shared" si="35"/>
        <v>3738449.7981521729</v>
      </c>
      <c r="HN14" s="206">
        <f t="shared" si="35"/>
        <v>3738449.7981521729</v>
      </c>
      <c r="HO14" s="206">
        <f t="shared" si="35"/>
        <v>3738449.7981521729</v>
      </c>
      <c r="HP14" s="206">
        <f t="shared" si="35"/>
        <v>3738449.7981521729</v>
      </c>
      <c r="HQ14" s="206">
        <f t="shared" si="35"/>
        <v>3738449.7981521729</v>
      </c>
      <c r="HR14" s="206">
        <f t="shared" si="35"/>
        <v>3738449.7981521729</v>
      </c>
      <c r="HS14" s="206">
        <f t="shared" si="35"/>
        <v>3738449.7981521729</v>
      </c>
      <c r="HT14" s="206">
        <f t="shared" si="35"/>
        <v>3738449.7981521729</v>
      </c>
      <c r="HU14" s="206">
        <f t="shared" si="35"/>
        <v>3738449.7981521729</v>
      </c>
      <c r="HV14" s="206">
        <f t="shared" si="35"/>
        <v>3738449.7981521729</v>
      </c>
      <c r="HW14" s="206">
        <f t="shared" si="35"/>
        <v>3738449.7981521729</v>
      </c>
      <c r="HX14" s="206">
        <f t="shared" si="35"/>
        <v>3738449.7981521729</v>
      </c>
      <c r="HY14" s="206">
        <f t="shared" si="35"/>
        <v>3738449.7981521729</v>
      </c>
      <c r="HZ14" s="206">
        <f t="shared" si="35"/>
        <v>3738449.7981521729</v>
      </c>
      <c r="IA14" s="206">
        <f t="shared" si="35"/>
        <v>3738449.7981521729</v>
      </c>
      <c r="IB14" s="206">
        <f t="shared" si="35"/>
        <v>3738449.7981521729</v>
      </c>
      <c r="IC14" s="206">
        <f t="shared" si="35"/>
        <v>3738449.7981521729</v>
      </c>
      <c r="ID14" s="206">
        <f t="shared" si="35"/>
        <v>3738449.7981521729</v>
      </c>
      <c r="IE14" s="206">
        <f t="shared" si="35"/>
        <v>3738449.7981521729</v>
      </c>
      <c r="IF14" s="206">
        <f t="shared" si="35"/>
        <v>3738449.7981521729</v>
      </c>
      <c r="IG14" s="206">
        <f t="shared" si="35"/>
        <v>3738449.7981521729</v>
      </c>
      <c r="IH14" s="206">
        <f t="shared" si="35"/>
        <v>3738449.7981521729</v>
      </c>
      <c r="II14" s="206">
        <f t="shared" si="35"/>
        <v>3738449.7981521729</v>
      </c>
      <c r="IJ14" s="206">
        <f t="shared" si="35"/>
        <v>3738449.7981521729</v>
      </c>
      <c r="IK14" s="206">
        <f t="shared" si="35"/>
        <v>3738449.7981521729</v>
      </c>
      <c r="IL14" s="206">
        <f t="shared" si="35"/>
        <v>3738449.7981521729</v>
      </c>
      <c r="IM14" s="206">
        <f t="shared" si="35"/>
        <v>3738449.7981521729</v>
      </c>
      <c r="IN14" s="206">
        <f t="shared" si="35"/>
        <v>3738449.7981521729</v>
      </c>
      <c r="IO14" s="206">
        <f t="shared" si="35"/>
        <v>3738449.7981521729</v>
      </c>
      <c r="IP14" s="206">
        <f t="shared" si="35"/>
        <v>3738449.7981521729</v>
      </c>
      <c r="IQ14" s="206">
        <f t="shared" si="35"/>
        <v>3738449.7981521729</v>
      </c>
      <c r="IR14" s="206">
        <f t="shared" si="35"/>
        <v>3738449.7981521729</v>
      </c>
      <c r="IS14" s="206">
        <f t="shared" si="35"/>
        <v>3738449.7981521729</v>
      </c>
      <c r="IT14" s="206">
        <f t="shared" si="35"/>
        <v>3738449.7981521729</v>
      </c>
      <c r="IU14" s="206">
        <f t="shared" si="35"/>
        <v>3738449.7981521729</v>
      </c>
      <c r="IV14" s="206">
        <f t="shared" si="35"/>
        <v>3738449.7981521729</v>
      </c>
      <c r="IW14" s="206">
        <f t="shared" si="35"/>
        <v>3738449.7981521729</v>
      </c>
      <c r="IX14" s="206">
        <f t="shared" si="35"/>
        <v>3738449.7981521729</v>
      </c>
      <c r="IY14" s="206">
        <f t="shared" si="35"/>
        <v>3738449.7981521729</v>
      </c>
      <c r="IZ14" s="206">
        <f t="shared" si="35"/>
        <v>3738449.7981521729</v>
      </c>
      <c r="JA14" s="206">
        <f t="shared" si="35"/>
        <v>3738449.7981521729</v>
      </c>
      <c r="JB14" s="206">
        <f t="shared" si="35"/>
        <v>3738449.7981521729</v>
      </c>
      <c r="JC14" s="206">
        <f t="shared" si="35"/>
        <v>3738449.7981521729</v>
      </c>
      <c r="JD14" s="206">
        <f t="shared" si="35"/>
        <v>3738449.7981521729</v>
      </c>
      <c r="JE14" s="206">
        <f t="shared" ref="JE14:LD14" si="36">JE10-JE12</f>
        <v>3738449.7981521729</v>
      </c>
      <c r="JF14" s="206">
        <f t="shared" si="36"/>
        <v>3738449.7981521729</v>
      </c>
      <c r="JG14" s="206">
        <f t="shared" si="36"/>
        <v>3738449.7981521729</v>
      </c>
      <c r="JH14" s="206">
        <f t="shared" si="36"/>
        <v>3738449.7981521729</v>
      </c>
      <c r="JI14" s="206">
        <f t="shared" si="36"/>
        <v>3738449.7981521729</v>
      </c>
      <c r="JJ14" s="206">
        <f t="shared" si="36"/>
        <v>3738449.7981521729</v>
      </c>
      <c r="JK14" s="206">
        <f t="shared" si="36"/>
        <v>3738449.7981521729</v>
      </c>
      <c r="JL14" s="206">
        <f t="shared" si="36"/>
        <v>3738449.7981521729</v>
      </c>
      <c r="JM14" s="206">
        <f t="shared" si="36"/>
        <v>3738449.7981521729</v>
      </c>
      <c r="JN14" s="206">
        <f t="shared" si="36"/>
        <v>3738449.7981521729</v>
      </c>
      <c r="JO14" s="206">
        <f t="shared" si="36"/>
        <v>3738449.7981521729</v>
      </c>
      <c r="JP14" s="206">
        <f t="shared" si="36"/>
        <v>3738449.7981521729</v>
      </c>
      <c r="JQ14" s="206">
        <f t="shared" si="36"/>
        <v>3738449.7981521729</v>
      </c>
      <c r="JR14" s="206">
        <f t="shared" si="36"/>
        <v>3738449.7981521729</v>
      </c>
      <c r="JS14" s="206">
        <f t="shared" si="36"/>
        <v>3738449.7981521729</v>
      </c>
      <c r="JT14" s="206">
        <f t="shared" si="36"/>
        <v>3738449.7981521729</v>
      </c>
      <c r="JU14" s="206">
        <f t="shared" si="36"/>
        <v>3738449.7981521729</v>
      </c>
      <c r="JV14" s="206">
        <f t="shared" si="36"/>
        <v>3738449.7981521729</v>
      </c>
      <c r="JW14" s="206">
        <f t="shared" si="36"/>
        <v>3738449.7981521729</v>
      </c>
      <c r="JX14" s="206">
        <f t="shared" si="36"/>
        <v>3738449.7981521729</v>
      </c>
      <c r="JY14" s="206">
        <f t="shared" si="36"/>
        <v>3738449.7981521729</v>
      </c>
      <c r="JZ14" s="206">
        <f t="shared" si="36"/>
        <v>3738449.7981521729</v>
      </c>
      <c r="KA14" s="206">
        <f t="shared" si="36"/>
        <v>3738449.7981521729</v>
      </c>
      <c r="KB14" s="206">
        <f t="shared" si="36"/>
        <v>3738449.7981521729</v>
      </c>
      <c r="KC14" s="206">
        <f t="shared" si="36"/>
        <v>3738449.7981521729</v>
      </c>
      <c r="KD14" s="206">
        <f t="shared" si="36"/>
        <v>3738449.7981521729</v>
      </c>
      <c r="KE14" s="206">
        <f t="shared" si="36"/>
        <v>3738449.7981521729</v>
      </c>
      <c r="KF14" s="206">
        <f t="shared" si="36"/>
        <v>3738449.7981521729</v>
      </c>
      <c r="KG14" s="206">
        <f t="shared" si="36"/>
        <v>3738449.7981521729</v>
      </c>
      <c r="KH14" s="206">
        <f t="shared" si="36"/>
        <v>3738449.7981521729</v>
      </c>
      <c r="KI14" s="206">
        <f t="shared" si="36"/>
        <v>3738449.7981521729</v>
      </c>
      <c r="KJ14" s="206">
        <f t="shared" si="36"/>
        <v>3738449.7981521729</v>
      </c>
      <c r="KK14" s="206">
        <f t="shared" si="36"/>
        <v>3738449.7981521729</v>
      </c>
      <c r="KL14" s="206">
        <f t="shared" si="36"/>
        <v>3738449.7981521729</v>
      </c>
      <c r="KM14" s="206">
        <f t="shared" si="36"/>
        <v>3738449.7981521729</v>
      </c>
      <c r="KN14" s="206">
        <f t="shared" si="36"/>
        <v>3738449.7981521729</v>
      </c>
      <c r="KO14" s="206">
        <f t="shared" si="36"/>
        <v>3738449.7981521729</v>
      </c>
      <c r="KP14" s="206">
        <f t="shared" si="36"/>
        <v>3738449.7981521729</v>
      </c>
      <c r="KQ14" s="206">
        <f t="shared" si="36"/>
        <v>3738449.7981521729</v>
      </c>
      <c r="KR14" s="206">
        <f t="shared" si="36"/>
        <v>3738449.7981521729</v>
      </c>
      <c r="KS14" s="206">
        <f t="shared" si="36"/>
        <v>3738449.7981521729</v>
      </c>
      <c r="KT14" s="206">
        <f t="shared" si="36"/>
        <v>3738449.7981521729</v>
      </c>
      <c r="KU14" s="206">
        <f t="shared" si="36"/>
        <v>3738449.7981521729</v>
      </c>
      <c r="KV14" s="206">
        <f t="shared" si="36"/>
        <v>3738449.7981521729</v>
      </c>
      <c r="KW14" s="206">
        <f t="shared" si="36"/>
        <v>3738449.7981521729</v>
      </c>
      <c r="KX14" s="206">
        <f t="shared" si="36"/>
        <v>3738449.7981521729</v>
      </c>
      <c r="KY14" s="206">
        <f t="shared" si="36"/>
        <v>3738449.7981521729</v>
      </c>
      <c r="KZ14" s="206">
        <f t="shared" si="36"/>
        <v>3738449.7981521729</v>
      </c>
      <c r="LA14" s="206">
        <f t="shared" si="36"/>
        <v>3738449.7981521729</v>
      </c>
      <c r="LB14" s="206">
        <f t="shared" si="36"/>
        <v>3738449.7981521729</v>
      </c>
      <c r="LC14" s="206">
        <f t="shared" si="36"/>
        <v>3738449.7981521729</v>
      </c>
      <c r="LD14" s="206">
        <f t="shared" si="36"/>
        <v>3738449.7981521729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407</v>
      </c>
      <c r="C17" s="374">
        <f>C3-D17</f>
        <v>-1991786.494478506</v>
      </c>
      <c r="D17" s="195">
        <f>SUM(F17:LD17)</f>
        <v>8632084.3744785059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353867.21823135001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408</v>
      </c>
      <c r="C18" s="374">
        <f>D17-D18</f>
        <v>0</v>
      </c>
      <c r="D18" s="195">
        <f>MAX(F18:LD18)</f>
        <v>8632084.3744785059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8361353.4006112842</v>
      </c>
      <c r="BL18" s="213">
        <f t="shared" si="37"/>
        <v>8361353.4006112842</v>
      </c>
      <c r="BM18" s="213">
        <f t="shared" si="37"/>
        <v>8361353.4006112842</v>
      </c>
      <c r="BN18" s="213">
        <f t="shared" si="37"/>
        <v>8361353.4006112842</v>
      </c>
      <c r="BO18" s="213">
        <f t="shared" si="37"/>
        <v>8361353.4006112842</v>
      </c>
      <c r="BP18" s="213">
        <f t="shared" si="37"/>
        <v>8629747.2840448953</v>
      </c>
      <c r="BQ18" s="213">
        <f t="shared" si="37"/>
        <v>8629747.2840448953</v>
      </c>
      <c r="BR18" s="213">
        <f t="shared" si="37"/>
        <v>8629747.2840448953</v>
      </c>
      <c r="BS18" s="213">
        <f t="shared" si="37"/>
        <v>8629747.2840448953</v>
      </c>
      <c r="BT18" s="213">
        <f t="shared" si="37"/>
        <v>8632084.3744785059</v>
      </c>
      <c r="BU18" s="213">
        <f t="shared" ref="BU18:EF18" si="38">BT18+BU17</f>
        <v>8632084.3744785059</v>
      </c>
      <c r="BV18" s="213">
        <f t="shared" si="38"/>
        <v>8632084.3744785059</v>
      </c>
      <c r="BW18" s="213">
        <f t="shared" si="38"/>
        <v>8632084.3744785059</v>
      </c>
      <c r="BX18" s="213">
        <f t="shared" si="38"/>
        <v>8632084.3744785059</v>
      </c>
      <c r="BY18" s="213">
        <f t="shared" si="38"/>
        <v>8632084.3744785059</v>
      </c>
      <c r="BZ18" s="213">
        <f t="shared" si="38"/>
        <v>8632084.3744785059</v>
      </c>
      <c r="CA18" s="213">
        <f t="shared" si="38"/>
        <v>8632084.3744785059</v>
      </c>
      <c r="CB18" s="213">
        <f t="shared" si="38"/>
        <v>8632084.3744785059</v>
      </c>
      <c r="CC18" s="213">
        <f t="shared" si="38"/>
        <v>8632084.3744785059</v>
      </c>
      <c r="CD18" s="213">
        <f t="shared" si="38"/>
        <v>8632084.3744785059</v>
      </c>
      <c r="CE18" s="213">
        <f t="shared" si="38"/>
        <v>8632084.3744785059</v>
      </c>
      <c r="CF18" s="213">
        <f t="shared" si="38"/>
        <v>8632084.3744785059</v>
      </c>
      <c r="CG18" s="213">
        <f t="shared" si="38"/>
        <v>8632084.3744785059</v>
      </c>
      <c r="CH18" s="213">
        <f t="shared" si="38"/>
        <v>8632084.3744785059</v>
      </c>
      <c r="CI18" s="213">
        <f t="shared" si="38"/>
        <v>8632084.3744785059</v>
      </c>
      <c r="CJ18" s="213">
        <f t="shared" si="38"/>
        <v>8632084.3744785059</v>
      </c>
      <c r="CK18" s="213">
        <f t="shared" si="38"/>
        <v>8632084.3744785059</v>
      </c>
      <c r="CL18" s="213">
        <f t="shared" si="38"/>
        <v>8632084.3744785059</v>
      </c>
      <c r="CM18" s="213">
        <f t="shared" si="38"/>
        <v>8632084.3744785059</v>
      </c>
      <c r="CN18" s="213">
        <f t="shared" si="38"/>
        <v>8632084.3744785059</v>
      </c>
      <c r="CO18" s="213">
        <f t="shared" si="38"/>
        <v>8632084.3744785059</v>
      </c>
      <c r="CP18" s="213">
        <f t="shared" si="38"/>
        <v>8632084.3744785059</v>
      </c>
      <c r="CQ18" s="213">
        <f t="shared" si="38"/>
        <v>8632084.3744785059</v>
      </c>
      <c r="CR18" s="213">
        <f t="shared" si="38"/>
        <v>8632084.3744785059</v>
      </c>
      <c r="CS18" s="213">
        <f t="shared" si="38"/>
        <v>8632084.3744785059</v>
      </c>
      <c r="CT18" s="213">
        <f t="shared" si="38"/>
        <v>8632084.3744785059</v>
      </c>
      <c r="CU18" s="213">
        <f t="shared" si="38"/>
        <v>8632084.3744785059</v>
      </c>
      <c r="CV18" s="213">
        <f t="shared" si="38"/>
        <v>8632084.3744785059</v>
      </c>
      <c r="CW18" s="213">
        <f t="shared" si="38"/>
        <v>8632084.3744785059</v>
      </c>
      <c r="CX18" s="213">
        <f t="shared" si="38"/>
        <v>8632084.3744785059</v>
      </c>
      <c r="CY18" s="213">
        <f t="shared" si="38"/>
        <v>8632084.3744785059</v>
      </c>
      <c r="CZ18" s="213">
        <f t="shared" si="38"/>
        <v>8632084.3744785059</v>
      </c>
      <c r="DA18" s="213">
        <f t="shared" si="38"/>
        <v>8632084.3744785059</v>
      </c>
      <c r="DB18" s="213">
        <f t="shared" si="38"/>
        <v>8632084.3744785059</v>
      </c>
      <c r="DC18" s="213">
        <f t="shared" si="38"/>
        <v>8632084.3744785059</v>
      </c>
      <c r="DD18" s="213">
        <f t="shared" si="38"/>
        <v>8632084.3744785059</v>
      </c>
      <c r="DE18" s="213">
        <f t="shared" si="38"/>
        <v>8632084.3744785059</v>
      </c>
      <c r="DF18" s="213">
        <f t="shared" si="38"/>
        <v>8632084.3744785059</v>
      </c>
      <c r="DG18" s="213">
        <f t="shared" si="38"/>
        <v>8632084.3744785059</v>
      </c>
      <c r="DH18" s="213">
        <f t="shared" si="38"/>
        <v>8632084.3744785059</v>
      </c>
      <c r="DI18" s="213">
        <f t="shared" si="38"/>
        <v>8632084.3744785059</v>
      </c>
      <c r="DJ18" s="213">
        <f t="shared" si="38"/>
        <v>8632084.3744785059</v>
      </c>
      <c r="DK18" s="213">
        <f t="shared" si="38"/>
        <v>8632084.3744785059</v>
      </c>
      <c r="DL18" s="213">
        <f t="shared" si="38"/>
        <v>8632084.3744785059</v>
      </c>
      <c r="DM18" s="213">
        <f t="shared" si="38"/>
        <v>8632084.3744785059</v>
      </c>
      <c r="DN18" s="213">
        <f t="shared" si="38"/>
        <v>8632084.3744785059</v>
      </c>
      <c r="DO18" s="213">
        <f t="shared" si="38"/>
        <v>8632084.3744785059</v>
      </c>
      <c r="DP18" s="213">
        <f t="shared" si="38"/>
        <v>8632084.3744785059</v>
      </c>
      <c r="DQ18" s="213">
        <f t="shared" si="38"/>
        <v>8632084.3744785059</v>
      </c>
      <c r="DR18" s="213">
        <f t="shared" si="38"/>
        <v>8632084.3744785059</v>
      </c>
      <c r="DS18" s="213">
        <f t="shared" si="38"/>
        <v>8632084.3744785059</v>
      </c>
      <c r="DT18" s="213">
        <f t="shared" si="38"/>
        <v>8632084.3744785059</v>
      </c>
      <c r="DU18" s="213">
        <f t="shared" si="38"/>
        <v>8632084.3744785059</v>
      </c>
      <c r="DV18" s="213">
        <f t="shared" si="38"/>
        <v>8632084.3744785059</v>
      </c>
      <c r="DW18" s="213">
        <f t="shared" si="38"/>
        <v>8632084.3744785059</v>
      </c>
      <c r="DX18" s="213">
        <f t="shared" si="38"/>
        <v>8632084.3744785059</v>
      </c>
      <c r="DY18" s="213">
        <f t="shared" si="38"/>
        <v>8632084.3744785059</v>
      </c>
      <c r="DZ18" s="213">
        <f t="shared" si="38"/>
        <v>8632084.3744785059</v>
      </c>
      <c r="EA18" s="213">
        <f t="shared" si="38"/>
        <v>8632084.3744785059</v>
      </c>
      <c r="EB18" s="213">
        <f t="shared" si="38"/>
        <v>8632084.3744785059</v>
      </c>
      <c r="EC18" s="213">
        <f t="shared" si="38"/>
        <v>8632084.3744785059</v>
      </c>
      <c r="ED18" s="213">
        <f t="shared" si="38"/>
        <v>8632084.3744785059</v>
      </c>
      <c r="EE18" s="213">
        <f t="shared" si="38"/>
        <v>8632084.3744785059</v>
      </c>
      <c r="EF18" s="213">
        <f t="shared" si="38"/>
        <v>8632084.3744785059</v>
      </c>
      <c r="EG18" s="213">
        <f t="shared" ref="EG18:GR18" si="39">EF18+EG17</f>
        <v>8632084.3744785059</v>
      </c>
      <c r="EH18" s="213">
        <f t="shared" si="39"/>
        <v>8632084.3744785059</v>
      </c>
      <c r="EI18" s="213">
        <f t="shared" si="39"/>
        <v>8632084.3744785059</v>
      </c>
      <c r="EJ18" s="213">
        <f t="shared" si="39"/>
        <v>8632084.3744785059</v>
      </c>
      <c r="EK18" s="213">
        <f t="shared" si="39"/>
        <v>8632084.3744785059</v>
      </c>
      <c r="EL18" s="213">
        <f t="shared" si="39"/>
        <v>8632084.3744785059</v>
      </c>
      <c r="EM18" s="213">
        <f t="shared" si="39"/>
        <v>8632084.3744785059</v>
      </c>
      <c r="EN18" s="213">
        <f t="shared" si="39"/>
        <v>8632084.3744785059</v>
      </c>
      <c r="EO18" s="213">
        <f t="shared" si="39"/>
        <v>8632084.3744785059</v>
      </c>
      <c r="EP18" s="213">
        <f t="shared" si="39"/>
        <v>8632084.3744785059</v>
      </c>
      <c r="EQ18" s="213">
        <f t="shared" si="39"/>
        <v>8632084.3744785059</v>
      </c>
      <c r="ER18" s="213">
        <f t="shared" si="39"/>
        <v>8632084.3744785059</v>
      </c>
      <c r="ES18" s="213">
        <f t="shared" si="39"/>
        <v>8632084.3744785059</v>
      </c>
      <c r="ET18" s="213">
        <f t="shared" si="39"/>
        <v>8632084.3744785059</v>
      </c>
      <c r="EU18" s="213">
        <f t="shared" si="39"/>
        <v>8632084.3744785059</v>
      </c>
      <c r="EV18" s="213">
        <f t="shared" si="39"/>
        <v>8632084.3744785059</v>
      </c>
      <c r="EW18" s="213">
        <f t="shared" si="39"/>
        <v>8632084.3744785059</v>
      </c>
      <c r="EX18" s="213">
        <f t="shared" si="39"/>
        <v>8632084.3744785059</v>
      </c>
      <c r="EY18" s="213">
        <f t="shared" si="39"/>
        <v>8632084.3744785059</v>
      </c>
      <c r="EZ18" s="213">
        <f t="shared" si="39"/>
        <v>8632084.3744785059</v>
      </c>
      <c r="FA18" s="213">
        <f t="shared" si="39"/>
        <v>8632084.3744785059</v>
      </c>
      <c r="FB18" s="213">
        <f t="shared" si="39"/>
        <v>8632084.3744785059</v>
      </c>
      <c r="FC18" s="213">
        <f t="shared" si="39"/>
        <v>8632084.3744785059</v>
      </c>
      <c r="FD18" s="213">
        <f t="shared" si="39"/>
        <v>8632084.3744785059</v>
      </c>
      <c r="FE18" s="213">
        <f t="shared" si="39"/>
        <v>8632084.3744785059</v>
      </c>
      <c r="FF18" s="213">
        <f t="shared" si="39"/>
        <v>8632084.3744785059</v>
      </c>
      <c r="FG18" s="213">
        <f t="shared" si="39"/>
        <v>8632084.3744785059</v>
      </c>
      <c r="FH18" s="213">
        <f t="shared" si="39"/>
        <v>8632084.3744785059</v>
      </c>
      <c r="FI18" s="213">
        <f t="shared" si="39"/>
        <v>8632084.3744785059</v>
      </c>
      <c r="FJ18" s="213">
        <f t="shared" si="39"/>
        <v>8632084.3744785059</v>
      </c>
      <c r="FK18" s="213">
        <f t="shared" si="39"/>
        <v>8632084.3744785059</v>
      </c>
      <c r="FL18" s="213">
        <f t="shared" si="39"/>
        <v>8632084.3744785059</v>
      </c>
      <c r="FM18" s="213">
        <f t="shared" si="39"/>
        <v>8632084.3744785059</v>
      </c>
      <c r="FN18" s="213">
        <f t="shared" si="39"/>
        <v>8632084.3744785059</v>
      </c>
      <c r="FO18" s="213">
        <f t="shared" si="39"/>
        <v>8632084.3744785059</v>
      </c>
      <c r="FP18" s="213">
        <f t="shared" si="39"/>
        <v>8632084.3744785059</v>
      </c>
      <c r="FQ18" s="213">
        <f t="shared" si="39"/>
        <v>8632084.3744785059</v>
      </c>
      <c r="FR18" s="213">
        <f t="shared" si="39"/>
        <v>8632084.3744785059</v>
      </c>
      <c r="FS18" s="213">
        <f t="shared" si="39"/>
        <v>8632084.3744785059</v>
      </c>
      <c r="FT18" s="213">
        <f t="shared" si="39"/>
        <v>8632084.3744785059</v>
      </c>
      <c r="FU18" s="213">
        <f t="shared" si="39"/>
        <v>8632084.3744785059</v>
      </c>
      <c r="FV18" s="213">
        <f t="shared" si="39"/>
        <v>8632084.3744785059</v>
      </c>
      <c r="FW18" s="213">
        <f t="shared" si="39"/>
        <v>8632084.3744785059</v>
      </c>
      <c r="FX18" s="213">
        <f t="shared" si="39"/>
        <v>8632084.3744785059</v>
      </c>
      <c r="FY18" s="213">
        <f t="shared" si="39"/>
        <v>8632084.3744785059</v>
      </c>
      <c r="FZ18" s="213">
        <f t="shared" si="39"/>
        <v>8632084.3744785059</v>
      </c>
      <c r="GA18" s="213">
        <f t="shared" si="39"/>
        <v>8632084.3744785059</v>
      </c>
      <c r="GB18" s="213">
        <f t="shared" si="39"/>
        <v>8632084.3744785059</v>
      </c>
      <c r="GC18" s="213">
        <f t="shared" si="39"/>
        <v>8632084.3744785059</v>
      </c>
      <c r="GD18" s="213">
        <f t="shared" si="39"/>
        <v>8632084.3744785059</v>
      </c>
      <c r="GE18" s="213">
        <f t="shared" si="39"/>
        <v>8632084.3744785059</v>
      </c>
      <c r="GF18" s="213">
        <f t="shared" si="39"/>
        <v>8632084.3744785059</v>
      </c>
      <c r="GG18" s="213">
        <f t="shared" si="39"/>
        <v>8632084.3744785059</v>
      </c>
      <c r="GH18" s="213">
        <f t="shared" si="39"/>
        <v>8632084.3744785059</v>
      </c>
      <c r="GI18" s="213">
        <f t="shared" si="39"/>
        <v>8632084.3744785059</v>
      </c>
      <c r="GJ18" s="213">
        <f t="shared" si="39"/>
        <v>8632084.3744785059</v>
      </c>
      <c r="GK18" s="213">
        <f t="shared" si="39"/>
        <v>8632084.3744785059</v>
      </c>
      <c r="GL18" s="213">
        <f t="shared" si="39"/>
        <v>8632084.3744785059</v>
      </c>
      <c r="GM18" s="213">
        <f t="shared" si="39"/>
        <v>8632084.3744785059</v>
      </c>
      <c r="GN18" s="213">
        <f t="shared" si="39"/>
        <v>8632084.3744785059</v>
      </c>
      <c r="GO18" s="213">
        <f t="shared" si="39"/>
        <v>8632084.3744785059</v>
      </c>
      <c r="GP18" s="213">
        <f t="shared" si="39"/>
        <v>8632084.3744785059</v>
      </c>
      <c r="GQ18" s="213">
        <f t="shared" si="39"/>
        <v>8632084.3744785059</v>
      </c>
      <c r="GR18" s="213">
        <f t="shared" si="39"/>
        <v>8632084.3744785059</v>
      </c>
      <c r="GS18" s="213">
        <f t="shared" ref="GS18:JD18" si="40">GR18+GS17</f>
        <v>8632084.3744785059</v>
      </c>
      <c r="GT18" s="213">
        <f t="shared" si="40"/>
        <v>8632084.3744785059</v>
      </c>
      <c r="GU18" s="213">
        <f t="shared" si="40"/>
        <v>8632084.3744785059</v>
      </c>
      <c r="GV18" s="213">
        <f t="shared" si="40"/>
        <v>8632084.3744785059</v>
      </c>
      <c r="GW18" s="213">
        <f t="shared" si="40"/>
        <v>8632084.3744785059</v>
      </c>
      <c r="GX18" s="213">
        <f t="shared" si="40"/>
        <v>8632084.3744785059</v>
      </c>
      <c r="GY18" s="213">
        <f t="shared" si="40"/>
        <v>8632084.3744785059</v>
      </c>
      <c r="GZ18" s="213">
        <f t="shared" si="40"/>
        <v>8632084.3744785059</v>
      </c>
      <c r="HA18" s="213">
        <f t="shared" si="40"/>
        <v>8632084.3744785059</v>
      </c>
      <c r="HB18" s="213">
        <f t="shared" si="40"/>
        <v>8632084.3744785059</v>
      </c>
      <c r="HC18" s="213">
        <f t="shared" si="40"/>
        <v>8632084.3744785059</v>
      </c>
      <c r="HD18" s="213">
        <f t="shared" si="40"/>
        <v>8632084.3744785059</v>
      </c>
      <c r="HE18" s="213">
        <f t="shared" si="40"/>
        <v>8632084.3744785059</v>
      </c>
      <c r="HF18" s="213">
        <f t="shared" si="40"/>
        <v>8632084.3744785059</v>
      </c>
      <c r="HG18" s="213">
        <f t="shared" si="40"/>
        <v>8632084.3744785059</v>
      </c>
      <c r="HH18" s="213">
        <f t="shared" si="40"/>
        <v>8632084.3744785059</v>
      </c>
      <c r="HI18" s="213">
        <f t="shared" si="40"/>
        <v>8632084.3744785059</v>
      </c>
      <c r="HJ18" s="213">
        <f t="shared" si="40"/>
        <v>8632084.3744785059</v>
      </c>
      <c r="HK18" s="213">
        <f t="shared" si="40"/>
        <v>8632084.3744785059</v>
      </c>
      <c r="HL18" s="213">
        <f t="shared" si="40"/>
        <v>8632084.3744785059</v>
      </c>
      <c r="HM18" s="213">
        <f t="shared" si="40"/>
        <v>8632084.3744785059</v>
      </c>
      <c r="HN18" s="213">
        <f t="shared" si="40"/>
        <v>8632084.3744785059</v>
      </c>
      <c r="HO18" s="213">
        <f t="shared" si="40"/>
        <v>8632084.3744785059</v>
      </c>
      <c r="HP18" s="213">
        <f t="shared" si="40"/>
        <v>8632084.3744785059</v>
      </c>
      <c r="HQ18" s="213">
        <f t="shared" si="40"/>
        <v>8632084.3744785059</v>
      </c>
      <c r="HR18" s="213">
        <f t="shared" si="40"/>
        <v>8632084.3744785059</v>
      </c>
      <c r="HS18" s="213">
        <f t="shared" si="40"/>
        <v>8632084.3744785059</v>
      </c>
      <c r="HT18" s="213">
        <f t="shared" si="40"/>
        <v>8632084.3744785059</v>
      </c>
      <c r="HU18" s="213">
        <f t="shared" si="40"/>
        <v>8632084.3744785059</v>
      </c>
      <c r="HV18" s="213">
        <f t="shared" si="40"/>
        <v>8632084.3744785059</v>
      </c>
      <c r="HW18" s="213">
        <f t="shared" si="40"/>
        <v>8632084.3744785059</v>
      </c>
      <c r="HX18" s="213">
        <f t="shared" si="40"/>
        <v>8632084.3744785059</v>
      </c>
      <c r="HY18" s="213">
        <f t="shared" si="40"/>
        <v>8632084.3744785059</v>
      </c>
      <c r="HZ18" s="213">
        <f t="shared" si="40"/>
        <v>8632084.3744785059</v>
      </c>
      <c r="IA18" s="213">
        <f t="shared" si="40"/>
        <v>8632084.3744785059</v>
      </c>
      <c r="IB18" s="213">
        <f t="shared" si="40"/>
        <v>8632084.3744785059</v>
      </c>
      <c r="IC18" s="213">
        <f t="shared" si="40"/>
        <v>8632084.3744785059</v>
      </c>
      <c r="ID18" s="213">
        <f t="shared" si="40"/>
        <v>8632084.3744785059</v>
      </c>
      <c r="IE18" s="213">
        <f t="shared" si="40"/>
        <v>8632084.3744785059</v>
      </c>
      <c r="IF18" s="213">
        <f t="shared" si="40"/>
        <v>8632084.3744785059</v>
      </c>
      <c r="IG18" s="213">
        <f t="shared" si="40"/>
        <v>8632084.3744785059</v>
      </c>
      <c r="IH18" s="213">
        <f t="shared" si="40"/>
        <v>8632084.3744785059</v>
      </c>
      <c r="II18" s="213">
        <f t="shared" si="40"/>
        <v>8632084.3744785059</v>
      </c>
      <c r="IJ18" s="213">
        <f t="shared" si="40"/>
        <v>8632084.3744785059</v>
      </c>
      <c r="IK18" s="213">
        <f t="shared" si="40"/>
        <v>8632084.3744785059</v>
      </c>
      <c r="IL18" s="213">
        <f t="shared" si="40"/>
        <v>8632084.3744785059</v>
      </c>
      <c r="IM18" s="213">
        <f t="shared" si="40"/>
        <v>8632084.3744785059</v>
      </c>
      <c r="IN18" s="213">
        <f t="shared" si="40"/>
        <v>8632084.3744785059</v>
      </c>
      <c r="IO18" s="213">
        <f t="shared" si="40"/>
        <v>8632084.3744785059</v>
      </c>
      <c r="IP18" s="213">
        <f t="shared" si="40"/>
        <v>8632084.3744785059</v>
      </c>
      <c r="IQ18" s="213">
        <f t="shared" si="40"/>
        <v>8632084.3744785059</v>
      </c>
      <c r="IR18" s="213">
        <f t="shared" si="40"/>
        <v>8632084.3744785059</v>
      </c>
      <c r="IS18" s="213">
        <f t="shared" si="40"/>
        <v>8632084.3744785059</v>
      </c>
      <c r="IT18" s="213">
        <f t="shared" si="40"/>
        <v>8632084.3744785059</v>
      </c>
      <c r="IU18" s="213">
        <f t="shared" si="40"/>
        <v>8632084.3744785059</v>
      </c>
      <c r="IV18" s="213">
        <f t="shared" si="40"/>
        <v>8632084.3744785059</v>
      </c>
      <c r="IW18" s="213">
        <f t="shared" si="40"/>
        <v>8632084.3744785059</v>
      </c>
      <c r="IX18" s="213">
        <f t="shared" si="40"/>
        <v>8632084.3744785059</v>
      </c>
      <c r="IY18" s="213">
        <f t="shared" si="40"/>
        <v>8632084.3744785059</v>
      </c>
      <c r="IZ18" s="213">
        <f t="shared" si="40"/>
        <v>8632084.3744785059</v>
      </c>
      <c r="JA18" s="213">
        <f t="shared" si="40"/>
        <v>8632084.3744785059</v>
      </c>
      <c r="JB18" s="213">
        <f t="shared" si="40"/>
        <v>8632084.3744785059</v>
      </c>
      <c r="JC18" s="213">
        <f t="shared" si="40"/>
        <v>8632084.3744785059</v>
      </c>
      <c r="JD18" s="213">
        <f t="shared" si="40"/>
        <v>8632084.3744785059</v>
      </c>
      <c r="JE18" s="213">
        <f t="shared" ref="JE18:LD18" si="41">JD18+JE17</f>
        <v>8632084.3744785059</v>
      </c>
      <c r="JF18" s="213">
        <f t="shared" si="41"/>
        <v>8632084.3744785059</v>
      </c>
      <c r="JG18" s="213">
        <f t="shared" si="41"/>
        <v>8632084.3744785059</v>
      </c>
      <c r="JH18" s="213">
        <f t="shared" si="41"/>
        <v>8632084.3744785059</v>
      </c>
      <c r="JI18" s="213">
        <f t="shared" si="41"/>
        <v>8632084.3744785059</v>
      </c>
      <c r="JJ18" s="213">
        <f t="shared" si="41"/>
        <v>8632084.3744785059</v>
      </c>
      <c r="JK18" s="213">
        <f t="shared" si="41"/>
        <v>8632084.3744785059</v>
      </c>
      <c r="JL18" s="213">
        <f t="shared" si="41"/>
        <v>8632084.3744785059</v>
      </c>
      <c r="JM18" s="213">
        <f t="shared" si="41"/>
        <v>8632084.3744785059</v>
      </c>
      <c r="JN18" s="213">
        <f t="shared" si="41"/>
        <v>8632084.3744785059</v>
      </c>
      <c r="JO18" s="213">
        <f t="shared" si="41"/>
        <v>8632084.3744785059</v>
      </c>
      <c r="JP18" s="213">
        <f t="shared" si="41"/>
        <v>8632084.3744785059</v>
      </c>
      <c r="JQ18" s="213">
        <f t="shared" si="41"/>
        <v>8632084.3744785059</v>
      </c>
      <c r="JR18" s="213">
        <f t="shared" si="41"/>
        <v>8632084.3744785059</v>
      </c>
      <c r="JS18" s="213">
        <f t="shared" si="41"/>
        <v>8632084.3744785059</v>
      </c>
      <c r="JT18" s="213">
        <f t="shared" si="41"/>
        <v>8632084.3744785059</v>
      </c>
      <c r="JU18" s="213">
        <f t="shared" si="41"/>
        <v>8632084.3744785059</v>
      </c>
      <c r="JV18" s="213">
        <f t="shared" si="41"/>
        <v>8632084.3744785059</v>
      </c>
      <c r="JW18" s="213">
        <f t="shared" si="41"/>
        <v>8632084.3744785059</v>
      </c>
      <c r="JX18" s="213">
        <f t="shared" si="41"/>
        <v>8632084.3744785059</v>
      </c>
      <c r="JY18" s="213">
        <f t="shared" si="41"/>
        <v>8632084.3744785059</v>
      </c>
      <c r="JZ18" s="213">
        <f t="shared" si="41"/>
        <v>8632084.3744785059</v>
      </c>
      <c r="KA18" s="213">
        <f t="shared" si="41"/>
        <v>8632084.3744785059</v>
      </c>
      <c r="KB18" s="213">
        <f t="shared" si="41"/>
        <v>8632084.3744785059</v>
      </c>
      <c r="KC18" s="213">
        <f t="shared" si="41"/>
        <v>8632084.3744785059</v>
      </c>
      <c r="KD18" s="213">
        <f t="shared" si="41"/>
        <v>8632084.3744785059</v>
      </c>
      <c r="KE18" s="213">
        <f t="shared" si="41"/>
        <v>8632084.3744785059</v>
      </c>
      <c r="KF18" s="213">
        <f t="shared" si="41"/>
        <v>8632084.3744785059</v>
      </c>
      <c r="KG18" s="213">
        <f t="shared" si="41"/>
        <v>8632084.3744785059</v>
      </c>
      <c r="KH18" s="213">
        <f t="shared" si="41"/>
        <v>8632084.3744785059</v>
      </c>
      <c r="KI18" s="213">
        <f t="shared" si="41"/>
        <v>8632084.3744785059</v>
      </c>
      <c r="KJ18" s="213">
        <f t="shared" si="41"/>
        <v>8632084.3744785059</v>
      </c>
      <c r="KK18" s="213">
        <f t="shared" si="41"/>
        <v>8632084.3744785059</v>
      </c>
      <c r="KL18" s="213">
        <f t="shared" si="41"/>
        <v>8632084.3744785059</v>
      </c>
      <c r="KM18" s="213">
        <f t="shared" si="41"/>
        <v>8632084.3744785059</v>
      </c>
      <c r="KN18" s="213">
        <f t="shared" si="41"/>
        <v>8632084.3744785059</v>
      </c>
      <c r="KO18" s="213">
        <f t="shared" si="41"/>
        <v>8632084.3744785059</v>
      </c>
      <c r="KP18" s="213">
        <f t="shared" si="41"/>
        <v>8632084.3744785059</v>
      </c>
      <c r="KQ18" s="213">
        <f t="shared" si="41"/>
        <v>8632084.3744785059</v>
      </c>
      <c r="KR18" s="213">
        <f t="shared" si="41"/>
        <v>8632084.3744785059</v>
      </c>
      <c r="KS18" s="213">
        <f t="shared" si="41"/>
        <v>8632084.3744785059</v>
      </c>
      <c r="KT18" s="213">
        <f t="shared" si="41"/>
        <v>8632084.3744785059</v>
      </c>
      <c r="KU18" s="213">
        <f t="shared" si="41"/>
        <v>8632084.3744785059</v>
      </c>
      <c r="KV18" s="213">
        <f t="shared" si="41"/>
        <v>8632084.3744785059</v>
      </c>
      <c r="KW18" s="213">
        <f t="shared" si="41"/>
        <v>8632084.3744785059</v>
      </c>
      <c r="KX18" s="213">
        <f t="shared" si="41"/>
        <v>8632084.3744785059</v>
      </c>
      <c r="KY18" s="213">
        <f t="shared" si="41"/>
        <v>8632084.3744785059</v>
      </c>
      <c r="KZ18" s="213">
        <f t="shared" si="41"/>
        <v>8632084.3744785059</v>
      </c>
      <c r="LA18" s="213">
        <f t="shared" si="41"/>
        <v>8632084.3744785059</v>
      </c>
      <c r="LB18" s="213">
        <f t="shared" si="41"/>
        <v>8632084.3744785059</v>
      </c>
      <c r="LC18" s="213">
        <f t="shared" si="41"/>
        <v>8632084.3744785059</v>
      </c>
      <c r="LD18" s="213">
        <f t="shared" si="41"/>
        <v>8632084.3744785059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546875" defaultRowHeight="14.4"/>
  <cols>
    <col min="1" max="1" width="37.5546875" style="365" bestFit="1" customWidth="1"/>
    <col min="2" max="2" width="16.88671875" style="366" bestFit="1" customWidth="1"/>
    <col min="3" max="3" width="12.109375" style="365" bestFit="1" customWidth="1"/>
    <col min="4" max="4" width="12" style="365" bestFit="1" customWidth="1"/>
    <col min="5" max="5" width="12.109375" style="365" bestFit="1" customWidth="1"/>
    <col min="6" max="7" width="15" style="365" bestFit="1" customWidth="1"/>
    <col min="8" max="8" width="12" style="365" bestFit="1" customWidth="1"/>
    <col min="9" max="9" width="12.109375" style="365" bestFit="1" customWidth="1"/>
    <col min="10" max="10" width="15" style="365" bestFit="1" customWidth="1"/>
    <col min="11" max="11" width="12" style="365" bestFit="1" customWidth="1"/>
    <col min="12" max="12" width="6.33203125" style="365" bestFit="1" customWidth="1"/>
    <col min="13" max="13" width="12" style="365" bestFit="1" customWidth="1"/>
    <col min="14" max="14" width="13.33203125" style="365" bestFit="1" customWidth="1"/>
    <col min="15" max="16" width="12" style="365" bestFit="1" customWidth="1"/>
    <col min="17" max="17" width="15" style="365" bestFit="1" customWidth="1"/>
    <col min="18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409</v>
      </c>
      <c r="B3" s="446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  <c r="R4"/>
      <c r="S4"/>
      <c r="T4"/>
    </row>
    <row r="5" spans="1:20">
      <c r="A5" s="447" t="s">
        <v>412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363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371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375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360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413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44140625" defaultRowHeight="14.4"/>
  <cols>
    <col min="1" max="1" width="20.5546875" bestFit="1" customWidth="1"/>
    <col min="2" max="2" width="16.44140625" style="407" bestFit="1" customWidth="1"/>
    <col min="3" max="3" width="11.88671875" style="407" bestFit="1" customWidth="1"/>
    <col min="4" max="4" width="11" style="407" bestFit="1" customWidth="1"/>
    <col min="5" max="5" width="11.88671875" style="407" bestFit="1" customWidth="1"/>
    <col min="6" max="7" width="14.44140625" style="407" bestFit="1" customWidth="1"/>
    <col min="8" max="8" width="11" style="407" bestFit="1" customWidth="1"/>
    <col min="9" max="9" width="12.88671875" style="407" bestFit="1" customWidth="1"/>
    <col min="10" max="10" width="14.44140625" bestFit="1" customWidth="1"/>
    <col min="11" max="11" width="11" bestFit="1" customWidth="1"/>
    <col min="12" max="12" width="14" bestFit="1" customWidth="1"/>
    <col min="13" max="14" width="12.88671875" bestFit="1" customWidth="1"/>
    <col min="15" max="16" width="11" bestFit="1" customWidth="1"/>
    <col min="17" max="17" width="14.44140625" bestFit="1" customWidth="1"/>
    <col min="18" max="18" width="11.5546875" bestFit="1" customWidth="1"/>
    <col min="19" max="19" width="13.44140625" bestFit="1" customWidth="1"/>
  </cols>
  <sheetData>
    <row r="3" spans="1:17">
      <c r="A3" s="446" t="s">
        <v>414</v>
      </c>
      <c r="B3" s="446" t="s">
        <v>410</v>
      </c>
      <c r="C3"/>
      <c r="D3"/>
      <c r="E3"/>
      <c r="F3"/>
      <c r="G3"/>
      <c r="H3"/>
      <c r="I3"/>
    </row>
    <row r="4" spans="1:17">
      <c r="A4" s="446" t="s">
        <v>411</v>
      </c>
      <c r="B4" t="s">
        <v>412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413</v>
      </c>
    </row>
    <row r="5" spans="1:17">
      <c r="A5" s="447" t="s">
        <v>412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363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371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375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360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413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" customWidth="1"/>
    <col min="3" max="3" width="29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14" t="s">
        <v>415</v>
      </c>
      <c r="C2" s="814"/>
      <c r="D2" s="814"/>
      <c r="E2" s="814"/>
      <c r="H2" s="815" t="s">
        <v>416</v>
      </c>
      <c r="I2" s="816"/>
      <c r="J2" s="816"/>
      <c r="K2" s="816"/>
      <c r="L2" s="816"/>
      <c r="M2" s="816"/>
      <c r="N2" s="816"/>
      <c r="O2" s="817"/>
    </row>
    <row r="3" spans="2:15">
      <c r="B3" s="681"/>
      <c r="H3" s="818"/>
      <c r="I3" s="819"/>
      <c r="J3" s="819"/>
      <c r="K3" s="819"/>
      <c r="L3" s="819"/>
      <c r="M3" s="819"/>
      <c r="N3" s="819"/>
      <c r="O3" s="820"/>
    </row>
    <row r="4" spans="2:15">
      <c r="B4" s="682" t="s">
        <v>417</v>
      </c>
      <c r="C4" s="683" t="str">
        <f>'Project Plan'!E2</f>
        <v>Upper East Side Hotel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2" t="s">
        <v>418</v>
      </c>
      <c r="C5" s="683" t="s">
        <v>419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2" t="s">
        <v>420</v>
      </c>
      <c r="C6" s="683" t="s">
        <v>421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2" t="s">
        <v>422</v>
      </c>
      <c r="C7" s="683" t="s">
        <v>423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1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424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425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4" t="s">
        <v>426</v>
      </c>
      <c r="C11" s="812" t="s">
        <v>427</v>
      </c>
      <c r="D11" s="812"/>
      <c r="E11" s="812"/>
    </row>
    <row r="12" spans="2:15">
      <c r="B12" s="684" t="s">
        <v>428</v>
      </c>
      <c r="C12" s="812" t="s">
        <v>427</v>
      </c>
      <c r="D12" s="812"/>
      <c r="E12" s="812"/>
    </row>
    <row r="13" spans="2:15">
      <c r="B13" s="684" t="s">
        <v>429</v>
      </c>
      <c r="C13" s="812" t="s">
        <v>427</v>
      </c>
      <c r="D13" s="812"/>
      <c r="E13" s="812"/>
    </row>
    <row r="14" spans="2:15">
      <c r="B14" s="684" t="s">
        <v>430</v>
      </c>
      <c r="C14" s="812" t="s">
        <v>431</v>
      </c>
      <c r="D14" s="812"/>
      <c r="E14" s="812"/>
    </row>
    <row r="15" spans="2:15">
      <c r="B15" s="684" t="s">
        <v>432</v>
      </c>
      <c r="C15" s="812" t="s">
        <v>433</v>
      </c>
      <c r="D15" s="812"/>
      <c r="E15" s="812"/>
    </row>
    <row r="16" spans="2:15" ht="15" customHeight="1">
      <c r="B16" s="684" t="s">
        <v>434</v>
      </c>
      <c r="C16" s="812" t="s">
        <v>435</v>
      </c>
      <c r="D16" s="812"/>
      <c r="E16" s="812"/>
    </row>
    <row r="17" spans="2:5">
      <c r="B17" s="681"/>
    </row>
    <row r="18" spans="2:5">
      <c r="B18" s="813" t="s">
        <v>436</v>
      </c>
      <c r="C18" s="813"/>
      <c r="D18" s="813"/>
      <c r="E18" s="813"/>
    </row>
    <row r="19" spans="2:5">
      <c r="B19" s="684" t="s">
        <v>437</v>
      </c>
      <c r="C19" s="684" t="s">
        <v>438</v>
      </c>
      <c r="D19" s="684" t="s">
        <v>439</v>
      </c>
      <c r="E19" s="684" t="s">
        <v>138</v>
      </c>
    </row>
    <row r="20" spans="2:5" ht="15" customHeight="1">
      <c r="B20" s="684" t="s">
        <v>440</v>
      </c>
      <c r="C20" s="684" t="s">
        <v>441</v>
      </c>
      <c r="D20" s="685" t="s">
        <v>442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443</v>
      </c>
    </row>
    <row r="2" spans="1:4">
      <c r="A2" s="826"/>
      <c r="B2" s="826"/>
      <c r="C2" s="826"/>
      <c r="D2" s="71"/>
    </row>
    <row r="3" spans="1:4">
      <c r="A3" s="825" t="s">
        <v>444</v>
      </c>
      <c r="B3" s="825"/>
      <c r="C3" s="825"/>
      <c r="D3" s="110">
        <v>0.32</v>
      </c>
    </row>
    <row r="4" spans="1:4">
      <c r="A4" s="825" t="s">
        <v>384</v>
      </c>
      <c r="B4" s="825"/>
      <c r="C4" s="825"/>
      <c r="D4" s="110">
        <v>0.5</v>
      </c>
    </row>
    <row r="5" spans="1:4">
      <c r="A5" s="825" t="s">
        <v>395</v>
      </c>
      <c r="B5" s="825"/>
      <c r="C5" s="825"/>
      <c r="D5" s="110">
        <v>0.15</v>
      </c>
    </row>
    <row r="6" spans="1:4">
      <c r="A6" s="825" t="s">
        <v>445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3" style="87" customWidth="1"/>
    <col min="6" max="6" width="15.44140625" style="87" customWidth="1"/>
    <col min="7" max="7" width="2.44140625" style="87" customWidth="1"/>
    <col min="8" max="8" width="16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27" t="s">
        <v>446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>
      <c r="B4" s="91" t="s">
        <v>447</v>
      </c>
      <c r="C4" s="85"/>
      <c r="D4" s="89" t="s">
        <v>448</v>
      </c>
      <c r="E4" s="94"/>
      <c r="F4" s="89" t="s">
        <v>449</v>
      </c>
      <c r="H4" s="89" t="s">
        <v>450</v>
      </c>
      <c r="I4" s="94"/>
      <c r="J4" s="89" t="s">
        <v>451</v>
      </c>
      <c r="L4" s="89" t="s">
        <v>450</v>
      </c>
      <c r="M4" s="89"/>
      <c r="N4" s="89" t="s">
        <v>452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453</v>
      </c>
      <c r="H7" s="98"/>
      <c r="I7" s="94"/>
      <c r="J7" s="106" t="s">
        <v>453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454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455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456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453</v>
      </c>
      <c r="H15" s="98"/>
      <c r="I15" s="94"/>
      <c r="J15" s="106" t="s">
        <v>453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457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457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456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453</v>
      </c>
      <c r="H21" s="98"/>
      <c r="I21" s="94"/>
      <c r="J21" s="106" t="s">
        <v>453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456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453</v>
      </c>
      <c r="H27" s="98"/>
      <c r="I27" s="94"/>
      <c r="J27" s="106" t="s">
        <v>453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458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456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453</v>
      </c>
      <c r="H34" s="98"/>
      <c r="I34" s="94"/>
      <c r="J34" s="106" t="s">
        <v>453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459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460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461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462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463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464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465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" style="87" bestFit="1" customWidth="1"/>
    <col min="5" max="5" width="7" style="87" customWidth="1"/>
    <col min="6" max="6" width="3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5546875" style="87" customWidth="1"/>
    <col min="15" max="15" width="14" style="87" bestFit="1" customWidth="1"/>
    <col min="16" max="16384" width="9.44140625" style="87"/>
  </cols>
  <sheetData>
    <row r="2" spans="2:15" s="93" customFormat="1" ht="17.399999999999999">
      <c r="B2" s="827" t="s">
        <v>467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>
      <c r="B4" s="91" t="s">
        <v>447</v>
      </c>
      <c r="C4" s="85"/>
      <c r="D4" s="89" t="s">
        <v>448</v>
      </c>
      <c r="E4" s="94"/>
      <c r="F4" s="94"/>
      <c r="G4" s="89" t="s">
        <v>468</v>
      </c>
      <c r="H4" s="95"/>
      <c r="J4" s="89" t="s">
        <v>450</v>
      </c>
      <c r="L4" s="89" t="s">
        <v>469</v>
      </c>
      <c r="M4" s="95"/>
      <c r="O4" s="89" t="s">
        <v>450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470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465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447</v>
      </c>
      <c r="C18" s="85"/>
      <c r="D18" s="89" t="s">
        <v>448</v>
      </c>
      <c r="E18" s="94"/>
      <c r="F18" s="94"/>
      <c r="G18" s="89" t="s">
        <v>471</v>
      </c>
      <c r="H18" s="95"/>
      <c r="J18" s="89" t="s">
        <v>450</v>
      </c>
      <c r="L18" s="89" t="s">
        <v>472</v>
      </c>
      <c r="M18" s="95"/>
      <c r="O18" s="89" t="s">
        <v>450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473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474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475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476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477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465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478</v>
      </c>
      <c r="C32" s="102"/>
      <c r="D32" s="102"/>
    </row>
    <row r="33" spans="2:4" ht="13.8" thickTop="1"/>
    <row r="34" spans="2:4">
      <c r="B34" s="87" t="s">
        <v>448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" customWidth="1"/>
    <col min="10" max="10" width="19.554687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480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2026-03-04T11:50:50Z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