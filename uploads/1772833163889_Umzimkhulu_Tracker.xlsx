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9" documentId="13_ncr:1_{6ECF84C4-F979-4F03-BEAB-BDFA11B14DA6}" xr6:coauthVersionLast="47" xr6:coauthVersionMax="47" xr10:uidLastSave="{5DC257BD-7F5D-4DA5-8109-A34195789968}"/>
  <bookViews>
    <workbookView xWindow="-108" yWindow="-108" windowWidth="23256" windowHeight="12456" tabRatio="675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8" l="1"/>
  <c r="W39" i="18"/>
  <c r="W69" i="18"/>
  <c r="W68" i="18"/>
  <c r="W101" i="18" l="1"/>
  <c r="G6" i="5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U159" i="18" s="1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N51" i="2" s="1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J14" i="3"/>
  <c r="V106" i="18"/>
  <c r="I49" i="2"/>
  <c r="K52" i="2"/>
  <c r="N52" i="2"/>
  <c r="I46" i="2"/>
  <c r="K49" i="2"/>
  <c r="W120" i="18"/>
  <c r="W38" i="18"/>
  <c r="W67" i="18"/>
  <c r="CG11" i="6" s="1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K46" i="2" l="1"/>
  <c r="J46" i="2" s="1"/>
  <c r="H18" i="5"/>
  <c r="Y3" i="6"/>
  <c r="K3" i="6"/>
  <c r="CA3" i="6"/>
  <c r="U3" i="6"/>
  <c r="DN3" i="6"/>
  <c r="IR3" i="6"/>
  <c r="AR3" i="6"/>
  <c r="JY3" i="6"/>
  <c r="BO3" i="6"/>
  <c r="DZ3" i="6"/>
  <c r="BA3" i="6"/>
  <c r="EN3" i="6"/>
  <c r="H3" i="6"/>
  <c r="BV3" i="6"/>
  <c r="DS3" i="6"/>
  <c r="JZ3" i="6"/>
  <c r="FS3" i="6"/>
  <c r="DF3" i="6"/>
  <c r="JQ3" i="6"/>
  <c r="BR3" i="6"/>
  <c r="I3" i="6"/>
  <c r="BJ3" i="6"/>
  <c r="LA3" i="6"/>
  <c r="AB3" i="6"/>
  <c r="KA3" i="6"/>
  <c r="T3" i="6"/>
  <c r="CO3" i="6"/>
  <c r="IM3" i="6"/>
  <c r="FD3" i="6"/>
  <c r="CY3" i="6"/>
  <c r="AZ3" i="6"/>
  <c r="CJ3" i="6"/>
  <c r="Q3" i="6"/>
  <c r="BD3" i="6"/>
  <c r="KF3" i="6"/>
  <c r="HW3" i="6"/>
  <c r="EU3" i="6"/>
  <c r="IX3" i="6"/>
  <c r="BX3" i="6"/>
  <c r="HS3" i="6"/>
  <c r="CZ3" i="6"/>
  <c r="KS3" i="6"/>
  <c r="GE3" i="6"/>
  <c r="FE3" i="6"/>
  <c r="GL3" i="6"/>
  <c r="GC3" i="6"/>
  <c r="F3" i="6"/>
  <c r="F4" i="6" s="1"/>
  <c r="GV3" i="6"/>
  <c r="CP3" i="6"/>
  <c r="JW3" i="6"/>
  <c r="KJ3" i="6"/>
  <c r="DX3" i="6"/>
  <c r="CF3" i="6"/>
  <c r="JU3" i="6"/>
  <c r="DP3" i="6"/>
  <c r="JX3" i="6"/>
  <c r="IO3" i="6"/>
  <c r="JR3" i="6"/>
  <c r="CW3" i="6"/>
  <c r="HO3" i="6"/>
  <c r="CM3" i="6"/>
  <c r="EB3" i="6"/>
  <c r="AK3" i="6"/>
  <c r="FL3" i="6"/>
  <c r="DR3" i="6"/>
  <c r="FC3" i="6"/>
  <c r="EK3" i="6"/>
  <c r="FN3" i="6"/>
  <c r="FO3" i="6"/>
  <c r="CT3" i="6"/>
  <c r="DM3" i="6"/>
  <c r="AE3" i="6"/>
  <c r="FP3" i="6"/>
  <c r="FH3" i="6"/>
  <c r="FF3" i="6"/>
  <c r="IB3" i="6"/>
  <c r="IY3" i="6"/>
  <c r="HJ3" i="6"/>
  <c r="ES3" i="6"/>
  <c r="EL3" i="6"/>
  <c r="HK3" i="6"/>
  <c r="EX3" i="6"/>
  <c r="FM3" i="6"/>
  <c r="HI3" i="6"/>
  <c r="BI3" i="6"/>
  <c r="BK3" i="6"/>
  <c r="BP3" i="6"/>
  <c r="JC3" i="6"/>
  <c r="DD3" i="6"/>
  <c r="BG3" i="6"/>
  <c r="DY3" i="6"/>
  <c r="IG3" i="6"/>
  <c r="DI3" i="6"/>
  <c r="FA3" i="6"/>
  <c r="GN3" i="6"/>
  <c r="ED3" i="6"/>
  <c r="KQ3" i="6"/>
  <c r="GZ3" i="6"/>
  <c r="JS3" i="6"/>
  <c r="GA3" i="6"/>
  <c r="IZ3" i="6"/>
  <c r="AS3" i="6"/>
  <c r="DK3" i="6"/>
  <c r="G3" i="6"/>
  <c r="ET3" i="6"/>
  <c r="EY3" i="6"/>
  <c r="CX3" i="6"/>
  <c r="HR3" i="6"/>
  <c r="HZ3" i="6"/>
  <c r="FZ3" i="6"/>
  <c r="DU3" i="6"/>
  <c r="DJ3" i="6"/>
  <c r="CL3" i="6"/>
  <c r="LD3" i="6"/>
  <c r="GJ3" i="6"/>
  <c r="CI3" i="6"/>
  <c r="BQ3" i="6"/>
  <c r="EG3" i="6"/>
  <c r="EQ3" i="6"/>
  <c r="HD3" i="6"/>
  <c r="X3" i="6"/>
  <c r="AN3" i="6"/>
  <c r="L3" i="6"/>
  <c r="GH3" i="6"/>
  <c r="GM3" i="6"/>
  <c r="CN3" i="6"/>
  <c r="FV3" i="6"/>
  <c r="HM3" i="6"/>
  <c r="KG3" i="6"/>
  <c r="CU3" i="6"/>
  <c r="HF3" i="6"/>
  <c r="JF3" i="6"/>
  <c r="DA3" i="6"/>
  <c r="DO3" i="6"/>
  <c r="GW3" i="6"/>
  <c r="IS3" i="6"/>
  <c r="KL3" i="6"/>
  <c r="DE3" i="6"/>
  <c r="JE3" i="6"/>
  <c r="W3" i="6"/>
  <c r="HT3" i="6"/>
  <c r="GT3" i="6"/>
  <c r="BN3" i="6"/>
  <c r="EM3" i="6"/>
  <c r="LC3" i="6"/>
  <c r="FY3" i="6"/>
  <c r="GY3" i="6"/>
  <c r="GP3" i="6"/>
  <c r="GO3" i="6"/>
  <c r="BT3" i="6"/>
  <c r="EW3" i="6"/>
  <c r="LB3" i="6"/>
  <c r="JM3" i="6"/>
  <c r="Z3" i="6"/>
  <c r="DB3" i="6"/>
  <c r="CQ3" i="6"/>
  <c r="II3" i="6"/>
  <c r="FK3" i="6"/>
  <c r="JI3" i="6"/>
  <c r="KM3" i="6"/>
  <c r="ER3" i="6"/>
  <c r="IQ3" i="6"/>
  <c r="IV3" i="6"/>
  <c r="KO3" i="6"/>
  <c r="FQ3" i="6"/>
  <c r="JH3" i="6"/>
  <c r="BH3" i="6"/>
  <c r="N3" i="6"/>
  <c r="HN3" i="6"/>
  <c r="CS3" i="6"/>
  <c r="FX3" i="6"/>
  <c r="R3" i="6"/>
  <c r="GU3" i="6"/>
  <c r="IF3" i="6"/>
  <c r="BB3" i="6"/>
  <c r="IC3" i="6"/>
  <c r="HP3" i="6"/>
  <c r="IJ3" i="6"/>
  <c r="FG3" i="6"/>
  <c r="JA3" i="6"/>
  <c r="JK3" i="6"/>
  <c r="GS3" i="6"/>
  <c r="CD3" i="6"/>
  <c r="HQ3" i="6"/>
  <c r="GR3" i="6"/>
  <c r="IU3" i="6"/>
  <c r="EP3" i="6"/>
  <c r="AP3" i="6"/>
  <c r="M3" i="6"/>
  <c r="HV3" i="6"/>
  <c r="AV3" i="6"/>
  <c r="ID3" i="6"/>
  <c r="AT3" i="6"/>
  <c r="CB3" i="6"/>
  <c r="CC3" i="6"/>
  <c r="HU3" i="6"/>
  <c r="EJ3" i="6"/>
  <c r="HA3" i="6"/>
  <c r="AU3" i="6"/>
  <c r="FB3" i="6"/>
  <c r="CH3" i="6"/>
  <c r="JD3" i="6"/>
  <c r="CK3" i="6"/>
  <c r="IH3" i="6"/>
  <c r="DW3" i="6"/>
  <c r="AL3" i="6"/>
  <c r="DC3" i="6"/>
  <c r="AG3" i="6"/>
  <c r="IA3" i="6"/>
  <c r="JN3" i="6"/>
  <c r="EV3" i="6"/>
  <c r="CR3" i="6"/>
  <c r="AA3" i="6"/>
  <c r="JG3" i="6"/>
  <c r="FU3" i="6"/>
  <c r="JV3" i="6"/>
  <c r="HX3" i="6"/>
  <c r="IW3" i="6"/>
  <c r="KC3" i="6"/>
  <c r="AM3" i="6"/>
  <c r="HL3" i="6"/>
  <c r="GB3" i="6"/>
  <c r="BL3" i="6"/>
  <c r="V3" i="6"/>
  <c r="FW3" i="6"/>
  <c r="JB3" i="6"/>
  <c r="KK3" i="6"/>
  <c r="KU3" i="6"/>
  <c r="CE3" i="6"/>
  <c r="AQ3" i="6"/>
  <c r="FR3" i="6"/>
  <c r="JP3" i="6"/>
  <c r="DH3" i="6"/>
  <c r="HH3" i="6"/>
  <c r="BZ3" i="6"/>
  <c r="BY3" i="6"/>
  <c r="GX3" i="6"/>
  <c r="EC3" i="6"/>
  <c r="HB3" i="6"/>
  <c r="AW3" i="6"/>
  <c r="IP3" i="6"/>
  <c r="O3" i="6"/>
  <c r="AC3" i="6"/>
  <c r="FJ3" i="6"/>
  <c r="IT3" i="6"/>
  <c r="BU3" i="6"/>
  <c r="GK3" i="6"/>
  <c r="BW3" i="6"/>
  <c r="AO3" i="6"/>
  <c r="GQ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X2" i="18"/>
  <c r="U165" i="18"/>
  <c r="U166" i="18"/>
  <c r="H23" i="3"/>
  <c r="U167" i="18"/>
  <c r="U168" i="18"/>
  <c r="U161" i="18"/>
  <c r="U164" i="18"/>
  <c r="U163" i="18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L3" i="6" l="1"/>
  <c r="KE3" i="6"/>
  <c r="P3" i="6"/>
  <c r="BS3" i="6"/>
  <c r="KT3" i="6"/>
  <c r="DT3" i="6"/>
  <c r="EH3" i="6"/>
  <c r="JT3" i="6"/>
  <c r="AD3" i="6"/>
  <c r="AF3" i="6"/>
  <c r="HG3" i="6"/>
  <c r="BE3" i="6"/>
  <c r="EE3" i="6"/>
  <c r="KR3" i="6"/>
  <c r="JJ3" i="6"/>
  <c r="BF3" i="6"/>
  <c r="AX3" i="6"/>
  <c r="KW3" i="6"/>
  <c r="JL3" i="6"/>
  <c r="HY3" i="6"/>
  <c r="AH3" i="6"/>
  <c r="J3" i="6"/>
  <c r="KX3" i="6"/>
  <c r="EZ3" i="6"/>
  <c r="AI3" i="6"/>
  <c r="BC3" i="6"/>
  <c r="GD3" i="6"/>
  <c r="BM3" i="6"/>
  <c r="DG3" i="6"/>
  <c r="KI3" i="6"/>
  <c r="CG3" i="6"/>
  <c r="GI3" i="6"/>
  <c r="GG3" i="6"/>
  <c r="IL3" i="6"/>
  <c r="KH3" i="6"/>
  <c r="KN3" i="6"/>
  <c r="JO3" i="6"/>
  <c r="FI3" i="6"/>
  <c r="KB3" i="6"/>
  <c r="IN3" i="6"/>
  <c r="AY3" i="6"/>
  <c r="KP3" i="6"/>
  <c r="EA3" i="6"/>
  <c r="HE3" i="6"/>
  <c r="EF3" i="6"/>
  <c r="GF3" i="6"/>
  <c r="KD3" i="6"/>
  <c r="DV3" i="6"/>
  <c r="FT3" i="6"/>
  <c r="DQ3" i="6"/>
  <c r="KV3" i="6"/>
  <c r="EO3" i="6"/>
  <c r="IE3" i="6"/>
  <c r="S3" i="6"/>
  <c r="KZ3" i="6"/>
  <c r="EI3" i="6"/>
  <c r="KY3" i="6"/>
  <c r="CV3" i="6"/>
  <c r="AJ3" i="6"/>
  <c r="HC3" i="6"/>
  <c r="IK3" i="6"/>
  <c r="G4" i="6"/>
  <c r="F7" i="6"/>
  <c r="V157" i="18"/>
  <c r="H5" i="3"/>
  <c r="F5" i="5" s="1"/>
  <c r="J23" i="3"/>
  <c r="J5" i="3" s="1"/>
  <c r="D18" i="6"/>
  <c r="C18" i="6" s="1"/>
  <c r="C17" i="6"/>
  <c r="N9" i="2"/>
  <c r="D11" i="6"/>
  <c r="F12" i="6"/>
  <c r="D3" i="6" l="1"/>
  <c r="G7" i="6"/>
  <c r="H4" i="6"/>
  <c r="H25" i="3"/>
  <c r="C11" i="6"/>
  <c r="F6" i="5"/>
  <c r="F7" i="5" s="1"/>
  <c r="G12" i="6"/>
  <c r="F14" i="6"/>
  <c r="I4" i="6" l="1"/>
  <c r="H7" i="6"/>
  <c r="G14" i="6"/>
  <c r="H12" i="6"/>
  <c r="J4" i="6" l="1"/>
  <c r="I7" i="6"/>
  <c r="H14" i="6"/>
  <c r="I12" i="6"/>
  <c r="K4" i="6" l="1"/>
  <c r="J7" i="6"/>
  <c r="J12" i="6"/>
  <c r="I14" i="6"/>
  <c r="L4" i="6" l="1"/>
  <c r="K7" i="6"/>
  <c r="K12" i="6"/>
  <c r="J14" i="6"/>
  <c r="M4" i="6" l="1"/>
  <c r="L7" i="6"/>
  <c r="L12" i="6"/>
  <c r="K14" i="6"/>
  <c r="N4" i="6" l="1"/>
  <c r="M7" i="6"/>
  <c r="L14" i="6"/>
  <c r="M12" i="6"/>
  <c r="O4" i="6" l="1"/>
  <c r="N7" i="6"/>
  <c r="M14" i="6"/>
  <c r="N12" i="6"/>
  <c r="P4" i="6" l="1"/>
  <c r="O7" i="6"/>
  <c r="O12" i="6"/>
  <c r="N14" i="6"/>
  <c r="Q4" i="6" l="1"/>
  <c r="P7" i="6"/>
  <c r="O14" i="6"/>
  <c r="P12" i="6"/>
  <c r="Q7" i="6" l="1"/>
  <c r="R4" i="6"/>
  <c r="P14" i="6"/>
  <c r="Q12" i="6"/>
  <c r="R7" i="6" l="1"/>
  <c r="S4" i="6"/>
  <c r="Q14" i="6"/>
  <c r="R12" i="6"/>
  <c r="T4" i="6" l="1"/>
  <c r="S7" i="6"/>
  <c r="R14" i="6"/>
  <c r="S12" i="6"/>
  <c r="T7" i="6" l="1"/>
  <c r="U4" i="6"/>
  <c r="T12" i="6"/>
  <c r="S14" i="6"/>
  <c r="V4" i="6" l="1"/>
  <c r="U7" i="6"/>
  <c r="T14" i="6"/>
  <c r="U12" i="6"/>
  <c r="W4" i="6" l="1"/>
  <c r="V7" i="6"/>
  <c r="V12" i="6"/>
  <c r="U14" i="6"/>
  <c r="X4" i="6" l="1"/>
  <c r="W7" i="6"/>
  <c r="V14" i="6"/>
  <c r="W12" i="6"/>
  <c r="X7" i="6" l="1"/>
  <c r="Y4" i="6"/>
  <c r="W14" i="6"/>
  <c r="X12" i="6"/>
  <c r="Y7" i="6" l="1"/>
  <c r="Z4" i="6"/>
  <c r="Y12" i="6"/>
  <c r="X14" i="6"/>
  <c r="AA4" i="6" l="1"/>
  <c r="Z7" i="6"/>
  <c r="Z12" i="6"/>
  <c r="Y14" i="6"/>
  <c r="AA7" i="6" l="1"/>
  <c r="AB4" i="6"/>
  <c r="AA12" i="6"/>
  <c r="Z14" i="6"/>
  <c r="AB7" i="6" l="1"/>
  <c r="AC4" i="6"/>
  <c r="AA14" i="6"/>
  <c r="AB12" i="6"/>
  <c r="AC7" i="6" l="1"/>
  <c r="AD4" i="6"/>
  <c r="AC12" i="6"/>
  <c r="AB14" i="6"/>
  <c r="AD7" i="6" l="1"/>
  <c r="AE4" i="6"/>
  <c r="AC14" i="6"/>
  <c r="AD12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I7" i="6" l="1"/>
  <c r="AJ4" i="6"/>
  <c r="AH14" i="6"/>
  <c r="AI12" i="6"/>
  <c r="AJ7" i="6" l="1"/>
  <c r="AK4" i="6"/>
  <c r="AJ12" i="6"/>
  <c r="AI14" i="6"/>
  <c r="AL4" i="6" l="1"/>
  <c r="AK7" i="6"/>
  <c r="AJ14" i="6"/>
  <c r="AK12" i="6"/>
  <c r="AL7" i="6" l="1"/>
  <c r="AM4" i="6"/>
  <c r="AK14" i="6"/>
  <c r="AL12" i="6"/>
  <c r="AM7" i="6" l="1"/>
  <c r="AN4" i="6"/>
  <c r="AL14" i="6"/>
  <c r="AM12" i="6"/>
  <c r="AN7" i="6" l="1"/>
  <c r="AO4" i="6"/>
  <c r="AM14" i="6"/>
  <c r="AN12" i="6"/>
  <c r="AP4" i="6" l="1"/>
  <c r="AO7" i="6"/>
  <c r="AO12" i="6"/>
  <c r="AN14" i="6"/>
  <c r="AQ4" i="6" l="1"/>
  <c r="AP7" i="6"/>
  <c r="AP12" i="6"/>
  <c r="AO14" i="6"/>
  <c r="AQ7" i="6" l="1"/>
  <c r="AR4" i="6"/>
  <c r="AQ12" i="6"/>
  <c r="AP14" i="6"/>
  <c r="AS4" i="6" l="1"/>
  <c r="AR7" i="6"/>
  <c r="AR12" i="6"/>
  <c r="AQ14" i="6"/>
  <c r="AT4" i="6" l="1"/>
  <c r="AS7" i="6"/>
  <c r="AS12" i="6"/>
  <c r="AR14" i="6"/>
  <c r="AU4" i="6" l="1"/>
  <c r="AT7" i="6"/>
  <c r="AT12" i="6"/>
  <c r="AS14" i="6"/>
  <c r="AV4" i="6" l="1"/>
  <c r="AU7" i="6"/>
  <c r="AU12" i="6"/>
  <c r="AT14" i="6"/>
  <c r="AW4" i="6" l="1"/>
  <c r="AV7" i="6"/>
  <c r="AU14" i="6"/>
  <c r="AV12" i="6"/>
  <c r="AX4" i="6" l="1"/>
  <c r="AW7" i="6"/>
  <c r="AW12" i="6"/>
  <c r="AV14" i="6"/>
  <c r="AX7" i="6" l="1"/>
  <c r="AY4" i="6"/>
  <c r="AW14" i="6"/>
  <c r="AX12" i="6"/>
  <c r="AY7" i="6" l="1"/>
  <c r="AZ4" i="6"/>
  <c r="AY12" i="6"/>
  <c r="AX14" i="6"/>
  <c r="BA4" i="6" l="1"/>
  <c r="AZ7" i="6"/>
  <c r="AY14" i="6"/>
  <c r="AZ12" i="6"/>
  <c r="BA7" i="6" l="1"/>
  <c r="BB4" i="6"/>
  <c r="BA12" i="6"/>
  <c r="AZ14" i="6"/>
  <c r="BB7" i="6" l="1"/>
  <c r="BC4" i="6"/>
  <c r="BB12" i="6"/>
  <c r="BA14" i="6"/>
  <c r="BC7" i="6" l="1"/>
  <c r="BD4" i="6"/>
  <c r="BB14" i="6"/>
  <c r="BC12" i="6"/>
  <c r="BD7" i="6" l="1"/>
  <c r="BE4" i="6"/>
  <c r="BD12" i="6"/>
  <c r="BC14" i="6"/>
  <c r="BE7" i="6" l="1"/>
  <c r="BF4" i="6"/>
  <c r="BD14" i="6"/>
  <c r="BE12" i="6"/>
  <c r="BF7" i="6" l="1"/>
  <c r="BG4" i="6"/>
  <c r="BF12" i="6"/>
  <c r="BE14" i="6"/>
  <c r="BH4" i="6" l="1"/>
  <c r="BG7" i="6"/>
  <c r="BG12" i="6"/>
  <c r="BF14" i="6"/>
  <c r="BI4" i="6" l="1"/>
  <c r="BH7" i="6"/>
  <c r="BG14" i="6"/>
  <c r="BH12" i="6"/>
  <c r="BJ4" i="6" l="1"/>
  <c r="BI7" i="6"/>
  <c r="BI12" i="6"/>
  <c r="BH14" i="6"/>
  <c r="BK4" i="6" l="1"/>
  <c r="BJ7" i="6"/>
  <c r="BI14" i="6"/>
  <c r="BJ12" i="6"/>
  <c r="BK7" i="6" l="1"/>
  <c r="BL4" i="6"/>
  <c r="BJ14" i="6"/>
  <c r="BK12" i="6"/>
  <c r="BL7" i="6" l="1"/>
  <c r="BM4" i="6"/>
  <c r="BK14" i="6"/>
  <c r="BL12" i="6"/>
  <c r="BN4" i="6" l="1"/>
  <c r="BM7" i="6"/>
  <c r="BL14" i="6"/>
  <c r="BM12" i="6"/>
  <c r="BO4" i="6" l="1"/>
  <c r="BN7" i="6"/>
  <c r="BM14" i="6"/>
  <c r="BN12" i="6"/>
  <c r="BP4" i="6" l="1"/>
  <c r="BO7" i="6"/>
  <c r="BO12" i="6"/>
  <c r="BN14" i="6"/>
  <c r="BQ4" i="6" l="1"/>
  <c r="BP7" i="6"/>
  <c r="BP12" i="6"/>
  <c r="BO14" i="6"/>
  <c r="BQ7" i="6" l="1"/>
  <c r="BR4" i="6"/>
  <c r="BQ12" i="6"/>
  <c r="BP14" i="6"/>
  <c r="BS4" i="6" l="1"/>
  <c r="BR7" i="6"/>
  <c r="BQ14" i="6"/>
  <c r="BR12" i="6"/>
  <c r="BS7" i="6" l="1"/>
  <c r="BT4" i="6"/>
  <c r="BR14" i="6"/>
  <c r="BS12" i="6"/>
  <c r="BT7" i="6" l="1"/>
  <c r="BU4" i="6"/>
  <c r="BT12" i="6"/>
  <c r="BS14" i="6"/>
  <c r="BU7" i="6" l="1"/>
  <c r="BV4" i="6"/>
  <c r="BT14" i="6"/>
  <c r="BU12" i="6"/>
  <c r="BV7" i="6" l="1"/>
  <c r="BW4" i="6"/>
  <c r="BV12" i="6"/>
  <c r="BU14" i="6"/>
  <c r="BX4" i="6" l="1"/>
  <c r="BW7" i="6"/>
  <c r="BV14" i="6"/>
  <c r="BW12" i="6"/>
  <c r="BX7" i="6" l="1"/>
  <c r="BY4" i="6"/>
  <c r="BW14" i="6"/>
  <c r="BX12" i="6"/>
  <c r="BY7" i="6" l="1"/>
  <c r="BZ4" i="6"/>
  <c r="BY12" i="6"/>
  <c r="BX14" i="6"/>
  <c r="CA4" i="6" l="1"/>
  <c r="BZ7" i="6"/>
  <c r="BZ12" i="6"/>
  <c r="BY14" i="6"/>
  <c r="CB4" i="6" l="1"/>
  <c r="CA7" i="6"/>
  <c r="BZ14" i="6"/>
  <c r="CA12" i="6"/>
  <c r="CB7" i="6" l="1"/>
  <c r="CC4" i="6"/>
  <c r="CA14" i="6"/>
  <c r="CB12" i="6"/>
  <c r="CC7" i="6" l="1"/>
  <c r="CD4" i="6"/>
  <c r="CC12" i="6"/>
  <c r="CB14" i="6"/>
  <c r="CE4" i="6" l="1"/>
  <c r="CD7" i="6"/>
  <c r="CD12" i="6"/>
  <c r="CC14" i="6"/>
  <c r="CF4" i="6" l="1"/>
  <c r="CE7" i="6"/>
  <c r="CD14" i="6"/>
  <c r="CE12" i="6"/>
  <c r="CG4" i="6" l="1"/>
  <c r="CF7" i="6"/>
  <c r="CF12" i="6"/>
  <c r="CE14" i="6"/>
  <c r="CH4" i="6" l="1"/>
  <c r="CG7" i="6"/>
  <c r="CG12" i="6"/>
  <c r="CF14" i="6"/>
  <c r="CH7" i="6" l="1"/>
  <c r="CI4" i="6"/>
  <c r="CG14" i="6"/>
  <c r="CH12" i="6"/>
  <c r="CJ4" i="6" l="1"/>
  <c r="CI7" i="6"/>
  <c r="CI12" i="6"/>
  <c r="CH14" i="6"/>
  <c r="CJ7" i="6" l="1"/>
  <c r="CK4" i="6"/>
  <c r="CJ12" i="6"/>
  <c r="CI14" i="6"/>
  <c r="CL4" i="6" l="1"/>
  <c r="CK7" i="6"/>
  <c r="CJ14" i="6"/>
  <c r="CK12" i="6"/>
  <c r="CL7" i="6" l="1"/>
  <c r="CM4" i="6"/>
  <c r="CL12" i="6"/>
  <c r="CK14" i="6"/>
  <c r="CN4" i="6" l="1"/>
  <c r="CM7" i="6"/>
  <c r="CL14" i="6"/>
  <c r="CM12" i="6"/>
  <c r="CO4" i="6" l="1"/>
  <c r="CN7" i="6"/>
  <c r="CM14" i="6"/>
  <c r="CN12" i="6"/>
  <c r="CO7" i="6" l="1"/>
  <c r="CP4" i="6"/>
  <c r="CN14" i="6"/>
  <c r="CO12" i="6"/>
  <c r="CP7" i="6" l="1"/>
  <c r="CQ4" i="6"/>
  <c r="CP12" i="6"/>
  <c r="CO14" i="6"/>
  <c r="CR4" i="6" l="1"/>
  <c r="CQ7" i="6"/>
  <c r="CP14" i="6"/>
  <c r="CQ12" i="6"/>
  <c r="CR7" i="6" l="1"/>
  <c r="CS4" i="6"/>
  <c r="CQ14" i="6"/>
  <c r="CR12" i="6"/>
  <c r="CS7" i="6" l="1"/>
  <c r="CT4" i="6"/>
  <c r="CS12" i="6"/>
  <c r="CR14" i="6"/>
  <c r="CT7" i="6" l="1"/>
  <c r="CU4" i="6"/>
  <c r="CT12" i="6"/>
  <c r="CS14" i="6"/>
  <c r="CV4" i="6" l="1"/>
  <c r="CU7" i="6"/>
  <c r="CT14" i="6"/>
  <c r="CU12" i="6"/>
  <c r="CW4" i="6" l="1"/>
  <c r="CV7" i="6"/>
  <c r="CV12" i="6"/>
  <c r="CU14" i="6"/>
  <c r="CX4" i="6" l="1"/>
  <c r="CW7" i="6"/>
  <c r="CW12" i="6"/>
  <c r="CV14" i="6"/>
  <c r="CX7" i="6" l="1"/>
  <c r="CY4" i="6"/>
  <c r="CW14" i="6"/>
  <c r="CX12" i="6"/>
  <c r="CY7" i="6" l="1"/>
  <c r="CZ4" i="6"/>
  <c r="CY12" i="6"/>
  <c r="CX14" i="6"/>
  <c r="CZ7" i="6" l="1"/>
  <c r="DA4" i="6"/>
  <c r="CZ12" i="6"/>
  <c r="CY14" i="6"/>
  <c r="DA7" i="6" l="1"/>
  <c r="DB4" i="6"/>
  <c r="DA12" i="6"/>
  <c r="CZ14" i="6"/>
  <c r="DC4" i="6" l="1"/>
  <c r="DB7" i="6"/>
  <c r="DA14" i="6"/>
  <c r="DB12" i="6"/>
  <c r="DC7" i="6" l="1"/>
  <c r="DD4" i="6"/>
  <c r="DB14" i="6"/>
  <c r="DC12" i="6"/>
  <c r="DE4" i="6" l="1"/>
  <c r="DD7" i="6"/>
  <c r="DC14" i="6"/>
  <c r="DD12" i="6"/>
  <c r="DF4" i="6" l="1"/>
  <c r="DE7" i="6"/>
  <c r="DD14" i="6"/>
  <c r="DE12" i="6"/>
  <c r="DG4" i="6" l="1"/>
  <c r="DF7" i="6"/>
  <c r="DF12" i="6"/>
  <c r="DE14" i="6"/>
  <c r="DG7" i="6" l="1"/>
  <c r="DH4" i="6"/>
  <c r="DF14" i="6"/>
  <c r="DG12" i="6"/>
  <c r="DH7" i="6" l="1"/>
  <c r="DI4" i="6"/>
  <c r="DH12" i="6"/>
  <c r="DG14" i="6"/>
  <c r="DJ4" i="6" l="1"/>
  <c r="DI7" i="6"/>
  <c r="DI12" i="6"/>
  <c r="DH14" i="6"/>
  <c r="DK4" i="6" l="1"/>
  <c r="DJ7" i="6"/>
  <c r="DI14" i="6"/>
  <c r="DJ12" i="6"/>
  <c r="DL4" i="6" l="1"/>
  <c r="DK7" i="6"/>
  <c r="DJ14" i="6"/>
  <c r="DK12" i="6"/>
  <c r="DL7" i="6" l="1"/>
  <c r="DM4" i="6"/>
  <c r="DL12" i="6"/>
  <c r="DK14" i="6"/>
  <c r="DN4" i="6" l="1"/>
  <c r="DM7" i="6"/>
  <c r="DL14" i="6"/>
  <c r="DM12" i="6"/>
  <c r="DO4" i="6" l="1"/>
  <c r="DN7" i="6"/>
  <c r="DM14" i="6"/>
  <c r="DN12" i="6"/>
  <c r="DP4" i="6" l="1"/>
  <c r="DO7" i="6"/>
  <c r="DN14" i="6"/>
  <c r="DO12" i="6"/>
  <c r="DQ4" i="6" l="1"/>
  <c r="DP7" i="6"/>
  <c r="DP12" i="6"/>
  <c r="DO14" i="6"/>
  <c r="DR4" i="6" l="1"/>
  <c r="DQ7" i="6"/>
  <c r="DP14" i="6"/>
  <c r="DQ12" i="6"/>
  <c r="DR7" i="6" l="1"/>
  <c r="DS4" i="6"/>
  <c r="DR12" i="6"/>
  <c r="DQ14" i="6"/>
  <c r="DT4" i="6" l="1"/>
  <c r="DS7" i="6"/>
  <c r="DS12" i="6"/>
  <c r="DR14" i="6"/>
  <c r="DT7" i="6" l="1"/>
  <c r="DU4" i="6"/>
  <c r="DS14" i="6"/>
  <c r="DT12" i="6"/>
  <c r="DV4" i="6" l="1"/>
  <c r="DU7" i="6"/>
  <c r="DU12" i="6"/>
  <c r="DT14" i="6"/>
  <c r="DV7" i="6" l="1"/>
  <c r="DW4" i="6"/>
  <c r="DU14" i="6"/>
  <c r="DV12" i="6"/>
  <c r="DX4" i="6" l="1"/>
  <c r="DW7" i="6"/>
  <c r="DV14" i="6"/>
  <c r="DW12" i="6"/>
  <c r="DY4" i="6" l="1"/>
  <c r="DX7" i="6"/>
  <c r="DW14" i="6"/>
  <c r="DX12" i="6"/>
  <c r="DY7" i="6" l="1"/>
  <c r="DZ4" i="6"/>
  <c r="DY12" i="6"/>
  <c r="DX14" i="6"/>
  <c r="DZ7" i="6" l="1"/>
  <c r="EA4" i="6"/>
  <c r="DZ12" i="6"/>
  <c r="DY14" i="6"/>
  <c r="EB4" i="6" l="1"/>
  <c r="EA7" i="6"/>
  <c r="EA12" i="6"/>
  <c r="DZ14" i="6"/>
  <c r="EC4" i="6" l="1"/>
  <c r="EB7" i="6"/>
  <c r="EA14" i="6"/>
  <c r="EB12" i="6"/>
  <c r="ED4" i="6" l="1"/>
  <c r="EC7" i="6"/>
  <c r="EC12" i="6"/>
  <c r="EB14" i="6"/>
  <c r="EE4" i="6" l="1"/>
  <c r="ED7" i="6"/>
  <c r="ED12" i="6"/>
  <c r="EC14" i="6"/>
  <c r="EE7" i="6" l="1"/>
  <c r="EF4" i="6"/>
  <c r="ED14" i="6"/>
  <c r="EE12" i="6"/>
  <c r="EG4" i="6" l="1"/>
  <c r="EF7" i="6"/>
  <c r="EF12" i="6"/>
  <c r="EE14" i="6"/>
  <c r="EG7" i="6" l="1"/>
  <c r="EH4" i="6"/>
  <c r="EG12" i="6"/>
  <c r="EF14" i="6"/>
  <c r="EH7" i="6" l="1"/>
  <c r="EI4" i="6"/>
  <c r="EH12" i="6"/>
  <c r="EG14" i="6"/>
  <c r="EJ4" i="6" l="1"/>
  <c r="EI7" i="6"/>
  <c r="EI12" i="6"/>
  <c r="EH14" i="6"/>
  <c r="EK4" i="6" l="1"/>
  <c r="EJ7" i="6"/>
  <c r="EI14" i="6"/>
  <c r="EJ12" i="6"/>
  <c r="EL4" i="6" l="1"/>
  <c r="EK7" i="6"/>
  <c r="EK12" i="6"/>
  <c r="EJ14" i="6"/>
  <c r="EM4" i="6" l="1"/>
  <c r="EL7" i="6"/>
  <c r="EL12" i="6"/>
  <c r="EK14" i="6"/>
  <c r="EN4" i="6" l="1"/>
  <c r="EM7" i="6"/>
  <c r="EM12" i="6"/>
  <c r="EL14" i="6"/>
  <c r="EO4" i="6" l="1"/>
  <c r="EN7" i="6"/>
  <c r="EN12" i="6"/>
  <c r="EM14" i="6"/>
  <c r="EO7" i="6" l="1"/>
  <c r="EP4" i="6"/>
  <c r="EN14" i="6"/>
  <c r="EO12" i="6"/>
  <c r="EP7" i="6" l="1"/>
  <c r="EQ4" i="6"/>
  <c r="EP12" i="6"/>
  <c r="EO14" i="6"/>
  <c r="EQ7" i="6" l="1"/>
  <c r="ER4" i="6"/>
  <c r="EP14" i="6"/>
  <c r="EQ12" i="6"/>
  <c r="ER7" i="6" l="1"/>
  <c r="ES4" i="6"/>
  <c r="EQ14" i="6"/>
  <c r="ER12" i="6"/>
  <c r="ES7" i="6" l="1"/>
  <c r="ET4" i="6"/>
  <c r="ES12" i="6"/>
  <c r="ER14" i="6"/>
  <c r="EU4" i="6" l="1"/>
  <c r="ET7" i="6"/>
  <c r="ES14" i="6"/>
  <c r="ET12" i="6"/>
  <c r="EV4" i="6" l="1"/>
  <c r="EU7" i="6"/>
  <c r="ET14" i="6"/>
  <c r="EU12" i="6"/>
  <c r="EW4" i="6" l="1"/>
  <c r="EV7" i="6"/>
  <c r="EU14" i="6"/>
  <c r="EV12" i="6"/>
  <c r="EX4" i="6" l="1"/>
  <c r="EW7" i="6"/>
  <c r="EV14" i="6"/>
  <c r="EW12" i="6"/>
  <c r="EY4" i="6" l="1"/>
  <c r="EX7" i="6"/>
  <c r="EX12" i="6"/>
  <c r="EW14" i="6"/>
  <c r="EY7" i="6" l="1"/>
  <c r="EZ4" i="6"/>
  <c r="EX14" i="6"/>
  <c r="EY12" i="6"/>
  <c r="EZ7" i="6" l="1"/>
  <c r="FA4" i="6"/>
  <c r="EY14" i="6"/>
  <c r="EZ12" i="6"/>
  <c r="FA7" i="6" l="1"/>
  <c r="FB4" i="6"/>
  <c r="EZ14" i="6"/>
  <c r="FA12" i="6"/>
  <c r="FB7" i="6" l="1"/>
  <c r="FC4" i="6"/>
  <c r="FA14" i="6"/>
  <c r="FB12" i="6"/>
  <c r="FD4" i="6" l="1"/>
  <c r="FC7" i="6"/>
  <c r="FC12" i="6"/>
  <c r="FB14" i="6"/>
  <c r="FE4" i="6" l="1"/>
  <c r="FD7" i="6"/>
  <c r="FD12" i="6"/>
  <c r="FC14" i="6"/>
  <c r="FF4" i="6" l="1"/>
  <c r="FE7" i="6"/>
  <c r="FE12" i="6"/>
  <c r="FD14" i="6"/>
  <c r="FG4" i="6" l="1"/>
  <c r="FF7" i="6"/>
  <c r="FF12" i="6"/>
  <c r="FE14" i="6"/>
  <c r="FH4" i="6" l="1"/>
  <c r="FG7" i="6"/>
  <c r="FF14" i="6"/>
  <c r="FG12" i="6"/>
  <c r="FH7" i="6" l="1"/>
  <c r="FI4" i="6"/>
  <c r="FH12" i="6"/>
  <c r="FG14" i="6"/>
  <c r="FI7" i="6" l="1"/>
  <c r="FJ4" i="6"/>
  <c r="FI12" i="6"/>
  <c r="FH14" i="6"/>
  <c r="FK4" i="6" l="1"/>
  <c r="FJ7" i="6"/>
  <c r="FJ12" i="6"/>
  <c r="FI14" i="6"/>
  <c r="FL4" i="6" l="1"/>
  <c r="FK7" i="6"/>
  <c r="FJ14" i="6"/>
  <c r="FK12" i="6"/>
  <c r="FM4" i="6" l="1"/>
  <c r="FL7" i="6"/>
  <c r="FK14" i="6"/>
  <c r="FL12" i="6"/>
  <c r="FN4" i="6" l="1"/>
  <c r="FM7" i="6"/>
  <c r="FL14" i="6"/>
  <c r="FM12" i="6"/>
  <c r="FN7" i="6" l="1"/>
  <c r="FO4" i="6"/>
  <c r="FN12" i="6"/>
  <c r="FM14" i="6"/>
  <c r="FP4" i="6" l="1"/>
  <c r="FO7" i="6"/>
  <c r="FN14" i="6"/>
  <c r="FO12" i="6"/>
  <c r="FP7" i="6" l="1"/>
  <c r="FQ4" i="6"/>
  <c r="FO14" i="6"/>
  <c r="FP12" i="6"/>
  <c r="FQ7" i="6" l="1"/>
  <c r="FR4" i="6"/>
  <c r="FQ12" i="6"/>
  <c r="FP14" i="6"/>
  <c r="FR7" i="6" l="1"/>
  <c r="FS4" i="6"/>
  <c r="FR12" i="6"/>
  <c r="FQ14" i="6"/>
  <c r="FS7" i="6" l="1"/>
  <c r="FT4" i="6"/>
  <c r="FR14" i="6"/>
  <c r="FS12" i="6"/>
  <c r="FT7" i="6" l="1"/>
  <c r="FU4" i="6"/>
  <c r="FS14" i="6"/>
  <c r="FT12" i="6"/>
  <c r="FU7" i="6" l="1"/>
  <c r="FV4" i="6"/>
  <c r="FU12" i="6"/>
  <c r="FT14" i="6"/>
  <c r="FW4" i="6" l="1"/>
  <c r="FV7" i="6"/>
  <c r="FV12" i="6"/>
  <c r="FU14" i="6"/>
  <c r="FX4" i="6" l="1"/>
  <c r="FW7" i="6"/>
  <c r="FV14" i="6"/>
  <c r="FW12" i="6"/>
  <c r="FY4" i="6" l="1"/>
  <c r="FX7" i="6"/>
  <c r="FW14" i="6"/>
  <c r="FX12" i="6"/>
  <c r="FZ4" i="6" l="1"/>
  <c r="FY7" i="6"/>
  <c r="FY12" i="6"/>
  <c r="FX14" i="6"/>
  <c r="FZ7" i="6" l="1"/>
  <c r="GA4" i="6"/>
  <c r="FY14" i="6"/>
  <c r="FZ12" i="6"/>
  <c r="GA7" i="6" l="1"/>
  <c r="GB4" i="6"/>
  <c r="GA12" i="6"/>
  <c r="FZ14" i="6"/>
  <c r="GC4" i="6" l="1"/>
  <c r="GB7" i="6"/>
  <c r="GA14" i="6"/>
  <c r="GB12" i="6"/>
  <c r="GC7" i="6" l="1"/>
  <c r="GD4" i="6"/>
  <c r="GB14" i="6"/>
  <c r="GC12" i="6"/>
  <c r="GE4" i="6" l="1"/>
  <c r="GD7" i="6"/>
  <c r="GD12" i="6"/>
  <c r="GC14" i="6"/>
  <c r="GF4" i="6" l="1"/>
  <c r="GE7" i="6"/>
  <c r="GE12" i="6"/>
  <c r="GD14" i="6"/>
  <c r="GG4" i="6" l="1"/>
  <c r="GF7" i="6"/>
  <c r="GF12" i="6"/>
  <c r="GE14" i="6"/>
  <c r="GG7" i="6" l="1"/>
  <c r="GH4" i="6"/>
  <c r="GG12" i="6"/>
  <c r="GF14" i="6"/>
  <c r="GI4" i="6" l="1"/>
  <c r="GH7" i="6"/>
  <c r="GG14" i="6"/>
  <c r="GH12" i="6"/>
  <c r="GJ4" i="6" l="1"/>
  <c r="GI7" i="6"/>
  <c r="GH14" i="6"/>
  <c r="GI12" i="6"/>
  <c r="GK4" i="6" l="1"/>
  <c r="GJ7" i="6"/>
  <c r="GJ12" i="6"/>
  <c r="GI14" i="6"/>
  <c r="GK7" i="6" l="1"/>
  <c r="GL4" i="6"/>
  <c r="GK12" i="6"/>
  <c r="GJ14" i="6"/>
  <c r="GM4" i="6" l="1"/>
  <c r="GL7" i="6"/>
  <c r="GL12" i="6"/>
  <c r="GK14" i="6"/>
  <c r="GM7" i="6" l="1"/>
  <c r="GN4" i="6"/>
  <c r="GM12" i="6"/>
  <c r="GL14" i="6"/>
  <c r="GN7" i="6" l="1"/>
  <c r="GO4" i="6"/>
  <c r="GM14" i="6"/>
  <c r="GN12" i="6"/>
  <c r="GO7" i="6" l="1"/>
  <c r="GP4" i="6"/>
  <c r="GO12" i="6"/>
  <c r="GN14" i="6"/>
  <c r="GQ4" i="6" l="1"/>
  <c r="GP7" i="6"/>
  <c r="GO14" i="6"/>
  <c r="GP12" i="6"/>
  <c r="GR4" i="6" l="1"/>
  <c r="GQ7" i="6"/>
  <c r="GP14" i="6"/>
  <c r="GQ12" i="6"/>
  <c r="GR7" i="6" l="1"/>
  <c r="GS4" i="6"/>
  <c r="GQ14" i="6"/>
  <c r="GR12" i="6"/>
  <c r="GT4" i="6" l="1"/>
  <c r="GS7" i="6"/>
  <c r="GR14" i="6"/>
  <c r="GS12" i="6"/>
  <c r="GU4" i="6" l="1"/>
  <c r="GT7" i="6"/>
  <c r="GS14" i="6"/>
  <c r="GT12" i="6"/>
  <c r="GU7" i="6" l="1"/>
  <c r="GV4" i="6"/>
  <c r="GT14" i="6"/>
  <c r="GU12" i="6"/>
  <c r="GW4" i="6" l="1"/>
  <c r="GV7" i="6"/>
  <c r="GV12" i="6"/>
  <c r="GU14" i="6"/>
  <c r="GX4" i="6" l="1"/>
  <c r="GW7" i="6"/>
  <c r="GV14" i="6"/>
  <c r="GW12" i="6"/>
  <c r="GX7" i="6" l="1"/>
  <c r="GY4" i="6"/>
  <c r="GX12" i="6"/>
  <c r="GW14" i="6"/>
  <c r="GZ4" i="6" l="1"/>
  <c r="GY7" i="6"/>
  <c r="GY12" i="6"/>
  <c r="GX14" i="6"/>
  <c r="HA4" i="6" l="1"/>
  <c r="GZ7" i="6"/>
  <c r="GY14" i="6"/>
  <c r="GZ12" i="6"/>
  <c r="HA7" i="6" l="1"/>
  <c r="HB4" i="6"/>
  <c r="GZ14" i="6"/>
  <c r="HA12" i="6"/>
  <c r="HB7" i="6" l="1"/>
  <c r="HC4" i="6"/>
  <c r="HB12" i="6"/>
  <c r="HA14" i="6"/>
  <c r="HC7" i="6" l="1"/>
  <c r="HD4" i="6"/>
  <c r="HB14" i="6"/>
  <c r="HC12" i="6"/>
  <c r="HE4" i="6" l="1"/>
  <c r="HD7" i="6"/>
  <c r="HD12" i="6"/>
  <c r="HC14" i="6"/>
  <c r="HE7" i="6" l="1"/>
  <c r="HF4" i="6"/>
  <c r="HE12" i="6"/>
  <c r="HD14" i="6"/>
  <c r="HF7" i="6" l="1"/>
  <c r="HG4" i="6"/>
  <c r="HE14" i="6"/>
  <c r="HF12" i="6"/>
  <c r="HG7" i="6" l="1"/>
  <c r="HH4" i="6"/>
  <c r="HG12" i="6"/>
  <c r="HF14" i="6"/>
  <c r="HH7" i="6" l="1"/>
  <c r="HI4" i="6"/>
  <c r="HG14" i="6"/>
  <c r="HH12" i="6"/>
  <c r="HI7" i="6" l="1"/>
  <c r="HJ4" i="6"/>
  <c r="HI12" i="6"/>
  <c r="HH14" i="6"/>
  <c r="HK4" i="6" l="1"/>
  <c r="HJ7" i="6"/>
  <c r="HJ12" i="6"/>
  <c r="HI14" i="6"/>
  <c r="HL4" i="6" l="1"/>
  <c r="HK7" i="6"/>
  <c r="HK12" i="6"/>
  <c r="HJ14" i="6"/>
  <c r="HL7" i="6" l="1"/>
  <c r="HM4" i="6"/>
  <c r="HL12" i="6"/>
  <c r="HK14" i="6"/>
  <c r="HM7" i="6" l="1"/>
  <c r="HN4" i="6"/>
  <c r="HL14" i="6"/>
  <c r="HM12" i="6"/>
  <c r="HN7" i="6" l="1"/>
  <c r="HO4" i="6"/>
  <c r="HM14" i="6"/>
  <c r="HN12" i="6"/>
  <c r="HO7" i="6" l="1"/>
  <c r="HP4" i="6"/>
  <c r="HN14" i="6"/>
  <c r="HO12" i="6"/>
  <c r="HP7" i="6" l="1"/>
  <c r="HQ4" i="6"/>
  <c r="HO14" i="6"/>
  <c r="HP12" i="6"/>
  <c r="HR4" i="6" l="1"/>
  <c r="HQ7" i="6"/>
  <c r="HQ12" i="6"/>
  <c r="HP14" i="6"/>
  <c r="HS4" i="6" l="1"/>
  <c r="HR7" i="6"/>
  <c r="HQ14" i="6"/>
  <c r="HR12" i="6"/>
  <c r="HT4" i="6" l="1"/>
  <c r="HS7" i="6"/>
  <c r="HS12" i="6"/>
  <c r="HR14" i="6"/>
  <c r="HT7" i="6" l="1"/>
  <c r="HU4" i="6"/>
  <c r="HT12" i="6"/>
  <c r="HS14" i="6"/>
  <c r="HU7" i="6" l="1"/>
  <c r="HV4" i="6"/>
  <c r="HU12" i="6"/>
  <c r="HT14" i="6"/>
  <c r="HV7" i="6" l="1"/>
  <c r="HW4" i="6"/>
  <c r="HV12" i="6"/>
  <c r="HU14" i="6"/>
  <c r="HX4" i="6" l="1"/>
  <c r="HW7" i="6"/>
  <c r="HV14" i="6"/>
  <c r="HW12" i="6"/>
  <c r="HY4" i="6" l="1"/>
  <c r="HX7" i="6"/>
  <c r="HW14" i="6"/>
  <c r="HX12" i="6"/>
  <c r="HZ4" i="6" l="1"/>
  <c r="HY7" i="6"/>
  <c r="HX14" i="6"/>
  <c r="HY12" i="6"/>
  <c r="IA4" i="6" l="1"/>
  <c r="HZ7" i="6"/>
  <c r="HY14" i="6"/>
  <c r="HZ12" i="6"/>
  <c r="IB4" i="6" l="1"/>
  <c r="IA7" i="6"/>
  <c r="IA12" i="6"/>
  <c r="HZ14" i="6"/>
  <c r="IC4" i="6" l="1"/>
  <c r="IB7" i="6"/>
  <c r="IA14" i="6"/>
  <c r="IB12" i="6"/>
  <c r="ID4" i="6" l="1"/>
  <c r="IC7" i="6"/>
  <c r="IC12" i="6"/>
  <c r="IB14" i="6"/>
  <c r="ID7" i="6" l="1"/>
  <c r="IE4" i="6"/>
  <c r="IC14" i="6"/>
  <c r="ID12" i="6"/>
  <c r="IF4" i="6" l="1"/>
  <c r="IE7" i="6"/>
  <c r="IE12" i="6"/>
  <c r="ID14" i="6"/>
  <c r="IF7" i="6" l="1"/>
  <c r="IG4" i="6"/>
  <c r="IF12" i="6"/>
  <c r="IE14" i="6"/>
  <c r="IG7" i="6" l="1"/>
  <c r="IH4" i="6"/>
  <c r="IF14" i="6"/>
  <c r="IG12" i="6"/>
  <c r="II4" i="6" l="1"/>
  <c r="IH7" i="6"/>
  <c r="IH12" i="6"/>
  <c r="IG14" i="6"/>
  <c r="IJ4" i="6" l="1"/>
  <c r="II7" i="6"/>
  <c r="IH14" i="6"/>
  <c r="II12" i="6"/>
  <c r="IJ7" i="6" l="1"/>
  <c r="IK4" i="6"/>
  <c r="IJ12" i="6"/>
  <c r="II14" i="6"/>
  <c r="IK7" i="6" l="1"/>
  <c r="IL4" i="6"/>
  <c r="IJ14" i="6"/>
  <c r="IK12" i="6"/>
  <c r="IM4" i="6" l="1"/>
  <c r="IL7" i="6"/>
  <c r="IK14" i="6"/>
  <c r="IL12" i="6"/>
  <c r="IN4" i="6" l="1"/>
  <c r="IM7" i="6"/>
  <c r="IM12" i="6"/>
  <c r="IL14" i="6"/>
  <c r="IN7" i="6" l="1"/>
  <c r="IO4" i="6"/>
  <c r="IM14" i="6"/>
  <c r="IN12" i="6"/>
  <c r="IP4" i="6" l="1"/>
  <c r="IO7" i="6"/>
  <c r="IN14" i="6"/>
  <c r="IO12" i="6"/>
  <c r="IQ4" i="6" l="1"/>
  <c r="IP7" i="6"/>
  <c r="IO14" i="6"/>
  <c r="IP12" i="6"/>
  <c r="IR4" i="6" l="1"/>
  <c r="IQ7" i="6"/>
  <c r="IQ12" i="6"/>
  <c r="IP14" i="6"/>
  <c r="IR7" i="6" l="1"/>
  <c r="IS4" i="6"/>
  <c r="IR12" i="6"/>
  <c r="IQ14" i="6"/>
  <c r="IT4" i="6" l="1"/>
  <c r="IS7" i="6"/>
  <c r="IS12" i="6"/>
  <c r="IR14" i="6"/>
  <c r="IT7" i="6" l="1"/>
  <c r="IU4" i="6"/>
  <c r="IT12" i="6"/>
  <c r="IS14" i="6"/>
  <c r="IU7" i="6" l="1"/>
  <c r="IV4" i="6"/>
  <c r="IT14" i="6"/>
  <c r="IU12" i="6"/>
  <c r="IV7" i="6" l="1"/>
  <c r="IW4" i="6"/>
  <c r="IU14" i="6"/>
  <c r="IV12" i="6"/>
  <c r="IX4" i="6" l="1"/>
  <c r="IW7" i="6"/>
  <c r="IW12" i="6"/>
  <c r="IV14" i="6"/>
  <c r="IX7" i="6" l="1"/>
  <c r="IY4" i="6"/>
  <c r="IW14" i="6"/>
  <c r="IX12" i="6"/>
  <c r="IY7" i="6" l="1"/>
  <c r="IZ4" i="6"/>
  <c r="IY12" i="6"/>
  <c r="IX14" i="6"/>
  <c r="JA4" i="6" l="1"/>
  <c r="IZ7" i="6"/>
  <c r="IZ12" i="6"/>
  <c r="IY14" i="6"/>
  <c r="JB4" i="6" l="1"/>
  <c r="JA7" i="6"/>
  <c r="JA12" i="6"/>
  <c r="IZ14" i="6"/>
  <c r="JB7" i="6" l="1"/>
  <c r="JC4" i="6"/>
  <c r="JB12" i="6"/>
  <c r="JA14" i="6"/>
  <c r="JC7" i="6" l="1"/>
  <c r="JD4" i="6"/>
  <c r="JB14" i="6"/>
  <c r="JC12" i="6"/>
  <c r="JD7" i="6" l="1"/>
  <c r="JE4" i="6"/>
  <c r="JC14" i="6"/>
  <c r="JD12" i="6"/>
  <c r="JE7" i="6" l="1"/>
  <c r="JF4" i="6"/>
  <c r="JD14" i="6"/>
  <c r="JE12" i="6"/>
  <c r="JF7" i="6" l="1"/>
  <c r="JG4" i="6"/>
  <c r="JF12" i="6"/>
  <c r="JE14" i="6"/>
  <c r="JH4" i="6" l="1"/>
  <c r="JG7" i="6"/>
  <c r="JF14" i="6"/>
  <c r="JG12" i="6"/>
  <c r="JI4" i="6" l="1"/>
  <c r="JH7" i="6"/>
  <c r="JG14" i="6"/>
  <c r="JH12" i="6"/>
  <c r="JI7" i="6" l="1"/>
  <c r="JJ4" i="6"/>
  <c r="JH14" i="6"/>
  <c r="JI12" i="6"/>
  <c r="JJ7" i="6" l="1"/>
  <c r="JK4" i="6"/>
  <c r="JI14" i="6"/>
  <c r="JJ12" i="6"/>
  <c r="JK7" i="6" l="1"/>
  <c r="JL4" i="6"/>
  <c r="JJ14" i="6"/>
  <c r="JK12" i="6"/>
  <c r="JL7" i="6" l="1"/>
  <c r="JM4" i="6"/>
  <c r="JL12" i="6"/>
  <c r="JK14" i="6"/>
  <c r="JN4" i="6" l="1"/>
  <c r="JM7" i="6"/>
  <c r="JL14" i="6"/>
  <c r="JM12" i="6"/>
  <c r="JN7" i="6" l="1"/>
  <c r="JO4" i="6"/>
  <c r="JM14" i="6"/>
  <c r="JN12" i="6"/>
  <c r="JP4" i="6" l="1"/>
  <c r="JO7" i="6"/>
  <c r="JN14" i="6"/>
  <c r="JO12" i="6"/>
  <c r="JQ4" i="6" l="1"/>
  <c r="JP7" i="6"/>
  <c r="JP12" i="6"/>
  <c r="JO14" i="6"/>
  <c r="JQ7" i="6" l="1"/>
  <c r="JR4" i="6"/>
  <c r="JP14" i="6"/>
  <c r="JQ12" i="6"/>
  <c r="JS4" i="6" l="1"/>
  <c r="JR7" i="6"/>
  <c r="JR12" i="6"/>
  <c r="JQ14" i="6"/>
  <c r="JT4" i="6" l="1"/>
  <c r="JS7" i="6"/>
  <c r="JR14" i="6"/>
  <c r="JS12" i="6"/>
  <c r="JT7" i="6" l="1"/>
  <c r="JU4" i="6"/>
  <c r="JT12" i="6"/>
  <c r="JS14" i="6"/>
  <c r="JU7" i="6" l="1"/>
  <c r="JV4" i="6"/>
  <c r="JT14" i="6"/>
  <c r="JU12" i="6"/>
  <c r="JW4" i="6" l="1"/>
  <c r="JV7" i="6"/>
  <c r="JU14" i="6"/>
  <c r="JV12" i="6"/>
  <c r="JX4" i="6" l="1"/>
  <c r="JW7" i="6"/>
  <c r="JV14" i="6"/>
  <c r="JW12" i="6"/>
  <c r="JY4" i="6" l="1"/>
  <c r="JX7" i="6"/>
  <c r="JX12" i="6"/>
  <c r="JW14" i="6"/>
  <c r="JZ4" i="6" l="1"/>
  <c r="JY7" i="6"/>
  <c r="JY12" i="6"/>
  <c r="JX14" i="6"/>
  <c r="JZ7" i="6" l="1"/>
  <c r="KA4" i="6"/>
  <c r="JY14" i="6"/>
  <c r="JZ12" i="6"/>
  <c r="KA7" i="6" l="1"/>
  <c r="KB4" i="6"/>
  <c r="JZ14" i="6"/>
  <c r="KA12" i="6"/>
  <c r="KB7" i="6" l="1"/>
  <c r="KC4" i="6"/>
  <c r="KA14" i="6"/>
  <c r="KB12" i="6"/>
  <c r="KD4" i="6" l="1"/>
  <c r="KC7" i="6"/>
  <c r="KC12" i="6"/>
  <c r="KB14" i="6"/>
  <c r="KD7" i="6" l="1"/>
  <c r="KE4" i="6"/>
  <c r="KD12" i="6"/>
  <c r="KC14" i="6"/>
  <c r="KE7" i="6" l="1"/>
  <c r="KF4" i="6"/>
  <c r="KD14" i="6"/>
  <c r="KE12" i="6"/>
  <c r="KF7" i="6" l="1"/>
  <c r="KG4" i="6"/>
  <c r="KE14" i="6"/>
  <c r="KF12" i="6"/>
  <c r="KG7" i="6" l="1"/>
  <c r="KH4" i="6"/>
  <c r="KF14" i="6"/>
  <c r="KG12" i="6"/>
  <c r="KH7" i="6" l="1"/>
  <c r="KI4" i="6"/>
  <c r="KG14" i="6"/>
  <c r="KH12" i="6"/>
  <c r="KI7" i="6" l="1"/>
  <c r="KJ4" i="6"/>
  <c r="KI12" i="6"/>
  <c r="KH14" i="6"/>
  <c r="KJ7" i="6" l="1"/>
  <c r="KK4" i="6"/>
  <c r="KI14" i="6"/>
  <c r="KJ12" i="6"/>
  <c r="KK7" i="6" l="1"/>
  <c r="KL4" i="6"/>
  <c r="KJ14" i="6"/>
  <c r="KK12" i="6"/>
  <c r="KL7" i="6" l="1"/>
  <c r="KM4" i="6"/>
  <c r="KL12" i="6"/>
  <c r="KK14" i="6"/>
  <c r="KM7" i="6" l="1"/>
  <c r="KN4" i="6"/>
  <c r="KL14" i="6"/>
  <c r="KM12" i="6"/>
  <c r="KN7" i="6" l="1"/>
  <c r="KO4" i="6"/>
  <c r="KM14" i="6"/>
  <c r="KN12" i="6"/>
  <c r="KO7" i="6" l="1"/>
  <c r="KP4" i="6"/>
  <c r="KO12" i="6"/>
  <c r="KN14" i="6"/>
  <c r="KP7" i="6" l="1"/>
  <c r="KQ4" i="6"/>
  <c r="KO14" i="6"/>
  <c r="KP12" i="6"/>
  <c r="KQ7" i="6" l="1"/>
  <c r="KR4" i="6"/>
  <c r="KQ12" i="6"/>
  <c r="KP14" i="6"/>
  <c r="KS4" i="6" l="1"/>
  <c r="KR7" i="6"/>
  <c r="KR12" i="6"/>
  <c r="KQ14" i="6"/>
  <c r="KT4" i="6" l="1"/>
  <c r="KS7" i="6"/>
  <c r="KS12" i="6"/>
  <c r="KR14" i="6"/>
  <c r="KU4" i="6" l="1"/>
  <c r="KT7" i="6"/>
  <c r="KT12" i="6"/>
  <c r="KS14" i="6"/>
  <c r="KV4" i="6" l="1"/>
  <c r="KU7" i="6"/>
  <c r="KU12" i="6"/>
  <c r="KT14" i="6"/>
  <c r="KV7" i="6" l="1"/>
  <c r="KW4" i="6"/>
  <c r="KV12" i="6"/>
  <c r="KU14" i="6"/>
  <c r="KW7" i="6" l="1"/>
  <c r="KX4" i="6"/>
  <c r="KW12" i="6"/>
  <c r="KV14" i="6"/>
  <c r="KX7" i="6" l="1"/>
  <c r="KY4" i="6"/>
  <c r="KX12" i="6"/>
  <c r="KW14" i="6"/>
  <c r="KZ4" i="6" l="1"/>
  <c r="KY7" i="6"/>
  <c r="KY12" i="6"/>
  <c r="KX14" i="6"/>
  <c r="LA4" i="6" l="1"/>
  <c r="KZ7" i="6"/>
  <c r="KY14" i="6"/>
  <c r="KZ12" i="6"/>
  <c r="LA7" i="6" l="1"/>
  <c r="LB4" i="6"/>
  <c r="LA12" i="6"/>
  <c r="KZ14" i="6"/>
  <c r="LB7" i="6" l="1"/>
  <c r="LC4" i="6"/>
  <c r="LA14" i="6"/>
  <c r="LB12" i="6"/>
  <c r="LC7" i="6" l="1"/>
  <c r="LD4" i="6"/>
  <c r="LD7" i="6" s="1"/>
  <c r="LC12" i="6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<sst xmlns="http://schemas.openxmlformats.org/spreadsheetml/2006/main" count="901" uniqueCount="527">
  <si>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</si>
  <si>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</si>
  <si>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</si>
  <si>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</si>
  <si>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</si>
  <si>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</si>
  <si>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</si>
  <si>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</si>
  <si>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</si>
  <si>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</si>
  <si>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</si>
  <si>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</si>
  <si>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</si>
  <si>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</si>
  <si>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</si>
  <si>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</si>
  <si>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</si>
  <si>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</si>
  <si>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</si>
  <si>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</si>
  <si>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</si>
  <si>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</si>
  <si>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</si>
  <si>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</si>
  <si>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</si>
  <si>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</si>
  <si>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</si>
  <si>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</si>
  <si>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</si>
  <si>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</si>
  <si>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</si>
  <si>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</si>
  <si>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</si>
  <si>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</si>
  <si>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</si>
  <si>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</si>
  <si>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</si>
  <si>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</si>
  <si>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</si>
  <si>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</si>
  <si>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</si>
  <si>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</si>
  <si>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</si>
  <si>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</si>
  <si>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</si>
  <si>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</si>
  <si>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</si>
  <si>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</si>
  <si>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</si>
  <si>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</si>
  <si>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</si>
  <si>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</si>
  <si>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</si>
  <si>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</si>
  <si>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</si>
  <si>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</si>
  <si>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</si>
  <si>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</si>
  <si>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</si>
  <si>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</si>
  <si>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</si>
  <si>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</si>
  <si>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</si>
  <si>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</si>
  <si>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</si>
  <si>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</si>
  <si>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</si>
  <si>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</si>
  <si>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</si>
  <si>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</si>
  <si>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</si>
  <si>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</si>
  <si>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</si>
  <si>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</si>
  <si>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</si>
  <si>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</si>
  <si>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</si>
  <si>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</si>
  <si>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</si>
  <si>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</si>
  <si>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</si>
  <si>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</si>
  <si>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</si>
  <si>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</si>
  <si>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</si>
  <si>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</si>
  <si>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</si>
  <si>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</si>
  <si>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</si>
  <si>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</si>
  <si>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</si>
  <si>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</si>
  <si>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</si>
  <si>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</si>
  <si>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</si>
  <si>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</si>
  <si>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</si>
  <si>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</si>
  <si>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</si>
  <si>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</si>
  <si>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</si>
  <si>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</si>
  <si>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</si>
  <si>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</si>
  <si>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</si>
  <si>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</si>
  <si>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</si>
  <si>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</si>
  <si>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</si>
  <si>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</si>
  <si>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</si>
  <si>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</si>
  <si>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</si>
  <si>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</si>
  <si>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</si>
  <si>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</si>
  <si>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</si>
  <si>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</si>
  <si>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</si>
  <si>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</si>
  <si>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</si>
  <si>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</si>
  <si>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</si>
  <si>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</si>
  <si>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</si>
  <si>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</si>
  <si>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</si>
  <si>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</si>
  <si>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</si>
  <si>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</si>
  <si>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</si>
  <si>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</si>
  <si>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</si>
  <si>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</si>
  <si>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</si>
  <si>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</si>
  <si>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</si>
  <si>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</si>
  <si>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</si>
  <si>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</si>
  <si>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</si>
  <si>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</si>
  <si>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</si>
  <si>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</si>
  <si>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</si>
  <si>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</si>
  <si>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</si>
  <si>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</si>
  <si>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</si>
  <si>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</si>
  <si>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</si>
  <si>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</si>
  <si>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</si>
  <si>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</si>
  <si>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</si>
  <si>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</si>
  <si>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</si>
  <si>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</si>
  <si>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</si>
  <si>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</si>
  <si>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</si>
  <si>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</si>
  <si>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</si>
  <si>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</si>
  <si>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</si>
  <si>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</si>
  <si>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</si>
  <si>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</si>
  <si>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</si>
  <si>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</si>
  <si>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</si>
  <si>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</si>
  <si>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</si>
  <si>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</si>
  <si>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</si>
  <si>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</si>
  <si>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</si>
  <si>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</si>
  <si>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</si>
  <si>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</si>
  <si>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</si>
  <si>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</si>
  <si>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</si>
  <si>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</si>
  <si>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</si>
  <si>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</si>
  <si>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</si>
  <si>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</si>
  <si>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</si>
  <si>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</si>
  <si>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</si>
  <si>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</si>
  <si>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</si>
  <si>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</si>
  <si>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</si>
  <si>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</si>
  <si>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</si>
  <si>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</si>
  <si>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</si>
  <si>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</si>
  <si>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</si>
  <si>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</si>
  <si>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</si>
  <si>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</si>
  <si>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</si>
  <si>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</si>
  <si>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</si>
  <si>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</si>
  <si>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</si>
  <si>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</si>
  <si>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</si>
  <si>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</si>
  <si>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</si>
  <si>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</si>
  <si>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</si>
  <si>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</si>
  <si>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</si>
  <si>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</si>
  <si>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</si>
  <si>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</si>
  <si>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</si>
  <si>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</si>
  <si>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</si>
  <si>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</si>
  <si>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</si>
  <si>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</si>
  <si>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</si>
  <si>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</si>
  <si>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</si>
  <si>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</si>
  <si>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</si>
  <si>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</si>
  <si>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</si>
  <si>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</si>
  <si>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</si>
  <si>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</si>
  <si>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</si>
  <si>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</si>
  <si>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</si>
  <si>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</si>
  <si>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</si>
  <si>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</si>
  <si>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</si>
  <si>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</si>
  <si>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</si>
  <si>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</si>
  <si>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</si>
  <si>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</si>
  <si>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</si>
  <si>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</si>
  <si>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</si>
  <si>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</si>
  <si>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</si>
  <si>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</si>
  <si>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</si>
  <si>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</si>
  <si>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</si>
  <si>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</si>
  <si>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</si>
  <si>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</si>
  <si>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</si>
  <si>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</si>
  <si>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</si>
  <si>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</si>
  <si>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</si>
  <si>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</si>
  <si>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</si>
  <si>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</si>
  <si>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</si>
  <si>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</si>
  <si>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</si>
  <si>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</si>
  <si>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</si>
  <si>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</si>
  <si>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</si>
  <si>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</si>
  <si>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</si>
  <si>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</si>
  <si>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</si>
  <si>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</si>
  <si>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</si>
  <si>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</si>
  <si>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</si>
  <si>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</si>
  <si>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</si>
  <si>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</si>
  <si>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</si>
  <si>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</si>
  <si>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</si>
  <si>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</si>
  <si>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</si>
  <si>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</si>
  <si>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>Thula Moya IN04838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</si>
  <si>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</si>
  <si>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</si>
  <si>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</si>
  <si>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</si>
  <si>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</si>
  <si>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</si>
  <si>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</si>
  <si>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</si>
  <si>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</si>
  <si>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</si>
  <si>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</si>
  <si>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</si>
  <si>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</si>
  <si>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</si>
  <si>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</si>
  <si>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</si>
  <si>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</si>
  <si>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</si>
  <si>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</si>
  <si>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</si>
  <si>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</si>
  <si>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</si>
  <si>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</si>
  <si>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</si>
  <si>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</si>
  <si>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</si>
  <si>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</si>
  <si>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</si>
  <si>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</si>
  <si>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</si>
  <si>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</si>
  <si>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</si>
  <si>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</si>
  <si>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</si>
  <si>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</si>
  <si>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</si>
  <si>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</si>
  <si>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</si>
  <si>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</si>
  <si>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</si>
  <si>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</si>
  <si>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</si>
  <si>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</si>
  <si>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</si>
  <si>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</si>
  <si>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</si>
  <si>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</si>
  <si>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</si>
  <si>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</si>
  <si>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</si>
  <si>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</si>
  <si>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</si>
  <si>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</si>
  <si>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</si>
  <si>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</si>
  <si>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</si>
  <si>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</si>
  <si>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</si>
  <si>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</si>
  <si>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</si>
  <si>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</si>
  <si>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</si>
  <si>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</si>
  <si>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</si>
  <si>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</si>
  <si>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</si>
  <si>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</si>
  <si>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</si>
  <si>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</si>
  <si>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</si>
  <si>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</si>
  <si>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</si>
  <si>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</si>
  <si>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</si>
  <si>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</si>
  <si>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</si>
  <si>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</si>
  <si>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</si>
  <si>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</si>
  <si>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</si>
  <si>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</si>
  <si>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</si>
  <si>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</si>
  <si>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</si>
  <si>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</si>
  <si>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</si>
  <si>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</si>
  <si>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</si>
  <si>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</si>
  <si>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</si>
  <si>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</si>
  <si>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</si>
  <si>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</si>
  <si>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</si>
  <si>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</si>
  <si>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</si>
  <si>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</si>
  <si>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</si>
  <si>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</si>
  <si>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</si>
  <si>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</si>
  <si>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</si>
  <si>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</si>
  <si>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</si>
  <si>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</si>
  <si>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</si>
  <si>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</si>
  <si>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</si>
  <si>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</si>
  <si>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</si>
  <si>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</si>
  <si>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</si>
  <si>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</si>
  <si>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Call Out Metering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</si>
  <si>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</si>
  <si>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</si>
  <si>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</si>
  <si>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</si>
  <si>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</si>
  <si>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</si>
  <si>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</si>
  <si>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</si>
  <si>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</si>
  <si>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</si>
  <si>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</si>
  <si>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</si>
  <si>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</si>
  <si>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</si>
  <si>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</si>
  <si>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</si>
  <si>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</si>
  <si>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</si>
  <si>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</si>
  <si>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</si>
  <si>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</si>
  <si>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</si>
  <si>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</si>
  <si>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</si>
  <si>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</si>
  <si>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</si>
  <si>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</si>
  <si>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</si>
  <si>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</si>
  <si>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</si>
  <si>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</si>
  <si>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</si>
  <si>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</si>
  <si>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</si>
  <si>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</si>
  <si>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</si>
  <si>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</si>
  <si>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</si>
  <si>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</si>
  <si>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</si>
  <si>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</si>
  <si>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</si>
  <si>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</si>
  <si>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</si>
  <si>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</si>
  <si>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</si>
  <si>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</si>
  <si>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</si>
  <si>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</si>
  <si>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</si>
  <si>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</si>
  <si>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</si>
  <si>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</si>
  <si>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</si>
  <si>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</si>
  <si>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</si>
  <si>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</si>
  <si>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</si>
  <si>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</si>
  <si>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</si>
  <si>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</si>
  <si>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</si>
  <si>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</si>
  <si>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</si>
  <si>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</si>
  <si>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</si>
  <si>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</si>
  <si>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</si>
  <si>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</si>
  <si>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</si>
  <si>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</si>
  <si>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</si>
  <si>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</si>
  <si>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</si>
  <si>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</si>
  <si>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</si>
  <si>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</si>
  <si>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</si>
  <si>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</si>
  <si>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</si>
  <si>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</si>
  <si>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</si>
  <si>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</si>
  <si>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</si>
  <si>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</si>
  <si>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</si>
  <si>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</si>
  <si>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</si>
  <si>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</si>
  <si>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</si>
  <si>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</si>
  <si>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</si>
  <si>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</si>
  <si>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</si>
  <si>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</si>
  <si>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</si>
  <si>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</si>
  <si>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</si>
  <si>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</si>
  <si>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</si>
  <si>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</si>
  <si>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</si>
  <si>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</si>
  <si>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</si>
  <si>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</si>
  <si>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</si>
  <si>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</si>
  <si>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</si>
  <si>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</si>
  <si>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</si>
  <si>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</si>
  <si>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</si>
  <si>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</si>
  <si>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</si>
  <si>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</si>
  <si>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</si>
  <si>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</si>
  <si>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</si>
  <si>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</si>
  <si>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Thula Moya - IN05028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</si>
</sst>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7748363.7000000011</c:v>
                </c:pt>
                <c:pt idx="47">
                  <c:v>7748363.7000000011</c:v>
                </c:pt>
                <c:pt idx="48">
                  <c:v>7748363.7000000011</c:v>
                </c:pt>
                <c:pt idx="49">
                  <c:v>7748363.7000000011</c:v>
                </c:pt>
                <c:pt idx="50">
                  <c:v>7748363.7000000011</c:v>
                </c:pt>
                <c:pt idx="51">
                  <c:v>7748363.7000000011</c:v>
                </c:pt>
                <c:pt idx="52">
                  <c:v>7748363.7000000011</c:v>
                </c:pt>
                <c:pt idx="53">
                  <c:v>7748363.7000000011</c:v>
                </c:pt>
                <c:pt idx="54">
                  <c:v>7748363.7000000011</c:v>
                </c:pt>
                <c:pt idx="55">
                  <c:v>7748363.7000000011</c:v>
                </c:pt>
                <c:pt idx="56">
                  <c:v>7748363.7000000011</c:v>
                </c:pt>
                <c:pt idx="57">
                  <c:v>7748363.7000000011</c:v>
                </c:pt>
                <c:pt idx="58">
                  <c:v>7748363.7000000011</c:v>
                </c:pt>
                <c:pt idx="59">
                  <c:v>7748363.7000000011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138124.11410761252</c:v>
                </c:pt>
                <c:pt idx="47">
                  <c:v>138124.11410761252</c:v>
                </c:pt>
                <c:pt idx="48">
                  <c:v>138124.11410761252</c:v>
                </c:pt>
                <c:pt idx="49">
                  <c:v>138124.11410761252</c:v>
                </c:pt>
                <c:pt idx="50">
                  <c:v>138124.11410761252</c:v>
                </c:pt>
                <c:pt idx="51">
                  <c:v>138124.11410761252</c:v>
                </c:pt>
                <c:pt idx="52">
                  <c:v>138124.11410761252</c:v>
                </c:pt>
                <c:pt idx="53">
                  <c:v>138124.11410761252</c:v>
                </c:pt>
                <c:pt idx="54">
                  <c:v>138124.11410761252</c:v>
                </c:pt>
                <c:pt idx="55">
                  <c:v>138124.11410761252</c:v>
                </c:pt>
                <c:pt idx="56">
                  <c:v>138124.11410761252</c:v>
                </c:pt>
                <c:pt idx="57">
                  <c:v>138124.11410761252</c:v>
                </c:pt>
                <c:pt idx="58">
                  <c:v>138124.11410761252</c:v>
                </c:pt>
                <c:pt idx="59">
                  <c:v>138124.11410761252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6103842.0218749046</c:v>
                </c:pt>
                <c:pt idx="52">
                  <c:v>6103842.0218749046</c:v>
                </c:pt>
                <c:pt idx="53">
                  <c:v>6126857.8518749047</c:v>
                </c:pt>
                <c:pt idx="54">
                  <c:v>6126857.8518749047</c:v>
                </c:pt>
                <c:pt idx="55">
                  <c:v>6126857.8518749047</c:v>
                </c:pt>
                <c:pt idx="56">
                  <c:v>6126857.8518749047</c:v>
                </c:pt>
                <c:pt idx="57">
                  <c:v>6133142.1126668956</c:v>
                </c:pt>
                <c:pt idx="58">
                  <c:v>6221563.7922708998</c:v>
                </c:pt>
                <c:pt idx="59">
                  <c:v>6221563.7922708998</c:v>
                </c:pt>
                <c:pt idx="60">
                  <c:v>6221563.7922708998</c:v>
                </c:pt>
                <c:pt idx="61">
                  <c:v>6221563.7922708998</c:v>
                </c:pt>
                <c:pt idx="62">
                  <c:v>6306512.9118749043</c:v>
                </c:pt>
                <c:pt idx="63">
                  <c:v>6306512.9118749043</c:v>
                </c:pt>
                <c:pt idx="64">
                  <c:v>6306512.9118749043</c:v>
                </c:pt>
                <c:pt idx="65">
                  <c:v>6306512.9118749043</c:v>
                </c:pt>
                <c:pt idx="66">
                  <c:v>6306512.9118749043</c:v>
                </c:pt>
                <c:pt idx="67">
                  <c:v>6306512.9118749043</c:v>
                </c:pt>
                <c:pt idx="68">
                  <c:v>6306512.9118749043</c:v>
                </c:pt>
                <c:pt idx="69">
                  <c:v>6306512.9118749043</c:v>
                </c:pt>
                <c:pt idx="70">
                  <c:v>6306512.9118749043</c:v>
                </c:pt>
                <c:pt idx="71">
                  <c:v>6306512.9118749043</c:v>
                </c:pt>
                <c:pt idx="72">
                  <c:v>6306512.9118749043</c:v>
                </c:pt>
                <c:pt idx="73">
                  <c:v>6306512.9118749043</c:v>
                </c:pt>
                <c:pt idx="74">
                  <c:v>6306512.9118749043</c:v>
                </c:pt>
                <c:pt idx="75">
                  <c:v>6306512.9118749043</c:v>
                </c:pt>
                <c:pt idx="76">
                  <c:v>6306512.9118749043</c:v>
                </c:pt>
                <c:pt idx="77">
                  <c:v>6306512.9118749043</c:v>
                </c:pt>
                <c:pt idx="78">
                  <c:v>6306512.9118749043</c:v>
                </c:pt>
                <c:pt idx="79">
                  <c:v>6306512.9118749043</c:v>
                </c:pt>
                <c:pt idx="80">
                  <c:v>6306512.9118749043</c:v>
                </c:pt>
                <c:pt idx="81">
                  <c:v>6306512.9118749043</c:v>
                </c:pt>
                <c:pt idx="82">
                  <c:v>6306512.9118749043</c:v>
                </c:pt>
                <c:pt idx="83">
                  <c:v>6306512.9118749043</c:v>
                </c:pt>
                <c:pt idx="84">
                  <c:v>6306512.9118749043</c:v>
                </c:pt>
                <c:pt idx="85">
                  <c:v>6306512.9118749043</c:v>
                </c:pt>
                <c:pt idx="86">
                  <c:v>6306512.9118749043</c:v>
                </c:pt>
                <c:pt idx="87">
                  <c:v>6306512.9118749043</c:v>
                </c:pt>
                <c:pt idx="88">
                  <c:v>6306512.9118749043</c:v>
                </c:pt>
                <c:pt idx="89">
                  <c:v>6306512.9118749043</c:v>
                </c:pt>
                <c:pt idx="90">
                  <c:v>6306512.9118749043</c:v>
                </c:pt>
                <c:pt idx="91">
                  <c:v>6306512.9118749043</c:v>
                </c:pt>
                <c:pt idx="92">
                  <c:v>6306512.9118749043</c:v>
                </c:pt>
                <c:pt idx="93">
                  <c:v>6306512.9118749043</c:v>
                </c:pt>
                <c:pt idx="94">
                  <c:v>6306512.9118749043</c:v>
                </c:pt>
                <c:pt idx="95">
                  <c:v>6306512.9118749043</c:v>
                </c:pt>
                <c:pt idx="96">
                  <c:v>6306512.9118749043</c:v>
                </c:pt>
                <c:pt idx="97">
                  <c:v>6306512.9118749043</c:v>
                </c:pt>
                <c:pt idx="98">
                  <c:v>6306512.9118749043</c:v>
                </c:pt>
                <c:pt idx="99">
                  <c:v>6306512.9118749043</c:v>
                </c:pt>
                <c:pt idx="100">
                  <c:v>6306512.9118749043</c:v>
                </c:pt>
                <c:pt idx="101">
                  <c:v>6306512.9118749043</c:v>
                </c:pt>
                <c:pt idx="102">
                  <c:v>6306512.9118749043</c:v>
                </c:pt>
                <c:pt idx="103">
                  <c:v>6306512.9118749043</c:v>
                </c:pt>
                <c:pt idx="104">
                  <c:v>6306512.9118749043</c:v>
                </c:pt>
                <c:pt idx="105">
                  <c:v>6306512.9118749043</c:v>
                </c:pt>
                <c:pt idx="106">
                  <c:v>6306512.9118749043</c:v>
                </c:pt>
                <c:pt idx="107">
                  <c:v>6306512.9118749043</c:v>
                </c:pt>
                <c:pt idx="108">
                  <c:v>6306512.9118749043</c:v>
                </c:pt>
                <c:pt idx="109">
                  <c:v>6306512.9118749043</c:v>
                </c:pt>
                <c:pt idx="110">
                  <c:v>6306512.9118749043</c:v>
                </c:pt>
                <c:pt idx="111">
                  <c:v>6306512.9118749043</c:v>
                </c:pt>
                <c:pt idx="112">
                  <c:v>6306512.9118749043</c:v>
                </c:pt>
                <c:pt idx="113">
                  <c:v>6306512.9118749043</c:v>
                </c:pt>
                <c:pt idx="114">
                  <c:v>6306512.9118749043</c:v>
                </c:pt>
                <c:pt idx="115">
                  <c:v>6306512.9118749043</c:v>
                </c:pt>
                <c:pt idx="116">
                  <c:v>6306512.9118749043</c:v>
                </c:pt>
                <c:pt idx="117">
                  <c:v>6306512.9118749043</c:v>
                </c:pt>
                <c:pt idx="118">
                  <c:v>6306512.9118749043</c:v>
                </c:pt>
                <c:pt idx="119">
                  <c:v>6306512.9118749043</c:v>
                </c:pt>
                <c:pt idx="120">
                  <c:v>6306512.9118749043</c:v>
                </c:pt>
                <c:pt idx="121">
                  <c:v>6306512.9118749043</c:v>
                </c:pt>
                <c:pt idx="122">
                  <c:v>6306512.9118749043</c:v>
                </c:pt>
                <c:pt idx="123">
                  <c:v>6306512.9118749043</c:v>
                </c:pt>
                <c:pt idx="124">
                  <c:v>6306512.9118749043</c:v>
                </c:pt>
                <c:pt idx="125">
                  <c:v>6306512.9118749043</c:v>
                </c:pt>
                <c:pt idx="126">
                  <c:v>6306512.9118749043</c:v>
                </c:pt>
                <c:pt idx="127">
                  <c:v>6306512.9118749043</c:v>
                </c:pt>
                <c:pt idx="128">
                  <c:v>6306512.9118749043</c:v>
                </c:pt>
                <c:pt idx="129">
                  <c:v>6306512.9118749043</c:v>
                </c:pt>
                <c:pt idx="130">
                  <c:v>6306512.9118749043</c:v>
                </c:pt>
                <c:pt idx="131">
                  <c:v>6306512.9118749043</c:v>
                </c:pt>
                <c:pt idx="132">
                  <c:v>6306512.9118749043</c:v>
                </c:pt>
                <c:pt idx="133">
                  <c:v>6306512.9118749043</c:v>
                </c:pt>
                <c:pt idx="134">
                  <c:v>6306512.9118749043</c:v>
                </c:pt>
                <c:pt idx="135">
                  <c:v>6306512.9118749043</c:v>
                </c:pt>
                <c:pt idx="136">
                  <c:v>6306512.9118749043</c:v>
                </c:pt>
                <c:pt idx="137">
                  <c:v>6306512.9118749043</c:v>
                </c:pt>
                <c:pt idx="138">
                  <c:v>6306512.9118749043</c:v>
                </c:pt>
                <c:pt idx="139">
                  <c:v>6306512.9118749043</c:v>
                </c:pt>
                <c:pt idx="140">
                  <c:v>6306512.9118749043</c:v>
                </c:pt>
                <c:pt idx="141">
                  <c:v>6306512.9118749043</c:v>
                </c:pt>
                <c:pt idx="142">
                  <c:v>6306512.9118749043</c:v>
                </c:pt>
                <c:pt idx="143">
                  <c:v>6306512.9118749043</c:v>
                </c:pt>
                <c:pt idx="144">
                  <c:v>6306512.9118749043</c:v>
                </c:pt>
                <c:pt idx="145">
                  <c:v>6306512.9118749043</c:v>
                </c:pt>
                <c:pt idx="146">
                  <c:v>6306512.9118749043</c:v>
                </c:pt>
                <c:pt idx="147">
                  <c:v>6306512.9118749043</c:v>
                </c:pt>
                <c:pt idx="148">
                  <c:v>6306512.9118749043</c:v>
                </c:pt>
                <c:pt idx="149">
                  <c:v>6306512.9118749043</c:v>
                </c:pt>
                <c:pt idx="150">
                  <c:v>6306512.9118749043</c:v>
                </c:pt>
                <c:pt idx="151">
                  <c:v>6306512.9118749043</c:v>
                </c:pt>
                <c:pt idx="152">
                  <c:v>6306512.9118749043</c:v>
                </c:pt>
                <c:pt idx="153">
                  <c:v>6306512.9118749043</c:v>
                </c:pt>
                <c:pt idx="154">
                  <c:v>6306512.9118749043</c:v>
                </c:pt>
                <c:pt idx="155">
                  <c:v>6306512.9118749043</c:v>
                </c:pt>
                <c:pt idx="156">
                  <c:v>6306512.9118749043</c:v>
                </c:pt>
                <c:pt idx="157">
                  <c:v>6306512.9118749043</c:v>
                </c:pt>
                <c:pt idx="158">
                  <c:v>6306512.9118749043</c:v>
                </c:pt>
                <c:pt idx="159">
                  <c:v>6306512.9118749043</c:v>
                </c:pt>
                <c:pt idx="160">
                  <c:v>6306512.9118749043</c:v>
                </c:pt>
                <c:pt idx="161">
                  <c:v>6306512.9118749043</c:v>
                </c:pt>
                <c:pt idx="162">
                  <c:v>6306512.9118749043</c:v>
                </c:pt>
                <c:pt idx="163">
                  <c:v>6306512.9118749043</c:v>
                </c:pt>
                <c:pt idx="164">
                  <c:v>6306512.9118749043</c:v>
                </c:pt>
                <c:pt idx="165">
                  <c:v>6306512.9118749043</c:v>
                </c:pt>
                <c:pt idx="166">
                  <c:v>6306512.9118749043</c:v>
                </c:pt>
                <c:pt idx="167">
                  <c:v>6306512.9118749043</c:v>
                </c:pt>
                <c:pt idx="168">
                  <c:v>6306512.9118749043</c:v>
                </c:pt>
                <c:pt idx="169">
                  <c:v>6306512.9118749043</c:v>
                </c:pt>
                <c:pt idx="170">
                  <c:v>6306512.9118749043</c:v>
                </c:pt>
                <c:pt idx="171">
                  <c:v>6306512.9118749043</c:v>
                </c:pt>
                <c:pt idx="172">
                  <c:v>6306512.9118749043</c:v>
                </c:pt>
                <c:pt idx="173">
                  <c:v>6306512.9118749043</c:v>
                </c:pt>
                <c:pt idx="174">
                  <c:v>6306512.9118749043</c:v>
                </c:pt>
                <c:pt idx="175">
                  <c:v>6306512.9118749043</c:v>
                </c:pt>
                <c:pt idx="176">
                  <c:v>6306512.9118749043</c:v>
                </c:pt>
                <c:pt idx="177">
                  <c:v>6306512.9118749043</c:v>
                </c:pt>
                <c:pt idx="178">
                  <c:v>6306512.9118749043</c:v>
                </c:pt>
                <c:pt idx="179">
                  <c:v>6306512.9118749043</c:v>
                </c:pt>
                <c:pt idx="180">
                  <c:v>6306512.9118749043</c:v>
                </c:pt>
                <c:pt idx="181">
                  <c:v>6306512.9118749043</c:v>
                </c:pt>
                <c:pt idx="182">
                  <c:v>6306512.9118749043</c:v>
                </c:pt>
                <c:pt idx="183">
                  <c:v>6306512.9118749043</c:v>
                </c:pt>
                <c:pt idx="184">
                  <c:v>6306512.9118749043</c:v>
                </c:pt>
                <c:pt idx="185">
                  <c:v>6306512.9118749043</c:v>
                </c:pt>
                <c:pt idx="186">
                  <c:v>6306512.9118749043</c:v>
                </c:pt>
                <c:pt idx="187">
                  <c:v>6306512.9118749043</c:v>
                </c:pt>
                <c:pt idx="188">
                  <c:v>6306512.9118749043</c:v>
                </c:pt>
                <c:pt idx="189">
                  <c:v>6306512.9118749043</c:v>
                </c:pt>
                <c:pt idx="190">
                  <c:v>6306512.9118749043</c:v>
                </c:pt>
                <c:pt idx="191">
                  <c:v>6306512.9118749043</c:v>
                </c:pt>
                <c:pt idx="192">
                  <c:v>6306512.9118749043</c:v>
                </c:pt>
                <c:pt idx="193">
                  <c:v>6306512.9118749043</c:v>
                </c:pt>
                <c:pt idx="194">
                  <c:v>6306512.9118749043</c:v>
                </c:pt>
                <c:pt idx="195">
                  <c:v>6306512.9118749043</c:v>
                </c:pt>
                <c:pt idx="196">
                  <c:v>6306512.9118749043</c:v>
                </c:pt>
                <c:pt idx="197">
                  <c:v>6306512.9118749043</c:v>
                </c:pt>
                <c:pt idx="198">
                  <c:v>6306512.9118749043</c:v>
                </c:pt>
                <c:pt idx="199">
                  <c:v>6306512.9118749043</c:v>
                </c:pt>
                <c:pt idx="200">
                  <c:v>6306512.9118749043</c:v>
                </c:pt>
                <c:pt idx="201">
                  <c:v>6306512.9118749043</c:v>
                </c:pt>
                <c:pt idx="202">
                  <c:v>6306512.9118749043</c:v>
                </c:pt>
                <c:pt idx="203">
                  <c:v>6306512.9118749043</c:v>
                </c:pt>
                <c:pt idx="204">
                  <c:v>6306512.9118749043</c:v>
                </c:pt>
                <c:pt idx="205">
                  <c:v>6306512.9118749043</c:v>
                </c:pt>
                <c:pt idx="206">
                  <c:v>6306512.9118749043</c:v>
                </c:pt>
                <c:pt idx="207">
                  <c:v>6306512.9118749043</c:v>
                </c:pt>
                <c:pt idx="208">
                  <c:v>6306512.9118749043</c:v>
                </c:pt>
                <c:pt idx="209">
                  <c:v>6306512.9118749043</c:v>
                </c:pt>
                <c:pt idx="210">
                  <c:v>6306512.9118749043</c:v>
                </c:pt>
                <c:pt idx="211">
                  <c:v>6306512.9118749043</c:v>
                </c:pt>
                <c:pt idx="212">
                  <c:v>6306512.9118749043</c:v>
                </c:pt>
                <c:pt idx="213">
                  <c:v>6306512.9118749043</c:v>
                </c:pt>
                <c:pt idx="214">
                  <c:v>6306512.9118749043</c:v>
                </c:pt>
                <c:pt idx="215">
                  <c:v>6306512.9118749043</c:v>
                </c:pt>
                <c:pt idx="216">
                  <c:v>6306512.9118749043</c:v>
                </c:pt>
                <c:pt idx="217">
                  <c:v>6306512.9118749043</c:v>
                </c:pt>
                <c:pt idx="218">
                  <c:v>6306512.9118749043</c:v>
                </c:pt>
                <c:pt idx="219">
                  <c:v>6306512.9118749043</c:v>
                </c:pt>
                <c:pt idx="220">
                  <c:v>6306512.9118749043</c:v>
                </c:pt>
                <c:pt idx="221">
                  <c:v>6306512.9118749043</c:v>
                </c:pt>
                <c:pt idx="222">
                  <c:v>6306512.9118749043</c:v>
                </c:pt>
                <c:pt idx="223">
                  <c:v>6306512.9118749043</c:v>
                </c:pt>
                <c:pt idx="224">
                  <c:v>6306512.9118749043</c:v>
                </c:pt>
                <c:pt idx="225">
                  <c:v>6306512.9118749043</c:v>
                </c:pt>
                <c:pt idx="226">
                  <c:v>6306512.9118749043</c:v>
                </c:pt>
                <c:pt idx="227">
                  <c:v>6306512.9118749043</c:v>
                </c:pt>
                <c:pt idx="228">
                  <c:v>6306512.9118749043</c:v>
                </c:pt>
                <c:pt idx="229">
                  <c:v>6306512.9118749043</c:v>
                </c:pt>
                <c:pt idx="230">
                  <c:v>6306512.9118749043</c:v>
                </c:pt>
                <c:pt idx="231">
                  <c:v>6306512.9118749043</c:v>
                </c:pt>
                <c:pt idx="232">
                  <c:v>6306512.9118749043</c:v>
                </c:pt>
                <c:pt idx="233">
                  <c:v>6306512.9118749043</c:v>
                </c:pt>
                <c:pt idx="234">
                  <c:v>6306512.9118749043</c:v>
                </c:pt>
                <c:pt idx="235">
                  <c:v>6306512.9118749043</c:v>
                </c:pt>
                <c:pt idx="236">
                  <c:v>6306512.9118749043</c:v>
                </c:pt>
                <c:pt idx="237">
                  <c:v>6306512.9118749043</c:v>
                </c:pt>
                <c:pt idx="238">
                  <c:v>6306512.9118749043</c:v>
                </c:pt>
                <c:pt idx="239">
                  <c:v>6306512.9118749043</c:v>
                </c:pt>
                <c:pt idx="240">
                  <c:v>6306512.9118749043</c:v>
                </c:pt>
                <c:pt idx="241">
                  <c:v>6306512.9118749043</c:v>
                </c:pt>
                <c:pt idx="242">
                  <c:v>6306512.9118749043</c:v>
                </c:pt>
                <c:pt idx="243">
                  <c:v>6306512.9118749043</c:v>
                </c:pt>
                <c:pt idx="244">
                  <c:v>6306512.9118749043</c:v>
                </c:pt>
                <c:pt idx="245">
                  <c:v>6306512.9118749043</c:v>
                </c:pt>
                <c:pt idx="246">
                  <c:v>6306512.9118749043</c:v>
                </c:pt>
                <c:pt idx="247">
                  <c:v>6306512.9118749043</c:v>
                </c:pt>
                <c:pt idx="248">
                  <c:v>6306512.9118749043</c:v>
                </c:pt>
                <c:pt idx="249">
                  <c:v>6306512.9118749043</c:v>
                </c:pt>
                <c:pt idx="250">
                  <c:v>6306512.9118749043</c:v>
                </c:pt>
                <c:pt idx="251">
                  <c:v>6306512.9118749043</c:v>
                </c:pt>
                <c:pt idx="252">
                  <c:v>6306512.9118749043</c:v>
                </c:pt>
                <c:pt idx="253">
                  <c:v>6306512.9118749043</c:v>
                </c:pt>
                <c:pt idx="254">
                  <c:v>6306512.9118749043</c:v>
                </c:pt>
                <c:pt idx="255">
                  <c:v>6306512.9118749043</c:v>
                </c:pt>
                <c:pt idx="256">
                  <c:v>6306512.9118749043</c:v>
                </c:pt>
                <c:pt idx="257">
                  <c:v>6306512.9118749043</c:v>
                </c:pt>
                <c:pt idx="258">
                  <c:v>6306512.9118749043</c:v>
                </c:pt>
                <c:pt idx="259">
                  <c:v>6306512.9118749043</c:v>
                </c:pt>
                <c:pt idx="260">
                  <c:v>6306512.9118749043</c:v>
                </c:pt>
                <c:pt idx="261">
                  <c:v>6306512.9118749043</c:v>
                </c:pt>
                <c:pt idx="262">
                  <c:v>6306512.9118749043</c:v>
                </c:pt>
                <c:pt idx="263">
                  <c:v>6306512.9118749043</c:v>
                </c:pt>
                <c:pt idx="264">
                  <c:v>6306512.9118749043</c:v>
                </c:pt>
                <c:pt idx="265">
                  <c:v>6306512.9118749043</c:v>
                </c:pt>
                <c:pt idx="266">
                  <c:v>6306512.9118749043</c:v>
                </c:pt>
                <c:pt idx="267">
                  <c:v>6306512.9118749043</c:v>
                </c:pt>
                <c:pt idx="268">
                  <c:v>6306512.9118749043</c:v>
                </c:pt>
                <c:pt idx="269">
                  <c:v>6306512.9118749043</c:v>
                </c:pt>
                <c:pt idx="270">
                  <c:v>6306512.9118749043</c:v>
                </c:pt>
                <c:pt idx="271">
                  <c:v>6306512.9118749043</c:v>
                </c:pt>
                <c:pt idx="272">
                  <c:v>6306512.9118749043</c:v>
                </c:pt>
                <c:pt idx="273">
                  <c:v>6306512.9118749043</c:v>
                </c:pt>
                <c:pt idx="274">
                  <c:v>6306512.9118749043</c:v>
                </c:pt>
                <c:pt idx="275">
                  <c:v>6306512.9118749043</c:v>
                </c:pt>
                <c:pt idx="276">
                  <c:v>6306512.9118749043</c:v>
                </c:pt>
                <c:pt idx="277">
                  <c:v>6306512.9118749043</c:v>
                </c:pt>
                <c:pt idx="278">
                  <c:v>6306512.9118749043</c:v>
                </c:pt>
                <c:pt idx="279">
                  <c:v>6306512.9118749043</c:v>
                </c:pt>
                <c:pt idx="280">
                  <c:v>6306512.9118749043</c:v>
                </c:pt>
                <c:pt idx="281">
                  <c:v>6306512.9118749043</c:v>
                </c:pt>
                <c:pt idx="282">
                  <c:v>6306512.9118749043</c:v>
                </c:pt>
                <c:pt idx="283">
                  <c:v>6306512.9118749043</c:v>
                </c:pt>
                <c:pt idx="284">
                  <c:v>6306512.9118749043</c:v>
                </c:pt>
                <c:pt idx="285">
                  <c:v>6306512.9118749043</c:v>
                </c:pt>
                <c:pt idx="286">
                  <c:v>6306512.9118749043</c:v>
                </c:pt>
                <c:pt idx="287">
                  <c:v>6306512.9118749043</c:v>
                </c:pt>
                <c:pt idx="288">
                  <c:v>6306512.9118749043</c:v>
                </c:pt>
                <c:pt idx="289">
                  <c:v>6306512.9118749043</c:v>
                </c:pt>
                <c:pt idx="290">
                  <c:v>6306512.9118749043</c:v>
                </c:pt>
                <c:pt idx="291">
                  <c:v>6306512.9118749043</c:v>
                </c:pt>
                <c:pt idx="292">
                  <c:v>6306512.9118749043</c:v>
                </c:pt>
                <c:pt idx="293">
                  <c:v>6306512.9118749043</c:v>
                </c:pt>
                <c:pt idx="294">
                  <c:v>6306512.9118749043</c:v>
                </c:pt>
                <c:pt idx="295">
                  <c:v>6306512.9118749043</c:v>
                </c:pt>
                <c:pt idx="296">
                  <c:v>6306512.9118749043</c:v>
                </c:pt>
                <c:pt idx="297">
                  <c:v>6306512.9118749043</c:v>
                </c:pt>
                <c:pt idx="298">
                  <c:v>6306512.9118749043</c:v>
                </c:pt>
                <c:pt idx="299">
                  <c:v>6306512.9118749043</c:v>
                </c:pt>
                <c:pt idx="300">
                  <c:v>6306512.9118749043</c:v>
                </c:pt>
                <c:pt idx="301">
                  <c:v>6306512.9118749043</c:v>
                </c:pt>
                <c:pt idx="302">
                  <c:v>6306512.9118749043</c:v>
                </c:pt>
                <c:pt idx="303">
                  <c:v>6306512.9118749043</c:v>
                </c:pt>
                <c:pt idx="304">
                  <c:v>6306512.9118749043</c:v>
                </c:pt>
                <c:pt idx="305">
                  <c:v>6306512.9118749043</c:v>
                </c:pt>
                <c:pt idx="306">
                  <c:v>6306512.9118749043</c:v>
                </c:pt>
                <c:pt idx="307">
                  <c:v>6306512.9118749043</c:v>
                </c:pt>
                <c:pt idx="308">
                  <c:v>6306512.9118749043</c:v>
                </c:pt>
                <c:pt idx="309">
                  <c:v>6306512.9118749043</c:v>
                </c:pt>
                <c:pt idx="310">
                  <c:v>6306512.9118749043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2051891.4781250963</c:v>
                </c:pt>
                <c:pt idx="52">
                  <c:v>2051891.4781250963</c:v>
                </c:pt>
                <c:pt idx="53">
                  <c:v>2028875.6481250962</c:v>
                </c:pt>
                <c:pt idx="54">
                  <c:v>2028875.6481250962</c:v>
                </c:pt>
                <c:pt idx="55">
                  <c:v>2028875.6481250962</c:v>
                </c:pt>
                <c:pt idx="56">
                  <c:v>2028875.6481250962</c:v>
                </c:pt>
                <c:pt idx="57">
                  <c:v>2022591.3873331053</c:v>
                </c:pt>
                <c:pt idx="58">
                  <c:v>1934169.7077291012</c:v>
                </c:pt>
                <c:pt idx="59">
                  <c:v>1934169.7077291012</c:v>
                </c:pt>
                <c:pt idx="60">
                  <c:v>1934169.7077291012</c:v>
                </c:pt>
                <c:pt idx="61">
                  <c:v>1934169.7077291012</c:v>
                </c:pt>
                <c:pt idx="62">
                  <c:v>1849220.5881250966</c:v>
                </c:pt>
                <c:pt idx="63">
                  <c:v>1849220.5881250966</c:v>
                </c:pt>
                <c:pt idx="64">
                  <c:v>1849220.5881250966</c:v>
                </c:pt>
                <c:pt idx="65">
                  <c:v>1849220.5881250966</c:v>
                </c:pt>
                <c:pt idx="66">
                  <c:v>1849220.5881250966</c:v>
                </c:pt>
                <c:pt idx="67">
                  <c:v>1849220.5881250966</c:v>
                </c:pt>
                <c:pt idx="68">
                  <c:v>1849220.5881250966</c:v>
                </c:pt>
                <c:pt idx="69">
                  <c:v>1849220.5881250966</c:v>
                </c:pt>
                <c:pt idx="70">
                  <c:v>1849220.5881250966</c:v>
                </c:pt>
                <c:pt idx="71">
                  <c:v>1849220.5881250966</c:v>
                </c:pt>
                <c:pt idx="72">
                  <c:v>1849220.5881250966</c:v>
                </c:pt>
                <c:pt idx="73">
                  <c:v>1849220.5881250966</c:v>
                </c:pt>
                <c:pt idx="74">
                  <c:v>1849220.5881250966</c:v>
                </c:pt>
                <c:pt idx="75">
                  <c:v>1849220.5881250966</c:v>
                </c:pt>
                <c:pt idx="76">
                  <c:v>1849220.5881250966</c:v>
                </c:pt>
                <c:pt idx="77">
                  <c:v>1849220.5881250966</c:v>
                </c:pt>
                <c:pt idx="78">
                  <c:v>1849220.5881250966</c:v>
                </c:pt>
                <c:pt idx="79">
                  <c:v>1849220.5881250966</c:v>
                </c:pt>
                <c:pt idx="80">
                  <c:v>1849220.5881250966</c:v>
                </c:pt>
                <c:pt idx="81">
                  <c:v>1849220.5881250966</c:v>
                </c:pt>
                <c:pt idx="82">
                  <c:v>1849220.5881250966</c:v>
                </c:pt>
                <c:pt idx="83">
                  <c:v>1849220.5881250966</c:v>
                </c:pt>
                <c:pt idx="84">
                  <c:v>1849220.5881250966</c:v>
                </c:pt>
                <c:pt idx="85">
                  <c:v>1849220.5881250966</c:v>
                </c:pt>
                <c:pt idx="86">
                  <c:v>1849220.5881250966</c:v>
                </c:pt>
                <c:pt idx="87">
                  <c:v>1849220.5881250966</c:v>
                </c:pt>
                <c:pt idx="88">
                  <c:v>1849220.5881250966</c:v>
                </c:pt>
                <c:pt idx="89">
                  <c:v>1849220.5881250966</c:v>
                </c:pt>
                <c:pt idx="90">
                  <c:v>1849220.5881250966</c:v>
                </c:pt>
                <c:pt idx="91">
                  <c:v>1849220.5881250966</c:v>
                </c:pt>
                <c:pt idx="92">
                  <c:v>1849220.5881250966</c:v>
                </c:pt>
                <c:pt idx="93">
                  <c:v>1849220.5881250966</c:v>
                </c:pt>
                <c:pt idx="94">
                  <c:v>1849220.5881250966</c:v>
                </c:pt>
                <c:pt idx="95">
                  <c:v>1849220.5881250966</c:v>
                </c:pt>
                <c:pt idx="96">
                  <c:v>1849220.5881250966</c:v>
                </c:pt>
                <c:pt idx="97">
                  <c:v>1849220.5881250966</c:v>
                </c:pt>
                <c:pt idx="98">
                  <c:v>1849220.5881250966</c:v>
                </c:pt>
                <c:pt idx="99">
                  <c:v>1849220.5881250966</c:v>
                </c:pt>
                <c:pt idx="100">
                  <c:v>1849220.5881250966</c:v>
                </c:pt>
                <c:pt idx="101">
                  <c:v>1849220.5881250966</c:v>
                </c:pt>
                <c:pt idx="102">
                  <c:v>1849220.5881250966</c:v>
                </c:pt>
                <c:pt idx="103">
                  <c:v>1849220.5881250966</c:v>
                </c:pt>
                <c:pt idx="104">
                  <c:v>1849220.5881250966</c:v>
                </c:pt>
                <c:pt idx="105">
                  <c:v>1849220.5881250966</c:v>
                </c:pt>
                <c:pt idx="106">
                  <c:v>1849220.5881250966</c:v>
                </c:pt>
                <c:pt idx="107">
                  <c:v>1849220.5881250966</c:v>
                </c:pt>
                <c:pt idx="108">
                  <c:v>1849220.5881250966</c:v>
                </c:pt>
                <c:pt idx="109">
                  <c:v>1849220.5881250966</c:v>
                </c:pt>
                <c:pt idx="110">
                  <c:v>1849220.5881250966</c:v>
                </c:pt>
                <c:pt idx="111">
                  <c:v>1849220.5881250966</c:v>
                </c:pt>
                <c:pt idx="112">
                  <c:v>1849220.5881250966</c:v>
                </c:pt>
                <c:pt idx="113">
                  <c:v>1849220.5881250966</c:v>
                </c:pt>
                <c:pt idx="114">
                  <c:v>1849220.5881250966</c:v>
                </c:pt>
                <c:pt idx="115">
                  <c:v>1849220.5881250966</c:v>
                </c:pt>
                <c:pt idx="116">
                  <c:v>1849220.5881250966</c:v>
                </c:pt>
                <c:pt idx="117">
                  <c:v>1849220.5881250966</c:v>
                </c:pt>
                <c:pt idx="118">
                  <c:v>1849220.5881250966</c:v>
                </c:pt>
                <c:pt idx="119">
                  <c:v>1849220.5881250966</c:v>
                </c:pt>
                <c:pt idx="120">
                  <c:v>1849220.5881250966</c:v>
                </c:pt>
                <c:pt idx="121">
                  <c:v>1849220.5881250966</c:v>
                </c:pt>
                <c:pt idx="122">
                  <c:v>1849220.5881250966</c:v>
                </c:pt>
                <c:pt idx="123">
                  <c:v>1849220.5881250966</c:v>
                </c:pt>
                <c:pt idx="124">
                  <c:v>1849220.5881250966</c:v>
                </c:pt>
                <c:pt idx="125">
                  <c:v>1849220.5881250966</c:v>
                </c:pt>
                <c:pt idx="126">
                  <c:v>1849220.5881250966</c:v>
                </c:pt>
                <c:pt idx="127">
                  <c:v>1849220.5881250966</c:v>
                </c:pt>
                <c:pt idx="128">
                  <c:v>1849220.5881250966</c:v>
                </c:pt>
                <c:pt idx="129">
                  <c:v>1849220.5881250966</c:v>
                </c:pt>
                <c:pt idx="130">
                  <c:v>1849220.5881250966</c:v>
                </c:pt>
                <c:pt idx="131">
                  <c:v>1849220.5881250966</c:v>
                </c:pt>
                <c:pt idx="132">
                  <c:v>1849220.5881250966</c:v>
                </c:pt>
                <c:pt idx="133">
                  <c:v>1849220.5881250966</c:v>
                </c:pt>
                <c:pt idx="134">
                  <c:v>1849220.5881250966</c:v>
                </c:pt>
                <c:pt idx="135">
                  <c:v>1849220.5881250966</c:v>
                </c:pt>
                <c:pt idx="136">
                  <c:v>1849220.5881250966</c:v>
                </c:pt>
                <c:pt idx="137">
                  <c:v>1849220.5881250966</c:v>
                </c:pt>
                <c:pt idx="138">
                  <c:v>1849220.5881250966</c:v>
                </c:pt>
                <c:pt idx="139">
                  <c:v>1849220.5881250966</c:v>
                </c:pt>
                <c:pt idx="140">
                  <c:v>1849220.5881250966</c:v>
                </c:pt>
                <c:pt idx="141">
                  <c:v>1849220.5881250966</c:v>
                </c:pt>
                <c:pt idx="142">
                  <c:v>1849220.5881250966</c:v>
                </c:pt>
                <c:pt idx="143">
                  <c:v>1849220.5881250966</c:v>
                </c:pt>
                <c:pt idx="144">
                  <c:v>1849220.5881250966</c:v>
                </c:pt>
                <c:pt idx="145">
                  <c:v>1849220.5881250966</c:v>
                </c:pt>
                <c:pt idx="146">
                  <c:v>1849220.5881250966</c:v>
                </c:pt>
                <c:pt idx="147">
                  <c:v>1849220.5881250966</c:v>
                </c:pt>
                <c:pt idx="148">
                  <c:v>1849220.5881250966</c:v>
                </c:pt>
                <c:pt idx="149">
                  <c:v>1849220.5881250966</c:v>
                </c:pt>
                <c:pt idx="150">
                  <c:v>1849220.5881250966</c:v>
                </c:pt>
                <c:pt idx="151">
                  <c:v>1849220.5881250966</c:v>
                </c:pt>
                <c:pt idx="152">
                  <c:v>1849220.5881250966</c:v>
                </c:pt>
                <c:pt idx="153">
                  <c:v>1849220.5881250966</c:v>
                </c:pt>
                <c:pt idx="154">
                  <c:v>1849220.5881250966</c:v>
                </c:pt>
                <c:pt idx="155">
                  <c:v>1849220.5881250966</c:v>
                </c:pt>
                <c:pt idx="156">
                  <c:v>1849220.5881250966</c:v>
                </c:pt>
                <c:pt idx="157">
                  <c:v>1849220.5881250966</c:v>
                </c:pt>
                <c:pt idx="158">
                  <c:v>1849220.5881250966</c:v>
                </c:pt>
                <c:pt idx="159">
                  <c:v>1849220.5881250966</c:v>
                </c:pt>
                <c:pt idx="160">
                  <c:v>1849220.5881250966</c:v>
                </c:pt>
                <c:pt idx="161">
                  <c:v>1849220.5881250966</c:v>
                </c:pt>
                <c:pt idx="162">
                  <c:v>1849220.5881250966</c:v>
                </c:pt>
                <c:pt idx="163">
                  <c:v>1849220.5881250966</c:v>
                </c:pt>
                <c:pt idx="164">
                  <c:v>1849220.5881250966</c:v>
                </c:pt>
                <c:pt idx="165">
                  <c:v>1849220.5881250966</c:v>
                </c:pt>
                <c:pt idx="166">
                  <c:v>1849220.5881250966</c:v>
                </c:pt>
                <c:pt idx="167">
                  <c:v>1849220.5881250966</c:v>
                </c:pt>
                <c:pt idx="168">
                  <c:v>1849220.5881250966</c:v>
                </c:pt>
                <c:pt idx="169">
                  <c:v>1849220.5881250966</c:v>
                </c:pt>
                <c:pt idx="170">
                  <c:v>1849220.5881250966</c:v>
                </c:pt>
                <c:pt idx="171">
                  <c:v>1849220.5881250966</c:v>
                </c:pt>
                <c:pt idx="172">
                  <c:v>1849220.5881250966</c:v>
                </c:pt>
                <c:pt idx="173">
                  <c:v>1849220.5881250966</c:v>
                </c:pt>
                <c:pt idx="174">
                  <c:v>1849220.5881250966</c:v>
                </c:pt>
                <c:pt idx="175">
                  <c:v>1849220.5881250966</c:v>
                </c:pt>
                <c:pt idx="176">
                  <c:v>1849220.5881250966</c:v>
                </c:pt>
                <c:pt idx="177">
                  <c:v>1849220.5881250966</c:v>
                </c:pt>
                <c:pt idx="178">
                  <c:v>1849220.5881250966</c:v>
                </c:pt>
                <c:pt idx="179">
                  <c:v>1849220.5881250966</c:v>
                </c:pt>
                <c:pt idx="180">
                  <c:v>1849220.5881250966</c:v>
                </c:pt>
                <c:pt idx="181">
                  <c:v>1849220.5881250966</c:v>
                </c:pt>
                <c:pt idx="182">
                  <c:v>1849220.5881250966</c:v>
                </c:pt>
                <c:pt idx="183">
                  <c:v>1849220.5881250966</c:v>
                </c:pt>
                <c:pt idx="184">
                  <c:v>1849220.5881250966</c:v>
                </c:pt>
                <c:pt idx="185">
                  <c:v>1849220.5881250966</c:v>
                </c:pt>
                <c:pt idx="186">
                  <c:v>1849220.5881250966</c:v>
                </c:pt>
                <c:pt idx="187">
                  <c:v>1849220.5881250966</c:v>
                </c:pt>
                <c:pt idx="188">
                  <c:v>1849220.5881250966</c:v>
                </c:pt>
                <c:pt idx="189">
                  <c:v>1849220.5881250966</c:v>
                </c:pt>
                <c:pt idx="190">
                  <c:v>1849220.5881250966</c:v>
                </c:pt>
                <c:pt idx="191">
                  <c:v>1849220.5881250966</c:v>
                </c:pt>
                <c:pt idx="192">
                  <c:v>1849220.5881250966</c:v>
                </c:pt>
                <c:pt idx="193">
                  <c:v>1849220.5881250966</c:v>
                </c:pt>
                <c:pt idx="194">
                  <c:v>1849220.5881250966</c:v>
                </c:pt>
                <c:pt idx="195">
                  <c:v>1849220.5881250966</c:v>
                </c:pt>
                <c:pt idx="196">
                  <c:v>1849220.5881250966</c:v>
                </c:pt>
                <c:pt idx="197">
                  <c:v>1849220.5881250966</c:v>
                </c:pt>
                <c:pt idx="198">
                  <c:v>1849220.5881250966</c:v>
                </c:pt>
                <c:pt idx="199">
                  <c:v>1849220.5881250966</c:v>
                </c:pt>
                <c:pt idx="200">
                  <c:v>1849220.5881250966</c:v>
                </c:pt>
                <c:pt idx="201">
                  <c:v>1849220.5881250966</c:v>
                </c:pt>
                <c:pt idx="202">
                  <c:v>1849220.5881250966</c:v>
                </c:pt>
                <c:pt idx="203">
                  <c:v>1849220.5881250966</c:v>
                </c:pt>
                <c:pt idx="204">
                  <c:v>1849220.5881250966</c:v>
                </c:pt>
                <c:pt idx="205">
                  <c:v>1849220.5881250966</c:v>
                </c:pt>
                <c:pt idx="206">
                  <c:v>1849220.5881250966</c:v>
                </c:pt>
                <c:pt idx="207">
                  <c:v>1849220.5881250966</c:v>
                </c:pt>
                <c:pt idx="208">
                  <c:v>1849220.5881250966</c:v>
                </c:pt>
                <c:pt idx="209">
                  <c:v>1849220.5881250966</c:v>
                </c:pt>
                <c:pt idx="210">
                  <c:v>1849220.5881250966</c:v>
                </c:pt>
                <c:pt idx="211">
                  <c:v>1849220.5881250966</c:v>
                </c:pt>
                <c:pt idx="212">
                  <c:v>1849220.5881250966</c:v>
                </c:pt>
                <c:pt idx="213">
                  <c:v>1849220.5881250966</c:v>
                </c:pt>
                <c:pt idx="214">
                  <c:v>1849220.5881250966</c:v>
                </c:pt>
                <c:pt idx="215">
                  <c:v>1849220.5881250966</c:v>
                </c:pt>
                <c:pt idx="216">
                  <c:v>1849220.5881250966</c:v>
                </c:pt>
                <c:pt idx="217">
                  <c:v>1849220.5881250966</c:v>
                </c:pt>
                <c:pt idx="218">
                  <c:v>1849220.5881250966</c:v>
                </c:pt>
                <c:pt idx="219">
                  <c:v>1849220.5881250966</c:v>
                </c:pt>
                <c:pt idx="220">
                  <c:v>1849220.5881250966</c:v>
                </c:pt>
                <c:pt idx="221">
                  <c:v>1849220.5881250966</c:v>
                </c:pt>
                <c:pt idx="222">
                  <c:v>1849220.5881250966</c:v>
                </c:pt>
                <c:pt idx="223">
                  <c:v>1849220.5881250966</c:v>
                </c:pt>
                <c:pt idx="224">
                  <c:v>1849220.5881250966</c:v>
                </c:pt>
                <c:pt idx="225">
                  <c:v>1849220.5881250966</c:v>
                </c:pt>
                <c:pt idx="226">
                  <c:v>1849220.5881250966</c:v>
                </c:pt>
                <c:pt idx="227">
                  <c:v>1849220.5881250966</c:v>
                </c:pt>
                <c:pt idx="228">
                  <c:v>1849220.5881250966</c:v>
                </c:pt>
                <c:pt idx="229">
                  <c:v>1849220.5881250966</c:v>
                </c:pt>
                <c:pt idx="230">
                  <c:v>1849220.5881250966</c:v>
                </c:pt>
                <c:pt idx="231">
                  <c:v>1849220.5881250966</c:v>
                </c:pt>
                <c:pt idx="232">
                  <c:v>1849220.5881250966</c:v>
                </c:pt>
                <c:pt idx="233">
                  <c:v>1849220.5881250966</c:v>
                </c:pt>
                <c:pt idx="234">
                  <c:v>1849220.5881250966</c:v>
                </c:pt>
                <c:pt idx="235">
                  <c:v>1849220.5881250966</c:v>
                </c:pt>
                <c:pt idx="236">
                  <c:v>1849220.5881250966</c:v>
                </c:pt>
                <c:pt idx="237">
                  <c:v>1849220.5881250966</c:v>
                </c:pt>
                <c:pt idx="238">
                  <c:v>1849220.5881250966</c:v>
                </c:pt>
                <c:pt idx="239">
                  <c:v>1849220.5881250966</c:v>
                </c:pt>
                <c:pt idx="240">
                  <c:v>1849220.5881250966</c:v>
                </c:pt>
                <c:pt idx="241">
                  <c:v>1849220.5881250966</c:v>
                </c:pt>
                <c:pt idx="242">
                  <c:v>1849220.5881250966</c:v>
                </c:pt>
                <c:pt idx="243">
                  <c:v>1849220.5881250966</c:v>
                </c:pt>
                <c:pt idx="244">
                  <c:v>1849220.5881250966</c:v>
                </c:pt>
                <c:pt idx="245">
                  <c:v>1849220.5881250966</c:v>
                </c:pt>
                <c:pt idx="246">
                  <c:v>1849220.5881250966</c:v>
                </c:pt>
                <c:pt idx="247">
                  <c:v>1849220.5881250966</c:v>
                </c:pt>
                <c:pt idx="248">
                  <c:v>1849220.5881250966</c:v>
                </c:pt>
                <c:pt idx="249">
                  <c:v>1849220.5881250966</c:v>
                </c:pt>
                <c:pt idx="250">
                  <c:v>1849220.5881250966</c:v>
                </c:pt>
                <c:pt idx="251">
                  <c:v>1849220.5881250966</c:v>
                </c:pt>
                <c:pt idx="252">
                  <c:v>1849220.5881250966</c:v>
                </c:pt>
                <c:pt idx="253">
                  <c:v>1849220.5881250966</c:v>
                </c:pt>
                <c:pt idx="254">
                  <c:v>1849220.5881250966</c:v>
                </c:pt>
                <c:pt idx="255">
                  <c:v>1849220.5881250966</c:v>
                </c:pt>
                <c:pt idx="256">
                  <c:v>1849220.5881250966</c:v>
                </c:pt>
                <c:pt idx="257">
                  <c:v>1849220.5881250966</c:v>
                </c:pt>
                <c:pt idx="258">
                  <c:v>1849220.5881250966</c:v>
                </c:pt>
                <c:pt idx="259">
                  <c:v>1849220.5881250966</c:v>
                </c:pt>
                <c:pt idx="260">
                  <c:v>1849220.5881250966</c:v>
                </c:pt>
                <c:pt idx="261">
                  <c:v>1849220.5881250966</c:v>
                </c:pt>
                <c:pt idx="262">
                  <c:v>1849220.5881250966</c:v>
                </c:pt>
                <c:pt idx="263">
                  <c:v>1849220.5881250966</c:v>
                </c:pt>
                <c:pt idx="264">
                  <c:v>1849220.5881250966</c:v>
                </c:pt>
                <c:pt idx="265">
                  <c:v>1849220.5881250966</c:v>
                </c:pt>
                <c:pt idx="266">
                  <c:v>1849220.5881250966</c:v>
                </c:pt>
                <c:pt idx="267">
                  <c:v>1849220.5881250966</c:v>
                </c:pt>
                <c:pt idx="268">
                  <c:v>1849220.5881250966</c:v>
                </c:pt>
                <c:pt idx="269">
                  <c:v>1849220.5881250966</c:v>
                </c:pt>
                <c:pt idx="270">
                  <c:v>1849220.5881250966</c:v>
                </c:pt>
                <c:pt idx="271">
                  <c:v>1849220.5881250966</c:v>
                </c:pt>
                <c:pt idx="272">
                  <c:v>1849220.5881250966</c:v>
                </c:pt>
                <c:pt idx="273">
                  <c:v>1849220.5881250966</c:v>
                </c:pt>
                <c:pt idx="274">
                  <c:v>1849220.5881250966</c:v>
                </c:pt>
                <c:pt idx="275">
                  <c:v>1849220.5881250966</c:v>
                </c:pt>
                <c:pt idx="276">
                  <c:v>1849220.5881250966</c:v>
                </c:pt>
                <c:pt idx="277">
                  <c:v>1849220.5881250966</c:v>
                </c:pt>
                <c:pt idx="278">
                  <c:v>1849220.5881250966</c:v>
                </c:pt>
                <c:pt idx="279">
                  <c:v>1849220.5881250966</c:v>
                </c:pt>
                <c:pt idx="280">
                  <c:v>1849220.5881250966</c:v>
                </c:pt>
                <c:pt idx="281">
                  <c:v>1849220.5881250966</c:v>
                </c:pt>
                <c:pt idx="282">
                  <c:v>1849220.5881250966</c:v>
                </c:pt>
                <c:pt idx="283">
                  <c:v>1849220.5881250966</c:v>
                </c:pt>
                <c:pt idx="284">
                  <c:v>1849220.5881250966</c:v>
                </c:pt>
                <c:pt idx="285">
                  <c:v>1849220.5881250966</c:v>
                </c:pt>
                <c:pt idx="286">
                  <c:v>1849220.5881250966</c:v>
                </c:pt>
                <c:pt idx="287">
                  <c:v>1849220.5881250966</c:v>
                </c:pt>
                <c:pt idx="288">
                  <c:v>1849220.5881250966</c:v>
                </c:pt>
                <c:pt idx="289">
                  <c:v>1849220.5881250966</c:v>
                </c:pt>
                <c:pt idx="290">
                  <c:v>1849220.5881250966</c:v>
                </c:pt>
                <c:pt idx="291">
                  <c:v>1849220.5881250966</c:v>
                </c:pt>
                <c:pt idx="292">
                  <c:v>1849220.5881250966</c:v>
                </c:pt>
                <c:pt idx="293">
                  <c:v>1849220.5881250966</c:v>
                </c:pt>
                <c:pt idx="294">
                  <c:v>1849220.5881250966</c:v>
                </c:pt>
                <c:pt idx="295">
                  <c:v>1849220.5881250966</c:v>
                </c:pt>
                <c:pt idx="296">
                  <c:v>1849220.5881250966</c:v>
                </c:pt>
                <c:pt idx="297">
                  <c:v>1849220.5881250966</c:v>
                </c:pt>
                <c:pt idx="298">
                  <c:v>1849220.5881250966</c:v>
                </c:pt>
                <c:pt idx="299">
                  <c:v>1849220.5881250966</c:v>
                </c:pt>
                <c:pt idx="300">
                  <c:v>1849220.5881250966</c:v>
                </c:pt>
                <c:pt idx="301">
                  <c:v>1849220.5881250966</c:v>
                </c:pt>
                <c:pt idx="302">
                  <c:v>1849220.5881250966</c:v>
                </c:pt>
                <c:pt idx="303">
                  <c:v>1849220.5881250966</c:v>
                </c:pt>
                <c:pt idx="304">
                  <c:v>1849220.5881250966</c:v>
                </c:pt>
                <c:pt idx="305">
                  <c:v>1849220.5881250966</c:v>
                </c:pt>
                <c:pt idx="306">
                  <c:v>1849220.5881250966</c:v>
                </c:pt>
                <c:pt idx="307">
                  <c:v>1849220.5881250966</c:v>
                </c:pt>
                <c:pt idx="308">
                  <c:v>1849220.5881250966</c:v>
                </c:pt>
                <c:pt idx="309">
                  <c:v>1849220.5881250966</c:v>
                </c:pt>
                <c:pt idx="310">
                  <c:v>1849220.5881250966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8" t="s">
        <v>57</v>
      </c>
      <c r="E47" s="728"/>
      <c r="F47" s="729"/>
      <c r="G47" s="67"/>
      <c r="I47" s="68"/>
      <c r="J47" s="68"/>
    </row>
    <row r="48" spans="1:49" ht="14.4" thickBot="1">
      <c r="C48" s="69">
        <v>44014</v>
      </c>
      <c r="D48" s="730"/>
      <c r="E48" s="730"/>
      <c r="F48" s="73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4414062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732" t="s">
        <v>58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2" t="s">
        <v>69</v>
      </c>
      <c r="C16" s="733"/>
      <c r="D16" s="733"/>
      <c r="E16" s="733"/>
      <c r="F16" s="73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3" zoomScale="85" zoomScaleNormal="85" workbookViewId="0">
      <selection activeCell="J57" sqref="J57"/>
    </sheetView>
  </sheetViews>
  <sheetFormatPr defaultColWidth="8.44140625" defaultRowHeight="13.8"/>
  <cols>
    <col min="1" max="1" width="1.44140625" style="112" customWidth="1"/>
    <col min="2" max="2" width="6.44140625" style="170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7" customWidth="1"/>
    <col min="7" max="7" width="13.5546875" style="64" customWidth="1"/>
    <col min="8" max="8" width="5" style="112" customWidth="1"/>
    <col min="9" max="9" width="12.554687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7.44140625" style="112" bestFit="1" customWidth="1"/>
    <col min="15" max="15" width="39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46087</v>
      </c>
      <c r="O1" s="404">
        <f ca="1">TODAY()</f>
        <v>46087</v>
      </c>
      <c r="Q1" s="3"/>
    </row>
    <row r="2" spans="2:28">
      <c r="B2" s="175"/>
      <c r="C2" s="176" t="s">
        <v>0</v>
      </c>
      <c r="D2" s="177"/>
      <c r="E2" s="714" t="s">
        <v>73</v>
      </c>
      <c r="F2" s="715"/>
      <c r="G2" s="715"/>
      <c r="H2" s="716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17" t="s">
        <v>76</v>
      </c>
      <c r="F4" s="718"/>
      <c r="G4" s="718"/>
      <c r="H4" s="719"/>
      <c r="J4" s="113"/>
      <c r="Q4" s="3"/>
    </row>
    <row r="5" spans="2:28" s="112" customFormat="1">
      <c r="B5" s="178"/>
      <c r="C5" s="179" t="s">
        <v>77</v>
      </c>
      <c r="D5" s="177"/>
      <c r="E5" s="717" t="s">
        <v>78</v>
      </c>
      <c r="F5" s="718"/>
      <c r="G5" s="718"/>
      <c r="H5" s="719"/>
      <c r="J5" s="113"/>
      <c r="Q5" s="3"/>
    </row>
    <row r="6" spans="2:28">
      <c r="B6" s="183"/>
      <c r="C6" s="184" t="s">
        <v>79</v>
      </c>
      <c r="D6" s="177"/>
      <c r="E6" s="720">
        <v>8147396</v>
      </c>
      <c r="F6" s="721"/>
      <c r="G6" s="721"/>
      <c r="H6" s="722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26" t="s">
        <v>81</v>
      </c>
      <c r="C8" s="727" t="s">
        <v>82</v>
      </c>
      <c r="D8" s="214"/>
      <c r="E8" s="725" t="s">
        <v>83</v>
      </c>
      <c r="F8" s="236" t="s">
        <v>84</v>
      </c>
      <c r="G8" s="725" t="s">
        <v>85</v>
      </c>
      <c r="H8" s="237"/>
      <c r="I8" s="725" t="s">
        <v>86</v>
      </c>
      <c r="J8" s="236" t="s">
        <v>84</v>
      </c>
      <c r="K8" s="725" t="s">
        <v>87</v>
      </c>
      <c r="M8" s="411" t="s">
        <v>60</v>
      </c>
      <c r="N8" s="411" t="s">
        <v>88</v>
      </c>
      <c r="O8" s="723" t="s">
        <v>89</v>
      </c>
      <c r="Z8" s="112"/>
      <c r="AA8" s="112"/>
      <c r="AB8" s="112"/>
    </row>
    <row r="9" spans="2:28">
      <c r="B9" s="726"/>
      <c r="C9" s="727"/>
      <c r="D9" s="214"/>
      <c r="E9" s="725"/>
      <c r="F9" s="126">
        <f>G41-E19</f>
        <v>80</v>
      </c>
      <c r="G9" s="725"/>
      <c r="H9" s="237"/>
      <c r="I9" s="725"/>
      <c r="J9" s="127">
        <f>K41-I19</f>
        <v>148</v>
      </c>
      <c r="K9" s="725"/>
      <c r="M9" s="361">
        <f>AVERAGE(M11,M18,M21,M28,M35,M39,M46,M43)</f>
        <v>0.99596774193548387</v>
      </c>
      <c r="N9" s="361">
        <f ca="1">AVERAGE(N11,N18,N21,N28,N35,N39,N46,N43)</f>
        <v>0.99596774193548387</v>
      </c>
      <c r="O9" s="724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146</v>
      </c>
      <c r="K46" s="245">
        <f>MAX(K47:K52)</f>
        <v>46090</v>
      </c>
      <c r="L46" s="114"/>
      <c r="M46" s="360">
        <f>(J47*M47+J48*M48+J49*M49+J50*M50+J51*M51+J52*M52)/SUM(J47:J52)</f>
        <v>0.967741935483871</v>
      </c>
      <c r="N46" s="360">
        <f ca="1">(J47*N47+J48*N48+J49*N49+J50*N50+J51*N51+J52*N52)/SUM(J47:J52)</f>
        <v>0.967741935483871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707" t="s">
        <v>141</v>
      </c>
      <c r="D51" s="708"/>
      <c r="E51" s="709">
        <f>WORKDAY.INTL(G50,0,1,Data!$C$3:$C$14)</f>
        <v>45887</v>
      </c>
      <c r="F51" s="710">
        <v>1</v>
      </c>
      <c r="G51" s="709">
        <f>WORKDAY.INTL(E51,F51,1,Data!$C$3:$C$14)</f>
        <v>45888</v>
      </c>
      <c r="H51" s="711"/>
      <c r="I51" s="709">
        <v>46087</v>
      </c>
      <c r="J51" s="710">
        <v>1</v>
      </c>
      <c r="K51" s="709">
        <f>WORKDAY.INTL(I51,J51,1,Data!$C$3:$C$14)</f>
        <v>46090</v>
      </c>
      <c r="L51" s="712"/>
      <c r="M51" s="253">
        <v>0</v>
      </c>
      <c r="N51" s="713">
        <f t="shared" ca="1" si="7"/>
        <v>0</v>
      </c>
      <c r="O51" s="122"/>
      <c r="Y51" s="24"/>
    </row>
    <row r="52" spans="2:28">
      <c r="B52" s="247">
        <v>8.6</v>
      </c>
      <c r="C52" s="242" t="s">
        <v>142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143</v>
      </c>
    </row>
    <row r="56" spans="2:28">
      <c r="B56" s="166"/>
      <c r="C56" s="112"/>
      <c r="E56" s="112"/>
      <c r="G56" s="113"/>
      <c r="O56" s="112" t="s">
        <v>144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88671875" style="129" bestFit="1" customWidth="1"/>
    <col min="8" max="8" width="18.109375" style="129" bestFit="1" customWidth="1"/>
    <col min="9" max="9" width="1.44140625" style="129" customWidth="1"/>
    <col min="10" max="10" width="3.44140625" style="93" customWidth="1"/>
    <col min="11" max="11" width="1.44140625" style="174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5546875" style="129" bestFit="1" customWidth="1"/>
    <col min="17" max="17" width="15.33203125" style="129" bestFit="1" customWidth="1"/>
    <col min="18" max="18" width="20" style="129" customWidth="1"/>
    <col min="19" max="19" width="16.44140625" style="93" bestFit="1" customWidth="1"/>
    <col min="20" max="20" width="19.5546875" style="129" bestFit="1" customWidth="1"/>
    <col min="21" max="21" width="15.332031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2">
      <c r="B3" s="117"/>
      <c r="D3" s="125" t="s">
        <v>146</v>
      </c>
      <c r="F3" s="125" t="s">
        <v>147</v>
      </c>
      <c r="J3" s="140"/>
      <c r="L3" s="409" t="s">
        <v>148</v>
      </c>
      <c r="N3" s="409" t="s">
        <v>149</v>
      </c>
      <c r="P3" s="688" t="s">
        <v>150</v>
      </c>
      <c r="Q3" s="688" t="s">
        <v>151</v>
      </c>
      <c r="R3" s="688" t="s">
        <v>152</v>
      </c>
      <c r="S3" s="688" t="s">
        <v>153</v>
      </c>
      <c r="T3" s="688" t="s">
        <v>154</v>
      </c>
      <c r="U3" s="688" t="s">
        <v>155</v>
      </c>
    </row>
    <row r="4" spans="1:21" s="93" customFormat="1" ht="13.2">
      <c r="B4" s="351">
        <v>1</v>
      </c>
      <c r="C4" s="352" t="s">
        <v>156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157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254161.61051048408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254161.61051048408</v>
      </c>
    </row>
    <row r="5" spans="1:21" s="93" customFormat="1" ht="15" customHeight="1">
      <c r="B5" s="351">
        <v>2</v>
      </c>
      <c r="C5" s="352" t="s">
        <v>158</v>
      </c>
      <c r="D5" s="353">
        <f>+'Expenditure Tracking'!F5</f>
        <v>7645523.4258923894</v>
      </c>
      <c r="E5" s="354"/>
      <c r="F5" s="353">
        <f>+'Expenditure Tracking'!H5</f>
        <v>6306512.9118749052</v>
      </c>
      <c r="G5" s="705" t="s">
        <v>159</v>
      </c>
      <c r="H5" s="705" t="s">
        <v>160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161</v>
      </c>
      <c r="D6" s="353">
        <f>+D4-D5</f>
        <v>501872.57410761062</v>
      </c>
      <c r="E6" s="354"/>
      <c r="F6" s="353">
        <f>+F4-F5</f>
        <v>1849220.5881250957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162</v>
      </c>
    </row>
    <row r="7" spans="1:21" s="93" customFormat="1" ht="15" customHeight="1" thickBot="1">
      <c r="B7" s="351">
        <v>4</v>
      </c>
      <c r="C7" s="352" t="s">
        <v>163</v>
      </c>
      <c r="D7" s="355">
        <f>+D6/D4</f>
        <v>6.1599138437313052E-2</v>
      </c>
      <c r="E7" s="354"/>
      <c r="F7" s="355">
        <f>+F6/F4</f>
        <v>0.22673872167660891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2">
      <c r="B10" s="128" t="s">
        <v>164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4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6" t="s">
        <v>168</v>
      </c>
      <c r="J12" s="140"/>
      <c r="L12" s="165" t="s">
        <v>169</v>
      </c>
      <c r="M12" s="134"/>
      <c r="N12" s="165" t="s">
        <v>170</v>
      </c>
      <c r="O12" s="129"/>
      <c r="P12" s="165" t="s">
        <v>171</v>
      </c>
      <c r="R12" s="378" t="s">
        <v>172</v>
      </c>
    </row>
    <row r="13" spans="1:21" s="93" customFormat="1" ht="13.2">
      <c r="B13" s="351">
        <v>1</v>
      </c>
      <c r="C13" s="737" t="s">
        <v>173</v>
      </c>
      <c r="D13" s="738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174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3.2">
      <c r="B14" s="153">
        <v>2</v>
      </c>
      <c r="C14" s="737" t="s">
        <v>175</v>
      </c>
      <c r="D14" s="738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174</v>
      </c>
      <c r="N14" s="138">
        <v>45778</v>
      </c>
      <c r="O14" s="129"/>
      <c r="P14" s="138">
        <v>45821</v>
      </c>
      <c r="R14" s="379"/>
    </row>
    <row r="15" spans="1:21" s="93" customFormat="1" ht="13.2">
      <c r="B15" s="351">
        <v>3</v>
      </c>
      <c r="C15" s="737" t="s">
        <v>176</v>
      </c>
      <c r="D15" s="738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174</v>
      </c>
      <c r="N15" s="138">
        <v>45778</v>
      </c>
      <c r="O15" s="129"/>
      <c r="P15" s="138">
        <v>45821</v>
      </c>
      <c r="R15" s="379"/>
    </row>
    <row r="16" spans="1:21" s="93" customFormat="1" ht="13.2">
      <c r="B16" s="351">
        <v>4</v>
      </c>
      <c r="C16" s="735" t="s">
        <v>177</v>
      </c>
      <c r="D16" s="736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174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3.2">
      <c r="B17" s="351">
        <v>5</v>
      </c>
      <c r="C17" s="735" t="s">
        <v>178</v>
      </c>
      <c r="D17" s="736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174</v>
      </c>
      <c r="N17" s="138">
        <v>45778</v>
      </c>
      <c r="O17" s="129"/>
      <c r="P17" s="138">
        <v>45954</v>
      </c>
      <c r="R17" s="379"/>
    </row>
    <row r="18" spans="2:18" s="93" customFormat="1" ht="13.2">
      <c r="B18" s="351">
        <v>6</v>
      </c>
      <c r="C18" s="735" t="s">
        <v>54</v>
      </c>
      <c r="D18" s="736"/>
      <c r="E18" s="135">
        <v>0.05</v>
      </c>
      <c r="F18" s="136">
        <f t="shared" si="0"/>
        <v>407369.80000000005</v>
      </c>
      <c r="G18" s="354"/>
      <c r="H18" s="138">
        <f>'Project Plan'!K51+7</f>
        <v>46097</v>
      </c>
      <c r="J18" s="140"/>
      <c r="L18" s="368" t="s">
        <v>174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3.2">
      <c r="B19" s="351">
        <v>7</v>
      </c>
      <c r="C19" s="737" t="s">
        <v>179</v>
      </c>
      <c r="D19" s="738"/>
      <c r="E19" s="135">
        <v>0</v>
      </c>
      <c r="F19" s="136">
        <v>8337.5</v>
      </c>
      <c r="G19" s="354"/>
      <c r="H19" s="138">
        <v>45876</v>
      </c>
      <c r="J19" s="140"/>
      <c r="L19" s="368" t="s">
        <v>180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2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181</v>
      </c>
      <c r="C23" s="144" t="s">
        <v>182</v>
      </c>
      <c r="D23" s="144"/>
      <c r="F23" s="145"/>
    </row>
    <row r="24" spans="2:18" s="93" customFormat="1" ht="13.2">
      <c r="C24" s="146" t="s">
        <v>183</v>
      </c>
      <c r="D24" s="147"/>
      <c r="F24" s="148"/>
    </row>
    <row r="25" spans="2:18" s="93" customFormat="1" ht="13.2">
      <c r="C25" s="146" t="s">
        <v>184</v>
      </c>
      <c r="D25" s="147"/>
    </row>
    <row r="26" spans="2:18" s="93" customFormat="1" ht="13.2">
      <c r="C26" s="149" t="s">
        <v>185</v>
      </c>
      <c r="D26" s="150"/>
    </row>
    <row r="27" spans="2:18" s="93" customFormat="1" ht="13.2">
      <c r="C27" s="151" t="s">
        <v>186</v>
      </c>
      <c r="D27" s="147"/>
    </row>
    <row r="28" spans="2:18" s="93" customFormat="1" ht="13.2">
      <c r="B28" s="117"/>
      <c r="C28" s="151" t="s">
        <v>187</v>
      </c>
      <c r="D28" s="147"/>
    </row>
    <row r="29" spans="2:18" s="93" customFormat="1" ht="13.2">
      <c r="B29" s="117"/>
      <c r="C29" s="93" t="s">
        <v>188</v>
      </c>
    </row>
    <row r="30" spans="2:18" s="93" customFormat="1" ht="27.75" customHeight="1">
      <c r="B30" s="117"/>
      <c r="C30" s="152" t="s">
        <v>189</v>
      </c>
      <c r="D30" s="152"/>
      <c r="F30" s="148"/>
    </row>
    <row r="31" spans="2:18" s="93" customFormat="1" ht="13.2">
      <c r="B31" s="117"/>
      <c r="F31" s="145"/>
    </row>
    <row r="32" spans="2:18" s="93" customFormat="1" ht="13.2">
      <c r="B32" s="117"/>
      <c r="F32" s="145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3">
        <v>1</v>
      </c>
      <c r="C41" s="154" t="s">
        <v>190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175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176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191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192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8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8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213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39"/>
      <c r="C4" s="739"/>
      <c r="D4" s="739"/>
      <c r="E4" s="413"/>
      <c r="F4" s="219" t="s">
        <v>146</v>
      </c>
      <c r="G4" s="214"/>
      <c r="H4" s="219" t="s">
        <v>147</v>
      </c>
      <c r="I4" s="214"/>
      <c r="J4" s="220" t="s">
        <v>214</v>
      </c>
      <c r="K4" s="112"/>
      <c r="L4" s="112"/>
    </row>
    <row r="5" spans="1:12" ht="14.4" thickBot="1">
      <c r="A5" s="214"/>
      <c r="B5" s="740" t="s">
        <v>215</v>
      </c>
      <c r="C5" s="740"/>
      <c r="D5" s="740"/>
      <c r="E5" s="413"/>
      <c r="F5" s="221">
        <f>SUM(F9:F23)</f>
        <v>7645523.4258923894</v>
      </c>
      <c r="G5" s="216"/>
      <c r="H5" s="221">
        <f>SUM(H9:H23)</f>
        <v>6306512.9118749052</v>
      </c>
      <c r="I5" s="214"/>
      <c r="J5" s="222">
        <f>SUM(J9:J23)</f>
        <v>1339010.5140174848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216</v>
      </c>
      <c r="E7" s="225"/>
      <c r="F7" s="226" t="s">
        <v>217</v>
      </c>
      <c r="G7" s="227"/>
      <c r="H7" s="226" t="s">
        <v>218</v>
      </c>
      <c r="I7" s="227"/>
      <c r="J7" s="226" t="s">
        <v>219</v>
      </c>
      <c r="K7" s="171"/>
      <c r="L7" s="115" t="s">
        <v>220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1225472.56</v>
      </c>
      <c r="I23" s="89"/>
      <c r="J23" s="231">
        <f t="shared" si="0"/>
        <v>274527.43999999994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221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L1" zoomScale="55" zoomScaleNormal="55" workbookViewId="0">
      <pane ySplit="4" topLeftCell="A131" activePane="bottomLeft" state="frozen"/>
      <selection activeCell="X33" sqref="X33"/>
      <selection pane="bottomLeft" activeCell="R152" sqref="R152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112" hidden="1" customWidth="1"/>
    <col min="9" max="9" width="22.33203125" style="349" hidden="1" customWidth="1"/>
    <col min="10" max="10" width="22.44140625" style="349" bestFit="1" customWidth="1"/>
    <col min="11" max="12" width="5.5546875" style="112" customWidth="1"/>
    <col min="13" max="13" width="25.5546875" style="112" customWidth="1"/>
    <col min="14" max="14" width="48.33203125" style="112" customWidth="1"/>
    <col min="15" max="15" width="15.5546875" style="112" customWidth="1"/>
    <col min="16" max="17" width="17.44140625" style="112" customWidth="1"/>
    <col min="18" max="18" width="48" style="112" bestFit="1" customWidth="1"/>
    <col min="19" max="19" width="40.441406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91" t="s">
        <v>222</v>
      </c>
      <c r="C2" s="792"/>
      <c r="D2" s="792"/>
      <c r="E2" s="792"/>
      <c r="F2" s="792"/>
      <c r="G2" s="792"/>
      <c r="H2" s="683"/>
      <c r="I2" s="257">
        <f>SUM(I6:I169)</f>
        <v>7645523.4258923894</v>
      </c>
      <c r="J2" s="257">
        <f>SUM(J6:J169)</f>
        <v>8147396.3388843061</v>
      </c>
      <c r="L2" s="793" t="s">
        <v>223</v>
      </c>
      <c r="M2" s="794"/>
      <c r="N2" s="794"/>
      <c r="O2" s="794"/>
      <c r="P2" s="794"/>
      <c r="Q2" s="794"/>
      <c r="R2" s="795" t="s">
        <v>224</v>
      </c>
      <c r="S2" s="796"/>
      <c r="T2" s="796"/>
      <c r="U2" s="796"/>
      <c r="V2" s="796"/>
      <c r="W2" s="797"/>
      <c r="X2" s="478">
        <f>SUM(X6:X169)</f>
        <v>6306512.9118749052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225</v>
      </c>
      <c r="C4" s="259" t="s">
        <v>226</v>
      </c>
      <c r="D4" s="259" t="s">
        <v>227</v>
      </c>
      <c r="E4" s="259" t="s">
        <v>228</v>
      </c>
      <c r="F4" s="465" t="s">
        <v>229</v>
      </c>
      <c r="G4" s="260" t="s">
        <v>230</v>
      </c>
      <c r="H4" s="371" t="s">
        <v>231</v>
      </c>
      <c r="I4" s="261" t="s">
        <v>232</v>
      </c>
      <c r="J4" s="261" t="str">
        <f>IF(J2-'Revenue Tracking'!D4&gt;=0, "Total Revenue", "ERROR on REV" )</f>
        <v>Total Revenue</v>
      </c>
      <c r="K4" s="164"/>
      <c r="L4" s="258" t="s">
        <v>225</v>
      </c>
      <c r="M4" s="259" t="s">
        <v>233</v>
      </c>
      <c r="N4" s="259" t="s">
        <v>227</v>
      </c>
      <c r="O4" s="259" t="s">
        <v>228</v>
      </c>
      <c r="P4" s="465" t="s">
        <v>229</v>
      </c>
      <c r="Q4" s="373" t="s">
        <v>234</v>
      </c>
      <c r="R4" s="621" t="s">
        <v>235</v>
      </c>
      <c r="S4" s="622" t="s">
        <v>169</v>
      </c>
      <c r="T4" s="371" t="s">
        <v>170</v>
      </c>
      <c r="U4" s="372" t="s">
        <v>236</v>
      </c>
      <c r="V4" s="373" t="s">
        <v>237</v>
      </c>
      <c r="W4" s="371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238</v>
      </c>
      <c r="D6" s="281" t="s">
        <v>239</v>
      </c>
      <c r="E6" s="282"/>
      <c r="F6" s="437"/>
      <c r="G6" s="391">
        <f>D170</f>
        <v>1820133.76</v>
      </c>
      <c r="H6" s="534">
        <v>45834</v>
      </c>
      <c r="I6" s="750">
        <f>SUM(G6:G11)</f>
        <v>1820133.76</v>
      </c>
      <c r="J6" s="750">
        <f>F170</f>
        <v>1978406.2608695652</v>
      </c>
      <c r="K6" s="388"/>
      <c r="L6" s="280">
        <v>1</v>
      </c>
      <c r="M6" s="417" t="s">
        <v>240</v>
      </c>
      <c r="N6" s="281" t="s">
        <v>241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242</v>
      </c>
      <c r="S6" s="624" t="s">
        <v>243</v>
      </c>
      <c r="T6" s="644">
        <v>45777</v>
      </c>
      <c r="U6" s="650">
        <v>1978406.2608695652</v>
      </c>
      <c r="V6" s="759">
        <f>J6-SUM(U6:U11)</f>
        <v>0</v>
      </c>
      <c r="W6" s="534">
        <v>45834</v>
      </c>
      <c r="X6" s="747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244</v>
      </c>
      <c r="E7" s="390"/>
      <c r="F7" s="459"/>
      <c r="G7" s="314"/>
      <c r="H7" s="572"/>
      <c r="I7" s="751"/>
      <c r="J7" s="751"/>
      <c r="K7" s="287"/>
      <c r="L7" s="310">
        <v>1</v>
      </c>
      <c r="M7" s="312" t="s">
        <v>240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60"/>
      <c r="W7" s="572"/>
      <c r="X7" s="74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51"/>
      <c r="J8" s="751"/>
      <c r="K8" s="287"/>
      <c r="L8" s="310">
        <v>1</v>
      </c>
      <c r="M8" s="312" t="s">
        <v>240</v>
      </c>
      <c r="N8" s="485"/>
      <c r="O8" s="551"/>
      <c r="P8" s="444"/>
      <c r="Q8" s="314">
        <v>4101.3999999999996</v>
      </c>
      <c r="R8" s="588"/>
      <c r="S8" s="625" t="s">
        <v>245</v>
      </c>
      <c r="T8" s="645">
        <v>45930</v>
      </c>
      <c r="U8" s="502">
        <v>0</v>
      </c>
      <c r="V8" s="760"/>
      <c r="W8" s="649">
        <v>45980</v>
      </c>
      <c r="X8" s="74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1"/>
      <c r="J9" s="751"/>
      <c r="K9" s="287"/>
      <c r="L9" s="310">
        <v>1</v>
      </c>
      <c r="M9" s="312" t="s">
        <v>240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60"/>
      <c r="W9" s="573"/>
      <c r="X9" s="74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1"/>
      <c r="J10" s="751"/>
      <c r="K10" s="287"/>
      <c r="L10" s="310">
        <v>1</v>
      </c>
      <c r="M10" s="312" t="s">
        <v>240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60"/>
      <c r="W10" s="573"/>
      <c r="X10" s="748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2"/>
      <c r="J11" s="752"/>
      <c r="K11" s="288"/>
      <c r="L11" s="315">
        <v>1</v>
      </c>
      <c r="M11" s="419" t="s">
        <v>240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61"/>
      <c r="W11" s="574"/>
      <c r="X11" s="749"/>
      <c r="Y11" s="605" t="s">
        <v>246</v>
      </c>
      <c r="Z11" s="606" t="s">
        <v>247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248</v>
      </c>
      <c r="Z12" s="608">
        <f>G56</f>
        <v>1125717.3173913043</v>
      </c>
    </row>
    <row r="13" spans="1:76" ht="14.25" customHeight="1">
      <c r="B13" s="292">
        <v>2</v>
      </c>
      <c r="C13" s="318" t="s">
        <v>249</v>
      </c>
      <c r="D13" s="318" t="s">
        <v>250</v>
      </c>
      <c r="E13" s="364"/>
      <c r="F13" s="457"/>
      <c r="G13" s="295">
        <f>D171</f>
        <v>490000</v>
      </c>
      <c r="H13" s="537">
        <v>45983</v>
      </c>
      <c r="I13" s="767">
        <f>SUM(G13:G19)</f>
        <v>490000</v>
      </c>
      <c r="J13" s="767">
        <f>F171</f>
        <v>532608.69565217395</v>
      </c>
      <c r="K13" s="296"/>
      <c r="L13" s="292">
        <v>2</v>
      </c>
      <c r="M13" s="420" t="s">
        <v>251</v>
      </c>
      <c r="N13" s="318" t="s">
        <v>252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253</v>
      </c>
      <c r="S13" s="629" t="s">
        <v>254</v>
      </c>
      <c r="T13" s="659">
        <f>IF(W13&gt;1,EOMONTH(W13,-2),"")</f>
        <v>45808</v>
      </c>
      <c r="U13" s="660">
        <v>532608.69565217395</v>
      </c>
      <c r="V13" s="785">
        <f>J13-SUM(U13:U19)</f>
        <v>0</v>
      </c>
      <c r="W13" s="537">
        <f>'Project Plan'!I22+60</f>
        <v>45866</v>
      </c>
      <c r="X13" s="770">
        <f>SUM(Q13:Q19)</f>
        <v>482092.45000000007</v>
      </c>
      <c r="Y13" s="607" t="s">
        <v>255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68"/>
      <c r="J14" s="768"/>
      <c r="K14" s="300"/>
      <c r="L14" s="297">
        <v>2</v>
      </c>
      <c r="M14" s="426" t="s">
        <v>251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86"/>
      <c r="W14" s="577"/>
      <c r="X14" s="771"/>
      <c r="Y14" s="607" t="s">
        <v>256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68"/>
      <c r="J15" s="768"/>
      <c r="K15" s="300"/>
      <c r="L15" s="297">
        <v>2</v>
      </c>
      <c r="M15" s="426" t="s">
        <v>251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86"/>
      <c r="W15" s="577"/>
      <c r="X15" s="771"/>
      <c r="Y15" s="607" t="s">
        <v>257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68"/>
      <c r="J16" s="768"/>
      <c r="K16" s="300"/>
      <c r="L16" s="297">
        <v>2</v>
      </c>
      <c r="M16" s="426" t="s">
        <v>251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86"/>
      <c r="W16" s="577"/>
      <c r="X16" s="771"/>
      <c r="Y16" s="607" t="s">
        <v>258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68"/>
      <c r="J17" s="768"/>
      <c r="K17" s="300"/>
      <c r="L17" s="297">
        <v>2</v>
      </c>
      <c r="M17" s="426" t="s">
        <v>251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86"/>
      <c r="W17" s="577"/>
      <c r="X17" s="771"/>
      <c r="Y17" s="607" t="s">
        <v>259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68"/>
      <c r="J18" s="768"/>
      <c r="K18" s="300"/>
      <c r="L18" s="297">
        <v>2</v>
      </c>
      <c r="M18" s="426" t="s">
        <v>251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86"/>
      <c r="W18" s="577"/>
      <c r="X18" s="771"/>
      <c r="Y18" s="607" t="s">
        <v>260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69"/>
      <c r="J19" s="769"/>
      <c r="K19" s="305"/>
      <c r="L19" s="395">
        <v>2</v>
      </c>
      <c r="M19" s="421" t="s">
        <v>251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87"/>
      <c r="W19" s="578"/>
      <c r="X19" s="772"/>
      <c r="Y19" s="607" t="s">
        <v>261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262</v>
      </c>
      <c r="D21" s="326" t="s">
        <v>263</v>
      </c>
      <c r="E21" s="282"/>
      <c r="F21" s="437"/>
      <c r="G21" s="283">
        <f>D172</f>
        <v>376992</v>
      </c>
      <c r="H21" s="539">
        <v>45835</v>
      </c>
      <c r="I21" s="750">
        <f>SUM(G21:G26)</f>
        <v>376992</v>
      </c>
      <c r="J21" s="750">
        <f>F172</f>
        <v>409773.91304347827</v>
      </c>
      <c r="K21" s="284"/>
      <c r="L21" s="280">
        <v>3</v>
      </c>
      <c r="M21" s="422" t="s">
        <v>264</v>
      </c>
      <c r="N21" s="326" t="s">
        <v>265</v>
      </c>
      <c r="O21" s="549"/>
      <c r="P21" s="437"/>
      <c r="Q21" s="283">
        <v>160486.6</v>
      </c>
      <c r="R21" s="595" t="s">
        <v>266</v>
      </c>
      <c r="S21" s="632" t="s">
        <v>267</v>
      </c>
      <c r="T21" s="655">
        <f>IF(W21&gt;1,EOMONTH(W21,-1),"")</f>
        <v>45808</v>
      </c>
      <c r="U21" s="663">
        <v>369382.84224959463</v>
      </c>
      <c r="V21" s="759">
        <f>J21-SUM(U21:U26)</f>
        <v>-3.4675512579269707E-3</v>
      </c>
      <c r="W21" s="539">
        <v>45835</v>
      </c>
      <c r="X21" s="747">
        <f>SUM(Q21:Q26)</f>
        <v>171482</v>
      </c>
      <c r="Y21" s="607" t="s">
        <v>268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51"/>
      <c r="J22" s="751"/>
      <c r="K22" s="287"/>
      <c r="L22" s="310">
        <v>3</v>
      </c>
      <c r="M22" s="423" t="s">
        <v>264</v>
      </c>
      <c r="N22" s="327" t="s">
        <v>269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270</v>
      </c>
      <c r="T22" s="645">
        <v>45808</v>
      </c>
      <c r="U22" s="664">
        <v>22905.950067282665</v>
      </c>
      <c r="V22" s="760"/>
      <c r="W22" s="535">
        <f>T22</f>
        <v>45808</v>
      </c>
      <c r="X22" s="748"/>
      <c r="Y22" s="607" t="s">
        <v>192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1"/>
      <c r="J23" s="751"/>
      <c r="K23" s="287"/>
      <c r="L23" s="310">
        <v>3</v>
      </c>
      <c r="M23" s="423" t="s">
        <v>264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60"/>
      <c r="W23" s="572"/>
      <c r="X23" s="748"/>
      <c r="Y23" s="607" t="s">
        <v>271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51"/>
      <c r="J24" s="751"/>
      <c r="K24" s="287"/>
      <c r="L24" s="310">
        <v>3</v>
      </c>
      <c r="M24" s="423" t="s">
        <v>264</v>
      </c>
      <c r="N24" s="385" t="s">
        <v>272</v>
      </c>
      <c r="O24" s="551"/>
      <c r="P24" s="444"/>
      <c r="Q24" s="386">
        <v>1043.4000000000001</v>
      </c>
      <c r="R24" s="588"/>
      <c r="S24" s="589" t="s">
        <v>273</v>
      </c>
      <c r="T24" s="654">
        <v>45808</v>
      </c>
      <c r="U24" s="665">
        <v>2401.5341941522038</v>
      </c>
      <c r="V24" s="760"/>
      <c r="W24" s="536">
        <v>45835</v>
      </c>
      <c r="X24" s="748"/>
      <c r="Y24" s="612" t="s">
        <v>274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1"/>
      <c r="J25" s="751"/>
      <c r="K25" s="287"/>
      <c r="L25" s="310">
        <v>3</v>
      </c>
      <c r="M25" s="423" t="s">
        <v>264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60"/>
      <c r="W25" s="573"/>
      <c r="X25" s="748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2"/>
      <c r="J26" s="752"/>
      <c r="K26" s="288"/>
      <c r="L26" s="315">
        <v>3</v>
      </c>
      <c r="M26" s="424" t="s">
        <v>264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61"/>
      <c r="W26" s="574"/>
      <c r="X26" s="749"/>
      <c r="Y26" s="613" t="s">
        <v>275</v>
      </c>
      <c r="Z26" s="614" t="s">
        <v>276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255</v>
      </c>
      <c r="D28" s="293" t="s">
        <v>277</v>
      </c>
      <c r="E28" s="364">
        <f>G28/14*1.15</f>
        <v>22390.5</v>
      </c>
      <c r="F28" s="457"/>
      <c r="G28" s="295">
        <v>272580</v>
      </c>
      <c r="H28" s="675">
        <v>45867</v>
      </c>
      <c r="I28" s="767">
        <f>SUM(G28:G43)</f>
        <v>671877.8</v>
      </c>
      <c r="J28" s="767">
        <f>F173</f>
        <v>730301.95652173914</v>
      </c>
      <c r="K28" s="296"/>
      <c r="L28" s="292">
        <v>4</v>
      </c>
      <c r="M28" s="425" t="s">
        <v>278</v>
      </c>
      <c r="N28" s="293" t="s">
        <v>279</v>
      </c>
      <c r="O28" s="546">
        <v>22000</v>
      </c>
      <c r="P28" s="457">
        <v>13.4</v>
      </c>
      <c r="Q28" s="295">
        <f>O28*P28</f>
        <v>294800</v>
      </c>
      <c r="R28" s="592" t="s">
        <v>253</v>
      </c>
      <c r="S28" s="629" t="s">
        <v>254</v>
      </c>
      <c r="T28" s="659">
        <f>T13</f>
        <v>45808</v>
      </c>
      <c r="U28" s="660">
        <v>304011.10414743284</v>
      </c>
      <c r="V28" s="785">
        <f>J28-SUM(U28:U43)</f>
        <v>-2.4829556932672858E-3</v>
      </c>
      <c r="W28" s="675">
        <v>45867</v>
      </c>
      <c r="X28" s="770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280</v>
      </c>
      <c r="E29" s="394"/>
      <c r="F29" s="453"/>
      <c r="G29" s="641">
        <f>D173-G28</f>
        <v>399297.80000000005</v>
      </c>
      <c r="H29" s="675">
        <v>45867</v>
      </c>
      <c r="I29" s="768"/>
      <c r="J29" s="768"/>
      <c r="K29" s="300"/>
      <c r="L29" s="297">
        <v>4</v>
      </c>
      <c r="M29" s="426" t="s">
        <v>278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86"/>
      <c r="W29" s="577"/>
      <c r="X29" s="771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68"/>
      <c r="J30" s="768"/>
      <c r="K30" s="300"/>
      <c r="L30" s="297">
        <v>4</v>
      </c>
      <c r="M30" s="426" t="s">
        <v>278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86"/>
      <c r="W30" s="577"/>
      <c r="X30" s="771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68"/>
      <c r="J31" s="768"/>
      <c r="K31" s="300"/>
      <c r="L31" s="297">
        <v>4</v>
      </c>
      <c r="M31" s="426" t="s">
        <v>278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86"/>
      <c r="W31" s="577"/>
      <c r="X31" s="771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68"/>
      <c r="J32" s="768"/>
      <c r="K32" s="300"/>
      <c r="L32" s="297">
        <v>4</v>
      </c>
      <c r="M32" s="426" t="s">
        <v>278</v>
      </c>
      <c r="N32" s="408" t="s">
        <v>281</v>
      </c>
      <c r="O32" s="566">
        <v>413374.84573918878</v>
      </c>
      <c r="P32" s="567">
        <v>0.1</v>
      </c>
      <c r="Q32" s="299">
        <f>$O$32*P32</f>
        <v>41337.484573918882</v>
      </c>
      <c r="R32" s="788" t="s">
        <v>282</v>
      </c>
      <c r="S32" s="630" t="s">
        <v>283</v>
      </c>
      <c r="T32" s="652">
        <f t="shared" si="0"/>
        <v>45808</v>
      </c>
      <c r="U32" s="661">
        <v>42629.085237430641</v>
      </c>
      <c r="V32" s="786"/>
      <c r="W32" s="538">
        <f>W93</f>
        <v>45792</v>
      </c>
      <c r="X32" s="771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68"/>
      <c r="J33" s="768"/>
      <c r="K33" s="300"/>
      <c r="L33" s="297">
        <v>4</v>
      </c>
      <c r="M33" s="426" t="s">
        <v>278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89"/>
      <c r="S33" s="630" t="s">
        <v>283</v>
      </c>
      <c r="T33" s="652">
        <f t="shared" si="0"/>
        <v>45808</v>
      </c>
      <c r="U33" s="661">
        <v>63943.62785614594</v>
      </c>
      <c r="V33" s="786"/>
      <c r="W33" s="538">
        <f t="shared" ref="W33:W35" si="4">W94</f>
        <v>45806</v>
      </c>
      <c r="X33" s="771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68"/>
      <c r="J34" s="768"/>
      <c r="K34" s="300"/>
      <c r="L34" s="297">
        <v>4</v>
      </c>
      <c r="M34" s="426" t="s">
        <v>278</v>
      </c>
      <c r="N34" s="408" t="s">
        <v>284</v>
      </c>
      <c r="O34" s="555"/>
      <c r="P34" s="567">
        <v>0.2</v>
      </c>
      <c r="Q34" s="299">
        <f t="shared" si="3"/>
        <v>82674.969147837764</v>
      </c>
      <c r="R34" s="789"/>
      <c r="S34" s="630" t="s">
        <v>285</v>
      </c>
      <c r="T34" s="652">
        <v>45869</v>
      </c>
      <c r="U34" s="661">
        <v>85258.16995927284</v>
      </c>
      <c r="V34" s="786"/>
      <c r="W34" s="538">
        <v>45899</v>
      </c>
      <c r="X34" s="771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68"/>
      <c r="J35" s="768"/>
      <c r="K35" s="300"/>
      <c r="L35" s="297">
        <v>4</v>
      </c>
      <c r="M35" s="426" t="s">
        <v>278</v>
      </c>
      <c r="N35" s="408" t="s">
        <v>286</v>
      </c>
      <c r="O35" s="555"/>
      <c r="P35" s="673">
        <v>0.125</v>
      </c>
      <c r="Q35" s="299">
        <v>51671.86</v>
      </c>
      <c r="R35" s="789"/>
      <c r="S35" s="630" t="str">
        <f>S96</f>
        <v>Thula Moya IN04776</v>
      </c>
      <c r="T35" s="652">
        <v>45869</v>
      </c>
      <c r="U35" s="661">
        <v>53286.360640957908</v>
      </c>
      <c r="V35" s="786"/>
      <c r="W35" s="538">
        <f t="shared" si="4"/>
        <v>45849</v>
      </c>
      <c r="X35" s="771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68"/>
      <c r="J36" s="768"/>
      <c r="K36" s="300"/>
      <c r="L36" s="297">
        <v>4</v>
      </c>
      <c r="M36" s="426" t="s">
        <v>278</v>
      </c>
      <c r="N36" s="408" t="s">
        <v>286</v>
      </c>
      <c r="O36" s="555"/>
      <c r="P36" s="673">
        <v>0.125</v>
      </c>
      <c r="Q36" s="299">
        <f>O32*P36</f>
        <v>51671.855717398597</v>
      </c>
      <c r="R36" s="789"/>
      <c r="S36" s="630" t="s">
        <v>287</v>
      </c>
      <c r="T36" s="652">
        <v>45900</v>
      </c>
      <c r="U36" s="661">
        <v>53286.356224545518</v>
      </c>
      <c r="V36" s="786"/>
      <c r="W36" s="687">
        <f>W97</f>
        <v>45932</v>
      </c>
      <c r="X36" s="771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68"/>
      <c r="J37" s="768"/>
      <c r="K37" s="300"/>
      <c r="L37" s="297">
        <v>4</v>
      </c>
      <c r="M37" s="426" t="s">
        <v>278</v>
      </c>
      <c r="N37" s="408" t="s">
        <v>177</v>
      </c>
      <c r="O37" s="555"/>
      <c r="P37" s="567">
        <v>0.1</v>
      </c>
      <c r="Q37" s="299">
        <f t="shared" si="3"/>
        <v>41337.484573918882</v>
      </c>
      <c r="R37" s="789"/>
      <c r="S37" s="630" t="s">
        <v>288</v>
      </c>
      <c r="T37" s="652">
        <v>45900</v>
      </c>
      <c r="U37" s="661">
        <v>42629.08497963642</v>
      </c>
      <c r="V37" s="786"/>
      <c r="W37" s="687">
        <f>W98</f>
        <v>45946</v>
      </c>
      <c r="X37" s="771"/>
      <c r="Y37" s="615" t="s">
        <v>268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68"/>
      <c r="J38" s="768"/>
      <c r="K38" s="300"/>
      <c r="L38" s="297">
        <v>4</v>
      </c>
      <c r="M38" s="426" t="s">
        <v>278</v>
      </c>
      <c r="N38" s="408" t="s">
        <v>289</v>
      </c>
      <c r="O38" s="555"/>
      <c r="P38" s="567">
        <v>0.1</v>
      </c>
      <c r="Q38" s="299">
        <f t="shared" si="3"/>
        <v>41337.484573918882</v>
      </c>
      <c r="R38" s="789"/>
      <c r="S38" s="630" t="s">
        <v>290</v>
      </c>
      <c r="T38" s="652">
        <v>45900</v>
      </c>
      <c r="U38" s="661">
        <v>42629.08497963642</v>
      </c>
      <c r="V38" s="786"/>
      <c r="W38" s="538">
        <f>W99</f>
        <v>46003</v>
      </c>
      <c r="X38" s="771"/>
      <c r="Y38" s="615" t="s">
        <v>268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68"/>
      <c r="J39" s="768"/>
      <c r="K39" s="300"/>
      <c r="L39" s="297">
        <v>4</v>
      </c>
      <c r="M39" s="426" t="s">
        <v>278</v>
      </c>
      <c r="N39" s="408" t="s">
        <v>291</v>
      </c>
      <c r="O39" s="555"/>
      <c r="P39" s="567">
        <v>0.05</v>
      </c>
      <c r="Q39" s="299">
        <f t="shared" si="3"/>
        <v>20668.742286959441</v>
      </c>
      <c r="R39" s="789"/>
      <c r="S39" s="630" t="s">
        <v>292</v>
      </c>
      <c r="T39" s="652">
        <v>45900</v>
      </c>
      <c r="U39" s="661">
        <v>21314.54248981821</v>
      </c>
      <c r="V39" s="786"/>
      <c r="W39" s="577">
        <f>W100</f>
        <v>46086</v>
      </c>
      <c r="X39" s="771"/>
      <c r="Y39" s="615" t="s">
        <v>192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68"/>
      <c r="J40" s="768"/>
      <c r="K40" s="300"/>
      <c r="L40" s="297">
        <v>4</v>
      </c>
      <c r="M40" s="426" t="s">
        <v>278</v>
      </c>
      <c r="N40" s="408" t="s">
        <v>293</v>
      </c>
      <c r="O40" s="555"/>
      <c r="P40" s="567">
        <v>0.05</v>
      </c>
      <c r="Q40" s="299">
        <f t="shared" si="3"/>
        <v>20668.742286959441</v>
      </c>
      <c r="R40" s="790"/>
      <c r="S40" s="630" t="s">
        <v>294</v>
      </c>
      <c r="T40" s="652">
        <v>45900</v>
      </c>
      <c r="U40" s="661">
        <v>21314.54248981821</v>
      </c>
      <c r="V40" s="786"/>
      <c r="W40" s="577">
        <f>W69</f>
        <v>46116</v>
      </c>
      <c r="X40" s="771"/>
      <c r="Y40" s="618" t="s">
        <v>274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68"/>
      <c r="J41" s="768"/>
      <c r="K41" s="300"/>
      <c r="L41" s="297">
        <v>4</v>
      </c>
      <c r="M41" s="426" t="s">
        <v>278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86"/>
      <c r="W41" s="577"/>
      <c r="X41" s="771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68"/>
      <c r="J42" s="768"/>
      <c r="K42" s="300"/>
      <c r="L42" s="297">
        <v>4</v>
      </c>
      <c r="M42" s="426" t="s">
        <v>278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86"/>
      <c r="W42" s="577"/>
      <c r="X42" s="771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69"/>
      <c r="J43" s="769"/>
      <c r="K43" s="305"/>
      <c r="L43" s="301">
        <v>4</v>
      </c>
      <c r="M43" s="427" t="s">
        <v>278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87"/>
      <c r="W43" s="578"/>
      <c r="X43" s="772"/>
      <c r="Y43" s="482"/>
    </row>
    <row r="44" spans="1:26" ht="14.4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295</v>
      </c>
      <c r="D45" s="326" t="s">
        <v>296</v>
      </c>
      <c r="E45" s="282"/>
      <c r="F45" s="437"/>
      <c r="G45" s="283">
        <f>D175-G46</f>
        <v>34000</v>
      </c>
      <c r="H45" s="539">
        <v>45855</v>
      </c>
      <c r="I45" s="750">
        <f>SUM(G45:G54)</f>
        <v>49000</v>
      </c>
      <c r="J45" s="750">
        <f>F175</f>
        <v>53260.869565217392</v>
      </c>
      <c r="K45" s="284"/>
      <c r="L45" s="280">
        <v>5</v>
      </c>
      <c r="M45" s="422" t="s">
        <v>297</v>
      </c>
      <c r="N45" s="326" t="s">
        <v>298</v>
      </c>
      <c r="O45" s="549"/>
      <c r="P45" s="437"/>
      <c r="Q45" s="283">
        <v>8598.35</v>
      </c>
      <c r="R45" s="595"/>
      <c r="S45" s="632" t="s">
        <v>299</v>
      </c>
      <c r="T45" s="655">
        <f>T13</f>
        <v>45808</v>
      </c>
      <c r="U45" s="663">
        <v>4835.1492186843525</v>
      </c>
      <c r="V45" s="759">
        <f>J45-SUM(U45:U54)</f>
        <v>1.8587324157124385E-3</v>
      </c>
      <c r="W45" s="539">
        <v>45855</v>
      </c>
      <c r="X45" s="747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300</v>
      </c>
      <c r="E46" s="451"/>
      <c r="F46" s="452"/>
      <c r="G46" s="314">
        <v>15000</v>
      </c>
      <c r="H46" s="535">
        <v>45806</v>
      </c>
      <c r="I46" s="751"/>
      <c r="J46" s="751"/>
      <c r="K46" s="287"/>
      <c r="L46" s="285">
        <v>5</v>
      </c>
      <c r="M46" s="428" t="s">
        <v>297</v>
      </c>
      <c r="N46" s="286" t="s">
        <v>301</v>
      </c>
      <c r="O46" s="557"/>
      <c r="P46" s="452"/>
      <c r="Q46" s="314">
        <v>14805</v>
      </c>
      <c r="R46" s="643" t="s">
        <v>302</v>
      </c>
      <c r="S46" s="625" t="s">
        <v>303</v>
      </c>
      <c r="T46" s="645">
        <v>45777</v>
      </c>
      <c r="U46" s="651">
        <v>19230.024970443686</v>
      </c>
      <c r="V46" s="760"/>
      <c r="W46" s="535">
        <v>45806</v>
      </c>
      <c r="X46" s="748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51"/>
      <c r="J47" s="751"/>
      <c r="K47" s="287"/>
      <c r="L47" s="285">
        <v>5</v>
      </c>
      <c r="M47" s="428" t="s">
        <v>297</v>
      </c>
      <c r="N47" s="286" t="s">
        <v>304</v>
      </c>
      <c r="O47" s="557"/>
      <c r="P47" s="452"/>
      <c r="Q47" s="314">
        <v>214.28</v>
      </c>
      <c r="R47" s="643"/>
      <c r="S47" s="625" t="s">
        <v>305</v>
      </c>
      <c r="T47" s="645">
        <v>45838</v>
      </c>
      <c r="U47" s="664">
        <v>115.44095934848644</v>
      </c>
      <c r="V47" s="760"/>
      <c r="W47" s="674">
        <v>45867</v>
      </c>
      <c r="X47" s="748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51"/>
      <c r="J48" s="751"/>
      <c r="K48" s="287"/>
      <c r="L48" s="285">
        <v>5</v>
      </c>
      <c r="M48" s="428" t="s">
        <v>297</v>
      </c>
      <c r="N48" s="312" t="s">
        <v>306</v>
      </c>
      <c r="O48" s="550"/>
      <c r="P48" s="459"/>
      <c r="Q48" s="314">
        <v>14934</v>
      </c>
      <c r="R48" s="588"/>
      <c r="S48" s="625" t="s">
        <v>307</v>
      </c>
      <c r="T48" s="645">
        <v>45838</v>
      </c>
      <c r="U48" s="664">
        <v>7108.4458862716847</v>
      </c>
      <c r="V48" s="760"/>
      <c r="W48" s="535">
        <v>45838</v>
      </c>
      <c r="X48" s="748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51"/>
      <c r="J49" s="751"/>
      <c r="K49" s="287"/>
      <c r="L49" s="285">
        <v>5</v>
      </c>
      <c r="M49" s="428" t="s">
        <v>297</v>
      </c>
      <c r="N49" s="312" t="s">
        <v>308</v>
      </c>
      <c r="O49" s="550"/>
      <c r="P49" s="459"/>
      <c r="Q49" s="314">
        <v>334.29</v>
      </c>
      <c r="R49" s="588"/>
      <c r="S49" s="625" t="s">
        <v>309</v>
      </c>
      <c r="T49" s="645">
        <v>45900</v>
      </c>
      <c r="U49" s="664">
        <v>0</v>
      </c>
      <c r="V49" s="760"/>
      <c r="W49" s="649">
        <v>45930</v>
      </c>
      <c r="X49" s="748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51"/>
      <c r="J50" s="751"/>
      <c r="K50" s="287"/>
      <c r="L50" s="310">
        <v>5</v>
      </c>
      <c r="M50" s="428" t="s">
        <v>297</v>
      </c>
      <c r="N50" s="312" t="s">
        <v>310</v>
      </c>
      <c r="O50" s="550"/>
      <c r="P50" s="459"/>
      <c r="Q50" s="314">
        <v>2250.5</v>
      </c>
      <c r="R50" s="588" t="s">
        <v>311</v>
      </c>
      <c r="S50" s="625" t="s">
        <v>312</v>
      </c>
      <c r="T50" s="645">
        <v>45808</v>
      </c>
      <c r="U50" s="664">
        <v>1265.5338892519071</v>
      </c>
      <c r="V50" s="760"/>
      <c r="W50" s="535">
        <v>45799</v>
      </c>
      <c r="X50" s="748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51"/>
      <c r="J51" s="751"/>
      <c r="K51" s="287"/>
      <c r="L51" s="310">
        <v>5</v>
      </c>
      <c r="M51" s="428" t="s">
        <v>297</v>
      </c>
      <c r="N51" s="387" t="s">
        <v>313</v>
      </c>
      <c r="O51" s="551"/>
      <c r="P51" s="444"/>
      <c r="Q51" s="386">
        <v>14060</v>
      </c>
      <c r="R51" s="589" t="s">
        <v>314</v>
      </c>
      <c r="S51" s="626" t="s">
        <v>315</v>
      </c>
      <c r="T51" s="654">
        <v>45808</v>
      </c>
      <c r="U51" s="665">
        <v>7906.4236760194681</v>
      </c>
      <c r="V51" s="760"/>
      <c r="W51" s="536">
        <v>45835</v>
      </c>
      <c r="X51" s="748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51"/>
      <c r="J52" s="751"/>
      <c r="K52" s="287"/>
      <c r="L52" s="310">
        <v>5</v>
      </c>
      <c r="M52" s="428" t="s">
        <v>297</v>
      </c>
      <c r="N52" s="387" t="s">
        <v>316</v>
      </c>
      <c r="O52" s="551"/>
      <c r="P52" s="444"/>
      <c r="Q52" s="386">
        <v>304.8</v>
      </c>
      <c r="R52" s="589"/>
      <c r="S52" s="626" t="s">
        <v>317</v>
      </c>
      <c r="T52" s="654">
        <v>45961</v>
      </c>
      <c r="U52" s="665">
        <v>0</v>
      </c>
      <c r="V52" s="760"/>
      <c r="W52" s="536">
        <v>45991</v>
      </c>
      <c r="X52" s="748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51"/>
      <c r="J53" s="751"/>
      <c r="K53" s="287"/>
      <c r="L53" s="310">
        <v>5</v>
      </c>
      <c r="M53" s="428" t="s">
        <v>297</v>
      </c>
      <c r="N53" s="387" t="s">
        <v>318</v>
      </c>
      <c r="O53" s="551"/>
      <c r="P53" s="444"/>
      <c r="Q53" s="386">
        <v>40000</v>
      </c>
      <c r="R53" s="589" t="s">
        <v>319</v>
      </c>
      <c r="S53" s="626" t="s">
        <v>320</v>
      </c>
      <c r="T53" s="667">
        <v>45838</v>
      </c>
      <c r="U53" s="665">
        <v>10644.893733150355</v>
      </c>
      <c r="V53" s="760"/>
      <c r="W53" s="676">
        <v>45867</v>
      </c>
      <c r="X53" s="748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52"/>
      <c r="J54" s="752"/>
      <c r="K54" s="288"/>
      <c r="L54" s="315">
        <v>5</v>
      </c>
      <c r="M54" s="424" t="s">
        <v>297</v>
      </c>
      <c r="N54" s="316" t="s">
        <v>321</v>
      </c>
      <c r="O54" s="552"/>
      <c r="P54" s="460"/>
      <c r="Q54" s="329">
        <v>4000</v>
      </c>
      <c r="R54" s="590" t="s">
        <v>322</v>
      </c>
      <c r="S54" s="627" t="s">
        <v>323</v>
      </c>
      <c r="T54" s="668">
        <v>45838</v>
      </c>
      <c r="U54" s="669">
        <v>2154.9553733150351</v>
      </c>
      <c r="V54" s="761"/>
      <c r="W54" s="677">
        <v>45867</v>
      </c>
      <c r="X54" s="749"/>
      <c r="Y54" s="482"/>
    </row>
    <row r="55" spans="1:25" ht="14.4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248</v>
      </c>
      <c r="D56" s="294" t="s">
        <v>324</v>
      </c>
      <c r="E56" s="475"/>
      <c r="F56" s="457"/>
      <c r="G56" s="295">
        <f>D174</f>
        <v>1125717.3173913043</v>
      </c>
      <c r="H56" s="678">
        <v>45867</v>
      </c>
      <c r="I56" s="767">
        <f>SUM(G56:G72)</f>
        <v>1125717.3173913043</v>
      </c>
      <c r="J56" s="767">
        <f>F174</f>
        <v>1223605.7797731569</v>
      </c>
      <c r="K56" s="296"/>
      <c r="L56" s="292">
        <v>6</v>
      </c>
      <c r="M56" s="431" t="s">
        <v>325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85">
        <f>J56-SUM(U56:U72)</f>
        <v>4.8541049472987652E-3</v>
      </c>
      <c r="W56" s="576"/>
      <c r="X56" s="770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68"/>
      <c r="J57" s="768"/>
      <c r="K57" s="300"/>
      <c r="L57" s="297">
        <v>6</v>
      </c>
      <c r="M57" s="429" t="s">
        <v>325</v>
      </c>
      <c r="N57" s="443" t="s">
        <v>326</v>
      </c>
      <c r="O57" s="555"/>
      <c r="P57" s="453"/>
      <c r="Q57" s="320">
        <v>223169.3</v>
      </c>
      <c r="R57" s="593"/>
      <c r="S57" s="630" t="s">
        <v>327</v>
      </c>
      <c r="T57" s="652">
        <v>45838</v>
      </c>
      <c r="U57" s="661">
        <v>633760.18187817803</v>
      </c>
      <c r="V57" s="786"/>
      <c r="W57" s="678">
        <v>45867</v>
      </c>
      <c r="X57" s="771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68"/>
      <c r="J58" s="768"/>
      <c r="K58" s="300"/>
      <c r="L58" s="297">
        <v>7</v>
      </c>
      <c r="M58" s="429" t="s">
        <v>325</v>
      </c>
      <c r="N58" s="443" t="s">
        <v>328</v>
      </c>
      <c r="O58" s="555"/>
      <c r="P58" s="453"/>
      <c r="Q58" s="320">
        <v>4825.5</v>
      </c>
      <c r="R58" s="593" t="s">
        <v>329</v>
      </c>
      <c r="S58" s="630" t="s">
        <v>330</v>
      </c>
      <c r="T58" s="704">
        <v>46022</v>
      </c>
      <c r="U58" s="507"/>
      <c r="V58" s="786"/>
      <c r="W58" s="687">
        <v>46003</v>
      </c>
      <c r="X58" s="771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68"/>
      <c r="J59" s="768"/>
      <c r="K59" s="300"/>
      <c r="L59" s="297">
        <v>8</v>
      </c>
      <c r="M59" s="429" t="s">
        <v>325</v>
      </c>
      <c r="N59" s="443" t="s">
        <v>331</v>
      </c>
      <c r="O59" s="555"/>
      <c r="P59" s="453"/>
      <c r="Q59" s="320">
        <f>Q58*-1</f>
        <v>-4825.5</v>
      </c>
      <c r="R59" s="593"/>
      <c r="S59" s="630" t="s">
        <v>332</v>
      </c>
      <c r="T59" s="652">
        <v>46081</v>
      </c>
      <c r="U59" s="507"/>
      <c r="V59" s="786"/>
      <c r="W59" s="687">
        <f>T59</f>
        <v>46081</v>
      </c>
      <c r="X59" s="771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68"/>
      <c r="J60" s="768"/>
      <c r="K60" s="300"/>
      <c r="L60" s="297">
        <v>9</v>
      </c>
      <c r="M60" s="429" t="s">
        <v>325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86"/>
      <c r="W60" s="577"/>
      <c r="X60" s="771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68"/>
      <c r="J61" s="768"/>
      <c r="K61" s="300"/>
      <c r="L61" s="297">
        <v>6</v>
      </c>
      <c r="M61" s="429" t="s">
        <v>325</v>
      </c>
      <c r="N61" s="408" t="s">
        <v>281</v>
      </c>
      <c r="O61" s="566">
        <v>206394.5437884815</v>
      </c>
      <c r="P61" s="567">
        <v>0.1</v>
      </c>
      <c r="Q61" s="299">
        <v>20639.45</v>
      </c>
      <c r="R61" s="788" t="s">
        <v>282</v>
      </c>
      <c r="S61" s="630" t="s">
        <v>283</v>
      </c>
      <c r="T61" s="652">
        <f t="shared" si="0"/>
        <v>45808</v>
      </c>
      <c r="U61" s="661">
        <v>59564.758516957765</v>
      </c>
      <c r="V61" s="786"/>
      <c r="W61" s="538">
        <f>W93</f>
        <v>45792</v>
      </c>
      <c r="X61" s="771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68"/>
      <c r="J62" s="768"/>
      <c r="K62" s="300"/>
      <c r="L62" s="297">
        <v>6</v>
      </c>
      <c r="M62" s="430" t="s">
        <v>325</v>
      </c>
      <c r="N62" s="408" t="s">
        <v>100</v>
      </c>
      <c r="O62" s="555"/>
      <c r="P62" s="567">
        <v>0.15</v>
      </c>
      <c r="Q62" s="299">
        <v>30959.18</v>
      </c>
      <c r="R62" s="789"/>
      <c r="S62" s="630" t="s">
        <v>283</v>
      </c>
      <c r="T62" s="652">
        <f t="shared" si="0"/>
        <v>45808</v>
      </c>
      <c r="U62" s="661">
        <v>89347.152205268489</v>
      </c>
      <c r="V62" s="786"/>
      <c r="W62" s="538">
        <f t="shared" ref="W62:W64" si="7">W94</f>
        <v>45806</v>
      </c>
      <c r="X62" s="771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68"/>
      <c r="J63" s="768"/>
      <c r="K63" s="300"/>
      <c r="L63" s="297">
        <v>6</v>
      </c>
      <c r="M63" s="430" t="s">
        <v>325</v>
      </c>
      <c r="N63" s="408" t="s">
        <v>284</v>
      </c>
      <c r="O63" s="555"/>
      <c r="P63" s="567">
        <v>0.2</v>
      </c>
      <c r="Q63" s="299">
        <f t="shared" ref="Q63:Q69" si="8">$O$61*P63</f>
        <v>41278.908757696307</v>
      </c>
      <c r="R63" s="789"/>
      <c r="S63" s="630" t="s">
        <v>285</v>
      </c>
      <c r="T63" s="652">
        <v>45869</v>
      </c>
      <c r="U63" s="661">
        <v>117582.31641236432</v>
      </c>
      <c r="V63" s="786"/>
      <c r="W63" s="538">
        <v>45899</v>
      </c>
      <c r="X63" s="771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68"/>
      <c r="J64" s="768"/>
      <c r="K64" s="300"/>
      <c r="L64" s="297">
        <v>6</v>
      </c>
      <c r="M64" s="430" t="s">
        <v>325</v>
      </c>
      <c r="N64" s="408" t="s">
        <v>286</v>
      </c>
      <c r="O64" s="555"/>
      <c r="P64" s="673">
        <v>0.125</v>
      </c>
      <c r="Q64" s="299">
        <v>25799.32</v>
      </c>
      <c r="R64" s="789"/>
      <c r="S64" s="630" t="str">
        <f>S96</f>
        <v>Thula Moya IN04776</v>
      </c>
      <c r="T64" s="652">
        <v>45869</v>
      </c>
      <c r="U64" s="661">
        <v>73488.943530009346</v>
      </c>
      <c r="V64" s="786"/>
      <c r="W64" s="538">
        <f t="shared" si="7"/>
        <v>45849</v>
      </c>
      <c r="X64" s="771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68"/>
      <c r="J65" s="768"/>
      <c r="K65" s="300"/>
      <c r="L65" s="297">
        <v>6</v>
      </c>
      <c r="M65" s="430" t="s">
        <v>325</v>
      </c>
      <c r="N65" s="408" t="s">
        <v>286</v>
      </c>
      <c r="O65" s="555"/>
      <c r="P65" s="673">
        <v>0.125</v>
      </c>
      <c r="Q65" s="299">
        <f>O61*P65</f>
        <v>25799.317973560188</v>
      </c>
      <c r="R65" s="789"/>
      <c r="S65" s="630" t="s">
        <v>287</v>
      </c>
      <c r="T65" s="652">
        <v>45900</v>
      </c>
      <c r="U65" s="661">
        <v>73488.947757727699</v>
      </c>
      <c r="V65" s="786"/>
      <c r="W65" s="687">
        <f>W97</f>
        <v>45932</v>
      </c>
      <c r="X65" s="771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68"/>
      <c r="J66" s="768"/>
      <c r="K66" s="300"/>
      <c r="L66" s="297">
        <v>6</v>
      </c>
      <c r="M66" s="430" t="s">
        <v>325</v>
      </c>
      <c r="N66" s="408" t="s">
        <v>177</v>
      </c>
      <c r="O66" s="555"/>
      <c r="P66" s="567">
        <v>0.1</v>
      </c>
      <c r="Q66" s="299">
        <f t="shared" si="8"/>
        <v>20639.454378848153</v>
      </c>
      <c r="R66" s="789"/>
      <c r="S66" s="630" t="s">
        <v>288</v>
      </c>
      <c r="T66" s="652">
        <v>45900</v>
      </c>
      <c r="U66" s="661">
        <v>58791.158206182161</v>
      </c>
      <c r="V66" s="786"/>
      <c r="W66" s="687">
        <f>W98</f>
        <v>45946</v>
      </c>
      <c r="X66" s="771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68"/>
      <c r="J67" s="768"/>
      <c r="K67" s="300"/>
      <c r="L67" s="297">
        <v>6</v>
      </c>
      <c r="M67" s="430" t="s">
        <v>325</v>
      </c>
      <c r="N67" s="408" t="s">
        <v>289</v>
      </c>
      <c r="O67" s="555"/>
      <c r="P67" s="567">
        <v>0.1</v>
      </c>
      <c r="Q67" s="299">
        <f t="shared" si="8"/>
        <v>20639.454378848153</v>
      </c>
      <c r="R67" s="789"/>
      <c r="S67" s="634" t="s">
        <v>290</v>
      </c>
      <c r="T67" s="652">
        <v>45900</v>
      </c>
      <c r="U67" s="682">
        <v>58791.158206182161</v>
      </c>
      <c r="V67" s="786"/>
      <c r="W67" s="538">
        <f>W99</f>
        <v>46003</v>
      </c>
      <c r="X67" s="771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68"/>
      <c r="J68" s="768"/>
      <c r="K68" s="300"/>
      <c r="L68" s="297">
        <v>6</v>
      </c>
      <c r="M68" s="430" t="s">
        <v>325</v>
      </c>
      <c r="N68" s="408" t="s">
        <v>291</v>
      </c>
      <c r="O68" s="555"/>
      <c r="P68" s="567">
        <v>0.05</v>
      </c>
      <c r="Q68" s="299">
        <f t="shared" si="8"/>
        <v>10319.727189424077</v>
      </c>
      <c r="R68" s="789"/>
      <c r="S68" s="634" t="s">
        <v>292</v>
      </c>
      <c r="T68" s="652">
        <v>45900</v>
      </c>
      <c r="U68" s="682">
        <v>29395.57910309108</v>
      </c>
      <c r="V68" s="786"/>
      <c r="W68" s="577">
        <f>W100</f>
        <v>46086</v>
      </c>
      <c r="X68" s="771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68"/>
      <c r="J69" s="768"/>
      <c r="K69" s="300"/>
      <c r="L69" s="297">
        <v>6</v>
      </c>
      <c r="M69" s="430" t="s">
        <v>325</v>
      </c>
      <c r="N69" s="408" t="s">
        <v>293</v>
      </c>
      <c r="O69" s="555"/>
      <c r="P69" s="567">
        <v>0.05</v>
      </c>
      <c r="Q69" s="299">
        <f t="shared" si="8"/>
        <v>10319.727189424077</v>
      </c>
      <c r="R69" s="790"/>
      <c r="S69" s="634" t="s">
        <v>294</v>
      </c>
      <c r="T69" s="652">
        <v>45900</v>
      </c>
      <c r="U69" s="682">
        <v>29395.57910309108</v>
      </c>
      <c r="V69" s="786"/>
      <c r="W69" s="577">
        <f>W101</f>
        <v>46116</v>
      </c>
      <c r="X69" s="771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68"/>
      <c r="J70" s="768"/>
      <c r="K70" s="300"/>
      <c r="L70" s="297">
        <v>6</v>
      </c>
      <c r="M70" s="430" t="s">
        <v>325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86"/>
      <c r="W70" s="580"/>
      <c r="X70" s="771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68"/>
      <c r="J71" s="768"/>
      <c r="K71" s="300"/>
      <c r="L71" s="297">
        <v>6</v>
      </c>
      <c r="M71" s="430" t="s">
        <v>325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86"/>
      <c r="W71" s="580"/>
      <c r="X71" s="771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69"/>
      <c r="J72" s="769"/>
      <c r="K72" s="305"/>
      <c r="L72" s="301">
        <v>6</v>
      </c>
      <c r="M72" s="432" t="s">
        <v>325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87"/>
      <c r="W72" s="578"/>
      <c r="X72" s="772"/>
      <c r="Y72" s="482"/>
    </row>
    <row r="73" spans="1:25" ht="14.4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333</v>
      </c>
      <c r="D74" s="381"/>
      <c r="E74" s="462"/>
      <c r="F74" s="468"/>
      <c r="G74" s="382"/>
      <c r="H74" s="582"/>
      <c r="I74" s="750">
        <f>SUM(G74:G81)</f>
        <v>0</v>
      </c>
      <c r="J74" s="750">
        <v>0</v>
      </c>
      <c r="K74" s="284"/>
      <c r="L74" s="380">
        <v>7</v>
      </c>
      <c r="M74" s="308" t="s">
        <v>334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82">
        <f>J74-SUM(U74:U81)</f>
        <v>0</v>
      </c>
      <c r="W74" s="582"/>
      <c r="X74" s="747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1"/>
      <c r="J75" s="751"/>
      <c r="K75" s="287"/>
      <c r="L75" s="383">
        <v>7</v>
      </c>
      <c r="M75" s="384" t="s">
        <v>334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83"/>
      <c r="W75" s="573"/>
      <c r="X75" s="748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1"/>
      <c r="J76" s="751"/>
      <c r="K76" s="287"/>
      <c r="L76" s="383">
        <v>7</v>
      </c>
      <c r="M76" s="384" t="s">
        <v>334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83"/>
      <c r="W76" s="573"/>
      <c r="X76" s="748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51"/>
      <c r="J77" s="751"/>
      <c r="K77" s="287"/>
      <c r="L77" s="383">
        <v>7</v>
      </c>
      <c r="M77" s="384" t="s">
        <v>334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83"/>
      <c r="W77" s="536"/>
      <c r="X77" s="748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51"/>
      <c r="J78" s="751"/>
      <c r="K78" s="287"/>
      <c r="L78" s="383">
        <v>7</v>
      </c>
      <c r="M78" s="384" t="s">
        <v>334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83"/>
      <c r="W78" s="573"/>
      <c r="X78" s="748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51"/>
      <c r="J79" s="751"/>
      <c r="K79" s="287"/>
      <c r="L79" s="383">
        <v>7</v>
      </c>
      <c r="M79" s="384" t="s">
        <v>334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83"/>
      <c r="W79" s="573"/>
      <c r="X79" s="748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51"/>
      <c r="J80" s="751"/>
      <c r="K80" s="287"/>
      <c r="L80" s="383">
        <v>7</v>
      </c>
      <c r="M80" s="384" t="s">
        <v>334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83"/>
      <c r="W80" s="573"/>
      <c r="X80" s="748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52"/>
      <c r="J81" s="752"/>
      <c r="K81" s="288"/>
      <c r="L81" s="315">
        <v>7</v>
      </c>
      <c r="M81" s="336" t="s">
        <v>334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84"/>
      <c r="W81" s="574"/>
      <c r="X81" s="749"/>
      <c r="Y81" s="482"/>
    </row>
    <row r="82" spans="1:25" ht="14.4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335</v>
      </c>
      <c r="D83" s="332"/>
      <c r="E83" s="463"/>
      <c r="F83" s="416"/>
      <c r="G83" s="333"/>
      <c r="H83" s="576">
        <v>45930</v>
      </c>
      <c r="I83" s="767">
        <f>D177</f>
        <v>200000</v>
      </c>
      <c r="J83" s="767">
        <f>F177</f>
        <v>217391.30434782608</v>
      </c>
      <c r="K83" s="296"/>
      <c r="L83" s="331">
        <v>8</v>
      </c>
      <c r="M83" s="425" t="s">
        <v>336</v>
      </c>
      <c r="N83" s="332" t="s">
        <v>337</v>
      </c>
      <c r="O83" s="561"/>
      <c r="P83" s="416"/>
      <c r="Q83" s="333">
        <v>4430</v>
      </c>
      <c r="R83" s="592" t="s">
        <v>338</v>
      </c>
      <c r="S83" s="629" t="s">
        <v>339</v>
      </c>
      <c r="T83" s="659">
        <v>45961</v>
      </c>
      <c r="U83" s="506">
        <v>0</v>
      </c>
      <c r="V83" s="779">
        <f>J83-SUM(U83:U90)</f>
        <v>-8337.5</v>
      </c>
      <c r="W83" s="690">
        <v>45946</v>
      </c>
      <c r="X83" s="770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68"/>
      <c r="J84" s="768"/>
      <c r="K84" s="300"/>
      <c r="L84" s="321">
        <v>8</v>
      </c>
      <c r="M84" s="433" t="s">
        <v>336</v>
      </c>
      <c r="N84" s="334" t="s">
        <v>340</v>
      </c>
      <c r="O84" s="558"/>
      <c r="P84" s="461"/>
      <c r="Q84" s="323"/>
      <c r="R84" s="593"/>
      <c r="S84" s="630"/>
      <c r="T84" s="679"/>
      <c r="U84" s="507"/>
      <c r="V84" s="780"/>
      <c r="W84" s="577"/>
      <c r="X84" s="771"/>
      <c r="Y84" s="482"/>
    </row>
    <row r="85" spans="1:25" ht="14.25" customHeight="1">
      <c r="B85" s="321">
        <v>8</v>
      </c>
      <c r="C85" s="322"/>
      <c r="D85" s="334" t="s">
        <v>341</v>
      </c>
      <c r="E85" s="415"/>
      <c r="F85" s="461"/>
      <c r="G85" s="323">
        <v>200000</v>
      </c>
      <c r="H85" s="538">
        <v>45869</v>
      </c>
      <c r="I85" s="768"/>
      <c r="J85" s="768"/>
      <c r="K85" s="300"/>
      <c r="L85" s="321">
        <v>8</v>
      </c>
      <c r="M85" s="433" t="s">
        <v>336</v>
      </c>
      <c r="N85" s="657" t="s">
        <v>342</v>
      </c>
      <c r="O85" s="658"/>
      <c r="P85" s="461"/>
      <c r="Q85" s="658">
        <v>91969</v>
      </c>
      <c r="R85" s="593" t="s">
        <v>343</v>
      </c>
      <c r="S85" s="630" t="s">
        <v>344</v>
      </c>
      <c r="T85" s="652">
        <v>45838</v>
      </c>
      <c r="U85" s="661">
        <v>217391.30434782608</v>
      </c>
      <c r="V85" s="780"/>
      <c r="W85" s="538">
        <v>45869</v>
      </c>
      <c r="X85" s="771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68"/>
      <c r="J86" s="768"/>
      <c r="K86" s="300"/>
      <c r="L86" s="321">
        <v>8</v>
      </c>
      <c r="M86" s="433" t="s">
        <v>336</v>
      </c>
      <c r="N86" s="334" t="s">
        <v>345</v>
      </c>
      <c r="O86" s="558"/>
      <c r="P86" s="461"/>
      <c r="Q86" s="323">
        <v>16675</v>
      </c>
      <c r="R86" s="593" t="s">
        <v>346</v>
      </c>
      <c r="S86" s="630" t="s">
        <v>347</v>
      </c>
      <c r="T86" s="652">
        <v>45900</v>
      </c>
      <c r="U86" s="661">
        <v>8337.5</v>
      </c>
      <c r="V86" s="780"/>
      <c r="W86" s="538">
        <v>45876</v>
      </c>
      <c r="X86" s="771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68"/>
      <c r="J87" s="768"/>
      <c r="K87" s="300"/>
      <c r="L87" s="321">
        <v>8</v>
      </c>
      <c r="M87" s="433" t="s">
        <v>336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80"/>
      <c r="W87" s="577"/>
      <c r="X87" s="771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68"/>
      <c r="J88" s="768"/>
      <c r="K88" s="300"/>
      <c r="L88" s="321">
        <v>8</v>
      </c>
      <c r="M88" s="433" t="s">
        <v>336</v>
      </c>
      <c r="N88" s="334" t="s">
        <v>348</v>
      </c>
      <c r="O88" s="558"/>
      <c r="P88" s="461"/>
      <c r="Q88" s="323">
        <v>8337.5</v>
      </c>
      <c r="R88" s="593"/>
      <c r="S88" s="630" t="s">
        <v>349</v>
      </c>
      <c r="T88" s="679">
        <v>45869</v>
      </c>
      <c r="U88" s="507">
        <v>0</v>
      </c>
      <c r="V88" s="780"/>
      <c r="W88" s="538">
        <v>45925</v>
      </c>
      <c r="X88" s="771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68"/>
      <c r="J89" s="768"/>
      <c r="K89" s="300"/>
      <c r="L89" s="321">
        <v>8</v>
      </c>
      <c r="M89" s="433" t="s">
        <v>336</v>
      </c>
      <c r="N89" s="334" t="s">
        <v>350</v>
      </c>
      <c r="O89" s="558"/>
      <c r="P89" s="461"/>
      <c r="Q89" s="323">
        <v>2050</v>
      </c>
      <c r="R89" s="597" t="s">
        <v>351</v>
      </c>
      <c r="S89" s="634" t="s">
        <v>352</v>
      </c>
      <c r="T89" s="697">
        <v>45961</v>
      </c>
      <c r="U89" s="512">
        <v>0</v>
      </c>
      <c r="V89" s="780"/>
      <c r="W89" s="698">
        <f>T89</f>
        <v>45961</v>
      </c>
      <c r="X89" s="771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69"/>
      <c r="J90" s="769"/>
      <c r="K90" s="305"/>
      <c r="L90" s="301">
        <v>8</v>
      </c>
      <c r="M90" s="432" t="s">
        <v>336</v>
      </c>
      <c r="N90" s="303" t="s">
        <v>353</v>
      </c>
      <c r="O90" s="559"/>
      <c r="P90" s="455"/>
      <c r="Q90" s="304">
        <v>16439</v>
      </c>
      <c r="R90" s="594" t="s">
        <v>354</v>
      </c>
      <c r="S90" s="631" t="s">
        <v>355</v>
      </c>
      <c r="T90" s="699">
        <v>45961</v>
      </c>
      <c r="U90" s="508">
        <v>0</v>
      </c>
      <c r="V90" s="781"/>
      <c r="W90" s="702">
        <v>45989</v>
      </c>
      <c r="X90" s="772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356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357</v>
      </c>
      <c r="D92" s="326" t="s">
        <v>358</v>
      </c>
      <c r="E92" s="313"/>
      <c r="F92" s="437"/>
      <c r="G92" s="620">
        <f>D183</f>
        <v>209440</v>
      </c>
      <c r="H92" s="535">
        <v>45792</v>
      </c>
      <c r="I92" s="773">
        <f>SUM(G92:G104)</f>
        <v>677600</v>
      </c>
      <c r="J92" s="750">
        <f>F183+F184</f>
        <v>797176.4705882353</v>
      </c>
      <c r="K92" s="287"/>
      <c r="L92" s="310">
        <v>9</v>
      </c>
      <c r="M92" s="423" t="s">
        <v>359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59">
        <f>J92-SUM(U92:U104)</f>
        <v>-8.6441251914948225E-4</v>
      </c>
      <c r="W92" s="579"/>
      <c r="X92" s="776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360</v>
      </c>
      <c r="E93" s="313"/>
      <c r="F93" s="459"/>
      <c r="G93" s="620">
        <f>D184</f>
        <v>468160</v>
      </c>
      <c r="H93" s="535">
        <v>45792</v>
      </c>
      <c r="I93" s="774"/>
      <c r="J93" s="751"/>
      <c r="K93" s="287"/>
      <c r="L93" s="310">
        <v>9</v>
      </c>
      <c r="M93" s="423" t="s">
        <v>359</v>
      </c>
      <c r="N93" s="327" t="s">
        <v>281</v>
      </c>
      <c r="O93" s="569">
        <v>1079213.0025524204</v>
      </c>
      <c r="P93" s="570">
        <v>0.1</v>
      </c>
      <c r="Q93" s="314">
        <f>$O$93*P93</f>
        <v>107921.30025524204</v>
      </c>
      <c r="R93" s="741" t="s">
        <v>282</v>
      </c>
      <c r="S93" s="625" t="s">
        <v>283</v>
      </c>
      <c r="T93" s="645">
        <f t="shared" si="9"/>
        <v>45808</v>
      </c>
      <c r="U93" s="664">
        <v>79717.647058823539</v>
      </c>
      <c r="V93" s="760"/>
      <c r="W93" s="535">
        <v>45792</v>
      </c>
      <c r="X93" s="777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74"/>
      <c r="J94" s="751"/>
      <c r="K94" s="287"/>
      <c r="L94" s="383">
        <v>9</v>
      </c>
      <c r="M94" s="501" t="s">
        <v>359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42"/>
      <c r="S94" s="625" t="s">
        <v>283</v>
      </c>
      <c r="T94" s="654">
        <f t="shared" si="9"/>
        <v>45808</v>
      </c>
      <c r="U94" s="665">
        <v>119576.47058823529</v>
      </c>
      <c r="V94" s="760"/>
      <c r="W94" s="536">
        <v>45806</v>
      </c>
      <c r="X94" s="777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74"/>
      <c r="J95" s="751"/>
      <c r="K95" s="287"/>
      <c r="L95" s="383">
        <v>9</v>
      </c>
      <c r="M95" s="501" t="s">
        <v>359</v>
      </c>
      <c r="N95" s="385" t="s">
        <v>284</v>
      </c>
      <c r="O95" s="551"/>
      <c r="P95" s="568">
        <v>0.2</v>
      </c>
      <c r="Q95" s="314">
        <f t="shared" si="10"/>
        <v>215842.60051048407</v>
      </c>
      <c r="R95" s="742"/>
      <c r="S95" s="626" t="s">
        <v>285</v>
      </c>
      <c r="T95" s="654">
        <v>45869</v>
      </c>
      <c r="U95" s="665">
        <v>159435.29342611699</v>
      </c>
      <c r="V95" s="760"/>
      <c r="W95" s="536">
        <v>45899</v>
      </c>
      <c r="X95" s="777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74"/>
      <c r="J96" s="751"/>
      <c r="K96" s="287"/>
      <c r="L96" s="383">
        <v>9</v>
      </c>
      <c r="M96" s="501" t="s">
        <v>359</v>
      </c>
      <c r="N96" s="385" t="s">
        <v>286</v>
      </c>
      <c r="O96" s="551"/>
      <c r="P96" s="671">
        <v>0.125</v>
      </c>
      <c r="Q96" s="314">
        <v>134901.63</v>
      </c>
      <c r="R96" s="742"/>
      <c r="S96" s="626" t="s">
        <v>361</v>
      </c>
      <c r="T96" s="672">
        <v>45869</v>
      </c>
      <c r="U96" s="665">
        <v>99647.061848973433</v>
      </c>
      <c r="V96" s="760"/>
      <c r="W96" s="536">
        <v>45849</v>
      </c>
      <c r="X96" s="777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74"/>
      <c r="J97" s="751"/>
      <c r="K97" s="287"/>
      <c r="L97" s="383">
        <v>9</v>
      </c>
      <c r="M97" s="501" t="s">
        <v>359</v>
      </c>
      <c r="N97" s="385" t="s">
        <v>286</v>
      </c>
      <c r="O97" s="551"/>
      <c r="P97" s="671">
        <v>0.125</v>
      </c>
      <c r="Q97" s="314">
        <f>O93*P97</f>
        <v>134901.62531905255</v>
      </c>
      <c r="R97" s="742"/>
      <c r="S97" s="626" t="s">
        <v>287</v>
      </c>
      <c r="T97" s="654">
        <v>45900</v>
      </c>
      <c r="U97" s="665">
        <v>99647.058391323124</v>
      </c>
      <c r="V97" s="760"/>
      <c r="W97" s="686">
        <v>45932</v>
      </c>
      <c r="X97" s="777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74"/>
      <c r="J98" s="751"/>
      <c r="K98" s="287"/>
      <c r="L98" s="383">
        <v>9</v>
      </c>
      <c r="M98" s="501" t="s">
        <v>359</v>
      </c>
      <c r="N98" s="385" t="s">
        <v>177</v>
      </c>
      <c r="O98" s="551"/>
      <c r="P98" s="568">
        <v>0.1</v>
      </c>
      <c r="Q98" s="314">
        <f t="shared" si="10"/>
        <v>107921.30025524204</v>
      </c>
      <c r="R98" s="742"/>
      <c r="S98" s="626" t="s">
        <v>288</v>
      </c>
      <c r="T98" s="654">
        <v>45900</v>
      </c>
      <c r="U98" s="665">
        <v>79717.646713058493</v>
      </c>
      <c r="V98" s="760"/>
      <c r="W98" s="686">
        <v>45946</v>
      </c>
      <c r="X98" s="777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4"/>
      <c r="J99" s="751"/>
      <c r="K99" s="287"/>
      <c r="L99" s="383">
        <v>9</v>
      </c>
      <c r="M99" s="501" t="s">
        <v>359</v>
      </c>
      <c r="N99" s="385" t="s">
        <v>289</v>
      </c>
      <c r="O99" s="551"/>
      <c r="P99" s="568">
        <v>0.1</v>
      </c>
      <c r="Q99" s="314">
        <f t="shared" si="10"/>
        <v>107921.30025524204</v>
      </c>
      <c r="R99" s="742"/>
      <c r="S99" s="626" t="s">
        <v>362</v>
      </c>
      <c r="T99" s="654">
        <v>45961</v>
      </c>
      <c r="U99" s="701">
        <v>79717.646713058493</v>
      </c>
      <c r="V99" s="760"/>
      <c r="W99" s="536">
        <v>46003</v>
      </c>
      <c r="X99" s="777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4"/>
      <c r="J100" s="751"/>
      <c r="K100" s="287"/>
      <c r="L100" s="383">
        <v>9</v>
      </c>
      <c r="M100" s="501" t="s">
        <v>359</v>
      </c>
      <c r="N100" s="385" t="s">
        <v>291</v>
      </c>
      <c r="O100" s="551"/>
      <c r="P100" s="568">
        <v>0.05</v>
      </c>
      <c r="Q100" s="314">
        <f t="shared" si="10"/>
        <v>53960.650127621018</v>
      </c>
      <c r="R100" s="742"/>
      <c r="S100" s="626" t="s">
        <v>363</v>
      </c>
      <c r="T100" s="654">
        <v>45961</v>
      </c>
      <c r="U100" s="701">
        <v>39858.823356529247</v>
      </c>
      <c r="V100" s="760"/>
      <c r="W100" s="573">
        <v>46086</v>
      </c>
      <c r="X100" s="777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74"/>
      <c r="J101" s="751"/>
      <c r="K101" s="287"/>
      <c r="L101" s="383">
        <v>9</v>
      </c>
      <c r="M101" s="501" t="s">
        <v>359</v>
      </c>
      <c r="N101" s="385" t="s">
        <v>293</v>
      </c>
      <c r="O101" s="551"/>
      <c r="P101" s="568">
        <v>0.05</v>
      </c>
      <c r="Q101" s="314">
        <f t="shared" si="10"/>
        <v>53960.650127621018</v>
      </c>
      <c r="R101" s="743"/>
      <c r="S101" s="626" t="s">
        <v>364</v>
      </c>
      <c r="T101" s="654">
        <v>45961</v>
      </c>
      <c r="U101" s="701">
        <v>39858.823356529247</v>
      </c>
      <c r="V101" s="760"/>
      <c r="W101" s="573">
        <f>W100+30</f>
        <v>46116</v>
      </c>
      <c r="X101" s="777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74"/>
      <c r="J102" s="751"/>
      <c r="K102" s="287"/>
      <c r="L102" s="383">
        <v>9</v>
      </c>
      <c r="M102" s="501" t="s">
        <v>359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60"/>
      <c r="W102" s="573"/>
      <c r="X102" s="777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4"/>
      <c r="J103" s="751"/>
      <c r="K103" s="287"/>
      <c r="L103" s="383">
        <v>9</v>
      </c>
      <c r="M103" s="501" t="s">
        <v>359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60"/>
      <c r="W103" s="573"/>
      <c r="X103" s="777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75"/>
      <c r="J104" s="752"/>
      <c r="K104" s="363"/>
      <c r="L104" s="315">
        <v>9</v>
      </c>
      <c r="M104" s="441" t="s">
        <v>359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61"/>
      <c r="W104" s="574"/>
      <c r="X104" s="778"/>
      <c r="Y104" s="482"/>
    </row>
    <row r="105" spans="1:25" ht="14.4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365</v>
      </c>
      <c r="D106" s="269" t="s">
        <v>258</v>
      </c>
      <c r="E106" s="270"/>
      <c r="F106" s="470"/>
      <c r="G106" s="337">
        <f>D187</f>
        <v>8500</v>
      </c>
      <c r="H106" s="583">
        <v>45901</v>
      </c>
      <c r="I106" s="753">
        <f>SUM(G106:G126)</f>
        <v>169956.4</v>
      </c>
      <c r="J106" s="753">
        <f>F187+F190+F191+F189</f>
        <v>199948.70588235295</v>
      </c>
      <c r="K106" s="338"/>
      <c r="L106" s="268">
        <v>10</v>
      </c>
      <c r="M106" s="434" t="s">
        <v>366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62">
        <f>J106-SUM(U106:U126)</f>
        <v>-4.9512286204844713E-3</v>
      </c>
      <c r="W106" s="583"/>
      <c r="X106" s="756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54"/>
      <c r="J107" s="754"/>
      <c r="K107" s="271"/>
      <c r="L107" s="339">
        <v>10</v>
      </c>
      <c r="M107" s="656" t="s">
        <v>366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63"/>
      <c r="W107" s="583"/>
      <c r="X107" s="757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54"/>
      <c r="J108" s="754"/>
      <c r="K108" s="271"/>
      <c r="L108" s="339">
        <v>10</v>
      </c>
      <c r="M108" s="656" t="s">
        <v>366</v>
      </c>
      <c r="N108" s="340" t="s">
        <v>367</v>
      </c>
      <c r="O108" s="564"/>
      <c r="P108" s="471"/>
      <c r="Q108" s="342">
        <v>17637.599999999999</v>
      </c>
      <c r="R108" s="601" t="s">
        <v>368</v>
      </c>
      <c r="S108" s="637" t="s">
        <v>369</v>
      </c>
      <c r="T108" s="680">
        <v>45900</v>
      </c>
      <c r="U108" s="491">
        <v>45792.971256628385</v>
      </c>
      <c r="V108" s="763"/>
      <c r="W108" s="541">
        <v>45901</v>
      </c>
      <c r="X108" s="757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54"/>
      <c r="J109" s="754"/>
      <c r="K109" s="271"/>
      <c r="L109" s="339">
        <v>10</v>
      </c>
      <c r="M109" s="656" t="s">
        <v>366</v>
      </c>
      <c r="N109" s="340" t="s">
        <v>370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63"/>
      <c r="W109" s="583"/>
      <c r="X109" s="757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54"/>
      <c r="J110" s="754"/>
      <c r="K110" s="271"/>
      <c r="L110" s="339">
        <v>10</v>
      </c>
      <c r="M110" s="656" t="s">
        <v>366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63"/>
      <c r="W110" s="583"/>
      <c r="X110" s="757"/>
      <c r="Y110" s="482"/>
    </row>
    <row r="111" spans="1:25" ht="14.25" customHeight="1">
      <c r="B111" s="339">
        <v>10</v>
      </c>
      <c r="C111" s="340"/>
      <c r="D111" s="340" t="s">
        <v>259</v>
      </c>
      <c r="E111" s="341"/>
      <c r="F111" s="471"/>
      <c r="G111" s="342">
        <f>D191</f>
        <v>46501.4</v>
      </c>
      <c r="H111" s="584">
        <v>45901</v>
      </c>
      <c r="I111" s="754"/>
      <c r="J111" s="754"/>
      <c r="K111" s="271"/>
      <c r="L111" s="339">
        <v>10</v>
      </c>
      <c r="M111" s="435" t="s">
        <v>366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63"/>
      <c r="W111" s="584"/>
      <c r="X111" s="757"/>
      <c r="Y111" s="482"/>
    </row>
    <row r="112" spans="1:25" ht="14.25" customHeight="1">
      <c r="B112" s="339">
        <v>10</v>
      </c>
      <c r="C112" s="340"/>
      <c r="D112" s="340" t="s">
        <v>371</v>
      </c>
      <c r="E112" s="341"/>
      <c r="F112" s="471"/>
      <c r="G112" s="342">
        <f>D190</f>
        <v>99600</v>
      </c>
      <c r="H112" s="584">
        <v>45901</v>
      </c>
      <c r="I112" s="754"/>
      <c r="J112" s="754"/>
      <c r="K112" s="271"/>
      <c r="L112" s="339">
        <v>10</v>
      </c>
      <c r="M112" s="435" t="s">
        <v>366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63"/>
      <c r="W112" s="584"/>
      <c r="X112" s="757"/>
      <c r="Y112" s="482"/>
    </row>
    <row r="113" spans="1:25" ht="14.25" customHeight="1">
      <c r="B113" s="339">
        <v>10</v>
      </c>
      <c r="C113" s="340"/>
      <c r="D113" s="340" t="s">
        <v>260</v>
      </c>
      <c r="E113" s="341"/>
      <c r="F113" s="471"/>
      <c r="G113" s="342">
        <f>D189</f>
        <v>15355</v>
      </c>
      <c r="H113" s="584">
        <v>45901</v>
      </c>
      <c r="I113" s="754"/>
      <c r="J113" s="754"/>
      <c r="K113" s="271"/>
      <c r="L113" s="339">
        <v>10</v>
      </c>
      <c r="M113" s="435" t="s">
        <v>366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63"/>
      <c r="W113" s="584"/>
      <c r="X113" s="757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54"/>
      <c r="J114" s="754"/>
      <c r="K114" s="271"/>
      <c r="L114" s="339">
        <v>10</v>
      </c>
      <c r="M114" s="435" t="s">
        <v>366</v>
      </c>
      <c r="N114" s="340" t="s">
        <v>281</v>
      </c>
      <c r="O114" s="619">
        <v>111097.60791991001</v>
      </c>
      <c r="P114" s="571">
        <v>0.1</v>
      </c>
      <c r="Q114" s="342">
        <f>O114*P114</f>
        <v>11109.760791991001</v>
      </c>
      <c r="R114" s="744" t="s">
        <v>282</v>
      </c>
      <c r="S114" s="639" t="s">
        <v>283</v>
      </c>
      <c r="T114" s="653">
        <f t="shared" si="9"/>
        <v>45808</v>
      </c>
      <c r="U114" s="666">
        <v>13994.262513104663</v>
      </c>
      <c r="V114" s="763"/>
      <c r="W114" s="542">
        <f t="shared" ref="W114:W120" si="14">W93</f>
        <v>45792</v>
      </c>
      <c r="X114" s="757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54"/>
      <c r="J115" s="754"/>
      <c r="K115" s="271"/>
      <c r="L115" s="339">
        <v>10</v>
      </c>
      <c r="M115" s="435" t="s">
        <v>366</v>
      </c>
      <c r="N115" s="340" t="s">
        <v>100</v>
      </c>
      <c r="O115" s="564"/>
      <c r="P115" s="571">
        <v>0.15</v>
      </c>
      <c r="Q115" s="342">
        <v>16664.650000000001</v>
      </c>
      <c r="R115" s="745"/>
      <c r="S115" s="639" t="s">
        <v>283</v>
      </c>
      <c r="T115" s="653">
        <f t="shared" si="9"/>
        <v>45808</v>
      </c>
      <c r="U115" s="666">
        <v>20991.404869592759</v>
      </c>
      <c r="V115" s="763"/>
      <c r="W115" s="542">
        <f t="shared" si="14"/>
        <v>45806</v>
      </c>
      <c r="X115" s="757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54"/>
      <c r="J116" s="754"/>
      <c r="K116" s="271"/>
      <c r="L116" s="339">
        <v>10</v>
      </c>
      <c r="M116" s="435" t="s">
        <v>366</v>
      </c>
      <c r="N116" s="340" t="s">
        <v>284</v>
      </c>
      <c r="O116" s="564"/>
      <c r="P116" s="571">
        <v>0.2</v>
      </c>
      <c r="Q116" s="342">
        <f t="shared" ref="Q116:Q123" si="15">$O$114*P116</f>
        <v>22219.521583982001</v>
      </c>
      <c r="R116" s="745"/>
      <c r="S116" s="639" t="s">
        <v>285</v>
      </c>
      <c r="T116" s="653">
        <f>T95</f>
        <v>45869</v>
      </c>
      <c r="U116" s="666">
        <v>27988.525200766198</v>
      </c>
      <c r="V116" s="763"/>
      <c r="W116" s="542">
        <f t="shared" si="14"/>
        <v>45899</v>
      </c>
      <c r="X116" s="757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54"/>
      <c r="J117" s="754"/>
      <c r="K117" s="271"/>
      <c r="L117" s="339">
        <v>10</v>
      </c>
      <c r="M117" s="435" t="s">
        <v>366</v>
      </c>
      <c r="N117" s="340" t="s">
        <v>286</v>
      </c>
      <c r="O117" s="564"/>
      <c r="P117" s="670">
        <v>0.125</v>
      </c>
      <c r="Q117" s="342">
        <v>13887.2</v>
      </c>
      <c r="R117" s="745"/>
      <c r="S117" s="639" t="s">
        <v>361</v>
      </c>
      <c r="T117" s="653">
        <v>45869</v>
      </c>
      <c r="U117" s="666">
        <v>17492.827003452774</v>
      </c>
      <c r="V117" s="763"/>
      <c r="W117" s="542">
        <f t="shared" si="14"/>
        <v>45849</v>
      </c>
      <c r="X117" s="757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54"/>
      <c r="J118" s="754"/>
      <c r="K118" s="271"/>
      <c r="L118" s="339">
        <v>10</v>
      </c>
      <c r="M118" s="435" t="s">
        <v>366</v>
      </c>
      <c r="N118" s="340" t="s">
        <v>286</v>
      </c>
      <c r="O118" s="564"/>
      <c r="P118" s="670">
        <v>0.125</v>
      </c>
      <c r="Q118" s="342">
        <v>14247.2</v>
      </c>
      <c r="R118" s="745"/>
      <c r="S118" s="639" t="s">
        <v>287</v>
      </c>
      <c r="T118" s="653">
        <v>45900</v>
      </c>
      <c r="U118" s="666">
        <v>22066.722808059832</v>
      </c>
      <c r="V118" s="763"/>
      <c r="W118" s="685">
        <f t="shared" si="14"/>
        <v>45932</v>
      </c>
      <c r="X118" s="757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54"/>
      <c r="J119" s="754"/>
      <c r="K119" s="271"/>
      <c r="L119" s="339">
        <v>10</v>
      </c>
      <c r="M119" s="435" t="s">
        <v>366</v>
      </c>
      <c r="N119" s="340" t="s">
        <v>177</v>
      </c>
      <c r="O119" s="564"/>
      <c r="P119" s="571">
        <v>0.1</v>
      </c>
      <c r="Q119" s="342">
        <f t="shared" si="15"/>
        <v>11109.760791991001</v>
      </c>
      <c r="R119" s="745"/>
      <c r="S119" s="639" t="s">
        <v>288</v>
      </c>
      <c r="T119" s="653">
        <v>45900</v>
      </c>
      <c r="U119" s="666">
        <v>17207.311742708505</v>
      </c>
      <c r="V119" s="763"/>
      <c r="W119" s="685">
        <f t="shared" si="14"/>
        <v>45946</v>
      </c>
      <c r="X119" s="757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54"/>
      <c r="J120" s="754"/>
      <c r="K120" s="271"/>
      <c r="L120" s="339">
        <v>10</v>
      </c>
      <c r="M120" s="435" t="s">
        <v>366</v>
      </c>
      <c r="N120" s="340" t="s">
        <v>289</v>
      </c>
      <c r="O120" s="564"/>
      <c r="P120" s="571">
        <v>0.1</v>
      </c>
      <c r="Q120" s="342">
        <f t="shared" si="15"/>
        <v>11109.760791991001</v>
      </c>
      <c r="R120" s="745"/>
      <c r="S120" s="639" t="s">
        <v>290</v>
      </c>
      <c r="T120" s="653">
        <v>45900</v>
      </c>
      <c r="U120" s="666">
        <v>17207.311742708505</v>
      </c>
      <c r="V120" s="763"/>
      <c r="W120" s="542">
        <f t="shared" si="14"/>
        <v>46003</v>
      </c>
      <c r="X120" s="757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54"/>
      <c r="J121" s="754"/>
      <c r="K121" s="271"/>
      <c r="L121" s="339">
        <v>10</v>
      </c>
      <c r="M121" s="435" t="s">
        <v>366</v>
      </c>
      <c r="N121" s="340"/>
      <c r="O121" s="564"/>
      <c r="P121" s="571"/>
      <c r="Q121" s="342">
        <v>0.04</v>
      </c>
      <c r="R121" s="745"/>
      <c r="S121" s="639" t="s">
        <v>290</v>
      </c>
      <c r="T121" s="653">
        <v>45900</v>
      </c>
      <c r="U121" s="666">
        <v>6.1953851446066112E-2</v>
      </c>
      <c r="V121" s="763"/>
      <c r="W121" s="542">
        <v>46003</v>
      </c>
      <c r="X121" s="757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54"/>
      <c r="J122" s="754"/>
      <c r="K122" s="271"/>
      <c r="L122" s="339">
        <v>10</v>
      </c>
      <c r="M122" s="435" t="s">
        <v>366</v>
      </c>
      <c r="N122" s="340" t="s">
        <v>291</v>
      </c>
      <c r="O122" s="564"/>
      <c r="P122" s="571">
        <v>0.05</v>
      </c>
      <c r="Q122" s="342">
        <f t="shared" si="15"/>
        <v>5554.8803959955003</v>
      </c>
      <c r="R122" s="745"/>
      <c r="S122" s="639" t="s">
        <v>292</v>
      </c>
      <c r="T122" s="653">
        <v>45900</v>
      </c>
      <c r="U122" s="666">
        <v>8603.6558713542527</v>
      </c>
      <c r="V122" s="763"/>
      <c r="W122" s="585">
        <v>46079</v>
      </c>
      <c r="X122" s="757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54"/>
      <c r="J123" s="754"/>
      <c r="K123" s="271"/>
      <c r="L123" s="339">
        <v>10</v>
      </c>
      <c r="M123" s="435" t="s">
        <v>366</v>
      </c>
      <c r="N123" s="340" t="s">
        <v>293</v>
      </c>
      <c r="O123" s="564"/>
      <c r="P123" s="571">
        <v>0.05</v>
      </c>
      <c r="Q123" s="342">
        <f t="shared" si="15"/>
        <v>5554.8803959955003</v>
      </c>
      <c r="R123" s="746"/>
      <c r="S123" s="639" t="s">
        <v>294</v>
      </c>
      <c r="T123" s="653">
        <v>45900</v>
      </c>
      <c r="U123" s="666">
        <v>8603.6558713542527</v>
      </c>
      <c r="V123" s="763"/>
      <c r="W123" s="585">
        <v>46079</v>
      </c>
      <c r="X123" s="757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54"/>
      <c r="J124" s="754"/>
      <c r="K124" s="271"/>
      <c r="L124" s="339">
        <v>10</v>
      </c>
      <c r="M124" s="435" t="s">
        <v>366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63"/>
      <c r="W124" s="585"/>
      <c r="X124" s="757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54"/>
      <c r="J125" s="754"/>
      <c r="K125" s="271"/>
      <c r="L125" s="339">
        <v>10</v>
      </c>
      <c r="M125" s="435" t="s">
        <v>366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63"/>
      <c r="W125" s="585"/>
      <c r="X125" s="757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55"/>
      <c r="J126" s="755"/>
      <c r="K126" s="274"/>
      <c r="L126" s="272">
        <v>10</v>
      </c>
      <c r="M126" s="436" t="s">
        <v>366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64"/>
      <c r="W126" s="586"/>
      <c r="X126" s="758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372</v>
      </c>
      <c r="D128" s="350" t="s">
        <v>373</v>
      </c>
      <c r="E128" s="282"/>
      <c r="F128" s="437"/>
      <c r="G128" s="283">
        <v>20944.000000000004</v>
      </c>
      <c r="H128" s="585">
        <f t="shared" si="16"/>
        <v>45901</v>
      </c>
      <c r="I128" s="750">
        <f>SUM(G128:G132)</f>
        <v>142832</v>
      </c>
      <c r="J128" s="750">
        <f>F186</f>
        <v>168037.64705882352</v>
      </c>
      <c r="K128" s="284"/>
      <c r="L128" s="280">
        <v>11</v>
      </c>
      <c r="M128" s="350" t="s">
        <v>374</v>
      </c>
      <c r="N128" s="350" t="s">
        <v>373</v>
      </c>
      <c r="O128" s="282"/>
      <c r="P128" s="437"/>
      <c r="Q128" s="283">
        <v>23015.83</v>
      </c>
      <c r="R128" s="595"/>
      <c r="S128" s="632" t="s">
        <v>375</v>
      </c>
      <c r="T128" s="655">
        <v>45869</v>
      </c>
      <c r="U128" s="663">
        <v>89767.396632699674</v>
      </c>
      <c r="V128" s="759">
        <f>J128-SUM(U128:U132)</f>
        <v>5.3319105063565075E-4</v>
      </c>
      <c r="W128" s="539">
        <v>46051</v>
      </c>
      <c r="X128" s="747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376</v>
      </c>
      <c r="E129" s="313"/>
      <c r="F129" s="459"/>
      <c r="G129" s="314">
        <v>41888.000000000007</v>
      </c>
      <c r="H129" s="585">
        <f t="shared" si="16"/>
        <v>45901</v>
      </c>
      <c r="I129" s="751"/>
      <c r="J129" s="751"/>
      <c r="K129" s="287"/>
      <c r="L129" s="310">
        <v>11</v>
      </c>
      <c r="M129" s="389" t="s">
        <v>374</v>
      </c>
      <c r="N129" s="312" t="s">
        <v>376</v>
      </c>
      <c r="O129" s="313"/>
      <c r="P129" s="459"/>
      <c r="Q129" s="314">
        <v>11000</v>
      </c>
      <c r="R129" s="588" t="s">
        <v>377</v>
      </c>
      <c r="S129" s="625" t="s">
        <v>378</v>
      </c>
      <c r="T129" s="648">
        <v>45777</v>
      </c>
      <c r="U129" s="651">
        <v>46275.138134564862</v>
      </c>
      <c r="V129" s="760"/>
      <c r="W129" s="649">
        <v>45757</v>
      </c>
      <c r="X129" s="748"/>
      <c r="Y129" s="482"/>
    </row>
    <row r="130" spans="1:25" ht="15" customHeight="1">
      <c r="B130" s="310">
        <v>11</v>
      </c>
      <c r="C130" s="312"/>
      <c r="D130" s="312" t="s">
        <v>379</v>
      </c>
      <c r="E130" s="313"/>
      <c r="F130" s="459"/>
      <c r="G130" s="314">
        <v>80000</v>
      </c>
      <c r="H130" s="585">
        <f t="shared" si="16"/>
        <v>45901</v>
      </c>
      <c r="I130" s="751"/>
      <c r="J130" s="751"/>
      <c r="K130" s="287"/>
      <c r="L130" s="310">
        <v>11</v>
      </c>
      <c r="M130" s="389" t="s">
        <v>374</v>
      </c>
      <c r="N130" s="312" t="s">
        <v>380</v>
      </c>
      <c r="O130" s="313"/>
      <c r="P130" s="459"/>
      <c r="Q130" s="314">
        <v>8000</v>
      </c>
      <c r="R130" s="588"/>
      <c r="S130" s="625" t="s">
        <v>381</v>
      </c>
      <c r="T130" s="645">
        <v>45900</v>
      </c>
      <c r="U130" s="664">
        <v>31995.111758367933</v>
      </c>
      <c r="V130" s="760"/>
      <c r="W130" s="535">
        <v>45900</v>
      </c>
      <c r="X130" s="748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51"/>
      <c r="J131" s="751"/>
      <c r="K131" s="287"/>
      <c r="L131" s="310">
        <v>11</v>
      </c>
      <c r="M131" s="389" t="s">
        <v>374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60"/>
      <c r="W131" s="573"/>
      <c r="X131" s="748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52"/>
      <c r="J132" s="752"/>
      <c r="K132" s="288"/>
      <c r="L132" s="315">
        <v>11</v>
      </c>
      <c r="M132" s="419" t="s">
        <v>374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61"/>
      <c r="W132" s="574"/>
      <c r="X132" s="749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382</v>
      </c>
      <c r="D134" s="269" t="s">
        <v>383</v>
      </c>
      <c r="E134" s="270"/>
      <c r="F134" s="470"/>
      <c r="G134" s="337">
        <v>94101.171185984596</v>
      </c>
      <c r="H134" s="585">
        <f t="shared" si="16"/>
        <v>45901</v>
      </c>
      <c r="I134" s="753">
        <f>SUM(G134:G135)</f>
        <v>125468.22824797947</v>
      </c>
      <c r="J134" s="753">
        <v>0</v>
      </c>
      <c r="K134" s="765"/>
      <c r="L134" s="268">
        <v>12</v>
      </c>
      <c r="M134" s="269" t="s">
        <v>384</v>
      </c>
      <c r="N134" s="269" t="s">
        <v>383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56">
        <f>SUM(Q134:Q135)</f>
        <v>0</v>
      </c>
      <c r="Y134" s="482"/>
    </row>
    <row r="135" spans="1:25" ht="15" customHeight="1" thickBot="1">
      <c r="B135" s="272">
        <v>12</v>
      </c>
      <c r="C135" s="343" t="s">
        <v>382</v>
      </c>
      <c r="D135" s="343" t="s">
        <v>385</v>
      </c>
      <c r="E135" s="344"/>
      <c r="F135" s="472"/>
      <c r="G135" s="273">
        <v>31367.05706199487</v>
      </c>
      <c r="H135" s="585">
        <f t="shared" si="16"/>
        <v>45901</v>
      </c>
      <c r="I135" s="755"/>
      <c r="J135" s="755"/>
      <c r="K135" s="766"/>
      <c r="L135" s="272">
        <v>12</v>
      </c>
      <c r="M135" s="343" t="s">
        <v>384</v>
      </c>
      <c r="N135" s="343" t="s">
        <v>385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58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386</v>
      </c>
      <c r="D137" s="350" t="s">
        <v>387</v>
      </c>
      <c r="E137" s="282"/>
      <c r="F137" s="437"/>
      <c r="G137" s="283">
        <v>69051.365967391306</v>
      </c>
      <c r="H137" s="585">
        <f t="shared" si="16"/>
        <v>45806</v>
      </c>
      <c r="I137" s="750">
        <f>SUM(G137:G141)</f>
        <v>281420.92025310558</v>
      </c>
      <c r="J137" s="750">
        <f>F185</f>
        <v>319796.50028762</v>
      </c>
      <c r="K137" s="284"/>
      <c r="L137" s="280">
        <v>13</v>
      </c>
      <c r="M137" s="350" t="s">
        <v>388</v>
      </c>
      <c r="N137" s="350" t="s">
        <v>389</v>
      </c>
      <c r="O137" s="549"/>
      <c r="P137" s="437"/>
      <c r="Q137" s="283">
        <v>101946.67</v>
      </c>
      <c r="R137" s="595"/>
      <c r="S137" s="632" t="s">
        <v>390</v>
      </c>
      <c r="T137" s="655">
        <v>45900</v>
      </c>
      <c r="U137" s="663">
        <v>319796.50028762</v>
      </c>
      <c r="V137" s="759">
        <f>J137-SUM(U137:U142)</f>
        <v>0</v>
      </c>
      <c r="W137" s="539">
        <v>45900</v>
      </c>
      <c r="X137" s="747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391</v>
      </c>
      <c r="E138" s="313"/>
      <c r="F138" s="459"/>
      <c r="G138" s="314">
        <v>47428.571428571428</v>
      </c>
      <c r="H138" s="585">
        <f t="shared" si="16"/>
        <v>45899</v>
      </c>
      <c r="I138" s="751"/>
      <c r="J138" s="751"/>
      <c r="K138" s="287"/>
      <c r="L138" s="310">
        <v>13</v>
      </c>
      <c r="M138" s="389" t="s">
        <v>388</v>
      </c>
      <c r="N138" s="312" t="s">
        <v>391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60"/>
      <c r="W138" s="572"/>
      <c r="X138" s="748"/>
      <c r="Y138" s="482"/>
    </row>
    <row r="139" spans="1:25" ht="15.75" customHeight="1">
      <c r="B139" s="310">
        <v>13</v>
      </c>
      <c r="C139" s="312"/>
      <c r="D139" s="312" t="s">
        <v>392</v>
      </c>
      <c r="E139" s="313"/>
      <c r="F139" s="459"/>
      <c r="G139" s="314">
        <v>68000</v>
      </c>
      <c r="H139" s="585">
        <f t="shared" si="16"/>
        <v>45849</v>
      </c>
      <c r="I139" s="751"/>
      <c r="J139" s="751"/>
      <c r="K139" s="287"/>
      <c r="L139" s="310">
        <v>13</v>
      </c>
      <c r="M139" s="389" t="s">
        <v>388</v>
      </c>
      <c r="N139" s="312" t="s">
        <v>392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60"/>
      <c r="W139" s="572"/>
      <c r="X139" s="748"/>
      <c r="Y139" s="482"/>
    </row>
    <row r="140" spans="1:25" ht="15.75" customHeight="1">
      <c r="B140" s="310">
        <v>13</v>
      </c>
      <c r="C140" s="312"/>
      <c r="D140" s="312" t="s">
        <v>393</v>
      </c>
      <c r="E140" s="313"/>
      <c r="F140" s="459"/>
      <c r="G140" s="314">
        <v>61657.142857142862</v>
      </c>
      <c r="H140" s="585">
        <f t="shared" si="16"/>
        <v>45937</v>
      </c>
      <c r="I140" s="751"/>
      <c r="J140" s="751"/>
      <c r="K140" s="287"/>
      <c r="L140" s="310">
        <v>13</v>
      </c>
      <c r="M140" s="389" t="s">
        <v>388</v>
      </c>
      <c r="N140" s="312" t="s">
        <v>393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60"/>
      <c r="W140" s="572"/>
      <c r="X140" s="748"/>
      <c r="Y140" s="482"/>
    </row>
    <row r="141" spans="1:25" ht="15.75" customHeight="1">
      <c r="B141" s="310">
        <v>13</v>
      </c>
      <c r="C141" s="312"/>
      <c r="D141" s="312" t="s">
        <v>394</v>
      </c>
      <c r="E141" s="313"/>
      <c r="F141" s="459"/>
      <c r="G141" s="314">
        <v>35283.839999999997</v>
      </c>
      <c r="H141" s="585" t="e">
        <f t="shared" si="16"/>
        <v>#REF!</v>
      </c>
      <c r="I141" s="751"/>
      <c r="J141" s="751"/>
      <c r="K141" s="287"/>
      <c r="L141" s="310">
        <v>13</v>
      </c>
      <c r="M141" s="389" t="s">
        <v>388</v>
      </c>
      <c r="N141" s="312" t="s">
        <v>394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60"/>
      <c r="W141" s="572"/>
      <c r="X141" s="748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2"/>
      <c r="J142" s="752"/>
      <c r="K142" s="363"/>
      <c r="L142" s="315">
        <v>13</v>
      </c>
      <c r="M142" s="419" t="s">
        <v>388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61"/>
      <c r="W142" s="574"/>
      <c r="X142" s="749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395</v>
      </c>
      <c r="D144" s="269" t="s">
        <v>396</v>
      </c>
      <c r="E144" s="270"/>
      <c r="F144" s="470"/>
      <c r="G144" s="337">
        <v>14525</v>
      </c>
      <c r="H144" s="647">
        <v>45777</v>
      </c>
      <c r="I144" s="753">
        <f>SUM(G144:G155)</f>
        <v>14525</v>
      </c>
      <c r="J144" s="753">
        <f>F196</f>
        <v>17088.235294117647</v>
      </c>
      <c r="K144" s="338"/>
      <c r="L144" s="268">
        <v>14</v>
      </c>
      <c r="M144" s="434" t="s">
        <v>397</v>
      </c>
      <c r="N144" s="269" t="s">
        <v>398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62">
        <f>J144-SUM(U144:U155)</f>
        <v>-7.752064302621875E-4</v>
      </c>
      <c r="W144" s="647">
        <v>45777</v>
      </c>
      <c r="X144" s="756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54"/>
      <c r="J145" s="754"/>
      <c r="K145" s="271"/>
      <c r="L145" s="339">
        <v>14</v>
      </c>
      <c r="M145" s="435" t="s">
        <v>397</v>
      </c>
      <c r="N145" s="340" t="s">
        <v>398</v>
      </c>
      <c r="O145" s="564"/>
      <c r="P145" s="471"/>
      <c r="Q145" s="342">
        <v>7491.3999999999987</v>
      </c>
      <c r="R145" s="603"/>
      <c r="S145" s="639" t="s">
        <v>399</v>
      </c>
      <c r="T145" s="653">
        <v>45808</v>
      </c>
      <c r="U145" s="666">
        <v>10803.940102655346</v>
      </c>
      <c r="V145" s="763"/>
      <c r="W145" s="542">
        <v>45817</v>
      </c>
      <c r="X145" s="757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54"/>
      <c r="J146" s="754"/>
      <c r="K146" s="271"/>
      <c r="L146" s="339">
        <v>14</v>
      </c>
      <c r="M146" s="435" t="s">
        <v>397</v>
      </c>
      <c r="N146" s="340" t="s">
        <v>398</v>
      </c>
      <c r="O146" s="564"/>
      <c r="P146" s="471"/>
      <c r="Q146" s="342">
        <v>10843.08</v>
      </c>
      <c r="R146" s="603"/>
      <c r="S146" s="639" t="s">
        <v>399</v>
      </c>
      <c r="T146" s="653">
        <v>45838</v>
      </c>
      <c r="U146" s="666">
        <v>3947.0759666687318</v>
      </c>
      <c r="V146" s="763"/>
      <c r="W146" s="542">
        <v>45842</v>
      </c>
      <c r="X146" s="757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54"/>
      <c r="J147" s="754"/>
      <c r="K147" s="271"/>
      <c r="L147" s="339">
        <v>14</v>
      </c>
      <c r="M147" s="435" t="s">
        <v>397</v>
      </c>
      <c r="N147" s="340" t="s">
        <v>398</v>
      </c>
      <c r="O147" s="564"/>
      <c r="P147" s="471"/>
      <c r="Q147" s="342">
        <v>0</v>
      </c>
      <c r="R147" s="603"/>
      <c r="S147" s="639" t="s">
        <v>399</v>
      </c>
      <c r="T147" s="653">
        <v>45869</v>
      </c>
      <c r="U147" s="700">
        <v>0</v>
      </c>
      <c r="V147" s="763"/>
      <c r="W147" s="542">
        <v>45868</v>
      </c>
      <c r="X147" s="757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54"/>
      <c r="J148" s="754"/>
      <c r="K148" s="271"/>
      <c r="L148" s="339">
        <v>14</v>
      </c>
      <c r="M148" s="435" t="s">
        <v>397</v>
      </c>
      <c r="N148" s="340" t="s">
        <v>398</v>
      </c>
      <c r="O148" s="564"/>
      <c r="P148" s="471"/>
      <c r="Q148" s="342">
        <v>0</v>
      </c>
      <c r="R148" s="603"/>
      <c r="S148" s="639" t="s">
        <v>399</v>
      </c>
      <c r="T148" s="653">
        <v>45900</v>
      </c>
      <c r="U148" s="700">
        <v>0</v>
      </c>
      <c r="V148" s="763"/>
      <c r="W148" s="542">
        <v>45899</v>
      </c>
      <c r="X148" s="757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54"/>
      <c r="J149" s="754"/>
      <c r="K149" s="271"/>
      <c r="L149" s="339">
        <v>14</v>
      </c>
      <c r="M149" s="435" t="s">
        <v>397</v>
      </c>
      <c r="N149" s="340" t="s">
        <v>398</v>
      </c>
      <c r="O149" s="564"/>
      <c r="P149" s="471"/>
      <c r="Q149" s="342">
        <v>0</v>
      </c>
      <c r="R149" s="603"/>
      <c r="S149" s="639" t="s">
        <v>399</v>
      </c>
      <c r="T149" s="684">
        <v>45930</v>
      </c>
      <c r="U149" s="700">
        <v>0</v>
      </c>
      <c r="V149" s="763"/>
      <c r="W149" s="685">
        <v>45930</v>
      </c>
      <c r="X149" s="757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54"/>
      <c r="J150" s="754"/>
      <c r="K150" s="271"/>
      <c r="L150" s="339">
        <v>14</v>
      </c>
      <c r="M150" s="435" t="s">
        <v>397</v>
      </c>
      <c r="N150" s="340" t="s">
        <v>398</v>
      </c>
      <c r="O150" s="564"/>
      <c r="P150" s="471"/>
      <c r="Q150" s="342">
        <v>0</v>
      </c>
      <c r="R150" s="603"/>
      <c r="S150" s="639" t="s">
        <v>399</v>
      </c>
      <c r="T150" s="684">
        <v>45961</v>
      </c>
      <c r="U150" s="700">
        <v>2337.2200000000003</v>
      </c>
      <c r="V150" s="763"/>
      <c r="W150" s="685">
        <v>45960</v>
      </c>
      <c r="X150" s="757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54"/>
      <c r="J151" s="754"/>
      <c r="K151" s="271"/>
      <c r="L151" s="339">
        <v>14</v>
      </c>
      <c r="M151" s="435" t="s">
        <v>397</v>
      </c>
      <c r="N151" s="340" t="s">
        <v>398</v>
      </c>
      <c r="O151" s="564"/>
      <c r="P151" s="471"/>
      <c r="Q151" s="342">
        <v>5134.76</v>
      </c>
      <c r="R151" s="603"/>
      <c r="S151" s="639" t="s">
        <v>399</v>
      </c>
      <c r="T151" s="684">
        <v>45991</v>
      </c>
      <c r="U151" s="516">
        <v>0</v>
      </c>
      <c r="V151" s="763"/>
      <c r="W151" s="685">
        <v>45996</v>
      </c>
      <c r="X151" s="757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54"/>
      <c r="J152" s="754"/>
      <c r="K152" s="271"/>
      <c r="L152" s="339">
        <v>14</v>
      </c>
      <c r="M152" s="435" t="s">
        <v>397</v>
      </c>
      <c r="N152" s="340" t="s">
        <v>398</v>
      </c>
      <c r="O152" s="564"/>
      <c r="P152" s="471"/>
      <c r="Q152" s="342">
        <v>2386.4899999999998</v>
      </c>
      <c r="R152" s="603"/>
      <c r="S152" s="639" t="s">
        <v>399</v>
      </c>
      <c r="T152" s="684">
        <v>46022</v>
      </c>
      <c r="U152" s="516">
        <v>0</v>
      </c>
      <c r="V152" s="763"/>
      <c r="W152" s="685">
        <v>46030</v>
      </c>
      <c r="X152" s="757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54"/>
      <c r="J153" s="754"/>
      <c r="K153" s="271"/>
      <c r="L153" s="339">
        <v>14</v>
      </c>
      <c r="M153" s="435" t="s">
        <v>397</v>
      </c>
      <c r="N153" s="340" t="s">
        <v>398</v>
      </c>
      <c r="O153" s="564"/>
      <c r="P153" s="471"/>
      <c r="Q153" s="342">
        <v>0</v>
      </c>
      <c r="R153" s="603"/>
      <c r="S153" s="639" t="s">
        <v>399</v>
      </c>
      <c r="T153" s="684">
        <v>46053</v>
      </c>
      <c r="U153" s="516">
        <f>(Q153/$X$144*$J$144)</f>
        <v>0</v>
      </c>
      <c r="V153" s="763"/>
      <c r="W153" s="685">
        <v>46052</v>
      </c>
      <c r="X153" s="757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54"/>
      <c r="J154" s="754"/>
      <c r="K154" s="271"/>
      <c r="L154" s="339">
        <v>14</v>
      </c>
      <c r="M154" s="435" t="s">
        <v>397</v>
      </c>
      <c r="N154" s="340"/>
      <c r="O154" s="564"/>
      <c r="P154" s="471"/>
      <c r="Q154" s="342"/>
      <c r="R154" s="603"/>
      <c r="S154" s="639"/>
      <c r="T154" s="532" t="str">
        <f t="shared" ref="T154" si="17">IF(W154&gt;1,EOMONTH(W154,0),"")</f>
        <v/>
      </c>
      <c r="U154" s="516">
        <f>(Q154/$X$144*$J$144)</f>
        <v>0</v>
      </c>
      <c r="V154" s="763"/>
      <c r="W154" s="585"/>
      <c r="X154" s="757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55"/>
      <c r="J155" s="755"/>
      <c r="K155" s="274"/>
      <c r="L155" s="272">
        <v>14</v>
      </c>
      <c r="M155" s="436" t="s">
        <v>397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64"/>
      <c r="W155" s="586"/>
      <c r="X155" s="758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400</v>
      </c>
      <c r="D157" s="281" t="s">
        <v>401</v>
      </c>
      <c r="E157" s="282"/>
      <c r="F157" s="437"/>
      <c r="G157" s="283">
        <f>D193</f>
        <v>1500000</v>
      </c>
      <c r="H157" s="539">
        <v>45849</v>
      </c>
      <c r="I157" s="750">
        <f>SUM(G157:G168)</f>
        <v>1500000</v>
      </c>
      <c r="J157" s="750">
        <f>F193</f>
        <v>1500000</v>
      </c>
      <c r="K157" s="284"/>
      <c r="L157" s="280">
        <v>15</v>
      </c>
      <c r="M157" s="350" t="s">
        <v>402</v>
      </c>
      <c r="N157" s="281" t="s">
        <v>401</v>
      </c>
      <c r="O157" s="282"/>
      <c r="P157" s="437"/>
      <c r="Q157" s="283">
        <f>1222000/2</f>
        <v>611000</v>
      </c>
      <c r="R157" s="595"/>
      <c r="S157" s="632" t="s">
        <v>403</v>
      </c>
      <c r="T157" s="655">
        <v>45838</v>
      </c>
      <c r="U157" s="663">
        <v>714898.59594383778</v>
      </c>
      <c r="V157" s="759">
        <f>J157-SUM(U157:U168)</f>
        <v>0</v>
      </c>
      <c r="W157" s="539">
        <v>45849</v>
      </c>
      <c r="X157" s="747">
        <f>SUM(Q157:Q168)</f>
        <v>1225472.56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51"/>
      <c r="J158" s="751"/>
      <c r="K158" s="287"/>
      <c r="L158" s="310">
        <v>15</v>
      </c>
      <c r="M158" s="389" t="s">
        <v>402</v>
      </c>
      <c r="N158" s="312" t="s">
        <v>404</v>
      </c>
      <c r="O158" s="550"/>
      <c r="P158" s="459"/>
      <c r="Q158" s="314">
        <v>611000</v>
      </c>
      <c r="R158" s="588"/>
      <c r="S158" s="625" t="s">
        <v>403</v>
      </c>
      <c r="T158" s="645">
        <v>45838</v>
      </c>
      <c r="U158" s="664">
        <v>714898.59594383778</v>
      </c>
      <c r="V158" s="760"/>
      <c r="W158" s="535">
        <v>45960</v>
      </c>
      <c r="X158" s="748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1"/>
      <c r="J159" s="751"/>
      <c r="K159" s="287"/>
      <c r="L159" s="310">
        <v>15</v>
      </c>
      <c r="M159" s="389" t="s">
        <v>402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60"/>
      <c r="W159" s="572"/>
      <c r="X159" s="748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51"/>
      <c r="J160" s="751"/>
      <c r="K160" s="287"/>
      <c r="L160" s="310">
        <v>15</v>
      </c>
      <c r="M160" s="389" t="s">
        <v>402</v>
      </c>
      <c r="N160" s="312" t="s">
        <v>405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60"/>
      <c r="W160" s="535">
        <v>45900</v>
      </c>
      <c r="X160" s="748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1"/>
      <c r="J161" s="751"/>
      <c r="K161" s="287"/>
      <c r="L161" s="310">
        <v>15</v>
      </c>
      <c r="M161" s="389" t="s">
        <v>402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60"/>
      <c r="W161" s="572"/>
      <c r="X161" s="748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1"/>
      <c r="J162" s="751"/>
      <c r="K162" s="287"/>
      <c r="L162" s="310">
        <v>15</v>
      </c>
      <c r="M162" s="389" t="s">
        <v>402</v>
      </c>
      <c r="N162" s="312" t="s">
        <v>406</v>
      </c>
      <c r="O162" s="550"/>
      <c r="P162" s="459"/>
      <c r="Q162" s="314">
        <v>3472.56</v>
      </c>
      <c r="R162" s="588"/>
      <c r="S162" s="625" t="s">
        <v>526</v>
      </c>
      <c r="T162" s="645">
        <v>46081</v>
      </c>
      <c r="U162" s="502"/>
      <c r="V162" s="760"/>
      <c r="W162" s="572">
        <v>46086</v>
      </c>
      <c r="X162" s="748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1"/>
      <c r="J163" s="751"/>
      <c r="K163" s="287"/>
      <c r="L163" s="310">
        <v>15</v>
      </c>
      <c r="M163" s="389" t="s">
        <v>402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60"/>
      <c r="W163" s="572"/>
      <c r="X163" s="748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1"/>
      <c r="J164" s="751"/>
      <c r="K164" s="287"/>
      <c r="L164" s="310">
        <v>15</v>
      </c>
      <c r="M164" s="389" t="s">
        <v>402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60"/>
      <c r="W164" s="572"/>
      <c r="X164" s="748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1"/>
      <c r="J165" s="751"/>
      <c r="K165" s="287"/>
      <c r="L165" s="310">
        <v>15</v>
      </c>
      <c r="M165" s="389" t="s">
        <v>402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60"/>
      <c r="W165" s="572"/>
      <c r="X165" s="748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1"/>
      <c r="J166" s="751"/>
      <c r="K166" s="287"/>
      <c r="L166" s="310">
        <v>15</v>
      </c>
      <c r="M166" s="389" t="s">
        <v>402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60"/>
      <c r="W166" s="572"/>
      <c r="X166" s="748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1"/>
      <c r="J167" s="751"/>
      <c r="K167" s="287"/>
      <c r="L167" s="310">
        <v>15</v>
      </c>
      <c r="M167" s="389" t="s">
        <v>402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60"/>
      <c r="W167" s="572"/>
      <c r="X167" s="748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2"/>
      <c r="J168" s="752"/>
      <c r="K168" s="288"/>
      <c r="L168" s="315">
        <v>15</v>
      </c>
      <c r="M168" s="419" t="s">
        <v>402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61"/>
      <c r="W168" s="574"/>
      <c r="X168" s="749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407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408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409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280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324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296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410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341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411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412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413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414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415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416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417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418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419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420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421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422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423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424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411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425</v>
      </c>
      <c r="D195" s="642"/>
      <c r="E195" s="544"/>
      <c r="F195" s="642"/>
      <c r="I195" s="255"/>
      <c r="J195" s="255"/>
    </row>
    <row r="196" spans="3:10" s="112" customFormat="1">
      <c r="C196" s="642" t="s">
        <v>426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4:I81"/>
    <mergeCell ref="J74:J81"/>
    <mergeCell ref="V74:V81"/>
    <mergeCell ref="V45:V54"/>
    <mergeCell ref="V56:V72"/>
    <mergeCell ref="I45:I54"/>
    <mergeCell ref="J45:J54"/>
    <mergeCell ref="R61:R69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J128:J132"/>
    <mergeCell ref="X128:X132"/>
    <mergeCell ref="I134:I135"/>
    <mergeCell ref="J134:J135"/>
    <mergeCell ref="K134:K135"/>
    <mergeCell ref="X134:X135"/>
    <mergeCell ref="V128:V132"/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AD11" sqref="AD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427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8" t="s">
        <v>428</v>
      </c>
      <c r="B2" s="191"/>
      <c r="C2" s="192" t="s">
        <v>237</v>
      </c>
      <c r="D2" s="192" t="s">
        <v>237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4" t="s">
        <v>156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407369.80000000005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9"/>
      <c r="B4" s="194" t="s">
        <v>429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7748363.7000000011</v>
      </c>
      <c r="BA4" s="197">
        <f t="shared" si="5"/>
        <v>7748363.7000000011</v>
      </c>
      <c r="BB4" s="197">
        <f t="shared" si="5"/>
        <v>7748363.7000000011</v>
      </c>
      <c r="BC4" s="197">
        <f t="shared" si="5"/>
        <v>7748363.7000000011</v>
      </c>
      <c r="BD4" s="197">
        <f t="shared" si="5"/>
        <v>7748363.7000000011</v>
      </c>
      <c r="BE4" s="197">
        <f t="shared" si="5"/>
        <v>7748363.7000000011</v>
      </c>
      <c r="BF4" s="197">
        <f t="shared" si="5"/>
        <v>7748363.7000000011</v>
      </c>
      <c r="BG4" s="197">
        <f t="shared" si="5"/>
        <v>7748363.7000000011</v>
      </c>
      <c r="BH4" s="197">
        <f t="shared" si="5"/>
        <v>7748363.7000000011</v>
      </c>
      <c r="BI4" s="197">
        <f t="shared" si="5"/>
        <v>7748363.7000000011</v>
      </c>
      <c r="BJ4" s="197">
        <f t="shared" si="5"/>
        <v>7748363.7000000011</v>
      </c>
      <c r="BK4" s="197">
        <f t="shared" si="5"/>
        <v>7748363.7000000011</v>
      </c>
      <c r="BL4" s="197">
        <f t="shared" si="5"/>
        <v>7748363.7000000011</v>
      </c>
      <c r="BM4" s="197">
        <f t="shared" si="5"/>
        <v>7748363.7000000011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9"/>
      <c r="B5" s="198" t="s">
        <v>158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9"/>
      <c r="B6" s="198" t="s">
        <v>430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9"/>
      <c r="B7" s="203" t="s">
        <v>431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138124.11410761252</v>
      </c>
      <c r="BA7" s="206">
        <f t="shared" si="16"/>
        <v>138124.11410761252</v>
      </c>
      <c r="BB7" s="206">
        <f t="shared" si="16"/>
        <v>138124.11410761252</v>
      </c>
      <c r="BC7" s="206">
        <f t="shared" si="16"/>
        <v>138124.11410761252</v>
      </c>
      <c r="BD7" s="206">
        <f t="shared" si="16"/>
        <v>138124.11410761252</v>
      </c>
      <c r="BE7" s="206">
        <f t="shared" si="16"/>
        <v>138124.11410761252</v>
      </c>
      <c r="BF7" s="206">
        <f t="shared" si="16"/>
        <v>138124.11410761252</v>
      </c>
      <c r="BG7" s="206">
        <f t="shared" si="16"/>
        <v>138124.11410761252</v>
      </c>
      <c r="BH7" s="206">
        <f t="shared" si="16"/>
        <v>138124.11410761252</v>
      </c>
      <c r="BI7" s="206">
        <f t="shared" si="16"/>
        <v>138124.11410761252</v>
      </c>
      <c r="BJ7" s="206">
        <f t="shared" si="16"/>
        <v>138124.11410761252</v>
      </c>
      <c r="BK7" s="206">
        <f t="shared" si="16"/>
        <v>138124.11410761252</v>
      </c>
      <c r="BL7" s="206">
        <f t="shared" si="16"/>
        <v>138124.11410761252</v>
      </c>
      <c r="BM7" s="206">
        <f t="shared" si="16"/>
        <v>138124.11410761252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8" t="s">
        <v>147</v>
      </c>
      <c r="B8" s="191"/>
      <c r="C8" s="192" t="s">
        <v>237</v>
      </c>
      <c r="D8" s="192" t="s">
        <v>237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8" t="s">
        <v>432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9"/>
      <c r="B10" s="208" t="s">
        <v>433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9"/>
      <c r="B11" s="211" t="s">
        <v>434</v>
      </c>
      <c r="C11" s="212">
        <f>'Revenue Tracking'!F5</f>
        <v>6306512.9118749052</v>
      </c>
      <c r="D11" s="212">
        <f>SUM(F11:LD11)</f>
        <v>6306512.9118749043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6284.2607919910006</v>
      </c>
      <c r="BL11" s="213">
        <f>SUMIFS('Expenditure Breakdown'!$Q$6:$Q$176, 'Expenditure Breakdown'!$W$6:$W$176, "&gt;="&amp;BL1,'Expenditure Breakdown'!$W$6:$W$176, "&lt;"&amp;BM1)</f>
        <v>88421.67960400453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84949.119604004532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9"/>
      <c r="B12" s="211" t="s">
        <v>435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6103842.0218749046</v>
      </c>
      <c r="BF12" s="213">
        <f t="shared" si="26"/>
        <v>6103842.0218749046</v>
      </c>
      <c r="BG12" s="213">
        <f t="shared" si="26"/>
        <v>6126857.8518749047</v>
      </c>
      <c r="BH12" s="213">
        <f t="shared" si="26"/>
        <v>6126857.8518749047</v>
      </c>
      <c r="BI12" s="213">
        <f t="shared" si="26"/>
        <v>6126857.8518749047</v>
      </c>
      <c r="BJ12" s="213">
        <f t="shared" si="26"/>
        <v>6126857.8518749047</v>
      </c>
      <c r="BK12" s="213">
        <f t="shared" si="26"/>
        <v>6133142.1126668956</v>
      </c>
      <c r="BL12" s="213">
        <f t="shared" si="26"/>
        <v>6221563.7922708998</v>
      </c>
      <c r="BM12" s="213">
        <f t="shared" si="26"/>
        <v>6221563.7922708998</v>
      </c>
      <c r="BN12" s="213">
        <f t="shared" si="26"/>
        <v>6221563.7922708998</v>
      </c>
      <c r="BO12" s="213">
        <f t="shared" si="26"/>
        <v>6221563.7922708998</v>
      </c>
      <c r="BP12" s="213">
        <f t="shared" si="26"/>
        <v>6306512.9118749043</v>
      </c>
      <c r="BQ12" s="213">
        <f t="shared" si="26"/>
        <v>6306512.9118749043</v>
      </c>
      <c r="BR12" s="213">
        <f t="shared" si="26"/>
        <v>6306512.9118749043</v>
      </c>
      <c r="BS12" s="213">
        <f t="shared" si="26"/>
        <v>6306512.9118749043</v>
      </c>
      <c r="BT12" s="213">
        <f t="shared" si="26"/>
        <v>6306512.9118749043</v>
      </c>
      <c r="BU12" s="213">
        <f t="shared" ref="BU12:EF12" si="27">BT12+BU11</f>
        <v>6306512.9118749043</v>
      </c>
      <c r="BV12" s="213">
        <f t="shared" si="27"/>
        <v>6306512.9118749043</v>
      </c>
      <c r="BW12" s="213">
        <f t="shared" si="27"/>
        <v>6306512.9118749043</v>
      </c>
      <c r="BX12" s="213">
        <f t="shared" si="27"/>
        <v>6306512.9118749043</v>
      </c>
      <c r="BY12" s="213">
        <f t="shared" si="27"/>
        <v>6306512.9118749043</v>
      </c>
      <c r="BZ12" s="213">
        <f t="shared" si="27"/>
        <v>6306512.9118749043</v>
      </c>
      <c r="CA12" s="213">
        <f t="shared" si="27"/>
        <v>6306512.9118749043</v>
      </c>
      <c r="CB12" s="213">
        <f t="shared" si="27"/>
        <v>6306512.9118749043</v>
      </c>
      <c r="CC12" s="213">
        <f t="shared" si="27"/>
        <v>6306512.9118749043</v>
      </c>
      <c r="CD12" s="213">
        <f t="shared" si="27"/>
        <v>6306512.9118749043</v>
      </c>
      <c r="CE12" s="213">
        <f t="shared" si="27"/>
        <v>6306512.9118749043</v>
      </c>
      <c r="CF12" s="213">
        <f t="shared" si="27"/>
        <v>6306512.9118749043</v>
      </c>
      <c r="CG12" s="213">
        <f t="shared" si="27"/>
        <v>6306512.9118749043</v>
      </c>
      <c r="CH12" s="213">
        <f t="shared" si="27"/>
        <v>6306512.9118749043</v>
      </c>
      <c r="CI12" s="213">
        <f t="shared" si="27"/>
        <v>6306512.9118749043</v>
      </c>
      <c r="CJ12" s="213">
        <f t="shared" si="27"/>
        <v>6306512.9118749043</v>
      </c>
      <c r="CK12" s="213">
        <f t="shared" si="27"/>
        <v>6306512.9118749043</v>
      </c>
      <c r="CL12" s="213">
        <f t="shared" si="27"/>
        <v>6306512.9118749043</v>
      </c>
      <c r="CM12" s="213">
        <f t="shared" si="27"/>
        <v>6306512.9118749043</v>
      </c>
      <c r="CN12" s="213">
        <f t="shared" si="27"/>
        <v>6306512.9118749043</v>
      </c>
      <c r="CO12" s="213">
        <f t="shared" si="27"/>
        <v>6306512.9118749043</v>
      </c>
      <c r="CP12" s="213">
        <f t="shared" si="27"/>
        <v>6306512.9118749043</v>
      </c>
      <c r="CQ12" s="213">
        <f t="shared" si="27"/>
        <v>6306512.9118749043</v>
      </c>
      <c r="CR12" s="213">
        <f t="shared" si="27"/>
        <v>6306512.9118749043</v>
      </c>
      <c r="CS12" s="213">
        <f t="shared" si="27"/>
        <v>6306512.9118749043</v>
      </c>
      <c r="CT12" s="213">
        <f t="shared" si="27"/>
        <v>6306512.9118749043</v>
      </c>
      <c r="CU12" s="213">
        <f t="shared" si="27"/>
        <v>6306512.9118749043</v>
      </c>
      <c r="CV12" s="213">
        <f t="shared" si="27"/>
        <v>6306512.9118749043</v>
      </c>
      <c r="CW12" s="213">
        <f t="shared" si="27"/>
        <v>6306512.9118749043</v>
      </c>
      <c r="CX12" s="213">
        <f t="shared" si="27"/>
        <v>6306512.9118749043</v>
      </c>
      <c r="CY12" s="213">
        <f t="shared" si="27"/>
        <v>6306512.9118749043</v>
      </c>
      <c r="CZ12" s="213">
        <f t="shared" si="27"/>
        <v>6306512.9118749043</v>
      </c>
      <c r="DA12" s="213">
        <f t="shared" si="27"/>
        <v>6306512.9118749043</v>
      </c>
      <c r="DB12" s="213">
        <f t="shared" si="27"/>
        <v>6306512.9118749043</v>
      </c>
      <c r="DC12" s="213">
        <f t="shared" si="27"/>
        <v>6306512.9118749043</v>
      </c>
      <c r="DD12" s="213">
        <f t="shared" si="27"/>
        <v>6306512.9118749043</v>
      </c>
      <c r="DE12" s="213">
        <f t="shared" si="27"/>
        <v>6306512.9118749043</v>
      </c>
      <c r="DF12" s="213">
        <f t="shared" si="27"/>
        <v>6306512.9118749043</v>
      </c>
      <c r="DG12" s="213">
        <f t="shared" si="27"/>
        <v>6306512.9118749043</v>
      </c>
      <c r="DH12" s="213">
        <f t="shared" si="27"/>
        <v>6306512.9118749043</v>
      </c>
      <c r="DI12" s="213">
        <f t="shared" si="27"/>
        <v>6306512.9118749043</v>
      </c>
      <c r="DJ12" s="213">
        <f t="shared" si="27"/>
        <v>6306512.9118749043</v>
      </c>
      <c r="DK12" s="213">
        <f t="shared" si="27"/>
        <v>6306512.9118749043</v>
      </c>
      <c r="DL12" s="213">
        <f t="shared" si="27"/>
        <v>6306512.9118749043</v>
      </c>
      <c r="DM12" s="213">
        <f t="shared" si="27"/>
        <v>6306512.9118749043</v>
      </c>
      <c r="DN12" s="213">
        <f t="shared" si="27"/>
        <v>6306512.9118749043</v>
      </c>
      <c r="DO12" s="213">
        <f t="shared" si="27"/>
        <v>6306512.9118749043</v>
      </c>
      <c r="DP12" s="213">
        <f t="shared" si="27"/>
        <v>6306512.9118749043</v>
      </c>
      <c r="DQ12" s="213">
        <f t="shared" si="27"/>
        <v>6306512.9118749043</v>
      </c>
      <c r="DR12" s="213">
        <f t="shared" si="27"/>
        <v>6306512.9118749043</v>
      </c>
      <c r="DS12" s="213">
        <f t="shared" si="27"/>
        <v>6306512.9118749043</v>
      </c>
      <c r="DT12" s="213">
        <f t="shared" si="27"/>
        <v>6306512.9118749043</v>
      </c>
      <c r="DU12" s="213">
        <f t="shared" si="27"/>
        <v>6306512.9118749043</v>
      </c>
      <c r="DV12" s="213">
        <f t="shared" si="27"/>
        <v>6306512.9118749043</v>
      </c>
      <c r="DW12" s="213">
        <f t="shared" si="27"/>
        <v>6306512.9118749043</v>
      </c>
      <c r="DX12" s="213">
        <f t="shared" si="27"/>
        <v>6306512.9118749043</v>
      </c>
      <c r="DY12" s="213">
        <f t="shared" si="27"/>
        <v>6306512.9118749043</v>
      </c>
      <c r="DZ12" s="213">
        <f t="shared" si="27"/>
        <v>6306512.9118749043</v>
      </c>
      <c r="EA12" s="213">
        <f t="shared" si="27"/>
        <v>6306512.9118749043</v>
      </c>
      <c r="EB12" s="213">
        <f t="shared" si="27"/>
        <v>6306512.9118749043</v>
      </c>
      <c r="EC12" s="213">
        <f t="shared" si="27"/>
        <v>6306512.9118749043</v>
      </c>
      <c r="ED12" s="213">
        <f t="shared" si="27"/>
        <v>6306512.9118749043</v>
      </c>
      <c r="EE12" s="213">
        <f t="shared" si="27"/>
        <v>6306512.9118749043</v>
      </c>
      <c r="EF12" s="213">
        <f t="shared" si="27"/>
        <v>6306512.9118749043</v>
      </c>
      <c r="EG12" s="213">
        <f t="shared" ref="EG12:GR12" si="28">EF12+EG11</f>
        <v>6306512.9118749043</v>
      </c>
      <c r="EH12" s="213">
        <f t="shared" si="28"/>
        <v>6306512.9118749043</v>
      </c>
      <c r="EI12" s="213">
        <f t="shared" si="28"/>
        <v>6306512.9118749043</v>
      </c>
      <c r="EJ12" s="213">
        <f t="shared" si="28"/>
        <v>6306512.9118749043</v>
      </c>
      <c r="EK12" s="213">
        <f t="shared" si="28"/>
        <v>6306512.9118749043</v>
      </c>
      <c r="EL12" s="213">
        <f t="shared" si="28"/>
        <v>6306512.9118749043</v>
      </c>
      <c r="EM12" s="213">
        <f t="shared" si="28"/>
        <v>6306512.9118749043</v>
      </c>
      <c r="EN12" s="213">
        <f t="shared" si="28"/>
        <v>6306512.9118749043</v>
      </c>
      <c r="EO12" s="213">
        <f t="shared" si="28"/>
        <v>6306512.9118749043</v>
      </c>
      <c r="EP12" s="213">
        <f t="shared" si="28"/>
        <v>6306512.9118749043</v>
      </c>
      <c r="EQ12" s="213">
        <f t="shared" si="28"/>
        <v>6306512.9118749043</v>
      </c>
      <c r="ER12" s="213">
        <f t="shared" si="28"/>
        <v>6306512.9118749043</v>
      </c>
      <c r="ES12" s="213">
        <f t="shared" si="28"/>
        <v>6306512.9118749043</v>
      </c>
      <c r="ET12" s="213">
        <f t="shared" si="28"/>
        <v>6306512.9118749043</v>
      </c>
      <c r="EU12" s="213">
        <f t="shared" si="28"/>
        <v>6306512.9118749043</v>
      </c>
      <c r="EV12" s="213">
        <f t="shared" si="28"/>
        <v>6306512.9118749043</v>
      </c>
      <c r="EW12" s="213">
        <f t="shared" si="28"/>
        <v>6306512.9118749043</v>
      </c>
      <c r="EX12" s="213">
        <f t="shared" si="28"/>
        <v>6306512.9118749043</v>
      </c>
      <c r="EY12" s="213">
        <f t="shared" si="28"/>
        <v>6306512.9118749043</v>
      </c>
      <c r="EZ12" s="213">
        <f t="shared" si="28"/>
        <v>6306512.9118749043</v>
      </c>
      <c r="FA12" s="213">
        <f t="shared" si="28"/>
        <v>6306512.9118749043</v>
      </c>
      <c r="FB12" s="213">
        <f t="shared" si="28"/>
        <v>6306512.9118749043</v>
      </c>
      <c r="FC12" s="213">
        <f t="shared" si="28"/>
        <v>6306512.9118749043</v>
      </c>
      <c r="FD12" s="213">
        <f t="shared" si="28"/>
        <v>6306512.9118749043</v>
      </c>
      <c r="FE12" s="213">
        <f t="shared" si="28"/>
        <v>6306512.9118749043</v>
      </c>
      <c r="FF12" s="213">
        <f t="shared" si="28"/>
        <v>6306512.9118749043</v>
      </c>
      <c r="FG12" s="213">
        <f t="shared" si="28"/>
        <v>6306512.9118749043</v>
      </c>
      <c r="FH12" s="213">
        <f t="shared" si="28"/>
        <v>6306512.9118749043</v>
      </c>
      <c r="FI12" s="213">
        <f t="shared" si="28"/>
        <v>6306512.9118749043</v>
      </c>
      <c r="FJ12" s="213">
        <f t="shared" si="28"/>
        <v>6306512.9118749043</v>
      </c>
      <c r="FK12" s="213">
        <f t="shared" si="28"/>
        <v>6306512.9118749043</v>
      </c>
      <c r="FL12" s="213">
        <f t="shared" si="28"/>
        <v>6306512.9118749043</v>
      </c>
      <c r="FM12" s="213">
        <f t="shared" si="28"/>
        <v>6306512.9118749043</v>
      </c>
      <c r="FN12" s="213">
        <f t="shared" si="28"/>
        <v>6306512.9118749043</v>
      </c>
      <c r="FO12" s="213">
        <f t="shared" si="28"/>
        <v>6306512.9118749043</v>
      </c>
      <c r="FP12" s="213">
        <f t="shared" si="28"/>
        <v>6306512.9118749043</v>
      </c>
      <c r="FQ12" s="213">
        <f t="shared" si="28"/>
        <v>6306512.9118749043</v>
      </c>
      <c r="FR12" s="213">
        <f t="shared" si="28"/>
        <v>6306512.9118749043</v>
      </c>
      <c r="FS12" s="213">
        <f t="shared" si="28"/>
        <v>6306512.9118749043</v>
      </c>
      <c r="FT12" s="213">
        <f t="shared" si="28"/>
        <v>6306512.9118749043</v>
      </c>
      <c r="FU12" s="213">
        <f t="shared" si="28"/>
        <v>6306512.9118749043</v>
      </c>
      <c r="FV12" s="213">
        <f t="shared" si="28"/>
        <v>6306512.9118749043</v>
      </c>
      <c r="FW12" s="213">
        <f t="shared" si="28"/>
        <v>6306512.9118749043</v>
      </c>
      <c r="FX12" s="213">
        <f t="shared" si="28"/>
        <v>6306512.9118749043</v>
      </c>
      <c r="FY12" s="213">
        <f t="shared" si="28"/>
        <v>6306512.9118749043</v>
      </c>
      <c r="FZ12" s="213">
        <f t="shared" si="28"/>
        <v>6306512.9118749043</v>
      </c>
      <c r="GA12" s="213">
        <f t="shared" si="28"/>
        <v>6306512.9118749043</v>
      </c>
      <c r="GB12" s="213">
        <f t="shared" si="28"/>
        <v>6306512.9118749043</v>
      </c>
      <c r="GC12" s="213">
        <f t="shared" si="28"/>
        <v>6306512.9118749043</v>
      </c>
      <c r="GD12" s="213">
        <f t="shared" si="28"/>
        <v>6306512.9118749043</v>
      </c>
      <c r="GE12" s="213">
        <f t="shared" si="28"/>
        <v>6306512.9118749043</v>
      </c>
      <c r="GF12" s="213">
        <f t="shared" si="28"/>
        <v>6306512.9118749043</v>
      </c>
      <c r="GG12" s="213">
        <f t="shared" si="28"/>
        <v>6306512.9118749043</v>
      </c>
      <c r="GH12" s="213">
        <f t="shared" si="28"/>
        <v>6306512.9118749043</v>
      </c>
      <c r="GI12" s="213">
        <f t="shared" si="28"/>
        <v>6306512.9118749043</v>
      </c>
      <c r="GJ12" s="213">
        <f t="shared" si="28"/>
        <v>6306512.9118749043</v>
      </c>
      <c r="GK12" s="213">
        <f t="shared" si="28"/>
        <v>6306512.9118749043</v>
      </c>
      <c r="GL12" s="213">
        <f t="shared" si="28"/>
        <v>6306512.9118749043</v>
      </c>
      <c r="GM12" s="213">
        <f t="shared" si="28"/>
        <v>6306512.9118749043</v>
      </c>
      <c r="GN12" s="213">
        <f t="shared" si="28"/>
        <v>6306512.9118749043</v>
      </c>
      <c r="GO12" s="213">
        <f t="shared" si="28"/>
        <v>6306512.9118749043</v>
      </c>
      <c r="GP12" s="213">
        <f t="shared" si="28"/>
        <v>6306512.9118749043</v>
      </c>
      <c r="GQ12" s="213">
        <f t="shared" si="28"/>
        <v>6306512.9118749043</v>
      </c>
      <c r="GR12" s="213">
        <f t="shared" si="28"/>
        <v>6306512.9118749043</v>
      </c>
      <c r="GS12" s="213">
        <f t="shared" ref="GS12:JD12" si="29">GR12+GS11</f>
        <v>6306512.9118749043</v>
      </c>
      <c r="GT12" s="213">
        <f t="shared" si="29"/>
        <v>6306512.9118749043</v>
      </c>
      <c r="GU12" s="213">
        <f t="shared" si="29"/>
        <v>6306512.9118749043</v>
      </c>
      <c r="GV12" s="213">
        <f t="shared" si="29"/>
        <v>6306512.9118749043</v>
      </c>
      <c r="GW12" s="213">
        <f t="shared" si="29"/>
        <v>6306512.9118749043</v>
      </c>
      <c r="GX12" s="213">
        <f t="shared" si="29"/>
        <v>6306512.9118749043</v>
      </c>
      <c r="GY12" s="213">
        <f t="shared" si="29"/>
        <v>6306512.9118749043</v>
      </c>
      <c r="GZ12" s="213">
        <f t="shared" si="29"/>
        <v>6306512.9118749043</v>
      </c>
      <c r="HA12" s="213">
        <f t="shared" si="29"/>
        <v>6306512.9118749043</v>
      </c>
      <c r="HB12" s="213">
        <f t="shared" si="29"/>
        <v>6306512.9118749043</v>
      </c>
      <c r="HC12" s="213">
        <f t="shared" si="29"/>
        <v>6306512.9118749043</v>
      </c>
      <c r="HD12" s="213">
        <f t="shared" si="29"/>
        <v>6306512.9118749043</v>
      </c>
      <c r="HE12" s="213">
        <f t="shared" si="29"/>
        <v>6306512.9118749043</v>
      </c>
      <c r="HF12" s="213">
        <f t="shared" si="29"/>
        <v>6306512.9118749043</v>
      </c>
      <c r="HG12" s="213">
        <f t="shared" si="29"/>
        <v>6306512.9118749043</v>
      </c>
      <c r="HH12" s="213">
        <f t="shared" si="29"/>
        <v>6306512.9118749043</v>
      </c>
      <c r="HI12" s="213">
        <f t="shared" si="29"/>
        <v>6306512.9118749043</v>
      </c>
      <c r="HJ12" s="213">
        <f t="shared" si="29"/>
        <v>6306512.9118749043</v>
      </c>
      <c r="HK12" s="213">
        <f t="shared" si="29"/>
        <v>6306512.9118749043</v>
      </c>
      <c r="HL12" s="213">
        <f t="shared" si="29"/>
        <v>6306512.9118749043</v>
      </c>
      <c r="HM12" s="213">
        <f t="shared" si="29"/>
        <v>6306512.9118749043</v>
      </c>
      <c r="HN12" s="213">
        <f t="shared" si="29"/>
        <v>6306512.9118749043</v>
      </c>
      <c r="HO12" s="213">
        <f t="shared" si="29"/>
        <v>6306512.9118749043</v>
      </c>
      <c r="HP12" s="213">
        <f t="shared" si="29"/>
        <v>6306512.9118749043</v>
      </c>
      <c r="HQ12" s="213">
        <f t="shared" si="29"/>
        <v>6306512.9118749043</v>
      </c>
      <c r="HR12" s="213">
        <f t="shared" si="29"/>
        <v>6306512.9118749043</v>
      </c>
      <c r="HS12" s="213">
        <f t="shared" si="29"/>
        <v>6306512.9118749043</v>
      </c>
      <c r="HT12" s="213">
        <f t="shared" si="29"/>
        <v>6306512.9118749043</v>
      </c>
      <c r="HU12" s="213">
        <f t="shared" si="29"/>
        <v>6306512.9118749043</v>
      </c>
      <c r="HV12" s="213">
        <f t="shared" si="29"/>
        <v>6306512.9118749043</v>
      </c>
      <c r="HW12" s="213">
        <f t="shared" si="29"/>
        <v>6306512.9118749043</v>
      </c>
      <c r="HX12" s="213">
        <f t="shared" si="29"/>
        <v>6306512.9118749043</v>
      </c>
      <c r="HY12" s="213">
        <f t="shared" si="29"/>
        <v>6306512.9118749043</v>
      </c>
      <c r="HZ12" s="213">
        <f t="shared" si="29"/>
        <v>6306512.9118749043</v>
      </c>
      <c r="IA12" s="213">
        <f t="shared" si="29"/>
        <v>6306512.9118749043</v>
      </c>
      <c r="IB12" s="213">
        <f t="shared" si="29"/>
        <v>6306512.9118749043</v>
      </c>
      <c r="IC12" s="213">
        <f t="shared" si="29"/>
        <v>6306512.9118749043</v>
      </c>
      <c r="ID12" s="213">
        <f t="shared" si="29"/>
        <v>6306512.9118749043</v>
      </c>
      <c r="IE12" s="213">
        <f t="shared" si="29"/>
        <v>6306512.9118749043</v>
      </c>
      <c r="IF12" s="213">
        <f t="shared" si="29"/>
        <v>6306512.9118749043</v>
      </c>
      <c r="IG12" s="213">
        <f t="shared" si="29"/>
        <v>6306512.9118749043</v>
      </c>
      <c r="IH12" s="213">
        <f t="shared" si="29"/>
        <v>6306512.9118749043</v>
      </c>
      <c r="II12" s="213">
        <f t="shared" si="29"/>
        <v>6306512.9118749043</v>
      </c>
      <c r="IJ12" s="213">
        <f t="shared" si="29"/>
        <v>6306512.9118749043</v>
      </c>
      <c r="IK12" s="213">
        <f t="shared" si="29"/>
        <v>6306512.9118749043</v>
      </c>
      <c r="IL12" s="213">
        <f t="shared" si="29"/>
        <v>6306512.9118749043</v>
      </c>
      <c r="IM12" s="213">
        <f t="shared" si="29"/>
        <v>6306512.9118749043</v>
      </c>
      <c r="IN12" s="213">
        <f t="shared" si="29"/>
        <v>6306512.9118749043</v>
      </c>
      <c r="IO12" s="213">
        <f t="shared" si="29"/>
        <v>6306512.9118749043</v>
      </c>
      <c r="IP12" s="213">
        <f t="shared" si="29"/>
        <v>6306512.9118749043</v>
      </c>
      <c r="IQ12" s="213">
        <f t="shared" si="29"/>
        <v>6306512.9118749043</v>
      </c>
      <c r="IR12" s="213">
        <f t="shared" si="29"/>
        <v>6306512.9118749043</v>
      </c>
      <c r="IS12" s="213">
        <f t="shared" si="29"/>
        <v>6306512.9118749043</v>
      </c>
      <c r="IT12" s="213">
        <f t="shared" si="29"/>
        <v>6306512.9118749043</v>
      </c>
      <c r="IU12" s="213">
        <f t="shared" si="29"/>
        <v>6306512.9118749043</v>
      </c>
      <c r="IV12" s="213">
        <f t="shared" si="29"/>
        <v>6306512.9118749043</v>
      </c>
      <c r="IW12" s="213">
        <f t="shared" si="29"/>
        <v>6306512.9118749043</v>
      </c>
      <c r="IX12" s="213">
        <f t="shared" si="29"/>
        <v>6306512.9118749043</v>
      </c>
      <c r="IY12" s="213">
        <f t="shared" si="29"/>
        <v>6306512.9118749043</v>
      </c>
      <c r="IZ12" s="213">
        <f t="shared" si="29"/>
        <v>6306512.9118749043</v>
      </c>
      <c r="JA12" s="213">
        <f t="shared" si="29"/>
        <v>6306512.9118749043</v>
      </c>
      <c r="JB12" s="213">
        <f t="shared" si="29"/>
        <v>6306512.9118749043</v>
      </c>
      <c r="JC12" s="213">
        <f t="shared" si="29"/>
        <v>6306512.9118749043</v>
      </c>
      <c r="JD12" s="213">
        <f t="shared" si="29"/>
        <v>6306512.9118749043</v>
      </c>
      <c r="JE12" s="213">
        <f t="shared" ref="JE12:LD12" si="30">JD12+JE11</f>
        <v>6306512.9118749043</v>
      </c>
      <c r="JF12" s="213">
        <f t="shared" si="30"/>
        <v>6306512.9118749043</v>
      </c>
      <c r="JG12" s="213">
        <f t="shared" si="30"/>
        <v>6306512.9118749043</v>
      </c>
      <c r="JH12" s="213">
        <f t="shared" si="30"/>
        <v>6306512.9118749043</v>
      </c>
      <c r="JI12" s="213">
        <f t="shared" si="30"/>
        <v>6306512.9118749043</v>
      </c>
      <c r="JJ12" s="213">
        <f t="shared" si="30"/>
        <v>6306512.9118749043</v>
      </c>
      <c r="JK12" s="213">
        <f t="shared" si="30"/>
        <v>6306512.9118749043</v>
      </c>
      <c r="JL12" s="213">
        <f t="shared" si="30"/>
        <v>6306512.9118749043</v>
      </c>
      <c r="JM12" s="213">
        <f t="shared" si="30"/>
        <v>6306512.9118749043</v>
      </c>
      <c r="JN12" s="213">
        <f t="shared" si="30"/>
        <v>6306512.9118749043</v>
      </c>
      <c r="JO12" s="213">
        <f t="shared" si="30"/>
        <v>6306512.9118749043</v>
      </c>
      <c r="JP12" s="213">
        <f t="shared" si="30"/>
        <v>6306512.9118749043</v>
      </c>
      <c r="JQ12" s="213">
        <f t="shared" si="30"/>
        <v>6306512.9118749043</v>
      </c>
      <c r="JR12" s="213">
        <f t="shared" si="30"/>
        <v>6306512.9118749043</v>
      </c>
      <c r="JS12" s="213">
        <f t="shared" si="30"/>
        <v>6306512.9118749043</v>
      </c>
      <c r="JT12" s="213">
        <f t="shared" si="30"/>
        <v>6306512.9118749043</v>
      </c>
      <c r="JU12" s="213">
        <f t="shared" si="30"/>
        <v>6306512.9118749043</v>
      </c>
      <c r="JV12" s="213">
        <f t="shared" si="30"/>
        <v>6306512.9118749043</v>
      </c>
      <c r="JW12" s="213">
        <f t="shared" si="30"/>
        <v>6306512.9118749043</v>
      </c>
      <c r="JX12" s="213">
        <f t="shared" si="30"/>
        <v>6306512.9118749043</v>
      </c>
      <c r="JY12" s="213">
        <f t="shared" si="30"/>
        <v>6306512.9118749043</v>
      </c>
      <c r="JZ12" s="213">
        <f t="shared" si="30"/>
        <v>6306512.9118749043</v>
      </c>
      <c r="KA12" s="213">
        <f t="shared" si="30"/>
        <v>6306512.9118749043</v>
      </c>
      <c r="KB12" s="213">
        <f t="shared" si="30"/>
        <v>6306512.9118749043</v>
      </c>
      <c r="KC12" s="213">
        <f t="shared" si="30"/>
        <v>6306512.9118749043</v>
      </c>
      <c r="KD12" s="213">
        <f t="shared" si="30"/>
        <v>6306512.9118749043</v>
      </c>
      <c r="KE12" s="213">
        <f t="shared" si="30"/>
        <v>6306512.9118749043</v>
      </c>
      <c r="KF12" s="213">
        <f t="shared" si="30"/>
        <v>6306512.9118749043</v>
      </c>
      <c r="KG12" s="213">
        <f t="shared" si="30"/>
        <v>6306512.9118749043</v>
      </c>
      <c r="KH12" s="213">
        <f t="shared" si="30"/>
        <v>6306512.9118749043</v>
      </c>
      <c r="KI12" s="213">
        <f t="shared" si="30"/>
        <v>6306512.9118749043</v>
      </c>
      <c r="KJ12" s="213">
        <f t="shared" si="30"/>
        <v>6306512.9118749043</v>
      </c>
      <c r="KK12" s="213">
        <f t="shared" si="30"/>
        <v>6306512.9118749043</v>
      </c>
      <c r="KL12" s="213">
        <f t="shared" si="30"/>
        <v>6306512.9118749043</v>
      </c>
      <c r="KM12" s="213">
        <f t="shared" si="30"/>
        <v>6306512.9118749043</v>
      </c>
      <c r="KN12" s="213">
        <f t="shared" si="30"/>
        <v>6306512.9118749043</v>
      </c>
      <c r="KO12" s="213">
        <f t="shared" si="30"/>
        <v>6306512.9118749043</v>
      </c>
      <c r="KP12" s="213">
        <f t="shared" si="30"/>
        <v>6306512.9118749043</v>
      </c>
      <c r="KQ12" s="213">
        <f t="shared" si="30"/>
        <v>6306512.9118749043</v>
      </c>
      <c r="KR12" s="213">
        <f t="shared" si="30"/>
        <v>6306512.9118749043</v>
      </c>
      <c r="KS12" s="213">
        <f t="shared" si="30"/>
        <v>6306512.9118749043</v>
      </c>
      <c r="KT12" s="213">
        <f t="shared" si="30"/>
        <v>6306512.9118749043</v>
      </c>
      <c r="KU12" s="213">
        <f t="shared" si="30"/>
        <v>6306512.9118749043</v>
      </c>
      <c r="KV12" s="213">
        <f t="shared" si="30"/>
        <v>6306512.9118749043</v>
      </c>
      <c r="KW12" s="213">
        <f t="shared" si="30"/>
        <v>6306512.9118749043</v>
      </c>
      <c r="KX12" s="213">
        <f t="shared" si="30"/>
        <v>6306512.9118749043</v>
      </c>
      <c r="KY12" s="213">
        <f t="shared" si="30"/>
        <v>6306512.9118749043</v>
      </c>
      <c r="KZ12" s="213">
        <f t="shared" si="30"/>
        <v>6306512.9118749043</v>
      </c>
      <c r="LA12" s="213">
        <f t="shared" si="30"/>
        <v>6306512.9118749043</v>
      </c>
      <c r="LB12" s="213">
        <f t="shared" si="30"/>
        <v>6306512.9118749043</v>
      </c>
      <c r="LC12" s="213">
        <f t="shared" si="30"/>
        <v>6306512.9118749043</v>
      </c>
      <c r="LD12" s="213">
        <f t="shared" si="30"/>
        <v>6306512.9118749043</v>
      </c>
      <c r="LE12" s="190"/>
      <c r="LF12" s="201"/>
    </row>
    <row r="13" spans="1:794" s="190" customFormat="1">
      <c r="A13" s="79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3" t="s">
        <v>436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2051891.4781250963</v>
      </c>
      <c r="BF14" s="206">
        <f t="shared" si="32"/>
        <v>2051891.4781250963</v>
      </c>
      <c r="BG14" s="206">
        <f t="shared" si="32"/>
        <v>2028875.6481250962</v>
      </c>
      <c r="BH14" s="206">
        <f t="shared" si="32"/>
        <v>2028875.6481250962</v>
      </c>
      <c r="BI14" s="206">
        <f t="shared" si="32"/>
        <v>2028875.6481250962</v>
      </c>
      <c r="BJ14" s="206">
        <f t="shared" si="32"/>
        <v>2028875.6481250962</v>
      </c>
      <c r="BK14" s="206">
        <f t="shared" si="32"/>
        <v>2022591.3873331053</v>
      </c>
      <c r="BL14" s="206">
        <f t="shared" si="32"/>
        <v>1934169.7077291012</v>
      </c>
      <c r="BM14" s="206">
        <f t="shared" si="32"/>
        <v>1934169.7077291012</v>
      </c>
      <c r="BN14" s="206">
        <f t="shared" si="32"/>
        <v>1934169.7077291012</v>
      </c>
      <c r="BO14" s="206">
        <f t="shared" si="32"/>
        <v>1934169.7077291012</v>
      </c>
      <c r="BP14" s="206">
        <f t="shared" si="32"/>
        <v>1849220.5881250966</v>
      </c>
      <c r="BQ14" s="206">
        <f t="shared" si="32"/>
        <v>1849220.5881250966</v>
      </c>
      <c r="BR14" s="206">
        <f t="shared" si="32"/>
        <v>1849220.5881250966</v>
      </c>
      <c r="BS14" s="206">
        <f t="shared" si="32"/>
        <v>1849220.5881250966</v>
      </c>
      <c r="BT14" s="206">
        <f t="shared" si="32"/>
        <v>1849220.5881250966</v>
      </c>
      <c r="BU14" s="206">
        <f t="shared" ref="BU14:EF14" si="33">BU10-BU12</f>
        <v>1849220.5881250966</v>
      </c>
      <c r="BV14" s="206">
        <f t="shared" si="33"/>
        <v>1849220.5881250966</v>
      </c>
      <c r="BW14" s="206">
        <f t="shared" si="33"/>
        <v>1849220.5881250966</v>
      </c>
      <c r="BX14" s="206">
        <f t="shared" si="33"/>
        <v>1849220.5881250966</v>
      </c>
      <c r="BY14" s="206">
        <f t="shared" si="33"/>
        <v>1849220.5881250966</v>
      </c>
      <c r="BZ14" s="206">
        <f t="shared" si="33"/>
        <v>1849220.5881250966</v>
      </c>
      <c r="CA14" s="206">
        <f t="shared" si="33"/>
        <v>1849220.5881250966</v>
      </c>
      <c r="CB14" s="206">
        <f t="shared" si="33"/>
        <v>1849220.5881250966</v>
      </c>
      <c r="CC14" s="206">
        <f t="shared" si="33"/>
        <v>1849220.5881250966</v>
      </c>
      <c r="CD14" s="206">
        <f t="shared" si="33"/>
        <v>1849220.5881250966</v>
      </c>
      <c r="CE14" s="206">
        <f t="shared" si="33"/>
        <v>1849220.5881250966</v>
      </c>
      <c r="CF14" s="206">
        <f t="shared" si="33"/>
        <v>1849220.5881250966</v>
      </c>
      <c r="CG14" s="206">
        <f t="shared" si="33"/>
        <v>1849220.5881250966</v>
      </c>
      <c r="CH14" s="206">
        <f t="shared" si="33"/>
        <v>1849220.5881250966</v>
      </c>
      <c r="CI14" s="206">
        <f t="shared" si="33"/>
        <v>1849220.5881250966</v>
      </c>
      <c r="CJ14" s="206">
        <f t="shared" si="33"/>
        <v>1849220.5881250966</v>
      </c>
      <c r="CK14" s="206">
        <f t="shared" si="33"/>
        <v>1849220.5881250966</v>
      </c>
      <c r="CL14" s="206">
        <f t="shared" si="33"/>
        <v>1849220.5881250966</v>
      </c>
      <c r="CM14" s="206">
        <f t="shared" si="33"/>
        <v>1849220.5881250966</v>
      </c>
      <c r="CN14" s="206">
        <f t="shared" si="33"/>
        <v>1849220.5881250966</v>
      </c>
      <c r="CO14" s="206">
        <f t="shared" si="33"/>
        <v>1849220.5881250966</v>
      </c>
      <c r="CP14" s="206">
        <f t="shared" si="33"/>
        <v>1849220.5881250966</v>
      </c>
      <c r="CQ14" s="206">
        <f t="shared" si="33"/>
        <v>1849220.5881250966</v>
      </c>
      <c r="CR14" s="206">
        <f t="shared" si="33"/>
        <v>1849220.5881250966</v>
      </c>
      <c r="CS14" s="206">
        <f t="shared" si="33"/>
        <v>1849220.5881250966</v>
      </c>
      <c r="CT14" s="206">
        <f t="shared" si="33"/>
        <v>1849220.5881250966</v>
      </c>
      <c r="CU14" s="206">
        <f t="shared" si="33"/>
        <v>1849220.5881250966</v>
      </c>
      <c r="CV14" s="206">
        <f t="shared" si="33"/>
        <v>1849220.5881250966</v>
      </c>
      <c r="CW14" s="206">
        <f t="shared" si="33"/>
        <v>1849220.5881250966</v>
      </c>
      <c r="CX14" s="206">
        <f t="shared" si="33"/>
        <v>1849220.5881250966</v>
      </c>
      <c r="CY14" s="206">
        <f t="shared" si="33"/>
        <v>1849220.5881250966</v>
      </c>
      <c r="CZ14" s="206">
        <f t="shared" si="33"/>
        <v>1849220.5881250966</v>
      </c>
      <c r="DA14" s="206">
        <f t="shared" si="33"/>
        <v>1849220.5881250966</v>
      </c>
      <c r="DB14" s="206">
        <f t="shared" si="33"/>
        <v>1849220.5881250966</v>
      </c>
      <c r="DC14" s="206">
        <f t="shared" si="33"/>
        <v>1849220.5881250966</v>
      </c>
      <c r="DD14" s="206">
        <f t="shared" si="33"/>
        <v>1849220.5881250966</v>
      </c>
      <c r="DE14" s="206">
        <f t="shared" si="33"/>
        <v>1849220.5881250966</v>
      </c>
      <c r="DF14" s="206">
        <f t="shared" si="33"/>
        <v>1849220.5881250966</v>
      </c>
      <c r="DG14" s="206">
        <f t="shared" si="33"/>
        <v>1849220.5881250966</v>
      </c>
      <c r="DH14" s="206">
        <f t="shared" si="33"/>
        <v>1849220.5881250966</v>
      </c>
      <c r="DI14" s="206">
        <f t="shared" si="33"/>
        <v>1849220.5881250966</v>
      </c>
      <c r="DJ14" s="206">
        <f t="shared" si="33"/>
        <v>1849220.5881250966</v>
      </c>
      <c r="DK14" s="206">
        <f t="shared" si="33"/>
        <v>1849220.5881250966</v>
      </c>
      <c r="DL14" s="206">
        <f t="shared" si="33"/>
        <v>1849220.5881250966</v>
      </c>
      <c r="DM14" s="206">
        <f t="shared" si="33"/>
        <v>1849220.5881250966</v>
      </c>
      <c r="DN14" s="206">
        <f t="shared" si="33"/>
        <v>1849220.5881250966</v>
      </c>
      <c r="DO14" s="206">
        <f t="shared" si="33"/>
        <v>1849220.5881250966</v>
      </c>
      <c r="DP14" s="206">
        <f t="shared" si="33"/>
        <v>1849220.5881250966</v>
      </c>
      <c r="DQ14" s="206">
        <f t="shared" si="33"/>
        <v>1849220.5881250966</v>
      </c>
      <c r="DR14" s="206">
        <f t="shared" si="33"/>
        <v>1849220.5881250966</v>
      </c>
      <c r="DS14" s="206">
        <f t="shared" si="33"/>
        <v>1849220.5881250966</v>
      </c>
      <c r="DT14" s="206">
        <f t="shared" si="33"/>
        <v>1849220.5881250966</v>
      </c>
      <c r="DU14" s="206">
        <f t="shared" si="33"/>
        <v>1849220.5881250966</v>
      </c>
      <c r="DV14" s="206">
        <f t="shared" si="33"/>
        <v>1849220.5881250966</v>
      </c>
      <c r="DW14" s="206">
        <f t="shared" si="33"/>
        <v>1849220.5881250966</v>
      </c>
      <c r="DX14" s="206">
        <f t="shared" si="33"/>
        <v>1849220.5881250966</v>
      </c>
      <c r="DY14" s="206">
        <f t="shared" si="33"/>
        <v>1849220.5881250966</v>
      </c>
      <c r="DZ14" s="206">
        <f t="shared" si="33"/>
        <v>1849220.5881250966</v>
      </c>
      <c r="EA14" s="206">
        <f t="shared" si="33"/>
        <v>1849220.5881250966</v>
      </c>
      <c r="EB14" s="206">
        <f t="shared" si="33"/>
        <v>1849220.5881250966</v>
      </c>
      <c r="EC14" s="206">
        <f t="shared" si="33"/>
        <v>1849220.5881250966</v>
      </c>
      <c r="ED14" s="206">
        <f t="shared" si="33"/>
        <v>1849220.5881250966</v>
      </c>
      <c r="EE14" s="206">
        <f t="shared" si="33"/>
        <v>1849220.5881250966</v>
      </c>
      <c r="EF14" s="206">
        <f t="shared" si="33"/>
        <v>1849220.5881250966</v>
      </c>
      <c r="EG14" s="206">
        <f t="shared" ref="EG14:GR14" si="34">EG10-EG12</f>
        <v>1849220.5881250966</v>
      </c>
      <c r="EH14" s="206">
        <f t="shared" si="34"/>
        <v>1849220.5881250966</v>
      </c>
      <c r="EI14" s="206">
        <f t="shared" si="34"/>
        <v>1849220.5881250966</v>
      </c>
      <c r="EJ14" s="206">
        <f t="shared" si="34"/>
        <v>1849220.5881250966</v>
      </c>
      <c r="EK14" s="206">
        <f t="shared" si="34"/>
        <v>1849220.5881250966</v>
      </c>
      <c r="EL14" s="206">
        <f t="shared" si="34"/>
        <v>1849220.5881250966</v>
      </c>
      <c r="EM14" s="206">
        <f t="shared" si="34"/>
        <v>1849220.5881250966</v>
      </c>
      <c r="EN14" s="206">
        <f t="shared" si="34"/>
        <v>1849220.5881250966</v>
      </c>
      <c r="EO14" s="206">
        <f t="shared" si="34"/>
        <v>1849220.5881250966</v>
      </c>
      <c r="EP14" s="206">
        <f t="shared" si="34"/>
        <v>1849220.5881250966</v>
      </c>
      <c r="EQ14" s="206">
        <f t="shared" si="34"/>
        <v>1849220.5881250966</v>
      </c>
      <c r="ER14" s="206">
        <f t="shared" si="34"/>
        <v>1849220.5881250966</v>
      </c>
      <c r="ES14" s="206">
        <f t="shared" si="34"/>
        <v>1849220.5881250966</v>
      </c>
      <c r="ET14" s="206">
        <f t="shared" si="34"/>
        <v>1849220.5881250966</v>
      </c>
      <c r="EU14" s="206">
        <f t="shared" si="34"/>
        <v>1849220.5881250966</v>
      </c>
      <c r="EV14" s="206">
        <f t="shared" si="34"/>
        <v>1849220.5881250966</v>
      </c>
      <c r="EW14" s="206">
        <f t="shared" si="34"/>
        <v>1849220.5881250966</v>
      </c>
      <c r="EX14" s="206">
        <f t="shared" si="34"/>
        <v>1849220.5881250966</v>
      </c>
      <c r="EY14" s="206">
        <f t="shared" si="34"/>
        <v>1849220.5881250966</v>
      </c>
      <c r="EZ14" s="206">
        <f t="shared" si="34"/>
        <v>1849220.5881250966</v>
      </c>
      <c r="FA14" s="206">
        <f t="shared" si="34"/>
        <v>1849220.5881250966</v>
      </c>
      <c r="FB14" s="206">
        <f t="shared" si="34"/>
        <v>1849220.5881250966</v>
      </c>
      <c r="FC14" s="206">
        <f t="shared" si="34"/>
        <v>1849220.5881250966</v>
      </c>
      <c r="FD14" s="206">
        <f t="shared" si="34"/>
        <v>1849220.5881250966</v>
      </c>
      <c r="FE14" s="206">
        <f t="shared" si="34"/>
        <v>1849220.5881250966</v>
      </c>
      <c r="FF14" s="206">
        <f t="shared" si="34"/>
        <v>1849220.5881250966</v>
      </c>
      <c r="FG14" s="206">
        <f t="shared" si="34"/>
        <v>1849220.5881250966</v>
      </c>
      <c r="FH14" s="206">
        <f t="shared" si="34"/>
        <v>1849220.5881250966</v>
      </c>
      <c r="FI14" s="206">
        <f t="shared" si="34"/>
        <v>1849220.5881250966</v>
      </c>
      <c r="FJ14" s="206">
        <f t="shared" si="34"/>
        <v>1849220.5881250966</v>
      </c>
      <c r="FK14" s="206">
        <f t="shared" si="34"/>
        <v>1849220.5881250966</v>
      </c>
      <c r="FL14" s="206">
        <f t="shared" si="34"/>
        <v>1849220.5881250966</v>
      </c>
      <c r="FM14" s="206">
        <f t="shared" si="34"/>
        <v>1849220.5881250966</v>
      </c>
      <c r="FN14" s="206">
        <f t="shared" si="34"/>
        <v>1849220.5881250966</v>
      </c>
      <c r="FO14" s="206">
        <f t="shared" si="34"/>
        <v>1849220.5881250966</v>
      </c>
      <c r="FP14" s="206">
        <f t="shared" si="34"/>
        <v>1849220.5881250966</v>
      </c>
      <c r="FQ14" s="206">
        <f t="shared" si="34"/>
        <v>1849220.5881250966</v>
      </c>
      <c r="FR14" s="206">
        <f t="shared" si="34"/>
        <v>1849220.5881250966</v>
      </c>
      <c r="FS14" s="206">
        <f t="shared" si="34"/>
        <v>1849220.5881250966</v>
      </c>
      <c r="FT14" s="206">
        <f t="shared" si="34"/>
        <v>1849220.5881250966</v>
      </c>
      <c r="FU14" s="206">
        <f t="shared" si="34"/>
        <v>1849220.5881250966</v>
      </c>
      <c r="FV14" s="206">
        <f t="shared" si="34"/>
        <v>1849220.5881250966</v>
      </c>
      <c r="FW14" s="206">
        <f t="shared" si="34"/>
        <v>1849220.5881250966</v>
      </c>
      <c r="FX14" s="206">
        <f t="shared" si="34"/>
        <v>1849220.5881250966</v>
      </c>
      <c r="FY14" s="206">
        <f t="shared" si="34"/>
        <v>1849220.5881250966</v>
      </c>
      <c r="FZ14" s="206">
        <f t="shared" si="34"/>
        <v>1849220.5881250966</v>
      </c>
      <c r="GA14" s="206">
        <f t="shared" si="34"/>
        <v>1849220.5881250966</v>
      </c>
      <c r="GB14" s="206">
        <f t="shared" si="34"/>
        <v>1849220.5881250966</v>
      </c>
      <c r="GC14" s="206">
        <f t="shared" si="34"/>
        <v>1849220.5881250966</v>
      </c>
      <c r="GD14" s="206">
        <f t="shared" si="34"/>
        <v>1849220.5881250966</v>
      </c>
      <c r="GE14" s="206">
        <f t="shared" si="34"/>
        <v>1849220.5881250966</v>
      </c>
      <c r="GF14" s="206">
        <f t="shared" si="34"/>
        <v>1849220.5881250966</v>
      </c>
      <c r="GG14" s="206">
        <f t="shared" si="34"/>
        <v>1849220.5881250966</v>
      </c>
      <c r="GH14" s="206">
        <f t="shared" si="34"/>
        <v>1849220.5881250966</v>
      </c>
      <c r="GI14" s="206">
        <f t="shared" si="34"/>
        <v>1849220.5881250966</v>
      </c>
      <c r="GJ14" s="206">
        <f t="shared" si="34"/>
        <v>1849220.5881250966</v>
      </c>
      <c r="GK14" s="206">
        <f t="shared" si="34"/>
        <v>1849220.5881250966</v>
      </c>
      <c r="GL14" s="206">
        <f t="shared" si="34"/>
        <v>1849220.5881250966</v>
      </c>
      <c r="GM14" s="206">
        <f t="shared" si="34"/>
        <v>1849220.5881250966</v>
      </c>
      <c r="GN14" s="206">
        <f t="shared" si="34"/>
        <v>1849220.5881250966</v>
      </c>
      <c r="GO14" s="206">
        <f t="shared" si="34"/>
        <v>1849220.5881250966</v>
      </c>
      <c r="GP14" s="206">
        <f t="shared" si="34"/>
        <v>1849220.5881250966</v>
      </c>
      <c r="GQ14" s="206">
        <f t="shared" si="34"/>
        <v>1849220.5881250966</v>
      </c>
      <c r="GR14" s="206">
        <f t="shared" si="34"/>
        <v>1849220.5881250966</v>
      </c>
      <c r="GS14" s="206">
        <f t="shared" ref="GS14:JD14" si="35">GS10-GS12</f>
        <v>1849220.5881250966</v>
      </c>
      <c r="GT14" s="206">
        <f t="shared" si="35"/>
        <v>1849220.5881250966</v>
      </c>
      <c r="GU14" s="206">
        <f t="shared" si="35"/>
        <v>1849220.5881250966</v>
      </c>
      <c r="GV14" s="206">
        <f t="shared" si="35"/>
        <v>1849220.5881250966</v>
      </c>
      <c r="GW14" s="206">
        <f t="shared" si="35"/>
        <v>1849220.5881250966</v>
      </c>
      <c r="GX14" s="206">
        <f t="shared" si="35"/>
        <v>1849220.5881250966</v>
      </c>
      <c r="GY14" s="206">
        <f t="shared" si="35"/>
        <v>1849220.5881250966</v>
      </c>
      <c r="GZ14" s="206">
        <f t="shared" si="35"/>
        <v>1849220.5881250966</v>
      </c>
      <c r="HA14" s="206">
        <f t="shared" si="35"/>
        <v>1849220.5881250966</v>
      </c>
      <c r="HB14" s="206">
        <f t="shared" si="35"/>
        <v>1849220.5881250966</v>
      </c>
      <c r="HC14" s="206">
        <f t="shared" si="35"/>
        <v>1849220.5881250966</v>
      </c>
      <c r="HD14" s="206">
        <f t="shared" si="35"/>
        <v>1849220.5881250966</v>
      </c>
      <c r="HE14" s="206">
        <f t="shared" si="35"/>
        <v>1849220.5881250966</v>
      </c>
      <c r="HF14" s="206">
        <f t="shared" si="35"/>
        <v>1849220.5881250966</v>
      </c>
      <c r="HG14" s="206">
        <f t="shared" si="35"/>
        <v>1849220.5881250966</v>
      </c>
      <c r="HH14" s="206">
        <f t="shared" si="35"/>
        <v>1849220.5881250966</v>
      </c>
      <c r="HI14" s="206">
        <f t="shared" si="35"/>
        <v>1849220.5881250966</v>
      </c>
      <c r="HJ14" s="206">
        <f t="shared" si="35"/>
        <v>1849220.5881250966</v>
      </c>
      <c r="HK14" s="206">
        <f t="shared" si="35"/>
        <v>1849220.5881250966</v>
      </c>
      <c r="HL14" s="206">
        <f t="shared" si="35"/>
        <v>1849220.5881250966</v>
      </c>
      <c r="HM14" s="206">
        <f t="shared" si="35"/>
        <v>1849220.5881250966</v>
      </c>
      <c r="HN14" s="206">
        <f t="shared" si="35"/>
        <v>1849220.5881250966</v>
      </c>
      <c r="HO14" s="206">
        <f t="shared" si="35"/>
        <v>1849220.5881250966</v>
      </c>
      <c r="HP14" s="206">
        <f t="shared" si="35"/>
        <v>1849220.5881250966</v>
      </c>
      <c r="HQ14" s="206">
        <f t="shared" si="35"/>
        <v>1849220.5881250966</v>
      </c>
      <c r="HR14" s="206">
        <f t="shared" si="35"/>
        <v>1849220.5881250966</v>
      </c>
      <c r="HS14" s="206">
        <f t="shared" si="35"/>
        <v>1849220.5881250966</v>
      </c>
      <c r="HT14" s="206">
        <f t="shared" si="35"/>
        <v>1849220.5881250966</v>
      </c>
      <c r="HU14" s="206">
        <f t="shared" si="35"/>
        <v>1849220.5881250966</v>
      </c>
      <c r="HV14" s="206">
        <f t="shared" si="35"/>
        <v>1849220.5881250966</v>
      </c>
      <c r="HW14" s="206">
        <f t="shared" si="35"/>
        <v>1849220.5881250966</v>
      </c>
      <c r="HX14" s="206">
        <f t="shared" si="35"/>
        <v>1849220.5881250966</v>
      </c>
      <c r="HY14" s="206">
        <f t="shared" si="35"/>
        <v>1849220.5881250966</v>
      </c>
      <c r="HZ14" s="206">
        <f t="shared" si="35"/>
        <v>1849220.5881250966</v>
      </c>
      <c r="IA14" s="206">
        <f t="shared" si="35"/>
        <v>1849220.5881250966</v>
      </c>
      <c r="IB14" s="206">
        <f t="shared" si="35"/>
        <v>1849220.5881250966</v>
      </c>
      <c r="IC14" s="206">
        <f t="shared" si="35"/>
        <v>1849220.5881250966</v>
      </c>
      <c r="ID14" s="206">
        <f t="shared" si="35"/>
        <v>1849220.5881250966</v>
      </c>
      <c r="IE14" s="206">
        <f t="shared" si="35"/>
        <v>1849220.5881250966</v>
      </c>
      <c r="IF14" s="206">
        <f t="shared" si="35"/>
        <v>1849220.5881250966</v>
      </c>
      <c r="IG14" s="206">
        <f t="shared" si="35"/>
        <v>1849220.5881250966</v>
      </c>
      <c r="IH14" s="206">
        <f t="shared" si="35"/>
        <v>1849220.5881250966</v>
      </c>
      <c r="II14" s="206">
        <f t="shared" si="35"/>
        <v>1849220.5881250966</v>
      </c>
      <c r="IJ14" s="206">
        <f t="shared" si="35"/>
        <v>1849220.5881250966</v>
      </c>
      <c r="IK14" s="206">
        <f t="shared" si="35"/>
        <v>1849220.5881250966</v>
      </c>
      <c r="IL14" s="206">
        <f t="shared" si="35"/>
        <v>1849220.5881250966</v>
      </c>
      <c r="IM14" s="206">
        <f t="shared" si="35"/>
        <v>1849220.5881250966</v>
      </c>
      <c r="IN14" s="206">
        <f t="shared" si="35"/>
        <v>1849220.5881250966</v>
      </c>
      <c r="IO14" s="206">
        <f t="shared" si="35"/>
        <v>1849220.5881250966</v>
      </c>
      <c r="IP14" s="206">
        <f t="shared" si="35"/>
        <v>1849220.5881250966</v>
      </c>
      <c r="IQ14" s="206">
        <f t="shared" si="35"/>
        <v>1849220.5881250966</v>
      </c>
      <c r="IR14" s="206">
        <f t="shared" si="35"/>
        <v>1849220.5881250966</v>
      </c>
      <c r="IS14" s="206">
        <f t="shared" si="35"/>
        <v>1849220.5881250966</v>
      </c>
      <c r="IT14" s="206">
        <f t="shared" si="35"/>
        <v>1849220.5881250966</v>
      </c>
      <c r="IU14" s="206">
        <f t="shared" si="35"/>
        <v>1849220.5881250966</v>
      </c>
      <c r="IV14" s="206">
        <f t="shared" si="35"/>
        <v>1849220.5881250966</v>
      </c>
      <c r="IW14" s="206">
        <f t="shared" si="35"/>
        <v>1849220.5881250966</v>
      </c>
      <c r="IX14" s="206">
        <f t="shared" si="35"/>
        <v>1849220.5881250966</v>
      </c>
      <c r="IY14" s="206">
        <f t="shared" si="35"/>
        <v>1849220.5881250966</v>
      </c>
      <c r="IZ14" s="206">
        <f t="shared" si="35"/>
        <v>1849220.5881250966</v>
      </c>
      <c r="JA14" s="206">
        <f t="shared" si="35"/>
        <v>1849220.5881250966</v>
      </c>
      <c r="JB14" s="206">
        <f t="shared" si="35"/>
        <v>1849220.5881250966</v>
      </c>
      <c r="JC14" s="206">
        <f t="shared" si="35"/>
        <v>1849220.5881250966</v>
      </c>
      <c r="JD14" s="206">
        <f t="shared" si="35"/>
        <v>1849220.5881250966</v>
      </c>
      <c r="JE14" s="206">
        <f t="shared" ref="JE14:LD14" si="36">JE10-JE12</f>
        <v>1849220.5881250966</v>
      </c>
      <c r="JF14" s="206">
        <f t="shared" si="36"/>
        <v>1849220.5881250966</v>
      </c>
      <c r="JG14" s="206">
        <f t="shared" si="36"/>
        <v>1849220.5881250966</v>
      </c>
      <c r="JH14" s="206">
        <f t="shared" si="36"/>
        <v>1849220.5881250966</v>
      </c>
      <c r="JI14" s="206">
        <f t="shared" si="36"/>
        <v>1849220.5881250966</v>
      </c>
      <c r="JJ14" s="206">
        <f t="shared" si="36"/>
        <v>1849220.5881250966</v>
      </c>
      <c r="JK14" s="206">
        <f t="shared" si="36"/>
        <v>1849220.5881250966</v>
      </c>
      <c r="JL14" s="206">
        <f t="shared" si="36"/>
        <v>1849220.5881250966</v>
      </c>
      <c r="JM14" s="206">
        <f t="shared" si="36"/>
        <v>1849220.5881250966</v>
      </c>
      <c r="JN14" s="206">
        <f t="shared" si="36"/>
        <v>1849220.5881250966</v>
      </c>
      <c r="JO14" s="206">
        <f t="shared" si="36"/>
        <v>1849220.5881250966</v>
      </c>
      <c r="JP14" s="206">
        <f t="shared" si="36"/>
        <v>1849220.5881250966</v>
      </c>
      <c r="JQ14" s="206">
        <f t="shared" si="36"/>
        <v>1849220.5881250966</v>
      </c>
      <c r="JR14" s="206">
        <f t="shared" si="36"/>
        <v>1849220.5881250966</v>
      </c>
      <c r="JS14" s="206">
        <f t="shared" si="36"/>
        <v>1849220.5881250966</v>
      </c>
      <c r="JT14" s="206">
        <f t="shared" si="36"/>
        <v>1849220.5881250966</v>
      </c>
      <c r="JU14" s="206">
        <f t="shared" si="36"/>
        <v>1849220.5881250966</v>
      </c>
      <c r="JV14" s="206">
        <f t="shared" si="36"/>
        <v>1849220.5881250966</v>
      </c>
      <c r="JW14" s="206">
        <f t="shared" si="36"/>
        <v>1849220.5881250966</v>
      </c>
      <c r="JX14" s="206">
        <f t="shared" si="36"/>
        <v>1849220.5881250966</v>
      </c>
      <c r="JY14" s="206">
        <f t="shared" si="36"/>
        <v>1849220.5881250966</v>
      </c>
      <c r="JZ14" s="206">
        <f t="shared" si="36"/>
        <v>1849220.5881250966</v>
      </c>
      <c r="KA14" s="206">
        <f t="shared" si="36"/>
        <v>1849220.5881250966</v>
      </c>
      <c r="KB14" s="206">
        <f t="shared" si="36"/>
        <v>1849220.5881250966</v>
      </c>
      <c r="KC14" s="206">
        <f t="shared" si="36"/>
        <v>1849220.5881250966</v>
      </c>
      <c r="KD14" s="206">
        <f t="shared" si="36"/>
        <v>1849220.5881250966</v>
      </c>
      <c r="KE14" s="206">
        <f t="shared" si="36"/>
        <v>1849220.5881250966</v>
      </c>
      <c r="KF14" s="206">
        <f t="shared" si="36"/>
        <v>1849220.5881250966</v>
      </c>
      <c r="KG14" s="206">
        <f t="shared" si="36"/>
        <v>1849220.5881250966</v>
      </c>
      <c r="KH14" s="206">
        <f t="shared" si="36"/>
        <v>1849220.5881250966</v>
      </c>
      <c r="KI14" s="206">
        <f t="shared" si="36"/>
        <v>1849220.5881250966</v>
      </c>
      <c r="KJ14" s="206">
        <f t="shared" si="36"/>
        <v>1849220.5881250966</v>
      </c>
      <c r="KK14" s="206">
        <f t="shared" si="36"/>
        <v>1849220.5881250966</v>
      </c>
      <c r="KL14" s="206">
        <f t="shared" si="36"/>
        <v>1849220.5881250966</v>
      </c>
      <c r="KM14" s="206">
        <f t="shared" si="36"/>
        <v>1849220.5881250966</v>
      </c>
      <c r="KN14" s="206">
        <f t="shared" si="36"/>
        <v>1849220.5881250966</v>
      </c>
      <c r="KO14" s="206">
        <f t="shared" si="36"/>
        <v>1849220.5881250966</v>
      </c>
      <c r="KP14" s="206">
        <f t="shared" si="36"/>
        <v>1849220.5881250966</v>
      </c>
      <c r="KQ14" s="206">
        <f t="shared" si="36"/>
        <v>1849220.5881250966</v>
      </c>
      <c r="KR14" s="206">
        <f t="shared" si="36"/>
        <v>1849220.5881250966</v>
      </c>
      <c r="KS14" s="206">
        <f t="shared" si="36"/>
        <v>1849220.5881250966</v>
      </c>
      <c r="KT14" s="206">
        <f t="shared" si="36"/>
        <v>1849220.5881250966</v>
      </c>
      <c r="KU14" s="206">
        <f t="shared" si="36"/>
        <v>1849220.5881250966</v>
      </c>
      <c r="KV14" s="206">
        <f t="shared" si="36"/>
        <v>1849220.5881250966</v>
      </c>
      <c r="KW14" s="206">
        <f t="shared" si="36"/>
        <v>1849220.5881250966</v>
      </c>
      <c r="KX14" s="206">
        <f t="shared" si="36"/>
        <v>1849220.5881250966</v>
      </c>
      <c r="KY14" s="206">
        <f t="shared" si="36"/>
        <v>1849220.5881250966</v>
      </c>
      <c r="KZ14" s="206">
        <f t="shared" si="36"/>
        <v>1849220.5881250966</v>
      </c>
      <c r="LA14" s="206">
        <f t="shared" si="36"/>
        <v>1849220.5881250966</v>
      </c>
      <c r="LB14" s="206">
        <f t="shared" si="36"/>
        <v>1849220.5881250966</v>
      </c>
      <c r="LC14" s="206">
        <f t="shared" si="36"/>
        <v>1849220.5881250966</v>
      </c>
      <c r="LD14" s="206">
        <f t="shared" si="36"/>
        <v>1849220.5881250966</v>
      </c>
    </row>
    <row r="15" spans="1:794" s="190" customFormat="1"/>
    <row r="16" spans="1:794" s="190" customFormat="1">
      <c r="C16" s="192" t="s">
        <v>237</v>
      </c>
      <c r="D16" s="192" t="s">
        <v>237</v>
      </c>
    </row>
    <row r="17" spans="1:316">
      <c r="A17" s="800"/>
      <c r="B17" s="194" t="s">
        <v>437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00"/>
      <c r="B18" s="194" t="s">
        <v>438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546875" defaultRowHeight="14.4"/>
  <cols>
    <col min="1" max="1" width="39.44140625" style="365" bestFit="1" customWidth="1"/>
    <col min="2" max="2" width="17.33203125" style="366" bestFit="1" customWidth="1"/>
    <col min="3" max="5" width="14.88671875" style="365" bestFit="1" customWidth="1"/>
    <col min="6" max="6" width="13.33203125" style="365" bestFit="1" customWidth="1"/>
    <col min="7" max="7" width="14.88671875" style="365" bestFit="1" customWidth="1"/>
    <col min="8" max="8" width="10.5546875" style="365" bestFit="1" customWidth="1"/>
    <col min="9" max="9" width="13.33203125" style="365" bestFit="1" customWidth="1"/>
    <col min="10" max="11" width="11.6640625" style="365" bestFit="1" customWidth="1"/>
    <col min="12" max="12" width="4.88671875" style="365" bestFit="1" customWidth="1"/>
    <col min="13" max="14" width="10.5546875" style="365" bestFit="1" customWidth="1"/>
    <col min="15" max="15" width="14.88671875" style="365" bestFit="1" customWidth="1"/>
    <col min="16" max="16" width="14.44140625" style="365" bestFit="1" customWidth="1"/>
    <col min="17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439</v>
      </c>
      <c r="B3" s="446" t="s">
        <v>440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443</v>
      </c>
      <c r="P4"/>
      <c r="Q4"/>
      <c r="R4"/>
      <c r="S4"/>
      <c r="T4"/>
    </row>
    <row r="5" spans="1:20">
      <c r="A5" s="447" t="s">
        <v>442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240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251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264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278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297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325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336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359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366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374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388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397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402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334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443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2" sqref="L12"/>
    </sheetView>
  </sheetViews>
  <sheetFormatPr defaultColWidth="8.44140625" defaultRowHeight="14.4"/>
  <cols>
    <col min="1" max="1" width="21.6640625" bestFit="1" customWidth="1"/>
    <col min="2" max="2" width="17.33203125" style="407" bestFit="1" customWidth="1"/>
    <col min="3" max="5" width="14.88671875" style="407" bestFit="1" customWidth="1"/>
    <col min="6" max="7" width="13.33203125" style="407" bestFit="1" customWidth="1"/>
    <col min="8" max="8" width="10.88671875" style="407" bestFit="1" customWidth="1"/>
    <col min="9" max="9" width="13.33203125" style="407" bestFit="1" customWidth="1"/>
    <col min="10" max="11" width="11.6640625" bestFit="1" customWidth="1"/>
    <col min="12" max="12" width="14.6640625" bestFit="1" customWidth="1"/>
    <col min="13" max="13" width="10.5546875" bestFit="1" customWidth="1"/>
    <col min="14" max="14" width="11" bestFit="1" customWidth="1"/>
    <col min="15" max="15" width="14.8867187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46" t="s">
        <v>444</v>
      </c>
      <c r="B3" s="446" t="s">
        <v>440</v>
      </c>
      <c r="C3"/>
      <c r="D3"/>
      <c r="E3"/>
      <c r="F3"/>
      <c r="G3"/>
      <c r="H3"/>
      <c r="I3"/>
    </row>
    <row r="4" spans="1:16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443</v>
      </c>
    </row>
    <row r="5" spans="1:16">
      <c r="A5" s="447" t="s">
        <v>442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240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251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264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278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297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325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336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359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366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374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388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397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402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384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443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33203125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02" t="s">
        <v>445</v>
      </c>
      <c r="C2" s="802"/>
      <c r="D2" s="802"/>
      <c r="E2" s="802"/>
      <c r="H2" s="803" t="s">
        <v>446</v>
      </c>
      <c r="I2" s="804"/>
      <c r="J2" s="804"/>
      <c r="K2" s="804"/>
      <c r="L2" s="804"/>
      <c r="M2" s="804"/>
      <c r="N2" s="804"/>
      <c r="O2" s="805"/>
    </row>
    <row r="3" spans="2:15">
      <c r="B3" s="691"/>
      <c r="H3" s="806"/>
      <c r="I3" s="807"/>
      <c r="J3" s="807"/>
      <c r="K3" s="807"/>
      <c r="L3" s="807"/>
      <c r="M3" s="807"/>
      <c r="N3" s="807"/>
      <c r="O3" s="808"/>
    </row>
    <row r="4" spans="2:15">
      <c r="B4" s="692" t="s">
        <v>447</v>
      </c>
      <c r="C4" s="693" t="str">
        <f>'Project Plan'!E2</f>
        <v>Umzimkhulu Mall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2" t="s">
        <v>448</v>
      </c>
      <c r="C5" s="693" t="s">
        <v>449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2" t="s">
        <v>450</v>
      </c>
      <c r="C6" s="693" t="s">
        <v>451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2" t="s">
        <v>452</v>
      </c>
      <c r="C7" s="693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1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453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454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94" t="s">
        <v>455</v>
      </c>
      <c r="C11" s="801" t="s">
        <v>456</v>
      </c>
      <c r="D11" s="801"/>
      <c r="E11" s="801"/>
    </row>
    <row r="12" spans="2:15">
      <c r="B12" s="694" t="s">
        <v>457</v>
      </c>
      <c r="C12" s="801" t="s">
        <v>456</v>
      </c>
      <c r="D12" s="801"/>
      <c r="E12" s="801"/>
    </row>
    <row r="13" spans="2:15">
      <c r="B13" s="694" t="s">
        <v>458</v>
      </c>
      <c r="C13" s="801" t="s">
        <v>456</v>
      </c>
      <c r="D13" s="801"/>
      <c r="E13" s="801"/>
    </row>
    <row r="14" spans="2:15">
      <c r="B14" s="694" t="s">
        <v>459</v>
      </c>
      <c r="C14" s="801" t="s">
        <v>460</v>
      </c>
      <c r="D14" s="801"/>
      <c r="E14" s="801"/>
    </row>
    <row r="15" spans="2:15">
      <c r="B15" s="694" t="s">
        <v>461</v>
      </c>
      <c r="C15" s="801" t="s">
        <v>462</v>
      </c>
      <c r="D15" s="801"/>
      <c r="E15" s="801"/>
    </row>
    <row r="16" spans="2:15" ht="15" customHeight="1">
      <c r="B16" s="694" t="s">
        <v>463</v>
      </c>
      <c r="C16" s="801" t="s">
        <v>464</v>
      </c>
      <c r="D16" s="801"/>
      <c r="E16" s="801"/>
    </row>
    <row r="17" spans="2:5">
      <c r="B17" s="691"/>
    </row>
    <row r="18" spans="2:5">
      <c r="B18" s="813" t="s">
        <v>465</v>
      </c>
      <c r="C18" s="813"/>
      <c r="D18" s="813"/>
      <c r="E18" s="813"/>
    </row>
    <row r="19" spans="2:5">
      <c r="B19" s="694" t="s">
        <v>466</v>
      </c>
      <c r="C19" s="694" t="s">
        <v>467</v>
      </c>
      <c r="D19" s="694" t="s">
        <v>468</v>
      </c>
      <c r="E19" s="694" t="s">
        <v>62</v>
      </c>
    </row>
    <row r="20" spans="2:5" ht="15" customHeight="1">
      <c r="B20" s="694" t="s">
        <v>469</v>
      </c>
      <c r="C20" s="694" t="s">
        <v>470</v>
      </c>
      <c r="D20" s="695" t="s">
        <v>471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472</v>
      </c>
    </row>
    <row r="2" spans="1:4">
      <c r="A2" s="815"/>
      <c r="B2" s="815"/>
      <c r="C2" s="815"/>
      <c r="D2" s="71"/>
    </row>
    <row r="3" spans="1:4">
      <c r="A3" s="814" t="s">
        <v>473</v>
      </c>
      <c r="B3" s="814"/>
      <c r="C3" s="814"/>
      <c r="D3" s="111">
        <v>0.32</v>
      </c>
    </row>
    <row r="4" spans="1:4">
      <c r="A4" s="814" t="s">
        <v>414</v>
      </c>
      <c r="B4" s="814"/>
      <c r="C4" s="814"/>
      <c r="D4" s="111">
        <v>0.5</v>
      </c>
    </row>
    <row r="5" spans="1:4">
      <c r="A5" s="814" t="s">
        <v>425</v>
      </c>
      <c r="B5" s="814"/>
      <c r="C5" s="814"/>
      <c r="D5" s="111">
        <v>0.15</v>
      </c>
    </row>
    <row r="6" spans="1:4">
      <c r="A6" s="814" t="s">
        <v>474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6" t="s">
        <v>475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6" t="s">
        <v>497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476</v>
      </c>
      <c r="C4" s="86"/>
      <c r="D4" s="90" t="s">
        <v>477</v>
      </c>
      <c r="E4" s="95"/>
      <c r="F4" s="95"/>
      <c r="G4" s="90" t="s">
        <v>498</v>
      </c>
      <c r="H4" s="96"/>
      <c r="J4" s="90" t="s">
        <v>479</v>
      </c>
      <c r="L4" s="90" t="s">
        <v>499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476</v>
      </c>
      <c r="C18" s="86"/>
      <c r="D18" s="90" t="s">
        <v>477</v>
      </c>
      <c r="E18" s="95"/>
      <c r="F18" s="95"/>
      <c r="G18" s="90" t="s">
        <v>501</v>
      </c>
      <c r="H18" s="96"/>
      <c r="J18" s="90" t="s">
        <v>479</v>
      </c>
      <c r="L18" s="90" t="s">
        <v>502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504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505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506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508</v>
      </c>
      <c r="C32" s="103"/>
      <c r="D32" s="103"/>
    </row>
    <row r="33" spans="2:4" ht="13.8" thickTop="1"/>
    <row r="34" spans="2:4">
      <c r="B34" s="88" t="s">
        <v>477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509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18" t="str">
        <f>D15</f>
        <v>Umzimkhulu Mall</v>
      </c>
      <c r="C1" s="818"/>
      <c r="D1" s="818"/>
      <c r="E1" s="817" t="s">
        <v>510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511</v>
      </c>
      <c r="C3" s="72" t="s">
        <v>512</v>
      </c>
      <c r="D3" s="72" t="s">
        <v>513</v>
      </c>
      <c r="E3" s="78" t="s">
        <v>514</v>
      </c>
      <c r="F3" s="78" t="s">
        <v>515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6939D060-087F-4E10-8FA8-7A1C04AD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2026-03-06T10:49:55Z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