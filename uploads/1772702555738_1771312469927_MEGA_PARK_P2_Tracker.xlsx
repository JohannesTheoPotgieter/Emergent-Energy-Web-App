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5" documentId="13_ncr:1_{D2F617B6-A72E-44B2-805B-0B28AB8D119F}" xr6:coauthVersionLast="47" xr6:coauthVersionMax="47" xr10:uidLastSave="{C4B4F111-D821-44BF-8046-56A13EE043F4}"/>
  <bookViews>
    <workbookView minimized="1" xWindow="-27150" yWindow="2625" windowWidth="21600" windowHeight="11175" tabRatio="742" firstSheet="2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2" l="1"/>
  <c r="K64" i="2" s="1"/>
  <c r="I65" i="2" s="1"/>
  <c r="K65" i="2" s="1"/>
  <c r="I66" i="2" s="1"/>
  <c r="K66" i="2" s="1"/>
  <c r="I67" i="2" s="1"/>
  <c r="K67" i="2" s="1"/>
  <c r="K63" i="2"/>
  <c r="K62" i="2"/>
  <c r="I63" i="2"/>
  <c r="J60" i="2"/>
  <c r="Q37" i="2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7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8" i="2"/>
  <c r="G42" i="2"/>
  <c r="G34" i="4"/>
  <c r="K16" i="2"/>
  <c r="K17" i="2" s="1"/>
  <c r="K15" i="2"/>
  <c r="J142" i="4"/>
  <c r="G58" i="2" l="1"/>
  <c r="E57" i="2"/>
  <c r="J116" i="4"/>
  <c r="Z87" i="4"/>
  <c r="E49" i="4"/>
  <c r="E41" i="4"/>
  <c r="K20" i="2"/>
  <c r="K4" i="13" l="1"/>
  <c r="E50" i="2"/>
  <c r="G57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0" i="2"/>
  <c r="E52" i="2" s="1"/>
  <c r="G52" i="2" s="1"/>
  <c r="E53" i="2" s="1"/>
  <c r="G53" i="2" s="1"/>
  <c r="E54" i="2" s="1"/>
  <c r="G54" i="2" s="1"/>
  <c r="E55" i="2" s="1"/>
  <c r="G55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7" i="2"/>
  <c r="M57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8" i="2" l="1"/>
  <c r="K58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K61" i="2" l="1"/>
  <c r="I50" i="2"/>
  <c r="I51" i="2"/>
  <c r="K51" i="2" s="1"/>
  <c r="L136" i="4"/>
  <c r="B138" i="4"/>
  <c r="K60" i="2" l="1"/>
  <c r="I62" i="2"/>
  <c r="I60" i="2" s="1"/>
  <c r="B140" i="4"/>
  <c r="L140" i="4" s="1"/>
  <c r="L138" i="4"/>
  <c r="I19" i="2" l="1"/>
  <c r="G49" i="4" l="1"/>
  <c r="H17" i="3" l="1"/>
  <c r="K14" i="2"/>
  <c r="G1" i="6"/>
  <c r="H1" i="6" l="1"/>
  <c r="K19" i="2"/>
  <c r="G9" i="6" l="1"/>
  <c r="I1" i="6"/>
  <c r="H9" i="6" s="1"/>
  <c r="I57" i="2"/>
  <c r="K22" i="2"/>
  <c r="H3" i="6" l="1"/>
  <c r="J1" i="6"/>
  <c r="I3" i="6" s="1"/>
  <c r="K57" i="2"/>
  <c r="R41" i="4"/>
  <c r="I22" i="2"/>
  <c r="R54" i="4"/>
  <c r="V6" i="4"/>
  <c r="G11" i="6" l="1"/>
  <c r="H11" i="6"/>
  <c r="I11" i="6"/>
  <c r="I9" i="6"/>
  <c r="K1" i="6"/>
  <c r="J3" i="6" s="1"/>
  <c r="K29" i="2"/>
  <c r="I29" i="2"/>
  <c r="H9" i="3"/>
  <c r="J11" i="6" l="1"/>
  <c r="K11" i="6"/>
  <c r="J9" i="6"/>
  <c r="L1" i="6"/>
  <c r="K3" i="6"/>
  <c r="K36" i="2"/>
  <c r="I36" i="2"/>
  <c r="H10" i="3"/>
  <c r="G28" i="4"/>
  <c r="J28" i="4" s="1"/>
  <c r="L11" i="6" l="1"/>
  <c r="K9" i="6"/>
  <c r="M1" i="6"/>
  <c r="L3" i="6"/>
  <c r="F10" i="3"/>
  <c r="J10" i="3" s="1"/>
  <c r="M11" i="6" l="1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M9" i="6" l="1"/>
  <c r="O1" i="6"/>
  <c r="N3" i="6"/>
  <c r="K50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2" i="2"/>
  <c r="K52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I53" i="2" l="1"/>
  <c r="K53" i="2" s="1"/>
  <c r="I54" i="2" s="1"/>
  <c r="K54" i="2" s="1"/>
  <c r="I55" i="2" s="1"/>
  <c r="K55" i="2" s="1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G6" i="6" l="1"/>
  <c r="AH16" i="6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6" i="6" l="1"/>
  <c r="AQ3" i="6"/>
  <c r="AQ9" i="6"/>
  <c r="AS1" i="6"/>
  <c r="AR16" i="6"/>
  <c r="AR5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6" i="6" l="1"/>
  <c r="AR11" i="6"/>
  <c r="AR9" i="6"/>
  <c r="AR3" i="6"/>
  <c r="AT1" i="6"/>
  <c r="AS16" i="6"/>
  <c r="AS5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6" i="6" l="1"/>
  <c r="AS11" i="6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6" i="6" l="1"/>
  <c r="AW9" i="6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K12" i="6"/>
  <c r="J14" i="6"/>
  <c r="Q4" i="6"/>
  <c r="P7" i="6"/>
  <c r="W10" i="6"/>
  <c r="Q49" i="4"/>
  <c r="X11" i="6" s="1"/>
  <c r="Q50" i="4"/>
  <c r="AI11" i="6" s="1"/>
  <c r="Q2" i="13"/>
  <c r="Q5" i="13" s="1"/>
  <c r="BW6" i="6" l="1"/>
  <c r="BX11" i="6"/>
  <c r="BY1" i="6"/>
  <c r="BX9" i="6"/>
  <c r="BX3" i="6"/>
  <c r="BX16" i="6"/>
  <c r="BX5" i="6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X6" i="6" l="1"/>
  <c r="BY11" i="6"/>
  <c r="BZ1" i="6"/>
  <c r="BY3" i="6"/>
  <c r="BY16" i="6"/>
  <c r="BY5" i="6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Y6" i="6" l="1"/>
  <c r="BZ11" i="6"/>
  <c r="BY17" i="6"/>
  <c r="CA1" i="6"/>
  <c r="BZ3" i="6"/>
  <c r="BZ16" i="6"/>
  <c r="BZ5" i="6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6" i="6" l="1"/>
  <c r="BZ9" i="6"/>
  <c r="CA11" i="6"/>
  <c r="BZ17" i="6"/>
  <c r="CB1" i="6"/>
  <c r="CA3" i="6"/>
  <c r="CA16" i="6"/>
  <c r="CA5" i="6"/>
  <c r="O12" i="6"/>
  <c r="N14" i="6"/>
  <c r="U4" i="6"/>
  <c r="T7" i="6"/>
  <c r="AA10" i="6"/>
  <c r="D21" i="13"/>
  <c r="D28" i="13" s="1"/>
  <c r="D29" i="13" s="1"/>
  <c r="AF10" i="13"/>
  <c r="CA6" i="6" l="1"/>
  <c r="CA17" i="6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3" i="6"/>
  <c r="CR1" i="6"/>
  <c r="D9" i="6"/>
  <c r="AJ4" i="6"/>
  <c r="AI7" i="6"/>
  <c r="AP10" i="6"/>
  <c r="AD12" i="6"/>
  <c r="AC14" i="6"/>
  <c r="CQ6" i="6" l="1"/>
  <c r="CR11" i="6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9" i="6" l="1"/>
  <c r="DX1" i="6"/>
  <c r="DW3" i="6"/>
  <c r="DW16" i="6"/>
  <c r="DW17" i="6" s="1"/>
  <c r="DW11" i="6"/>
  <c r="DW5" i="6"/>
  <c r="DW6" i="6" s="1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17" i="6" l="1"/>
  <c r="EB1" i="6"/>
  <c r="EA9" i="6"/>
  <c r="EA3" i="6"/>
  <c r="EA16" i="6"/>
  <c r="EA11" i="6"/>
  <c r="EA5" i="6"/>
  <c r="EA6" i="6" s="1"/>
  <c r="CA10" i="6"/>
  <c r="BT4" i="6"/>
  <c r="BS7" i="6"/>
  <c r="BN12" i="6"/>
  <c r="BM14" i="6"/>
  <c r="EC1" i="6" l="1"/>
  <c r="EB9" i="6"/>
  <c r="EB3" i="6"/>
  <c r="EB16" i="6"/>
  <c r="EB17" i="6" s="1"/>
  <c r="EB11" i="6"/>
  <c r="EB5" i="6"/>
  <c r="EB6" i="6" s="1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<sst xmlns="http://schemas.openxmlformats.org/spreadsheetml/2006/main" count="1007" uniqueCount="582">
  <si>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</si>
  <si>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</si>
  <si>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</si>
  <si>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</si>
  <si>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</si>
  <si>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</si>
  <si>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</si>
  <si>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</si>
  <si>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</si>
  <si>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</si>
  <si>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</si>
  <si>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</si>
  <si>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</si>
  <si>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</si>
  <si>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</si>
  <si>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</si>
  <si>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</si>
  <si>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</si>
  <si>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</si>
  <si>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</si>
  <si>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</si>
  <si>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</si>
  <si>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</si>
  <si>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</si>
  <si>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</si>
  <si>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</si>
  <si>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</si>
  <si>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</si>
  <si>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</si>
  <si>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</si>
  <si>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</si>
  <si>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</si>
  <si>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</si>
  <si>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</si>
  <si>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</si>
  <si>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</si>
  <si>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</si>
  <si>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</si>
  <si>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</si>
  <si>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</si>
  <si>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</si>
  <si>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</si>
  <si>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</si>
  <si>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</si>
  <si>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</si>
  <si>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</si>
  <si>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</si>
  <si>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</si>
  <si>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</si>
  <si>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</si>
  <si>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</si>
  <si>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</si>
  <si>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</si>
  <si>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</si>
  <si>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</si>
  <si>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</si>
  <si>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</si>
  <si>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</si>
  <si>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</si>
  <si>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</si>
  <si>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</si>
  <si>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</si>
  <si>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</si>
  <si>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</si>
  <si>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</si>
  <si>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</si>
  <si>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</si>
  <si>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</si>
  <si>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</si>
  <si>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</si>
  <si>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</si>
  <si>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</si>
  <si>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</si>
  <si>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</si>
  <si>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</si>
  <si>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</si>
  <si>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</si>
  <si>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</si>
  <si>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</si>
  <si>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</si>
  <si>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</si>
  <si>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</si>
  <si>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</si>
  <si>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</si>
  <si>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</si>
  <si>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</si>
  <si>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</si>
  <si>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</si>
  <si>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</si>
  <si>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</si>
  <si>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</si>
  <si>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</si>
  <si>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</si>
  <si>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</si>
  <si>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</si>
  <si>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</si>
  <si>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</si>
  <si>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</si>
  <si>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</si>
  <si>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</si>
  <si>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</si>
  <si>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</si>
  <si>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</si>
  <si>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</si>
  <si>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</si>
  <si>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</si>
  <si>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</si>
  <si>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</si>
  <si>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</si>
  <si>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</si>
  <si>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</si>
  <si>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</si>
  <si>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</si>
  <si>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</si>
  <si>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</si>
  <si>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</si>
  <si>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</si>
  <si>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</si>
  <si>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</si>
  <si>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</si>
  <si>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</si>
  <si>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</si>
  <si>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</si>
  <si>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</si>
  <si>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</si>
  <si>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</si>
  <si>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</si>
  <si>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</si>
  <si>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</si>
  <si>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</si>
  <si>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</si>
  <si>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</si>
  <si>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</si>
  <si>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</si>
  <si>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</si>
  <si>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</si>
  <si>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</si>
  <si>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</si>
  <si>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</si>
  <si>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</si>
  <si>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</si>
  <si>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</si>
  <si>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</si>
  <si>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</si>
  <si>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</si>
  <si>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</si>
  <si>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</si>
  <si>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</si>
  <si>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</si>
  <si>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</si>
  <si>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</si>
  <si>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</si>
  <si>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</si>
  <si>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</si>
  <si>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</si>
  <si>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</si>
  <si>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</si>
  <si>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</si>
  <si>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</si>
  <si>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</si>
  <si>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</si>
  <si>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</si>
  <si>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</si>
  <si>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</si>
  <si>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</si>
  <si>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</si>
  <si>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</si>
  <si>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</si>
  <si>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</si>
  <si>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</si>
  <si>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</si>
  <si>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</si>
  <si>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</si>
  <si>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</si>
  <si>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</si>
  <si>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</si>
  <si>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</si>
  <si>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</si>
  <si>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</si>
  <si>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</si>
  <si>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</si>
  <si>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</si>
  <si>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</si>
  <si>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</si>
  <si>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</si>
  <si>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</si>
  <si>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</si>
  <si>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</si>
  <si>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</si>
  <si>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</si>
  <si>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</si>
  <si>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</si>
  <si>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</si>
  <si>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</si>
  <si>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</si>
  <si>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</si>
  <si>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</si>
  <si>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</si>
  <si>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</si>
  <si>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</si>
  <si>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</si>
  <si>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</si>
  <si>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</si>
  <si>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</si>
  <si>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</si>
  <si>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</si>
  <si>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</si>
  <si>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</si>
  <si>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</si>
  <si>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</si>
  <si>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</si>
  <si>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</si>
  <si>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</si>
  <si>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</si>
  <si>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</si>
  <si>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</si>
  <si>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</si>
  <si>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</si>
  <si>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</si>
  <si>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</si>
  <si>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</si>
  <si>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</si>
  <si>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</si>
  <si>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</si>
  <si>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</si>
  <si>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</si>
  <si>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</si>
  <si>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</si>
  <si>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</si>
  <si>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</si>
  <si>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</si>
  <si>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</si>
  <si>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</si>
  <si>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</si>
  <si>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</si>
  <si>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</si>
  <si>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</si>
  <si>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</si>
  <si>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</si>
  <si>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</si>
  <si>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</si>
  <si>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</si>
  <si>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</si>
  <si>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</si>
  <si>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</si>
  <si>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</si>
  <si>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</si>
  <si>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</si>
  <si>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</si>
  <si>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</si>
  <si>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</si>
  <si>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</si>
  <si>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</si>
  <si>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</si>
  <si>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</si>
  <si>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</si>
  <si>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</si>
  <si>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</si>
  <si>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</si>
  <si>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</si>
  <si>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</si>
  <si>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</si>
  <si>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</si>
  <si>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</si>
  <si>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</si>
  <si>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</si>
  <si>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</si>
  <si>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</si>
  <si>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</si>
  <si>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</si>
  <si>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</si>
  <si>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</si>
  <si>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</si>
  <si>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</si>
  <si>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</si>
  <si>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</si>
  <si>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</si>
  <si>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</si>
  <si>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</si>
  <si>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</si>
  <si>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</si>
  <si>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</si>
  <si>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</si>
  <si>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</si>
  <si>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</si>
  <si>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</si>
  <si>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</si>
  <si>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</si>
  <si>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</si>
  <si>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</si>
  <si>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</si>
  <si>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</si>
  <si>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</si>
  <si>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</si>
  <si>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</si>
  <si>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</si>
  <si>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</si>
  <si>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</si>
  <si>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</si>
  <si>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</si>
  <si>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</si>
  <si>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</si>
  <si>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</si>
  <si>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</si>
  <si>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</si>
  <si>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</si>
  <si>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</si>
  <si>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</si>
  <si>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</si>
  <si>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</si>
  <si>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</si>
  <si>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</si>
  <si>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</si>
  <si>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</si>
  <si>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</si>
  <si>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</si>
  <si>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</si>
  <si>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</si>
  <si>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</si>
  <si>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</si>
  <si>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</si>
  <si>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</si>
  <si>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</si>
  <si>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</si>
  <si>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</si>
  <si>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</si>
  <si>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</si>
  <si>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</si>
  <si>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</si>
  <si>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</si>
  <si>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</si>
  <si>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</si>
  <si>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</si>
  <si>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</si>
  <si>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</si>
  <si>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</si>
  <si>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</si>
  <si>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</si>
  <si>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</si>
  <si>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</si>
  <si>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</si>
  <si>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</si>
  <si>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</si>
  <si>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</si>
  <si>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</si>
  <si>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</si>
  <si>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</si>
  <si>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</si>
  <si>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</si>
  <si>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</si>
  <si>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</si>
  <si>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</si>
  <si>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</si>
  <si>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</si>
  <si>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</si>
  <si>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</si>
  <si>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</si>
  <si>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</si>
  <si>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</si>
  <si>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</si>
  <si>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</si>
  <si>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</si>
  <si>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</si>
  <si>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</si>
  <si>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</si>
  <si>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</si>
  <si>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</si>
  <si>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</si>
  <si>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</si>
  <si>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</si>
  <si>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</si>
  <si>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</si>
  <si>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</si>
  <si>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</si>
  <si>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</si>
  <si>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</si>
  <si>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</si>
  <si>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</si>
  <si>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</si>
  <si>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</si>
  <si>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</si>
  <si>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</si>
  <si>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</si>
  <si>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</si>
  <si>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</si>
  <si>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</si>
  <si>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</si>
  <si>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</si>
  <si>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</si>
  <si>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</si>
  <si>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</si>
  <si>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</si>
  <si>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</si>
  <si>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</si>
  <si>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</si>
  <si>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</si>
  <si>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</si>
  <si>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</si>
  <si>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</si>
  <si>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</si>
  <si>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</si>
  <si>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</si>
  <si>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</si>
  <si>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</si>
  <si>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</si>
  <si>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</si>
  <si>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</si>
  <si>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</si>
  <si>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</si>
  <si>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</si>
  <si>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</si>
  <si>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</si>
  <si>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</si>
  <si>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</si>
  <si>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</si>
  <si>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</si>
  <si>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</si>
  <si>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</si>
  <si>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</si>
  <si>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</si>
  <si>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</si>
  <si>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</si>
  <si>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</si>
  <si>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</si>
  <si>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</si>
  <si>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</si>
  <si>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</si>
  <si>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</si>
  <si>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</si>
  <si>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</si>
  <si>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</si>
  <si>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</si>
  <si>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</si>
  <si>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</si>
  <si>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</si>
  <si>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</si>
  <si>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</si>
  <si>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</si>
  <si>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</si>
  <si>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</si>
  <si>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</si>
  <si>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</si>
  <si>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</si>
  <si>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</si>
  <si>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</si>
  <si>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</si>
  <si>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</si>
  <si>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</si>
  <si>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</si>
  <si>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</si>
  <si>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</si>
  <si>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</si>
  <si>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</si>
  <si>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</si>
  <si>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</si>
  <si>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</si>
  <si>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</si>
  <si>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</si>
  <si>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</si>
  <si>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</si>
  <si>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</si>
  <si>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</si>
  <si>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</si>
  <si>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</si>
  <si>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</si>
  <si>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</si>
  <si>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</si>
  <si>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</si>
  <si>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</si>
  <si>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</si>
  <si>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</si>
  <si>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</si>
  <si>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</si>
  <si>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</si>
  <si>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</si>
  <si>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</si>
  <si>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</si>
  <si>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</si>
  <si>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</si>
  <si>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</si>
  <si>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</si>
  <si>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</si>
  <si>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</si>
  <si>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</si>
  <si>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</si>
  <si>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</si>
  <si>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</si>
  <si>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</si>
  <si>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</si>
  <si>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</si>
  <si>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</si>
  <si>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</si>
  <si>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</si>
  <si>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</si>
  <si>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</si>
  <si>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</si>
  <si>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</si>
  <si>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</si>
  <si>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</si>
  <si>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</si>
  <si>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</si>
  <si>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</si>
  <si>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</si>
  <si>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</si>
  <si>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</si>
  <si>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</si>
  <si>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</si>
  <si>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</si>
  <si>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</si>
  <si>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</si>
  <si>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</si>
  <si>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</si>
  <si>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</si>
  <si>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</si>
  <si>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</si>
  <si>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</si>
  <si>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</si>
  <si>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</si>
  <si>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</si>
  <si>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</si>
  <si>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</si>
  <si>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</si>
  <si>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</si>
  <si>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</si>
  <si>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</si>
  <si>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</si>
  <si>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</si>
  <si>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</si>
  <si>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</si>
  <si>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</si>
  <si>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</si>
  <si>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</si>
  <si>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</si>
  <si>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</si>
  <si>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</si>
  <si>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</si>
  <si>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</si>
  <si>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</si>
  <si>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</si>
  <si>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</si>
  <si>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</si>
  <si>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</si>
  <si>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</si>
  <si>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</si>
  <si>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</si>
  <si>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</si>
  <si>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</si>
  <si>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</si>
  <si>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</si>
  <si>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</si>
  <si>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</si>
  <si>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</si>
  <si>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</si>
  <si>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</si>
  <si>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</si>
  <si>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</si>
  <si>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</si>
  <si>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</si>
  <si>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</si>
  <si>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</si>
  <si>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</si>
  <si>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</si>
  <si>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</si>
  <si>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</si>
  <si>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DLP</t>
  </si>
  <si>
    <t>SSEG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</si>
  <si>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</si>
  <si>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</si>
  <si>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</si>
  <si>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</si>
  <si>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</si>
  <si>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</si>
  <si>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</si>
  <si>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</si>
  <si>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</si>
  <si>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Control Phil Submission</t>
  </si>
  <si>
    <t>Control Phil Approval</t>
  </si>
  <si>
    <t>Onsite Meeting - SCADA &amp; Control Stakeholders</t>
  </si>
  <si>
    <t>Control Phil Pre-Approval</t>
  </si>
  <si>
    <t>Implementation</t>
  </si>
  <si>
    <t>Testing &amp; Monitoring</t>
  </si>
  <si>
    <t>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</si>
</sst>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167" fontId="7" fillId="13" borderId="66" xfId="0" applyNumberFormat="1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Plan'!$I$14:$I$58</c:f>
              <c:numCache>
                <c:formatCode>d\-mmm\-yy</c:formatCode>
                <c:ptCount val="45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6">
                  <c:v>45352</c:v>
                </c:pt>
                <c:pt idx="37">
                  <c:v>45397</c:v>
                </c:pt>
                <c:pt idx="38">
                  <c:v>45380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3">
                  <c:v>45333</c:v>
                </c:pt>
                <c:pt idx="44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Plan'!$J$14:$J$58</c:f>
              <c:numCache>
                <c:formatCode>General</c:formatCode>
                <c:ptCount val="4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6">
                  <c:v>20</c:v>
                </c:pt>
                <c:pt idx="37">
                  <c:v>20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3">
                  <c:v>15</c:v>
                </c:pt>
                <c:pt idx="4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53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254250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5429687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54296875" style="24" customWidth="1"/>
    <col min="10" max="10" width="47.54296875" style="24" bestFit="1" customWidth="1"/>
    <col min="11" max="11" width="6.5429687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7" t="s">
        <v>57</v>
      </c>
      <c r="E47" s="917"/>
      <c r="F47" s="918"/>
      <c r="G47" s="67"/>
      <c r="I47" s="68"/>
      <c r="J47" s="68"/>
    </row>
    <row r="48" spans="1:49" ht="14.5" thickBot="1">
      <c r="C48" s="69">
        <v>44014</v>
      </c>
      <c r="D48" s="919"/>
      <c r="E48" s="919"/>
      <c r="F48" s="92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4296875" defaultRowHeight="12.5"/>
  <cols>
    <col min="1" max="1" width="5.54296875" style="94" customWidth="1"/>
    <col min="2" max="2" width="4.453125" style="101" customWidth="1"/>
    <col min="3" max="3" width="19.54296875" style="97" customWidth="1"/>
    <col min="4" max="4" width="17.453125" style="97" bestFit="1" customWidth="1"/>
    <col min="5" max="5" width="7.453125" style="97" customWidth="1"/>
    <col min="6" max="6" width="17.453125" style="97" bestFit="1" customWidth="1"/>
    <col min="7" max="7" width="4.54296875" style="97" customWidth="1"/>
    <col min="8" max="8" width="15.54296875" style="97" customWidth="1"/>
    <col min="9" max="9" width="1.54296875" style="94" customWidth="1"/>
    <col min="10" max="10" width="15.54296875" style="94" customWidth="1"/>
    <col min="11" max="11" width="14.453125" style="97" bestFit="1" customWidth="1"/>
    <col min="12" max="12" width="15.453125" style="97" customWidth="1"/>
    <col min="13" max="13" width="5.453125" style="97" customWidth="1"/>
    <col min="14" max="14" width="116.453125" style="97" customWidth="1"/>
    <col min="15" max="15" width="4.453125" style="97" customWidth="1"/>
    <col min="16" max="16" width="14.453125" style="97" customWidth="1"/>
    <col min="17" max="17" width="10.453125" style="94" bestFit="1" customWidth="1"/>
    <col min="18" max="19" width="8.54296875" style="94"/>
    <col min="20" max="20" width="5.54296875" style="94" bestFit="1" customWidth="1"/>
    <col min="21" max="21" width="14.54296875" style="94" bestFit="1" customWidth="1"/>
    <col min="22" max="22" width="8.54296875" style="94"/>
    <col min="23" max="23" width="14.453125" style="94" bestFit="1" customWidth="1"/>
    <col min="24" max="24" width="8.54296875" style="97"/>
    <col min="25" max="25" width="12.54296875" style="97" bestFit="1" customWidth="1"/>
    <col min="26" max="16384" width="8.5429687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 ht="13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 ht="13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6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21" t="s">
        <v>77</v>
      </c>
      <c r="D13" s="921"/>
      <c r="E13" s="112">
        <v>0.3</v>
      </c>
      <c r="F13" s="113">
        <f>535734.1725/1.15</f>
        <v>465855.80217391305</v>
      </c>
      <c r="G13" s="231"/>
      <c r="H13" s="836">
        <f>+'Project Plan'!G16+7</f>
        <v>44971</v>
      </c>
      <c r="I13" s="231"/>
      <c r="J13" s="836">
        <v>45386</v>
      </c>
      <c r="K13" s="94"/>
      <c r="L13" s="832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1"/>
      <c r="D14" s="852"/>
      <c r="E14" s="112"/>
      <c r="F14" s="113">
        <f>2000000/1.15</f>
        <v>1739130.4347826089</v>
      </c>
      <c r="G14" s="231"/>
      <c r="H14" s="836">
        <v>44971</v>
      </c>
      <c r="I14" s="231"/>
      <c r="J14" s="836">
        <v>45387</v>
      </c>
      <c r="K14" s="94"/>
      <c r="L14" s="832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1"/>
      <c r="D15" s="852"/>
      <c r="E15" s="112"/>
      <c r="F15" s="113">
        <f>2000000/1.15</f>
        <v>1739130.4347826089</v>
      </c>
      <c r="G15" s="231"/>
      <c r="H15" s="836">
        <v>44971</v>
      </c>
      <c r="I15" s="231"/>
      <c r="J15" s="836">
        <v>45392</v>
      </c>
      <c r="K15" s="94"/>
      <c r="L15" s="832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1"/>
      <c r="D16" s="852"/>
      <c r="E16" s="112"/>
      <c r="F16" s="113">
        <f>2000000/1.15</f>
        <v>1739130.4347826089</v>
      </c>
      <c r="G16" s="231"/>
      <c r="H16" s="836">
        <v>44971</v>
      </c>
      <c r="I16" s="231"/>
      <c r="J16" s="836">
        <v>45397</v>
      </c>
      <c r="K16" s="94"/>
      <c r="L16" s="832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1"/>
      <c r="D17" s="852"/>
      <c r="E17" s="112"/>
      <c r="F17" s="113">
        <f>6281702.63091813-F13-F14-F15-F16</f>
        <v>598455.52439639019</v>
      </c>
      <c r="G17" s="231"/>
      <c r="H17" s="836">
        <v>44971</v>
      </c>
      <c r="I17" s="231"/>
      <c r="J17" s="836">
        <v>45398</v>
      </c>
      <c r="K17" s="94"/>
      <c r="L17" s="832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24" t="s">
        <v>80</v>
      </c>
      <c r="D18" s="925"/>
      <c r="E18" s="112">
        <v>0.2</v>
      </c>
      <c r="F18" s="113">
        <v>1140674.9103862187</v>
      </c>
      <c r="G18" s="231"/>
      <c r="H18" s="836">
        <v>44970</v>
      </c>
      <c r="I18" s="231"/>
      <c r="J18" s="836">
        <v>45398</v>
      </c>
      <c r="K18" s="99"/>
      <c r="L18" s="832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1"/>
      <c r="D19" s="852"/>
      <c r="E19" s="112"/>
      <c r="F19" s="113">
        <v>1739130.4347826089</v>
      </c>
      <c r="G19" s="231"/>
      <c r="H19" s="836">
        <v>44970</v>
      </c>
      <c r="I19" s="231"/>
      <c r="J19" s="836">
        <v>45399</v>
      </c>
      <c r="K19" s="99"/>
      <c r="L19" s="832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1"/>
      <c r="D20" s="852"/>
      <c r="E20" s="112"/>
      <c r="F20" s="113">
        <f>4187801.75394542-F18-F19</f>
        <v>1307996.4087765925</v>
      </c>
      <c r="G20" s="231"/>
      <c r="H20" s="836">
        <v>44970</v>
      </c>
      <c r="I20" s="231"/>
      <c r="J20" s="836">
        <v>45401</v>
      </c>
      <c r="K20" s="99"/>
      <c r="L20" s="832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24" t="s">
        <v>81</v>
      </c>
      <c r="D21" s="925"/>
      <c r="E21" s="112">
        <v>0.25</v>
      </c>
      <c r="F21" s="113">
        <v>431134.02600601641</v>
      </c>
      <c r="G21" s="231"/>
      <c r="H21" s="836">
        <f>+'Project Plan'!G23+7+30</f>
        <v>45148</v>
      </c>
      <c r="I21" s="231"/>
      <c r="J21" s="836">
        <v>45401</v>
      </c>
      <c r="K21" s="94"/>
      <c r="L21" s="832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1"/>
      <c r="D22" s="852"/>
      <c r="E22" s="112"/>
      <c r="F22" s="113">
        <v>1739130.4347826089</v>
      </c>
      <c r="G22" s="231"/>
      <c r="H22" s="836">
        <v>45148</v>
      </c>
      <c r="I22" s="231"/>
      <c r="J22" s="836">
        <v>45407</v>
      </c>
      <c r="K22" s="94"/>
      <c r="L22" s="832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1"/>
      <c r="D23" s="852"/>
      <c r="E23" s="112"/>
      <c r="F23" s="113">
        <v>1739130.4347826089</v>
      </c>
      <c r="G23" s="231"/>
      <c r="H23" s="836">
        <v>45148</v>
      </c>
      <c r="I23" s="231"/>
      <c r="J23" s="836">
        <v>45408</v>
      </c>
      <c r="K23" s="94"/>
      <c r="L23" s="832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1"/>
      <c r="D24" s="852"/>
      <c r="E24" s="112"/>
      <c r="F24" s="113">
        <f>1000000/1.15</f>
        <v>869565.21739130444</v>
      </c>
      <c r="G24" s="231"/>
      <c r="H24" s="836">
        <v>45148</v>
      </c>
      <c r="I24" s="231"/>
      <c r="J24" s="836">
        <v>45411</v>
      </c>
      <c r="K24" s="94"/>
      <c r="L24" s="832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1"/>
      <c r="D25" s="852"/>
      <c r="E25" s="112"/>
      <c r="F25" s="113">
        <f>5234752.19243177-F21-F22-F23-F24</f>
        <v>455792.07946923119</v>
      </c>
      <c r="G25" s="231"/>
      <c r="H25" s="836">
        <v>45148</v>
      </c>
      <c r="I25" s="231"/>
      <c r="J25" s="836">
        <v>45412</v>
      </c>
      <c r="L25" s="832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24" t="s">
        <v>82</v>
      </c>
      <c r="D26" s="925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2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21" t="s">
        <v>84</v>
      </c>
      <c r="D27" s="921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2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21" t="s">
        <v>85</v>
      </c>
      <c r="D28" s="921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2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21"/>
      <c r="D29" s="921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22" t="s">
        <v>86</v>
      </c>
      <c r="D30" s="923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 ht="13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7"/>
    </row>
    <row r="39" spans="2:10" s="94" customFormat="1">
      <c r="B39" s="95"/>
      <c r="C39" s="515" t="s">
        <v>93</v>
      </c>
      <c r="D39" s="513"/>
      <c r="J39" s="838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70"/>
  <sheetViews>
    <sheetView tabSelected="1" topLeftCell="A40" zoomScale="115" zoomScaleNormal="115" workbookViewId="0">
      <selection activeCell="O66" sqref="O66"/>
    </sheetView>
  </sheetViews>
  <sheetFormatPr defaultColWidth="8.54296875" defaultRowHeight="14"/>
  <cols>
    <col min="1" max="1" width="1.54296875" style="88" customWidth="1"/>
    <col min="2" max="2" width="4.54296875" style="93" customWidth="1"/>
    <col min="3" max="3" width="50.08984375" style="91" customWidth="1"/>
    <col min="4" max="4" width="3.453125" style="88" customWidth="1"/>
    <col min="5" max="5" width="14.453125" style="91" customWidth="1"/>
    <col min="6" max="6" width="10.54296875" style="121" customWidth="1"/>
    <col min="7" max="7" width="13.54296875" style="142" customWidth="1"/>
    <col min="8" max="8" width="5.54296875" style="88" customWidth="1"/>
    <col min="9" max="9" width="13.54296875" style="88" customWidth="1"/>
    <col min="10" max="10" width="11.453125" style="122" customWidth="1"/>
    <col min="11" max="11" width="14.54296875" style="88" customWidth="1"/>
    <col min="12" max="12" width="2.453125" style="88" customWidth="1"/>
    <col min="13" max="13" width="12.453125" style="615" customWidth="1"/>
    <col min="14" max="14" width="2.54296875" style="88" customWidth="1"/>
    <col min="15" max="15" width="55.54296875" style="88" bestFit="1" customWidth="1"/>
    <col min="16" max="16" width="5.453125" style="468" customWidth="1"/>
    <col min="17" max="24" width="8.54296875" style="88"/>
    <col min="25" max="16384" width="8.5429687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>
      <c r="B2" s="123"/>
      <c r="C2" s="461" t="s">
        <v>0</v>
      </c>
      <c r="D2" s="462"/>
      <c r="E2" s="904" t="s">
        <v>101</v>
      </c>
      <c r="F2" s="905"/>
      <c r="G2" s="905"/>
      <c r="H2" s="906"/>
    </row>
    <row r="3" spans="2:27" s="88" customFormat="1">
      <c r="B3" s="124"/>
      <c r="C3" s="463" t="s">
        <v>102</v>
      </c>
      <c r="D3" s="462"/>
      <c r="E3" s="853">
        <v>1749.93</v>
      </c>
      <c r="F3" s="464"/>
      <c r="G3" s="465"/>
      <c r="H3" s="466"/>
      <c r="J3" s="122"/>
      <c r="M3" s="615"/>
      <c r="P3" s="468"/>
    </row>
    <row r="4" spans="2:27" s="88" customFormat="1">
      <c r="B4" s="124"/>
      <c r="C4" s="463" t="s">
        <v>103</v>
      </c>
      <c r="D4" s="462"/>
      <c r="E4" s="907" t="s">
        <v>104</v>
      </c>
      <c r="F4" s="908"/>
      <c r="G4" s="908"/>
      <c r="H4" s="909"/>
      <c r="J4" s="122"/>
      <c r="M4" s="615"/>
      <c r="P4" s="468"/>
    </row>
    <row r="5" spans="2:27" s="88" customFormat="1">
      <c r="B5" s="124"/>
      <c r="C5" s="463" t="s">
        <v>105</v>
      </c>
      <c r="D5" s="462"/>
      <c r="E5" s="907" t="s">
        <v>106</v>
      </c>
      <c r="F5" s="908"/>
      <c r="G5" s="908"/>
      <c r="H5" s="909"/>
      <c r="J5" s="122"/>
      <c r="M5" s="615"/>
      <c r="P5" s="468"/>
    </row>
    <row r="6" spans="2:27" s="88" customFormat="1">
      <c r="B6" s="124"/>
      <c r="C6" s="463" t="s">
        <v>107</v>
      </c>
      <c r="D6" s="462"/>
      <c r="E6" s="907" t="s">
        <v>108</v>
      </c>
      <c r="F6" s="908"/>
      <c r="G6" s="908"/>
      <c r="H6" s="909"/>
      <c r="J6" s="122"/>
      <c r="M6" s="615"/>
      <c r="P6" s="468"/>
    </row>
    <row r="7" spans="2:27" s="88" customFormat="1" hidden="1">
      <c r="B7" s="124"/>
      <c r="C7" s="463" t="s">
        <v>109</v>
      </c>
      <c r="D7" s="462"/>
      <c r="E7" s="907" t="s">
        <v>110</v>
      </c>
      <c r="F7" s="908"/>
      <c r="G7" s="908"/>
      <c r="H7" s="909"/>
      <c r="J7" s="122"/>
      <c r="M7" s="615"/>
      <c r="P7" s="468"/>
    </row>
    <row r="8" spans="2:27" s="88" customFormat="1">
      <c r="B8" s="124"/>
      <c r="C8" s="463" t="s">
        <v>111</v>
      </c>
      <c r="D8" s="462"/>
      <c r="E8" s="853" t="s">
        <v>112</v>
      </c>
      <c r="F8" s="464"/>
      <c r="G8" s="854"/>
      <c r="H8" s="855"/>
      <c r="J8" s="122"/>
      <c r="M8" s="615"/>
      <c r="P8" s="468"/>
    </row>
    <row r="9" spans="2:27">
      <c r="B9" s="125"/>
      <c r="C9" s="467" t="s">
        <v>113</v>
      </c>
      <c r="D9" s="462"/>
      <c r="E9" s="912">
        <v>20939008.769727092</v>
      </c>
      <c r="F9" s="913"/>
      <c r="G9" s="913"/>
      <c r="H9" s="914"/>
    </row>
    <row r="10" spans="2:27" s="88" customFormat="1">
      <c r="B10" s="89"/>
      <c r="C10" s="899" t="s">
        <v>563</v>
      </c>
      <c r="D10" s="585"/>
      <c r="E10" s="900" t="s">
        <v>564</v>
      </c>
      <c r="F10" s="121"/>
      <c r="G10" s="90"/>
      <c r="J10" s="122"/>
      <c r="M10" s="615"/>
      <c r="P10" s="468"/>
    </row>
    <row r="11" spans="2:27" ht="30" customHeight="1">
      <c r="B11" s="901" t="s">
        <v>69</v>
      </c>
      <c r="C11" s="902" t="s">
        <v>114</v>
      </c>
      <c r="E11" s="915" t="s">
        <v>115</v>
      </c>
      <c r="F11" s="450" t="s">
        <v>116</v>
      </c>
      <c r="G11" s="915" t="s">
        <v>117</v>
      </c>
      <c r="H11" s="121"/>
      <c r="I11" s="915" t="s">
        <v>118</v>
      </c>
      <c r="J11" s="450" t="s">
        <v>116</v>
      </c>
      <c r="K11" s="915" t="s">
        <v>119</v>
      </c>
      <c r="M11" s="621" t="s">
        <v>120</v>
      </c>
      <c r="O11" s="910" t="s">
        <v>121</v>
      </c>
      <c r="Y11" s="88"/>
      <c r="Z11" s="88"/>
      <c r="AA11" s="88"/>
    </row>
    <row r="12" spans="2:27">
      <c r="B12" s="902"/>
      <c r="C12" s="903"/>
      <c r="E12" s="916"/>
      <c r="F12" s="451">
        <f>G45-E20</f>
        <v>185</v>
      </c>
      <c r="G12" s="916"/>
      <c r="H12" s="121"/>
      <c r="I12" s="916"/>
      <c r="J12" s="127">
        <f>K45-I20</f>
        <v>234</v>
      </c>
      <c r="K12" s="916"/>
      <c r="M12" s="622">
        <f>AVERAGE(M14,M19,M22,M29,M36,M42,M47,M57)</f>
        <v>1</v>
      </c>
      <c r="N12" s="128"/>
      <c r="O12" s="911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$53,_xlpm.r,$M$10:$M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$53,_xlpm.r,$N$10:$N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>
      <c r="B47" s="129">
        <v>7</v>
      </c>
      <c r="C47" s="130" t="s">
        <v>169</v>
      </c>
      <c r="E47" s="598">
        <f>MIN(E48:E55)</f>
        <v>45302</v>
      </c>
      <c r="F47" s="460">
        <f>SUM(F48:F53)</f>
        <v>12</v>
      </c>
      <c r="G47" s="598">
        <f>MAX(G48:G55)</f>
        <v>45322</v>
      </c>
      <c r="H47" s="90"/>
      <c r="I47" s="598">
        <f>MIN(I48:I55)</f>
        <v>45330</v>
      </c>
      <c r="J47" s="460">
        <f>SUM(J48:J53)</f>
        <v>58</v>
      </c>
      <c r="K47" s="598">
        <f>MAX(K48:K55)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1" t="s">
        <v>170</v>
      </c>
      <c r="C48" s="141" t="s">
        <v>171</v>
      </c>
      <c r="E48" s="454">
        <f>WORKDAY.INTL(E50,0,1,Data!$C$3:$C$14)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1" t="s">
        <v>172</v>
      </c>
      <c r="C49" s="827" t="s">
        <v>173</v>
      </c>
      <c r="D49" s="91"/>
      <c r="E49" s="828"/>
      <c r="F49" s="829"/>
      <c r="G49" s="828"/>
      <c r="H49" s="830"/>
      <c r="I49" s="828">
        <v>45356</v>
      </c>
      <c r="J49" s="829">
        <v>15</v>
      </c>
      <c r="K49" s="828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1" t="s">
        <v>174</v>
      </c>
      <c r="C50" s="141" t="s">
        <v>175</v>
      </c>
      <c r="E50" s="454">
        <f>WORKDAY.INTL(G58,0,1,Data!$C$3:$C$14)</f>
        <v>45302</v>
      </c>
      <c r="F50" s="452">
        <v>3</v>
      </c>
      <c r="G50" s="454">
        <f>WORKDAY.INTL(E50,F50,1,Data!$C$3:$C$14)</f>
        <v>45307</v>
      </c>
      <c r="H50" s="121"/>
      <c r="I50" s="454">
        <f>WORKDAY.INTL(K58,0,1,Data!$C$3:$C$14)</f>
        <v>45352</v>
      </c>
      <c r="J50" s="452">
        <v>20</v>
      </c>
      <c r="K50" s="454">
        <f>WORKDAY.INTL(I50,J50,1,Data!$C$3:$C$14)</f>
        <v>45380</v>
      </c>
      <c r="M50" s="617">
        <v>1</v>
      </c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1" t="s">
        <v>174</v>
      </c>
      <c r="C51" s="141" t="s">
        <v>176</v>
      </c>
      <c r="E51" s="454"/>
      <c r="F51" s="452"/>
      <c r="G51" s="454"/>
      <c r="H51" s="121"/>
      <c r="I51" s="454">
        <f>WORKDAY.INTL(K58,0,1,Data!$C$3:$C$14)+45</f>
        <v>45397</v>
      </c>
      <c r="J51" s="452">
        <v>20</v>
      </c>
      <c r="K51" s="454">
        <f>WORKDAY.INTL(I51,J51,1,Data!$C$3:$C$14)</f>
        <v>45425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1" t="s">
        <v>177</v>
      </c>
      <c r="C52" s="141" t="s">
        <v>178</v>
      </c>
      <c r="E52" s="454">
        <f>WORKDAY.INTL(G50,0,1,Data!$C$3:$C$14)</f>
        <v>45307</v>
      </c>
      <c r="F52" s="452">
        <v>7</v>
      </c>
      <c r="G52" s="454">
        <f>WORKDAY.INTL(E52,F52,1,Data!$C$3:$C$14)</f>
        <v>45316</v>
      </c>
      <c r="H52" s="121"/>
      <c r="I52" s="454">
        <f>WORKDAY.INTL(K50,0,1,Data!$C$3:$C$14)</f>
        <v>45380</v>
      </c>
      <c r="J52" s="452">
        <v>1</v>
      </c>
      <c r="K52" s="454">
        <f>WORKDAY.INTL(I52,J52,1,Data!$C$3:$C$14)</f>
        <v>45383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1" t="s">
        <v>179</v>
      </c>
      <c r="C53" s="141" t="s">
        <v>180</v>
      </c>
      <c r="E53" s="454">
        <f>WORKDAY.INTL(G52,0,1,Data!$C$3:$C$14)</f>
        <v>45316</v>
      </c>
      <c r="F53" s="452">
        <v>2</v>
      </c>
      <c r="G53" s="454">
        <f>WORKDAY.INTL(E53,F53,1,Data!$C$3:$C$14)</f>
        <v>45320</v>
      </c>
      <c r="H53" s="121"/>
      <c r="I53" s="454">
        <f>WORKDAY.INTL(K52,0,1,Data!$C$3:$C$14)+8</f>
        <v>45391</v>
      </c>
      <c r="J53" s="452">
        <v>1</v>
      </c>
      <c r="K53" s="454">
        <f>WORKDAY.INTL(I53,J53,1,Data!$C$3:$C$14)</f>
        <v>45392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1" t="s">
        <v>181</v>
      </c>
      <c r="C54" s="141" t="s">
        <v>182</v>
      </c>
      <c r="E54" s="454">
        <f>WORKDAY.INTL(G53,0,1,Data!$C$3:$C$14)</f>
        <v>45320</v>
      </c>
      <c r="F54" s="452">
        <v>1</v>
      </c>
      <c r="G54" s="454">
        <f>WORKDAY.INTL(E54,F54,1,Data!$C$3:$C$14)</f>
        <v>45321</v>
      </c>
      <c r="H54" s="121"/>
      <c r="I54" s="454">
        <f>WORKDAY.INTL(K53,0,1,Data!$C$3:$C$14)</f>
        <v>45392</v>
      </c>
      <c r="J54" s="452">
        <v>1</v>
      </c>
      <c r="K54" s="454">
        <f>WORKDAY.INTL(I54,J54,1,Data!$C$3:$C$14)</f>
        <v>45393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1" t="s">
        <v>183</v>
      </c>
      <c r="C55" s="141" t="s">
        <v>184</v>
      </c>
      <c r="E55" s="454">
        <f>WORKDAY.INTL(G54,0,1,Data!$C$3:$C$14)</f>
        <v>45321</v>
      </c>
      <c r="F55" s="452">
        <v>1</v>
      </c>
      <c r="G55" s="454">
        <f>WORKDAY.INTL(E55,F55,1,Data!$C$3:$C$14)</f>
        <v>45322</v>
      </c>
      <c r="H55" s="121"/>
      <c r="I55" s="454">
        <f>WORKDAY.INTL(K54,0,1,Data!$C$3:$C$14)</f>
        <v>45393</v>
      </c>
      <c r="J55" s="452">
        <v>1</v>
      </c>
      <c r="K55" s="454">
        <f>WORKDAY.INTL(I55,J55,1,Data!$C$3:$C$14)</f>
        <v>45394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 ht="4.5" customHeight="1">
      <c r="B56" s="89"/>
      <c r="E56" s="135"/>
      <c r="F56" s="457"/>
      <c r="G56" s="135"/>
      <c r="H56" s="121"/>
      <c r="I56" s="135"/>
      <c r="J56" s="457"/>
      <c r="K56" s="135"/>
      <c r="L56" s="131"/>
      <c r="M56" s="619"/>
      <c r="N56" s="131"/>
      <c r="O56" s="131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126" customFormat="1">
      <c r="B57" s="129">
        <v>8</v>
      </c>
      <c r="C57" s="130" t="s">
        <v>185</v>
      </c>
      <c r="E57" s="598">
        <f>MIN(E58)</f>
        <v>45302</v>
      </c>
      <c r="F57" s="460">
        <f>SUM(F58)</f>
        <v>1</v>
      </c>
      <c r="G57" s="598">
        <f>MAX(G58)</f>
        <v>45302</v>
      </c>
      <c r="H57" s="90"/>
      <c r="I57" s="598">
        <f>MIN(I58)</f>
        <v>45333</v>
      </c>
      <c r="J57" s="460">
        <f>SUM(J58)</f>
        <v>15</v>
      </c>
      <c r="K57" s="598">
        <f>MAX(K58)</f>
        <v>45352</v>
      </c>
      <c r="M57" s="616">
        <f>(J58*M58)/J57</f>
        <v>1</v>
      </c>
      <c r="N57" s="458"/>
      <c r="O57" s="132"/>
      <c r="P57" s="521"/>
      <c r="Q57" s="458"/>
      <c r="R57" s="458"/>
      <c r="S57" s="458"/>
      <c r="T57" s="458"/>
      <c r="U57" s="458"/>
      <c r="V57" s="458"/>
      <c r="W57" s="458"/>
      <c r="X57" s="458"/>
      <c r="Y57" s="458"/>
      <c r="Z57" s="458"/>
      <c r="AA57" s="458"/>
    </row>
    <row r="58" spans="2:27">
      <c r="B58" s="133" t="s">
        <v>186</v>
      </c>
      <c r="C58" s="141" t="s">
        <v>187</v>
      </c>
      <c r="E58" s="140">
        <f>+G45+21</f>
        <v>45302</v>
      </c>
      <c r="F58" s="135">
        <v>1</v>
      </c>
      <c r="G58" s="140">
        <f>WORKDAY.INTL(E58,0,1,Data!$C$3:$C$14)</f>
        <v>45302</v>
      </c>
      <c r="H58" s="121"/>
      <c r="I58" s="140">
        <f>+K45+3</f>
        <v>45333</v>
      </c>
      <c r="J58" s="135">
        <v>15</v>
      </c>
      <c r="K58" s="140">
        <f>WORKDAY.INTL(I58,J58,1,Data!$C$3:$C$14)</f>
        <v>45352</v>
      </c>
      <c r="M58" s="617">
        <v>1</v>
      </c>
      <c r="N58" s="131"/>
      <c r="O58" s="137"/>
      <c r="X58" s="91"/>
    </row>
    <row r="59" spans="2:27" s="88" customFormat="1" ht="4.5" customHeight="1">
      <c r="B59" s="89"/>
      <c r="E59" s="135"/>
      <c r="F59" s="457"/>
      <c r="G59" s="135"/>
      <c r="H59" s="121"/>
      <c r="I59" s="135"/>
      <c r="J59" s="457"/>
      <c r="K59" s="135"/>
      <c r="L59" s="131"/>
      <c r="M59" s="619"/>
      <c r="N59" s="131"/>
      <c r="O59" s="137"/>
      <c r="P59" s="52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</row>
    <row r="60" spans="2:27">
      <c r="B60" s="129">
        <v>9</v>
      </c>
      <c r="C60" s="130" t="s">
        <v>565</v>
      </c>
      <c r="D60" s="126"/>
      <c r="E60" s="598"/>
      <c r="F60" s="460"/>
      <c r="G60" s="598"/>
      <c r="H60" s="90"/>
      <c r="I60" s="598">
        <f>MIN(I61:I69)</f>
        <v>46064</v>
      </c>
      <c r="J60" s="460">
        <f>SUM(J61:J67)</f>
        <v>41</v>
      </c>
      <c r="K60" s="598">
        <f>MAX(K61:K69)</f>
        <v>46121</v>
      </c>
      <c r="L60" s="126"/>
      <c r="M60" s="623">
        <v>1</v>
      </c>
      <c r="N60" s="131"/>
      <c r="O60" s="137"/>
      <c r="X60" s="91"/>
    </row>
    <row r="61" spans="2:27">
      <c r="B61" s="811" t="s">
        <v>566</v>
      </c>
      <c r="C61" s="141" t="s">
        <v>575</v>
      </c>
      <c r="E61" s="454"/>
      <c r="F61" s="452"/>
      <c r="G61" s="454"/>
      <c r="H61" s="121"/>
      <c r="I61" s="454">
        <v>46064</v>
      </c>
      <c r="J61" s="452">
        <v>2</v>
      </c>
      <c r="K61" s="454">
        <f>WORKDAY.INTL(I61,J61,1,Data!$C$3:$C$14)</f>
        <v>46066</v>
      </c>
      <c r="M61" s="617">
        <v>0</v>
      </c>
      <c r="N61" s="131"/>
      <c r="O61" s="137"/>
      <c r="X61" s="91"/>
    </row>
    <row r="62" spans="2:27">
      <c r="B62" s="811" t="s">
        <v>567</v>
      </c>
      <c r="C62" s="141" t="s">
        <v>578</v>
      </c>
      <c r="D62" s="91"/>
      <c r="E62" s="828"/>
      <c r="F62" s="829"/>
      <c r="G62" s="828"/>
      <c r="H62" s="830"/>
      <c r="I62" s="454">
        <f>WORKDAY.INTL(K61,0,1,Data!$C$3:$C$14)</f>
        <v>46066</v>
      </c>
      <c r="J62" s="829">
        <v>15</v>
      </c>
      <c r="K62" s="454">
        <f>WORKDAY.INTL(I62,J62,1,Data!$C$3:$C$14)</f>
        <v>46087</v>
      </c>
      <c r="M62" s="617">
        <v>0</v>
      </c>
      <c r="N62" s="131"/>
      <c r="O62" s="137"/>
      <c r="X62" s="91"/>
    </row>
    <row r="63" spans="2:27">
      <c r="B63" s="811" t="s">
        <v>568</v>
      </c>
      <c r="C63" s="141" t="s">
        <v>577</v>
      </c>
      <c r="D63" s="91"/>
      <c r="E63" s="828"/>
      <c r="F63" s="829"/>
      <c r="G63" s="828"/>
      <c r="H63" s="830"/>
      <c r="I63" s="454">
        <f>WORKDAY.INTL(K62,0,1,Data!$C$3:$C$14)</f>
        <v>46087</v>
      </c>
      <c r="J63" s="829">
        <v>2</v>
      </c>
      <c r="K63" s="454">
        <f>WORKDAY.INTL(I63,J63,1,Data!$C$3:$C$14)</f>
        <v>46091</v>
      </c>
      <c r="M63" s="617">
        <v>0</v>
      </c>
      <c r="N63" s="131"/>
      <c r="O63" s="137"/>
      <c r="X63" s="91"/>
    </row>
    <row r="64" spans="2:27">
      <c r="B64" s="811" t="s">
        <v>569</v>
      </c>
      <c r="C64" s="141" t="s">
        <v>576</v>
      </c>
      <c r="E64" s="454"/>
      <c r="F64" s="452"/>
      <c r="G64" s="454"/>
      <c r="H64" s="121"/>
      <c r="I64" s="454">
        <f>WORKDAY.INTL(K63,0,1,Data!$C$3:$C$14)</f>
        <v>46091</v>
      </c>
      <c r="J64" s="452">
        <v>10</v>
      </c>
      <c r="K64" s="454">
        <f>WORKDAY.INTL(I64,J64,1,Data!$C$3:$C$14)</f>
        <v>46105</v>
      </c>
      <c r="M64" s="617">
        <v>0</v>
      </c>
      <c r="N64" s="131"/>
      <c r="O64" s="137"/>
      <c r="X64" s="91"/>
    </row>
    <row r="65" spans="2:24">
      <c r="B65" s="811" t="s">
        <v>570</v>
      </c>
      <c r="C65" s="141" t="s">
        <v>579</v>
      </c>
      <c r="E65" s="454"/>
      <c r="F65" s="452"/>
      <c r="G65" s="454"/>
      <c r="H65" s="121"/>
      <c r="I65" s="454">
        <f>WORKDAY.INTL(K64,0,1,Data!$C$3:$C$14)</f>
        <v>46105</v>
      </c>
      <c r="J65" s="452">
        <v>5</v>
      </c>
      <c r="K65" s="454">
        <f>WORKDAY.INTL(I65,J65,1,Data!$C$3:$C$14)</f>
        <v>46112</v>
      </c>
      <c r="M65" s="617">
        <v>0</v>
      </c>
      <c r="N65" s="131"/>
      <c r="O65" s="137"/>
      <c r="X65" s="91"/>
    </row>
    <row r="66" spans="2:24">
      <c r="B66" s="811" t="s">
        <v>571</v>
      </c>
      <c r="C66" s="141" t="s">
        <v>580</v>
      </c>
      <c r="E66" s="454"/>
      <c r="F66" s="452"/>
      <c r="G66" s="454"/>
      <c r="H66" s="121"/>
      <c r="I66" s="454">
        <f>WORKDAY.INTL(K65,0,1,Data!$C$3:$C$14)</f>
        <v>46112</v>
      </c>
      <c r="J66" s="452">
        <v>5</v>
      </c>
      <c r="K66" s="454">
        <f>WORKDAY.INTL(I66,J66,1,Data!$C$3:$C$14)</f>
        <v>46119</v>
      </c>
      <c r="M66" s="617">
        <v>0</v>
      </c>
      <c r="N66" s="131"/>
      <c r="O66" s="137"/>
      <c r="X66" s="91"/>
    </row>
    <row r="67" spans="2:24">
      <c r="B67" s="811" t="s">
        <v>572</v>
      </c>
      <c r="C67" s="141" t="s">
        <v>581</v>
      </c>
      <c r="E67" s="454"/>
      <c r="F67" s="452"/>
      <c r="G67" s="454"/>
      <c r="H67" s="121"/>
      <c r="I67" s="454">
        <f>WORKDAY.INTL(K66,0,1,Data!$C$3:$C$14)</f>
        <v>46119</v>
      </c>
      <c r="J67" s="452">
        <v>2</v>
      </c>
      <c r="K67" s="454">
        <f>WORKDAY.INTL(I67,J67,1,Data!$C$3:$C$14)</f>
        <v>46121</v>
      </c>
      <c r="M67" s="617">
        <v>0</v>
      </c>
      <c r="N67" s="131"/>
      <c r="O67" s="137"/>
      <c r="X67" s="91"/>
    </row>
    <row r="68" spans="2:24">
      <c r="B68" s="811" t="s">
        <v>573</v>
      </c>
      <c r="C68" s="141"/>
      <c r="E68" s="454"/>
      <c r="F68" s="452"/>
      <c r="G68" s="454"/>
      <c r="H68" s="121"/>
      <c r="I68" s="454"/>
      <c r="J68" s="452"/>
      <c r="K68" s="828"/>
      <c r="M68" s="617"/>
      <c r="N68" s="131"/>
      <c r="O68" s="137"/>
      <c r="X68" s="91"/>
    </row>
    <row r="69" spans="2:24">
      <c r="B69" s="811" t="s">
        <v>574</v>
      </c>
      <c r="C69" s="141"/>
      <c r="E69" s="454"/>
      <c r="F69" s="452"/>
      <c r="G69" s="454"/>
      <c r="H69" s="121"/>
      <c r="I69" s="454"/>
      <c r="J69" s="452"/>
      <c r="K69" s="828"/>
      <c r="M69" s="617"/>
      <c r="N69" s="131"/>
      <c r="O69" s="137"/>
      <c r="X69" s="91"/>
    </row>
    <row r="70" spans="2:24" s="468" customFormat="1">
      <c r="B70" s="517"/>
      <c r="E70" s="518"/>
      <c r="F70" s="516"/>
      <c r="J70" s="516"/>
      <c r="M70" s="620"/>
    </row>
    <row r="71" spans="2:24">
      <c r="B71" s="89"/>
      <c r="C71" s="88"/>
      <c r="E71" s="121"/>
      <c r="F71" s="122"/>
      <c r="G71" s="88"/>
      <c r="X71" s="91"/>
    </row>
    <row r="72" spans="2:24">
      <c r="B72" s="89"/>
      <c r="C72" s="88"/>
      <c r="E72" s="121"/>
      <c r="F72" s="122"/>
      <c r="G72" s="88"/>
      <c r="X72" s="91"/>
    </row>
    <row r="73" spans="2:24">
      <c r="B73" s="89"/>
      <c r="C73" s="88"/>
      <c r="E73" s="121"/>
      <c r="F73" s="122"/>
      <c r="G73" s="88"/>
      <c r="X73" s="91"/>
    </row>
    <row r="74" spans="2:24">
      <c r="B74" s="89"/>
      <c r="C74" s="88"/>
      <c r="E74" s="88"/>
      <c r="G74" s="122"/>
    </row>
    <row r="75" spans="2:24">
      <c r="B75" s="89"/>
      <c r="C75" s="88"/>
      <c r="E75" s="88"/>
      <c r="G75" s="122"/>
    </row>
    <row r="76" spans="2:24">
      <c r="B76" s="89"/>
      <c r="C76" s="88"/>
      <c r="E76" s="88"/>
      <c r="G76" s="122"/>
    </row>
    <row r="77" spans="2:24">
      <c r="B77" s="89"/>
      <c r="C77" s="88"/>
      <c r="E77" s="88"/>
      <c r="G77" s="122"/>
    </row>
    <row r="78" spans="2:24">
      <c r="B78" s="89"/>
      <c r="C78" s="88"/>
      <c r="E78" s="88"/>
      <c r="G78" s="122"/>
    </row>
    <row r="79" spans="2:24">
      <c r="B79" s="89"/>
      <c r="C79" s="88"/>
      <c r="E79" s="88"/>
      <c r="G79" s="122"/>
    </row>
    <row r="80" spans="2:24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  <row r="261" spans="2:7">
      <c r="B261" s="89"/>
      <c r="C261" s="88"/>
      <c r="E261" s="88"/>
      <c r="G261" s="122"/>
    </row>
    <row r="262" spans="2:7">
      <c r="B262" s="89"/>
      <c r="C262" s="88"/>
      <c r="E262" s="88"/>
      <c r="G262" s="122"/>
    </row>
    <row r="263" spans="2:7">
      <c r="B263" s="89"/>
      <c r="C263" s="88"/>
      <c r="E263" s="88"/>
      <c r="G263" s="122"/>
    </row>
    <row r="264" spans="2:7">
      <c r="B264" s="89"/>
      <c r="C264" s="88"/>
      <c r="E264" s="88"/>
      <c r="G264" s="122"/>
    </row>
    <row r="265" spans="2:7">
      <c r="B265" s="89"/>
      <c r="C265" s="88"/>
      <c r="E265" s="88"/>
      <c r="G265" s="122"/>
    </row>
    <row r="266" spans="2:7">
      <c r="B266" s="89"/>
      <c r="C266" s="88"/>
      <c r="E266" s="88"/>
      <c r="G266" s="122"/>
    </row>
    <row r="267" spans="2:7">
      <c r="B267" s="89"/>
      <c r="C267" s="88"/>
      <c r="E267" s="88"/>
      <c r="G267" s="122"/>
    </row>
    <row r="268" spans="2:7">
      <c r="B268" s="89"/>
      <c r="C268" s="88"/>
      <c r="E268" s="88"/>
      <c r="G268" s="122"/>
    </row>
    <row r="269" spans="2:7">
      <c r="B269" s="89"/>
      <c r="C269" s="88"/>
      <c r="E269" s="88"/>
      <c r="G269" s="122"/>
    </row>
    <row r="270" spans="2:7">
      <c r="B270" s="89"/>
      <c r="C270" s="88"/>
      <c r="E270" s="88"/>
      <c r="G270" s="122"/>
    </row>
  </sheetData>
  <mergeCells count="13">
    <mergeCell ref="O11:O12"/>
    <mergeCell ref="E9:H9"/>
    <mergeCell ref="E7:H7"/>
    <mergeCell ref="E11:E12"/>
    <mergeCell ref="G11:G12"/>
    <mergeCell ref="I11:I12"/>
    <mergeCell ref="K11:K12"/>
    <mergeCell ref="B11:B12"/>
    <mergeCell ref="C11:C12"/>
    <mergeCell ref="E2:H2"/>
    <mergeCell ref="E4:H4"/>
    <mergeCell ref="E5:H5"/>
    <mergeCell ref="E6:H6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53125" defaultRowHeight="12.5"/>
  <cols>
    <col min="1" max="2" width="9.453125" style="75"/>
    <col min="3" max="3" width="13.54296875" style="75" bestFit="1" customWidth="1"/>
    <col min="4" max="5" width="9.453125" style="75"/>
    <col min="6" max="6" width="12.54296875" style="75" bestFit="1" customWidth="1"/>
    <col min="7" max="7" width="1.54296875" style="75" customWidth="1"/>
    <col min="8" max="8" width="11.54296875" style="75" bestFit="1" customWidth="1"/>
    <col min="9" max="16384" width="9.453125" style="75"/>
  </cols>
  <sheetData>
    <row r="1" spans="3:8" ht="13" thickBot="1"/>
    <row r="2" spans="3:8" ht="13" thickBot="1">
      <c r="C2" s="85" t="s">
        <v>188</v>
      </c>
      <c r="F2" s="85" t="s">
        <v>189</v>
      </c>
    </row>
    <row r="3" spans="3:8">
      <c r="C3" s="81">
        <v>44197</v>
      </c>
      <c r="F3" s="83" t="s">
        <v>190</v>
      </c>
    </row>
    <row r="4" spans="3:8">
      <c r="C4" s="81">
        <v>44277</v>
      </c>
      <c r="F4" s="83" t="s">
        <v>191</v>
      </c>
    </row>
    <row r="5" spans="3:8">
      <c r="C5" s="81">
        <v>44288</v>
      </c>
      <c r="F5" s="83" t="s">
        <v>192</v>
      </c>
    </row>
    <row r="6" spans="3:8" ht="13" thickBot="1">
      <c r="C6" s="81">
        <v>44291</v>
      </c>
      <c r="F6" s="84" t="s">
        <v>193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194</v>
      </c>
    </row>
    <row r="14" spans="3:8" ht="13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4296875" defaultRowHeight="14"/>
  <cols>
    <col min="1" max="1" width="1.54296875" style="91" customWidth="1"/>
    <col min="2" max="2" width="8.54296875" style="142"/>
    <col min="3" max="3" width="2.453125" style="142" customWidth="1"/>
    <col min="4" max="4" width="21.453125" style="91" customWidth="1"/>
    <col min="5" max="5" width="1.54296875" style="91" customWidth="1"/>
    <col min="6" max="6" width="17.54296875" style="91" bestFit="1" customWidth="1"/>
    <col min="7" max="7" width="1.54296875" style="91" customWidth="1"/>
    <col min="8" max="8" width="18.453125" style="91" customWidth="1"/>
    <col min="9" max="9" width="3.54296875" style="91" customWidth="1"/>
    <col min="10" max="10" width="16" style="91" bestFit="1" customWidth="1"/>
    <col min="11" max="11" width="2" style="91" customWidth="1"/>
    <col min="12" max="12" width="53.453125" style="91" customWidth="1"/>
    <col min="13" max="16384" width="8.5429687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926" t="s">
        <v>195</v>
      </c>
      <c r="C2" s="926"/>
      <c r="D2" s="926"/>
      <c r="E2" s="926"/>
      <c r="F2" s="926"/>
      <c r="G2" s="926"/>
      <c r="H2" s="926"/>
      <c r="I2" s="926"/>
      <c r="J2" s="926"/>
      <c r="K2" s="926"/>
      <c r="L2" s="926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4.5" thickBot="1">
      <c r="A4" s="88"/>
      <c r="B4" s="927"/>
      <c r="C4" s="927"/>
      <c r="D4" s="927"/>
      <c r="E4" s="857"/>
      <c r="F4" s="90" t="s">
        <v>59</v>
      </c>
      <c r="G4" s="88"/>
      <c r="H4" s="90" t="s">
        <v>60</v>
      </c>
      <c r="I4" s="88"/>
      <c r="J4" s="523" t="s">
        <v>196</v>
      </c>
      <c r="K4" s="88"/>
      <c r="L4" s="88"/>
    </row>
    <row r="5" spans="1:12" ht="14.5" thickBot="1">
      <c r="A5" s="88"/>
      <c r="B5" s="928" t="s">
        <v>197</v>
      </c>
      <c r="C5" s="928"/>
      <c r="D5" s="928"/>
      <c r="E5" s="857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6"/>
      <c r="C6" s="856"/>
      <c r="D6" s="856"/>
      <c r="E6" s="856"/>
      <c r="F6" s="88"/>
      <c r="G6" s="88"/>
      <c r="H6" s="88"/>
      <c r="I6" s="88"/>
      <c r="J6" s="88"/>
      <c r="K6" s="88"/>
      <c r="L6" s="88"/>
    </row>
    <row r="7" spans="1:12" ht="26.5" thickBot="1">
      <c r="A7" s="88"/>
      <c r="B7" s="447" t="s">
        <v>69</v>
      </c>
      <c r="C7" s="145"/>
      <c r="D7" s="447" t="s">
        <v>198</v>
      </c>
      <c r="E7" s="145"/>
      <c r="F7" s="448" t="s">
        <v>199</v>
      </c>
      <c r="G7" s="146"/>
      <c r="H7" s="448" t="s">
        <v>200</v>
      </c>
      <c r="I7" s="146"/>
      <c r="J7" s="448" t="s">
        <v>201</v>
      </c>
      <c r="K7" s="145"/>
      <c r="L7" s="447" t="s">
        <v>202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203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4.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topLeftCell="K1" zoomScaleNormal="100" workbookViewId="0">
      <pane ySplit="4" topLeftCell="A187" activePane="bottomLeft" state="frozen"/>
      <selection pane="bottomLeft" activeCell="O6" sqref="O6"/>
    </sheetView>
  </sheetViews>
  <sheetFormatPr defaultColWidth="8.54296875" defaultRowHeight="14"/>
  <cols>
    <col min="1" max="1" width="2.453125" style="88" hidden="1" customWidth="1"/>
    <col min="2" max="2" width="5.453125" style="91" hidden="1" customWidth="1"/>
    <col min="3" max="3" width="22.453125" style="91" hidden="1" customWidth="1"/>
    <col min="4" max="4" width="45" style="91" hidden="1" customWidth="1"/>
    <col min="5" max="5" width="7.54296875" style="212" hidden="1" customWidth="1"/>
    <col min="6" max="6" width="13.54296875" style="142" hidden="1" customWidth="1"/>
    <col min="7" max="7" width="17.54296875" style="91" hidden="1" customWidth="1"/>
    <col min="8" max="8" width="12.54296875" style="91" hidden="1" customWidth="1"/>
    <col min="9" max="9" width="2.54296875" style="88" hidden="1" customWidth="1"/>
    <col min="10" max="10" width="19.54296875" style="388" hidden="1" customWidth="1"/>
    <col min="11" max="11" width="5.453125" style="88" customWidth="1"/>
    <col min="12" max="12" width="5.453125" style="91" bestFit="1" customWidth="1"/>
    <col min="13" max="13" width="20.453125" style="91" customWidth="1"/>
    <col min="14" max="14" width="53" style="91" bestFit="1" customWidth="1"/>
    <col min="15" max="15" width="17" style="212" customWidth="1"/>
    <col min="16" max="16" width="19.453125" style="142" customWidth="1"/>
    <col min="17" max="17" width="22.54296875" style="213" customWidth="1"/>
    <col min="18" max="18" width="12.54296875" style="214" bestFit="1" customWidth="1"/>
    <col min="19" max="19" width="1.54296875" style="88" customWidth="1"/>
    <col min="20" max="20" width="38" style="214" bestFit="1" customWidth="1"/>
    <col min="21" max="21" width="19.453125" style="214" customWidth="1"/>
    <col min="22" max="22" width="20.453125" style="91" bestFit="1" customWidth="1"/>
    <col min="23" max="23" width="69.81640625" style="579" bestFit="1" customWidth="1"/>
    <col min="24" max="24" width="6.453125" style="88" customWidth="1"/>
    <col min="25" max="25" width="24.453125" style="88" customWidth="1"/>
    <col min="26" max="26" width="19.54296875" style="88" customWidth="1"/>
    <col min="27" max="27" width="8.54296875" style="88" customWidth="1"/>
    <col min="28" max="41" width="8.54296875" style="88"/>
    <col min="42" max="16384" width="8.5429687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41" t="s">
        <v>204</v>
      </c>
      <c r="C2" s="942"/>
      <c r="D2" s="942"/>
      <c r="E2" s="942"/>
      <c r="F2" s="942"/>
      <c r="G2" s="942"/>
      <c r="H2" s="943"/>
      <c r="J2" s="437">
        <f>SUM(J6:J214)</f>
        <v>18682949.951333337</v>
      </c>
      <c r="L2" s="944" t="s">
        <v>205</v>
      </c>
      <c r="M2" s="945"/>
      <c r="N2" s="945"/>
      <c r="O2" s="945"/>
      <c r="P2" s="945"/>
      <c r="Q2" s="945"/>
      <c r="R2" s="943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2.5" thickBot="1">
      <c r="A4" s="382"/>
      <c r="B4" s="544" t="s">
        <v>206</v>
      </c>
      <c r="C4" s="545" t="s">
        <v>207</v>
      </c>
      <c r="D4" s="545" t="s">
        <v>208</v>
      </c>
      <c r="E4" s="155" t="s">
        <v>209</v>
      </c>
      <c r="F4" s="155" t="s">
        <v>210</v>
      </c>
      <c r="G4" s="546" t="s">
        <v>211</v>
      </c>
      <c r="H4" s="547" t="s">
        <v>212</v>
      </c>
      <c r="I4" s="548"/>
      <c r="J4" s="383" t="s">
        <v>100</v>
      </c>
      <c r="K4" s="382"/>
      <c r="L4" s="544" t="s">
        <v>206</v>
      </c>
      <c r="M4" s="545" t="s">
        <v>213</v>
      </c>
      <c r="N4" s="545" t="s">
        <v>208</v>
      </c>
      <c r="O4" s="155" t="s">
        <v>209</v>
      </c>
      <c r="P4" s="155" t="s">
        <v>210</v>
      </c>
      <c r="Q4" s="156" t="s">
        <v>214</v>
      </c>
      <c r="R4" s="547" t="s">
        <v>212</v>
      </c>
      <c r="S4" s="548"/>
      <c r="T4" s="549" t="s">
        <v>215</v>
      </c>
      <c r="U4" s="552" t="s">
        <v>216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217</v>
      </c>
      <c r="D6" s="234" t="s">
        <v>218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32">
        <f>SUM(G6:G26)</f>
        <v>8604405.8100000005</v>
      </c>
      <c r="K6" s="291"/>
      <c r="L6" s="233">
        <f>B6</f>
        <v>1</v>
      </c>
      <c r="M6" s="234" t="s">
        <v>217</v>
      </c>
      <c r="N6" s="234" t="s">
        <v>219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3">
        <v>45107</v>
      </c>
      <c r="V6" s="932">
        <f>SUM(Q6:Q26)</f>
        <v>7861415.2826757105</v>
      </c>
      <c r="X6" s="645" t="s">
        <v>220</v>
      </c>
      <c r="Y6" s="644" t="s">
        <v>221</v>
      </c>
      <c r="AD6" s="440"/>
    </row>
    <row r="7" spans="1:41" ht="14.25" customHeight="1" thickBot="1">
      <c r="B7" s="169"/>
      <c r="C7" s="170"/>
      <c r="D7" s="170"/>
      <c r="E7" s="171"/>
      <c r="F7" s="821"/>
      <c r="G7" s="237"/>
      <c r="H7" s="822"/>
      <c r="I7" s="292"/>
      <c r="J7" s="933"/>
      <c r="K7" s="823"/>
      <c r="L7" s="169">
        <v>1</v>
      </c>
      <c r="M7" s="170" t="s">
        <v>217</v>
      </c>
      <c r="N7" s="170"/>
      <c r="O7" s="171"/>
      <c r="P7" s="821"/>
      <c r="Q7" s="691">
        <v>379626.82425146003</v>
      </c>
      <c r="R7" s="232">
        <v>45344</v>
      </c>
      <c r="S7" s="292"/>
      <c r="T7" s="824"/>
      <c r="U7" s="834">
        <v>45107</v>
      </c>
      <c r="V7" s="933"/>
      <c r="X7" s="645"/>
      <c r="Y7" s="644"/>
      <c r="AD7" s="825"/>
    </row>
    <row r="8" spans="1:41" ht="14.25" customHeight="1" thickBot="1">
      <c r="B8" s="169"/>
      <c r="C8" s="170"/>
      <c r="D8" s="170"/>
      <c r="E8" s="171"/>
      <c r="F8" s="821"/>
      <c r="G8" s="237"/>
      <c r="H8" s="822"/>
      <c r="I8" s="292"/>
      <c r="J8" s="933"/>
      <c r="K8" s="823"/>
      <c r="L8" s="169">
        <v>1</v>
      </c>
      <c r="M8" s="170" t="s">
        <v>217</v>
      </c>
      <c r="N8" s="170"/>
      <c r="O8" s="171"/>
      <c r="P8" s="821"/>
      <c r="Q8" s="691">
        <v>881171.97199999995</v>
      </c>
      <c r="R8" s="232">
        <v>45373</v>
      </c>
      <c r="S8" s="292"/>
      <c r="T8" s="824"/>
      <c r="U8" s="232">
        <v>45107</v>
      </c>
      <c r="V8" s="933"/>
      <c r="X8" s="645"/>
      <c r="Y8" s="644"/>
      <c r="AD8" s="825"/>
    </row>
    <row r="9" spans="1:41" ht="14.25" customHeight="1" thickBot="1">
      <c r="B9" s="169"/>
      <c r="C9" s="170"/>
      <c r="D9" s="170"/>
      <c r="E9" s="171"/>
      <c r="F9" s="821"/>
      <c r="G9" s="237"/>
      <c r="H9" s="822"/>
      <c r="I9" s="292"/>
      <c r="J9" s="933"/>
      <c r="K9" s="823"/>
      <c r="L9" s="169">
        <v>1</v>
      </c>
      <c r="M9" s="170" t="s">
        <v>217</v>
      </c>
      <c r="N9" s="170"/>
      <c r="O9" s="171"/>
      <c r="P9" s="821"/>
      <c r="Q9" s="691">
        <v>1554041.55</v>
      </c>
      <c r="R9" s="232">
        <v>45376</v>
      </c>
      <c r="S9" s="292"/>
      <c r="T9" s="824"/>
      <c r="U9" s="232">
        <v>45107</v>
      </c>
      <c r="V9" s="933"/>
      <c r="X9" s="645"/>
      <c r="Y9" s="644"/>
      <c r="AD9" s="825"/>
    </row>
    <row r="10" spans="1:41" ht="14.25" customHeight="1" thickBot="1">
      <c r="B10" s="169"/>
      <c r="C10" s="170"/>
      <c r="D10" s="170"/>
      <c r="E10" s="171"/>
      <c r="F10" s="821"/>
      <c r="G10" s="237"/>
      <c r="H10" s="822"/>
      <c r="I10" s="292"/>
      <c r="J10" s="933"/>
      <c r="K10" s="823"/>
      <c r="L10" s="169">
        <v>1</v>
      </c>
      <c r="M10" s="170" t="s">
        <v>217</v>
      </c>
      <c r="N10" s="170"/>
      <c r="O10" s="171"/>
      <c r="P10" s="821"/>
      <c r="Q10" s="691">
        <v>3083109.5</v>
      </c>
      <c r="R10" s="232">
        <v>45384</v>
      </c>
      <c r="S10" s="292"/>
      <c r="T10" s="824"/>
      <c r="U10" s="232">
        <v>45107</v>
      </c>
      <c r="V10" s="933"/>
      <c r="X10" s="645"/>
      <c r="Y10" s="644"/>
      <c r="AD10" s="825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33"/>
      <c r="K11" s="293"/>
      <c r="L11" s="169">
        <v>1</v>
      </c>
      <c r="M11" s="170" t="s">
        <v>217</v>
      </c>
      <c r="N11" s="158">
        <v>7991234.4626757056</v>
      </c>
      <c r="O11" s="159"/>
      <c r="P11" s="160">
        <v>0.9</v>
      </c>
      <c r="Q11" s="840">
        <f>7192111.01640814-Q7-Q8-Q9-Q10</f>
        <v>1294161.17015668</v>
      </c>
      <c r="R11" s="841">
        <v>45384</v>
      </c>
      <c r="S11" s="293"/>
      <c r="T11" s="168"/>
      <c r="U11" s="162">
        <v>45107</v>
      </c>
      <c r="V11" s="933"/>
      <c r="Y11" s="646">
        <f>117849/(930*550)</f>
        <v>0.23039882697947214</v>
      </c>
      <c r="Z11" s="585" t="s">
        <v>222</v>
      </c>
    </row>
    <row r="12" spans="1:41" ht="15" customHeight="1">
      <c r="B12" s="157"/>
      <c r="C12" s="535"/>
      <c r="D12" s="165"/>
      <c r="E12" s="166"/>
      <c r="F12" s="160"/>
      <c r="G12" s="848"/>
      <c r="H12" s="559"/>
      <c r="I12" s="292"/>
      <c r="J12" s="933"/>
      <c r="K12" s="293"/>
      <c r="L12" s="169">
        <v>1</v>
      </c>
      <c r="M12" s="170" t="s">
        <v>217</v>
      </c>
      <c r="N12" s="158" t="s">
        <v>223</v>
      </c>
      <c r="O12" s="159">
        <v>-75</v>
      </c>
      <c r="P12" s="850">
        <f>Q12/O12</f>
        <v>2511.39</v>
      </c>
      <c r="Q12" s="840">
        <v>-188354.25</v>
      </c>
      <c r="R12" s="841">
        <v>45443</v>
      </c>
      <c r="S12" s="293"/>
      <c r="T12" s="849"/>
      <c r="U12" s="162">
        <v>45443</v>
      </c>
      <c r="V12" s="933"/>
      <c r="Y12" s="646"/>
      <c r="Z12" s="585"/>
    </row>
    <row r="13" spans="1:41" ht="15" customHeight="1">
      <c r="B13" s="157">
        <v>1</v>
      </c>
      <c r="C13" s="165"/>
      <c r="D13" s="158" t="s">
        <v>224</v>
      </c>
      <c r="E13" s="166"/>
      <c r="F13" s="160"/>
      <c r="G13" s="449">
        <v>0</v>
      </c>
      <c r="H13" s="559">
        <f>H11</f>
        <v>45128</v>
      </c>
      <c r="I13" s="292"/>
      <c r="J13" s="933"/>
      <c r="K13" s="293"/>
      <c r="L13" s="169">
        <v>1</v>
      </c>
      <c r="M13" s="541" t="s">
        <v>217</v>
      </c>
      <c r="N13" s="158" t="s">
        <v>225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33"/>
      <c r="X13" s="605" t="s">
        <v>226</v>
      </c>
      <c r="Y13" s="560">
        <v>19.5</v>
      </c>
      <c r="Z13" s="439" t="s">
        <v>227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33"/>
      <c r="K14" s="293"/>
      <c r="L14" s="157">
        <v>1</v>
      </c>
      <c r="M14" s="541" t="s">
        <v>217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33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33"/>
      <c r="K15" s="293"/>
      <c r="L15" s="157">
        <v>1</v>
      </c>
      <c r="M15" s="541" t="s">
        <v>217</v>
      </c>
      <c r="N15" s="158" t="s">
        <v>225</v>
      </c>
      <c r="O15" s="166"/>
      <c r="P15" s="160"/>
      <c r="Q15" s="164"/>
      <c r="R15" s="172"/>
      <c r="S15" s="293"/>
      <c r="T15" s="168"/>
      <c r="U15" s="172"/>
      <c r="V15" s="933"/>
      <c r="Y15" s="643">
        <f>(Y11)*Y13</f>
        <v>4.4927771260997069</v>
      </c>
      <c r="Z15" s="88" t="s">
        <v>228</v>
      </c>
    </row>
    <row r="16" spans="1:41" ht="15" customHeight="1">
      <c r="B16" s="157"/>
      <c r="C16" s="165"/>
      <c r="D16" s="165" t="s">
        <v>229</v>
      </c>
      <c r="E16" s="166"/>
      <c r="F16" s="160"/>
      <c r="G16" s="161"/>
      <c r="H16" s="167"/>
      <c r="I16" s="292"/>
      <c r="J16" s="933"/>
      <c r="K16" s="293"/>
      <c r="L16" s="157">
        <v>1</v>
      </c>
      <c r="M16" s="541" t="s">
        <v>217</v>
      </c>
      <c r="N16" s="158"/>
      <c r="O16" s="166"/>
      <c r="P16" s="160"/>
      <c r="Q16" s="164"/>
      <c r="R16" s="172"/>
      <c r="S16" s="293"/>
      <c r="T16" s="168"/>
      <c r="U16" s="168"/>
      <c r="V16" s="933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33"/>
      <c r="K17" s="293"/>
      <c r="L17" s="157">
        <v>1</v>
      </c>
      <c r="M17" s="541" t="s">
        <v>217</v>
      </c>
      <c r="N17" s="158" t="s">
        <v>230</v>
      </c>
      <c r="O17" s="166"/>
      <c r="P17" s="160"/>
      <c r="Q17" s="164"/>
      <c r="R17" s="172"/>
      <c r="S17" s="293"/>
      <c r="T17" s="168"/>
      <c r="U17" s="168"/>
      <c r="V17" s="933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33"/>
      <c r="K18" s="293"/>
      <c r="L18" s="157">
        <v>1</v>
      </c>
      <c r="M18" s="541" t="s">
        <v>217</v>
      </c>
      <c r="N18" s="158" t="s">
        <v>231</v>
      </c>
      <c r="O18" s="679">
        <v>186</v>
      </c>
      <c r="P18" s="160"/>
      <c r="Q18" s="164"/>
      <c r="R18" s="172"/>
      <c r="S18" s="293"/>
      <c r="T18" s="168"/>
      <c r="U18" s="168"/>
      <c r="V18" s="933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33"/>
      <c r="K19" s="293"/>
      <c r="L19" s="157">
        <v>1</v>
      </c>
      <c r="M19" s="541" t="s">
        <v>217</v>
      </c>
      <c r="N19" s="158"/>
      <c r="O19" s="166"/>
      <c r="P19" s="160"/>
      <c r="Q19" s="164"/>
      <c r="R19" s="172"/>
      <c r="S19" s="293"/>
      <c r="T19" s="168"/>
      <c r="U19" s="168"/>
      <c r="V19" s="933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33"/>
      <c r="K20" s="293"/>
      <c r="L20" s="157">
        <v>1</v>
      </c>
      <c r="M20" s="541" t="s">
        <v>217</v>
      </c>
      <c r="N20" s="158" t="s">
        <v>229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33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33"/>
      <c r="K21" s="293"/>
      <c r="L21" s="157">
        <v>1</v>
      </c>
      <c r="M21" s="541" t="s">
        <v>217</v>
      </c>
      <c r="N21" s="158"/>
      <c r="O21" s="166"/>
      <c r="P21" s="160"/>
      <c r="Q21" s="164"/>
      <c r="R21" s="172"/>
      <c r="S21" s="293"/>
      <c r="T21" s="168"/>
      <c r="U21" s="168"/>
      <c r="V21" s="933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33"/>
      <c r="K22" s="293"/>
      <c r="L22" s="157">
        <v>1</v>
      </c>
      <c r="M22" s="541" t="s">
        <v>217</v>
      </c>
      <c r="N22" s="158" t="s">
        <v>232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33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33"/>
      <c r="K23" s="293"/>
      <c r="L23" s="157">
        <v>1</v>
      </c>
      <c r="M23" s="541" t="s">
        <v>217</v>
      </c>
      <c r="N23" s="158"/>
      <c r="O23" s="166"/>
      <c r="P23" s="160"/>
      <c r="Q23" s="164"/>
      <c r="R23" s="172"/>
      <c r="S23" s="293"/>
      <c r="T23" s="168"/>
      <c r="U23" s="168"/>
      <c r="V23" s="933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33"/>
      <c r="K24" s="293"/>
      <c r="L24" s="157">
        <v>1</v>
      </c>
      <c r="M24" s="541" t="s">
        <v>217</v>
      </c>
      <c r="N24" s="158" t="s">
        <v>233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33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33"/>
      <c r="K25" s="293"/>
      <c r="L25" s="157">
        <f t="shared" ref="L25:L144" si="0">B25</f>
        <v>1</v>
      </c>
      <c r="M25" s="541" t="s">
        <v>217</v>
      </c>
      <c r="N25" s="158" t="s">
        <v>234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33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34"/>
      <c r="K26" s="295"/>
      <c r="L26" s="174">
        <f t="shared" si="0"/>
        <v>1</v>
      </c>
      <c r="M26" s="542" t="s">
        <v>217</v>
      </c>
      <c r="N26" s="243"/>
      <c r="O26" s="240"/>
      <c r="P26" s="241"/>
      <c r="Q26" s="177"/>
      <c r="R26" s="178"/>
      <c r="S26" s="295"/>
      <c r="T26" s="244"/>
      <c r="U26" s="178"/>
      <c r="V26" s="934"/>
      <c r="Y26" s="586">
        <f>+'Project Plan'!E3*Y15*1000</f>
        <v>7862045.476275661</v>
      </c>
      <c r="Z26" s="88" t="s">
        <v>235</v>
      </c>
    </row>
    <row r="27" spans="1:41" ht="14.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236</v>
      </c>
      <c r="D28" s="261" t="s">
        <v>237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35">
        <f>SUM(G28:G32)</f>
        <v>1020000</v>
      </c>
      <c r="K28" s="269"/>
      <c r="L28" s="179">
        <f t="shared" si="0"/>
        <v>2</v>
      </c>
      <c r="M28" s="261" t="s">
        <v>236</v>
      </c>
      <c r="N28" s="261" t="s">
        <v>238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35">
        <f>SUM(Q28:Q32)</f>
        <v>1056455</v>
      </c>
      <c r="W28" s="579" t="s">
        <v>239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36"/>
      <c r="K29" s="272"/>
      <c r="L29" s="249">
        <f t="shared" si="0"/>
        <v>2</v>
      </c>
      <c r="M29" s="259" t="s">
        <v>236</v>
      </c>
      <c r="N29" s="259" t="s">
        <v>240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36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36"/>
      <c r="K30" s="272"/>
      <c r="L30" s="249">
        <v>2</v>
      </c>
      <c r="M30" s="259" t="s">
        <v>236</v>
      </c>
      <c r="N30" s="259" t="s">
        <v>241</v>
      </c>
      <c r="O30" s="260"/>
      <c r="P30" s="270"/>
      <c r="Q30" s="688">
        <v>76795</v>
      </c>
      <c r="R30" s="871">
        <v>45474</v>
      </c>
      <c r="S30" s="271"/>
      <c r="T30" s="206"/>
      <c r="U30" s="193">
        <v>45443</v>
      </c>
      <c r="V30" s="936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36"/>
      <c r="K31" s="272"/>
      <c r="L31" s="249">
        <f t="shared" si="0"/>
        <v>2</v>
      </c>
      <c r="M31" s="259" t="s">
        <v>236</v>
      </c>
      <c r="N31" s="259" t="s">
        <v>242</v>
      </c>
      <c r="O31" s="260"/>
      <c r="P31" s="270"/>
      <c r="Q31" s="872">
        <v>-89060</v>
      </c>
      <c r="R31" s="871">
        <v>45535</v>
      </c>
      <c r="S31" s="271"/>
      <c r="T31" s="206"/>
      <c r="U31" s="871">
        <v>45535</v>
      </c>
      <c r="V31" s="936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37"/>
      <c r="K32" s="279"/>
      <c r="L32" s="273">
        <f t="shared" si="0"/>
        <v>2</v>
      </c>
      <c r="M32" s="274" t="s">
        <v>236</v>
      </c>
      <c r="N32" s="274"/>
      <c r="O32" s="275"/>
      <c r="P32" s="276"/>
      <c r="Q32" s="280"/>
      <c r="R32" s="266"/>
      <c r="S32" s="278"/>
      <c r="T32" s="281"/>
      <c r="U32" s="281"/>
      <c r="V32" s="937"/>
    </row>
    <row r="33" spans="1:41" ht="14.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243</v>
      </c>
      <c r="D34" s="304" t="s">
        <v>244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38">
        <f>SUM(G34:G38)</f>
        <v>524979</v>
      </c>
      <c r="K34" s="310"/>
      <c r="L34" s="302">
        <f t="shared" si="0"/>
        <v>3</v>
      </c>
      <c r="M34" s="303" t="s">
        <v>243</v>
      </c>
      <c r="N34" s="304" t="s">
        <v>245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38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39"/>
      <c r="K35" s="320"/>
      <c r="L35" s="312">
        <f t="shared" si="0"/>
        <v>3</v>
      </c>
      <c r="M35" s="313" t="s">
        <v>243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39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39"/>
      <c r="K36" s="320"/>
      <c r="L36" s="312"/>
      <c r="M36" s="313" t="s">
        <v>243</v>
      </c>
      <c r="N36" s="314" t="s">
        <v>246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39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39"/>
      <c r="K37" s="320"/>
      <c r="L37" s="312">
        <f t="shared" si="0"/>
        <v>3</v>
      </c>
      <c r="M37" s="313" t="s">
        <v>243</v>
      </c>
      <c r="N37" s="314" t="s">
        <v>247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39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40"/>
      <c r="K38" s="330"/>
      <c r="L38" s="322">
        <f t="shared" si="0"/>
        <v>3</v>
      </c>
      <c r="M38" s="323" t="s">
        <v>243</v>
      </c>
      <c r="N38" s="324" t="s">
        <v>248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40"/>
    </row>
    <row r="39" spans="1:41" ht="14.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249</v>
      </c>
      <c r="D40" s="180" t="s">
        <v>250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35">
        <f>SUM(G40:G51)</f>
        <v>637505.76000000013</v>
      </c>
      <c r="K40" s="269"/>
      <c r="L40" s="179">
        <f t="shared" si="0"/>
        <v>4</v>
      </c>
      <c r="M40" s="180" t="s">
        <v>249</v>
      </c>
      <c r="N40" s="180" t="s">
        <v>251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252</v>
      </c>
      <c r="U40" s="185">
        <v>45169</v>
      </c>
      <c r="V40" s="935">
        <f>SUM(Q40:Q51)</f>
        <v>1160597.76</v>
      </c>
    </row>
    <row r="41" spans="1:41" ht="15" customHeight="1">
      <c r="B41" s="187">
        <v>4</v>
      </c>
      <c r="C41" s="188"/>
      <c r="D41" s="204" t="s">
        <v>253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36"/>
      <c r="K41" s="272"/>
      <c r="L41" s="187">
        <f t="shared" si="0"/>
        <v>4</v>
      </c>
      <c r="M41" s="188" t="s">
        <v>249</v>
      </c>
      <c r="N41" s="204" t="s">
        <v>254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252</v>
      </c>
      <c r="U41" s="193">
        <v>45169</v>
      </c>
      <c r="V41" s="936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36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36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36"/>
      <c r="K43" s="272"/>
      <c r="L43" s="187"/>
      <c r="M43" s="188" t="s">
        <v>249</v>
      </c>
      <c r="N43" s="204" t="s">
        <v>255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36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36"/>
      <c r="K44" s="272"/>
      <c r="L44" s="187"/>
      <c r="M44" s="188" t="s">
        <v>249</v>
      </c>
      <c r="N44" s="204" t="s">
        <v>256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36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36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36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36"/>
      <c r="K46" s="272"/>
      <c r="L46" s="187"/>
      <c r="M46" s="188" t="s">
        <v>249</v>
      </c>
      <c r="N46" s="204" t="s">
        <v>257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36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36"/>
      <c r="K47" s="272"/>
      <c r="L47" s="187"/>
      <c r="M47" s="188" t="s">
        <v>249</v>
      </c>
      <c r="N47" s="204" t="s">
        <v>258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36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36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36"/>
    </row>
    <row r="49" spans="1:41" ht="15" customHeight="1">
      <c r="B49" s="187">
        <v>4</v>
      </c>
      <c r="C49" s="204"/>
      <c r="D49" s="204" t="s">
        <v>259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36"/>
      <c r="K49" s="272"/>
      <c r="L49" s="203">
        <f t="shared" si="0"/>
        <v>4</v>
      </c>
      <c r="M49" s="204" t="s">
        <v>249</v>
      </c>
      <c r="N49" s="204" t="s">
        <v>260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36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36"/>
      <c r="K50" s="272"/>
      <c r="L50" s="653">
        <v>4</v>
      </c>
      <c r="M50" s="204" t="s">
        <v>249</v>
      </c>
      <c r="N50" s="204" t="s">
        <v>261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36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37"/>
      <c r="K51" s="279"/>
      <c r="L51" s="283">
        <f t="shared" si="0"/>
        <v>4</v>
      </c>
      <c r="M51" s="284" t="s">
        <v>249</v>
      </c>
      <c r="N51" s="204" t="s">
        <v>262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37"/>
    </row>
    <row r="52" spans="1:41" ht="15" customHeight="1" thickBot="1">
      <c r="B52" s="607"/>
      <c r="C52" s="863"/>
      <c r="D52" s="863"/>
      <c r="E52" s="864"/>
      <c r="F52" s="865"/>
      <c r="G52" s="866"/>
      <c r="H52" s="612"/>
      <c r="I52" s="272"/>
      <c r="J52" s="860"/>
      <c r="K52" s="272"/>
      <c r="L52" s="283">
        <f t="shared" ref="L52" si="3">B52</f>
        <v>0</v>
      </c>
      <c r="M52" s="284" t="s">
        <v>249</v>
      </c>
      <c r="N52" s="204" t="s">
        <v>262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0"/>
    </row>
    <row r="53" spans="1:41" ht="14.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263</v>
      </c>
      <c r="D54" s="390" t="s">
        <v>264</v>
      </c>
      <c r="E54" s="391"/>
      <c r="F54" s="392"/>
      <c r="G54" s="307">
        <v>21000</v>
      </c>
      <c r="H54" s="308">
        <f>H28</f>
        <v>45141</v>
      </c>
      <c r="I54" s="393"/>
      <c r="J54" s="938">
        <f>SUM(G54:G74)</f>
        <v>24567</v>
      </c>
      <c r="K54" s="310"/>
      <c r="L54" s="302">
        <f t="shared" si="0"/>
        <v>5</v>
      </c>
      <c r="M54" s="303" t="s">
        <v>263</v>
      </c>
      <c r="N54" s="390" t="s">
        <v>265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38">
        <f>SUM(Q54:Q74)</f>
        <v>102506.59999999998</v>
      </c>
    </row>
    <row r="55" spans="1:41" ht="14.25" customHeight="1">
      <c r="B55" s="312">
        <v>5</v>
      </c>
      <c r="C55" s="313"/>
      <c r="D55" s="394" t="s">
        <v>266</v>
      </c>
      <c r="E55" s="395"/>
      <c r="F55" s="396"/>
      <c r="G55" s="317">
        <v>3567</v>
      </c>
      <c r="H55" s="318">
        <v>45014</v>
      </c>
      <c r="I55" s="397"/>
      <c r="J55" s="939"/>
      <c r="K55" s="320"/>
      <c r="L55" s="312">
        <f t="shared" si="0"/>
        <v>5</v>
      </c>
      <c r="M55" s="313" t="s">
        <v>263</v>
      </c>
      <c r="N55" s="394" t="s">
        <v>267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39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39"/>
      <c r="K56" s="320"/>
      <c r="L56" s="312">
        <v>5</v>
      </c>
      <c r="M56" s="313" t="s">
        <v>263</v>
      </c>
      <c r="N56" s="394" t="s">
        <v>268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39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39"/>
      <c r="K57" s="320"/>
      <c r="L57" s="312">
        <f t="shared" si="0"/>
        <v>5</v>
      </c>
      <c r="M57" s="313" t="s">
        <v>263</v>
      </c>
      <c r="N57" s="394" t="s">
        <v>269</v>
      </c>
      <c r="O57" s="395"/>
      <c r="P57" s="396"/>
      <c r="Q57" s="687">
        <v>26788</v>
      </c>
      <c r="R57" s="318">
        <v>45350</v>
      </c>
      <c r="S57" s="397"/>
      <c r="T57" s="318" t="s">
        <v>270</v>
      </c>
      <c r="U57" s="318">
        <v>45322</v>
      </c>
      <c r="V57" s="939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39"/>
      <c r="K58" s="320"/>
      <c r="L58" s="312">
        <v>5</v>
      </c>
      <c r="M58" s="313" t="s">
        <v>263</v>
      </c>
      <c r="N58" s="589" t="s">
        <v>271</v>
      </c>
      <c r="O58" s="590"/>
      <c r="P58" s="591"/>
      <c r="Q58" s="632">
        <v>242.39</v>
      </c>
      <c r="R58" s="318">
        <v>45351</v>
      </c>
      <c r="S58" s="397"/>
      <c r="T58" s="377" t="s">
        <v>272</v>
      </c>
      <c r="U58" s="318">
        <v>45322</v>
      </c>
      <c r="V58" s="939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39"/>
      <c r="K59" s="320"/>
      <c r="L59" s="312">
        <v>5</v>
      </c>
      <c r="M59" s="313" t="s">
        <v>263</v>
      </c>
      <c r="N59" s="589" t="s">
        <v>273</v>
      </c>
      <c r="O59" s="590"/>
      <c r="P59" s="591"/>
      <c r="Q59" s="632">
        <v>1655</v>
      </c>
      <c r="R59" s="377">
        <v>45176</v>
      </c>
      <c r="S59" s="397"/>
      <c r="T59" s="377" t="s">
        <v>274</v>
      </c>
      <c r="U59" s="318">
        <v>45176</v>
      </c>
      <c r="V59" s="939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39"/>
      <c r="K60" s="320"/>
      <c r="L60" s="312">
        <v>5</v>
      </c>
      <c r="M60" s="372" t="s">
        <v>263</v>
      </c>
      <c r="N60" s="589" t="s">
        <v>275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39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39"/>
      <c r="K61" s="320"/>
      <c r="L61" s="312">
        <v>5</v>
      </c>
      <c r="M61" s="372" t="s">
        <v>263</v>
      </c>
      <c r="N61" s="589" t="s">
        <v>276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39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39"/>
      <c r="K62" s="320"/>
      <c r="L62" s="312">
        <v>5</v>
      </c>
      <c r="M62" s="372" t="s">
        <v>263</v>
      </c>
      <c r="N62" s="589" t="s">
        <v>277</v>
      </c>
      <c r="O62" s="590"/>
      <c r="P62" s="591"/>
      <c r="Q62" s="632">
        <v>4910</v>
      </c>
      <c r="R62" s="377">
        <v>45338</v>
      </c>
      <c r="S62" s="397"/>
      <c r="T62" s="377" t="s">
        <v>278</v>
      </c>
      <c r="U62" s="318">
        <v>45322</v>
      </c>
      <c r="V62" s="939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39"/>
      <c r="K63" s="320"/>
      <c r="L63" s="312">
        <v>5</v>
      </c>
      <c r="M63" s="372" t="s">
        <v>263</v>
      </c>
      <c r="N63" s="589" t="s">
        <v>279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39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39"/>
      <c r="K64" s="320"/>
      <c r="L64" s="312">
        <v>5</v>
      </c>
      <c r="M64" s="372" t="s">
        <v>263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280</v>
      </c>
      <c r="U64" s="377">
        <v>45322</v>
      </c>
      <c r="V64" s="939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39"/>
      <c r="K65" s="320"/>
      <c r="L65" s="312">
        <v>5</v>
      </c>
      <c r="M65" s="372" t="s">
        <v>263</v>
      </c>
      <c r="N65" s="589" t="s">
        <v>281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39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39"/>
      <c r="K66" s="320"/>
      <c r="L66" s="312">
        <v>5</v>
      </c>
      <c r="M66" s="372" t="s">
        <v>263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282</v>
      </c>
      <c r="U66" s="377">
        <v>45322</v>
      </c>
      <c r="V66" s="939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39"/>
      <c r="K67" s="320"/>
      <c r="L67" s="312">
        <v>5</v>
      </c>
      <c r="M67" s="372" t="s">
        <v>263</v>
      </c>
      <c r="N67" s="589" t="s">
        <v>283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39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39"/>
      <c r="K68" s="320"/>
      <c r="L68" s="312">
        <v>5</v>
      </c>
      <c r="M68" s="372" t="s">
        <v>263</v>
      </c>
      <c r="N68" s="589" t="s">
        <v>284</v>
      </c>
      <c r="O68" s="668"/>
      <c r="P68" s="667"/>
      <c r="Q68" s="632">
        <v>2606.09</v>
      </c>
      <c r="R68" s="377">
        <v>45313</v>
      </c>
      <c r="S68" s="397"/>
      <c r="T68" s="377" t="s">
        <v>285</v>
      </c>
      <c r="U68" s="377">
        <v>45322</v>
      </c>
      <c r="V68" s="939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39"/>
      <c r="K69" s="320"/>
      <c r="L69" s="312">
        <v>5</v>
      </c>
      <c r="M69" s="372" t="s">
        <v>263</v>
      </c>
      <c r="N69" s="589" t="s">
        <v>286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39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39"/>
      <c r="K70" s="320"/>
      <c r="L70" s="312">
        <v>5</v>
      </c>
      <c r="M70" s="372" t="s">
        <v>263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287</v>
      </c>
      <c r="U70" s="377">
        <v>45322</v>
      </c>
      <c r="V70" s="939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39"/>
      <c r="K71" s="330"/>
      <c r="L71" s="312">
        <v>5</v>
      </c>
      <c r="M71" s="313" t="s">
        <v>263</v>
      </c>
      <c r="N71" s="394" t="s">
        <v>288</v>
      </c>
      <c r="O71" s="395"/>
      <c r="P71" s="396"/>
      <c r="Q71" s="687">
        <v>11667.2</v>
      </c>
      <c r="R71" s="318">
        <v>45428</v>
      </c>
      <c r="S71" s="711"/>
      <c r="T71" s="318" t="s">
        <v>289</v>
      </c>
      <c r="U71" s="318">
        <v>45412</v>
      </c>
      <c r="V71" s="939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39"/>
      <c r="K72" s="330"/>
      <c r="L72" s="312">
        <v>5</v>
      </c>
      <c r="M72" s="313" t="s">
        <v>263</v>
      </c>
      <c r="N72" s="394" t="s">
        <v>290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39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39"/>
      <c r="K73" s="330"/>
      <c r="L73" s="312">
        <v>5</v>
      </c>
      <c r="M73" s="313" t="s">
        <v>263</v>
      </c>
      <c r="N73" s="394" t="s">
        <v>291</v>
      </c>
      <c r="O73" s="395"/>
      <c r="P73" s="396"/>
      <c r="Q73" s="687">
        <v>1201.79</v>
      </c>
      <c r="R73" s="318">
        <v>45330</v>
      </c>
      <c r="S73" s="401"/>
      <c r="T73" s="810" t="s">
        <v>280</v>
      </c>
      <c r="U73" s="810">
        <v>45322</v>
      </c>
      <c r="V73" s="939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40"/>
      <c r="K74" s="330"/>
      <c r="L74" s="312">
        <v>5</v>
      </c>
      <c r="M74" s="699" t="s">
        <v>263</v>
      </c>
      <c r="N74" s="700" t="s">
        <v>292</v>
      </c>
      <c r="O74" s="701"/>
      <c r="P74" s="702"/>
      <c r="Q74" s="809">
        <v>10469</v>
      </c>
      <c r="R74" s="810">
        <v>45351</v>
      </c>
      <c r="S74" s="401"/>
      <c r="T74" s="810" t="s">
        <v>293</v>
      </c>
      <c r="U74" s="810">
        <v>45322</v>
      </c>
      <c r="V74" s="940"/>
    </row>
    <row r="75" spans="1:41" ht="14.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294</v>
      </c>
      <c r="Z75" s="567" t="s">
        <v>295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296</v>
      </c>
      <c r="D76" s="181" t="s">
        <v>297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35">
        <f>SUM(G76:G86)</f>
        <v>637698.25799999991</v>
      </c>
      <c r="K76" s="269"/>
      <c r="L76" s="179">
        <f t="shared" si="0"/>
        <v>6</v>
      </c>
      <c r="M76" s="180" t="s">
        <v>296</v>
      </c>
      <c r="N76" s="181" t="s">
        <v>298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35">
        <f>SUM(Q76:Q86)</f>
        <v>954731.35000000009</v>
      </c>
      <c r="Y76" s="568" t="s">
        <v>296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36"/>
      <c r="K77" s="272"/>
      <c r="L77" s="187">
        <f t="shared" si="0"/>
        <v>6</v>
      </c>
      <c r="M77" s="188" t="s">
        <v>296</v>
      </c>
      <c r="N77" s="189" t="s">
        <v>299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36"/>
      <c r="Y77" s="568" t="s">
        <v>249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36"/>
      <c r="K78" s="272"/>
      <c r="L78" s="187">
        <f t="shared" si="0"/>
        <v>0</v>
      </c>
      <c r="M78" s="188" t="s">
        <v>296</v>
      </c>
      <c r="N78" s="189" t="s">
        <v>299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36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36"/>
      <c r="K79" s="272"/>
      <c r="L79" s="187">
        <f t="shared" si="0"/>
        <v>6</v>
      </c>
      <c r="M79" s="188" t="s">
        <v>296</v>
      </c>
      <c r="N79" s="189" t="s">
        <v>300</v>
      </c>
      <c r="O79" s="862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36"/>
      <c r="Y79" s="568" t="s">
        <v>301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36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36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36"/>
      <c r="K81" s="272"/>
      <c r="L81" s="658"/>
      <c r="M81" s="659"/>
      <c r="N81" s="660" t="s">
        <v>302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36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36"/>
      <c r="K82" s="272"/>
      <c r="L82" s="658"/>
      <c r="M82" s="659"/>
      <c r="N82" s="660" t="s">
        <v>303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36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36"/>
      <c r="K83" s="272"/>
      <c r="L83" s="658"/>
      <c r="M83" s="659"/>
      <c r="N83" s="660" t="s">
        <v>304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36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36"/>
      <c r="K84" s="272"/>
      <c r="L84" s="658"/>
      <c r="M84" s="659"/>
      <c r="N84" s="660" t="s">
        <v>305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36"/>
      <c r="W84" s="579" t="s">
        <v>306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36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36"/>
      <c r="W85" s="579" t="s">
        <v>307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308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37"/>
      <c r="K86" s="279"/>
      <c r="L86" s="251">
        <f t="shared" si="0"/>
        <v>6</v>
      </c>
      <c r="M86" s="543" t="s">
        <v>296</v>
      </c>
      <c r="N86" s="253"/>
      <c r="O86" s="254"/>
      <c r="P86" s="255"/>
      <c r="Q86" s="257"/>
      <c r="R86" s="266"/>
      <c r="S86" s="289"/>
      <c r="T86" s="266"/>
      <c r="U86" s="266"/>
      <c r="V86" s="937"/>
      <c r="Y86" s="568" t="s">
        <v>309</v>
      </c>
      <c r="Z86" s="569">
        <f>+C109</f>
        <v>1223989.5000000002</v>
      </c>
    </row>
    <row r="87" spans="1:41" ht="14.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310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311</v>
      </c>
      <c r="D88" s="365" t="s">
        <v>312</v>
      </c>
      <c r="E88" s="366"/>
      <c r="F88" s="367"/>
      <c r="G88" s="368">
        <v>280000</v>
      </c>
      <c r="H88" s="369">
        <v>45054</v>
      </c>
      <c r="I88" s="309"/>
      <c r="J88" s="938">
        <f>SUM(G88:G104)</f>
        <v>4530000</v>
      </c>
      <c r="K88" s="310"/>
      <c r="L88" s="364">
        <f t="shared" si="0"/>
        <v>7</v>
      </c>
      <c r="M88" s="303" t="s">
        <v>311</v>
      </c>
      <c r="N88" s="365" t="s">
        <v>313</v>
      </c>
      <c r="O88" s="835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19" t="s">
        <v>314</v>
      </c>
      <c r="U88" s="844">
        <v>45443</v>
      </c>
      <c r="V88" s="938">
        <f>SUM(Q88:Q104)</f>
        <v>625278.52391304355</v>
      </c>
      <c r="W88" s="128"/>
      <c r="X88" s="128"/>
      <c r="Y88" s="568" t="s">
        <v>315</v>
      </c>
      <c r="Z88" s="569">
        <f>+G116+G118</f>
        <v>92066.7</v>
      </c>
    </row>
    <row r="89" spans="1:41" ht="14.25" customHeight="1">
      <c r="B89" s="814"/>
      <c r="C89" s="758"/>
      <c r="D89" s="815"/>
      <c r="E89" s="816"/>
      <c r="F89" s="817"/>
      <c r="G89" s="818"/>
      <c r="H89" s="763"/>
      <c r="I89" s="319"/>
      <c r="J89" s="939"/>
      <c r="K89" s="320"/>
      <c r="L89" s="814"/>
      <c r="M89" s="758"/>
      <c r="N89" s="314" t="s">
        <v>316</v>
      </c>
      <c r="O89" s="315"/>
      <c r="P89" s="316"/>
      <c r="Q89" s="317">
        <f>47816.52/1.15</f>
        <v>41579.582608695651</v>
      </c>
      <c r="R89" s="826">
        <v>45351</v>
      </c>
      <c r="S89" s="379"/>
      <c r="T89" s="930" t="s">
        <v>317</v>
      </c>
      <c r="U89" s="831">
        <v>45351</v>
      </c>
      <c r="V89" s="946"/>
      <c r="W89" s="128"/>
      <c r="X89" s="128"/>
      <c r="Y89" s="568"/>
      <c r="Z89" s="569"/>
    </row>
    <row r="90" spans="1:41" ht="14.25" customHeight="1" thickBot="1">
      <c r="B90" s="814"/>
      <c r="C90" s="758"/>
      <c r="D90" s="815"/>
      <c r="E90" s="816"/>
      <c r="F90" s="817"/>
      <c r="G90" s="818"/>
      <c r="H90" s="763"/>
      <c r="I90" s="319"/>
      <c r="J90" s="939"/>
      <c r="K90" s="320"/>
      <c r="L90" s="814"/>
      <c r="M90" s="758"/>
      <c r="N90" s="314" t="s">
        <v>318</v>
      </c>
      <c r="O90" s="315"/>
      <c r="P90" s="316"/>
      <c r="Q90" s="317">
        <f>103948.95-Q89</f>
        <v>62369.367391304346</v>
      </c>
      <c r="R90" s="826">
        <v>45394</v>
      </c>
      <c r="S90" s="379"/>
      <c r="T90" s="931"/>
      <c r="U90" s="831">
        <v>45351</v>
      </c>
      <c r="V90" s="946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319</v>
      </c>
      <c r="E91" s="374"/>
      <c r="F91" s="375"/>
      <c r="G91" s="376">
        <v>4000000</v>
      </c>
      <c r="H91" s="377">
        <v>45054</v>
      </c>
      <c r="I91" s="319"/>
      <c r="J91" s="939"/>
      <c r="K91" s="320"/>
      <c r="L91" s="371">
        <f t="shared" si="0"/>
        <v>7</v>
      </c>
      <c r="M91" s="372" t="s">
        <v>311</v>
      </c>
      <c r="N91" s="858" t="s">
        <v>320</v>
      </c>
      <c r="O91" s="374"/>
      <c r="P91" s="375"/>
      <c r="Q91" s="376">
        <v>21664</v>
      </c>
      <c r="R91" s="377">
        <v>45484</v>
      </c>
      <c r="S91" s="379"/>
      <c r="T91" s="820" t="s">
        <v>321</v>
      </c>
      <c r="U91" s="844">
        <v>45473</v>
      </c>
      <c r="V91" s="946"/>
      <c r="Y91" s="568" t="s">
        <v>322</v>
      </c>
      <c r="Z91" s="569">
        <v>0</v>
      </c>
    </row>
    <row r="92" spans="1:41" ht="14.25" customHeight="1">
      <c r="B92" s="371">
        <v>7</v>
      </c>
      <c r="C92" s="372"/>
      <c r="D92" s="373" t="s">
        <v>323</v>
      </c>
      <c r="E92" s="374"/>
      <c r="F92" s="375"/>
      <c r="G92" s="376">
        <v>250000</v>
      </c>
      <c r="H92" s="377">
        <v>45054</v>
      </c>
      <c r="I92" s="319"/>
      <c r="J92" s="939"/>
      <c r="K92" s="320"/>
      <c r="L92" s="371">
        <f t="shared" si="0"/>
        <v>7</v>
      </c>
      <c r="M92" s="372" t="s">
        <v>311</v>
      </c>
      <c r="N92" s="373" t="s">
        <v>324</v>
      </c>
      <c r="O92" s="374"/>
      <c r="P92" s="375"/>
      <c r="Q92" s="376"/>
      <c r="R92" s="377"/>
      <c r="S92" s="379"/>
      <c r="T92" s="378"/>
      <c r="U92" s="378"/>
      <c r="V92" s="939"/>
      <c r="Y92" s="568" t="s">
        <v>322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39"/>
      <c r="K93" s="320"/>
      <c r="L93" s="371"/>
      <c r="M93" s="372"/>
      <c r="N93" s="373" t="s">
        <v>325</v>
      </c>
      <c r="O93" s="374"/>
      <c r="P93" s="375"/>
      <c r="Q93" s="583"/>
      <c r="R93" s="378"/>
      <c r="S93" s="379"/>
      <c r="T93" s="378"/>
      <c r="U93" s="378"/>
      <c r="V93" s="939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39"/>
      <c r="K94" s="320"/>
      <c r="L94" s="371"/>
      <c r="M94" s="372"/>
      <c r="N94" s="373" t="s">
        <v>326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39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39"/>
      <c r="K95" s="320"/>
      <c r="L95" s="371"/>
      <c r="M95" s="372"/>
      <c r="N95" s="373" t="s">
        <v>327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328</v>
      </c>
      <c r="U95" s="377">
        <v>45382</v>
      </c>
      <c r="V95" s="939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39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39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39"/>
      <c r="K97" s="320"/>
      <c r="L97" s="371"/>
      <c r="M97" s="372"/>
      <c r="N97" s="373" t="s">
        <v>329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39"/>
      <c r="W97" s="579" t="s">
        <v>330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39"/>
      <c r="K98" s="320"/>
      <c r="L98" s="371"/>
      <c r="M98" s="372"/>
      <c r="N98" s="373" t="s">
        <v>331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39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39"/>
      <c r="K99" s="320"/>
      <c r="L99" s="371"/>
      <c r="M99" s="372"/>
      <c r="N99" s="373" t="s">
        <v>332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333</v>
      </c>
      <c r="U99" s="377">
        <v>45260</v>
      </c>
      <c r="V99" s="939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39"/>
      <c r="K100" s="320"/>
      <c r="L100" s="371"/>
      <c r="M100" s="372"/>
      <c r="N100" s="373" t="s">
        <v>334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333</v>
      </c>
      <c r="U100" s="377">
        <v>45260</v>
      </c>
      <c r="V100" s="939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39"/>
      <c r="K101" s="320"/>
      <c r="L101" s="371"/>
      <c r="M101" s="372"/>
      <c r="N101" s="373" t="s">
        <v>335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39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39"/>
      <c r="K102" s="320"/>
      <c r="L102" s="371"/>
      <c r="M102" s="372"/>
      <c r="N102" s="373" t="s">
        <v>336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39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39"/>
      <c r="K103" s="320"/>
      <c r="L103" s="371"/>
      <c r="M103" s="372"/>
      <c r="N103" s="373" t="s">
        <v>337</v>
      </c>
      <c r="O103" s="374"/>
      <c r="P103" s="375"/>
      <c r="Q103" s="583">
        <v>0</v>
      </c>
      <c r="R103" s="378"/>
      <c r="S103" s="379"/>
      <c r="T103" s="378"/>
      <c r="U103" s="378"/>
      <c r="V103" s="939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40"/>
      <c r="K104" s="330"/>
      <c r="L104" s="322">
        <f t="shared" si="0"/>
        <v>7</v>
      </c>
      <c r="M104" s="323" t="s">
        <v>311</v>
      </c>
      <c r="N104" s="664" t="s">
        <v>338</v>
      </c>
      <c r="O104" s="665"/>
      <c r="P104" s="666"/>
      <c r="Q104" s="696">
        <v>0</v>
      </c>
      <c r="R104" s="328"/>
      <c r="S104" s="381"/>
      <c r="T104" s="380"/>
      <c r="U104" s="328"/>
      <c r="V104" s="940"/>
      <c r="W104" s="579" t="s">
        <v>339</v>
      </c>
      <c r="Y104" s="568" t="s">
        <v>322</v>
      </c>
      <c r="Z104" s="570">
        <v>0</v>
      </c>
    </row>
    <row r="105" spans="1:41" ht="22.5" customHeight="1" thickBot="1">
      <c r="A105" s="91"/>
      <c r="B105" s="628" t="s">
        <v>340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341</v>
      </c>
      <c r="D106" s="181" t="s">
        <v>342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35">
        <f>SUM(G106:G114)</f>
        <v>1661472</v>
      </c>
      <c r="K106" s="269"/>
      <c r="L106" s="179">
        <f t="shared" si="0"/>
        <v>8</v>
      </c>
      <c r="M106" s="180" t="s">
        <v>341</v>
      </c>
      <c r="N106" s="181" t="s">
        <v>342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35">
        <f>SUM(Q106:Q114)</f>
        <v>1378000</v>
      </c>
      <c r="Y106" s="568" t="s">
        <v>343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344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36"/>
      <c r="K107" s="272"/>
      <c r="L107" s="187">
        <f t="shared" si="0"/>
        <v>8</v>
      </c>
      <c r="M107" s="188" t="s">
        <v>341</v>
      </c>
      <c r="N107" s="189" t="s">
        <v>345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36"/>
      <c r="Y107" s="572" t="s">
        <v>346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36"/>
      <c r="K108" s="272"/>
      <c r="L108" s="187">
        <f t="shared" ref="L108" si="4">B108</f>
        <v>0</v>
      </c>
      <c r="M108" s="188" t="s">
        <v>341</v>
      </c>
      <c r="N108" s="189" t="s">
        <v>345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36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347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36"/>
      <c r="K109" s="272"/>
      <c r="L109" s="187">
        <f t="shared" si="0"/>
        <v>8</v>
      </c>
      <c r="M109" s="188" t="s">
        <v>341</v>
      </c>
      <c r="N109" s="189" t="s">
        <v>348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36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Plan'!G50</f>
        <v>45307</v>
      </c>
      <c r="I110" s="271"/>
      <c r="J110" s="936"/>
      <c r="K110" s="272"/>
      <c r="L110" s="187">
        <f t="shared" si="0"/>
        <v>8</v>
      </c>
      <c r="M110" s="188" t="s">
        <v>341</v>
      </c>
      <c r="N110" s="189" t="s">
        <v>349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36"/>
      <c r="Y110" s="573" t="s">
        <v>60</v>
      </c>
      <c r="Z110" s="574" t="s">
        <v>350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36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36"/>
      <c r="Y111" s="812"/>
      <c r="Z111" s="813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36"/>
      <c r="K112" s="272"/>
      <c r="L112" s="187">
        <f t="shared" si="0"/>
        <v>8</v>
      </c>
      <c r="M112" s="188" t="s">
        <v>341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36"/>
      <c r="Y112" s="575" t="s">
        <v>296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36"/>
      <c r="K113" s="272"/>
      <c r="L113" s="187">
        <f t="shared" si="0"/>
        <v>8</v>
      </c>
      <c r="M113" s="188" t="s">
        <v>341</v>
      </c>
      <c r="N113" s="189" t="s">
        <v>351</v>
      </c>
      <c r="O113" s="862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36"/>
      <c r="Y113" s="575" t="s">
        <v>249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351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37"/>
      <c r="K114" s="279"/>
      <c r="L114" s="251">
        <f t="shared" si="0"/>
        <v>8</v>
      </c>
      <c r="M114" s="252" t="s">
        <v>341</v>
      </c>
      <c r="N114" s="253"/>
      <c r="O114" s="869"/>
      <c r="P114" s="564"/>
      <c r="Q114" s="867">
        <f>O113*0.2</f>
        <v>41340</v>
      </c>
      <c r="R114" s="870">
        <v>45520</v>
      </c>
      <c r="S114" s="402"/>
      <c r="T114" s="258"/>
      <c r="U114" s="210">
        <v>45473</v>
      </c>
      <c r="V114" s="937"/>
      <c r="Y114" s="575" t="s">
        <v>301</v>
      </c>
      <c r="Z114" s="576">
        <v>360000</v>
      </c>
    </row>
    <row r="115" spans="1:41" ht="14.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309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352</v>
      </c>
      <c r="D116" s="234" t="s">
        <v>353</v>
      </c>
      <c r="E116" s="235"/>
      <c r="F116" s="245"/>
      <c r="G116" s="403">
        <v>46033.35</v>
      </c>
      <c r="H116" s="238">
        <f>H106</f>
        <v>45093</v>
      </c>
      <c r="I116" s="404"/>
      <c r="J116" s="932">
        <f>SUM(G116:G132)</f>
        <v>289840.03333333333</v>
      </c>
      <c r="K116" s="405"/>
      <c r="L116" s="233">
        <v>9</v>
      </c>
      <c r="M116" s="234" t="s">
        <v>354</v>
      </c>
      <c r="N116" s="234" t="s">
        <v>355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32">
        <f>SUM(Q116:Q132)</f>
        <v>143094.85999999996</v>
      </c>
      <c r="Y116" s="575" t="s">
        <v>310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33"/>
      <c r="K117" s="293"/>
      <c r="L117" s="169">
        <v>9</v>
      </c>
      <c r="M117" s="602">
        <f>Z118</f>
        <v>101100</v>
      </c>
      <c r="N117" s="170" t="s">
        <v>356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33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33"/>
      <c r="K118" s="293"/>
      <c r="L118" s="169">
        <v>9</v>
      </c>
      <c r="M118" s="158"/>
      <c r="N118" s="170" t="s">
        <v>357</v>
      </c>
      <c r="O118" s="601">
        <v>0.1</v>
      </c>
      <c r="P118" s="861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33"/>
      <c r="Y118" s="575" t="s">
        <v>358</v>
      </c>
      <c r="Z118" s="576">
        <v>101100</v>
      </c>
    </row>
    <row r="119" spans="1:41" ht="14.25" customHeight="1">
      <c r="B119" s="169">
        <v>9</v>
      </c>
      <c r="C119" s="170"/>
      <c r="D119" s="170" t="s">
        <v>359</v>
      </c>
      <c r="E119" s="171"/>
      <c r="F119" s="230"/>
      <c r="G119" s="408">
        <v>0</v>
      </c>
      <c r="H119" s="232">
        <v>44979</v>
      </c>
      <c r="I119" s="407"/>
      <c r="J119" s="933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33"/>
      <c r="Y119" s="575" t="s">
        <v>322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33"/>
      <c r="K120" s="293"/>
      <c r="L120" s="169">
        <v>9</v>
      </c>
      <c r="M120" s="170"/>
      <c r="N120" s="170" t="s">
        <v>360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33"/>
      <c r="W120" s="627" t="s">
        <v>361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33"/>
      <c r="K121" s="293"/>
      <c r="L121" s="169">
        <v>9</v>
      </c>
      <c r="M121" s="170"/>
      <c r="N121" s="170" t="s">
        <v>362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33"/>
      <c r="Y121" s="575"/>
      <c r="Z121" s="576"/>
    </row>
    <row r="122" spans="1:41" ht="14.25" customHeight="1">
      <c r="B122" s="169">
        <v>9</v>
      </c>
      <c r="C122" s="158"/>
      <c r="D122" s="158" t="s">
        <v>310</v>
      </c>
      <c r="E122" s="159"/>
      <c r="F122" s="173"/>
      <c r="G122" s="406">
        <v>8500</v>
      </c>
      <c r="H122" s="162">
        <v>44994</v>
      </c>
      <c r="I122" s="407"/>
      <c r="J122" s="933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33"/>
      <c r="Y122" s="575" t="s">
        <v>322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33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33"/>
      <c r="Y123" s="575"/>
      <c r="Z123" s="576"/>
    </row>
    <row r="124" spans="1:41" ht="14.25" customHeight="1">
      <c r="B124" s="169">
        <v>9</v>
      </c>
      <c r="C124" s="158"/>
      <c r="D124" s="158" t="s">
        <v>363</v>
      </c>
      <c r="E124" s="159"/>
      <c r="F124" s="173"/>
      <c r="G124" s="406">
        <v>139200</v>
      </c>
      <c r="H124" s="162">
        <v>44994</v>
      </c>
      <c r="I124" s="407"/>
      <c r="J124" s="933"/>
      <c r="K124" s="293"/>
      <c r="L124" s="169">
        <v>9</v>
      </c>
      <c r="M124" s="170" t="s">
        <v>364</v>
      </c>
      <c r="N124" s="170" t="s">
        <v>363</v>
      </c>
      <c r="O124" s="171"/>
      <c r="P124" s="230"/>
      <c r="Q124" s="695">
        <v>0</v>
      </c>
      <c r="R124" s="246"/>
      <c r="S124" s="409"/>
      <c r="T124" s="172"/>
      <c r="U124" s="246"/>
      <c r="V124" s="933"/>
      <c r="Y124" s="575" t="s">
        <v>322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33"/>
      <c r="K125" s="293"/>
      <c r="L125" s="157">
        <v>9</v>
      </c>
      <c r="M125" s="158"/>
      <c r="N125" s="158" t="s">
        <v>365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33"/>
      <c r="Y125" s="575" t="s">
        <v>322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33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33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33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33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33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33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33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33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33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366</v>
      </c>
      <c r="U130" s="232">
        <v>45382</v>
      </c>
      <c r="V130" s="933"/>
      <c r="Y130" s="575"/>
      <c r="Z130" s="576"/>
    </row>
    <row r="131" spans="1:41" ht="15" customHeight="1">
      <c r="B131" s="169">
        <v>9</v>
      </c>
      <c r="C131" s="170"/>
      <c r="D131" s="170" t="s">
        <v>367</v>
      </c>
      <c r="E131" s="171"/>
      <c r="F131" s="230"/>
      <c r="G131" s="408">
        <v>50073.333333333328</v>
      </c>
      <c r="H131" s="232">
        <v>44994</v>
      </c>
      <c r="I131" s="407"/>
      <c r="J131" s="933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33"/>
      <c r="Y131" s="575" t="s">
        <v>322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34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34"/>
      <c r="W132" s="579" t="s">
        <v>368</v>
      </c>
      <c r="Y132" s="575" t="s">
        <v>322</v>
      </c>
      <c r="Z132" s="577">
        <v>0</v>
      </c>
    </row>
    <row r="133" spans="1:41" ht="14.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369</v>
      </c>
      <c r="D134" s="261" t="s">
        <v>370</v>
      </c>
      <c r="E134" s="262"/>
      <c r="F134" s="263"/>
      <c r="G134" s="264">
        <v>52497.9</v>
      </c>
      <c r="H134" s="185">
        <f>'Project Plan'!E20-5</f>
        <v>45091</v>
      </c>
      <c r="I134" s="426"/>
      <c r="J134" s="935">
        <f>SUM(G134:G140)</f>
        <v>78746.850000000006</v>
      </c>
      <c r="K134" s="269"/>
      <c r="L134" s="179">
        <f t="shared" si="0"/>
        <v>10</v>
      </c>
      <c r="M134" s="261" t="s">
        <v>369</v>
      </c>
      <c r="N134" s="261" t="s">
        <v>370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35">
        <f>SUM(Q134:Q140)</f>
        <v>54897.75</v>
      </c>
      <c r="W134" s="627"/>
      <c r="Y134" s="578" t="s">
        <v>346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371</v>
      </c>
      <c r="E135" s="200"/>
      <c r="F135" s="201"/>
      <c r="G135" s="202">
        <v>26248.95</v>
      </c>
      <c r="H135" s="193">
        <v>44994</v>
      </c>
      <c r="I135" s="428"/>
      <c r="J135" s="936"/>
      <c r="K135" s="272"/>
      <c r="L135" s="187">
        <f t="shared" si="0"/>
        <v>10</v>
      </c>
      <c r="M135" s="199" t="s">
        <v>369</v>
      </c>
      <c r="N135" s="199" t="s">
        <v>371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36"/>
      <c r="W135" s="579" t="s">
        <v>372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36"/>
      <c r="K136" s="272"/>
      <c r="L136" s="187">
        <f t="shared" si="0"/>
        <v>10</v>
      </c>
      <c r="M136" s="199"/>
      <c r="N136" s="199" t="s">
        <v>373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36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36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36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36"/>
      <c r="K138" s="272"/>
      <c r="L138" s="187">
        <f t="shared" si="0"/>
        <v>10</v>
      </c>
      <c r="M138" s="199"/>
      <c r="N138" s="199" t="s">
        <v>374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36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36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36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37"/>
      <c r="K140" s="279"/>
      <c r="L140" s="251">
        <f t="shared" si="0"/>
        <v>10</v>
      </c>
      <c r="M140" s="207"/>
      <c r="N140" s="207" t="s">
        <v>375</v>
      </c>
      <c r="O140" s="208"/>
      <c r="P140" s="209"/>
      <c r="Q140" s="211"/>
      <c r="R140" s="266"/>
      <c r="S140" s="402"/>
      <c r="T140" s="266"/>
      <c r="U140" s="266"/>
      <c r="V140" s="937"/>
      <c r="W140" s="579" t="s">
        <v>376</v>
      </c>
    </row>
    <row r="141" spans="1:41" ht="14.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4.5" thickBot="1">
      <c r="B142" s="415">
        <v>11</v>
      </c>
      <c r="C142" s="416" t="s">
        <v>377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377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378</v>
      </c>
      <c r="Z142" s="585" t="s">
        <v>379</v>
      </c>
      <c r="AA142" s="585"/>
    </row>
    <row r="143" spans="1:41" ht="14.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4.5" thickBot="1">
      <c r="B144" s="296">
        <v>12</v>
      </c>
      <c r="C144" s="297" t="s">
        <v>380</v>
      </c>
      <c r="D144" s="297" t="s">
        <v>381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380</v>
      </c>
      <c r="N144" s="297" t="s">
        <v>381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382</v>
      </c>
      <c r="Z144" s="585" t="s">
        <v>383</v>
      </c>
      <c r="AA144" s="585"/>
    </row>
    <row r="145" spans="1:41" ht="14.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4.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4.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4.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4.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4.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4.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4.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4.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380</v>
      </c>
      <c r="N153" s="297" t="s">
        <v>384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4.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385</v>
      </c>
      <c r="D155" s="234" t="s">
        <v>386</v>
      </c>
      <c r="E155" s="235"/>
      <c r="F155" s="245"/>
      <c r="G155" s="403">
        <v>12180</v>
      </c>
      <c r="H155" s="238">
        <v>44994</v>
      </c>
      <c r="I155" s="404"/>
      <c r="J155" s="932">
        <f>SUM(G155:G168)</f>
        <v>12180</v>
      </c>
      <c r="K155" s="405"/>
      <c r="L155" s="233">
        <f t="shared" ref="L155:L212" si="7">B155</f>
        <v>13</v>
      </c>
      <c r="M155" s="234" t="s">
        <v>385</v>
      </c>
      <c r="N155" s="234" t="s">
        <v>386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32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33"/>
      <c r="K156" s="293"/>
      <c r="L156" s="157">
        <v>13</v>
      </c>
      <c r="M156" s="158" t="s">
        <v>385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33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33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33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33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33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33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33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33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33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33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33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33"/>
      <c r="K162" s="293"/>
      <c r="L162" s="157">
        <v>13</v>
      </c>
      <c r="M162" s="158" t="s">
        <v>385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387</v>
      </c>
      <c r="U162" s="162"/>
      <c r="V162" s="933"/>
      <c r="W162" s="579" t="s">
        <v>388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33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33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33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33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33"/>
      <c r="K165" s="293"/>
      <c r="L165" s="713">
        <v>13</v>
      </c>
      <c r="M165" s="714"/>
      <c r="N165" s="714"/>
      <c r="O165" s="715"/>
      <c r="P165" s="716"/>
      <c r="Q165" s="839">
        <v>909.92000000000007</v>
      </c>
      <c r="R165" s="718">
        <v>45387</v>
      </c>
      <c r="S165" s="409"/>
      <c r="T165" s="719"/>
      <c r="U165" s="718">
        <v>45382</v>
      </c>
      <c r="V165" s="933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33"/>
      <c r="K166" s="293"/>
      <c r="L166" s="713">
        <v>13</v>
      </c>
      <c r="M166" s="714"/>
      <c r="N166" s="714"/>
      <c r="O166" s="715"/>
      <c r="P166" s="716"/>
      <c r="Q166" s="839">
        <v>208.8</v>
      </c>
      <c r="R166" s="718">
        <v>45421</v>
      </c>
      <c r="S166" s="409"/>
      <c r="T166" s="719"/>
      <c r="U166" s="718">
        <v>45412</v>
      </c>
      <c r="V166" s="933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33"/>
      <c r="K167" s="293"/>
      <c r="L167" s="713">
        <v>13</v>
      </c>
      <c r="M167" s="714"/>
      <c r="N167" s="714"/>
      <c r="O167" s="715"/>
      <c r="P167" s="716"/>
      <c r="Q167" s="839">
        <v>58.08</v>
      </c>
      <c r="R167" s="718">
        <v>45478</v>
      </c>
      <c r="S167" s="409"/>
      <c r="T167" s="719"/>
      <c r="U167" s="718">
        <v>45473</v>
      </c>
      <c r="V167" s="933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34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34"/>
    </row>
    <row r="169" spans="1:41" ht="14.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4.5" thickBot="1">
      <c r="B170" s="179">
        <v>14</v>
      </c>
      <c r="C170" s="261" t="s">
        <v>389</v>
      </c>
      <c r="D170" s="261"/>
      <c r="E170" s="262"/>
      <c r="F170" s="263"/>
      <c r="G170" s="264"/>
      <c r="H170" s="185"/>
      <c r="I170" s="426"/>
      <c r="J170" s="935">
        <f>SUM(G170:G212)</f>
        <v>0</v>
      </c>
      <c r="K170" s="269"/>
      <c r="L170" s="179">
        <f t="shared" si="7"/>
        <v>14</v>
      </c>
      <c r="M170" s="261" t="s">
        <v>389</v>
      </c>
      <c r="N170" s="594" t="s">
        <v>390</v>
      </c>
      <c r="O170" s="595"/>
      <c r="P170" s="596"/>
      <c r="Q170" s="842">
        <v>2000000</v>
      </c>
      <c r="R170" s="843">
        <v>45421</v>
      </c>
      <c r="S170" s="427"/>
      <c r="T170" s="185" t="s">
        <v>391</v>
      </c>
      <c r="U170" s="859">
        <v>45443</v>
      </c>
      <c r="V170" s="935">
        <f>SUM(Q170:Q212)</f>
        <v>5406984.4199999999</v>
      </c>
    </row>
    <row r="171" spans="1:41" ht="14.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36"/>
      <c r="K171" s="272"/>
      <c r="L171" s="187">
        <f t="shared" si="7"/>
        <v>14</v>
      </c>
      <c r="M171" s="199" t="s">
        <v>389</v>
      </c>
      <c r="N171" s="199"/>
      <c r="O171" s="200"/>
      <c r="P171" s="201"/>
      <c r="Q171" s="842">
        <f>2000000-Q172</f>
        <v>1000000</v>
      </c>
      <c r="R171" s="843">
        <v>45435</v>
      </c>
      <c r="S171" s="429"/>
      <c r="T171" s="193" t="s">
        <v>391</v>
      </c>
      <c r="U171" s="847">
        <v>45443</v>
      </c>
      <c r="V171" s="936"/>
    </row>
    <row r="172" spans="1:41">
      <c r="B172" s="187"/>
      <c r="C172" s="199"/>
      <c r="D172" s="199"/>
      <c r="E172" s="200"/>
      <c r="F172" s="201"/>
      <c r="G172" s="202"/>
      <c r="H172" s="193"/>
      <c r="I172" s="428"/>
      <c r="J172" s="936"/>
      <c r="K172" s="272"/>
      <c r="L172" s="187">
        <f t="shared" ref="L172" si="8">B172</f>
        <v>0</v>
      </c>
      <c r="M172" s="199" t="s">
        <v>389</v>
      </c>
      <c r="N172" s="199"/>
      <c r="O172" s="200"/>
      <c r="P172" s="201"/>
      <c r="Q172" s="845">
        <v>1000000</v>
      </c>
      <c r="R172" s="846">
        <v>45436</v>
      </c>
      <c r="S172" s="429"/>
      <c r="T172" s="193" t="s">
        <v>391</v>
      </c>
      <c r="U172" s="185">
        <v>45443</v>
      </c>
      <c r="V172" s="936"/>
    </row>
    <row r="173" spans="1:41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36"/>
      <c r="K173" s="272"/>
      <c r="L173" s="187">
        <f t="shared" si="7"/>
        <v>14</v>
      </c>
      <c r="M173" s="199" t="s">
        <v>389</v>
      </c>
      <c r="N173" s="199" t="s">
        <v>392</v>
      </c>
      <c r="O173" s="200"/>
      <c r="P173" s="201"/>
      <c r="Q173" s="705">
        <v>75000</v>
      </c>
      <c r="R173" s="193">
        <v>45334</v>
      </c>
      <c r="S173" s="429"/>
      <c r="T173" s="193" t="s">
        <v>393</v>
      </c>
      <c r="U173" s="193">
        <v>45322</v>
      </c>
      <c r="V173" s="936"/>
    </row>
    <row r="174" spans="1:41">
      <c r="B174" s="658"/>
      <c r="C174" s="706"/>
      <c r="D174" s="706"/>
      <c r="E174" s="707"/>
      <c r="F174" s="708"/>
      <c r="G174" s="709"/>
      <c r="H174" s="652"/>
      <c r="I174" s="428"/>
      <c r="J174" s="936"/>
      <c r="K174" s="272"/>
      <c r="L174" s="187">
        <v>14</v>
      </c>
      <c r="M174" s="199" t="s">
        <v>389</v>
      </c>
      <c r="N174" s="199" t="s">
        <v>394</v>
      </c>
      <c r="O174" s="707"/>
      <c r="P174" s="708"/>
      <c r="Q174" s="705">
        <v>75000</v>
      </c>
      <c r="R174" s="193">
        <v>45334</v>
      </c>
      <c r="S174" s="429"/>
      <c r="T174" s="193" t="s">
        <v>395</v>
      </c>
      <c r="U174" s="193">
        <v>45322</v>
      </c>
      <c r="V174" s="936"/>
    </row>
    <row r="175" spans="1:41">
      <c r="B175" s="658"/>
      <c r="C175" s="706"/>
      <c r="D175" s="706"/>
      <c r="E175" s="707"/>
      <c r="F175" s="708"/>
      <c r="G175" s="709"/>
      <c r="H175" s="652"/>
      <c r="I175" s="428"/>
      <c r="J175" s="936"/>
      <c r="K175" s="272"/>
      <c r="L175" s="658">
        <v>14</v>
      </c>
      <c r="M175" s="199" t="s">
        <v>389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366</v>
      </c>
      <c r="U175" s="652">
        <v>45382</v>
      </c>
      <c r="V175" s="936"/>
    </row>
    <row r="176" spans="1:41">
      <c r="B176" s="658"/>
      <c r="C176" s="706"/>
      <c r="D176" s="706"/>
      <c r="E176" s="707"/>
      <c r="F176" s="708"/>
      <c r="G176" s="709"/>
      <c r="H176" s="652"/>
      <c r="I176" s="428"/>
      <c r="J176" s="936"/>
      <c r="K176" s="272"/>
      <c r="L176" s="658">
        <v>14</v>
      </c>
      <c r="M176" s="706" t="s">
        <v>389</v>
      </c>
      <c r="N176" s="706" t="s">
        <v>396</v>
      </c>
      <c r="O176" s="707"/>
      <c r="P176" s="708"/>
      <c r="Q176" s="873"/>
      <c r="R176" s="655"/>
      <c r="S176" s="429"/>
      <c r="T176" s="652"/>
      <c r="U176" s="655"/>
      <c r="V176" s="936"/>
    </row>
    <row r="177" spans="2:23">
      <c r="B177" s="658"/>
      <c r="C177" s="706"/>
      <c r="D177" s="706"/>
      <c r="E177" s="707"/>
      <c r="F177" s="708"/>
      <c r="G177" s="709"/>
      <c r="H177" s="652"/>
      <c r="I177" s="428"/>
      <c r="J177" s="936"/>
      <c r="K177" s="272"/>
      <c r="L177" s="658">
        <v>14</v>
      </c>
      <c r="M177" s="706" t="s">
        <v>389</v>
      </c>
      <c r="N177" s="706" t="s">
        <v>397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36"/>
    </row>
    <row r="178" spans="2:23">
      <c r="B178" s="658"/>
      <c r="C178" s="706"/>
      <c r="D178" s="706"/>
      <c r="E178" s="707"/>
      <c r="F178" s="708"/>
      <c r="G178" s="709"/>
      <c r="H178" s="652"/>
      <c r="I178" s="428"/>
      <c r="J178" s="936"/>
      <c r="K178" s="272"/>
      <c r="L178" s="658">
        <v>14</v>
      </c>
      <c r="M178" s="706" t="s">
        <v>389</v>
      </c>
      <c r="N178" s="706" t="s">
        <v>397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36"/>
    </row>
    <row r="179" spans="2:23">
      <c r="B179" s="658"/>
      <c r="C179" s="706"/>
      <c r="D179" s="706"/>
      <c r="E179" s="707"/>
      <c r="F179" s="708"/>
      <c r="G179" s="709"/>
      <c r="H179" s="652"/>
      <c r="I179" s="428"/>
      <c r="J179" s="936"/>
      <c r="K179" s="272"/>
      <c r="L179" s="658">
        <v>14</v>
      </c>
      <c r="M179" s="706" t="s">
        <v>389</v>
      </c>
      <c r="N179" s="706" t="s">
        <v>397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36"/>
    </row>
    <row r="180" spans="2:23">
      <c r="B180" s="658"/>
      <c r="C180" s="706"/>
      <c r="D180" s="706"/>
      <c r="E180" s="707"/>
      <c r="F180" s="708"/>
      <c r="G180" s="709"/>
      <c r="H180" s="652"/>
      <c r="I180" s="428"/>
      <c r="J180" s="936"/>
      <c r="K180" s="272"/>
      <c r="L180" s="658">
        <v>14</v>
      </c>
      <c r="M180" s="706" t="s">
        <v>389</v>
      </c>
      <c r="N180" s="706" t="s">
        <v>397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36"/>
    </row>
    <row r="181" spans="2:23">
      <c r="B181" s="658"/>
      <c r="C181" s="706"/>
      <c r="D181" s="706"/>
      <c r="E181" s="707"/>
      <c r="F181" s="708"/>
      <c r="G181" s="709"/>
      <c r="H181" s="652"/>
      <c r="I181" s="428"/>
      <c r="J181" s="936"/>
      <c r="K181" s="272"/>
      <c r="L181" s="658">
        <v>14</v>
      </c>
      <c r="M181" s="706" t="s">
        <v>389</v>
      </c>
      <c r="N181" s="706" t="s">
        <v>397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36"/>
    </row>
    <row r="182" spans="2:23">
      <c r="B182" s="658"/>
      <c r="C182" s="706"/>
      <c r="D182" s="706"/>
      <c r="E182" s="707"/>
      <c r="F182" s="708"/>
      <c r="G182" s="709"/>
      <c r="H182" s="652"/>
      <c r="I182" s="428"/>
      <c r="J182" s="936"/>
      <c r="K182" s="272"/>
      <c r="L182" s="658">
        <v>14</v>
      </c>
      <c r="M182" s="706" t="s">
        <v>389</v>
      </c>
      <c r="N182" s="706" t="s">
        <v>397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36"/>
    </row>
    <row r="183" spans="2:23">
      <c r="B183" s="658"/>
      <c r="C183" s="706"/>
      <c r="D183" s="706"/>
      <c r="E183" s="707"/>
      <c r="F183" s="708"/>
      <c r="G183" s="709"/>
      <c r="H183" s="652"/>
      <c r="I183" s="428"/>
      <c r="J183" s="936"/>
      <c r="K183" s="272"/>
      <c r="L183" s="658">
        <v>14</v>
      </c>
      <c r="M183" s="706" t="s">
        <v>389</v>
      </c>
      <c r="N183" s="706" t="s">
        <v>398</v>
      </c>
      <c r="O183" s="707"/>
      <c r="P183" s="708"/>
      <c r="Q183" s="790">
        <v>543170.74</v>
      </c>
      <c r="R183" s="652">
        <v>45639</v>
      </c>
      <c r="S183" s="429"/>
      <c r="T183" s="652"/>
      <c r="U183" s="884">
        <v>45626</v>
      </c>
      <c r="V183" s="936"/>
    </row>
    <row r="184" spans="2:23">
      <c r="B184" s="658"/>
      <c r="C184" s="706"/>
      <c r="D184" s="706"/>
      <c r="E184" s="707"/>
      <c r="F184" s="708"/>
      <c r="G184" s="709"/>
      <c r="H184" s="652"/>
      <c r="I184" s="428"/>
      <c r="J184" s="936"/>
      <c r="K184" s="272"/>
      <c r="L184" s="658">
        <v>14</v>
      </c>
      <c r="M184" s="706" t="s">
        <v>389</v>
      </c>
      <c r="N184" s="706" t="s">
        <v>399</v>
      </c>
      <c r="O184" s="707"/>
      <c r="P184" s="708"/>
      <c r="Q184" s="885">
        <v>7639.55</v>
      </c>
      <c r="R184" s="884">
        <v>45716</v>
      </c>
      <c r="S184" s="429"/>
      <c r="T184" s="652"/>
      <c r="U184" s="884">
        <v>45688</v>
      </c>
      <c r="V184" s="936"/>
    </row>
    <row r="185" spans="2:23">
      <c r="B185" s="658"/>
      <c r="C185" s="706"/>
      <c r="D185" s="706"/>
      <c r="E185" s="707"/>
      <c r="F185" s="708"/>
      <c r="G185" s="709"/>
      <c r="H185" s="652"/>
      <c r="I185" s="428"/>
      <c r="J185" s="936"/>
      <c r="K185" s="272"/>
      <c r="L185" s="658">
        <v>14</v>
      </c>
      <c r="M185" s="706" t="s">
        <v>389</v>
      </c>
      <c r="N185" s="706" t="s">
        <v>400</v>
      </c>
      <c r="O185" s="707"/>
      <c r="P185" s="708"/>
      <c r="Q185" s="885">
        <v>18000</v>
      </c>
      <c r="R185" s="652">
        <f>U185+30</f>
        <v>45777</v>
      </c>
      <c r="S185" s="429"/>
      <c r="T185" s="652"/>
      <c r="U185" s="884">
        <v>45747</v>
      </c>
      <c r="V185" s="936"/>
      <c r="W185" s="579" t="s">
        <v>401</v>
      </c>
    </row>
    <row r="186" spans="2:23">
      <c r="B186" s="658"/>
      <c r="C186" s="706"/>
      <c r="D186" s="706"/>
      <c r="E186" s="707"/>
      <c r="F186" s="708"/>
      <c r="G186" s="709"/>
      <c r="H186" s="652"/>
      <c r="I186" s="428"/>
      <c r="J186" s="936"/>
      <c r="K186" s="272"/>
      <c r="L186" s="658">
        <v>14</v>
      </c>
      <c r="M186" s="706" t="s">
        <v>389</v>
      </c>
      <c r="N186" s="706" t="s">
        <v>402</v>
      </c>
      <c r="O186" s="707"/>
      <c r="P186" s="708"/>
      <c r="Q186" s="885">
        <v>24772</v>
      </c>
      <c r="R186" s="652">
        <v>45777</v>
      </c>
      <c r="S186" s="429"/>
      <c r="T186" s="652"/>
      <c r="U186" s="652">
        <v>45747</v>
      </c>
      <c r="V186" s="936"/>
      <c r="W186" s="579" t="s">
        <v>403</v>
      </c>
    </row>
    <row r="187" spans="2:23" ht="28">
      <c r="B187" s="658"/>
      <c r="C187" s="706"/>
      <c r="D187" s="706"/>
      <c r="E187" s="707"/>
      <c r="F187" s="708"/>
      <c r="G187" s="709"/>
      <c r="H187" s="652"/>
      <c r="I187" s="428"/>
      <c r="J187" s="936"/>
      <c r="K187" s="272"/>
      <c r="L187" s="891">
        <v>14</v>
      </c>
      <c r="M187" s="892" t="s">
        <v>389</v>
      </c>
      <c r="N187" s="888" t="s">
        <v>404</v>
      </c>
      <c r="O187" s="889">
        <v>283043.05</v>
      </c>
      <c r="P187" s="890">
        <v>0.1</v>
      </c>
      <c r="Q187" s="873">
        <f>$O$187*P187</f>
        <v>28304.305</v>
      </c>
      <c r="R187" s="655">
        <v>45974</v>
      </c>
      <c r="S187" s="429"/>
      <c r="T187" s="652"/>
      <c r="U187" s="655">
        <v>45991</v>
      </c>
      <c r="V187" s="936"/>
      <c r="W187" s="929" t="s">
        <v>405</v>
      </c>
    </row>
    <row r="188" spans="2:23" ht="28">
      <c r="B188" s="658"/>
      <c r="C188" s="706"/>
      <c r="D188" s="706"/>
      <c r="E188" s="707"/>
      <c r="F188" s="708"/>
      <c r="G188" s="709"/>
      <c r="H188" s="652"/>
      <c r="I188" s="428"/>
      <c r="J188" s="936"/>
      <c r="K188" s="272"/>
      <c r="L188" s="891">
        <v>14</v>
      </c>
      <c r="M188" s="892" t="s">
        <v>389</v>
      </c>
      <c r="N188" s="888" t="s">
        <v>406</v>
      </c>
      <c r="O188" s="707"/>
      <c r="P188" s="890">
        <v>0.9</v>
      </c>
      <c r="Q188" s="873">
        <f>$O$187*P188</f>
        <v>254738.745</v>
      </c>
      <c r="R188" s="655">
        <v>45991</v>
      </c>
      <c r="S188" s="429"/>
      <c r="T188" s="652"/>
      <c r="U188" s="655">
        <v>45991</v>
      </c>
      <c r="V188" s="936"/>
      <c r="W188" s="929"/>
    </row>
    <row r="189" spans="2:23">
      <c r="B189" s="658"/>
      <c r="C189" s="706"/>
      <c r="D189" s="706"/>
      <c r="E189" s="707"/>
      <c r="F189" s="708"/>
      <c r="G189" s="709"/>
      <c r="H189" s="652"/>
      <c r="I189" s="428"/>
      <c r="J189" s="936"/>
      <c r="K189" s="272"/>
      <c r="L189" s="658">
        <v>14</v>
      </c>
      <c r="M189" s="706" t="s">
        <v>389</v>
      </c>
      <c r="N189" s="706"/>
      <c r="O189" s="707"/>
      <c r="P189" s="708"/>
      <c r="Q189" s="790"/>
      <c r="R189" s="652"/>
      <c r="S189" s="429"/>
      <c r="T189" s="652"/>
      <c r="U189" s="884"/>
      <c r="V189" s="936"/>
    </row>
    <row r="190" spans="2:23">
      <c r="B190" s="658"/>
      <c r="C190" s="706"/>
      <c r="D190" s="706"/>
      <c r="E190" s="707"/>
      <c r="F190" s="708"/>
      <c r="G190" s="709"/>
      <c r="H190" s="652"/>
      <c r="I190" s="428"/>
      <c r="J190" s="936"/>
      <c r="K190" s="272"/>
      <c r="L190" s="658">
        <v>14</v>
      </c>
      <c r="M190" s="706" t="s">
        <v>389</v>
      </c>
      <c r="N190" s="706"/>
      <c r="O190" s="707"/>
      <c r="P190" s="708"/>
      <c r="Q190" s="790"/>
      <c r="R190" s="652"/>
      <c r="S190" s="429"/>
      <c r="T190" s="652"/>
      <c r="U190" s="884"/>
      <c r="V190" s="936"/>
    </row>
    <row r="191" spans="2:23">
      <c r="B191" s="658"/>
      <c r="C191" s="706"/>
      <c r="D191" s="706"/>
      <c r="E191" s="707"/>
      <c r="F191" s="708"/>
      <c r="G191" s="709"/>
      <c r="H191" s="652"/>
      <c r="I191" s="428"/>
      <c r="J191" s="936"/>
      <c r="K191" s="272"/>
      <c r="L191" s="658">
        <v>14</v>
      </c>
      <c r="M191" s="706" t="s">
        <v>389</v>
      </c>
      <c r="N191" s="706"/>
      <c r="O191" s="707"/>
      <c r="P191" s="708"/>
      <c r="Q191" s="790"/>
      <c r="R191" s="652"/>
      <c r="S191" s="429"/>
      <c r="T191" s="652"/>
      <c r="U191" s="884"/>
      <c r="V191" s="936"/>
    </row>
    <row r="192" spans="2:23">
      <c r="B192" s="658"/>
      <c r="C192" s="706"/>
      <c r="D192" s="706"/>
      <c r="E192" s="707"/>
      <c r="F192" s="708"/>
      <c r="G192" s="709"/>
      <c r="H192" s="652"/>
      <c r="I192" s="428"/>
      <c r="J192" s="936"/>
      <c r="K192" s="272"/>
      <c r="L192" s="658">
        <v>14</v>
      </c>
      <c r="M192" s="706" t="s">
        <v>389</v>
      </c>
      <c r="N192" s="706"/>
      <c r="O192" s="707"/>
      <c r="P192" s="708"/>
      <c r="Q192" s="790"/>
      <c r="R192" s="652"/>
      <c r="S192" s="429"/>
      <c r="T192" s="652"/>
      <c r="U192" s="884"/>
      <c r="V192" s="936"/>
    </row>
    <row r="193" spans="2:23">
      <c r="B193" s="658"/>
      <c r="C193" s="706"/>
      <c r="D193" s="706"/>
      <c r="E193" s="707"/>
      <c r="F193" s="708"/>
      <c r="G193" s="709"/>
      <c r="H193" s="652"/>
      <c r="I193" s="428"/>
      <c r="J193" s="936"/>
      <c r="K193" s="272"/>
      <c r="L193" s="658">
        <v>14</v>
      </c>
      <c r="M193" s="706" t="s">
        <v>389</v>
      </c>
      <c r="N193" s="706"/>
      <c r="O193" s="707"/>
      <c r="P193" s="708"/>
      <c r="Q193" s="790"/>
      <c r="R193" s="652"/>
      <c r="S193" s="429"/>
      <c r="T193" s="652"/>
      <c r="U193" s="884"/>
      <c r="V193" s="936"/>
    </row>
    <row r="194" spans="2:23">
      <c r="B194" s="658"/>
      <c r="C194" s="706"/>
      <c r="D194" s="706"/>
      <c r="E194" s="707"/>
      <c r="F194" s="708"/>
      <c r="G194" s="709"/>
      <c r="H194" s="652"/>
      <c r="I194" s="428"/>
      <c r="J194" s="936"/>
      <c r="K194" s="272"/>
      <c r="L194" s="658">
        <v>14</v>
      </c>
      <c r="M194" s="706" t="s">
        <v>389</v>
      </c>
      <c r="N194" s="706"/>
      <c r="O194" s="707"/>
      <c r="P194" s="708"/>
      <c r="Q194" s="790"/>
      <c r="R194" s="652"/>
      <c r="S194" s="429"/>
      <c r="T194" s="652"/>
      <c r="U194" s="884"/>
      <c r="V194" s="936"/>
    </row>
    <row r="195" spans="2:23">
      <c r="B195" s="658"/>
      <c r="C195" s="706"/>
      <c r="D195" s="706"/>
      <c r="E195" s="707"/>
      <c r="F195" s="708"/>
      <c r="G195" s="709"/>
      <c r="H195" s="652"/>
      <c r="I195" s="428"/>
      <c r="J195" s="936"/>
      <c r="K195" s="272"/>
      <c r="L195" s="658">
        <v>14</v>
      </c>
      <c r="M195" s="706" t="s">
        <v>389</v>
      </c>
      <c r="N195" s="706"/>
      <c r="O195" s="707"/>
      <c r="P195" s="708"/>
      <c r="Q195" s="790"/>
      <c r="R195" s="652"/>
      <c r="S195" s="429"/>
      <c r="T195" s="652"/>
      <c r="U195" s="884"/>
      <c r="V195" s="936"/>
    </row>
    <row r="196" spans="2:23">
      <c r="B196" s="658"/>
      <c r="C196" s="706"/>
      <c r="D196" s="706"/>
      <c r="E196" s="707"/>
      <c r="F196" s="708"/>
      <c r="G196" s="709"/>
      <c r="H196" s="652"/>
      <c r="I196" s="428"/>
      <c r="J196" s="936"/>
      <c r="K196" s="272"/>
      <c r="L196" s="658">
        <v>14</v>
      </c>
      <c r="M196" s="706" t="s">
        <v>389</v>
      </c>
      <c r="N196" s="706"/>
      <c r="O196" s="707"/>
      <c r="P196" s="708"/>
      <c r="Q196" s="790"/>
      <c r="R196" s="652"/>
      <c r="S196" s="429"/>
      <c r="T196" s="652"/>
      <c r="U196" s="884"/>
      <c r="V196" s="936"/>
    </row>
    <row r="197" spans="2:23">
      <c r="B197" s="658"/>
      <c r="C197" s="706"/>
      <c r="D197" s="706"/>
      <c r="E197" s="707"/>
      <c r="F197" s="708"/>
      <c r="G197" s="709"/>
      <c r="H197" s="652"/>
      <c r="I197" s="428"/>
      <c r="J197" s="936"/>
      <c r="K197" s="272"/>
      <c r="L197" s="658">
        <v>14</v>
      </c>
      <c r="M197" s="706" t="s">
        <v>389</v>
      </c>
      <c r="N197" s="706"/>
      <c r="O197" s="707"/>
      <c r="P197" s="708"/>
      <c r="Q197" s="790"/>
      <c r="R197" s="652"/>
      <c r="S197" s="429"/>
      <c r="T197" s="652"/>
      <c r="U197" s="884"/>
      <c r="V197" s="936"/>
    </row>
    <row r="198" spans="2:23">
      <c r="B198" s="658"/>
      <c r="C198" s="706"/>
      <c r="D198" s="706"/>
      <c r="E198" s="707"/>
      <c r="F198" s="708"/>
      <c r="G198" s="709"/>
      <c r="H198" s="652"/>
      <c r="I198" s="428"/>
      <c r="J198" s="936"/>
      <c r="K198" s="272"/>
      <c r="L198" s="658">
        <v>14</v>
      </c>
      <c r="M198" s="706" t="s">
        <v>389</v>
      </c>
      <c r="N198" s="706"/>
      <c r="O198" s="707"/>
      <c r="P198" s="708"/>
      <c r="Q198" s="790"/>
      <c r="R198" s="652"/>
      <c r="S198" s="429"/>
      <c r="T198" s="652"/>
      <c r="U198" s="884"/>
      <c r="V198" s="936"/>
    </row>
    <row r="199" spans="2:23">
      <c r="B199" s="658"/>
      <c r="C199" s="706"/>
      <c r="D199" s="706"/>
      <c r="E199" s="707"/>
      <c r="F199" s="708"/>
      <c r="G199" s="709"/>
      <c r="H199" s="652"/>
      <c r="I199" s="428"/>
      <c r="J199" s="936"/>
      <c r="K199" s="272"/>
      <c r="L199" s="658">
        <v>14</v>
      </c>
      <c r="M199" s="706" t="s">
        <v>389</v>
      </c>
      <c r="N199" s="706"/>
      <c r="O199" s="707"/>
      <c r="P199" s="708"/>
      <c r="Q199" s="790"/>
      <c r="R199" s="652"/>
      <c r="S199" s="429"/>
      <c r="T199" s="652"/>
      <c r="U199" s="884"/>
      <c r="V199" s="936"/>
    </row>
    <row r="200" spans="2:23">
      <c r="B200" s="658"/>
      <c r="C200" s="706"/>
      <c r="D200" s="706"/>
      <c r="E200" s="707"/>
      <c r="F200" s="708"/>
      <c r="G200" s="709"/>
      <c r="H200" s="652"/>
      <c r="I200" s="428"/>
      <c r="J200" s="936"/>
      <c r="K200" s="272"/>
      <c r="L200" s="658">
        <v>14</v>
      </c>
      <c r="M200" s="706" t="s">
        <v>389</v>
      </c>
      <c r="N200" s="706"/>
      <c r="O200" s="707"/>
      <c r="P200" s="708"/>
      <c r="Q200" s="790"/>
      <c r="R200" s="652"/>
      <c r="S200" s="429"/>
      <c r="T200" s="652"/>
      <c r="U200" s="884"/>
      <c r="V200" s="936"/>
    </row>
    <row r="201" spans="2:23">
      <c r="B201" s="658"/>
      <c r="C201" s="706"/>
      <c r="D201" s="706"/>
      <c r="E201" s="707"/>
      <c r="F201" s="708"/>
      <c r="G201" s="709"/>
      <c r="H201" s="652"/>
      <c r="I201" s="428"/>
      <c r="J201" s="936"/>
      <c r="K201" s="272"/>
      <c r="L201" s="658">
        <v>14</v>
      </c>
      <c r="M201" s="706" t="s">
        <v>389</v>
      </c>
      <c r="N201" s="706"/>
      <c r="O201" s="707"/>
      <c r="P201" s="708"/>
      <c r="Q201" s="790"/>
      <c r="R201" s="652"/>
      <c r="S201" s="429"/>
      <c r="T201" s="652"/>
      <c r="U201" s="884"/>
      <c r="V201" s="936"/>
    </row>
    <row r="202" spans="2:23">
      <c r="B202" s="658"/>
      <c r="C202" s="706"/>
      <c r="D202" s="706"/>
      <c r="E202" s="707"/>
      <c r="F202" s="708"/>
      <c r="G202" s="709"/>
      <c r="H202" s="652"/>
      <c r="I202" s="428"/>
      <c r="J202" s="936"/>
      <c r="K202" s="272"/>
      <c r="L202" s="658">
        <v>14</v>
      </c>
      <c r="M202" s="706" t="s">
        <v>389</v>
      </c>
      <c r="N202" s="706"/>
      <c r="O202" s="707"/>
      <c r="P202" s="708"/>
      <c r="Q202" s="790"/>
      <c r="R202" s="652"/>
      <c r="S202" s="429"/>
      <c r="T202" s="652"/>
      <c r="U202" s="884"/>
      <c r="V202" s="936"/>
    </row>
    <row r="203" spans="2:23">
      <c r="B203" s="658"/>
      <c r="C203" s="706"/>
      <c r="D203" s="706"/>
      <c r="E203" s="707"/>
      <c r="F203" s="708"/>
      <c r="G203" s="709"/>
      <c r="H203" s="652"/>
      <c r="I203" s="428"/>
      <c r="J203" s="936"/>
      <c r="K203" s="272"/>
      <c r="L203" s="658">
        <v>14</v>
      </c>
      <c r="M203" s="706" t="s">
        <v>389</v>
      </c>
      <c r="N203" s="706"/>
      <c r="O203" s="707"/>
      <c r="P203" s="708"/>
      <c r="Q203" s="790"/>
      <c r="R203" s="652"/>
      <c r="S203" s="429"/>
      <c r="T203" s="652"/>
      <c r="U203" s="884"/>
      <c r="V203" s="936"/>
    </row>
    <row r="204" spans="2:23">
      <c r="B204" s="658"/>
      <c r="C204" s="706"/>
      <c r="D204" s="706"/>
      <c r="E204" s="707"/>
      <c r="F204" s="708"/>
      <c r="G204" s="709"/>
      <c r="H204" s="652"/>
      <c r="I204" s="428"/>
      <c r="J204" s="936"/>
      <c r="K204" s="272"/>
      <c r="L204" s="658">
        <v>14</v>
      </c>
      <c r="M204" s="706" t="s">
        <v>389</v>
      </c>
      <c r="N204" s="706" t="s">
        <v>407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4">
        <v>45777</v>
      </c>
      <c r="V204" s="936"/>
      <c r="W204" s="579" t="s">
        <v>408</v>
      </c>
    </row>
    <row r="205" spans="2:23">
      <c r="B205" s="658"/>
      <c r="C205" s="706"/>
      <c r="D205" s="706"/>
      <c r="E205" s="707"/>
      <c r="F205" s="708"/>
      <c r="G205" s="709"/>
      <c r="H205" s="652"/>
      <c r="I205" s="428"/>
      <c r="J205" s="936"/>
      <c r="K205" s="272"/>
      <c r="L205" s="658">
        <v>14</v>
      </c>
      <c r="M205" s="706" t="s">
        <v>389</v>
      </c>
      <c r="N205" s="706" t="s">
        <v>409</v>
      </c>
      <c r="O205" s="707"/>
      <c r="P205" s="708"/>
      <c r="Q205" s="790">
        <v>21322.79</v>
      </c>
      <c r="R205" s="652">
        <v>45750</v>
      </c>
      <c r="S205" s="429"/>
      <c r="T205" s="652"/>
      <c r="U205" s="884">
        <v>45747</v>
      </c>
      <c r="V205" s="936"/>
      <c r="W205" s="579" t="s">
        <v>410</v>
      </c>
    </row>
    <row r="206" spans="2:23">
      <c r="B206" s="658"/>
      <c r="C206" s="706"/>
      <c r="D206" s="706"/>
      <c r="E206" s="707"/>
      <c r="F206" s="708"/>
      <c r="G206" s="709"/>
      <c r="H206" s="652"/>
      <c r="I206" s="428"/>
      <c r="J206" s="936"/>
      <c r="K206" s="272"/>
      <c r="L206" s="658">
        <v>14</v>
      </c>
      <c r="M206" s="706" t="s">
        <v>389</v>
      </c>
      <c r="N206" s="706" t="s">
        <v>411</v>
      </c>
      <c r="O206" s="707"/>
      <c r="P206" s="708"/>
      <c r="Q206" s="790">
        <v>3905</v>
      </c>
      <c r="R206" s="652">
        <v>45666</v>
      </c>
      <c r="S206" s="429"/>
      <c r="T206" s="652"/>
      <c r="U206" s="884">
        <v>45657</v>
      </c>
      <c r="V206" s="936"/>
    </row>
    <row r="207" spans="2:23">
      <c r="B207" s="658"/>
      <c r="C207" s="706"/>
      <c r="D207" s="706"/>
      <c r="E207" s="707"/>
      <c r="F207" s="708"/>
      <c r="G207" s="709"/>
      <c r="H207" s="652"/>
      <c r="I207" s="428"/>
      <c r="J207" s="936"/>
      <c r="K207" s="272"/>
      <c r="L207" s="658">
        <v>14</v>
      </c>
      <c r="M207" s="706" t="s">
        <v>389</v>
      </c>
      <c r="N207" s="706" t="s">
        <v>412</v>
      </c>
      <c r="O207" s="707"/>
      <c r="P207" s="708">
        <v>30099.98</v>
      </c>
      <c r="Q207" s="885">
        <v>30839.11</v>
      </c>
      <c r="R207" s="884">
        <v>45708</v>
      </c>
      <c r="S207" s="429"/>
      <c r="T207" s="652"/>
      <c r="U207" s="884">
        <v>45688</v>
      </c>
      <c r="V207" s="936"/>
      <c r="W207" s="579" t="s">
        <v>413</v>
      </c>
    </row>
    <row r="208" spans="2:23">
      <c r="B208" s="658"/>
      <c r="C208" s="706"/>
      <c r="D208" s="706"/>
      <c r="E208" s="707"/>
      <c r="F208" s="708"/>
      <c r="G208" s="709"/>
      <c r="H208" s="652"/>
      <c r="I208" s="428"/>
      <c r="J208" s="936"/>
      <c r="K208" s="272"/>
      <c r="L208" s="658">
        <v>14</v>
      </c>
      <c r="M208" s="706" t="s">
        <v>389</v>
      </c>
      <c r="N208" s="706" t="s">
        <v>414</v>
      </c>
      <c r="O208" s="707"/>
      <c r="P208" s="886"/>
      <c r="Q208" s="885">
        <v>80752.14</v>
      </c>
      <c r="R208" s="884">
        <v>45687</v>
      </c>
      <c r="S208" s="874"/>
      <c r="T208" s="655"/>
      <c r="U208" s="884">
        <v>45657</v>
      </c>
      <c r="V208" s="936"/>
      <c r="W208" s="579" t="s">
        <v>415</v>
      </c>
    </row>
    <row r="209" spans="2:23">
      <c r="B209" s="658"/>
      <c r="C209" s="706"/>
      <c r="D209" s="706"/>
      <c r="E209" s="707"/>
      <c r="F209" s="708"/>
      <c r="G209" s="709"/>
      <c r="H209" s="652"/>
      <c r="I209" s="428"/>
      <c r="J209" s="936"/>
      <c r="K209" s="272"/>
      <c r="L209" s="658">
        <v>14</v>
      </c>
      <c r="M209" s="706" t="s">
        <v>389</v>
      </c>
      <c r="N209" s="706" t="s">
        <v>416</v>
      </c>
      <c r="O209" s="707"/>
      <c r="P209" s="708"/>
      <c r="Q209" s="873">
        <v>32566</v>
      </c>
      <c r="R209" s="655">
        <v>45716</v>
      </c>
      <c r="S209" s="429"/>
      <c r="T209" s="652"/>
      <c r="U209" s="655">
        <v>45838</v>
      </c>
      <c r="V209" s="936"/>
      <c r="W209" s="579" t="s">
        <v>417</v>
      </c>
    </row>
    <row r="210" spans="2:23">
      <c r="B210" s="658"/>
      <c r="C210" s="706"/>
      <c r="D210" s="706"/>
      <c r="E210" s="707"/>
      <c r="F210" s="708"/>
      <c r="G210" s="709"/>
      <c r="H210" s="652"/>
      <c r="I210" s="428"/>
      <c r="J210" s="936"/>
      <c r="K210" s="272"/>
      <c r="L210" s="658">
        <v>14</v>
      </c>
      <c r="M210" s="706" t="s">
        <v>389</v>
      </c>
      <c r="N210" s="706" t="s">
        <v>418</v>
      </c>
      <c r="O210" s="707"/>
      <c r="P210" s="708"/>
      <c r="Q210" s="885">
        <v>93894</v>
      </c>
      <c r="R210" s="652">
        <v>45777</v>
      </c>
      <c r="S210" s="429"/>
      <c r="T210" s="652"/>
      <c r="U210" s="652">
        <v>45747</v>
      </c>
      <c r="V210" s="936"/>
      <c r="W210" s="579" t="s">
        <v>419</v>
      </c>
    </row>
    <row r="211" spans="2:23">
      <c r="B211" s="658"/>
      <c r="C211" s="706"/>
      <c r="D211" s="706"/>
      <c r="E211" s="707"/>
      <c r="F211" s="708"/>
      <c r="G211" s="709"/>
      <c r="H211" s="652"/>
      <c r="I211" s="428"/>
      <c r="J211" s="936"/>
      <c r="K211" s="272"/>
      <c r="L211" s="658">
        <v>14</v>
      </c>
      <c r="M211" s="706" t="s">
        <v>389</v>
      </c>
      <c r="N211" s="706" t="s">
        <v>420</v>
      </c>
      <c r="O211" s="707"/>
      <c r="P211" s="708"/>
      <c r="Q211" s="873">
        <v>3705</v>
      </c>
      <c r="R211" s="655">
        <v>45716</v>
      </c>
      <c r="S211" s="874"/>
      <c r="T211" s="655" t="s">
        <v>421</v>
      </c>
      <c r="U211" s="655">
        <v>45838</v>
      </c>
      <c r="V211" s="936"/>
      <c r="W211" s="579" t="s">
        <v>422</v>
      </c>
    </row>
    <row r="212" spans="2:23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37"/>
      <c r="K212" s="279"/>
      <c r="L212" s="251">
        <f t="shared" si="7"/>
        <v>14</v>
      </c>
      <c r="M212" s="207" t="s">
        <v>389</v>
      </c>
      <c r="N212" s="207" t="s">
        <v>423</v>
      </c>
      <c r="O212" s="208"/>
      <c r="P212" s="209"/>
      <c r="Q212" s="883">
        <v>3733.92</v>
      </c>
      <c r="R212" s="210">
        <v>45638</v>
      </c>
      <c r="S212" s="431"/>
      <c r="T212" s="281" t="s">
        <v>424</v>
      </c>
      <c r="U212" s="210">
        <v>45626</v>
      </c>
      <c r="V212" s="937"/>
      <c r="W212" s="579" t="s">
        <v>425</v>
      </c>
    </row>
    <row r="213" spans="2:23">
      <c r="B213" s="875"/>
      <c r="C213" s="876"/>
      <c r="D213" s="876"/>
      <c r="E213" s="877"/>
      <c r="F213" s="878"/>
      <c r="G213" s="428"/>
      <c r="H213" s="879"/>
      <c r="I213" s="428"/>
      <c r="J213" s="860"/>
      <c r="K213" s="272"/>
      <c r="L213" s="875"/>
      <c r="M213" s="876"/>
      <c r="N213" s="876"/>
      <c r="O213" s="877"/>
      <c r="P213" s="878"/>
      <c r="Q213" s="880"/>
      <c r="R213" s="881"/>
      <c r="S213" s="429"/>
      <c r="T213" s="882"/>
      <c r="U213" s="881"/>
      <c r="V213" s="860"/>
    </row>
    <row r="214" spans="2:23" s="468" customFormat="1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  <mergeCell ref="J40:J51"/>
    <mergeCell ref="J54:J74"/>
    <mergeCell ref="J76:J86"/>
    <mergeCell ref="J88:J104"/>
    <mergeCell ref="J106:J114"/>
    <mergeCell ref="B2:H2"/>
    <mergeCell ref="L2:R2"/>
    <mergeCell ref="J6:J26"/>
    <mergeCell ref="J28:J32"/>
    <mergeCell ref="J34:J38"/>
    <mergeCell ref="W187:W188"/>
    <mergeCell ref="T89:T90"/>
    <mergeCell ref="V6:V26"/>
    <mergeCell ref="V28:V32"/>
    <mergeCell ref="V34:V38"/>
    <mergeCell ref="V40:V51"/>
    <mergeCell ref="V54:V74"/>
    <mergeCell ref="V170:V212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4296875" defaultRowHeight="14"/>
  <cols>
    <col min="1" max="1" width="5.453125" style="91" bestFit="1" customWidth="1"/>
    <col min="2" max="2" width="28.54296875" style="91" bestFit="1" customWidth="1"/>
    <col min="3" max="3" width="53" style="91" bestFit="1" customWidth="1"/>
    <col min="4" max="4" width="17" style="212" customWidth="1"/>
    <col min="5" max="5" width="14.453125" style="142" bestFit="1" customWidth="1"/>
    <col min="6" max="6" width="22.54296875" style="728" customWidth="1"/>
    <col min="7" max="7" width="12.54296875" style="214" bestFit="1" customWidth="1"/>
    <col min="8" max="8" width="20.453125" style="91" bestFit="1" customWidth="1"/>
    <col min="9" max="9" width="173.54296875" style="804" customWidth="1"/>
    <col min="10" max="16384" width="8.5429687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44" t="s">
        <v>205</v>
      </c>
      <c r="B2" s="945"/>
      <c r="C2" s="945"/>
      <c r="D2" s="945"/>
      <c r="E2" s="945"/>
      <c r="F2" s="945"/>
      <c r="G2" s="943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28.5" thickBot="1">
      <c r="A4" s="544" t="s">
        <v>206</v>
      </c>
      <c r="B4" s="545" t="s">
        <v>213</v>
      </c>
      <c r="C4" s="545" t="s">
        <v>208</v>
      </c>
      <c r="D4" s="155" t="s">
        <v>209</v>
      </c>
      <c r="E4" s="155" t="s">
        <v>210</v>
      </c>
      <c r="F4" s="721" t="s">
        <v>214</v>
      </c>
      <c r="G4" s="722" t="s">
        <v>212</v>
      </c>
      <c r="H4" s="383" t="s">
        <v>100</v>
      </c>
      <c r="I4" s="803" t="s">
        <v>426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217</v>
      </c>
      <c r="C6" s="234" t="s">
        <v>427</v>
      </c>
      <c r="D6" s="235">
        <v>3182</v>
      </c>
      <c r="E6" s="236">
        <v>0.1</v>
      </c>
      <c r="F6" s="670">
        <v>799123.4462675706</v>
      </c>
      <c r="G6" s="238">
        <v>45090</v>
      </c>
      <c r="H6" s="932">
        <v>8049769.5326757049</v>
      </c>
      <c r="I6" s="947" t="s">
        <v>428</v>
      </c>
    </row>
    <row r="7" spans="1:9" ht="15" hidden="1" customHeight="1">
      <c r="A7" s="157">
        <v>1</v>
      </c>
      <c r="B7" s="541" t="s">
        <v>217</v>
      </c>
      <c r="C7" s="170" t="s">
        <v>429</v>
      </c>
      <c r="D7" s="159"/>
      <c r="E7" s="160">
        <v>0.9</v>
      </c>
      <c r="F7" s="691">
        <v>7192111.0164081352</v>
      </c>
      <c r="G7" s="162">
        <v>45327</v>
      </c>
      <c r="H7" s="933"/>
      <c r="I7" s="948"/>
    </row>
    <row r="8" spans="1:9" ht="15" hidden="1" customHeight="1">
      <c r="A8" s="157">
        <v>1</v>
      </c>
      <c r="B8" s="541" t="s">
        <v>217</v>
      </c>
      <c r="C8" s="158" t="s">
        <v>225</v>
      </c>
      <c r="D8" s="166"/>
      <c r="E8" s="160"/>
      <c r="F8" s="449">
        <v>39939.25</v>
      </c>
      <c r="G8" s="162">
        <v>45199</v>
      </c>
      <c r="H8" s="933"/>
      <c r="I8" s="948"/>
    </row>
    <row r="9" spans="1:9" ht="15" hidden="1" customHeight="1">
      <c r="A9" s="157">
        <v>1</v>
      </c>
      <c r="B9" s="541" t="s">
        <v>217</v>
      </c>
      <c r="C9" s="158" t="s">
        <v>225</v>
      </c>
      <c r="D9" s="166"/>
      <c r="E9" s="160"/>
      <c r="F9" s="449">
        <v>3997.4300000000003</v>
      </c>
      <c r="G9" s="162">
        <v>45139</v>
      </c>
      <c r="H9" s="933"/>
      <c r="I9" s="948"/>
    </row>
    <row r="10" spans="1:9" ht="15" hidden="1" customHeight="1">
      <c r="A10" s="157">
        <v>1</v>
      </c>
      <c r="B10" s="541" t="s">
        <v>217</v>
      </c>
      <c r="C10" s="158" t="s">
        <v>229</v>
      </c>
      <c r="D10" s="166"/>
      <c r="E10" s="160"/>
      <c r="F10" s="449">
        <v>5328.39</v>
      </c>
      <c r="G10" s="162">
        <v>45105</v>
      </c>
      <c r="H10" s="933"/>
      <c r="I10" s="948"/>
    </row>
    <row r="11" spans="1:9" ht="15" hidden="1" customHeight="1">
      <c r="A11" s="157">
        <v>1</v>
      </c>
      <c r="B11" s="541" t="s">
        <v>217</v>
      </c>
      <c r="C11" s="158" t="s">
        <v>232</v>
      </c>
      <c r="D11" s="166"/>
      <c r="E11" s="160"/>
      <c r="F11" s="449">
        <v>4300</v>
      </c>
      <c r="G11" s="162">
        <v>45225</v>
      </c>
      <c r="H11" s="933"/>
      <c r="I11" s="948"/>
    </row>
    <row r="12" spans="1:9" ht="15" hidden="1" customHeight="1">
      <c r="A12" s="157">
        <v>1</v>
      </c>
      <c r="B12" s="541" t="s">
        <v>217</v>
      </c>
      <c r="C12" s="158" t="s">
        <v>233</v>
      </c>
      <c r="D12" s="166"/>
      <c r="E12" s="160"/>
      <c r="F12" s="449">
        <v>4550</v>
      </c>
      <c r="G12" s="162">
        <v>45246</v>
      </c>
      <c r="H12" s="933"/>
      <c r="I12" s="948"/>
    </row>
    <row r="13" spans="1:9" ht="15" hidden="1" customHeight="1" thickBot="1">
      <c r="A13" s="713">
        <v>1</v>
      </c>
      <c r="B13" s="733" t="s">
        <v>217</v>
      </c>
      <c r="C13" s="714" t="s">
        <v>234</v>
      </c>
      <c r="D13" s="734"/>
      <c r="E13" s="735"/>
      <c r="F13" s="736">
        <v>420</v>
      </c>
      <c r="G13" s="718">
        <v>45246</v>
      </c>
      <c r="H13" s="933"/>
      <c r="I13" s="949"/>
    </row>
    <row r="14" spans="1:9" s="745" customFormat="1" ht="14.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236</v>
      </c>
      <c r="C15" s="261" t="s">
        <v>238</v>
      </c>
      <c r="D15" s="262">
        <v>12</v>
      </c>
      <c r="E15" s="267">
        <v>89060</v>
      </c>
      <c r="F15" s="184">
        <v>106872</v>
      </c>
      <c r="G15" s="185">
        <v>45155</v>
      </c>
      <c r="H15" s="935">
        <v>1068720</v>
      </c>
      <c r="I15" s="950" t="s">
        <v>430</v>
      </c>
    </row>
    <row r="16" spans="1:9" ht="15" hidden="1" customHeight="1" thickBot="1">
      <c r="A16" s="607">
        <v>2</v>
      </c>
      <c r="B16" s="608" t="s">
        <v>236</v>
      </c>
      <c r="C16" s="608" t="s">
        <v>240</v>
      </c>
      <c r="D16" s="609"/>
      <c r="E16" s="650"/>
      <c r="F16" s="746">
        <v>961848</v>
      </c>
      <c r="G16" s="652">
        <v>45202</v>
      </c>
      <c r="H16" s="936"/>
      <c r="I16" s="952"/>
    </row>
    <row r="17" spans="1:9" s="745" customFormat="1" ht="14.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243</v>
      </c>
      <c r="C18" s="304" t="s">
        <v>245</v>
      </c>
      <c r="D18" s="305"/>
      <c r="E18" s="561"/>
      <c r="F18" s="237">
        <v>320522</v>
      </c>
      <c r="G18" s="308">
        <v>45148</v>
      </c>
      <c r="H18" s="938">
        <v>351446.8</v>
      </c>
      <c r="I18" s="947" t="s">
        <v>431</v>
      </c>
    </row>
    <row r="19" spans="1:9" ht="14.25" hidden="1" customHeight="1">
      <c r="A19" s="312">
        <v>3</v>
      </c>
      <c r="B19" s="313" t="s">
        <v>243</v>
      </c>
      <c r="C19" s="314" t="s">
        <v>246</v>
      </c>
      <c r="D19" s="315"/>
      <c r="E19" s="316"/>
      <c r="F19" s="449">
        <v>24371</v>
      </c>
      <c r="G19" s="318">
        <v>45148</v>
      </c>
      <c r="H19" s="939"/>
      <c r="I19" s="948"/>
    </row>
    <row r="20" spans="1:9" ht="14.25" hidden="1" customHeight="1">
      <c r="A20" s="312">
        <v>3</v>
      </c>
      <c r="B20" s="313" t="s">
        <v>243</v>
      </c>
      <c r="C20" s="314" t="s">
        <v>246</v>
      </c>
      <c r="D20" s="315"/>
      <c r="E20" s="316"/>
      <c r="F20" s="449">
        <v>6553.8</v>
      </c>
      <c r="G20" s="318">
        <v>45350</v>
      </c>
      <c r="H20" s="939"/>
      <c r="I20" s="948"/>
    </row>
    <row r="21" spans="1:9" ht="14.25" hidden="1" customHeight="1">
      <c r="A21" s="312">
        <v>3</v>
      </c>
      <c r="B21" s="313" t="s">
        <v>243</v>
      </c>
      <c r="C21" s="314" t="s">
        <v>247</v>
      </c>
      <c r="D21" s="315"/>
      <c r="E21" s="316"/>
      <c r="F21" s="687">
        <v>-18280.34</v>
      </c>
      <c r="G21" s="318">
        <v>45138</v>
      </c>
      <c r="H21" s="939"/>
      <c r="I21" s="948"/>
    </row>
    <row r="22" spans="1:9" ht="15" hidden="1" customHeight="1" thickBot="1">
      <c r="A22" s="371">
        <v>3</v>
      </c>
      <c r="B22" s="372" t="s">
        <v>243</v>
      </c>
      <c r="C22" s="373" t="s">
        <v>248</v>
      </c>
      <c r="D22" s="374"/>
      <c r="E22" s="375"/>
      <c r="F22" s="632">
        <v>18280.34</v>
      </c>
      <c r="G22" s="377">
        <v>45138</v>
      </c>
      <c r="H22" s="940"/>
      <c r="I22" s="949"/>
    </row>
    <row r="23" spans="1:9" s="789" customFormat="1" ht="14.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249</v>
      </c>
      <c r="C24" s="180" t="s">
        <v>251</v>
      </c>
      <c r="D24" s="262">
        <v>20000</v>
      </c>
      <c r="E24" s="267">
        <v>13.92</v>
      </c>
      <c r="F24" s="184">
        <v>278400</v>
      </c>
      <c r="G24" s="185">
        <v>45169</v>
      </c>
      <c r="H24" s="935">
        <v>1169008.8600000001</v>
      </c>
      <c r="I24" s="950" t="s">
        <v>431</v>
      </c>
    </row>
    <row r="25" spans="1:9" ht="15" hidden="1" customHeight="1">
      <c r="A25" s="187">
        <v>4</v>
      </c>
      <c r="B25" s="188" t="s">
        <v>249</v>
      </c>
      <c r="C25" s="204" t="s">
        <v>254</v>
      </c>
      <c r="D25" s="200">
        <v>20000</v>
      </c>
      <c r="E25" s="270">
        <v>13.92</v>
      </c>
      <c r="F25" s="672">
        <v>278400</v>
      </c>
      <c r="G25" s="193">
        <v>45169</v>
      </c>
      <c r="H25" s="936"/>
      <c r="I25" s="951"/>
    </row>
    <row r="26" spans="1:9" ht="15" hidden="1" customHeight="1">
      <c r="A26" s="187">
        <v>4</v>
      </c>
      <c r="B26" s="188" t="s">
        <v>249</v>
      </c>
      <c r="C26" s="204" t="s">
        <v>255</v>
      </c>
      <c r="D26" s="200">
        <v>3500</v>
      </c>
      <c r="E26" s="270">
        <v>15.47</v>
      </c>
      <c r="F26" s="672">
        <v>54145</v>
      </c>
      <c r="G26" s="193">
        <v>45205</v>
      </c>
      <c r="H26" s="936"/>
      <c r="I26" s="951"/>
    </row>
    <row r="27" spans="1:9" ht="15" hidden="1" customHeight="1">
      <c r="A27" s="187">
        <v>4</v>
      </c>
      <c r="B27" s="188" t="s">
        <v>249</v>
      </c>
      <c r="C27" s="204" t="s">
        <v>256</v>
      </c>
      <c r="D27" s="200">
        <v>3500</v>
      </c>
      <c r="E27" s="270">
        <v>14.6</v>
      </c>
      <c r="F27" s="672">
        <v>51100</v>
      </c>
      <c r="G27" s="193">
        <v>45205</v>
      </c>
      <c r="H27" s="936"/>
      <c r="I27" s="951"/>
    </row>
    <row r="28" spans="1:9" ht="15" hidden="1" customHeight="1">
      <c r="A28" s="187">
        <v>4</v>
      </c>
      <c r="B28" s="188" t="s">
        <v>249</v>
      </c>
      <c r="C28" s="204" t="s">
        <v>257</v>
      </c>
      <c r="D28" s="200">
        <v>3000</v>
      </c>
      <c r="E28" s="270">
        <v>14.28</v>
      </c>
      <c r="F28" s="672">
        <v>42841.93</v>
      </c>
      <c r="G28" s="193">
        <v>45243</v>
      </c>
      <c r="H28" s="936"/>
      <c r="I28" s="951"/>
    </row>
    <row r="29" spans="1:9" ht="15" hidden="1" customHeight="1" thickBot="1">
      <c r="A29" s="658">
        <v>4</v>
      </c>
      <c r="B29" s="659" t="s">
        <v>249</v>
      </c>
      <c r="C29" s="648" t="s">
        <v>258</v>
      </c>
      <c r="D29" s="707">
        <v>3000</v>
      </c>
      <c r="E29" s="650">
        <v>14.28</v>
      </c>
      <c r="F29" s="686">
        <v>42841.93</v>
      </c>
      <c r="G29" s="652">
        <v>45243</v>
      </c>
      <c r="H29" s="936"/>
      <c r="I29" s="952"/>
    </row>
    <row r="30" spans="1:9" s="745" customFormat="1" ht="15" hidden="1" customHeight="1">
      <c r="A30" s="753">
        <v>4</v>
      </c>
      <c r="B30" s="754" t="s">
        <v>432</v>
      </c>
      <c r="C30" s="754" t="s">
        <v>260</v>
      </c>
      <c r="D30" s="755">
        <v>0.5</v>
      </c>
      <c r="E30" s="267">
        <v>420555</v>
      </c>
      <c r="F30" s="671">
        <v>210277.5</v>
      </c>
      <c r="G30" s="185">
        <v>45092</v>
      </c>
      <c r="H30" s="936"/>
      <c r="I30" s="950" t="s">
        <v>433</v>
      </c>
    </row>
    <row r="31" spans="1:9" ht="15" hidden="1" customHeight="1">
      <c r="A31" s="752">
        <v>4</v>
      </c>
      <c r="B31" s="204" t="s">
        <v>432</v>
      </c>
      <c r="C31" s="204" t="s">
        <v>261</v>
      </c>
      <c r="D31" s="654">
        <v>0.4</v>
      </c>
      <c r="E31" s="270"/>
      <c r="F31" s="672">
        <v>168222</v>
      </c>
      <c r="G31" s="652">
        <v>45169</v>
      </c>
      <c r="H31" s="936"/>
      <c r="I31" s="951"/>
    </row>
    <row r="32" spans="1:9" ht="15" hidden="1" customHeight="1" thickBot="1">
      <c r="A32" s="752">
        <v>4</v>
      </c>
      <c r="B32" s="648" t="s">
        <v>432</v>
      </c>
      <c r="C32" s="648" t="s">
        <v>262</v>
      </c>
      <c r="D32" s="654">
        <v>0.1</v>
      </c>
      <c r="E32" s="650"/>
      <c r="F32" s="686">
        <v>42055.5</v>
      </c>
      <c r="G32" s="652">
        <v>45348</v>
      </c>
      <c r="H32" s="937"/>
      <c r="I32" s="952"/>
    </row>
    <row r="33" spans="1:9" s="745" customFormat="1" ht="14.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263</v>
      </c>
      <c r="C34" s="390" t="s">
        <v>265</v>
      </c>
      <c r="D34" s="391"/>
      <c r="E34" s="392"/>
      <c r="F34" s="307">
        <v>749.90000000000009</v>
      </c>
      <c r="G34" s="308">
        <v>45155</v>
      </c>
      <c r="H34" s="938">
        <v>142410.71000000002</v>
      </c>
      <c r="I34" s="947" t="s">
        <v>431</v>
      </c>
    </row>
    <row r="35" spans="1:9" ht="14.25" hidden="1" customHeight="1">
      <c r="A35" s="312">
        <v>5</v>
      </c>
      <c r="B35" s="313" t="s">
        <v>263</v>
      </c>
      <c r="C35" s="394" t="s">
        <v>267</v>
      </c>
      <c r="D35" s="395"/>
      <c r="E35" s="396"/>
      <c r="F35" s="687">
        <v>6749.1</v>
      </c>
      <c r="G35" s="318">
        <v>45202</v>
      </c>
      <c r="H35" s="939"/>
      <c r="I35" s="948"/>
    </row>
    <row r="36" spans="1:9" ht="14.25" hidden="1" customHeight="1">
      <c r="A36" s="312">
        <v>5</v>
      </c>
      <c r="B36" s="313" t="s">
        <v>263</v>
      </c>
      <c r="C36" s="394" t="s">
        <v>268</v>
      </c>
      <c r="D36" s="395"/>
      <c r="E36" s="396"/>
      <c r="F36" s="687">
        <v>9011</v>
      </c>
      <c r="G36" s="318">
        <v>45351</v>
      </c>
      <c r="H36" s="939"/>
      <c r="I36" s="948"/>
    </row>
    <row r="37" spans="1:9" ht="14.25" hidden="1" customHeight="1">
      <c r="A37" s="312">
        <v>5</v>
      </c>
      <c r="B37" s="313" t="s">
        <v>263</v>
      </c>
      <c r="C37" s="394" t="s">
        <v>269</v>
      </c>
      <c r="D37" s="395"/>
      <c r="E37" s="396"/>
      <c r="F37" s="687">
        <v>26788</v>
      </c>
      <c r="G37" s="318">
        <v>45322</v>
      </c>
      <c r="H37" s="939"/>
      <c r="I37" s="948"/>
    </row>
    <row r="38" spans="1:9" ht="14.25" hidden="1" customHeight="1">
      <c r="A38" s="312">
        <v>5</v>
      </c>
      <c r="B38" s="313" t="s">
        <v>263</v>
      </c>
      <c r="C38" s="589" t="s">
        <v>273</v>
      </c>
      <c r="D38" s="590"/>
      <c r="E38" s="591"/>
      <c r="F38" s="632">
        <v>1655</v>
      </c>
      <c r="G38" s="377">
        <v>45176</v>
      </c>
      <c r="H38" s="939"/>
      <c r="I38" s="948"/>
    </row>
    <row r="39" spans="1:9" ht="14.25" hidden="1" customHeight="1">
      <c r="A39" s="312">
        <v>5</v>
      </c>
      <c r="B39" s="372" t="s">
        <v>263</v>
      </c>
      <c r="C39" s="589" t="s">
        <v>275</v>
      </c>
      <c r="D39" s="668">
        <v>4</v>
      </c>
      <c r="E39" s="710">
        <v>15000</v>
      </c>
      <c r="F39" s="632">
        <v>60000</v>
      </c>
      <c r="G39" s="377">
        <v>45350</v>
      </c>
      <c r="H39" s="939"/>
      <c r="I39" s="948"/>
    </row>
    <row r="40" spans="1:9" ht="14.25" hidden="1" customHeight="1">
      <c r="A40" s="312">
        <v>5</v>
      </c>
      <c r="B40" s="372" t="s">
        <v>263</v>
      </c>
      <c r="C40" s="589" t="s">
        <v>276</v>
      </c>
      <c r="D40" s="590"/>
      <c r="E40" s="591"/>
      <c r="F40" s="632">
        <v>9006.66</v>
      </c>
      <c r="G40" s="377">
        <v>45350</v>
      </c>
      <c r="H40" s="939"/>
      <c r="I40" s="948"/>
    </row>
    <row r="41" spans="1:9" ht="14.25" hidden="1" customHeight="1">
      <c r="A41" s="312">
        <v>5</v>
      </c>
      <c r="B41" s="372" t="s">
        <v>263</v>
      </c>
      <c r="C41" s="589" t="s">
        <v>279</v>
      </c>
      <c r="D41" s="590"/>
      <c r="E41" s="591"/>
      <c r="F41" s="632">
        <v>2082.61</v>
      </c>
      <c r="G41" s="377">
        <v>45096</v>
      </c>
      <c r="H41" s="939"/>
      <c r="I41" s="948"/>
    </row>
    <row r="42" spans="1:9" ht="14.25" hidden="1" customHeight="1">
      <c r="A42" s="312">
        <v>5</v>
      </c>
      <c r="B42" s="372" t="s">
        <v>263</v>
      </c>
      <c r="C42" s="589" t="s">
        <v>281</v>
      </c>
      <c r="D42" s="590"/>
      <c r="E42" s="591"/>
      <c r="F42" s="632">
        <v>239.13</v>
      </c>
      <c r="G42" s="377">
        <v>45031</v>
      </c>
      <c r="H42" s="939"/>
      <c r="I42" s="948"/>
    </row>
    <row r="43" spans="1:9" ht="14.25" hidden="1" customHeight="1">
      <c r="A43" s="312">
        <v>5</v>
      </c>
      <c r="B43" s="372" t="s">
        <v>263</v>
      </c>
      <c r="C43" s="589" t="s">
        <v>283</v>
      </c>
      <c r="D43" s="668">
        <v>1</v>
      </c>
      <c r="E43" s="667">
        <v>2694</v>
      </c>
      <c r="F43" s="632">
        <v>2969.31</v>
      </c>
      <c r="G43" s="377">
        <v>45127</v>
      </c>
      <c r="H43" s="939"/>
      <c r="I43" s="948"/>
    </row>
    <row r="44" spans="1:9" ht="14.25" hidden="1" customHeight="1">
      <c r="A44" s="312">
        <v>5</v>
      </c>
      <c r="B44" s="372" t="s">
        <v>263</v>
      </c>
      <c r="C44" s="589" t="s">
        <v>286</v>
      </c>
      <c r="D44" s="668"/>
      <c r="E44" s="667"/>
      <c r="F44" s="632">
        <v>1039</v>
      </c>
      <c r="G44" s="377">
        <v>45148</v>
      </c>
      <c r="H44" s="939"/>
      <c r="I44" s="948"/>
    </row>
    <row r="45" spans="1:9" ht="15" hidden="1" customHeight="1">
      <c r="A45" s="312">
        <v>5</v>
      </c>
      <c r="B45" s="313" t="s">
        <v>263</v>
      </c>
      <c r="C45" s="394" t="s">
        <v>434</v>
      </c>
      <c r="D45" s="395"/>
      <c r="E45" s="396"/>
      <c r="F45" s="687">
        <v>15000</v>
      </c>
      <c r="G45" s="318">
        <v>45350</v>
      </c>
      <c r="H45" s="939"/>
      <c r="I45" s="948"/>
    </row>
    <row r="46" spans="1:9" ht="15" hidden="1" customHeight="1">
      <c r="A46" s="312">
        <v>5</v>
      </c>
      <c r="B46" s="313" t="s">
        <v>263</v>
      </c>
      <c r="C46" s="394" t="s">
        <v>435</v>
      </c>
      <c r="D46" s="395"/>
      <c r="E46" s="396"/>
      <c r="F46" s="687">
        <v>6300</v>
      </c>
      <c r="G46" s="318">
        <v>45322</v>
      </c>
      <c r="H46" s="939"/>
      <c r="I46" s="948"/>
    </row>
    <row r="47" spans="1:9" ht="15" hidden="1" customHeight="1" thickBot="1">
      <c r="A47" s="371">
        <v>5</v>
      </c>
      <c r="B47" s="758" t="s">
        <v>263</v>
      </c>
      <c r="C47" s="759" t="s">
        <v>291</v>
      </c>
      <c r="D47" s="760"/>
      <c r="E47" s="761"/>
      <c r="F47" s="762">
        <v>821</v>
      </c>
      <c r="G47" s="763">
        <v>45322</v>
      </c>
      <c r="H47" s="940"/>
      <c r="I47" s="949"/>
    </row>
    <row r="48" spans="1:9" s="745" customFormat="1" ht="14.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436</v>
      </c>
      <c r="C49" s="731" t="s">
        <v>298</v>
      </c>
      <c r="D49" s="669">
        <v>388553.54</v>
      </c>
      <c r="E49" s="183">
        <v>0.5</v>
      </c>
      <c r="F49" s="671">
        <v>194276.77</v>
      </c>
      <c r="G49" s="185">
        <v>45092</v>
      </c>
      <c r="H49" s="935">
        <v>954731.35000000009</v>
      </c>
      <c r="I49" s="950" t="s">
        <v>433</v>
      </c>
    </row>
    <row r="50" spans="1:9" ht="14.25" hidden="1" customHeight="1">
      <c r="A50" s="730">
        <v>6</v>
      </c>
      <c r="B50" s="188" t="s">
        <v>436</v>
      </c>
      <c r="C50" s="732" t="s">
        <v>299</v>
      </c>
      <c r="D50" s="190"/>
      <c r="E50" s="191">
        <v>0.4</v>
      </c>
      <c r="F50" s="672">
        <v>86956.521739130447</v>
      </c>
      <c r="G50" s="193">
        <v>45317</v>
      </c>
      <c r="H50" s="936"/>
      <c r="I50" s="951"/>
    </row>
    <row r="51" spans="1:9" ht="14.25" hidden="1" customHeight="1">
      <c r="A51" s="730">
        <v>6</v>
      </c>
      <c r="B51" s="188" t="s">
        <v>436</v>
      </c>
      <c r="C51" s="732" t="s">
        <v>299</v>
      </c>
      <c r="D51" s="190"/>
      <c r="E51" s="191"/>
      <c r="F51" s="672">
        <v>68464.894260869551</v>
      </c>
      <c r="G51" s="193">
        <v>45322</v>
      </c>
      <c r="H51" s="936"/>
      <c r="I51" s="951"/>
    </row>
    <row r="52" spans="1:9" ht="14.25" hidden="1" customHeight="1" thickBot="1">
      <c r="A52" s="795">
        <v>6</v>
      </c>
      <c r="B52" s="659" t="s">
        <v>436</v>
      </c>
      <c r="C52" s="796" t="s">
        <v>300</v>
      </c>
      <c r="D52" s="661"/>
      <c r="E52" s="662">
        <v>0.1</v>
      </c>
      <c r="F52" s="686">
        <v>38855.353999999999</v>
      </c>
      <c r="G52" s="652">
        <v>45348</v>
      </c>
      <c r="H52" s="936"/>
      <c r="I52" s="952"/>
    </row>
    <row r="53" spans="1:9" s="745" customFormat="1" ht="14.25" hidden="1" customHeight="1">
      <c r="A53" s="729">
        <v>6</v>
      </c>
      <c r="B53" s="797" t="s">
        <v>296</v>
      </c>
      <c r="C53" s="798" t="s">
        <v>302</v>
      </c>
      <c r="D53" s="799"/>
      <c r="E53" s="800"/>
      <c r="F53" s="801">
        <v>434902.77</v>
      </c>
      <c r="G53" s="802">
        <v>45198</v>
      </c>
      <c r="H53" s="936"/>
      <c r="I53" s="950" t="s">
        <v>431</v>
      </c>
    </row>
    <row r="54" spans="1:9" ht="14.25" hidden="1" customHeight="1">
      <c r="A54" s="730">
        <v>6</v>
      </c>
      <c r="B54" s="659" t="s">
        <v>296</v>
      </c>
      <c r="C54" s="660" t="s">
        <v>303</v>
      </c>
      <c r="D54" s="661"/>
      <c r="E54" s="662"/>
      <c r="F54" s="686">
        <v>6757.02</v>
      </c>
      <c r="G54" s="652">
        <v>45198</v>
      </c>
      <c r="H54" s="936"/>
      <c r="I54" s="951"/>
    </row>
    <row r="55" spans="1:9" ht="14.25" hidden="1" customHeight="1">
      <c r="A55" s="730">
        <v>6</v>
      </c>
      <c r="B55" s="659" t="s">
        <v>296</v>
      </c>
      <c r="C55" s="660" t="s">
        <v>304</v>
      </c>
      <c r="D55" s="661"/>
      <c r="E55" s="662"/>
      <c r="F55" s="686">
        <v>87414.48</v>
      </c>
      <c r="G55" s="652">
        <v>45198</v>
      </c>
      <c r="H55" s="936"/>
      <c r="I55" s="951"/>
    </row>
    <row r="56" spans="1:9" ht="14.25" hidden="1" customHeight="1" thickBot="1">
      <c r="A56" s="658">
        <v>6</v>
      </c>
      <c r="B56" s="659" t="s">
        <v>296</v>
      </c>
      <c r="C56" s="660" t="s">
        <v>305</v>
      </c>
      <c r="D56" s="661"/>
      <c r="E56" s="662"/>
      <c r="F56" s="686">
        <v>37103.54</v>
      </c>
      <c r="G56" s="652">
        <v>45231</v>
      </c>
      <c r="H56" s="936"/>
      <c r="I56" s="952"/>
    </row>
    <row r="57" spans="1:9" s="745" customFormat="1" ht="14.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311</v>
      </c>
      <c r="C58" s="365" t="s">
        <v>313</v>
      </c>
      <c r="D58" s="366"/>
      <c r="E58" s="367"/>
      <c r="F58" s="368">
        <v>400000</v>
      </c>
      <c r="G58" s="369">
        <v>45348</v>
      </c>
      <c r="H58" s="938">
        <v>534030</v>
      </c>
      <c r="I58" s="947" t="s">
        <v>431</v>
      </c>
    </row>
    <row r="59" spans="1:9" ht="14.25" hidden="1" customHeight="1">
      <c r="A59" s="371">
        <v>7</v>
      </c>
      <c r="B59" s="372" t="s">
        <v>311</v>
      </c>
      <c r="C59" s="373" t="s">
        <v>320</v>
      </c>
      <c r="D59" s="374"/>
      <c r="E59" s="375"/>
      <c r="F59" s="376">
        <v>25000</v>
      </c>
      <c r="G59" s="377">
        <v>45348</v>
      </c>
      <c r="H59" s="939"/>
      <c r="I59" s="948"/>
    </row>
    <row r="60" spans="1:9" ht="14.25" hidden="1" customHeight="1">
      <c r="A60" s="371">
        <v>7</v>
      </c>
      <c r="B60" s="372" t="s">
        <v>311</v>
      </c>
      <c r="C60" s="373" t="s">
        <v>326</v>
      </c>
      <c r="D60" s="374"/>
      <c r="E60" s="375"/>
      <c r="F60" s="376">
        <v>28620</v>
      </c>
      <c r="G60" s="377">
        <v>45320</v>
      </c>
      <c r="H60" s="939"/>
      <c r="I60" s="948"/>
    </row>
    <row r="61" spans="1:9" ht="14.25" hidden="1" customHeight="1">
      <c r="A61" s="371">
        <v>7</v>
      </c>
      <c r="B61" s="372" t="s">
        <v>311</v>
      </c>
      <c r="C61" s="373" t="s">
        <v>331</v>
      </c>
      <c r="D61" s="374"/>
      <c r="E61" s="375"/>
      <c r="F61" s="376">
        <v>29745</v>
      </c>
      <c r="G61" s="377">
        <v>45099</v>
      </c>
      <c r="H61" s="939"/>
      <c r="I61" s="948"/>
    </row>
    <row r="62" spans="1:9" ht="14.25" hidden="1" customHeight="1">
      <c r="A62" s="371">
        <v>7</v>
      </c>
      <c r="B62" s="372" t="s">
        <v>311</v>
      </c>
      <c r="C62" s="373" t="s">
        <v>332</v>
      </c>
      <c r="D62" s="374"/>
      <c r="E62" s="375"/>
      <c r="F62" s="376">
        <v>19942.5</v>
      </c>
      <c r="G62" s="377">
        <v>45316</v>
      </c>
      <c r="H62" s="939"/>
      <c r="I62" s="948"/>
    </row>
    <row r="63" spans="1:9" ht="14.25" hidden="1" customHeight="1">
      <c r="A63" s="371">
        <v>7</v>
      </c>
      <c r="B63" s="372" t="s">
        <v>311</v>
      </c>
      <c r="C63" s="373" t="s">
        <v>334</v>
      </c>
      <c r="D63" s="374"/>
      <c r="E63" s="375"/>
      <c r="F63" s="376">
        <v>19942.5</v>
      </c>
      <c r="G63" s="377">
        <v>45316</v>
      </c>
      <c r="H63" s="939"/>
      <c r="I63" s="948"/>
    </row>
    <row r="64" spans="1:9" ht="14.25" hidden="1" customHeight="1" thickBot="1">
      <c r="A64" s="371">
        <v>7</v>
      </c>
      <c r="B64" s="372" t="s">
        <v>311</v>
      </c>
      <c r="C64" s="373" t="s">
        <v>335</v>
      </c>
      <c r="D64" s="374"/>
      <c r="E64" s="375"/>
      <c r="F64" s="376">
        <v>10780</v>
      </c>
      <c r="G64" s="377">
        <v>45282</v>
      </c>
      <c r="H64" s="939"/>
      <c r="I64" s="949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341</v>
      </c>
      <c r="C66" s="181" t="s">
        <v>342</v>
      </c>
      <c r="D66" s="656">
        <v>360000</v>
      </c>
      <c r="E66" s="562">
        <v>0.2</v>
      </c>
      <c r="F66" s="671">
        <v>275600</v>
      </c>
      <c r="G66" s="678">
        <v>45092</v>
      </c>
      <c r="H66" s="935">
        <v>1378000</v>
      </c>
      <c r="I66" s="950" t="s">
        <v>433</v>
      </c>
    </row>
    <row r="67" spans="1:9" ht="15" customHeight="1">
      <c r="A67" s="187">
        <v>8</v>
      </c>
      <c r="B67" s="188" t="s">
        <v>341</v>
      </c>
      <c r="C67" s="189" t="s">
        <v>345</v>
      </c>
      <c r="D67" s="657">
        <v>1018000</v>
      </c>
      <c r="E67" s="563">
        <v>0.15</v>
      </c>
      <c r="F67" s="672">
        <v>175695</v>
      </c>
      <c r="G67" s="689">
        <v>45141</v>
      </c>
      <c r="H67" s="936"/>
      <c r="I67" s="951"/>
    </row>
    <row r="68" spans="1:9" ht="15" customHeight="1">
      <c r="A68" s="187">
        <v>0</v>
      </c>
      <c r="B68" s="188" t="s">
        <v>341</v>
      </c>
      <c r="C68" s="189" t="s">
        <v>345</v>
      </c>
      <c r="D68" s="657"/>
      <c r="E68" s="563">
        <v>0.15</v>
      </c>
      <c r="F68" s="672">
        <v>31005</v>
      </c>
      <c r="G68" s="689">
        <v>45148</v>
      </c>
      <c r="H68" s="936"/>
      <c r="I68" s="951"/>
    </row>
    <row r="69" spans="1:9" ht="15" customHeight="1">
      <c r="A69" s="187">
        <v>8</v>
      </c>
      <c r="B69" s="188" t="s">
        <v>341</v>
      </c>
      <c r="C69" s="189" t="s">
        <v>348</v>
      </c>
      <c r="D69" s="190"/>
      <c r="E69" s="563">
        <v>0.15</v>
      </c>
      <c r="F69" s="672">
        <v>206700</v>
      </c>
      <c r="G69" s="689">
        <v>45247</v>
      </c>
      <c r="H69" s="936"/>
      <c r="I69" s="951"/>
    </row>
    <row r="70" spans="1:9" ht="15" customHeight="1">
      <c r="A70" s="187">
        <v>8</v>
      </c>
      <c r="B70" s="188" t="s">
        <v>341</v>
      </c>
      <c r="C70" s="189" t="s">
        <v>349</v>
      </c>
      <c r="D70" s="190"/>
      <c r="E70" s="563">
        <v>0.15</v>
      </c>
      <c r="F70" s="672">
        <v>206700</v>
      </c>
      <c r="G70" s="689">
        <v>45335</v>
      </c>
      <c r="H70" s="936"/>
      <c r="I70" s="951"/>
    </row>
    <row r="71" spans="1:9" ht="15" customHeight="1">
      <c r="A71" s="187">
        <v>8</v>
      </c>
      <c r="B71" s="188" t="s">
        <v>341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36"/>
      <c r="I71" s="951"/>
    </row>
    <row r="72" spans="1:9" ht="15" customHeight="1" thickBot="1">
      <c r="A72" s="658">
        <v>8</v>
      </c>
      <c r="B72" s="659" t="s">
        <v>341</v>
      </c>
      <c r="C72" s="660" t="s">
        <v>351</v>
      </c>
      <c r="D72" s="661"/>
      <c r="E72" s="779">
        <v>0.15</v>
      </c>
      <c r="F72" s="686">
        <v>206700</v>
      </c>
      <c r="G72" s="780">
        <v>45348</v>
      </c>
      <c r="H72" s="936"/>
      <c r="I72" s="952"/>
    </row>
    <row r="73" spans="1:9" s="789" customFormat="1" ht="14.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437</v>
      </c>
      <c r="C74" s="234" t="s">
        <v>355</v>
      </c>
      <c r="D74" s="600">
        <v>0.5</v>
      </c>
      <c r="E74" s="245"/>
      <c r="F74" s="673">
        <v>50550</v>
      </c>
      <c r="G74" s="238">
        <v>45092</v>
      </c>
      <c r="H74" s="932">
        <v>156399.99999999997</v>
      </c>
      <c r="I74" s="947" t="s">
        <v>433</v>
      </c>
    </row>
    <row r="75" spans="1:9" ht="14.25" customHeight="1">
      <c r="A75" s="169">
        <v>9</v>
      </c>
      <c r="B75" s="158" t="s">
        <v>437</v>
      </c>
      <c r="C75" s="170" t="s">
        <v>356</v>
      </c>
      <c r="D75" s="601">
        <v>0.4</v>
      </c>
      <c r="E75" s="230"/>
      <c r="F75" s="695">
        <v>40440</v>
      </c>
      <c r="G75" s="232">
        <v>45281</v>
      </c>
      <c r="H75" s="933"/>
      <c r="I75" s="948"/>
    </row>
    <row r="76" spans="1:9" ht="14.25" customHeight="1">
      <c r="A76" s="169">
        <v>9</v>
      </c>
      <c r="B76" s="158" t="s">
        <v>437</v>
      </c>
      <c r="C76" s="170" t="s">
        <v>357</v>
      </c>
      <c r="D76" s="601">
        <v>0.1</v>
      </c>
      <c r="E76" s="230"/>
      <c r="F76" s="695">
        <v>10110</v>
      </c>
      <c r="G76" s="162">
        <v>45348</v>
      </c>
      <c r="H76" s="933"/>
      <c r="I76" s="948"/>
    </row>
    <row r="77" spans="1:9" ht="14.25" customHeight="1">
      <c r="A77" s="169">
        <v>9</v>
      </c>
      <c r="B77" s="170" t="s">
        <v>437</v>
      </c>
      <c r="C77" s="170" t="s">
        <v>360</v>
      </c>
      <c r="D77" s="171"/>
      <c r="E77" s="230"/>
      <c r="F77" s="695">
        <v>4300</v>
      </c>
      <c r="G77" s="232">
        <v>45225</v>
      </c>
      <c r="H77" s="933"/>
      <c r="I77" s="948"/>
    </row>
    <row r="78" spans="1:9" ht="14.25" customHeight="1" thickBot="1">
      <c r="A78" s="773">
        <v>9</v>
      </c>
      <c r="B78" s="774" t="s">
        <v>437</v>
      </c>
      <c r="C78" s="774" t="s">
        <v>362</v>
      </c>
      <c r="D78" s="775"/>
      <c r="E78" s="776"/>
      <c r="F78" s="777">
        <v>36000</v>
      </c>
      <c r="G78" s="778">
        <v>45335</v>
      </c>
      <c r="H78" s="933"/>
      <c r="I78" s="949"/>
    </row>
    <row r="79" spans="1:9" s="745" customFormat="1" ht="14.25" customHeight="1">
      <c r="A79" s="233">
        <v>9</v>
      </c>
      <c r="B79" s="234" t="s">
        <v>438</v>
      </c>
      <c r="C79" s="234" t="s">
        <v>439</v>
      </c>
      <c r="D79" s="235"/>
      <c r="E79" s="245"/>
      <c r="F79" s="673">
        <v>739.83</v>
      </c>
      <c r="G79" s="238">
        <v>45261</v>
      </c>
      <c r="H79" s="933"/>
      <c r="I79" s="947" t="s">
        <v>433</v>
      </c>
    </row>
    <row r="80" spans="1:9" ht="14.25" customHeight="1">
      <c r="A80" s="157">
        <v>9</v>
      </c>
      <c r="B80" s="158" t="s">
        <v>438</v>
      </c>
      <c r="C80" s="170" t="s">
        <v>440</v>
      </c>
      <c r="D80" s="159"/>
      <c r="E80" s="173"/>
      <c r="F80" s="697">
        <v>573.91</v>
      </c>
      <c r="G80" s="162">
        <v>45261</v>
      </c>
      <c r="H80" s="933"/>
      <c r="I80" s="948"/>
    </row>
    <row r="81" spans="1:40" ht="14.25" customHeight="1">
      <c r="A81" s="169">
        <v>9</v>
      </c>
      <c r="B81" s="170" t="s">
        <v>438</v>
      </c>
      <c r="C81" s="170" t="s">
        <v>441</v>
      </c>
      <c r="D81" s="171"/>
      <c r="E81" s="230"/>
      <c r="F81" s="695">
        <v>584.11</v>
      </c>
      <c r="G81" s="162">
        <v>45261</v>
      </c>
      <c r="H81" s="933"/>
      <c r="I81" s="948"/>
    </row>
    <row r="82" spans="1:40" ht="14.25" customHeight="1">
      <c r="A82" s="169">
        <v>9</v>
      </c>
      <c r="B82" s="170" t="s">
        <v>438</v>
      </c>
      <c r="C82" s="170" t="s">
        <v>442</v>
      </c>
      <c r="D82" s="171"/>
      <c r="E82" s="230"/>
      <c r="F82" s="695">
        <v>585.29999999999995</v>
      </c>
      <c r="G82" s="162">
        <v>45261</v>
      </c>
      <c r="H82" s="933"/>
      <c r="I82" s="948"/>
    </row>
    <row r="83" spans="1:40" ht="14.25" customHeight="1" thickBot="1">
      <c r="A83" s="773">
        <v>9</v>
      </c>
      <c r="B83" s="774" t="s">
        <v>438</v>
      </c>
      <c r="C83" s="774" t="s">
        <v>443</v>
      </c>
      <c r="D83" s="775"/>
      <c r="E83" s="776"/>
      <c r="F83" s="777">
        <v>470.12</v>
      </c>
      <c r="G83" s="718">
        <v>45316</v>
      </c>
      <c r="H83" s="933"/>
      <c r="I83" s="949"/>
    </row>
    <row r="84" spans="1:40" s="745" customFormat="1" ht="14.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369</v>
      </c>
      <c r="C85" s="261" t="s">
        <v>370</v>
      </c>
      <c r="D85" s="262"/>
      <c r="E85" s="263"/>
      <c r="F85" s="264">
        <v>11750</v>
      </c>
      <c r="G85" s="185">
        <v>44994</v>
      </c>
      <c r="H85" s="935">
        <v>54896.7</v>
      </c>
      <c r="I85" s="953" t="s">
        <v>433</v>
      </c>
    </row>
    <row r="86" spans="1:40" ht="15" customHeight="1">
      <c r="A86" s="187">
        <v>10</v>
      </c>
      <c r="B86" s="199" t="s">
        <v>369</v>
      </c>
      <c r="C86" s="199" t="s">
        <v>371</v>
      </c>
      <c r="D86" s="200"/>
      <c r="E86" s="201"/>
      <c r="F86" s="202">
        <v>26248.95</v>
      </c>
      <c r="G86" s="193">
        <v>45348</v>
      </c>
      <c r="H86" s="936"/>
      <c r="I86" s="954"/>
    </row>
    <row r="87" spans="1:40" ht="15" customHeight="1">
      <c r="A87" s="187">
        <v>10</v>
      </c>
      <c r="B87" s="199" t="s">
        <v>369</v>
      </c>
      <c r="C87" s="199" t="s">
        <v>373</v>
      </c>
      <c r="D87" s="200"/>
      <c r="E87" s="201"/>
      <c r="F87" s="202">
        <v>16276</v>
      </c>
      <c r="G87" s="193">
        <v>45229</v>
      </c>
      <c r="H87" s="936"/>
      <c r="I87" s="954"/>
    </row>
    <row r="88" spans="1:40" ht="14.25" customHeight="1" thickBot="1">
      <c r="A88" s="658">
        <v>10</v>
      </c>
      <c r="B88" s="706" t="s">
        <v>369</v>
      </c>
      <c r="C88" s="706" t="s">
        <v>374</v>
      </c>
      <c r="D88" s="707"/>
      <c r="E88" s="708"/>
      <c r="F88" s="790">
        <v>621.75</v>
      </c>
      <c r="G88" s="652">
        <v>45260</v>
      </c>
      <c r="H88" s="936"/>
      <c r="I88" s="955"/>
    </row>
    <row r="89" spans="1:40" s="745" customFormat="1" ht="14.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>
      <c r="A90" s="179">
        <v>14</v>
      </c>
      <c r="B90" s="261" t="s">
        <v>389</v>
      </c>
      <c r="C90" s="261" t="s">
        <v>444</v>
      </c>
      <c r="D90" s="262"/>
      <c r="E90" s="263"/>
      <c r="F90" s="725">
        <v>2000000</v>
      </c>
      <c r="G90" s="185">
        <v>45350</v>
      </c>
      <c r="H90" s="935">
        <v>4150000</v>
      </c>
      <c r="I90" s="950" t="s">
        <v>433</v>
      </c>
    </row>
    <row r="91" spans="1:40" s="88" customFormat="1">
      <c r="A91" s="187">
        <v>14</v>
      </c>
      <c r="B91" s="199" t="s">
        <v>389</v>
      </c>
      <c r="C91" s="199" t="s">
        <v>445</v>
      </c>
      <c r="D91" s="200"/>
      <c r="E91" s="201"/>
      <c r="F91" s="705">
        <v>2000000</v>
      </c>
      <c r="G91" s="193">
        <v>45350</v>
      </c>
      <c r="H91" s="936"/>
      <c r="I91" s="95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>
      <c r="A92" s="187">
        <v>14</v>
      </c>
      <c r="B92" s="199" t="s">
        <v>389</v>
      </c>
      <c r="C92" s="199" t="s">
        <v>392</v>
      </c>
      <c r="D92" s="200"/>
      <c r="E92" s="201"/>
      <c r="F92" s="705">
        <v>75000</v>
      </c>
      <c r="G92" s="193">
        <v>45322</v>
      </c>
      <c r="H92" s="936"/>
      <c r="I92" s="95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>
      <c r="A93" s="187">
        <v>14</v>
      </c>
      <c r="B93" s="199" t="s">
        <v>389</v>
      </c>
      <c r="C93" s="199" t="s">
        <v>394</v>
      </c>
      <c r="D93" s="707"/>
      <c r="E93" s="708"/>
      <c r="F93" s="705">
        <v>75000</v>
      </c>
      <c r="G93" s="193">
        <v>45322</v>
      </c>
      <c r="H93" s="936"/>
      <c r="I93" s="95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4.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  <mergeCell ref="I58:I64"/>
    <mergeCell ref="I66:I72"/>
    <mergeCell ref="H18:H22"/>
    <mergeCell ref="H24:H32"/>
    <mergeCell ref="H34:H47"/>
    <mergeCell ref="A2:G2"/>
    <mergeCell ref="H6:H13"/>
    <mergeCell ref="H15:H16"/>
    <mergeCell ref="H58:H64"/>
    <mergeCell ref="H66:H72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53125" defaultRowHeight="14.5"/>
  <cols>
    <col min="1" max="1" width="9.453125" customWidth="1"/>
    <col min="2" max="2" width="32.453125" customWidth="1"/>
    <col min="3" max="3" width="15.453125" bestFit="1" customWidth="1"/>
    <col min="4" max="4" width="15.54296875" customWidth="1"/>
    <col min="5" max="5" width="4.453125" customWidth="1"/>
    <col min="6" max="6" width="16.453125" bestFit="1" customWidth="1"/>
    <col min="7" max="139" width="20.54296875" customWidth="1"/>
    <col min="140" max="140" width="9.453125" style="71"/>
  </cols>
  <sheetData>
    <row r="1" spans="1:617">
      <c r="D1" s="443" t="s">
        <v>446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6" t="s">
        <v>59</v>
      </c>
      <c r="B2" s="493"/>
      <c r="C2" s="487" t="s">
        <v>447</v>
      </c>
      <c r="D2" s="487" t="s">
        <v>447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6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6"/>
      <c r="B4" s="494" t="s">
        <v>448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6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6"/>
      <c r="B6" s="496" t="s">
        <v>449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6"/>
      <c r="B7" s="500" t="s">
        <v>450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6" t="s">
        <v>60</v>
      </c>
      <c r="B8" s="493"/>
      <c r="C8" s="487" t="s">
        <v>447</v>
      </c>
      <c r="D8" s="487" t="s">
        <v>447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6"/>
      <c r="B9" s="495" t="s">
        <v>451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6"/>
      <c r="B10" s="495" t="s">
        <v>452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6"/>
      <c r="B11" s="505" t="s">
        <v>453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6"/>
      <c r="B12" s="505" t="s">
        <v>454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6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6"/>
      <c r="B14" s="500" t="s">
        <v>455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456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457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4296875" defaultRowHeight="15" customHeight="1"/>
  <cols>
    <col min="1" max="1" width="52.54296875" style="636" bestFit="1" customWidth="1"/>
    <col min="2" max="2" width="14.453125" style="637" bestFit="1" customWidth="1"/>
    <col min="3" max="3" width="8.54296875" style="636"/>
    <col min="4" max="5" width="14.453125" style="636" bestFit="1" customWidth="1"/>
    <col min="6" max="13" width="13.453125" style="636" bestFit="1" customWidth="1"/>
    <col min="14" max="20" width="13.453125" style="636" customWidth="1"/>
    <col min="21" max="25" width="13.54296875" style="636" bestFit="1" customWidth="1"/>
    <col min="26" max="30" width="13.54296875" style="636" customWidth="1"/>
    <col min="31" max="31" width="8.54296875" style="636"/>
    <col min="32" max="32" width="13.54296875" style="636" bestFit="1" customWidth="1"/>
    <col min="33" max="16384" width="8.54296875" style="636"/>
  </cols>
  <sheetData>
    <row r="1" spans="1:32" s="633" customFormat="1" ht="14.5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 ht="14.5">
      <c r="A2" s="636" t="s">
        <v>458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 ht="14.5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 ht="14.5">
      <c r="A4" s="636" t="s">
        <v>459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 ht="14.5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7"/>
      <c r="AF5" s="638"/>
    </row>
    <row r="6" spans="1:32" ht="14.5"/>
    <row r="7" spans="1:32" ht="14.5">
      <c r="A7" s="636" t="s">
        <v>460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 ht="14.5">
      <c r="A8" s="636" t="s">
        <v>461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 ht="14.5">
      <c r="A9" s="636" t="s">
        <v>462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 ht="14.5">
      <c r="A10" s="636" t="s">
        <v>463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 ht="14.5">
      <c r="D11" s="637"/>
    </row>
    <row r="12" spans="1:32" ht="14.5">
      <c r="A12" s="636" t="s">
        <v>464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 ht="14.5">
      <c r="A13" s="636" t="s">
        <v>465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 ht="14.5">
      <c r="A14" s="636" t="s">
        <v>466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 ht="14.5">
      <c r="A15" s="636" t="s">
        <v>467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 ht="14.5">
      <c r="A16" s="636" t="s">
        <v>468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 ht="14.5">
      <c r="A17" s="636" t="s">
        <v>469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29">
      <c r="A18" s="640" t="s">
        <v>470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 ht="14.5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7"/>
      <c r="AF19" s="637"/>
    </row>
    <row r="20" spans="1:32" ht="14.5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 ht="14.5">
      <c r="A21" s="636" t="s">
        <v>471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8"/>
    </row>
    <row r="22" spans="1:32" ht="14.5">
      <c r="D22" s="868"/>
      <c r="E22" s="868"/>
      <c r="F22" s="868"/>
      <c r="G22" s="868"/>
      <c r="H22" s="868"/>
      <c r="I22" s="868"/>
      <c r="J22" s="868"/>
      <c r="K22" s="868"/>
      <c r="L22" s="868"/>
      <c r="M22" s="868"/>
      <c r="N22" s="868"/>
      <c r="O22" s="868"/>
      <c r="P22" s="868"/>
      <c r="Q22" s="868"/>
      <c r="R22" s="868"/>
      <c r="S22" s="868"/>
      <c r="T22" s="868"/>
    </row>
    <row r="23" spans="1:32" ht="14.5">
      <c r="D23" s="868"/>
      <c r="E23" s="868"/>
      <c r="F23" s="868"/>
      <c r="G23" s="868"/>
      <c r="H23" s="868">
        <f>SUM(H21:R21)</f>
        <v>8129083.0508615812</v>
      </c>
      <c r="I23" s="868"/>
      <c r="J23" s="868"/>
      <c r="K23" s="868"/>
      <c r="L23" s="868"/>
      <c r="M23" s="868"/>
      <c r="N23" s="868"/>
      <c r="O23" s="868"/>
      <c r="P23" s="868"/>
      <c r="Q23" s="868"/>
      <c r="R23" s="868"/>
      <c r="S23" s="868"/>
      <c r="T23" s="868"/>
    </row>
    <row r="24" spans="1:32" ht="14.5">
      <c r="D24" s="868"/>
      <c r="E24" s="868"/>
      <c r="F24" s="868"/>
      <c r="G24" s="868"/>
      <c r="H24" s="868"/>
      <c r="I24" s="868"/>
      <c r="J24" s="868"/>
      <c r="K24" s="868"/>
      <c r="L24" s="868"/>
      <c r="M24" s="868"/>
      <c r="N24" s="868"/>
      <c r="O24" s="868"/>
      <c r="P24" s="868"/>
      <c r="Q24" s="868"/>
      <c r="R24" s="868"/>
      <c r="S24" s="868"/>
      <c r="T24" s="868"/>
    </row>
    <row r="25" spans="1:32" ht="14.5">
      <c r="D25" s="868"/>
      <c r="E25" s="868"/>
      <c r="F25" s="868"/>
      <c r="G25" s="868"/>
      <c r="H25" s="868">
        <f>SUM(H19:S19)</f>
        <v>1007782.3851223835</v>
      </c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</row>
    <row r="26" spans="1:32" ht="14.5">
      <c r="D26" s="637"/>
      <c r="E26" s="637"/>
    </row>
    <row r="27" spans="1:32" ht="14.5">
      <c r="A27" s="636" t="s">
        <v>472</v>
      </c>
      <c r="D27" s="637">
        <f>'Revenue Tracking'!F4</f>
        <v>20939008.769727096</v>
      </c>
      <c r="E27" s="637"/>
    </row>
    <row r="28" spans="1:32" ht="14.5">
      <c r="A28" s="636" t="s">
        <v>473</v>
      </c>
      <c r="D28" s="637">
        <f>SUM(D21:T21)</f>
        <v>20939008.766248576</v>
      </c>
    </row>
    <row r="29" spans="1:32" ht="14.5">
      <c r="D29" s="639">
        <f>D27-D28</f>
        <v>3.4785196185112E-3</v>
      </c>
    </row>
    <row r="30" spans="1:32" ht="14.5"/>
    <row r="32" spans="1:32" ht="14.5">
      <c r="A32" s="636" t="s">
        <v>474</v>
      </c>
      <c r="C32" s="636">
        <v>100</v>
      </c>
      <c r="D32" s="642">
        <f>(D34/C34)*C32</f>
        <v>109398.88888888888</v>
      </c>
    </row>
    <row r="33" spans="1:4" ht="14.5">
      <c r="A33" s="636" t="s">
        <v>475</v>
      </c>
      <c r="C33" s="636">
        <v>10</v>
      </c>
    </row>
    <row r="34" spans="1:4" ht="14.5">
      <c r="A34" s="636" t="s">
        <v>476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58" t="s">
        <v>477</v>
      </c>
      <c r="C2" s="958"/>
      <c r="D2" s="958"/>
      <c r="E2" s="958"/>
      <c r="H2" s="959" t="s">
        <v>478</v>
      </c>
      <c r="I2" s="960"/>
      <c r="J2" s="960"/>
      <c r="K2" s="960"/>
      <c r="L2" s="960"/>
      <c r="M2" s="960"/>
      <c r="N2" s="960"/>
      <c r="O2" s="961"/>
    </row>
    <row r="3" spans="2:15">
      <c r="B3" s="893"/>
      <c r="H3" s="962"/>
      <c r="I3" s="963"/>
      <c r="J3" s="963"/>
      <c r="K3" s="963"/>
      <c r="L3" s="963"/>
      <c r="M3" s="963"/>
      <c r="N3" s="963"/>
      <c r="O3" s="964"/>
    </row>
    <row r="4" spans="2:15">
      <c r="B4" s="894" t="s">
        <v>479</v>
      </c>
      <c r="C4" s="895" t="str">
        <f>'Project Plan'!E2</f>
        <v>Mega Park Extension</v>
      </c>
      <c r="H4" s="962"/>
      <c r="I4" s="963"/>
      <c r="J4" s="963"/>
      <c r="K4" s="963"/>
      <c r="L4" s="963"/>
      <c r="M4" s="963"/>
      <c r="N4" s="963"/>
      <c r="O4" s="964"/>
    </row>
    <row r="5" spans="2:15">
      <c r="B5" s="894" t="s">
        <v>480</v>
      </c>
      <c r="C5" s="895" t="s">
        <v>481</v>
      </c>
      <c r="H5" s="962"/>
      <c r="I5" s="963"/>
      <c r="J5" s="963"/>
      <c r="K5" s="963"/>
      <c r="L5" s="963"/>
      <c r="M5" s="963"/>
      <c r="N5" s="963"/>
      <c r="O5" s="964"/>
    </row>
    <row r="6" spans="2:15">
      <c r="B6" s="894" t="s">
        <v>482</v>
      </c>
      <c r="C6" s="895" t="s">
        <v>483</v>
      </c>
      <c r="H6" s="962"/>
      <c r="I6" s="963"/>
      <c r="J6" s="963"/>
      <c r="K6" s="963"/>
      <c r="L6" s="963"/>
      <c r="M6" s="963"/>
      <c r="N6" s="963"/>
      <c r="O6" s="964"/>
    </row>
    <row r="7" spans="2:15">
      <c r="B7" s="894" t="s">
        <v>484</v>
      </c>
      <c r="C7" s="895" t="s">
        <v>485</v>
      </c>
      <c r="H7" s="962"/>
      <c r="I7" s="963"/>
      <c r="J7" s="963"/>
      <c r="K7" s="963"/>
      <c r="L7" s="963"/>
      <c r="M7" s="963"/>
      <c r="N7" s="963"/>
      <c r="O7" s="964"/>
    </row>
    <row r="8" spans="2:15">
      <c r="B8" s="893"/>
      <c r="H8" s="962"/>
      <c r="I8" s="963"/>
      <c r="J8" s="963"/>
      <c r="K8" s="963"/>
      <c r="L8" s="963"/>
      <c r="M8" s="963"/>
      <c r="N8" s="963"/>
      <c r="O8" s="964"/>
    </row>
    <row r="9" spans="2:15">
      <c r="B9" s="968" t="s">
        <v>486</v>
      </c>
      <c r="C9" s="968"/>
      <c r="D9" s="968"/>
      <c r="E9" s="968"/>
      <c r="H9" s="962"/>
      <c r="I9" s="963"/>
      <c r="J9" s="963"/>
      <c r="K9" s="963"/>
      <c r="L9" s="963"/>
      <c r="M9" s="963"/>
      <c r="N9" s="963"/>
      <c r="O9" s="964"/>
    </row>
    <row r="10" spans="2:15" ht="15" thickBot="1">
      <c r="B10" s="968" t="s">
        <v>487</v>
      </c>
      <c r="C10" s="968"/>
      <c r="D10" s="968"/>
      <c r="E10" s="968"/>
      <c r="H10" s="965"/>
      <c r="I10" s="966"/>
      <c r="J10" s="966"/>
      <c r="K10" s="966"/>
      <c r="L10" s="966"/>
      <c r="M10" s="966"/>
      <c r="N10" s="966"/>
      <c r="O10" s="967"/>
    </row>
    <row r="11" spans="2:15">
      <c r="B11" s="896" t="s">
        <v>488</v>
      </c>
      <c r="C11" s="957" t="s">
        <v>489</v>
      </c>
      <c r="D11" s="957"/>
      <c r="E11" s="957"/>
    </row>
    <row r="12" spans="2:15">
      <c r="B12" s="896" t="s">
        <v>490</v>
      </c>
      <c r="C12" s="957" t="s">
        <v>489</v>
      </c>
      <c r="D12" s="957"/>
      <c r="E12" s="957"/>
    </row>
    <row r="13" spans="2:15">
      <c r="B13" s="896" t="s">
        <v>491</v>
      </c>
      <c r="C13" s="957" t="s">
        <v>489</v>
      </c>
      <c r="D13" s="957"/>
      <c r="E13" s="957"/>
    </row>
    <row r="14" spans="2:15">
      <c r="B14" s="896" t="s">
        <v>492</v>
      </c>
      <c r="C14" s="957" t="s">
        <v>493</v>
      </c>
      <c r="D14" s="957"/>
      <c r="E14" s="957"/>
    </row>
    <row r="15" spans="2:15">
      <c r="B15" s="896" t="s">
        <v>494</v>
      </c>
      <c r="C15" s="957" t="s">
        <v>495</v>
      </c>
      <c r="D15" s="957"/>
      <c r="E15" s="957"/>
    </row>
    <row r="16" spans="2:15" ht="15" customHeight="1">
      <c r="B16" s="896" t="s">
        <v>496</v>
      </c>
      <c r="C16" s="957" t="s">
        <v>497</v>
      </c>
      <c r="D16" s="957"/>
      <c r="E16" s="957"/>
    </row>
    <row r="17" spans="2:5">
      <c r="B17" s="893"/>
    </row>
    <row r="18" spans="2:5">
      <c r="B18" s="969" t="s">
        <v>498</v>
      </c>
      <c r="C18" s="969"/>
      <c r="D18" s="969"/>
      <c r="E18" s="969"/>
    </row>
    <row r="19" spans="2:5">
      <c r="B19" s="896" t="s">
        <v>499</v>
      </c>
      <c r="C19" s="896" t="s">
        <v>500</v>
      </c>
      <c r="D19" s="896" t="s">
        <v>501</v>
      </c>
      <c r="E19" s="896" t="s">
        <v>502</v>
      </c>
    </row>
    <row r="20" spans="2:5" ht="15" customHeight="1">
      <c r="B20" s="896" t="s">
        <v>503</v>
      </c>
      <c r="C20" s="896" t="s">
        <v>504</v>
      </c>
      <c r="D20" s="897" t="s">
        <v>505</v>
      </c>
      <c r="E20" s="898">
        <v>45953</v>
      </c>
    </row>
    <row r="21" spans="2:5">
      <c r="B21" s="896"/>
      <c r="C21" s="896"/>
      <c r="D21" s="896"/>
      <c r="E21" s="896"/>
    </row>
    <row r="22" spans="2:5">
      <c r="B22" s="896"/>
      <c r="C22" s="896"/>
      <c r="D22" s="896"/>
      <c r="E22" s="896"/>
    </row>
    <row r="23" spans="2:5">
      <c r="B23" s="896"/>
      <c r="C23" s="896"/>
      <c r="D23" s="896"/>
      <c r="E23" s="896"/>
    </row>
    <row r="24" spans="2:5">
      <c r="B24" s="896"/>
      <c r="C24" s="896"/>
      <c r="D24" s="896"/>
      <c r="E24" s="896"/>
    </row>
    <row r="25" spans="2:5">
      <c r="B25" s="896"/>
      <c r="C25" s="896"/>
      <c r="D25" s="896"/>
      <c r="E25" s="896"/>
    </row>
    <row r="26" spans="2:5">
      <c r="B26" s="8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4.5"/>
  <cols>
    <col min="4" max="4" width="9" customWidth="1"/>
  </cols>
  <sheetData>
    <row r="1" spans="1:4">
      <c r="A1" s="540" t="s">
        <v>506</v>
      </c>
    </row>
    <row r="2" spans="1:4">
      <c r="A2" s="971"/>
      <c r="B2" s="971"/>
      <c r="C2" s="971"/>
      <c r="D2" s="73"/>
    </row>
    <row r="3" spans="1:4">
      <c r="A3" s="970" t="s">
        <v>507</v>
      </c>
      <c r="B3" s="970"/>
      <c r="C3" s="970"/>
      <c r="D3" s="550">
        <v>0.32</v>
      </c>
    </row>
    <row r="4" spans="1:4">
      <c r="A4" s="970" t="s">
        <v>508</v>
      </c>
      <c r="B4" s="970"/>
      <c r="C4" s="970"/>
      <c r="D4" s="550">
        <v>0.5</v>
      </c>
    </row>
    <row r="5" spans="1:4">
      <c r="A5" s="970" t="s">
        <v>509</v>
      </c>
      <c r="B5" s="970"/>
      <c r="C5" s="970"/>
      <c r="D5" s="550">
        <v>0.15</v>
      </c>
    </row>
    <row r="6" spans="1:4">
      <c r="A6" s="970" t="s">
        <v>510</v>
      </c>
      <c r="B6" s="970"/>
      <c r="C6" s="970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453125" style="97" bestFit="1" customWidth="1"/>
    <col min="5" max="5" width="3.54296875" style="97" customWidth="1"/>
    <col min="6" max="6" width="15.54296875" style="97" customWidth="1"/>
    <col min="7" max="7" width="2.453125" style="97" customWidth="1"/>
    <col min="8" max="8" width="16.453125" style="97" bestFit="1" customWidth="1"/>
    <col min="9" max="9" width="6.54296875" style="97" customWidth="1"/>
    <col min="10" max="10" width="13.54296875" style="97" bestFit="1" customWidth="1"/>
    <col min="11" max="11" width="2.54296875" style="97" customWidth="1"/>
    <col min="12" max="12" width="14.453125" style="97" bestFit="1" customWidth="1"/>
    <col min="13" max="13" width="3" style="97" customWidth="1"/>
    <col min="14" max="14" width="45.453125" style="97" customWidth="1"/>
    <col min="15" max="16384" width="9.453125" style="97"/>
  </cols>
  <sheetData>
    <row r="2" spans="2:14" s="215" customFormat="1" ht="18">
      <c r="B2" s="972" t="s">
        <v>511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</row>
    <row r="4" spans="2:14" ht="13">
      <c r="B4" s="144" t="s">
        <v>512</v>
      </c>
      <c r="C4" s="94"/>
      <c r="D4" s="108" t="s">
        <v>513</v>
      </c>
      <c r="E4" s="216"/>
      <c r="F4" s="108" t="s">
        <v>514</v>
      </c>
      <c r="H4" s="108" t="s">
        <v>515</v>
      </c>
      <c r="I4" s="216"/>
      <c r="J4" s="108" t="s">
        <v>516</v>
      </c>
      <c r="L4" s="108" t="s">
        <v>515</v>
      </c>
      <c r="M4" s="108"/>
      <c r="N4" s="108" t="s">
        <v>517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 ht="13">
      <c r="B7" s="94"/>
      <c r="C7" s="94"/>
      <c r="D7" s="99"/>
      <c r="E7" s="216"/>
      <c r="F7" s="228" t="s">
        <v>518</v>
      </c>
      <c r="H7" s="220"/>
      <c r="I7" s="216"/>
      <c r="J7" s="228" t="s">
        <v>518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 ht="13">
      <c r="B9" s="144" t="s">
        <v>236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 ht="13">
      <c r="B10" s="229" t="s">
        <v>236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 ht="13">
      <c r="B11" s="229" t="s">
        <v>519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 ht="13">
      <c r="B12" s="229" t="s">
        <v>520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 ht="13">
      <c r="B13" s="229" t="s">
        <v>521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 ht="13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 ht="13">
      <c r="B15" s="94"/>
      <c r="C15" s="94"/>
      <c r="D15" s="99"/>
      <c r="E15" s="216"/>
      <c r="F15" s="228" t="s">
        <v>518</v>
      </c>
      <c r="H15" s="220"/>
      <c r="I15" s="216"/>
      <c r="J15" s="228" t="s">
        <v>518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 ht="13">
      <c r="B17" s="144" t="s">
        <v>522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522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521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 ht="13">
      <c r="B21" s="94"/>
      <c r="C21" s="94"/>
      <c r="D21" s="99"/>
      <c r="E21" s="216"/>
      <c r="F21" s="228" t="s">
        <v>518</v>
      </c>
      <c r="H21" s="220"/>
      <c r="I21" s="216"/>
      <c r="J21" s="228" t="s">
        <v>518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 ht="13">
      <c r="B23" s="144" t="s">
        <v>523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523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 ht="13">
      <c r="B25" s="229" t="s">
        <v>521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 ht="13">
      <c r="B27" s="94"/>
      <c r="C27" s="94"/>
      <c r="D27" s="99"/>
      <c r="E27" s="219"/>
      <c r="F27" s="228" t="s">
        <v>518</v>
      </c>
      <c r="H27" s="220"/>
      <c r="I27" s="216"/>
      <c r="J27" s="228" t="s">
        <v>518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 ht="13">
      <c r="B29" s="144" t="s">
        <v>524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521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 ht="13">
      <c r="B34" s="94"/>
      <c r="C34" s="94"/>
      <c r="D34" s="99"/>
      <c r="E34" s="219"/>
      <c r="F34" s="228" t="s">
        <v>518</v>
      </c>
      <c r="H34" s="220"/>
      <c r="I34" s="216"/>
      <c r="J34" s="228" t="s">
        <v>518</v>
      </c>
      <c r="L34" s="220"/>
      <c r="M34" s="220"/>
    </row>
    <row r="35" spans="2:13" ht="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 ht="13">
      <c r="B36" s="144" t="s">
        <v>525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526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527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528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529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530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 ht="13">
      <c r="B42" s="221"/>
      <c r="C42" s="94"/>
      <c r="D42" s="218"/>
      <c r="E42" s="219"/>
      <c r="F42" s="218"/>
      <c r="I42" s="219"/>
      <c r="J42" s="218"/>
    </row>
    <row r="43" spans="2:13" ht="13">
      <c r="B43" s="144" t="s">
        <v>531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54296875" style="97" bestFit="1" customWidth="1"/>
    <col min="5" max="5" width="7" style="97" customWidth="1"/>
    <col min="6" max="6" width="3.54296875" style="97" customWidth="1"/>
    <col min="7" max="7" width="18.54296875" style="97" customWidth="1"/>
    <col min="8" max="8" width="9.453125" style="97" bestFit="1" customWidth="1"/>
    <col min="9" max="9" width="2" style="97" customWidth="1"/>
    <col min="10" max="10" width="14.54296875" style="97" bestFit="1" customWidth="1"/>
    <col min="11" max="11" width="2.54296875" style="97" customWidth="1"/>
    <col min="12" max="12" width="20.453125" style="97" customWidth="1"/>
    <col min="13" max="13" width="9.453125" style="97" bestFit="1" customWidth="1"/>
    <col min="14" max="14" width="1" style="97" customWidth="1"/>
    <col min="15" max="15" width="14.453125" style="97" bestFit="1" customWidth="1"/>
    <col min="16" max="16384" width="9.453125" style="97"/>
  </cols>
  <sheetData>
    <row r="2" spans="2:15" s="215" customFormat="1" ht="18">
      <c r="B2" s="972" t="s">
        <v>533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  <c r="O2" s="972"/>
    </row>
    <row r="4" spans="2:15" ht="13">
      <c r="B4" s="144" t="s">
        <v>512</v>
      </c>
      <c r="C4" s="94"/>
      <c r="D4" s="108" t="s">
        <v>513</v>
      </c>
      <c r="E4" s="216"/>
      <c r="F4" s="216"/>
      <c r="G4" s="108" t="s">
        <v>534</v>
      </c>
      <c r="H4" s="217"/>
      <c r="J4" s="108" t="s">
        <v>515</v>
      </c>
      <c r="L4" s="108" t="s">
        <v>535</v>
      </c>
      <c r="M4" s="217"/>
      <c r="O4" s="108" t="s">
        <v>515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 ht="13">
      <c r="B6" s="94" t="s">
        <v>536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 ht="13">
      <c r="B7" s="94" t="s">
        <v>537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 ht="13">
      <c r="B8" s="94" t="s">
        <v>538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 ht="13">
      <c r="B9" s="94" t="s">
        <v>539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367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540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310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 ht="13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 ht="13">
      <c r="B15" s="144" t="s">
        <v>531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 ht="13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 ht="13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 ht="13">
      <c r="B18" s="144" t="s">
        <v>512</v>
      </c>
      <c r="C18" s="94"/>
      <c r="D18" s="108" t="s">
        <v>513</v>
      </c>
      <c r="E18" s="216"/>
      <c r="F18" s="216"/>
      <c r="G18" s="108" t="s">
        <v>541</v>
      </c>
      <c r="H18" s="217"/>
      <c r="J18" s="108" t="s">
        <v>515</v>
      </c>
      <c r="L18" s="108" t="s">
        <v>542</v>
      </c>
      <c r="M18" s="217"/>
      <c r="O18" s="108" t="s">
        <v>515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 ht="13">
      <c r="B20" s="94" t="s">
        <v>536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 ht="13">
      <c r="B21" s="94" t="s">
        <v>537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 ht="13">
      <c r="B22" s="94" t="s">
        <v>538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 ht="13">
      <c r="B23" s="94" t="s">
        <v>539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367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540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310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 ht="13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 ht="13">
      <c r="B29" s="144" t="s">
        <v>531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543</v>
      </c>
      <c r="C32" s="224"/>
      <c r="D32" s="224"/>
    </row>
    <row r="33" spans="2:4" ht="13" thickTop="1"/>
    <row r="34" spans="2:4">
      <c r="B34" s="97" t="s">
        <v>513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 ht="13">
      <c r="B41" s="226"/>
      <c r="C41" s="226"/>
      <c r="D41" s="227"/>
    </row>
    <row r="42" spans="2:4">
      <c r="B42" s="94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54296875" bestFit="1" customWidth="1"/>
    <col min="8" max="8" width="12.453125" bestFit="1" customWidth="1"/>
    <col min="9" max="9" width="10.54296875" customWidth="1"/>
    <col min="10" max="10" width="19.453125" bestFit="1" customWidth="1"/>
  </cols>
  <sheetData>
    <row r="1" spans="2:14">
      <c r="B1" s="974" t="str">
        <f>D15</f>
        <v>Mega Park Extension</v>
      </c>
      <c r="C1" s="974"/>
      <c r="D1" s="974"/>
      <c r="E1" s="973" t="s">
        <v>545</v>
      </c>
      <c r="F1" s="973"/>
      <c r="G1" s="973"/>
      <c r="H1" s="973"/>
      <c r="I1" s="973"/>
      <c r="J1" s="973"/>
      <c r="K1" s="79"/>
      <c r="L1" s="79"/>
      <c r="M1" s="79"/>
      <c r="N1" s="79"/>
    </row>
    <row r="2" spans="2:14" ht="6.75" customHeight="1"/>
    <row r="3" spans="2:14">
      <c r="B3" s="74" t="s">
        <v>546</v>
      </c>
      <c r="C3" s="74" t="s">
        <v>547</v>
      </c>
      <c r="D3" s="74" t="s">
        <v>548</v>
      </c>
      <c r="E3" s="80" t="s">
        <v>549</v>
      </c>
      <c r="F3" s="80" t="s">
        <v>550</v>
      </c>
      <c r="G3" s="80" t="s">
        <v>120</v>
      </c>
      <c r="H3" s="80" t="s">
        <v>551</v>
      </c>
      <c r="I3" s="80" t="s">
        <v>502</v>
      </c>
      <c r="J3" s="80" t="s">
        <v>552</v>
      </c>
    </row>
    <row r="4" spans="2:14">
      <c r="B4" s="78" t="s">
        <v>553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554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555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556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557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558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559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560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561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562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