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87" documentId="13_ncr:1_{DEA6AE07-76BA-4598-8FC5-6BF1EE7C8A4A}" xr6:coauthVersionLast="47" xr6:coauthVersionMax="47" xr10:uidLastSave="{AE4D7AD7-5A87-4B85-836E-348A237E9BFE}"/>
  <bookViews>
    <workbookView xWindow="-98" yWindow="-98" windowWidth="21795" windowHeight="12975" tabRatio="718" firstSheet="5" activeTab="5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1659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U145" i="18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N28" i="2" s="1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  <author>tc={6D6D7782-94C8-4F57-86CC-5E9BD3A6F44D}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  <comment ref="O49" authorId="1" shapeId="0" xr:uid="{6D6D7782-94C8-4F57-86CC-5E9BD3A6F4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wat is ur status here on Handover Docs?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<sst xmlns="http://schemas.openxmlformats.org/spreadsheetml/2006/main" count="949" uniqueCount="549">
  <si>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</si>
  <si>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</si>
  <si>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</si>
  <si>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</si>
  <si>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</si>
  <si>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</si>
  <si>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</si>
  <si>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</si>
  <si>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</si>
  <si>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</si>
  <si>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</si>
  <si>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</si>
  <si>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</si>
  <si>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</si>
  <si>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</si>
  <si>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</si>
  <si>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</si>
  <si>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</si>
  <si>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</si>
  <si>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</si>
  <si>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</si>
  <si>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</si>
  <si>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</si>
  <si>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</si>
  <si>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</si>
  <si>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</si>
  <si>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</si>
  <si>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</si>
  <si>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</si>
  <si>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</si>
  <si>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</si>
  <si>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</si>
  <si>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</si>
  <si>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</si>
  <si>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</si>
  <si>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</si>
  <si>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</si>
  <si>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</si>
  <si>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</si>
  <si>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</si>
  <si>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</si>
  <si>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</si>
  <si>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</si>
  <si>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</si>
  <si>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</si>
  <si>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</si>
  <si>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</si>
  <si>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</si>
  <si>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</si>
  <si>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</si>
  <si>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</si>
  <si>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</si>
  <si>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</si>
  <si>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</si>
  <si>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</si>
  <si>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</si>
  <si>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</si>
  <si>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</si>
  <si>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</si>
  <si>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</si>
  <si>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</si>
  <si>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</si>
  <si>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</si>
  <si>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</si>
  <si>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</si>
  <si>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</si>
  <si>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</si>
  <si>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</si>
  <si>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</si>
  <si>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</si>
  <si>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</si>
  <si>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</si>
  <si>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</si>
  <si>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</si>
  <si>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</si>
  <si>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</si>
  <si>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</si>
  <si>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</si>
  <si>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</si>
  <si>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</si>
  <si>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</si>
  <si>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</si>
  <si>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</si>
  <si>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</si>
  <si>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</si>
  <si>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</si>
  <si>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</si>
  <si>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</si>
  <si>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</si>
  <si>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</si>
  <si>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</si>
  <si>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</si>
  <si>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</si>
  <si>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</si>
  <si>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</si>
  <si>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</si>
  <si>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</si>
  <si>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</si>
  <si>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</si>
  <si>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</si>
  <si>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</si>
  <si>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</si>
  <si>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</si>
  <si>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</si>
  <si>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</si>
  <si>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</si>
  <si>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</si>
  <si>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</si>
  <si>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</si>
  <si>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</si>
  <si>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</si>
  <si>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</si>
  <si>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</si>
  <si>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</si>
  <si>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</si>
  <si>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</si>
  <si>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</si>
  <si>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</si>
  <si>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</si>
  <si>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</si>
  <si>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</si>
  <si>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</si>
  <si>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</si>
  <si>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</si>
  <si>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</si>
  <si>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</si>
  <si>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</si>
  <si>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</si>
  <si>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</si>
  <si>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</si>
  <si>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</si>
  <si>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</si>
  <si>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</si>
  <si>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</si>
  <si>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</si>
  <si>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</si>
  <si>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</si>
  <si>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</si>
  <si>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</si>
  <si>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</si>
  <si>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</si>
  <si>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</si>
  <si>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</si>
  <si>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</si>
  <si>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</si>
  <si>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</si>
  <si>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</si>
  <si>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</si>
  <si>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</si>
  <si>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</si>
  <si>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</si>
  <si>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</si>
  <si>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</si>
  <si>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</si>
  <si>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</si>
  <si>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</si>
  <si>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</si>
  <si>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</si>
  <si>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</si>
  <si>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</si>
  <si>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</si>
  <si>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</si>
  <si>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</si>
  <si>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</si>
  <si>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</si>
  <si>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</si>
  <si>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</si>
  <si>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</si>
  <si>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</si>
  <si>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</si>
  <si>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</si>
  <si>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</si>
  <si>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</si>
  <si>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</si>
  <si>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</si>
  <si>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</si>
  <si>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</si>
  <si>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</si>
  <si>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</si>
  <si>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</si>
  <si>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</si>
  <si>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</si>
  <si>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</si>
  <si>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</si>
  <si>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</si>
  <si>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</si>
  <si>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</si>
  <si>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</si>
  <si>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</si>
  <si>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</si>
  <si>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</si>
  <si>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</si>
  <si>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</si>
  <si>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</si>
  <si>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</si>
  <si>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</si>
  <si>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</si>
  <si>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</si>
  <si>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</si>
  <si>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</si>
  <si>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</si>
  <si>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</si>
  <si>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</si>
  <si>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</si>
  <si>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</si>
  <si>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</si>
  <si>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</si>
  <si>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</si>
  <si>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</si>
  <si>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</si>
  <si>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</si>
  <si>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</si>
  <si>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</si>
  <si>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</si>
  <si>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</si>
  <si>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</si>
  <si>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</si>
  <si>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</si>
  <si>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</si>
  <si>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</si>
  <si>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</si>
  <si>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</si>
  <si>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</si>
  <si>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</si>
  <si>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</si>
  <si>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</si>
  <si>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</si>
  <si>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</si>
  <si>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</si>
  <si>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</si>
  <si>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</si>
  <si>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</si>
  <si>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</si>
  <si>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</si>
  <si>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</si>
  <si>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</si>
  <si>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ready for handover - Date to be confirmed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</si>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</sst>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7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72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9" fontId="11" fillId="0" borderId="64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166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6" fillId="2" borderId="5" xfId="0" applyNumberFormat="1" applyFont="1" applyFill="1" applyBorder="1" applyAlignment="1" applyProtection="1">
      <alignment wrapText="1"/>
      <protection locked="0"/>
    </xf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166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9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14" fontId="59" fillId="10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871712.53</c:v>
                </c:pt>
                <c:pt idx="58">
                  <c:v>891410.16</c:v>
                </c:pt>
                <c:pt idx="59">
                  <c:v>891410.16</c:v>
                </c:pt>
                <c:pt idx="60">
                  <c:v>891410.16</c:v>
                </c:pt>
                <c:pt idx="61">
                  <c:v>891410.16</c:v>
                </c:pt>
                <c:pt idx="62">
                  <c:v>891410.16</c:v>
                </c:pt>
                <c:pt idx="63">
                  <c:v>891410.16</c:v>
                </c:pt>
                <c:pt idx="64">
                  <c:v>891410.16</c:v>
                </c:pt>
                <c:pt idx="65">
                  <c:v>891410.16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358206.00500000012</c:v>
                </c:pt>
                <c:pt idx="58">
                  <c:v>338508.37500000012</c:v>
                </c:pt>
                <c:pt idx="59">
                  <c:v>338508.37500000012</c:v>
                </c:pt>
                <c:pt idx="60">
                  <c:v>338508.37500000012</c:v>
                </c:pt>
                <c:pt idx="61">
                  <c:v>338508.37500000012</c:v>
                </c:pt>
                <c:pt idx="62">
                  <c:v>338508.37500000012</c:v>
                </c:pt>
                <c:pt idx="63">
                  <c:v>338508.37500000012</c:v>
                </c:pt>
                <c:pt idx="64">
                  <c:v>338508.37500000012</c:v>
                </c:pt>
                <c:pt idx="65">
                  <c:v>338508.37500000012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1352266.4464539625</c:v>
                </c:pt>
                <c:pt idx="58">
                  <c:v>1352266.4464539625</c:v>
                </c:pt>
                <c:pt idx="59">
                  <c:v>1352266.4464539625</c:v>
                </c:pt>
                <c:pt idx="60">
                  <c:v>1352266.4464539625</c:v>
                </c:pt>
                <c:pt idx="61">
                  <c:v>1352266.4464539625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  <Task id="{5083E596-8056-40E6-96B8-8FB8589E9E4E}">
    <Anchor>
      <Comment id="{6D6D7782-94C8-4F57-86CC-5E9BD3A6F44D}"/>
    </Anchor>
    <History>
      <Event time="2026-02-12T10:23:31.37" id="{7EE3DBF5-7AE9-46EF-927E-57CB142E6D65}">
        <Attribution userId="S::peet@emergentenergy.co.za::29540351-e817-46dc-8f07-960526f357c0" userName="Peet Verreynne" userProvider="AD"/>
        <Anchor>
          <Comment id="{6D6D7782-94C8-4F57-86CC-5E9BD3A6F44D}"/>
        </Anchor>
        <Create/>
      </Event>
      <Event time="2026-02-12T10:23:31.37" id="{93D12536-ED12-49AA-B130-F72530894B4C}">
        <Attribution userId="S::peet@emergentenergy.co.za::29540351-e817-46dc-8f07-960526f357c0" userName="Peet Verreynne" userProvider="AD"/>
        <Anchor>
          <Comment id="{6D6D7782-94C8-4F57-86CC-5E9BD3A6F44D}"/>
        </Anchor>
        <Assign userId="S::jt@emergentenergy.co.za::bbd5fcaa-f00c-4418-b737-be988e50b39d" userName="JT Moorosi" userProvider="AD"/>
      </Event>
      <Event time="2026-02-12T10:23:31.37" id="{DA3835F8-BB32-428C-BF62-DC210C38B5C7}">
        <Attribution userId="S::peet@emergentenergy.co.za::29540351-e817-46dc-8f07-960526f357c0" userName="Peet Verreynne" userProvider="AD"/>
        <Anchor>
          <Comment id="{6D6D7782-94C8-4F57-86CC-5E9BD3A6F44D}"/>
        </Anchor>
        <SetTitle title="@JT Moorosi wat is ur status here on Handover Docs?"/>
      </Event>
      <Event time="2026-02-23T08:48:52.70" id="{11DA3FBE-0EF2-48AF-9D08-8F0A8A5FC2EF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9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  <threadedComment ref="O49" dT="2026-02-12T10:23:31.37" personId="{6F31FB51-B345-4B9A-BAE1-2C2DC6CCBE64}" id="{6D6D7782-94C8-4F57-86CC-5E9BD3A6F44D}" done="1">
    <text>@JT Moorosi wat is ur status here on Handover Docs?</text>
    <mentions>
      <mention mentionpersonId="{67E45E3E-2C02-4AF5-B17A-1B612985E7AE}" mentionId="{C46E86B2-2987-4128-A9FE-1E32139C4078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3.9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25"/>
  <cols>
    <col min="1" max="1" width="6" customWidth="1"/>
    <col min="2" max="2" width="21.28515625" customWidth="1"/>
    <col min="3" max="3" width="28.5703125" customWidth="1"/>
    <col min="4" max="4" width="15.285156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35" t="s">
        <v>58</v>
      </c>
      <c r="C2" s="735"/>
      <c r="D2" s="735"/>
      <c r="E2" s="735"/>
      <c r="H2" s="736" t="s">
        <v>59</v>
      </c>
      <c r="I2" s="737"/>
      <c r="J2" s="737"/>
      <c r="K2" s="737"/>
      <c r="L2" s="737"/>
      <c r="M2" s="737"/>
      <c r="N2" s="737"/>
      <c r="O2" s="738"/>
    </row>
    <row r="3" spans="2:15">
      <c r="B3" s="671"/>
      <c r="H3" s="739"/>
      <c r="I3" s="740"/>
      <c r="J3" s="740"/>
      <c r="K3" s="740"/>
      <c r="L3" s="740"/>
      <c r="M3" s="740"/>
      <c r="N3" s="740"/>
      <c r="O3" s="741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72" t="s">
        <v>61</v>
      </c>
      <c r="C5" s="673" t="s">
        <v>62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72" t="s">
        <v>63</v>
      </c>
      <c r="C6" s="673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72" t="s">
        <v>65</v>
      </c>
      <c r="C7" s="673" t="s">
        <v>66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71"/>
      <c r="H8" s="739"/>
      <c r="I8" s="740"/>
      <c r="J8" s="740"/>
      <c r="K8" s="740"/>
      <c r="L8" s="740"/>
      <c r="M8" s="740"/>
      <c r="N8" s="740"/>
      <c r="O8" s="741"/>
    </row>
    <row r="9" spans="2:15">
      <c r="B9" s="745" t="s">
        <v>67</v>
      </c>
      <c r="C9" s="745"/>
      <c r="D9" s="745"/>
      <c r="E9" s="745"/>
      <c r="H9" s="739"/>
      <c r="I9" s="740"/>
      <c r="J9" s="740"/>
      <c r="K9" s="740"/>
      <c r="L9" s="740"/>
      <c r="M9" s="740"/>
      <c r="N9" s="740"/>
      <c r="O9" s="741"/>
    </row>
    <row r="10" spans="2:15" ht="14.65" thickBot="1">
      <c r="B10" s="745" t="s">
        <v>68</v>
      </c>
      <c r="C10" s="745"/>
      <c r="D10" s="745"/>
      <c r="E10" s="745"/>
      <c r="H10" s="742"/>
      <c r="I10" s="743"/>
      <c r="J10" s="743"/>
      <c r="K10" s="743"/>
      <c r="L10" s="743"/>
      <c r="M10" s="743"/>
      <c r="N10" s="743"/>
      <c r="O10" s="744"/>
    </row>
    <row r="11" spans="2:15">
      <c r="B11" s="674" t="s">
        <v>69</v>
      </c>
      <c r="C11" s="734"/>
      <c r="D11" s="734"/>
      <c r="E11" s="734"/>
    </row>
    <row r="12" spans="2:15">
      <c r="B12" s="674" t="s">
        <v>70</v>
      </c>
      <c r="C12" s="734"/>
      <c r="D12" s="734"/>
      <c r="E12" s="734"/>
    </row>
    <row r="13" spans="2:15">
      <c r="B13" s="674" t="s">
        <v>71</v>
      </c>
      <c r="C13" s="734"/>
      <c r="D13" s="734"/>
      <c r="E13" s="734"/>
    </row>
    <row r="14" spans="2:15">
      <c r="B14" s="674" t="s">
        <v>72</v>
      </c>
      <c r="C14" s="734"/>
      <c r="D14" s="734"/>
      <c r="E14" s="734"/>
    </row>
    <row r="15" spans="2:15">
      <c r="B15" s="674" t="s">
        <v>73</v>
      </c>
      <c r="C15" s="734"/>
      <c r="D15" s="734"/>
      <c r="E15" s="734"/>
    </row>
    <row r="16" spans="2:15" ht="15" customHeight="1">
      <c r="B16" s="674" t="s">
        <v>74</v>
      </c>
      <c r="C16" s="734"/>
      <c r="D16" s="734"/>
      <c r="E16" s="734"/>
    </row>
    <row r="17" spans="2:5">
      <c r="B17" s="671"/>
    </row>
    <row r="18" spans="2:5">
      <c r="B18" s="746" t="s">
        <v>75</v>
      </c>
      <c r="C18" s="746"/>
      <c r="D18" s="746"/>
      <c r="E18" s="746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25"/>
  <cols>
    <col min="1" max="1" width="6" customWidth="1"/>
    <col min="2" max="2" width="21.28515625" customWidth="1"/>
    <col min="3" max="3" width="28.5703125" customWidth="1"/>
    <col min="4" max="4" width="15.285156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35" t="s">
        <v>80</v>
      </c>
      <c r="C2" s="735"/>
      <c r="D2" s="735"/>
      <c r="E2" s="735"/>
      <c r="H2" s="736" t="s">
        <v>81</v>
      </c>
      <c r="I2" s="737"/>
      <c r="J2" s="737"/>
      <c r="K2" s="737"/>
      <c r="L2" s="737"/>
      <c r="M2" s="737"/>
      <c r="N2" s="737"/>
      <c r="O2" s="738"/>
    </row>
    <row r="3" spans="2:15">
      <c r="B3" s="671"/>
      <c r="H3" s="739"/>
      <c r="I3" s="740"/>
      <c r="J3" s="740"/>
      <c r="K3" s="740"/>
      <c r="L3" s="740"/>
      <c r="M3" s="740"/>
      <c r="N3" s="740"/>
      <c r="O3" s="741"/>
    </row>
    <row r="4" spans="2:15">
      <c r="B4" s="672" t="s">
        <v>60</v>
      </c>
      <c r="C4" s="673" t="str">
        <f>'Project Plan'!E2</f>
        <v>Malvern Engineering Phase 2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72" t="s">
        <v>82</v>
      </c>
      <c r="C5" s="673" t="s">
        <v>83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72" t="s">
        <v>63</v>
      </c>
      <c r="C6" s="673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72" t="s">
        <v>84</v>
      </c>
      <c r="C7" s="673" t="str">
        <f>'Project Plan'!E5</f>
        <v>JT Moorosi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72" t="s">
        <v>85</v>
      </c>
      <c r="C8" s="673" t="s">
        <v>86</v>
      </c>
      <c r="H8" s="739"/>
      <c r="I8" s="740"/>
      <c r="J8" s="740"/>
      <c r="K8" s="740"/>
      <c r="L8" s="740"/>
      <c r="M8" s="740"/>
      <c r="N8" s="740"/>
      <c r="O8" s="741"/>
    </row>
    <row r="9" spans="2:15">
      <c r="B9" s="671"/>
      <c r="H9" s="739"/>
      <c r="I9" s="740"/>
      <c r="J9" s="740"/>
      <c r="K9" s="740"/>
      <c r="L9" s="740"/>
      <c r="M9" s="740"/>
      <c r="N9" s="740"/>
      <c r="O9" s="741"/>
    </row>
    <row r="10" spans="2:15">
      <c r="B10" s="745" t="s">
        <v>67</v>
      </c>
      <c r="C10" s="745"/>
      <c r="D10" s="745"/>
      <c r="E10" s="745"/>
      <c r="H10" s="739"/>
      <c r="I10" s="740"/>
      <c r="J10" s="740"/>
      <c r="K10" s="740"/>
      <c r="L10" s="740"/>
      <c r="M10" s="740"/>
      <c r="N10" s="740"/>
      <c r="O10" s="741"/>
    </row>
    <row r="11" spans="2:15" ht="14.65" thickBot="1">
      <c r="B11" s="745" t="s">
        <v>68</v>
      </c>
      <c r="C11" s="745"/>
      <c r="D11" s="745"/>
      <c r="E11" s="745"/>
      <c r="H11" s="742"/>
      <c r="I11" s="743"/>
      <c r="J11" s="743"/>
      <c r="K11" s="743"/>
      <c r="L11" s="743"/>
      <c r="M11" s="743"/>
      <c r="N11" s="743"/>
      <c r="O11" s="744"/>
    </row>
    <row r="12" spans="2:15" ht="25.5">
      <c r="B12" s="674" t="s">
        <v>87</v>
      </c>
      <c r="C12" s="734"/>
      <c r="D12" s="734"/>
      <c r="E12" s="734"/>
    </row>
    <row r="13" spans="2:15">
      <c r="B13" s="674" t="s">
        <v>88</v>
      </c>
      <c r="C13" s="734"/>
      <c r="D13" s="734"/>
      <c r="E13" s="734"/>
    </row>
    <row r="14" spans="2:15">
      <c r="B14" s="674" t="s">
        <v>89</v>
      </c>
      <c r="C14" s="734"/>
      <c r="D14" s="734"/>
      <c r="E14" s="734"/>
    </row>
    <row r="15" spans="2:15">
      <c r="B15" s="674" t="s">
        <v>90</v>
      </c>
      <c r="C15" s="734"/>
      <c r="D15" s="734"/>
      <c r="E15" s="734"/>
    </row>
    <row r="16" spans="2:15" ht="25.5">
      <c r="B16" s="674" t="s">
        <v>91</v>
      </c>
      <c r="C16" s="734"/>
      <c r="D16" s="734"/>
      <c r="E16" s="734"/>
    </row>
    <row r="17" spans="2:5">
      <c r="B17" s="674" t="s">
        <v>92</v>
      </c>
      <c r="C17" s="734"/>
      <c r="D17" s="734"/>
      <c r="E17" s="734"/>
    </row>
    <row r="18" spans="2:5">
      <c r="B18" s="674" t="s">
        <v>93</v>
      </c>
      <c r="C18" s="734"/>
      <c r="D18" s="734"/>
      <c r="E18" s="734"/>
    </row>
    <row r="19" spans="2:5">
      <c r="B19" s="674" t="s">
        <v>94</v>
      </c>
      <c r="C19" s="734"/>
      <c r="D19" s="734"/>
      <c r="E19" s="734"/>
    </row>
    <row r="20" spans="2:5">
      <c r="B20" s="674" t="s">
        <v>95</v>
      </c>
      <c r="C20" s="734"/>
      <c r="D20" s="734"/>
      <c r="E20" s="734"/>
    </row>
    <row r="21" spans="2:5">
      <c r="B21" s="674" t="s">
        <v>96</v>
      </c>
      <c r="C21" s="734"/>
      <c r="D21" s="734"/>
      <c r="E21" s="734"/>
    </row>
    <row r="22" spans="2:5" ht="15" customHeight="1">
      <c r="B22" s="674" t="s">
        <v>74</v>
      </c>
      <c r="C22" s="734"/>
      <c r="D22" s="734"/>
      <c r="E22" s="734"/>
    </row>
    <row r="23" spans="2:5">
      <c r="B23" s="671"/>
    </row>
    <row r="24" spans="2:5">
      <c r="B24" s="746" t="s">
        <v>75</v>
      </c>
      <c r="C24" s="746"/>
      <c r="D24" s="746"/>
      <c r="E24" s="746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28515625" defaultRowHeight="14.25"/>
  <cols>
    <col min="1" max="1" width="0.5703125" customWidth="1"/>
    <col min="2" max="2" width="8.28515625" bestFit="1" customWidth="1"/>
    <col min="3" max="3" width="45.28515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5703125" bestFit="1" customWidth="1"/>
    <col min="10" max="10" width="14.28515625" customWidth="1"/>
    <col min="11" max="11" width="77.28515625" customWidth="1"/>
  </cols>
  <sheetData>
    <row r="1" spans="2:15">
      <c r="B1" s="747"/>
      <c r="C1" s="748"/>
      <c r="D1" s="748"/>
      <c r="E1" s="748"/>
      <c r="F1" s="749" t="s">
        <v>97</v>
      </c>
      <c r="G1" s="749"/>
      <c r="H1" s="749"/>
      <c r="I1" s="749"/>
      <c r="J1" s="749"/>
      <c r="K1" s="750"/>
      <c r="L1" s="77"/>
      <c r="M1" s="77"/>
      <c r="N1" s="77"/>
      <c r="O1" s="77"/>
    </row>
    <row r="2" spans="2:15" ht="6.75" customHeight="1"/>
    <row r="3" spans="2:15" s="676" customFormat="1" ht="28.5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pane="bottomLeft" activeCell="H1" sqref="H1:H1048576"/>
      <selection activeCell="H1" sqref="H1:H1048576"/>
    </sheetView>
  </sheetViews>
  <sheetFormatPr defaultColWidth="8.28515625" defaultRowHeight="13.5"/>
  <cols>
    <col min="1" max="1" width="1.28515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28515625" style="24" customWidth="1"/>
    <col min="7" max="16384" width="8.285156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2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 ht="13.9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abSelected="1" topLeftCell="A25" zoomScaleNormal="100" workbookViewId="0">
      <selection activeCell="P50" sqref="P50"/>
    </sheetView>
  </sheetViews>
  <sheetFormatPr defaultColWidth="8.28515625" defaultRowHeight="13.5"/>
  <cols>
    <col min="1" max="1" width="1.28515625" style="112" customWidth="1"/>
    <col min="2" max="2" width="6.28515625" style="169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6" customWidth="1"/>
    <col min="7" max="7" width="13.570312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5703125" style="112" customWidth="1"/>
    <col min="12" max="12" width="2.28515625" style="112" customWidth="1"/>
    <col min="13" max="13" width="12.5703125" style="112" customWidth="1"/>
    <col min="14" max="14" width="10.28515625" style="112" bestFit="1" customWidth="1"/>
    <col min="15" max="15" width="49.5703125" style="112" bestFit="1" customWidth="1"/>
    <col min="16" max="16" width="1.28515625" style="112" customWidth="1"/>
    <col min="17" max="17" width="5.5703125" style="3" customWidth="1"/>
    <col min="18" max="25" width="8.28515625" style="112"/>
    <col min="26" max="16384" width="8.285156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46084</v>
      </c>
      <c r="O1" s="390">
        <f ca="1">TODAY()</f>
        <v>46084</v>
      </c>
      <c r="Q1" s="3"/>
    </row>
    <row r="2" spans="2:28" ht="13.9">
      <c r="B2" s="174"/>
      <c r="C2" s="175" t="s">
        <v>0</v>
      </c>
      <c r="D2" s="176"/>
      <c r="E2" s="754" t="s">
        <v>161</v>
      </c>
      <c r="F2" s="755"/>
      <c r="G2" s="755"/>
      <c r="H2" s="756"/>
      <c r="N2" s="391">
        <v>0</v>
      </c>
      <c r="O2" s="728"/>
    </row>
    <row r="3" spans="2:28" s="112" customFormat="1" ht="13.9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3.9">
      <c r="B4" s="177"/>
      <c r="C4" s="178" t="s">
        <v>163</v>
      </c>
      <c r="D4" s="176"/>
      <c r="E4" s="757" t="s">
        <v>83</v>
      </c>
      <c r="F4" s="758"/>
      <c r="G4" s="758"/>
      <c r="H4" s="759"/>
      <c r="J4" s="619" t="s">
        <v>164</v>
      </c>
      <c r="K4" s="620">
        <v>45961</v>
      </c>
      <c r="Q4" s="3"/>
    </row>
    <row r="5" spans="2:28" s="112" customFormat="1" ht="13.9">
      <c r="B5" s="177"/>
      <c r="C5" s="178" t="s">
        <v>165</v>
      </c>
      <c r="D5" s="176"/>
      <c r="E5" s="757" t="s">
        <v>166</v>
      </c>
      <c r="F5" s="758"/>
      <c r="G5" s="758"/>
      <c r="H5" s="759"/>
      <c r="J5" s="113"/>
      <c r="Q5" s="3"/>
    </row>
    <row r="6" spans="2:28" ht="13.9">
      <c r="B6" s="182"/>
      <c r="C6" s="183" t="s">
        <v>167</v>
      </c>
      <c r="D6" s="176"/>
      <c r="E6" s="760">
        <v>1366576.15</v>
      </c>
      <c r="F6" s="761"/>
      <c r="G6" s="761"/>
      <c r="H6" s="762"/>
    </row>
    <row r="7" spans="2:28" s="112" customFormat="1" ht="13.9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51" t="s">
        <v>169</v>
      </c>
      <c r="C8" s="752" t="s">
        <v>170</v>
      </c>
      <c r="D8" s="213"/>
      <c r="E8" s="753" t="s">
        <v>171</v>
      </c>
      <c r="F8" s="235" t="s">
        <v>172</v>
      </c>
      <c r="G8" s="753" t="s">
        <v>173</v>
      </c>
      <c r="H8" s="656"/>
      <c r="I8" s="753" t="s">
        <v>174</v>
      </c>
      <c r="J8" s="235" t="s">
        <v>172</v>
      </c>
      <c r="K8" s="753" t="s">
        <v>175</v>
      </c>
      <c r="M8" s="657" t="s">
        <v>104</v>
      </c>
      <c r="N8" s="658" t="s">
        <v>176</v>
      </c>
      <c r="O8" s="763" t="s">
        <v>177</v>
      </c>
      <c r="Z8" s="112"/>
      <c r="AA8" s="112"/>
      <c r="AB8" s="112"/>
    </row>
    <row r="9" spans="2:28" ht="13.9">
      <c r="B9" s="751"/>
      <c r="C9" s="752"/>
      <c r="D9" s="213"/>
      <c r="E9" s="753"/>
      <c r="F9" s="126">
        <f>G39-E19</f>
        <v>51</v>
      </c>
      <c r="G9" s="753"/>
      <c r="H9" s="656"/>
      <c r="I9" s="753"/>
      <c r="J9" s="127">
        <f>K39-I19</f>
        <v>37</v>
      </c>
      <c r="K9" s="753"/>
      <c r="M9" s="351">
        <f>AVERAGE(M11,M18,M21,M28,M35,M39,M48,M44)</f>
        <v>0.97556818181818183</v>
      </c>
      <c r="N9" s="351">
        <f ca="1">AVERAGE(N11,N18,N21,N28,N35,N39,N48,N44)</f>
        <v>0.97493726174659823</v>
      </c>
      <c r="O9" s="764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3.9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3.9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3.9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3.9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(J30*M30+J31*M31+J32*M32+J33*M33)/SUM(J30:J33)</f>
        <v>1</v>
      </c>
      <c r="N28" s="663">
        <f ca="1">(K30*N30+K31*N31+K32*N32+K33*N33)/SUM(K30:K33)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3.9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3.9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3.9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3.9">
      <c r="B48" s="241">
        <v>8</v>
      </c>
      <c r="C48" s="242" t="s">
        <v>231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32</v>
      </c>
      <c r="K48" s="659">
        <f>MAX(K49:K51)</f>
        <v>46087</v>
      </c>
      <c r="L48" s="662"/>
      <c r="M48" s="663">
        <f>(J49*M49+J50*M50+J51*M51)/SUM(J49:J51)</f>
        <v>0.80454545454545456</v>
      </c>
      <c r="N48" s="663">
        <f ca="1">(K46*N46+K42*N42+K49*N49+K50*N50+K51*N51)/SUM(K46:K51)</f>
        <v>0.79949809397278593</v>
      </c>
      <c r="O48" s="122"/>
      <c r="Y48" s="24"/>
    </row>
    <row r="49" spans="2:25">
      <c r="B49" s="243" t="s">
        <v>232</v>
      </c>
      <c r="C49" s="240" t="s">
        <v>233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15</v>
      </c>
      <c r="K49" s="670">
        <f>WORKDAY.INTL(I49,J49,1,Data!$C$3:$C$60)</f>
        <v>46076</v>
      </c>
      <c r="L49" s="163"/>
      <c r="M49" s="667">
        <v>1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234</v>
      </c>
      <c r="C50" s="240" t="s">
        <v>235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46086</v>
      </c>
      <c r="J50" s="665">
        <v>1</v>
      </c>
      <c r="K50" s="670">
        <f>WORKDAY.INTL(I50,J50,1,Data!$C$3:$C$60)</f>
        <v>46087</v>
      </c>
      <c r="L50" s="163"/>
      <c r="M50" s="667">
        <v>0</v>
      </c>
      <c r="N50" s="667">
        <f t="shared" ca="1" si="6"/>
        <v>0</v>
      </c>
      <c r="O50" s="726" t="s">
        <v>236</v>
      </c>
      <c r="Y50" s="24"/>
    </row>
    <row r="51" spans="2:25">
      <c r="B51" s="243" t="s">
        <v>237</v>
      </c>
      <c r="C51" s="240" t="s">
        <v>238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46076</v>
      </c>
      <c r="J51" s="665">
        <v>6</v>
      </c>
      <c r="K51" s="670">
        <f>WORKDAY.INTL(I51,J51,1,Data!$C$3:$C$60)</f>
        <v>46084</v>
      </c>
      <c r="L51" s="163"/>
      <c r="M51" s="667">
        <v>0.45</v>
      </c>
      <c r="N51" s="667">
        <f t="shared" ca="1" si="6"/>
        <v>1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A17" sqref="A17"/>
    </sheetView>
  </sheetViews>
  <sheetFormatPr defaultColWidth="8.28515625" defaultRowHeight="14.25"/>
  <cols>
    <col min="1" max="1" width="5.5703125" style="93" customWidth="1"/>
    <col min="2" max="2" width="5.5703125" style="131" customWidth="1"/>
    <col min="3" max="4" width="23.28515625" style="129" customWidth="1"/>
    <col min="5" max="5" width="6.5703125" style="129" customWidth="1"/>
    <col min="6" max="6" width="14.5703125" style="129" bestFit="1" customWidth="1"/>
    <col min="7" max="7" width="4.28515625" style="129" customWidth="1"/>
    <col min="8" max="8" width="15.28515625" style="129" customWidth="1"/>
    <col min="9" max="9" width="1.28515625" style="129" customWidth="1"/>
    <col min="10" max="10" width="3.28515625" style="93" customWidth="1"/>
    <col min="11" max="11" width="1.28515625" style="173" customWidth="1"/>
    <col min="12" max="12" width="29.28515625" style="93" customWidth="1"/>
    <col min="13" max="13" width="1.28515625" style="129" customWidth="1"/>
    <col min="14" max="14" width="29.28515625" style="129" customWidth="1"/>
    <col min="15" max="15" width="1.28515625" style="93" customWidth="1"/>
    <col min="16" max="16" width="16.5703125" style="129" customWidth="1"/>
    <col min="17" max="17" width="3" style="129" customWidth="1"/>
    <col min="18" max="18" width="73.7109375" style="129" customWidth="1"/>
    <col min="19" max="19" width="4.28515625" style="129" customWidth="1"/>
    <col min="20" max="20" width="18.5703125" style="129" bestFit="1" customWidth="1"/>
    <col min="21" max="21" width="15.28515625" style="93" bestFit="1" customWidth="1"/>
    <col min="22" max="22" width="19.5703125" style="93" bestFit="1" customWidth="1"/>
    <col min="23" max="23" width="16.28515625" style="93" bestFit="1" customWidth="1"/>
    <col min="24" max="24" width="18.5703125" style="93" bestFit="1" customWidth="1"/>
    <col min="25" max="25" width="15.28515625" style="93" bestFit="1" customWidth="1"/>
    <col min="26" max="26" width="8.28515625" style="93"/>
    <col min="27" max="27" width="14.285156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239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240</v>
      </c>
      <c r="F3" s="125" t="s">
        <v>241</v>
      </c>
      <c r="J3" s="139"/>
      <c r="L3" s="395" t="s">
        <v>242</v>
      </c>
      <c r="N3" s="395" t="s">
        <v>243</v>
      </c>
      <c r="S3" s="139"/>
      <c r="T3" s="683" t="s">
        <v>244</v>
      </c>
      <c r="U3" s="683" t="s">
        <v>245</v>
      </c>
      <c r="V3" s="683" t="s">
        <v>246</v>
      </c>
      <c r="W3" s="683" t="s">
        <v>247</v>
      </c>
      <c r="X3" s="683" t="s">
        <v>248</v>
      </c>
      <c r="Y3" s="683" t="s">
        <v>249</v>
      </c>
    </row>
    <row r="4" spans="1:25" s="93" customFormat="1" ht="13.15">
      <c r="B4" s="342">
        <v>1</v>
      </c>
      <c r="C4" s="343" t="s">
        <v>250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251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252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253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254</v>
      </c>
      <c r="S6" s="139"/>
    </row>
    <row r="7" spans="1:25" s="93" customFormat="1" ht="15" customHeight="1" thickBot="1">
      <c r="B7" s="342">
        <v>4</v>
      </c>
      <c r="C7" s="343" t="s">
        <v>255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256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25">
      <c r="B12" s="132" t="s">
        <v>169</v>
      </c>
      <c r="C12" s="133" t="s">
        <v>257</v>
      </c>
      <c r="D12" s="134"/>
      <c r="E12" s="132" t="s">
        <v>258</v>
      </c>
      <c r="F12" s="132" t="s">
        <v>259</v>
      </c>
      <c r="H12" s="347" t="s">
        <v>260</v>
      </c>
      <c r="J12" s="139"/>
      <c r="L12" s="164" t="s">
        <v>261</v>
      </c>
      <c r="M12" s="135"/>
      <c r="N12" s="164" t="s">
        <v>262</v>
      </c>
      <c r="O12" s="129"/>
      <c r="P12" s="164" t="s">
        <v>263</v>
      </c>
      <c r="R12" s="364" t="s">
        <v>264</v>
      </c>
      <c r="S12" s="139"/>
    </row>
    <row r="13" spans="1:25" s="93" customFormat="1" ht="13.5" customHeight="1">
      <c r="B13" s="622">
        <v>1</v>
      </c>
      <c r="C13" s="769" t="s">
        <v>265</v>
      </c>
      <c r="D13" s="770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266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9" t="s">
        <v>267</v>
      </c>
      <c r="D14" s="770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268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9" t="s">
        <v>269</v>
      </c>
      <c r="D15" s="770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268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5" t="s">
        <v>223</v>
      </c>
      <c r="D16" s="766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270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5" t="s">
        <v>54</v>
      </c>
      <c r="D17" s="766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271</v>
      </c>
      <c r="S17" s="139"/>
    </row>
    <row r="18" spans="2:19" s="93" customFormat="1" ht="12.75">
      <c r="B18" s="622">
        <v>6</v>
      </c>
      <c r="C18" s="771" t="s">
        <v>272</v>
      </c>
      <c r="D18" s="772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767" t="s">
        <v>272</v>
      </c>
      <c r="D19" s="768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273</v>
      </c>
      <c r="C23" s="143" t="s">
        <v>274</v>
      </c>
      <c r="D23" s="143"/>
      <c r="F23" s="144"/>
      <c r="H23" s="116"/>
    </row>
    <row r="24" spans="2:19" s="93" customFormat="1" ht="12.75">
      <c r="C24" s="145" t="s">
        <v>275</v>
      </c>
      <c r="D24" s="146"/>
      <c r="F24" s="147"/>
    </row>
    <row r="25" spans="2:19" s="93" customFormat="1" ht="12.75">
      <c r="C25" s="145" t="s">
        <v>276</v>
      </c>
      <c r="D25" s="146"/>
    </row>
    <row r="26" spans="2:19" s="93" customFormat="1" ht="12.75">
      <c r="C26" s="148" t="s">
        <v>277</v>
      </c>
      <c r="D26" s="149"/>
    </row>
    <row r="27" spans="2:19" s="93" customFormat="1" ht="12.75">
      <c r="C27" s="150" t="s">
        <v>278</v>
      </c>
      <c r="D27" s="146"/>
    </row>
    <row r="28" spans="2:19" s="93" customFormat="1" ht="12.75">
      <c r="B28" s="117"/>
      <c r="C28" s="150" t="s">
        <v>279</v>
      </c>
      <c r="D28" s="146"/>
    </row>
    <row r="29" spans="2:19" s="93" customFormat="1" ht="12.75">
      <c r="B29" s="117"/>
      <c r="C29" s="93" t="s">
        <v>280</v>
      </c>
    </row>
    <row r="30" spans="2:19" s="93" customFormat="1" ht="27.75" customHeight="1">
      <c r="B30" s="117"/>
      <c r="C30" s="151" t="s">
        <v>281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257</v>
      </c>
      <c r="D40" s="134"/>
      <c r="E40" s="132" t="s">
        <v>258</v>
      </c>
      <c r="F40" s="132" t="s">
        <v>259</v>
      </c>
    </row>
    <row r="41" spans="2:6" s="93" customFormat="1" ht="12.75" hidden="1" customHeight="1">
      <c r="B41" s="152">
        <v>1</v>
      </c>
      <c r="C41" s="153" t="s">
        <v>282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267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269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283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284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28515625" defaultRowHeight="14.25"/>
  <cols>
    <col min="1" max="1" width="7.28515625" customWidth="1"/>
    <col min="2" max="2" width="37.5703125" customWidth="1"/>
    <col min="3" max="3" width="9.28515625" bestFit="1" customWidth="1"/>
    <col min="4" max="4" width="12.5703125" bestFit="1" customWidth="1"/>
    <col min="5" max="5" width="10.28515625" customWidth="1"/>
    <col min="6" max="6" width="33.28515625" customWidth="1"/>
  </cols>
  <sheetData>
    <row r="1" spans="2:10" ht="14.65" thickBot="1"/>
    <row r="2" spans="2:10" ht="15" thickTop="1" thickBot="1">
      <c r="B2" s="773" t="s">
        <v>285</v>
      </c>
      <c r="C2" s="774"/>
      <c r="D2" s="774"/>
      <c r="E2" s="774"/>
      <c r="F2" s="775"/>
      <c r="G2" s="77"/>
      <c r="H2" s="77"/>
      <c r="I2" s="77"/>
      <c r="J2" s="77"/>
    </row>
    <row r="3" spans="2:10" ht="6.75" customHeight="1" thickTop="1"/>
    <row r="4" spans="2:10">
      <c r="B4" s="72" t="s">
        <v>286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287</v>
      </c>
      <c r="C5" s="76"/>
      <c r="D5" s="76"/>
      <c r="E5" s="76"/>
      <c r="F5" s="71"/>
    </row>
    <row r="6" spans="2:10">
      <c r="B6" s="74" t="s">
        <v>288</v>
      </c>
      <c r="C6" s="76"/>
      <c r="D6" s="76"/>
      <c r="E6" s="76"/>
      <c r="F6" s="71"/>
    </row>
    <row r="7" spans="2:10">
      <c r="B7" s="74" t="s">
        <v>289</v>
      </c>
      <c r="C7" s="76"/>
      <c r="D7" s="76"/>
      <c r="E7" s="76"/>
      <c r="F7" s="71"/>
    </row>
    <row r="8" spans="2:10">
      <c r="B8" s="74" t="s">
        <v>290</v>
      </c>
      <c r="C8" s="76"/>
      <c r="D8" s="76"/>
      <c r="E8" s="76"/>
      <c r="F8" s="71"/>
    </row>
    <row r="9" spans="2:10">
      <c r="B9" s="75" t="s">
        <v>291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3" t="s">
        <v>292</v>
      </c>
      <c r="C16" s="774"/>
      <c r="D16" s="774"/>
      <c r="E16" s="774"/>
      <c r="F16" s="775"/>
    </row>
    <row r="17" spans="2:6" ht="14.65" thickTop="1"/>
    <row r="18" spans="2:6">
      <c r="B18" s="72" t="s">
        <v>286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293</v>
      </c>
      <c r="C20" s="76"/>
      <c r="D20" s="76"/>
      <c r="E20" s="76"/>
      <c r="F20" s="71"/>
    </row>
    <row r="21" spans="2:6">
      <c r="B21" s="74" t="s">
        <v>294</v>
      </c>
      <c r="C21" s="76"/>
      <c r="D21" s="76"/>
      <c r="E21" s="76"/>
      <c r="F21" s="71"/>
    </row>
    <row r="22" spans="2:6">
      <c r="B22" s="74" t="s">
        <v>295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15" thickBot="1"/>
    <row r="2" spans="3:8" ht="13.15" thickBot="1">
      <c r="C2" s="83" t="s">
        <v>296</v>
      </c>
      <c r="F2" s="83" t="s">
        <v>297</v>
      </c>
    </row>
    <row r="3" spans="3:8">
      <c r="C3" s="79">
        <v>45658</v>
      </c>
      <c r="D3" s="73" t="s">
        <v>298</v>
      </c>
      <c r="F3" s="81" t="s">
        <v>299</v>
      </c>
    </row>
    <row r="4" spans="3:8">
      <c r="C4" s="79">
        <v>45737</v>
      </c>
      <c r="D4" s="73" t="s">
        <v>300</v>
      </c>
      <c r="F4" s="81" t="s">
        <v>301</v>
      </c>
    </row>
    <row r="5" spans="3:8">
      <c r="C5" s="79">
        <v>45765</v>
      </c>
      <c r="D5" s="73" t="s">
        <v>302</v>
      </c>
      <c r="F5" s="81" t="s">
        <v>303</v>
      </c>
    </row>
    <row r="6" spans="3:8" ht="13.15" thickBot="1">
      <c r="C6" s="79">
        <v>45768</v>
      </c>
      <c r="D6" s="73" t="s">
        <v>304</v>
      </c>
      <c r="F6" s="82" t="s">
        <v>305</v>
      </c>
    </row>
    <row r="7" spans="3:8">
      <c r="C7" s="79">
        <v>45774</v>
      </c>
      <c r="D7" s="73" t="s">
        <v>306</v>
      </c>
    </row>
    <row r="8" spans="3:8">
      <c r="C8" s="79">
        <v>45765</v>
      </c>
      <c r="D8" s="73" t="s">
        <v>307</v>
      </c>
    </row>
    <row r="9" spans="3:8">
      <c r="C9" s="79">
        <v>45778</v>
      </c>
      <c r="D9" s="73" t="s">
        <v>308</v>
      </c>
    </row>
    <row r="10" spans="3:8">
      <c r="C10" s="79">
        <v>45824</v>
      </c>
      <c r="D10" s="73" t="s">
        <v>309</v>
      </c>
    </row>
    <row r="11" spans="3:8">
      <c r="C11" s="79">
        <v>45878</v>
      </c>
      <c r="D11" s="73" t="s">
        <v>310</v>
      </c>
    </row>
    <row r="12" spans="3:8">
      <c r="C12" s="79">
        <v>45924</v>
      </c>
      <c r="D12" s="73" t="s">
        <v>311</v>
      </c>
    </row>
    <row r="13" spans="3:8">
      <c r="C13" s="79">
        <v>46007</v>
      </c>
      <c r="D13" s="73" t="s">
        <v>312</v>
      </c>
      <c r="F13" s="85"/>
      <c r="H13" s="73" t="s">
        <v>313</v>
      </c>
    </row>
    <row r="14" spans="3:8">
      <c r="C14" s="79">
        <v>46016</v>
      </c>
      <c r="D14" s="73" t="s">
        <v>314</v>
      </c>
    </row>
    <row r="15" spans="3:8" ht="13.15" thickBot="1">
      <c r="C15" s="80">
        <v>46017</v>
      </c>
      <c r="D15" s="73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28515625" defaultRowHeight="13.5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3.9">
      <c r="A2" s="213"/>
      <c r="B2" s="217" t="s">
        <v>316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25" thickBot="1">
      <c r="A4" s="213"/>
      <c r="B4" s="776"/>
      <c r="C4" s="776"/>
      <c r="D4" s="776"/>
      <c r="E4" s="398"/>
      <c r="F4" s="218" t="s">
        <v>240</v>
      </c>
      <c r="G4" s="213"/>
      <c r="H4" s="218" t="s">
        <v>241</v>
      </c>
      <c r="I4" s="213"/>
      <c r="J4" s="219" t="s">
        <v>317</v>
      </c>
      <c r="K4" s="112"/>
      <c r="L4" s="112"/>
    </row>
    <row r="5" spans="1:12" ht="14.25" thickBot="1">
      <c r="A5" s="213"/>
      <c r="B5" s="777" t="s">
        <v>318</v>
      </c>
      <c r="C5" s="777"/>
      <c r="D5" s="777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65" thickBot="1">
      <c r="A7" s="213"/>
      <c r="B7" s="223" t="s">
        <v>169</v>
      </c>
      <c r="C7" s="224"/>
      <c r="D7" s="223" t="s">
        <v>138</v>
      </c>
      <c r="E7" s="224"/>
      <c r="F7" s="225" t="s">
        <v>319</v>
      </c>
      <c r="G7" s="226"/>
      <c r="H7" s="225" t="s">
        <v>320</v>
      </c>
      <c r="I7" s="226"/>
      <c r="J7" s="225" t="s">
        <v>321</v>
      </c>
      <c r="K7" s="170"/>
      <c r="L7" s="115" t="s">
        <v>322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3.9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3.9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3.9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3.9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3.9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3.9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3.9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 ht="13.9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3.9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3.9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3.9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 ht="13.9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323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85" zoomScaleNormal="85" workbookViewId="0">
      <pane ySplit="4" topLeftCell="A73" activePane="bottomLeft" state="frozen"/>
      <selection pane="bottomLeft" activeCell="T137" sqref="T137"/>
      <selection activeCell="X33" sqref="X33"/>
    </sheetView>
  </sheetViews>
  <sheetFormatPr defaultColWidth="9.28515625" defaultRowHeight="13.5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" style="70" hidden="1" customWidth="1"/>
    <col min="6" max="6" width="16.5703125" style="458" hidden="1" customWidth="1"/>
    <col min="7" max="8" width="17.28515625" style="24" hidden="1" customWidth="1"/>
    <col min="9" max="9" width="22.28515625" style="340" hidden="1" customWidth="1"/>
    <col min="10" max="10" width="22.28515625" style="340" bestFit="1" customWidth="1"/>
    <col min="11" max="12" width="5.5703125" style="112" customWidth="1"/>
    <col min="13" max="13" width="25.5703125" style="112" customWidth="1"/>
    <col min="14" max="14" width="53.28515625" style="112" customWidth="1"/>
    <col min="15" max="15" width="15.5703125" style="112" customWidth="1"/>
    <col min="16" max="17" width="17.28515625" style="112" customWidth="1"/>
    <col min="18" max="18" width="39.5703125" style="112" bestFit="1" customWidth="1"/>
    <col min="19" max="19" width="27.5703125" style="112" customWidth="1"/>
    <col min="20" max="21" width="17.28515625" style="521" customWidth="1"/>
    <col min="22" max="22" width="17.28515625" style="112" customWidth="1"/>
    <col min="23" max="23" width="17.28515625" style="521" customWidth="1"/>
    <col min="24" max="24" width="21.28515625" style="112" customWidth="1"/>
    <col min="25" max="25" width="29.28515625" style="112" bestFit="1" customWidth="1"/>
    <col min="26" max="26" width="24.28515625" style="112" bestFit="1" customWidth="1"/>
    <col min="27" max="27" width="17.28515625" style="112" customWidth="1"/>
    <col min="28" max="28" width="20.5703125" style="112" customWidth="1"/>
    <col min="29" max="29" width="27.28515625" style="112" customWidth="1"/>
    <col min="30" max="76" width="17.28515625" style="112" customWidth="1"/>
    <col min="77" max="16384" width="9.285156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787" t="s">
        <v>324</v>
      </c>
      <c r="C2" s="788"/>
      <c r="D2" s="788"/>
      <c r="E2" s="788"/>
      <c r="F2" s="788"/>
      <c r="G2" s="788"/>
      <c r="H2" s="635"/>
      <c r="I2" s="248">
        <f>SUM(I6:I166)</f>
        <v>1022445.4555792119</v>
      </c>
      <c r="J2" s="248">
        <f>SUM(J6:J166)</f>
        <v>1366576.152995884</v>
      </c>
      <c r="L2" s="789" t="s">
        <v>325</v>
      </c>
      <c r="M2" s="790"/>
      <c r="N2" s="790"/>
      <c r="O2" s="790"/>
      <c r="P2" s="790"/>
      <c r="Q2" s="790"/>
      <c r="R2" s="791" t="s">
        <v>326</v>
      </c>
      <c r="S2" s="792"/>
      <c r="T2" s="792"/>
      <c r="U2" s="792"/>
      <c r="V2" s="792"/>
      <c r="W2" s="793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327</v>
      </c>
      <c r="C4" s="250" t="s">
        <v>328</v>
      </c>
      <c r="D4" s="250" t="s">
        <v>329</v>
      </c>
      <c r="E4" s="250" t="s">
        <v>330</v>
      </c>
      <c r="F4" s="449" t="s">
        <v>331</v>
      </c>
      <c r="G4" s="251" t="s">
        <v>332</v>
      </c>
      <c r="H4" s="637" t="s">
        <v>333</v>
      </c>
      <c r="I4" s="252" t="s">
        <v>334</v>
      </c>
      <c r="J4" s="252" t="str">
        <f>IF(J2-'Revenue Tracking'!D4&gt;=0, "Total Revenue", "ERROR on REV" )</f>
        <v>Total Revenue</v>
      </c>
      <c r="K4" s="163"/>
      <c r="L4" s="249" t="s">
        <v>327</v>
      </c>
      <c r="M4" s="250" t="s">
        <v>335</v>
      </c>
      <c r="N4" s="250" t="s">
        <v>329</v>
      </c>
      <c r="O4" s="250" t="s">
        <v>330</v>
      </c>
      <c r="P4" s="449" t="s">
        <v>331</v>
      </c>
      <c r="Q4" s="359" t="s">
        <v>336</v>
      </c>
      <c r="R4" s="592" t="s">
        <v>337</v>
      </c>
      <c r="S4" s="593" t="s">
        <v>261</v>
      </c>
      <c r="T4" s="617" t="s">
        <v>262</v>
      </c>
      <c r="U4" s="618" t="s">
        <v>338</v>
      </c>
      <c r="V4" s="359" t="s">
        <v>339</v>
      </c>
      <c r="W4" s="617" t="s">
        <v>340</v>
      </c>
      <c r="X4" s="464" t="s">
        <v>334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341</v>
      </c>
      <c r="D6" s="272" t="s">
        <v>342</v>
      </c>
      <c r="E6" s="273"/>
      <c r="F6" s="421"/>
      <c r="G6" s="377">
        <f>D167</f>
        <v>356365.60025000002</v>
      </c>
      <c r="H6" s="638">
        <f>'Project Plan'!E36+60</f>
        <v>46017</v>
      </c>
      <c r="I6" s="784">
        <f>SUM(G6:G11)</f>
        <v>356365.60025000002</v>
      </c>
      <c r="J6" s="784">
        <f>F167</f>
        <v>494952.22256944445</v>
      </c>
      <c r="K6" s="374"/>
      <c r="L6" s="271">
        <v>1</v>
      </c>
      <c r="M6" s="401" t="s">
        <v>343</v>
      </c>
      <c r="N6" s="272" t="s">
        <v>344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345</v>
      </c>
      <c r="T6" s="638">
        <v>45961</v>
      </c>
      <c r="U6" s="699">
        <v>458160.11332775839</v>
      </c>
      <c r="V6" s="797">
        <f>J6-SUM(U6:U11)</f>
        <v>0</v>
      </c>
      <c r="W6" s="711">
        <v>45989</v>
      </c>
      <c r="X6" s="794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346</v>
      </c>
      <c r="E7" s="376"/>
      <c r="F7" s="443"/>
      <c r="G7" s="305"/>
      <c r="H7" s="639"/>
      <c r="I7" s="785"/>
      <c r="J7" s="785"/>
      <c r="K7" s="278"/>
      <c r="L7" s="301">
        <v>1</v>
      </c>
      <c r="M7" s="303" t="s">
        <v>343</v>
      </c>
      <c r="N7" s="375" t="s">
        <v>347</v>
      </c>
      <c r="O7" s="523"/>
      <c r="P7" s="428"/>
      <c r="Q7" s="305">
        <v>5849.67</v>
      </c>
      <c r="R7" s="559"/>
      <c r="S7" s="596" t="s">
        <v>345</v>
      </c>
      <c r="T7" s="639">
        <v>45961</v>
      </c>
      <c r="U7" s="699">
        <v>9854.3966309700882</v>
      </c>
      <c r="V7" s="798"/>
      <c r="W7" s="705">
        <v>45989</v>
      </c>
      <c r="X7" s="795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85"/>
      <c r="J8" s="785"/>
      <c r="K8" s="278"/>
      <c r="L8" s="301">
        <v>1</v>
      </c>
      <c r="M8" s="303" t="s">
        <v>343</v>
      </c>
      <c r="N8" s="469" t="s">
        <v>348</v>
      </c>
      <c r="O8" s="524"/>
      <c r="P8" s="428"/>
      <c r="Q8" s="305">
        <v>15990.5</v>
      </c>
      <c r="R8" s="559"/>
      <c r="S8" s="596" t="s">
        <v>345</v>
      </c>
      <c r="T8" s="639">
        <v>45961</v>
      </c>
      <c r="U8" s="699">
        <v>26937.712610716022</v>
      </c>
      <c r="V8" s="798"/>
      <c r="W8" s="705">
        <v>45989</v>
      </c>
      <c r="X8" s="795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85"/>
      <c r="J9" s="785"/>
      <c r="K9" s="278"/>
      <c r="L9" s="301">
        <v>1</v>
      </c>
      <c r="M9" s="303" t="s">
        <v>343</v>
      </c>
      <c r="N9" s="469" t="s">
        <v>349</v>
      </c>
      <c r="O9" s="524"/>
      <c r="P9" s="428"/>
      <c r="Q9" s="372">
        <v>1305.4000000000001</v>
      </c>
      <c r="R9" s="560"/>
      <c r="S9" s="597" t="s">
        <v>350</v>
      </c>
      <c r="T9" s="707">
        <v>45991</v>
      </c>
      <c r="U9" s="699">
        <v>0</v>
      </c>
      <c r="V9" s="798"/>
      <c r="W9" s="708">
        <v>45980</v>
      </c>
      <c r="X9" s="795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85"/>
      <c r="J10" s="785"/>
      <c r="K10" s="278"/>
      <c r="L10" s="301">
        <v>1</v>
      </c>
      <c r="M10" s="303" t="s">
        <v>343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8"/>
      <c r="W10" s="544"/>
      <c r="X10" s="795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6"/>
      <c r="J11" s="786"/>
      <c r="K11" s="279"/>
      <c r="L11" s="306">
        <v>1</v>
      </c>
      <c r="M11" s="403" t="s">
        <v>343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9"/>
      <c r="W11" s="545"/>
      <c r="X11" s="796"/>
      <c r="Y11" s="576" t="s">
        <v>351</v>
      </c>
      <c r="Z11" s="577" t="s">
        <v>352</v>
      </c>
    </row>
    <row r="12" spans="1:76" ht="14.2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353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354</v>
      </c>
      <c r="E13" s="354"/>
      <c r="F13" s="441"/>
      <c r="G13" s="286">
        <f>D168</f>
        <v>80000</v>
      </c>
      <c r="H13" s="643">
        <f>'Project Plan'!E22+60</f>
        <v>46018</v>
      </c>
      <c r="I13" s="778">
        <f>SUM(G13:G19)</f>
        <v>80000</v>
      </c>
      <c r="J13" s="778">
        <f>F168</f>
        <v>111111.11111111112</v>
      </c>
      <c r="K13" s="287"/>
      <c r="L13" s="283">
        <v>2</v>
      </c>
      <c r="M13" s="404" t="s">
        <v>355</v>
      </c>
      <c r="N13" s="309" t="s">
        <v>356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345</v>
      </c>
      <c r="T13" s="643">
        <v>45961</v>
      </c>
      <c r="U13" s="700">
        <v>111111.11111111112</v>
      </c>
      <c r="V13" s="800">
        <f>J13-SUM(U13:U19)</f>
        <v>0</v>
      </c>
      <c r="W13" s="712">
        <v>45989</v>
      </c>
      <c r="X13" s="781">
        <f>SUM(Q13:Q19)</f>
        <v>53700.89</v>
      </c>
      <c r="Y13" s="578" t="s">
        <v>357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79"/>
      <c r="J14" s="779"/>
      <c r="K14" s="291"/>
      <c r="L14" s="288">
        <v>2</v>
      </c>
      <c r="M14" s="410" t="s">
        <v>355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01"/>
      <c r="W14" s="548"/>
      <c r="X14" s="782"/>
      <c r="Y14" s="578" t="s">
        <v>358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79"/>
      <c r="J15" s="779"/>
      <c r="K15" s="291"/>
      <c r="L15" s="288">
        <v>2</v>
      </c>
      <c r="M15" s="410" t="s">
        <v>355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01"/>
      <c r="W15" s="548"/>
      <c r="X15" s="782"/>
      <c r="Y15" s="578" t="s">
        <v>359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79"/>
      <c r="J16" s="779"/>
      <c r="K16" s="291"/>
      <c r="L16" s="288">
        <v>2</v>
      </c>
      <c r="M16" s="410" t="s">
        <v>355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01"/>
      <c r="W16" s="548"/>
      <c r="X16" s="782"/>
      <c r="Y16" s="578" t="s">
        <v>360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79"/>
      <c r="J17" s="779"/>
      <c r="K17" s="291"/>
      <c r="L17" s="288">
        <v>2</v>
      </c>
      <c r="M17" s="410" t="s">
        <v>355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01"/>
      <c r="W17" s="548"/>
      <c r="X17" s="782"/>
      <c r="Y17" s="578" t="s">
        <v>361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79"/>
      <c r="J18" s="779"/>
      <c r="K18" s="291"/>
      <c r="L18" s="288">
        <v>2</v>
      </c>
      <c r="M18" s="410" t="s">
        <v>355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01"/>
      <c r="W18" s="548"/>
      <c r="X18" s="782"/>
      <c r="Y18" s="578" t="s">
        <v>362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80"/>
      <c r="J19" s="780"/>
      <c r="K19" s="296"/>
      <c r="L19" s="381">
        <v>2</v>
      </c>
      <c r="M19" s="405" t="s">
        <v>355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02"/>
      <c r="W19" s="549"/>
      <c r="X19" s="783"/>
      <c r="Y19" s="578" t="s">
        <v>363</v>
      </c>
      <c r="Z19" s="579">
        <v>0</v>
      </c>
    </row>
    <row r="20" spans="1:26" ht="14.2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364</v>
      </c>
      <c r="D21" s="317" t="s">
        <v>365</v>
      </c>
      <c r="E21" s="273"/>
      <c r="F21" s="421"/>
      <c r="G21" s="274">
        <f>D169</f>
        <v>65884.5</v>
      </c>
      <c r="H21" s="646">
        <f>'Project Plan'!E30+30</f>
        <v>45987</v>
      </c>
      <c r="I21" s="784">
        <f>SUM(G21:G33)</f>
        <v>65884.5</v>
      </c>
      <c r="J21" s="784">
        <f>F169</f>
        <v>91506.25</v>
      </c>
      <c r="K21" s="275"/>
      <c r="L21" s="271">
        <v>3</v>
      </c>
      <c r="M21" s="406" t="s">
        <v>366</v>
      </c>
      <c r="N21" s="317" t="s">
        <v>367</v>
      </c>
      <c r="O21" s="522"/>
      <c r="P21" s="421"/>
      <c r="Q21" s="274">
        <v>9972</v>
      </c>
      <c r="R21" s="558" t="s">
        <v>368</v>
      </c>
      <c r="S21" s="603" t="s">
        <v>369</v>
      </c>
      <c r="T21" s="691">
        <v>45961</v>
      </c>
      <c r="U21" s="699">
        <v>24789.932900127715</v>
      </c>
      <c r="V21" s="797">
        <f>J21-SUM(U21:U33)</f>
        <v>2.1012114884797484E-3</v>
      </c>
      <c r="W21" s="713">
        <v>45989</v>
      </c>
      <c r="X21" s="794">
        <f>SUM(Q21:Q33)</f>
        <v>27717.309999999998</v>
      </c>
      <c r="Y21" s="578" t="s">
        <v>370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85"/>
      <c r="J22" s="785"/>
      <c r="K22" s="278"/>
      <c r="L22" s="301">
        <v>3</v>
      </c>
      <c r="M22" s="407" t="s">
        <v>366</v>
      </c>
      <c r="N22" s="318" t="s">
        <v>371</v>
      </c>
      <c r="O22" s="523"/>
      <c r="P22" s="443"/>
      <c r="Q22" s="305">
        <v>15552</v>
      </c>
      <c r="R22" s="558" t="s">
        <v>372</v>
      </c>
      <c r="S22" s="596" t="s">
        <v>373</v>
      </c>
      <c r="T22" s="639">
        <v>45991</v>
      </c>
      <c r="U22" s="699">
        <v>38661.55390187577</v>
      </c>
      <c r="V22" s="798"/>
      <c r="W22" s="705">
        <v>46021</v>
      </c>
      <c r="X22" s="795"/>
      <c r="Y22" s="578" t="s">
        <v>284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85"/>
      <c r="J23" s="785"/>
      <c r="K23" s="278"/>
      <c r="L23" s="301">
        <v>3</v>
      </c>
      <c r="M23" s="407" t="s">
        <v>366</v>
      </c>
      <c r="N23" s="318" t="s">
        <v>374</v>
      </c>
      <c r="O23" s="523"/>
      <c r="P23" s="443"/>
      <c r="Q23" s="305">
        <v>451.59999999999997</v>
      </c>
      <c r="R23" s="558"/>
      <c r="S23" s="596" t="s">
        <v>375</v>
      </c>
      <c r="T23" s="697">
        <v>45961</v>
      </c>
      <c r="U23" s="699">
        <v>1122.6568088345041</v>
      </c>
      <c r="V23" s="798"/>
      <c r="W23" s="698">
        <f t="shared" ref="W23:W30" si="1">T23</f>
        <v>45961</v>
      </c>
      <c r="X23" s="795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85"/>
      <c r="J24" s="785"/>
      <c r="K24" s="278"/>
      <c r="L24" s="301">
        <v>3</v>
      </c>
      <c r="M24" s="407" t="s">
        <v>366</v>
      </c>
      <c r="N24" s="318" t="s">
        <v>376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375</v>
      </c>
      <c r="T24" s="697">
        <v>45961</v>
      </c>
      <c r="U24" s="699">
        <v>1988.9620451999783</v>
      </c>
      <c r="V24" s="798"/>
      <c r="W24" s="698">
        <f t="shared" si="1"/>
        <v>45961</v>
      </c>
      <c r="X24" s="795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85"/>
      <c r="J25" s="785"/>
      <c r="K25" s="278"/>
      <c r="L25" s="301">
        <v>3</v>
      </c>
      <c r="M25" s="407" t="s">
        <v>366</v>
      </c>
      <c r="N25" s="318" t="s">
        <v>376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375</v>
      </c>
      <c r="T25" s="697">
        <v>45961</v>
      </c>
      <c r="U25" s="699">
        <v>658.67836153407927</v>
      </c>
      <c r="V25" s="798"/>
      <c r="W25" s="698">
        <f t="shared" si="1"/>
        <v>45961</v>
      </c>
      <c r="X25" s="795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85"/>
      <c r="J26" s="785"/>
      <c r="K26" s="278"/>
      <c r="L26" s="301">
        <v>3</v>
      </c>
      <c r="M26" s="407" t="s">
        <v>366</v>
      </c>
      <c r="N26" s="318" t="s">
        <v>377</v>
      </c>
      <c r="O26" s="523"/>
      <c r="P26" s="443"/>
      <c r="Q26" s="305">
        <v>6000.6</v>
      </c>
      <c r="R26" s="558"/>
      <c r="S26" s="596" t="s">
        <v>378</v>
      </c>
      <c r="T26" s="697">
        <v>45961</v>
      </c>
      <c r="U26" s="699">
        <v>14917.215338999837</v>
      </c>
      <c r="V26" s="798"/>
      <c r="W26" s="698">
        <f t="shared" si="1"/>
        <v>45961</v>
      </c>
      <c r="X26" s="795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85"/>
      <c r="J27" s="785"/>
      <c r="K27" s="278"/>
      <c r="L27" s="301">
        <v>3</v>
      </c>
      <c r="M27" s="407" t="s">
        <v>366</v>
      </c>
      <c r="N27" s="318" t="s">
        <v>379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380</v>
      </c>
      <c r="T27" s="697">
        <v>45961</v>
      </c>
      <c r="U27" s="699">
        <v>6724.1822907710039</v>
      </c>
      <c r="V27" s="798"/>
      <c r="W27" s="698">
        <f t="shared" si="1"/>
        <v>45961</v>
      </c>
      <c r="X27" s="795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85"/>
      <c r="J28" s="785"/>
      <c r="K28" s="278"/>
      <c r="L28" s="301">
        <v>3</v>
      </c>
      <c r="M28" s="407" t="s">
        <v>366</v>
      </c>
      <c r="N28" s="318" t="s">
        <v>381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8"/>
      <c r="W28" s="698">
        <f t="shared" si="1"/>
        <v>45961</v>
      </c>
      <c r="X28" s="795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85"/>
      <c r="J29" s="785"/>
      <c r="K29" s="278"/>
      <c r="L29" s="301">
        <v>3</v>
      </c>
      <c r="M29" s="407" t="s">
        <v>366</v>
      </c>
      <c r="N29" s="318" t="s">
        <v>382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8"/>
      <c r="W29" s="698">
        <f t="shared" si="1"/>
        <v>45961</v>
      </c>
      <c r="X29" s="795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85"/>
      <c r="J30" s="785"/>
      <c r="K30" s="278"/>
      <c r="L30" s="301">
        <v>3</v>
      </c>
      <c r="M30" s="407" t="s">
        <v>366</v>
      </c>
      <c r="N30" s="318" t="s">
        <v>383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8"/>
      <c r="W30" s="698">
        <f t="shared" si="1"/>
        <v>45961</v>
      </c>
      <c r="X30" s="795"/>
      <c r="Y30" s="578" t="s">
        <v>384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85"/>
      <c r="J31" s="785"/>
      <c r="K31" s="278"/>
      <c r="L31" s="301">
        <v>3</v>
      </c>
      <c r="M31" s="407" t="s">
        <v>366</v>
      </c>
      <c r="N31" s="318" t="s">
        <v>385</v>
      </c>
      <c r="O31" s="524"/>
      <c r="P31" s="428"/>
      <c r="Q31" s="372">
        <v>1063.2</v>
      </c>
      <c r="R31" s="560"/>
      <c r="S31" s="597" t="s">
        <v>386</v>
      </c>
      <c r="T31" s="697">
        <v>45961</v>
      </c>
      <c r="U31" s="699">
        <v>2643.0662514456262</v>
      </c>
      <c r="V31" s="798"/>
      <c r="W31" s="720">
        <v>45991</v>
      </c>
      <c r="X31" s="795"/>
      <c r="Y31" s="583" t="s">
        <v>387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85"/>
      <c r="J32" s="785"/>
      <c r="K32" s="278"/>
      <c r="L32" s="301">
        <v>3</v>
      </c>
      <c r="M32" s="407" t="s">
        <v>366</v>
      </c>
      <c r="N32" s="318" t="s">
        <v>388</v>
      </c>
      <c r="O32" s="524"/>
      <c r="P32" s="428"/>
      <c r="Q32" s="372">
        <v>-9092</v>
      </c>
      <c r="R32" s="560"/>
      <c r="S32" s="597" t="s">
        <v>389</v>
      </c>
      <c r="T32" s="640">
        <v>45991</v>
      </c>
      <c r="U32" s="699">
        <v>0</v>
      </c>
      <c r="V32" s="798"/>
      <c r="W32" s="708">
        <v>46022</v>
      </c>
      <c r="X32" s="795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6"/>
      <c r="J33" s="786"/>
      <c r="K33" s="279"/>
      <c r="L33" s="306">
        <v>3</v>
      </c>
      <c r="M33" s="408" t="s">
        <v>366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9"/>
      <c r="W33" s="545"/>
      <c r="X33" s="796"/>
      <c r="Y33" s="584" t="s">
        <v>241</v>
      </c>
      <c r="Z33" s="585" t="s">
        <v>390</v>
      </c>
      <c r="AB33" s="584" t="s">
        <v>241</v>
      </c>
      <c r="AC33" s="585" t="s">
        <v>391</v>
      </c>
    </row>
    <row r="34" spans="1:30" ht="14.2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353</v>
      </c>
      <c r="AC34" s="587">
        <v>60700</v>
      </c>
    </row>
    <row r="35" spans="1:30" ht="14.25" customHeight="1">
      <c r="B35" s="283">
        <v>4</v>
      </c>
      <c r="C35" s="284" t="s">
        <v>357</v>
      </c>
      <c r="D35" s="284" t="s">
        <v>392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78">
        <f>SUM(G35:G49)</f>
        <v>123532.2</v>
      </c>
      <c r="J35" s="778">
        <f>F170</f>
        <v>171572.5</v>
      </c>
      <c r="K35" s="287"/>
      <c r="L35" s="283">
        <v>4</v>
      </c>
      <c r="M35" s="409" t="s">
        <v>393</v>
      </c>
      <c r="N35" s="284" t="s">
        <v>394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395</v>
      </c>
      <c r="T35" s="643">
        <v>45961</v>
      </c>
      <c r="U35" s="700">
        <v>117950.34029175446</v>
      </c>
      <c r="V35" s="800">
        <f>J35-SUM(U35:U49)</f>
        <v>0</v>
      </c>
      <c r="W35" s="719">
        <v>46021</v>
      </c>
      <c r="X35" s="781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357</v>
      </c>
      <c r="AC35" s="587">
        <v>54780.55</v>
      </c>
    </row>
    <row r="36" spans="1:30" ht="14.25" customHeight="1">
      <c r="B36" s="310">
        <v>4</v>
      </c>
      <c r="C36" s="394"/>
      <c r="D36" s="394" t="s">
        <v>396</v>
      </c>
      <c r="E36" s="380"/>
      <c r="F36" s="437"/>
      <c r="G36" s="612">
        <f>D170-G35</f>
        <v>75400.2</v>
      </c>
      <c r="H36" s="644">
        <f>'Project Plan'!G28</f>
        <v>45966</v>
      </c>
      <c r="I36" s="779"/>
      <c r="J36" s="779"/>
      <c r="K36" s="291"/>
      <c r="L36" s="288">
        <v>4</v>
      </c>
      <c r="M36" s="410" t="s">
        <v>393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01"/>
      <c r="W36" s="548"/>
      <c r="X36" s="782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358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79"/>
      <c r="J37" s="779"/>
      <c r="K37" s="291"/>
      <c r="L37" s="288">
        <v>4</v>
      </c>
      <c r="M37" s="410" t="s">
        <v>393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01"/>
      <c r="W37" s="548"/>
      <c r="X37" s="782"/>
      <c r="Y37" s="586" t="str">
        <f t="shared" si="3"/>
        <v>DC Labour</v>
      </c>
      <c r="Z37" s="587">
        <v>133211.65</v>
      </c>
      <c r="AB37" s="586" t="s">
        <v>359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79"/>
      <c r="J38" s="779"/>
      <c r="K38" s="291"/>
      <c r="L38" s="288">
        <v>4</v>
      </c>
      <c r="M38" s="410" t="s">
        <v>393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01"/>
      <c r="W38" s="548"/>
      <c r="X38" s="782"/>
      <c r="Y38" s="586" t="str">
        <f t="shared" si="3"/>
        <v>Offloading</v>
      </c>
      <c r="Z38" s="587">
        <v>11410</v>
      </c>
      <c r="AB38" s="586" t="s">
        <v>360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79"/>
      <c r="J39" s="779"/>
      <c r="K39" s="291"/>
      <c r="L39" s="288">
        <v>4</v>
      </c>
      <c r="M39" s="410" t="s">
        <v>393</v>
      </c>
      <c r="N39" s="394" t="s">
        <v>397</v>
      </c>
      <c r="O39" s="537">
        <f>Z35</f>
        <v>37687.699999999997</v>
      </c>
      <c r="P39" s="538">
        <v>0.1</v>
      </c>
      <c r="Q39" s="290">
        <f>$O$39*P39</f>
        <v>3768.77</v>
      </c>
      <c r="R39" s="812" t="s">
        <v>398</v>
      </c>
      <c r="S39" s="601" t="s">
        <v>399</v>
      </c>
      <c r="T39" s="692">
        <f>T97</f>
        <v>45961</v>
      </c>
      <c r="U39" s="700">
        <v>5362.2159708245536</v>
      </c>
      <c r="V39" s="801"/>
      <c r="W39" s="706">
        <f>W97</f>
        <v>45967</v>
      </c>
      <c r="X39" s="782"/>
      <c r="Y39" s="586" t="str">
        <f t="shared" si="3"/>
        <v>Scaffolding</v>
      </c>
      <c r="Z39" s="587">
        <v>67201</v>
      </c>
      <c r="AB39" s="586" t="s">
        <v>361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79"/>
      <c r="J40" s="779"/>
      <c r="K40" s="291"/>
      <c r="L40" s="288">
        <v>4</v>
      </c>
      <c r="M40" s="410" t="s">
        <v>393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813"/>
      <c r="S40" s="601" t="s">
        <v>400</v>
      </c>
      <c r="T40" s="709">
        <f t="shared" ref="T40:T46" si="6">T98</f>
        <v>45991</v>
      </c>
      <c r="U40" s="700">
        <v>8043.3239562368299</v>
      </c>
      <c r="V40" s="801"/>
      <c r="W40" s="718">
        <f t="shared" ref="W40:W46" si="7">W98</f>
        <v>46015</v>
      </c>
      <c r="X40" s="782"/>
      <c r="Y40" s="586" t="str">
        <f t="shared" si="3"/>
        <v>Storage</v>
      </c>
      <c r="Z40" s="587">
        <v>9988</v>
      </c>
      <c r="AB40" s="586" t="s">
        <v>362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79"/>
      <c r="J41" s="779"/>
      <c r="K41" s="291"/>
      <c r="L41" s="288">
        <v>4</v>
      </c>
      <c r="M41" s="410" t="s">
        <v>393</v>
      </c>
      <c r="N41" s="394" t="s">
        <v>401</v>
      </c>
      <c r="O41" s="528"/>
      <c r="P41" s="538">
        <v>0.2</v>
      </c>
      <c r="Q41" s="290">
        <f t="shared" si="5"/>
        <v>7537.54</v>
      </c>
      <c r="R41" s="813"/>
      <c r="S41" s="601" t="s">
        <v>402</v>
      </c>
      <c r="T41" s="644">
        <f t="shared" si="6"/>
        <v>45991</v>
      </c>
      <c r="U41" s="700">
        <v>10724.431941649107</v>
      </c>
      <c r="V41" s="801"/>
      <c r="W41" s="718">
        <v>46009</v>
      </c>
      <c r="X41" s="782"/>
      <c r="Y41" s="586" t="s">
        <v>403</v>
      </c>
      <c r="Z41" s="587">
        <v>0</v>
      </c>
      <c r="AB41" s="586" t="s">
        <v>403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79"/>
      <c r="J42" s="779"/>
      <c r="K42" s="291"/>
      <c r="L42" s="288">
        <v>4</v>
      </c>
      <c r="M42" s="410" t="s">
        <v>393</v>
      </c>
      <c r="N42" s="394" t="s">
        <v>404</v>
      </c>
      <c r="O42" s="528"/>
      <c r="P42" s="538">
        <v>0.25</v>
      </c>
      <c r="Q42" s="290">
        <f t="shared" si="5"/>
        <v>9421.9249999999993</v>
      </c>
      <c r="R42" s="813"/>
      <c r="S42" s="601" t="s">
        <v>405</v>
      </c>
      <c r="T42" s="644">
        <f t="shared" si="6"/>
        <v>45991</v>
      </c>
      <c r="U42" s="700">
        <v>13405.539927061382</v>
      </c>
      <c r="V42" s="801"/>
      <c r="W42" s="718">
        <v>46009</v>
      </c>
      <c r="X42" s="782"/>
      <c r="Y42" s="586" t="s">
        <v>285</v>
      </c>
      <c r="Z42" s="587">
        <v>17381.5</v>
      </c>
      <c r="AB42" s="586" t="s">
        <v>285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79"/>
      <c r="J43" s="779"/>
      <c r="K43" s="291"/>
      <c r="L43" s="288">
        <v>4</v>
      </c>
      <c r="M43" s="410" t="s">
        <v>393</v>
      </c>
      <c r="N43" s="394" t="s">
        <v>406</v>
      </c>
      <c r="O43" s="528"/>
      <c r="P43" s="538">
        <v>0.1</v>
      </c>
      <c r="Q43" s="290">
        <f t="shared" si="5"/>
        <v>3768.77</v>
      </c>
      <c r="R43" s="813"/>
      <c r="S43" s="601" t="s">
        <v>407</v>
      </c>
      <c r="T43" s="644">
        <f t="shared" si="6"/>
        <v>45991</v>
      </c>
      <c r="U43" s="700">
        <v>5362.2159708245536</v>
      </c>
      <c r="V43" s="801"/>
      <c r="W43" s="718">
        <v>46009</v>
      </c>
      <c r="X43" s="782"/>
      <c r="Y43" s="586" t="s">
        <v>370</v>
      </c>
      <c r="Z43" s="587">
        <v>0</v>
      </c>
      <c r="AB43" s="586" t="s">
        <v>370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79"/>
      <c r="J44" s="779"/>
      <c r="K44" s="291"/>
      <c r="L44" s="288">
        <v>4</v>
      </c>
      <c r="M44" s="410" t="s">
        <v>393</v>
      </c>
      <c r="N44" s="394" t="s">
        <v>408</v>
      </c>
      <c r="O44" s="528"/>
      <c r="P44" s="538">
        <v>0.1</v>
      </c>
      <c r="Q44" s="290">
        <f t="shared" si="5"/>
        <v>3768.77</v>
      </c>
      <c r="R44" s="813"/>
      <c r="S44" s="601" t="s">
        <v>409</v>
      </c>
      <c r="T44" s="644">
        <f t="shared" si="6"/>
        <v>45991</v>
      </c>
      <c r="U44" s="700">
        <v>5362.2159708245536</v>
      </c>
      <c r="V44" s="801"/>
      <c r="W44" s="706">
        <f t="shared" si="7"/>
        <v>46058</v>
      </c>
      <c r="X44" s="782"/>
      <c r="Y44" s="586" t="s">
        <v>370</v>
      </c>
      <c r="Z44" s="588">
        <v>0</v>
      </c>
      <c r="AB44" s="586" t="s">
        <v>370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79"/>
      <c r="J45" s="779"/>
      <c r="K45" s="291"/>
      <c r="L45" s="288">
        <v>4</v>
      </c>
      <c r="M45" s="410" t="s">
        <v>393</v>
      </c>
      <c r="N45" s="394" t="s">
        <v>410</v>
      </c>
      <c r="O45" s="528"/>
      <c r="P45" s="538">
        <v>0.05</v>
      </c>
      <c r="Q45" s="290">
        <f t="shared" si="5"/>
        <v>1884.385</v>
      </c>
      <c r="R45" s="813"/>
      <c r="S45" s="601" t="s">
        <v>411</v>
      </c>
      <c r="T45" s="644">
        <f t="shared" si="6"/>
        <v>45991</v>
      </c>
      <c r="U45" s="700">
        <v>2681.1079854122768</v>
      </c>
      <c r="V45" s="801"/>
      <c r="W45" s="706">
        <f t="shared" si="7"/>
        <v>46058</v>
      </c>
      <c r="X45" s="782"/>
      <c r="Y45" s="586" t="s">
        <v>284</v>
      </c>
      <c r="Z45" s="587">
        <f>SUM(Z34:Z44)</f>
        <v>383952.6</v>
      </c>
      <c r="AB45" s="586" t="s">
        <v>284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79"/>
      <c r="J46" s="779"/>
      <c r="K46" s="291"/>
      <c r="L46" s="288">
        <v>4</v>
      </c>
      <c r="M46" s="410" t="s">
        <v>393</v>
      </c>
      <c r="N46" s="394" t="s">
        <v>412</v>
      </c>
      <c r="O46" s="528"/>
      <c r="P46" s="538">
        <v>0.05</v>
      </c>
      <c r="Q46" s="290">
        <f t="shared" si="5"/>
        <v>1884.385</v>
      </c>
      <c r="R46" s="814"/>
      <c r="S46" s="601" t="s">
        <v>413</v>
      </c>
      <c r="T46" s="644">
        <f t="shared" si="6"/>
        <v>45991</v>
      </c>
      <c r="U46" s="700">
        <v>2681.1079854122768</v>
      </c>
      <c r="V46" s="801"/>
      <c r="W46" s="548">
        <f t="shared" si="7"/>
        <v>46088</v>
      </c>
      <c r="X46" s="782"/>
      <c r="Y46" s="589" t="s">
        <v>387</v>
      </c>
      <c r="Z46" s="588">
        <f>Z45/'Project Plan'!$E$3/1000</f>
        <v>2.6119224489795916</v>
      </c>
      <c r="AB46" s="589" t="s">
        <v>387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79"/>
      <c r="J47" s="779"/>
      <c r="K47" s="291"/>
      <c r="L47" s="288">
        <v>4</v>
      </c>
      <c r="M47" s="410" t="s">
        <v>393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01"/>
      <c r="W47" s="548"/>
      <c r="X47" s="782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79"/>
      <c r="J48" s="779"/>
      <c r="K48" s="291"/>
      <c r="L48" s="288">
        <v>4</v>
      </c>
      <c r="M48" s="410" t="s">
        <v>393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01"/>
      <c r="W48" s="548"/>
      <c r="X48" s="782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80"/>
      <c r="J49" s="780"/>
      <c r="K49" s="296"/>
      <c r="L49" s="292">
        <v>4</v>
      </c>
      <c r="M49" s="411" t="s">
        <v>393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02"/>
      <c r="W49" s="549"/>
      <c r="X49" s="783"/>
      <c r="Y49" s="466"/>
    </row>
    <row r="50" spans="1:25" ht="13.9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414</v>
      </c>
      <c r="D51" s="317" t="s">
        <v>415</v>
      </c>
      <c r="E51" s="273"/>
      <c r="F51" s="421"/>
      <c r="G51" s="274">
        <f>D172</f>
        <v>38000</v>
      </c>
      <c r="H51" s="646">
        <f>H13</f>
        <v>46018</v>
      </c>
      <c r="I51" s="784">
        <f>SUM(G51:G57)</f>
        <v>38000</v>
      </c>
      <c r="J51" s="784">
        <f>F172</f>
        <v>52777.777777777781</v>
      </c>
      <c r="K51" s="275"/>
      <c r="L51" s="271">
        <v>5</v>
      </c>
      <c r="M51" s="406" t="s">
        <v>416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7">
        <f>J51-SUM(U51:U57)</f>
        <v>1.540037032100372E-3</v>
      </c>
      <c r="W51" s="550"/>
      <c r="X51" s="794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85"/>
      <c r="J52" s="785"/>
      <c r="K52" s="278"/>
      <c r="L52" s="276">
        <v>5</v>
      </c>
      <c r="M52" s="412" t="s">
        <v>416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8"/>
      <c r="W52" s="543"/>
      <c r="X52" s="795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85"/>
      <c r="J53" s="785"/>
      <c r="K53" s="278"/>
      <c r="L53" s="276">
        <v>5</v>
      </c>
      <c r="M53" s="412" t="s">
        <v>416</v>
      </c>
      <c r="N53" s="303" t="s">
        <v>160</v>
      </c>
      <c r="O53" s="523"/>
      <c r="P53" s="443"/>
      <c r="Q53" s="305">
        <v>11169</v>
      </c>
      <c r="R53" s="559" t="s">
        <v>417</v>
      </c>
      <c r="S53" s="596" t="s">
        <v>418</v>
      </c>
      <c r="T53" s="697">
        <v>46053</v>
      </c>
      <c r="U53" s="715">
        <v>52433.336986572744</v>
      </c>
      <c r="V53" s="798"/>
      <c r="W53" s="698">
        <v>46051</v>
      </c>
      <c r="X53" s="795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85"/>
      <c r="J54" s="785"/>
      <c r="K54" s="278"/>
      <c r="L54" s="301">
        <v>5</v>
      </c>
      <c r="M54" s="412" t="s">
        <v>416</v>
      </c>
      <c r="N54" s="303" t="s">
        <v>419</v>
      </c>
      <c r="O54" s="523"/>
      <c r="P54" s="443"/>
      <c r="Q54" s="305">
        <v>188.5</v>
      </c>
      <c r="R54" s="559"/>
      <c r="S54" s="596" t="s">
        <v>420</v>
      </c>
      <c r="T54" s="697">
        <v>45991</v>
      </c>
      <c r="U54" s="715">
        <v>344.43925116800636</v>
      </c>
      <c r="V54" s="798"/>
      <c r="W54" s="698">
        <v>46021</v>
      </c>
      <c r="X54" s="795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85"/>
      <c r="J55" s="785"/>
      <c r="K55" s="278"/>
      <c r="L55" s="301">
        <v>5</v>
      </c>
      <c r="M55" s="412" t="s">
        <v>416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8"/>
      <c r="W55" s="544"/>
      <c r="X55" s="795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85"/>
      <c r="J56" s="785"/>
      <c r="K56" s="278"/>
      <c r="L56" s="301">
        <v>5</v>
      </c>
      <c r="M56" s="412" t="s">
        <v>416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8"/>
      <c r="W56" s="544"/>
      <c r="X56" s="795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6"/>
      <c r="J57" s="786"/>
      <c r="K57" s="279"/>
      <c r="L57" s="306">
        <v>5</v>
      </c>
      <c r="M57" s="408" t="s">
        <v>416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9"/>
      <c r="W57" s="545"/>
      <c r="X57" s="796"/>
      <c r="Y57" s="466"/>
    </row>
    <row r="58" spans="1:25" ht="14.2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353</v>
      </c>
      <c r="D59" s="285" t="s">
        <v>421</v>
      </c>
      <c r="E59" s="459"/>
      <c r="F59" s="441"/>
      <c r="G59" s="286">
        <f>D171</f>
        <v>164965.25217391306</v>
      </c>
      <c r="H59" s="643">
        <f>'Project Plan'!G24+30</f>
        <v>46019</v>
      </c>
      <c r="I59" s="778">
        <f>SUM(G59:G75)</f>
        <v>164965.25217391306</v>
      </c>
      <c r="J59" s="778">
        <f>F171</f>
        <v>229118.4057971015</v>
      </c>
      <c r="K59" s="287"/>
      <c r="L59" s="283">
        <v>6</v>
      </c>
      <c r="M59" s="415" t="s">
        <v>422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00">
        <f>J59-SUM(U59:U75)</f>
        <v>0</v>
      </c>
      <c r="W59" s="547"/>
      <c r="X59" s="781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79"/>
      <c r="J60" s="779"/>
      <c r="K60" s="291"/>
      <c r="L60" s="288">
        <v>6</v>
      </c>
      <c r="M60" s="413" t="s">
        <v>422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01"/>
      <c r="W60" s="548"/>
      <c r="X60" s="782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79"/>
      <c r="J61" s="779"/>
      <c r="K61" s="291"/>
      <c r="L61" s="288">
        <v>6</v>
      </c>
      <c r="M61" s="413" t="s">
        <v>422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01"/>
      <c r="W61" s="548"/>
      <c r="X61" s="782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79"/>
      <c r="J62" s="779"/>
      <c r="K62" s="291"/>
      <c r="L62" s="288">
        <v>6</v>
      </c>
      <c r="M62" s="413" t="s">
        <v>422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01"/>
      <c r="W62" s="548"/>
      <c r="X62" s="782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79"/>
      <c r="J63" s="779"/>
      <c r="K63" s="291"/>
      <c r="L63" s="288">
        <v>6</v>
      </c>
      <c r="M63" s="413" t="s">
        <v>422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01"/>
      <c r="W63" s="548"/>
      <c r="X63" s="782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79"/>
      <c r="J64" s="779"/>
      <c r="K64" s="291"/>
      <c r="L64" s="288">
        <v>6</v>
      </c>
      <c r="M64" s="413" t="s">
        <v>422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01"/>
      <c r="W64" s="548"/>
      <c r="X64" s="782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79"/>
      <c r="J65" s="779"/>
      <c r="K65" s="291"/>
      <c r="L65" s="288">
        <v>6</v>
      </c>
      <c r="M65" s="413" t="s">
        <v>422</v>
      </c>
      <c r="N65" s="394" t="s">
        <v>397</v>
      </c>
      <c r="O65" s="537">
        <f>Z34</f>
        <v>64740.3</v>
      </c>
      <c r="P65" s="538">
        <v>0.1</v>
      </c>
      <c r="Q65" s="290">
        <f>$O$65*P65</f>
        <v>6474.0300000000007</v>
      </c>
      <c r="R65" s="812" t="s">
        <v>398</v>
      </c>
      <c r="S65" s="601" t="s">
        <v>399</v>
      </c>
      <c r="T65" s="692">
        <f>T97</f>
        <v>45961</v>
      </c>
      <c r="U65" s="700">
        <v>22911.840579710151</v>
      </c>
      <c r="V65" s="801"/>
      <c r="W65" s="706">
        <f>W97</f>
        <v>45967</v>
      </c>
      <c r="X65" s="782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79"/>
      <c r="J66" s="779"/>
      <c r="K66" s="291"/>
      <c r="L66" s="288">
        <v>6</v>
      </c>
      <c r="M66" s="414" t="s">
        <v>422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813"/>
      <c r="S66" s="601" t="s">
        <v>400</v>
      </c>
      <c r="T66" s="709">
        <f t="shared" ref="T66:T72" si="11">T98</f>
        <v>45991</v>
      </c>
      <c r="U66" s="700">
        <v>34367.760869565223</v>
      </c>
      <c r="V66" s="801"/>
      <c r="W66" s="706">
        <f t="shared" ref="W66:W72" si="12">W98</f>
        <v>46015</v>
      </c>
      <c r="X66" s="782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79"/>
      <c r="J67" s="779"/>
      <c r="K67" s="291"/>
      <c r="L67" s="288">
        <v>6</v>
      </c>
      <c r="M67" s="414" t="s">
        <v>422</v>
      </c>
      <c r="N67" s="394" t="s">
        <v>401</v>
      </c>
      <c r="O67" s="528"/>
      <c r="P67" s="538">
        <v>0.2</v>
      </c>
      <c r="Q67" s="290">
        <f t="shared" si="10"/>
        <v>12948.060000000001</v>
      </c>
      <c r="R67" s="813"/>
      <c r="S67" s="601" t="s">
        <v>402</v>
      </c>
      <c r="T67" s="644">
        <f t="shared" si="11"/>
        <v>45991</v>
      </c>
      <c r="U67" s="700">
        <v>45823.681159420303</v>
      </c>
      <c r="V67" s="801"/>
      <c r="W67" s="718">
        <v>46009</v>
      </c>
      <c r="X67" s="782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79"/>
      <c r="J68" s="779"/>
      <c r="K68" s="291"/>
      <c r="L68" s="288">
        <v>6</v>
      </c>
      <c r="M68" s="414" t="s">
        <v>422</v>
      </c>
      <c r="N68" s="394" t="s">
        <v>404</v>
      </c>
      <c r="O68" s="528"/>
      <c r="P68" s="538">
        <v>0.25</v>
      </c>
      <c r="Q68" s="290">
        <f t="shared" si="10"/>
        <v>16185.075000000001</v>
      </c>
      <c r="R68" s="813"/>
      <c r="S68" s="601" t="s">
        <v>405</v>
      </c>
      <c r="T68" s="644">
        <f t="shared" si="11"/>
        <v>45991</v>
      </c>
      <c r="U68" s="700">
        <v>57279.601449275375</v>
      </c>
      <c r="V68" s="801"/>
      <c r="W68" s="718">
        <v>46009</v>
      </c>
      <c r="X68" s="782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79"/>
      <c r="J69" s="779"/>
      <c r="K69" s="291"/>
      <c r="L69" s="288">
        <v>6</v>
      </c>
      <c r="M69" s="414" t="s">
        <v>422</v>
      </c>
      <c r="N69" s="394" t="s">
        <v>406</v>
      </c>
      <c r="O69" s="528"/>
      <c r="P69" s="538">
        <v>0.1</v>
      </c>
      <c r="Q69" s="290">
        <f t="shared" si="10"/>
        <v>6474.0300000000007</v>
      </c>
      <c r="R69" s="813"/>
      <c r="S69" s="601" t="s">
        <v>407</v>
      </c>
      <c r="T69" s="644">
        <f t="shared" si="11"/>
        <v>45991</v>
      </c>
      <c r="U69" s="700">
        <v>22911.840579710151</v>
      </c>
      <c r="V69" s="801"/>
      <c r="W69" s="718">
        <v>46009</v>
      </c>
      <c r="X69" s="782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79"/>
      <c r="J70" s="779"/>
      <c r="K70" s="291"/>
      <c r="L70" s="288">
        <v>6</v>
      </c>
      <c r="M70" s="414" t="s">
        <v>422</v>
      </c>
      <c r="N70" s="394" t="s">
        <v>408</v>
      </c>
      <c r="O70" s="528"/>
      <c r="P70" s="538">
        <v>0.1</v>
      </c>
      <c r="Q70" s="290">
        <f t="shared" si="10"/>
        <v>6474.0300000000007</v>
      </c>
      <c r="R70" s="813"/>
      <c r="S70" s="601" t="s">
        <v>409</v>
      </c>
      <c r="T70" s="644">
        <f t="shared" si="11"/>
        <v>45991</v>
      </c>
      <c r="U70" s="716">
        <v>22911.840579710151</v>
      </c>
      <c r="V70" s="801"/>
      <c r="W70" s="706">
        <f t="shared" si="12"/>
        <v>46058</v>
      </c>
      <c r="X70" s="782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79"/>
      <c r="J71" s="779"/>
      <c r="K71" s="291"/>
      <c r="L71" s="288">
        <v>6</v>
      </c>
      <c r="M71" s="414" t="s">
        <v>422</v>
      </c>
      <c r="N71" s="394" t="s">
        <v>410</v>
      </c>
      <c r="O71" s="528"/>
      <c r="P71" s="538">
        <v>0.05</v>
      </c>
      <c r="Q71" s="290">
        <f t="shared" si="10"/>
        <v>3237.0150000000003</v>
      </c>
      <c r="R71" s="813"/>
      <c r="S71" s="601" t="s">
        <v>411</v>
      </c>
      <c r="T71" s="644">
        <f t="shared" si="11"/>
        <v>45991</v>
      </c>
      <c r="U71" s="716">
        <v>11455.920289855076</v>
      </c>
      <c r="V71" s="801"/>
      <c r="W71" s="706">
        <f t="shared" si="12"/>
        <v>46058</v>
      </c>
      <c r="X71" s="782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79"/>
      <c r="J72" s="779"/>
      <c r="K72" s="291"/>
      <c r="L72" s="288">
        <v>6</v>
      </c>
      <c r="M72" s="414" t="s">
        <v>422</v>
      </c>
      <c r="N72" s="394" t="s">
        <v>412</v>
      </c>
      <c r="O72" s="528"/>
      <c r="P72" s="538">
        <v>0.05</v>
      </c>
      <c r="Q72" s="290">
        <f t="shared" si="10"/>
        <v>3237.0150000000003</v>
      </c>
      <c r="R72" s="814"/>
      <c r="S72" s="601" t="s">
        <v>413</v>
      </c>
      <c r="T72" s="644">
        <f t="shared" si="11"/>
        <v>45991</v>
      </c>
      <c r="U72" s="716">
        <v>11455.920289855076</v>
      </c>
      <c r="V72" s="801"/>
      <c r="W72" s="548">
        <f t="shared" si="12"/>
        <v>46088</v>
      </c>
      <c r="X72" s="782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79"/>
      <c r="J73" s="779"/>
      <c r="K73" s="291"/>
      <c r="L73" s="288">
        <v>6</v>
      </c>
      <c r="M73" s="414" t="s">
        <v>422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01"/>
      <c r="W73" s="551"/>
      <c r="X73" s="782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79"/>
      <c r="J74" s="779"/>
      <c r="K74" s="291"/>
      <c r="L74" s="288">
        <v>6</v>
      </c>
      <c r="M74" s="414" t="s">
        <v>422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01"/>
      <c r="W74" s="551"/>
      <c r="X74" s="782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80"/>
      <c r="J75" s="780"/>
      <c r="K75" s="296"/>
      <c r="L75" s="292">
        <v>6</v>
      </c>
      <c r="M75" s="416" t="s">
        <v>422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02"/>
      <c r="W75" s="549"/>
      <c r="X75" s="783"/>
      <c r="Y75" s="466"/>
    </row>
    <row r="76" spans="1:25" ht="13.9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423</v>
      </c>
      <c r="D77" s="367"/>
      <c r="E77" s="446"/>
      <c r="F77" s="452"/>
      <c r="G77" s="368"/>
      <c r="H77" s="649"/>
      <c r="I77" s="784">
        <f>SUM(G77:G84)</f>
        <v>0</v>
      </c>
      <c r="J77" s="784">
        <f>F176</f>
        <v>0</v>
      </c>
      <c r="K77" s="275"/>
      <c r="L77" s="366">
        <v>7</v>
      </c>
      <c r="M77" s="299" t="s">
        <v>424</v>
      </c>
      <c r="N77" s="367"/>
      <c r="O77" s="446"/>
      <c r="P77" s="452"/>
      <c r="Q77" s="368"/>
      <c r="R77" s="570"/>
      <c r="S77" s="607"/>
      <c r="T77" s="511"/>
      <c r="U77" s="621"/>
      <c r="V77" s="803">
        <f>J77-SUM(U77:U84)</f>
        <v>0</v>
      </c>
      <c r="W77" s="553"/>
      <c r="X77" s="794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85"/>
      <c r="J78" s="785"/>
      <c r="K78" s="278"/>
      <c r="L78" s="369">
        <v>7</v>
      </c>
      <c r="M78" s="370" t="s">
        <v>424</v>
      </c>
      <c r="N78" s="371"/>
      <c r="O78" s="392"/>
      <c r="P78" s="428"/>
      <c r="Q78" s="372"/>
      <c r="R78" s="560"/>
      <c r="S78" s="597"/>
      <c r="T78" s="502"/>
      <c r="U78" s="487"/>
      <c r="V78" s="804"/>
      <c r="W78" s="544"/>
      <c r="X78" s="795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85"/>
      <c r="J79" s="785"/>
      <c r="K79" s="278"/>
      <c r="L79" s="369">
        <v>7</v>
      </c>
      <c r="M79" s="370" t="s">
        <v>424</v>
      </c>
      <c r="N79" s="371"/>
      <c r="O79" s="392"/>
      <c r="P79" s="428"/>
      <c r="Q79" s="372"/>
      <c r="R79" s="560"/>
      <c r="S79" s="597"/>
      <c r="T79" s="502"/>
      <c r="U79" s="487"/>
      <c r="V79" s="804"/>
      <c r="W79" s="544"/>
      <c r="X79" s="795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85"/>
      <c r="J80" s="785"/>
      <c r="K80" s="278"/>
      <c r="L80" s="369">
        <v>7</v>
      </c>
      <c r="M80" s="370" t="s">
        <v>424</v>
      </c>
      <c r="N80" s="371"/>
      <c r="O80" s="392"/>
      <c r="P80" s="428"/>
      <c r="Q80" s="372"/>
      <c r="R80" s="560"/>
      <c r="S80" s="597"/>
      <c r="T80" s="502"/>
      <c r="U80" s="487"/>
      <c r="V80" s="804"/>
      <c r="W80" s="544"/>
      <c r="X80" s="795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85"/>
      <c r="J81" s="785"/>
      <c r="K81" s="278"/>
      <c r="L81" s="369">
        <v>7</v>
      </c>
      <c r="M81" s="370" t="s">
        <v>424</v>
      </c>
      <c r="N81" s="371"/>
      <c r="O81" s="392"/>
      <c r="P81" s="428"/>
      <c r="Q81" s="372"/>
      <c r="R81" s="560"/>
      <c r="S81" s="597"/>
      <c r="T81" s="502"/>
      <c r="U81" s="487"/>
      <c r="V81" s="804"/>
      <c r="W81" s="544"/>
      <c r="X81" s="795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85"/>
      <c r="J82" s="785"/>
      <c r="K82" s="278"/>
      <c r="L82" s="369">
        <v>7</v>
      </c>
      <c r="M82" s="370" t="s">
        <v>424</v>
      </c>
      <c r="N82" s="371"/>
      <c r="O82" s="524"/>
      <c r="P82" s="428"/>
      <c r="Q82" s="372"/>
      <c r="R82" s="560"/>
      <c r="S82" s="597"/>
      <c r="T82" s="502"/>
      <c r="U82" s="487"/>
      <c r="V82" s="804"/>
      <c r="W82" s="544"/>
      <c r="X82" s="795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85"/>
      <c r="J83" s="785"/>
      <c r="K83" s="278"/>
      <c r="L83" s="369">
        <v>7</v>
      </c>
      <c r="M83" s="370" t="s">
        <v>424</v>
      </c>
      <c r="N83" s="371"/>
      <c r="O83" s="524"/>
      <c r="P83" s="428"/>
      <c r="Q83" s="372"/>
      <c r="R83" s="560"/>
      <c r="S83" s="597"/>
      <c r="T83" s="502"/>
      <c r="U83" s="487"/>
      <c r="V83" s="804"/>
      <c r="W83" s="544"/>
      <c r="X83" s="795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6"/>
      <c r="J84" s="786"/>
      <c r="K84" s="279"/>
      <c r="L84" s="306">
        <v>7</v>
      </c>
      <c r="M84" s="327" t="s">
        <v>424</v>
      </c>
      <c r="N84" s="319"/>
      <c r="O84" s="525"/>
      <c r="P84" s="444"/>
      <c r="Q84" s="320"/>
      <c r="R84" s="561"/>
      <c r="S84" s="598"/>
      <c r="T84" s="503"/>
      <c r="U84" s="488"/>
      <c r="V84" s="805"/>
      <c r="W84" s="545"/>
      <c r="X84" s="796"/>
      <c r="Y84" s="466"/>
    </row>
    <row r="85" spans="1:25" ht="13.9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425</v>
      </c>
      <c r="D86" s="323"/>
      <c r="E86" s="447"/>
      <c r="F86" s="400"/>
      <c r="G86" s="324"/>
      <c r="H86" s="643"/>
      <c r="I86" s="778">
        <f>SUM(G86:G94)</f>
        <v>0</v>
      </c>
      <c r="J86" s="778">
        <f>F175</f>
        <v>0</v>
      </c>
      <c r="K86" s="287"/>
      <c r="L86" s="322">
        <v>8</v>
      </c>
      <c r="M86" s="409" t="s">
        <v>426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27">
        <f>J86-SUM(U86:U94)</f>
        <v>0</v>
      </c>
      <c r="W86" s="547"/>
      <c r="X86" s="781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79"/>
      <c r="J87" s="779"/>
      <c r="K87" s="291"/>
      <c r="L87" s="312">
        <v>8</v>
      </c>
      <c r="M87" s="417" t="s">
        <v>426</v>
      </c>
      <c r="N87" s="325" t="s">
        <v>427</v>
      </c>
      <c r="O87" s="399"/>
      <c r="P87" s="445"/>
      <c r="Q87" s="314">
        <v>5900</v>
      </c>
      <c r="R87" s="564" t="s">
        <v>428</v>
      </c>
      <c r="S87" s="601" t="s">
        <v>429</v>
      </c>
      <c r="T87" s="692">
        <v>45991</v>
      </c>
      <c r="U87" s="491"/>
      <c r="V87" s="828"/>
      <c r="W87" s="714">
        <v>46021</v>
      </c>
      <c r="X87" s="782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79"/>
      <c r="J88" s="779"/>
      <c r="K88" s="291"/>
      <c r="L88" s="312">
        <v>8</v>
      </c>
      <c r="M88" s="417" t="s">
        <v>426</v>
      </c>
      <c r="N88" s="325"/>
      <c r="O88" s="399"/>
      <c r="P88" s="445"/>
      <c r="Q88" s="314"/>
      <c r="R88" s="564"/>
      <c r="S88" s="601"/>
      <c r="T88" s="506"/>
      <c r="U88" s="491"/>
      <c r="V88" s="828"/>
      <c r="W88" s="548"/>
      <c r="X88" s="782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79"/>
      <c r="J89" s="779"/>
      <c r="K89" s="291"/>
      <c r="L89" s="312">
        <v>8</v>
      </c>
      <c r="M89" s="417" t="s">
        <v>426</v>
      </c>
      <c r="N89" s="325"/>
      <c r="O89" s="531"/>
      <c r="P89" s="445"/>
      <c r="Q89" s="314"/>
      <c r="R89" s="564"/>
      <c r="S89" s="601"/>
      <c r="T89" s="506"/>
      <c r="U89" s="491"/>
      <c r="V89" s="828"/>
      <c r="W89" s="548"/>
      <c r="X89" s="782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79"/>
      <c r="J90" s="779"/>
      <c r="K90" s="291"/>
      <c r="L90" s="312">
        <v>8</v>
      </c>
      <c r="M90" s="417" t="s">
        <v>426</v>
      </c>
      <c r="N90" s="325"/>
      <c r="O90" s="531"/>
      <c r="P90" s="445"/>
      <c r="Q90" s="314"/>
      <c r="R90" s="564"/>
      <c r="S90" s="601"/>
      <c r="T90" s="506"/>
      <c r="U90" s="491"/>
      <c r="V90" s="828"/>
      <c r="W90" s="548"/>
      <c r="X90" s="782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79"/>
      <c r="J91" s="779"/>
      <c r="K91" s="291"/>
      <c r="L91" s="312">
        <v>8</v>
      </c>
      <c r="M91" s="417" t="s">
        <v>426</v>
      </c>
      <c r="N91" s="325"/>
      <c r="O91" s="531"/>
      <c r="P91" s="445"/>
      <c r="Q91" s="314"/>
      <c r="R91" s="564"/>
      <c r="S91" s="601"/>
      <c r="T91" s="506"/>
      <c r="U91" s="491"/>
      <c r="V91" s="828"/>
      <c r="W91" s="548"/>
      <c r="X91" s="782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79"/>
      <c r="J92" s="779"/>
      <c r="K92" s="291"/>
      <c r="L92" s="312">
        <v>8</v>
      </c>
      <c r="M92" s="417" t="s">
        <v>426</v>
      </c>
      <c r="N92" s="325"/>
      <c r="O92" s="531"/>
      <c r="P92" s="445"/>
      <c r="Q92" s="314"/>
      <c r="R92" s="564"/>
      <c r="S92" s="601"/>
      <c r="T92" s="506"/>
      <c r="U92" s="491"/>
      <c r="V92" s="828"/>
      <c r="W92" s="548"/>
      <c r="X92" s="782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79"/>
      <c r="J93" s="779"/>
      <c r="K93" s="291"/>
      <c r="L93" s="312">
        <v>8</v>
      </c>
      <c r="M93" s="417" t="s">
        <v>426</v>
      </c>
      <c r="N93" s="325"/>
      <c r="O93" s="531"/>
      <c r="P93" s="445"/>
      <c r="Q93" s="314"/>
      <c r="R93" s="568"/>
      <c r="S93" s="605"/>
      <c r="T93" s="509"/>
      <c r="U93" s="496"/>
      <c r="V93" s="828"/>
      <c r="W93" s="551"/>
      <c r="X93" s="782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80"/>
      <c r="J94" s="780"/>
      <c r="K94" s="296"/>
      <c r="L94" s="292">
        <v>8</v>
      </c>
      <c r="M94" s="416" t="s">
        <v>426</v>
      </c>
      <c r="N94" s="294"/>
      <c r="O94" s="532"/>
      <c r="P94" s="439"/>
      <c r="Q94" s="295"/>
      <c r="R94" s="565"/>
      <c r="S94" s="602"/>
      <c r="T94" s="507"/>
      <c r="U94" s="492"/>
      <c r="V94" s="829"/>
      <c r="W94" s="549"/>
      <c r="X94" s="783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430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431</v>
      </c>
      <c r="D96" s="317" t="s">
        <v>432</v>
      </c>
      <c r="E96" s="304"/>
      <c r="F96" s="421"/>
      <c r="G96" s="591">
        <f>D180</f>
        <v>36602.5</v>
      </c>
      <c r="H96" s="646">
        <f>'Project Plan'!G21+7</f>
        <v>46003</v>
      </c>
      <c r="I96" s="818">
        <f>SUM(G96:G107)</f>
        <v>117067.49999999999</v>
      </c>
      <c r="J96" s="784">
        <f>F180+F181</f>
        <v>130074.99999999997</v>
      </c>
      <c r="K96" s="278"/>
      <c r="L96" s="301">
        <v>9</v>
      </c>
      <c r="M96" s="407" t="s">
        <v>433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7">
        <f>J96-SUM(U96:U107)</f>
        <v>0</v>
      </c>
      <c r="W96" s="550"/>
      <c r="X96" s="821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434</v>
      </c>
      <c r="E97" s="304"/>
      <c r="F97" s="443"/>
      <c r="G97" s="591">
        <f>D181</f>
        <v>80464.999999999985</v>
      </c>
      <c r="H97" s="639">
        <f>'Project Plan'!G28+7</f>
        <v>45973</v>
      </c>
      <c r="I97" s="819"/>
      <c r="J97" s="785"/>
      <c r="K97" s="278"/>
      <c r="L97" s="301">
        <v>9</v>
      </c>
      <c r="M97" s="407" t="s">
        <v>433</v>
      </c>
      <c r="N97" s="318" t="s">
        <v>397</v>
      </c>
      <c r="O97" s="540">
        <f>Z37+Z36</f>
        <v>175544.09999999998</v>
      </c>
      <c r="P97" s="541">
        <v>0.1</v>
      </c>
      <c r="Q97" s="305">
        <f>$O$97*P97</f>
        <v>17554.41</v>
      </c>
      <c r="R97" s="809" t="s">
        <v>398</v>
      </c>
      <c r="S97" s="596" t="s">
        <v>399</v>
      </c>
      <c r="T97" s="693">
        <v>45961</v>
      </c>
      <c r="U97" s="699">
        <v>13007.499999999998</v>
      </c>
      <c r="V97" s="798"/>
      <c r="W97" s="705">
        <v>45967</v>
      </c>
      <c r="X97" s="822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19"/>
      <c r="J98" s="785"/>
      <c r="K98" s="278"/>
      <c r="L98" s="369">
        <v>9</v>
      </c>
      <c r="M98" s="485" t="s">
        <v>433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810"/>
      <c r="S98" s="597" t="s">
        <v>400</v>
      </c>
      <c r="T98" s="707">
        <v>45991</v>
      </c>
      <c r="U98" s="699">
        <v>19511.249999999996</v>
      </c>
      <c r="V98" s="798"/>
      <c r="W98" s="708">
        <v>46015</v>
      </c>
      <c r="X98" s="822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19"/>
      <c r="J99" s="785"/>
      <c r="K99" s="278"/>
      <c r="L99" s="369">
        <v>9</v>
      </c>
      <c r="M99" s="485" t="s">
        <v>433</v>
      </c>
      <c r="N99" s="371" t="s">
        <v>401</v>
      </c>
      <c r="O99" s="524"/>
      <c r="P99" s="539">
        <v>0.2</v>
      </c>
      <c r="Q99" s="305">
        <f t="shared" si="16"/>
        <v>35108.82</v>
      </c>
      <c r="R99" s="810"/>
      <c r="S99" s="597" t="s">
        <v>402</v>
      </c>
      <c r="T99" s="640">
        <v>45991</v>
      </c>
      <c r="U99" s="699">
        <v>26014.999999999996</v>
      </c>
      <c r="V99" s="798"/>
      <c r="W99" s="708">
        <v>46009</v>
      </c>
      <c r="X99" s="822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19"/>
      <c r="J100" s="785"/>
      <c r="K100" s="278"/>
      <c r="L100" s="369">
        <v>9</v>
      </c>
      <c r="M100" s="485" t="s">
        <v>433</v>
      </c>
      <c r="N100" s="371" t="s">
        <v>404</v>
      </c>
      <c r="O100" s="524"/>
      <c r="P100" s="539">
        <v>0.25</v>
      </c>
      <c r="Q100" s="305">
        <f t="shared" si="16"/>
        <v>43886.024999999994</v>
      </c>
      <c r="R100" s="810"/>
      <c r="S100" s="597" t="s">
        <v>405</v>
      </c>
      <c r="T100" s="640">
        <v>45991</v>
      </c>
      <c r="U100" s="699">
        <v>32518.749999999993</v>
      </c>
      <c r="V100" s="798"/>
      <c r="W100" s="708">
        <v>46003</v>
      </c>
      <c r="X100" s="822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19"/>
      <c r="J101" s="785"/>
      <c r="K101" s="278"/>
      <c r="L101" s="369">
        <v>9</v>
      </c>
      <c r="M101" s="485" t="s">
        <v>433</v>
      </c>
      <c r="N101" s="371" t="s">
        <v>406</v>
      </c>
      <c r="O101" s="524"/>
      <c r="P101" s="539">
        <v>0.1</v>
      </c>
      <c r="Q101" s="305">
        <f t="shared" si="16"/>
        <v>17554.41</v>
      </c>
      <c r="R101" s="810"/>
      <c r="S101" s="597" t="s">
        <v>407</v>
      </c>
      <c r="T101" s="640">
        <v>45991</v>
      </c>
      <c r="U101" s="699">
        <v>13007.499999999998</v>
      </c>
      <c r="V101" s="798"/>
      <c r="W101" s="720">
        <v>46374</v>
      </c>
      <c r="X101" s="822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19"/>
      <c r="J102" s="785"/>
      <c r="K102" s="278"/>
      <c r="L102" s="369">
        <v>9</v>
      </c>
      <c r="M102" s="485" t="s">
        <v>433</v>
      </c>
      <c r="N102" s="371" t="s">
        <v>408</v>
      </c>
      <c r="O102" s="524"/>
      <c r="P102" s="539">
        <v>0.1</v>
      </c>
      <c r="Q102" s="305">
        <f t="shared" si="16"/>
        <v>17554.41</v>
      </c>
      <c r="R102" s="810"/>
      <c r="S102" s="597" t="s">
        <v>409</v>
      </c>
      <c r="T102" s="640">
        <v>45991</v>
      </c>
      <c r="U102" s="699">
        <v>13007.499999999998</v>
      </c>
      <c r="V102" s="798"/>
      <c r="W102" s="720">
        <v>46058</v>
      </c>
      <c r="X102" s="822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19"/>
      <c r="J103" s="785"/>
      <c r="K103" s="278"/>
      <c r="L103" s="369">
        <v>9</v>
      </c>
      <c r="M103" s="485" t="s">
        <v>433</v>
      </c>
      <c r="N103" s="371" t="s">
        <v>410</v>
      </c>
      <c r="O103" s="524"/>
      <c r="P103" s="539">
        <v>0.05</v>
      </c>
      <c r="Q103" s="305">
        <f t="shared" si="16"/>
        <v>8777.2049999999999</v>
      </c>
      <c r="R103" s="810"/>
      <c r="S103" s="597" t="s">
        <v>411</v>
      </c>
      <c r="T103" s="640">
        <v>45991</v>
      </c>
      <c r="U103" s="699">
        <v>6503.7499999999991</v>
      </c>
      <c r="V103" s="798"/>
      <c r="W103" s="720">
        <f>W102</f>
        <v>46058</v>
      </c>
      <c r="X103" s="822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19"/>
      <c r="J104" s="785"/>
      <c r="K104" s="278"/>
      <c r="L104" s="369">
        <v>9</v>
      </c>
      <c r="M104" s="485" t="s">
        <v>433</v>
      </c>
      <c r="N104" s="371" t="s">
        <v>412</v>
      </c>
      <c r="O104" s="524"/>
      <c r="P104" s="539">
        <v>0.05</v>
      </c>
      <c r="Q104" s="305">
        <f t="shared" si="16"/>
        <v>8777.2049999999999</v>
      </c>
      <c r="R104" s="811"/>
      <c r="S104" s="597" t="s">
        <v>413</v>
      </c>
      <c r="T104" s="640">
        <v>45991</v>
      </c>
      <c r="U104" s="699">
        <v>6503.7499999999991</v>
      </c>
      <c r="V104" s="798"/>
      <c r="W104" s="544">
        <f>W103+30</f>
        <v>46088</v>
      </c>
      <c r="X104" s="822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19"/>
      <c r="J105" s="785"/>
      <c r="K105" s="278"/>
      <c r="L105" s="369">
        <v>9</v>
      </c>
      <c r="M105" s="485" t="s">
        <v>433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8"/>
      <c r="W105" s="544"/>
      <c r="X105" s="822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19"/>
      <c r="J106" s="785"/>
      <c r="K106" s="278"/>
      <c r="L106" s="369">
        <v>9</v>
      </c>
      <c r="M106" s="485" t="s">
        <v>433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8"/>
      <c r="W106" s="544"/>
      <c r="X106" s="822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20"/>
      <c r="J107" s="786"/>
      <c r="K107" s="353"/>
      <c r="L107" s="306">
        <v>9</v>
      </c>
      <c r="M107" s="425" t="s">
        <v>433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9"/>
      <c r="W107" s="545"/>
      <c r="X107" s="823"/>
      <c r="Y107" s="466"/>
    </row>
    <row r="108" spans="1:25" ht="13.9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435</v>
      </c>
      <c r="D109" s="260" t="s">
        <v>360</v>
      </c>
      <c r="E109" s="261"/>
      <c r="F109" s="454"/>
      <c r="G109" s="328">
        <f>D184</f>
        <v>8500</v>
      </c>
      <c r="H109" s="652">
        <f>H96</f>
        <v>46003</v>
      </c>
      <c r="I109" s="806">
        <f>SUM(G109:G123)</f>
        <v>27587.866666666669</v>
      </c>
      <c r="J109" s="806">
        <f>F184+F187+F188+F186</f>
        <v>30653.18518518519</v>
      </c>
      <c r="K109" s="329"/>
      <c r="L109" s="259">
        <v>10</v>
      </c>
      <c r="M109" s="418" t="s">
        <v>436</v>
      </c>
      <c r="N109" s="260" t="s">
        <v>437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824">
        <f>J109-SUM(U109:U123)</f>
        <v>-4.6185601640900131E-3</v>
      </c>
      <c r="W109" s="729">
        <f>T109</f>
        <v>46053</v>
      </c>
      <c r="X109" s="815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361</v>
      </c>
      <c r="E110" s="332"/>
      <c r="F110" s="455"/>
      <c r="G110" s="333">
        <f>D188</f>
        <v>12367.866666666667</v>
      </c>
      <c r="H110" s="653">
        <f>H96</f>
        <v>46003</v>
      </c>
      <c r="I110" s="807"/>
      <c r="J110" s="807"/>
      <c r="K110" s="262"/>
      <c r="L110" s="330">
        <v>10</v>
      </c>
      <c r="M110" s="419" t="s">
        <v>436</v>
      </c>
      <c r="N110" s="260" t="s">
        <v>438</v>
      </c>
      <c r="O110" s="535"/>
      <c r="P110" s="455"/>
      <c r="Q110" s="333">
        <v>7140</v>
      </c>
      <c r="R110" s="573"/>
      <c r="S110" s="609" t="s">
        <v>439</v>
      </c>
      <c r="T110" s="653">
        <v>45991</v>
      </c>
      <c r="U110" s="717">
        <v>1737.2826923390703</v>
      </c>
      <c r="V110" s="825"/>
      <c r="W110" s="721">
        <v>45995</v>
      </c>
      <c r="X110" s="816"/>
      <c r="Y110" s="466"/>
    </row>
    <row r="111" spans="1:25" ht="14.25" customHeight="1">
      <c r="B111" s="330">
        <v>10</v>
      </c>
      <c r="C111" s="331"/>
      <c r="D111" s="331" t="s">
        <v>438</v>
      </c>
      <c r="E111" s="332"/>
      <c r="F111" s="455"/>
      <c r="G111" s="333">
        <f>D187</f>
        <v>6720</v>
      </c>
      <c r="H111" s="653">
        <f>H96</f>
        <v>46003</v>
      </c>
      <c r="I111" s="807"/>
      <c r="J111" s="807"/>
      <c r="K111" s="262"/>
      <c r="L111" s="330">
        <v>10</v>
      </c>
      <c r="M111" s="419" t="s">
        <v>436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825"/>
      <c r="W111" s="555"/>
      <c r="X111" s="816"/>
      <c r="Y111" s="466"/>
    </row>
    <row r="112" spans="1:25" ht="14.25" customHeight="1">
      <c r="B112" s="330">
        <v>10</v>
      </c>
      <c r="C112" s="331"/>
      <c r="D112" s="331" t="s">
        <v>362</v>
      </c>
      <c r="E112" s="332"/>
      <c r="F112" s="455"/>
      <c r="G112" s="333">
        <f>D186</f>
        <v>0</v>
      </c>
      <c r="H112" s="653">
        <f>H96</f>
        <v>46003</v>
      </c>
      <c r="I112" s="807"/>
      <c r="J112" s="807"/>
      <c r="K112" s="262"/>
      <c r="L112" s="330">
        <v>10</v>
      </c>
      <c r="M112" s="419" t="s">
        <v>436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825"/>
      <c r="W112" s="555"/>
      <c r="X112" s="816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807"/>
      <c r="J113" s="807"/>
      <c r="K113" s="262"/>
      <c r="L113" s="330">
        <v>10</v>
      </c>
      <c r="M113" s="419" t="s">
        <v>436</v>
      </c>
      <c r="N113" s="331" t="s">
        <v>397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30" t="s">
        <v>398</v>
      </c>
      <c r="S113" s="610" t="s">
        <v>399</v>
      </c>
      <c r="T113" s="694">
        <f>T97</f>
        <v>45961</v>
      </c>
      <c r="U113" s="702">
        <v>2578.6847111406282</v>
      </c>
      <c r="V113" s="825"/>
      <c r="W113" s="704">
        <f>W97</f>
        <v>45967</v>
      </c>
      <c r="X113" s="816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807"/>
      <c r="J114" s="807"/>
      <c r="K114" s="262"/>
      <c r="L114" s="330">
        <v>10</v>
      </c>
      <c r="M114" s="419" t="s">
        <v>436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831"/>
      <c r="S114" s="615" t="s">
        <v>400</v>
      </c>
      <c r="T114" s="710">
        <f t="shared" ref="T114:T120" si="19">T98</f>
        <v>45991</v>
      </c>
      <c r="U114" s="702">
        <v>3868.0270667109417</v>
      </c>
      <c r="V114" s="825"/>
      <c r="W114" s="696">
        <f t="shared" ref="W114:W120" si="20">W98</f>
        <v>46015</v>
      </c>
      <c r="X114" s="816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807"/>
      <c r="J115" s="807"/>
      <c r="K115" s="262"/>
      <c r="L115" s="330">
        <v>10</v>
      </c>
      <c r="M115" s="419" t="s">
        <v>436</v>
      </c>
      <c r="N115" s="331" t="s">
        <v>401</v>
      </c>
      <c r="O115" s="535"/>
      <c r="P115" s="542">
        <v>0.2</v>
      </c>
      <c r="Q115" s="333">
        <f t="shared" si="18"/>
        <v>21196.100000000002</v>
      </c>
      <c r="R115" s="831"/>
      <c r="S115" s="615" t="s">
        <v>402</v>
      </c>
      <c r="T115" s="654">
        <f t="shared" si="19"/>
        <v>45991</v>
      </c>
      <c r="U115" s="702">
        <v>5157.3694222812564</v>
      </c>
      <c r="V115" s="825"/>
      <c r="W115" s="696">
        <f t="shared" si="20"/>
        <v>46009</v>
      </c>
      <c r="X115" s="816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807"/>
      <c r="J116" s="807"/>
      <c r="K116" s="262"/>
      <c r="L116" s="330">
        <v>10</v>
      </c>
      <c r="M116" s="419" t="s">
        <v>436</v>
      </c>
      <c r="N116" s="331" t="s">
        <v>404</v>
      </c>
      <c r="O116" s="535"/>
      <c r="P116" s="542">
        <v>0.25</v>
      </c>
      <c r="Q116" s="333">
        <f t="shared" si="18"/>
        <v>26495.125</v>
      </c>
      <c r="R116" s="831"/>
      <c r="S116" s="610" t="s">
        <v>405</v>
      </c>
      <c r="T116" s="654">
        <f t="shared" si="19"/>
        <v>45991</v>
      </c>
      <c r="U116" s="702">
        <v>6446.7117778515703</v>
      </c>
      <c r="V116" s="825"/>
      <c r="W116" s="696">
        <v>46009</v>
      </c>
      <c r="X116" s="816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807"/>
      <c r="J117" s="807"/>
      <c r="K117" s="262"/>
      <c r="L117" s="330">
        <v>10</v>
      </c>
      <c r="M117" s="419" t="s">
        <v>436</v>
      </c>
      <c r="N117" s="331" t="s">
        <v>406</v>
      </c>
      <c r="O117" s="535"/>
      <c r="P117" s="542">
        <v>0.1</v>
      </c>
      <c r="Q117" s="333">
        <f t="shared" si="18"/>
        <v>10598.050000000001</v>
      </c>
      <c r="R117" s="831"/>
      <c r="S117" s="610" t="s">
        <v>407</v>
      </c>
      <c r="T117" s="654">
        <f t="shared" si="19"/>
        <v>45991</v>
      </c>
      <c r="U117" s="702">
        <v>2578.6847111406282</v>
      </c>
      <c r="V117" s="825"/>
      <c r="W117" s="696">
        <v>46009</v>
      </c>
      <c r="X117" s="816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807"/>
      <c r="J118" s="807"/>
      <c r="K118" s="262"/>
      <c r="L118" s="330">
        <v>10</v>
      </c>
      <c r="M118" s="419" t="s">
        <v>436</v>
      </c>
      <c r="N118" s="331" t="s">
        <v>408</v>
      </c>
      <c r="O118" s="535"/>
      <c r="P118" s="542">
        <v>0.1</v>
      </c>
      <c r="Q118" s="333">
        <f t="shared" si="18"/>
        <v>10598.050000000001</v>
      </c>
      <c r="R118" s="831"/>
      <c r="S118" s="610" t="s">
        <v>409</v>
      </c>
      <c r="T118" s="654">
        <f t="shared" si="19"/>
        <v>45991</v>
      </c>
      <c r="U118" s="702">
        <v>2578.6847111406282</v>
      </c>
      <c r="V118" s="825"/>
      <c r="W118" s="704">
        <f t="shared" si="20"/>
        <v>46058</v>
      </c>
      <c r="X118" s="816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807"/>
      <c r="J119" s="807"/>
      <c r="K119" s="262"/>
      <c r="L119" s="330">
        <v>10</v>
      </c>
      <c r="M119" s="419" t="s">
        <v>436</v>
      </c>
      <c r="N119" s="331" t="s">
        <v>410</v>
      </c>
      <c r="O119" s="535"/>
      <c r="P119" s="542">
        <v>0.05</v>
      </c>
      <c r="Q119" s="333">
        <f t="shared" si="18"/>
        <v>5299.0250000000005</v>
      </c>
      <c r="R119" s="831"/>
      <c r="S119" s="610" t="s">
        <v>411</v>
      </c>
      <c r="T119" s="654">
        <f t="shared" si="19"/>
        <v>45991</v>
      </c>
      <c r="U119" s="702">
        <v>1289.3423555703141</v>
      </c>
      <c r="V119" s="825"/>
      <c r="W119" s="704">
        <f t="shared" si="20"/>
        <v>46058</v>
      </c>
      <c r="X119" s="816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807"/>
      <c r="J120" s="807"/>
      <c r="K120" s="262"/>
      <c r="L120" s="330">
        <v>10</v>
      </c>
      <c r="M120" s="419" t="s">
        <v>436</v>
      </c>
      <c r="N120" s="331" t="s">
        <v>412</v>
      </c>
      <c r="O120" s="535"/>
      <c r="P120" s="542">
        <v>0.05</v>
      </c>
      <c r="Q120" s="333">
        <f t="shared" si="18"/>
        <v>5299.0250000000005</v>
      </c>
      <c r="R120" s="832"/>
      <c r="S120" s="610" t="s">
        <v>413</v>
      </c>
      <c r="T120" s="654">
        <f t="shared" si="19"/>
        <v>45991</v>
      </c>
      <c r="U120" s="702">
        <v>1289.3423555703141</v>
      </c>
      <c r="V120" s="825"/>
      <c r="W120" s="556">
        <f t="shared" si="20"/>
        <v>46088</v>
      </c>
      <c r="X120" s="816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807"/>
      <c r="J121" s="807"/>
      <c r="K121" s="262"/>
      <c r="L121" s="330">
        <v>10</v>
      </c>
      <c r="M121" s="419" t="s">
        <v>436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825"/>
      <c r="W121" s="556"/>
      <c r="X121" s="816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807"/>
      <c r="J122" s="807"/>
      <c r="K122" s="262"/>
      <c r="L122" s="330">
        <v>10</v>
      </c>
      <c r="M122" s="419" t="s">
        <v>436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825"/>
      <c r="W122" s="556"/>
      <c r="X122" s="816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808"/>
      <c r="J123" s="808"/>
      <c r="K123" s="265"/>
      <c r="L123" s="263">
        <v>10</v>
      </c>
      <c r="M123" s="420" t="s">
        <v>436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826"/>
      <c r="W123" s="557"/>
      <c r="X123" s="817"/>
      <c r="Y123" s="466"/>
    </row>
    <row r="124" spans="1:25" ht="13.9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440</v>
      </c>
      <c r="D125" s="341" t="s">
        <v>441</v>
      </c>
      <c r="E125" s="273"/>
      <c r="F125" s="421"/>
      <c r="G125" s="274">
        <v>11000</v>
      </c>
      <c r="H125" s="646">
        <f>'Project Plan'!G39</f>
        <v>46008</v>
      </c>
      <c r="I125" s="784">
        <f>SUM(G125:G129)</f>
        <v>34000</v>
      </c>
      <c r="J125" s="784">
        <f>F183</f>
        <v>37777.777777777781</v>
      </c>
      <c r="K125" s="275"/>
      <c r="L125" s="271">
        <v>11</v>
      </c>
      <c r="M125" s="341" t="s">
        <v>442</v>
      </c>
      <c r="N125" s="341" t="s">
        <v>441</v>
      </c>
      <c r="O125" s="273"/>
      <c r="P125" s="421"/>
      <c r="Q125" s="274">
        <v>13950</v>
      </c>
      <c r="R125" s="566"/>
      <c r="S125" s="603" t="s">
        <v>443</v>
      </c>
      <c r="T125" s="646">
        <v>46022</v>
      </c>
      <c r="U125" s="727">
        <v>20592.084151696607</v>
      </c>
      <c r="V125" s="797">
        <f>J125-SUM(U125:U129)</f>
        <v>3.7662274480680935E-3</v>
      </c>
      <c r="W125" s="713">
        <v>46045</v>
      </c>
      <c r="X125" s="794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444</v>
      </c>
      <c r="E126" s="304"/>
      <c r="F126" s="443"/>
      <c r="G126" s="305">
        <v>18000</v>
      </c>
      <c r="H126" s="646">
        <f>H125</f>
        <v>46008</v>
      </c>
      <c r="I126" s="785"/>
      <c r="J126" s="785"/>
      <c r="K126" s="278"/>
      <c r="L126" s="301">
        <v>11</v>
      </c>
      <c r="M126" s="375" t="s">
        <v>442</v>
      </c>
      <c r="N126" s="303" t="s">
        <v>445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8"/>
      <c r="W126" s="543"/>
      <c r="X126" s="795"/>
      <c r="Y126" s="466"/>
    </row>
    <row r="127" spans="1:25" ht="15" customHeight="1">
      <c r="B127" s="301">
        <v>11</v>
      </c>
      <c r="C127" s="303"/>
      <c r="D127" s="303" t="s">
        <v>446</v>
      </c>
      <c r="E127" s="304"/>
      <c r="F127" s="443"/>
      <c r="G127" s="305">
        <v>5000</v>
      </c>
      <c r="H127" s="646">
        <f>H125</f>
        <v>46008</v>
      </c>
      <c r="I127" s="785"/>
      <c r="J127" s="785"/>
      <c r="K127" s="278"/>
      <c r="L127" s="301">
        <v>11</v>
      </c>
      <c r="M127" s="375" t="s">
        <v>442</v>
      </c>
      <c r="N127" s="303" t="s">
        <v>446</v>
      </c>
      <c r="O127" s="304"/>
      <c r="P127" s="443"/>
      <c r="Q127" s="305">
        <v>5100</v>
      </c>
      <c r="R127" s="559" t="s">
        <v>447</v>
      </c>
      <c r="S127" s="596" t="s">
        <v>448</v>
      </c>
      <c r="T127" s="697">
        <v>45991</v>
      </c>
      <c r="U127" s="699">
        <v>8137.1203322422843</v>
      </c>
      <c r="V127" s="798"/>
      <c r="W127" s="705">
        <v>46029</v>
      </c>
      <c r="X127" s="795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85"/>
      <c r="J128" s="785"/>
      <c r="K128" s="278"/>
      <c r="L128" s="301">
        <v>11</v>
      </c>
      <c r="M128" s="375" t="s">
        <v>442</v>
      </c>
      <c r="N128" s="373" t="s">
        <v>449</v>
      </c>
      <c r="O128" s="524"/>
      <c r="P128" s="428"/>
      <c r="Q128" s="372">
        <v>6000</v>
      </c>
      <c r="R128" s="560"/>
      <c r="S128" s="597" t="s">
        <v>450</v>
      </c>
      <c r="T128" s="640">
        <v>46053</v>
      </c>
      <c r="U128" s="699">
        <v>9048.5695276114438</v>
      </c>
      <c r="V128" s="798"/>
      <c r="W128" s="544">
        <v>46079</v>
      </c>
      <c r="X128" s="795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6"/>
      <c r="J129" s="786"/>
      <c r="K129" s="279"/>
      <c r="L129" s="306">
        <v>11</v>
      </c>
      <c r="M129" s="403" t="s">
        <v>442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9"/>
      <c r="W129" s="545"/>
      <c r="X129" s="796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451</v>
      </c>
      <c r="D131" s="260"/>
      <c r="E131" s="261"/>
      <c r="F131" s="454"/>
      <c r="G131" s="328"/>
      <c r="H131" s="652">
        <f>'Project Plan'!G48</f>
        <v>46009</v>
      </c>
      <c r="I131" s="806">
        <f>SUM(G131:G132)</f>
        <v>0</v>
      </c>
      <c r="J131" s="806">
        <v>0</v>
      </c>
      <c r="K131" s="833"/>
      <c r="L131" s="259">
        <v>12</v>
      </c>
      <c r="M131" s="260" t="s">
        <v>452</v>
      </c>
      <c r="N131" s="260" t="s">
        <v>453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815">
        <f>SUM(Q131:Q132)</f>
        <v>0</v>
      </c>
      <c r="Y131" s="466"/>
    </row>
    <row r="132" spans="1:25" ht="15" customHeight="1" thickBot="1">
      <c r="B132" s="263">
        <v>12</v>
      </c>
      <c r="C132" s="334" t="s">
        <v>451</v>
      </c>
      <c r="D132" s="334"/>
      <c r="E132" s="335"/>
      <c r="F132" s="456"/>
      <c r="G132" s="264"/>
      <c r="H132" s="655"/>
      <c r="I132" s="808"/>
      <c r="J132" s="808"/>
      <c r="K132" s="834"/>
      <c r="L132" s="263">
        <v>12</v>
      </c>
      <c r="M132" s="334" t="s">
        <v>452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817"/>
      <c r="Y132" s="466"/>
    </row>
    <row r="133" spans="1:25" ht="14.2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454</v>
      </c>
      <c r="D134" s="341" t="s">
        <v>455</v>
      </c>
      <c r="E134" s="273"/>
      <c r="F134" s="421"/>
      <c r="G134" s="274">
        <v>12592.53648863225</v>
      </c>
      <c r="H134" s="646">
        <f>'Project Plan'!G48</f>
        <v>46009</v>
      </c>
      <c r="I134" s="784">
        <f>SUM(G134:G138)</f>
        <v>12592.53648863225</v>
      </c>
      <c r="J134" s="784">
        <f>F182</f>
        <v>14309.70055526392</v>
      </c>
      <c r="K134" s="275"/>
      <c r="L134" s="271">
        <v>13</v>
      </c>
      <c r="M134" s="341" t="s">
        <v>456</v>
      </c>
      <c r="N134" s="341" t="s">
        <v>457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46112</v>
      </c>
      <c r="U134" s="494">
        <f t="shared" ref="U134:U139" si="21">(Q134/$X$134*$J$134)</f>
        <v>14309.70055526392</v>
      </c>
      <c r="V134" s="797">
        <f>J134-SUM(U134:U139)</f>
        <v>0</v>
      </c>
      <c r="W134" s="550">
        <v>46142</v>
      </c>
      <c r="X134" s="794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85"/>
      <c r="J135" s="785"/>
      <c r="K135" s="278"/>
      <c r="L135" s="301">
        <v>13</v>
      </c>
      <c r="M135" s="375" t="s">
        <v>456</v>
      </c>
      <c r="N135" s="303" t="s">
        <v>458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8"/>
      <c r="W135" s="543"/>
      <c r="X135" s="795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85"/>
      <c r="J136" s="785"/>
      <c r="K136" s="278"/>
      <c r="L136" s="301">
        <v>13</v>
      </c>
      <c r="M136" s="375" t="s">
        <v>456</v>
      </c>
      <c r="N136" s="303" t="s">
        <v>459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8"/>
      <c r="W136" s="543"/>
      <c r="X136" s="795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85"/>
      <c r="J137" s="785"/>
      <c r="K137" s="278"/>
      <c r="L137" s="301">
        <v>13</v>
      </c>
      <c r="M137" s="375" t="s">
        <v>456</v>
      </c>
      <c r="N137" s="303" t="s">
        <v>460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8"/>
      <c r="W137" s="543"/>
      <c r="X137" s="795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85"/>
      <c r="J138" s="785"/>
      <c r="K138" s="278"/>
      <c r="L138" s="301">
        <v>13</v>
      </c>
      <c r="M138" s="375" t="s">
        <v>456</v>
      </c>
      <c r="N138" s="303" t="s">
        <v>461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8"/>
      <c r="W138" s="543"/>
      <c r="X138" s="795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6"/>
      <c r="J139" s="786"/>
      <c r="K139" s="353"/>
      <c r="L139" s="306">
        <v>13</v>
      </c>
      <c r="M139" s="403" t="s">
        <v>456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9"/>
      <c r="W139" s="545"/>
      <c r="X139" s="796"/>
      <c r="Y139" s="466"/>
    </row>
    <row r="140" spans="1:25" ht="14.2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462</v>
      </c>
      <c r="D141" s="260" t="s">
        <v>463</v>
      </c>
      <c r="E141" s="261"/>
      <c r="F141" s="454"/>
      <c r="G141" s="328">
        <f>D193</f>
        <v>2450</v>
      </c>
      <c r="H141" s="652">
        <f>'Project Plan'!G48</f>
        <v>46009</v>
      </c>
      <c r="I141" s="806">
        <f>SUM(G141:G152)</f>
        <v>2450</v>
      </c>
      <c r="J141" s="806">
        <f>F193</f>
        <v>2722.2222222222222</v>
      </c>
      <c r="K141" s="329"/>
      <c r="L141" s="259">
        <v>14</v>
      </c>
      <c r="M141" s="418" t="s">
        <v>464</v>
      </c>
      <c r="N141" s="260" t="s">
        <v>465</v>
      </c>
      <c r="O141" s="534"/>
      <c r="P141" s="454"/>
      <c r="Q141" s="328">
        <v>326.06</v>
      </c>
      <c r="R141" s="572"/>
      <c r="S141" s="614" t="s">
        <v>466</v>
      </c>
      <c r="T141" s="695">
        <v>45961</v>
      </c>
      <c r="U141" s="703">
        <v>410.25336841953896</v>
      </c>
      <c r="V141" s="824">
        <f>J141-SUM(U141:U152)</f>
        <v>3.1977418088899867E-3</v>
      </c>
      <c r="W141" s="696">
        <v>45967</v>
      </c>
      <c r="X141" s="815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807"/>
      <c r="J142" s="807"/>
      <c r="K142" s="262"/>
      <c r="L142" s="330">
        <v>14</v>
      </c>
      <c r="M142" s="419" t="s">
        <v>464</v>
      </c>
      <c r="N142" s="331" t="s">
        <v>465</v>
      </c>
      <c r="O142" s="535"/>
      <c r="P142" s="455"/>
      <c r="Q142" s="333">
        <v>968.66</v>
      </c>
      <c r="R142" s="574"/>
      <c r="S142" s="614" t="s">
        <v>466</v>
      </c>
      <c r="T142" s="710">
        <v>45991</v>
      </c>
      <c r="U142" s="702">
        <v>988.51825400353118</v>
      </c>
      <c r="V142" s="825"/>
      <c r="W142" s="696">
        <v>45996</v>
      </c>
      <c r="X142" s="816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807"/>
      <c r="J143" s="807"/>
      <c r="K143" s="262"/>
      <c r="L143" s="330">
        <v>14</v>
      </c>
      <c r="M143" s="419" t="s">
        <v>464</v>
      </c>
      <c r="N143" s="331" t="s">
        <v>465</v>
      </c>
      <c r="O143" s="535"/>
      <c r="P143" s="455"/>
      <c r="Q143" s="333">
        <v>0</v>
      </c>
      <c r="R143" s="574"/>
      <c r="S143" s="614" t="s">
        <v>466</v>
      </c>
      <c r="T143" s="710">
        <v>46022</v>
      </c>
      <c r="U143" s="702">
        <v>0</v>
      </c>
      <c r="V143" s="825"/>
      <c r="W143" s="696">
        <v>46022</v>
      </c>
      <c r="X143" s="816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807"/>
      <c r="J144" s="807"/>
      <c r="K144" s="262"/>
      <c r="L144" s="330">
        <v>14</v>
      </c>
      <c r="M144" s="419" t="s">
        <v>464</v>
      </c>
      <c r="N144" s="331" t="s">
        <v>465</v>
      </c>
      <c r="O144" s="535"/>
      <c r="P144" s="455"/>
      <c r="Q144" s="333">
        <v>337.48</v>
      </c>
      <c r="R144" s="574"/>
      <c r="S144" s="614" t="s">
        <v>466</v>
      </c>
      <c r="T144" s="710">
        <v>46053</v>
      </c>
      <c r="U144" s="702">
        <v>430.86743999416365</v>
      </c>
      <c r="V144" s="825"/>
      <c r="W144" s="696">
        <v>46058</v>
      </c>
      <c r="X144" s="816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807"/>
      <c r="J145" s="807"/>
      <c r="K145" s="262"/>
      <c r="L145" s="330">
        <v>14</v>
      </c>
      <c r="M145" s="419" t="s">
        <v>464</v>
      </c>
      <c r="N145" s="331" t="s">
        <v>465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825"/>
      <c r="W145" s="556">
        <v>46086</v>
      </c>
      <c r="X145" s="816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807"/>
      <c r="J146" s="807"/>
      <c r="K146" s="262"/>
      <c r="L146" s="330">
        <v>14</v>
      </c>
      <c r="M146" s="419" t="s">
        <v>464</v>
      </c>
      <c r="N146" s="331" t="s">
        <v>465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6:U152" si="22">(Q146/$X$141*$J$141)</f>
        <v>0</v>
      </c>
      <c r="V146" s="825"/>
      <c r="W146" s="556"/>
      <c r="X146" s="816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807"/>
      <c r="J147" s="807"/>
      <c r="K147" s="262"/>
      <c r="L147" s="330">
        <v>14</v>
      </c>
      <c r="M147" s="419" t="s">
        <v>464</v>
      </c>
      <c r="N147" s="331" t="s">
        <v>465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825"/>
      <c r="W147" s="556"/>
      <c r="X147" s="816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807"/>
      <c r="J148" s="807"/>
      <c r="K148" s="262"/>
      <c r="L148" s="330">
        <v>14</v>
      </c>
      <c r="M148" s="419" t="s">
        <v>464</v>
      </c>
      <c r="N148" s="331" t="s">
        <v>465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825"/>
      <c r="W148" s="556"/>
      <c r="X148" s="816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807"/>
      <c r="J149" s="807"/>
      <c r="K149" s="262"/>
      <c r="L149" s="330">
        <v>14</v>
      </c>
      <c r="M149" s="419" t="s">
        <v>464</v>
      </c>
      <c r="N149" s="331" t="s">
        <v>465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825"/>
      <c r="W149" s="556"/>
      <c r="X149" s="816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807"/>
      <c r="J150" s="807"/>
      <c r="K150" s="262"/>
      <c r="L150" s="330">
        <v>14</v>
      </c>
      <c r="M150" s="419" t="s">
        <v>464</v>
      </c>
      <c r="N150" s="331" t="s">
        <v>465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825"/>
      <c r="W150" s="556"/>
      <c r="X150" s="816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807"/>
      <c r="J151" s="807"/>
      <c r="K151" s="262"/>
      <c r="L151" s="330">
        <v>14</v>
      </c>
      <c r="M151" s="419" t="s">
        <v>464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825"/>
      <c r="W151" s="556"/>
      <c r="X151" s="816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808"/>
      <c r="J152" s="808"/>
      <c r="K152" s="265"/>
      <c r="L152" s="263">
        <v>14</v>
      </c>
      <c r="M152" s="420" t="s">
        <v>464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826"/>
      <c r="W152" s="557"/>
      <c r="X152" s="817"/>
      <c r="Y152" s="466"/>
    </row>
    <row r="153" spans="1:25" ht="14.2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467</v>
      </c>
      <c r="D154" s="272"/>
      <c r="E154" s="273"/>
      <c r="F154" s="421"/>
      <c r="G154" s="274"/>
      <c r="H154" s="646"/>
      <c r="I154" s="784">
        <f>SUM(G154:G165)</f>
        <v>0</v>
      </c>
      <c r="J154" s="784">
        <f>F190</f>
        <v>0</v>
      </c>
      <c r="K154" s="275"/>
      <c r="L154" s="271">
        <v>15</v>
      </c>
      <c r="M154" s="341" t="s">
        <v>468</v>
      </c>
      <c r="N154" s="272" t="s">
        <v>469</v>
      </c>
      <c r="O154" s="273">
        <v>8</v>
      </c>
      <c r="P154" s="421">
        <v>1750</v>
      </c>
      <c r="Q154" s="274">
        <f>O154*P154</f>
        <v>14000</v>
      </c>
      <c r="R154" s="566" t="s">
        <v>470</v>
      </c>
      <c r="S154" s="603" t="s">
        <v>471</v>
      </c>
      <c r="T154" s="646">
        <v>46022</v>
      </c>
      <c r="U154" s="494"/>
      <c r="V154" s="797">
        <v>0</v>
      </c>
      <c r="W154" s="713">
        <v>46003</v>
      </c>
      <c r="X154" s="794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85"/>
      <c r="J155" s="785"/>
      <c r="K155" s="278"/>
      <c r="L155" s="301">
        <v>15</v>
      </c>
      <c r="M155" s="375" t="s">
        <v>468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8"/>
      <c r="W155" s="543"/>
      <c r="X155" s="795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85"/>
      <c r="J156" s="785"/>
      <c r="K156" s="278"/>
      <c r="L156" s="301">
        <v>15</v>
      </c>
      <c r="M156" s="375" t="s">
        <v>468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8"/>
      <c r="W156" s="543"/>
      <c r="X156" s="795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85"/>
      <c r="J157" s="785"/>
      <c r="K157" s="278"/>
      <c r="L157" s="301">
        <v>15</v>
      </c>
      <c r="M157" s="375" t="s">
        <v>468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8"/>
      <c r="W157" s="543"/>
      <c r="X157" s="795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85"/>
      <c r="J158" s="785"/>
      <c r="K158" s="278"/>
      <c r="L158" s="301">
        <v>15</v>
      </c>
      <c r="M158" s="375" t="s">
        <v>468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8"/>
      <c r="W158" s="543"/>
      <c r="X158" s="795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85"/>
      <c r="J159" s="785"/>
      <c r="K159" s="278"/>
      <c r="L159" s="301">
        <v>15</v>
      </c>
      <c r="M159" s="375" t="s">
        <v>468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8"/>
      <c r="W159" s="543"/>
      <c r="X159" s="795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85"/>
      <c r="J160" s="785"/>
      <c r="K160" s="278"/>
      <c r="L160" s="301">
        <v>15</v>
      </c>
      <c r="M160" s="375" t="s">
        <v>468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8"/>
      <c r="W160" s="543"/>
      <c r="X160" s="795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85"/>
      <c r="J161" s="785"/>
      <c r="K161" s="278"/>
      <c r="L161" s="301">
        <v>15</v>
      </c>
      <c r="M161" s="375" t="s">
        <v>468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8"/>
      <c r="W161" s="543"/>
      <c r="X161" s="795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85"/>
      <c r="J162" s="785"/>
      <c r="K162" s="278"/>
      <c r="L162" s="301">
        <v>15</v>
      </c>
      <c r="M162" s="375" t="s">
        <v>468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8"/>
      <c r="W162" s="543"/>
      <c r="X162" s="795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85"/>
      <c r="J163" s="785"/>
      <c r="K163" s="278"/>
      <c r="L163" s="301">
        <v>15</v>
      </c>
      <c r="M163" s="375" t="s">
        <v>468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8"/>
      <c r="W163" s="543"/>
      <c r="X163" s="795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85"/>
      <c r="J164" s="785"/>
      <c r="K164" s="278"/>
      <c r="L164" s="301">
        <v>15</v>
      </c>
      <c r="M164" s="375" t="s">
        <v>468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8"/>
      <c r="W164" s="543"/>
      <c r="X164" s="795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6"/>
      <c r="J165" s="786"/>
      <c r="K165" s="279"/>
      <c r="L165" s="306">
        <v>15</v>
      </c>
      <c r="M165" s="403" t="s">
        <v>468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9"/>
      <c r="W165" s="545"/>
      <c r="X165" s="796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472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473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474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396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421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415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475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476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477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478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479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480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481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482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483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484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485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486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487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488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489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490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477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491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492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31:I132"/>
    <mergeCell ref="J131:J132"/>
    <mergeCell ref="K131:K132"/>
    <mergeCell ref="X131:X132"/>
    <mergeCell ref="V125:V129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R97:R104"/>
    <mergeCell ref="V51:V57"/>
    <mergeCell ref="V59:V75"/>
    <mergeCell ref="R65:R72"/>
    <mergeCell ref="R39:R46"/>
    <mergeCell ref="I109:I123"/>
    <mergeCell ref="J109:J123"/>
    <mergeCell ref="I51:I57"/>
    <mergeCell ref="J51:J57"/>
    <mergeCell ref="J59:J75"/>
    <mergeCell ref="X59:X75"/>
    <mergeCell ref="I77:I84"/>
    <mergeCell ref="J77:J84"/>
    <mergeCell ref="V77:V84"/>
    <mergeCell ref="X77:X84"/>
    <mergeCell ref="X6:X11"/>
    <mergeCell ref="V6:V11"/>
    <mergeCell ref="V13:V19"/>
    <mergeCell ref="V21:V33"/>
    <mergeCell ref="V35:V49"/>
    <mergeCell ref="X21:X33"/>
    <mergeCell ref="B2:G2"/>
    <mergeCell ref="L2:Q2"/>
    <mergeCell ref="I6:I11"/>
    <mergeCell ref="J6:J11"/>
    <mergeCell ref="R2:W2"/>
    <mergeCell ref="I35:I49"/>
    <mergeCell ref="J35:J49"/>
    <mergeCell ref="X35:X49"/>
    <mergeCell ref="I13:I19"/>
    <mergeCell ref="J13:J19"/>
    <mergeCell ref="X13:X19"/>
    <mergeCell ref="I21:I33"/>
    <mergeCell ref="J21:J3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89"/>
  </cols>
  <sheetData>
    <row r="1" spans="1:794">
      <c r="D1" s="185" t="s">
        <v>493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5" t="s">
        <v>494</v>
      </c>
      <c r="B2" s="190"/>
      <c r="C2" s="191" t="s">
        <v>339</v>
      </c>
      <c r="D2" s="191" t="s">
        <v>339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3" t="s">
        <v>250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6"/>
      <c r="B4" s="193" t="s">
        <v>495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6"/>
      <c r="B5" s="197" t="s">
        <v>252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6"/>
      <c r="B6" s="197" t="s">
        <v>496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6"/>
      <c r="B7" s="202" t="s">
        <v>497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5" t="s">
        <v>241</v>
      </c>
      <c r="B8" s="190"/>
      <c r="C8" s="191" t="s">
        <v>339</v>
      </c>
      <c r="D8" s="191" t="s">
        <v>339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07" t="s">
        <v>498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6"/>
      <c r="B10" s="207" t="s">
        <v>499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6"/>
      <c r="B11" s="210" t="s">
        <v>500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6000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17082.201874999999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6"/>
      <c r="B12" s="210" t="s">
        <v>501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871712.53</v>
      </c>
      <c r="BL12" s="212">
        <f t="shared" si="26"/>
        <v>891410.16</v>
      </c>
      <c r="BM12" s="212">
        <f t="shared" si="26"/>
        <v>891410.16</v>
      </c>
      <c r="BN12" s="212">
        <f t="shared" si="26"/>
        <v>891410.16</v>
      </c>
      <c r="BO12" s="212">
        <f t="shared" si="26"/>
        <v>891410.16</v>
      </c>
      <c r="BP12" s="212">
        <f t="shared" si="26"/>
        <v>891410.16</v>
      </c>
      <c r="BQ12" s="212">
        <f t="shared" si="26"/>
        <v>891410.16</v>
      </c>
      <c r="BR12" s="212">
        <f t="shared" si="26"/>
        <v>891410.16</v>
      </c>
      <c r="BS12" s="212">
        <f t="shared" si="26"/>
        <v>891410.16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6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2" t="s">
        <v>502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358206.00500000012</v>
      </c>
      <c r="BL14" s="205">
        <f t="shared" si="32"/>
        <v>338508.37500000012</v>
      </c>
      <c r="BM14" s="205">
        <f t="shared" si="32"/>
        <v>338508.37500000012</v>
      </c>
      <c r="BN14" s="205">
        <f t="shared" si="32"/>
        <v>338508.37500000012</v>
      </c>
      <c r="BO14" s="205">
        <f t="shared" si="32"/>
        <v>338508.37500000012</v>
      </c>
      <c r="BP14" s="205">
        <f t="shared" si="32"/>
        <v>338508.37500000012</v>
      </c>
      <c r="BQ14" s="205">
        <f t="shared" si="32"/>
        <v>338508.37500000012</v>
      </c>
      <c r="BR14" s="205">
        <f t="shared" si="32"/>
        <v>338508.37500000012</v>
      </c>
      <c r="BS14" s="205">
        <f t="shared" si="32"/>
        <v>338508.37500000012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339</v>
      </c>
      <c r="D16" s="191" t="s">
        <v>339</v>
      </c>
    </row>
    <row r="17" spans="1:316">
      <c r="A17" s="837"/>
      <c r="B17" s="193" t="s">
        <v>503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892.57996206317944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14309.70055526392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7"/>
      <c r="B18" s="193" t="s">
        <v>504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1352266.4464539625</v>
      </c>
      <c r="BL18" s="212">
        <f t="shared" si="37"/>
        <v>1352266.4464539625</v>
      </c>
      <c r="BM18" s="212">
        <f t="shared" si="37"/>
        <v>1352266.4464539625</v>
      </c>
      <c r="BN18" s="212">
        <f t="shared" si="37"/>
        <v>1352266.4464539625</v>
      </c>
      <c r="BO18" s="212">
        <f t="shared" si="37"/>
        <v>1352266.4464539625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25"/>
  <cols>
    <col min="1" max="1" width="39.28515625" style="355" bestFit="1" customWidth="1"/>
    <col min="2" max="2" width="17.28515625" style="356" bestFit="1" customWidth="1"/>
    <col min="3" max="4" width="13.28515625" style="355" bestFit="1" customWidth="1"/>
    <col min="5" max="5" width="12" style="355" bestFit="1" customWidth="1"/>
    <col min="6" max="6" width="4.85546875" style="355" bestFit="1" customWidth="1"/>
    <col min="7" max="8" width="12" style="355" bestFit="1" customWidth="1"/>
    <col min="9" max="9" width="14.85546875" style="355" bestFit="1" customWidth="1"/>
    <col min="10" max="10" width="14.5703125" style="355" bestFit="1" customWidth="1"/>
    <col min="11" max="11" width="11" style="355" bestFit="1" customWidth="1"/>
    <col min="12" max="12" width="6.28515625" style="355" bestFit="1" customWidth="1"/>
    <col min="13" max="13" width="14.28515625" style="355" bestFit="1" customWidth="1"/>
    <col min="14" max="14" width="13.5703125" style="355" bestFit="1" customWidth="1"/>
    <col min="15" max="18" width="11.28515625" style="355" bestFit="1" customWidth="1"/>
    <col min="19" max="19" width="13.5703125" style="355" bestFit="1" customWidth="1"/>
    <col min="20" max="16384" width="12.5703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505</v>
      </c>
      <c r="B3" s="430" t="s">
        <v>506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508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343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355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366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393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416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422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426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433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436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442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456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464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468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452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424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509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28515625" defaultRowHeight="14.25"/>
  <cols>
    <col min="1" max="1" width="21.7109375" bestFit="1" customWidth="1"/>
    <col min="2" max="2" width="17.28515625" style="393" bestFit="1" customWidth="1"/>
    <col min="3" max="4" width="13.28515625" style="393" bestFit="1" customWidth="1"/>
    <col min="5" max="5" width="12" style="393" bestFit="1" customWidth="1"/>
    <col min="6" max="6" width="4.85546875" style="393" bestFit="1" customWidth="1"/>
    <col min="7" max="8" width="12" style="393" bestFit="1" customWidth="1"/>
    <col min="9" max="9" width="13.28515625" style="393" bestFit="1" customWidth="1"/>
    <col min="10" max="12" width="12.5703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12">
      <c r="A3" s="430" t="s">
        <v>510</v>
      </c>
      <c r="B3" s="430" t="s">
        <v>506</v>
      </c>
      <c r="C3"/>
      <c r="D3"/>
      <c r="E3"/>
      <c r="F3"/>
      <c r="G3"/>
      <c r="H3"/>
      <c r="I3"/>
    </row>
    <row r="4" spans="1:12">
      <c r="A4" s="430" t="s">
        <v>507</v>
      </c>
      <c r="B4" t="s">
        <v>508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509</v>
      </c>
    </row>
    <row r="5" spans="1:12">
      <c r="A5" s="431" t="s">
        <v>508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343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355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366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393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416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422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426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433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436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442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456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464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468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452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424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509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25"/>
  <cols>
    <col min="4" max="4" width="9" customWidth="1"/>
  </cols>
  <sheetData>
    <row r="1" spans="1:4">
      <c r="A1" s="110" t="s">
        <v>511</v>
      </c>
    </row>
    <row r="2" spans="1:4">
      <c r="A2" s="839"/>
      <c r="B2" s="839"/>
      <c r="C2" s="839"/>
      <c r="D2" s="71"/>
    </row>
    <row r="3" spans="1:4">
      <c r="A3" s="838" t="s">
        <v>512</v>
      </c>
      <c r="B3" s="838"/>
      <c r="C3" s="838"/>
      <c r="D3" s="111">
        <v>0.32</v>
      </c>
    </row>
    <row r="4" spans="1:4">
      <c r="A4" s="838" t="s">
        <v>480</v>
      </c>
      <c r="B4" s="838"/>
      <c r="C4" s="838"/>
      <c r="D4" s="111">
        <v>0.5</v>
      </c>
    </row>
    <row r="5" spans="1:4">
      <c r="A5" s="838" t="s">
        <v>491</v>
      </c>
      <c r="B5" s="838"/>
      <c r="C5" s="838"/>
      <c r="D5" s="111">
        <v>0.15</v>
      </c>
    </row>
    <row r="6" spans="1:4">
      <c r="A6" s="838" t="s">
        <v>513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649999999999999">
      <c r="B2" s="840" t="s">
        <v>514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99</v>
      </c>
      <c r="C4" s="86"/>
      <c r="D4" s="90" t="s">
        <v>515</v>
      </c>
      <c r="E4" s="95"/>
      <c r="F4" s="90" t="s">
        <v>516</v>
      </c>
      <c r="H4" s="90" t="s">
        <v>517</v>
      </c>
      <c r="I4" s="95"/>
      <c r="J4" s="90" t="s">
        <v>518</v>
      </c>
      <c r="L4" s="90" t="s">
        <v>517</v>
      </c>
      <c r="M4" s="90"/>
      <c r="N4" s="90" t="s">
        <v>519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520</v>
      </c>
      <c r="H7" s="99"/>
      <c r="I7" s="95"/>
      <c r="J7" s="107" t="s">
        <v>520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520</v>
      </c>
      <c r="H15" s="99"/>
      <c r="I15" s="95"/>
      <c r="J15" s="107" t="s">
        <v>520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520</v>
      </c>
      <c r="H21" s="99"/>
      <c r="I21" s="95"/>
      <c r="J21" s="107" t="s">
        <v>520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520</v>
      </c>
      <c r="H27" s="99"/>
      <c r="I27" s="95"/>
      <c r="J27" s="107" t="s">
        <v>520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520</v>
      </c>
      <c r="H34" s="99"/>
      <c r="I34" s="95"/>
      <c r="J34" s="107" t="s">
        <v>520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5703125" style="88" customWidth="1"/>
    <col min="15" max="15" width="14.28515625" style="88" bestFit="1" customWidth="1"/>
    <col min="16" max="16384" width="9.28515625" style="88"/>
  </cols>
  <sheetData>
    <row r="2" spans="2:15" s="94" customFormat="1" ht="17.649999999999999">
      <c r="B2" s="840" t="s">
        <v>533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99</v>
      </c>
      <c r="C4" s="86"/>
      <c r="D4" s="90" t="s">
        <v>515</v>
      </c>
      <c r="E4" s="95"/>
      <c r="F4" s="95"/>
      <c r="G4" s="90" t="s">
        <v>534</v>
      </c>
      <c r="H4" s="96"/>
      <c r="J4" s="90" t="s">
        <v>517</v>
      </c>
      <c r="L4" s="90" t="s">
        <v>535</v>
      </c>
      <c r="M4" s="96"/>
      <c r="O4" s="90" t="s">
        <v>517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99</v>
      </c>
      <c r="C18" s="86"/>
      <c r="D18" s="90" t="s">
        <v>515</v>
      </c>
      <c r="E18" s="95"/>
      <c r="F18" s="95"/>
      <c r="G18" s="90" t="s">
        <v>537</v>
      </c>
      <c r="H18" s="96"/>
      <c r="J18" s="90" t="s">
        <v>517</v>
      </c>
      <c r="L18" s="90" t="s">
        <v>538</v>
      </c>
      <c r="M18" s="96"/>
      <c r="O18" s="90" t="s">
        <v>517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544</v>
      </c>
      <c r="C32" s="103"/>
      <c r="D32" s="103"/>
    </row>
    <row r="33" spans="2:4" ht="13.15" thickTop="1"/>
    <row r="34" spans="2:4">
      <c r="B34" s="88" t="s">
        <v>515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25"/>
  <cols>
    <col min="1" max="1" width="0.570312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42" t="str">
        <f>D15</f>
        <v>Malvern Engineering Phase 2</v>
      </c>
      <c r="C1" s="842"/>
      <c r="D1" s="842"/>
      <c r="E1" s="841" t="s">
        <v>546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547</v>
      </c>
      <c r="D3" s="72" t="s">
        <v>548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79339C31-A718-4C12-8642-0EDF3FB85299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2026-03-03T06:41:57Z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