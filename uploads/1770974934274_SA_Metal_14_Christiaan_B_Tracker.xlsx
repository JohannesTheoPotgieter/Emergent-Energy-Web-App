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9" documentId="13_ncr:1_{ABF72913-BCA9-4C02-AE33-4E5C0D6CCE88}" xr6:coauthVersionLast="47" xr6:coauthVersionMax="47" xr10:uidLastSave="{C761EE30-51CB-42DB-BFCC-1E8590BE4951}"/>
  <bookViews>
    <workbookView minimized="1" xWindow="-24015" yWindow="3240" windowWidth="16125" windowHeight="8715" tabRatio="779" firstSheet="3" activeTab="3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Expenditure Tracking" sheetId="3" r:id="rId5"/>
    <sheet name="Data" sheetId="8" state="hidden" r:id="rId6"/>
    <sheet name="Expenditure Breakdown" sheetId="4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Plan'!$B$54:$G$59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9" r:id="rId17"/>
    <pivotCache cacheId="8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X66" i="4"/>
  <c r="J16" i="3" s="1"/>
  <c r="X121" i="4"/>
  <c r="J23" i="3" s="1"/>
  <c r="J24" i="13"/>
  <c r="I24" i="13"/>
  <c r="H24" i="13"/>
  <c r="G24" i="13"/>
  <c r="F24" i="13"/>
  <c r="E24" i="13"/>
  <c r="D24" i="13"/>
  <c r="M24" i="13"/>
  <c r="M23" i="13"/>
  <c r="W29" i="4"/>
  <c r="T91" i="4"/>
  <c r="T33" i="4"/>
  <c r="T55" i="4"/>
  <c r="P18" i="5"/>
  <c r="W41" i="4"/>
  <c r="W67" i="4"/>
  <c r="W14" i="4"/>
  <c r="P15" i="5"/>
  <c r="W28" i="4"/>
  <c r="W49" i="4"/>
  <c r="T68" i="4"/>
  <c r="R67" i="4"/>
  <c r="F18" i="5" s="1"/>
  <c r="R40" i="4"/>
  <c r="R6" i="5"/>
  <c r="S6" i="5"/>
  <c r="W19" i="4"/>
  <c r="P14" i="5"/>
  <c r="H9" i="6" s="1"/>
  <c r="T10" i="4"/>
  <c r="W13" i="4"/>
  <c r="W15" i="4" s="1"/>
  <c r="H17" i="5"/>
  <c r="H26" i="4"/>
  <c r="H25" i="4" s="1"/>
  <c r="H75" i="4"/>
  <c r="H50" i="4" s="1"/>
  <c r="P84" i="4"/>
  <c r="W85" i="4"/>
  <c r="T83" i="4"/>
  <c r="P73" i="4"/>
  <c r="R45" i="4"/>
  <c r="P26" i="4"/>
  <c r="AE34" i="4"/>
  <c r="AE35" i="4"/>
  <c r="AH22" i="4"/>
  <c r="AB34" i="4"/>
  <c r="AB35" i="4"/>
  <c r="AH27" i="4"/>
  <c r="AI26" i="4"/>
  <c r="AF26" i="4"/>
  <c r="AC26" i="4"/>
  <c r="P48" i="4"/>
  <c r="R44" i="4"/>
  <c r="R99" i="4"/>
  <c r="X99" i="4" s="1"/>
  <c r="J20" i="3" s="1"/>
  <c r="W23" i="4"/>
  <c r="R18" i="4"/>
  <c r="X18" i="4" s="1"/>
  <c r="J11" i="3" s="1"/>
  <c r="N11" i="3" s="1"/>
  <c r="R14" i="4"/>
  <c r="J99" i="4"/>
  <c r="G14" i="4"/>
  <c r="R7" i="4"/>
  <c r="G25" i="4"/>
  <c r="G6" i="4"/>
  <c r="J6" i="4" s="1"/>
  <c r="F9" i="3" s="1"/>
  <c r="T121" i="4"/>
  <c r="T120" i="4"/>
  <c r="T119" i="4"/>
  <c r="T110" i="4"/>
  <c r="T109" i="4"/>
  <c r="T108" i="4"/>
  <c r="T102" i="4"/>
  <c r="T101" i="4"/>
  <c r="T98" i="4"/>
  <c r="T96" i="4"/>
  <c r="T95" i="4"/>
  <c r="T92" i="4"/>
  <c r="T81" i="4"/>
  <c r="T72" i="4"/>
  <c r="T47" i="4"/>
  <c r="T65" i="4"/>
  <c r="T64" i="4"/>
  <c r="T63" i="4"/>
  <c r="T62" i="4"/>
  <c r="T61" i="4"/>
  <c r="T60" i="4"/>
  <c r="T59" i="4"/>
  <c r="T58" i="4"/>
  <c r="T57" i="4"/>
  <c r="T56" i="4"/>
  <c r="T43" i="4"/>
  <c r="T42" i="4"/>
  <c r="T34" i="4"/>
  <c r="AB15" i="4"/>
  <c r="D13" i="7" s="1"/>
  <c r="AA15" i="4"/>
  <c r="R103" i="4"/>
  <c r="R105" i="4" s="1"/>
  <c r="X103" i="4" s="1"/>
  <c r="J103" i="4"/>
  <c r="G48" i="4"/>
  <c r="E27" i="4"/>
  <c r="G27" i="4" s="1"/>
  <c r="G28" i="4"/>
  <c r="E18" i="4"/>
  <c r="AB10" i="4"/>
  <c r="D17" i="3"/>
  <c r="G80" i="4"/>
  <c r="G79" i="4"/>
  <c r="G78" i="4"/>
  <c r="G77" i="4"/>
  <c r="G76" i="4"/>
  <c r="G75" i="4"/>
  <c r="J73" i="4" s="1"/>
  <c r="F17" i="3" s="1"/>
  <c r="G74" i="4"/>
  <c r="G73" i="4"/>
  <c r="B17" i="3"/>
  <c r="R6" i="4"/>
  <c r="X6" i="4"/>
  <c r="AB11" i="4"/>
  <c r="D9" i="7" s="1"/>
  <c r="G55" i="4"/>
  <c r="G54" i="4"/>
  <c r="G53" i="4"/>
  <c r="G52" i="4"/>
  <c r="G51" i="4"/>
  <c r="G50" i="4"/>
  <c r="G49" i="4"/>
  <c r="R37" i="4"/>
  <c r="R35" i="4"/>
  <c r="R23" i="4"/>
  <c r="R13" i="4"/>
  <c r="G37" i="4"/>
  <c r="G35" i="4"/>
  <c r="D30" i="9" s="1"/>
  <c r="J35" i="4"/>
  <c r="F13" i="3" s="1"/>
  <c r="G26" i="4"/>
  <c r="AB9" i="4" s="1"/>
  <c r="D7" i="7" s="1"/>
  <c r="R48" i="4"/>
  <c r="R54" i="4"/>
  <c r="R50" i="4"/>
  <c r="R53" i="4"/>
  <c r="R51" i="4"/>
  <c r="R52" i="4"/>
  <c r="R26" i="4"/>
  <c r="R80" i="4"/>
  <c r="R78" i="4"/>
  <c r="R77" i="4"/>
  <c r="R74" i="4"/>
  <c r="R73" i="4"/>
  <c r="AB13" i="4"/>
  <c r="D11" i="7" s="1"/>
  <c r="AB12" i="4"/>
  <c r="D10" i="7" s="1"/>
  <c r="AB8" i="4"/>
  <c r="R33" i="4"/>
  <c r="R32" i="4"/>
  <c r="R29" i="4"/>
  <c r="G13" i="4"/>
  <c r="J13" i="4"/>
  <c r="F20" i="3"/>
  <c r="L20" i="3" s="1"/>
  <c r="D8" i="7"/>
  <c r="D20" i="3"/>
  <c r="B20" i="3"/>
  <c r="AB14" i="4"/>
  <c r="D12" i="7"/>
  <c r="B15" i="3"/>
  <c r="D15" i="3"/>
  <c r="D10" i="3"/>
  <c r="X57" i="4"/>
  <c r="J15" i="3"/>
  <c r="N15" i="3" s="1"/>
  <c r="J57" i="4"/>
  <c r="F15" i="3" s="1"/>
  <c r="G25" i="3"/>
  <c r="K2" i="4"/>
  <c r="U21" i="4"/>
  <c r="V18" i="4" s="1"/>
  <c r="V6" i="4"/>
  <c r="O9" i="7"/>
  <c r="I25" i="3"/>
  <c r="X93" i="4"/>
  <c r="J19" i="3"/>
  <c r="N19" i="3"/>
  <c r="J121" i="4"/>
  <c r="F23" i="3" s="1"/>
  <c r="J111" i="4"/>
  <c r="J93" i="4"/>
  <c r="F19" i="3" s="1"/>
  <c r="F16" i="3"/>
  <c r="L16" i="3" s="1"/>
  <c r="J18" i="4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U96" i="4"/>
  <c r="F11" i="3"/>
  <c r="V121" i="4"/>
  <c r="V57" i="4"/>
  <c r="V66" i="4"/>
  <c r="J82" i="4"/>
  <c r="F18" i="3" s="1"/>
  <c r="G1" i="6"/>
  <c r="H1" i="6"/>
  <c r="I1" i="6"/>
  <c r="J1" i="6"/>
  <c r="K1" i="6"/>
  <c r="L1" i="6" s="1"/>
  <c r="J9" i="6"/>
  <c r="K9" i="6"/>
  <c r="J29" i="9"/>
  <c r="J36" i="9"/>
  <c r="D31" i="9"/>
  <c r="D18" i="9"/>
  <c r="D17" i="9"/>
  <c r="J23" i="9"/>
  <c r="J17" i="9"/>
  <c r="F17" i="9"/>
  <c r="F23" i="9"/>
  <c r="J9" i="9"/>
  <c r="D11" i="9"/>
  <c r="D9" i="9" s="1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E22" i="7" s="1"/>
  <c r="D21" i="7"/>
  <c r="J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1" i="4"/>
  <c r="J22" i="3" s="1"/>
  <c r="N22" i="3" s="1"/>
  <c r="G23" i="4"/>
  <c r="D23" i="7"/>
  <c r="E23" i="7" s="1"/>
  <c r="E8" i="7"/>
  <c r="J8" i="7"/>
  <c r="H22" i="7"/>
  <c r="M20" i="7"/>
  <c r="H20" i="7"/>
  <c r="M6" i="7"/>
  <c r="H6" i="7"/>
  <c r="L29" i="7"/>
  <c r="D38" i="7" s="1"/>
  <c r="G29" i="7"/>
  <c r="D37" i="7"/>
  <c r="V111" i="4"/>
  <c r="D15" i="10" a="1"/>
  <c r="D15" i="10"/>
  <c r="B1" i="10"/>
  <c r="L15" i="7"/>
  <c r="D36" i="7" s="1"/>
  <c r="G15" i="7"/>
  <c r="D35" i="7" s="1"/>
  <c r="D4" i="5"/>
  <c r="F16" i="5" s="1"/>
  <c r="F17" i="5"/>
  <c r="E46" i="5"/>
  <c r="E47" i="5"/>
  <c r="E21" i="5"/>
  <c r="F22" i="3"/>
  <c r="L22" i="3" s="1"/>
  <c r="F21" i="3"/>
  <c r="J43" i="4"/>
  <c r="F14" i="3"/>
  <c r="L2" i="1"/>
  <c r="L19" i="1" s="1"/>
  <c r="L9" i="1"/>
  <c r="L11" i="1"/>
  <c r="L43" i="1"/>
  <c r="L16" i="1"/>
  <c r="E20" i="7"/>
  <c r="F29" i="9"/>
  <c r="H5" i="3"/>
  <c r="T84" i="4"/>
  <c r="T85" i="4"/>
  <c r="T27" i="4"/>
  <c r="T49" i="4"/>
  <c r="T48" i="4"/>
  <c r="T26" i="4"/>
  <c r="W27" i="4"/>
  <c r="W86" i="4"/>
  <c r="T86" i="4"/>
  <c r="W50" i="4"/>
  <c r="T50" i="4"/>
  <c r="T28" i="4"/>
  <c r="T87" i="4"/>
  <c r="W51" i="4"/>
  <c r="T29" i="4"/>
  <c r="T51" i="4"/>
  <c r="T30" i="4"/>
  <c r="W88" i="4"/>
  <c r="W30" i="4"/>
  <c r="W52" i="4"/>
  <c r="T100" i="4"/>
  <c r="T89" i="4"/>
  <c r="T53" i="4"/>
  <c r="T31" i="4"/>
  <c r="G9" i="6"/>
  <c r="T90" i="4"/>
  <c r="W90" i="4"/>
  <c r="W54" i="4"/>
  <c r="W91" i="4"/>
  <c r="W32" i="4"/>
  <c r="T32" i="4"/>
  <c r="T54" i="4"/>
  <c r="W33" i="4"/>
  <c r="W55" i="4"/>
  <c r="N16" i="3"/>
  <c r="AH34" i="4"/>
  <c r="AH35" i="4"/>
  <c r="L9" i="9"/>
  <c r="H9" i="9"/>
  <c r="J23" i="7"/>
  <c r="X35" i="4"/>
  <c r="R86" i="4"/>
  <c r="O23" i="7"/>
  <c r="R89" i="4"/>
  <c r="J23" i="4"/>
  <c r="F12" i="3" s="1"/>
  <c r="R90" i="4"/>
  <c r="E9" i="7"/>
  <c r="J9" i="7"/>
  <c r="L17" i="9"/>
  <c r="H17" i="9"/>
  <c r="L15" i="3"/>
  <c r="U95" i="4"/>
  <c r="N20" i="3"/>
  <c r="J9" i="3"/>
  <c r="N9" i="3" s="1"/>
  <c r="L19" i="3"/>
  <c r="V35" i="4"/>
  <c r="J13" i="3"/>
  <c r="N13" i="3"/>
  <c r="J22" i="7"/>
  <c r="D24" i="9"/>
  <c r="D23" i="9"/>
  <c r="L23" i="9"/>
  <c r="H23" i="9"/>
  <c r="L13" i="3"/>
  <c r="O12" i="7" l="1"/>
  <c r="O26" i="7"/>
  <c r="J12" i="7"/>
  <c r="O24" i="7"/>
  <c r="O10" i="7"/>
  <c r="J10" i="7"/>
  <c r="O21" i="7"/>
  <c r="E7" i="7"/>
  <c r="J7" i="7"/>
  <c r="O7" i="7"/>
  <c r="E21" i="7"/>
  <c r="O11" i="7"/>
  <c r="O25" i="7"/>
  <c r="J11" i="7"/>
  <c r="X13" i="4"/>
  <c r="J2" i="4"/>
  <c r="L13" i="1"/>
  <c r="L24" i="1"/>
  <c r="L11" i="3"/>
  <c r="D29" i="9"/>
  <c r="M2" i="1"/>
  <c r="L31" i="1"/>
  <c r="L20" i="1"/>
  <c r="L38" i="1"/>
  <c r="L6" i="1"/>
  <c r="L5" i="1"/>
  <c r="L36" i="1"/>
  <c r="L8" i="1"/>
  <c r="L32" i="1"/>
  <c r="L28" i="1"/>
  <c r="L26" i="1"/>
  <c r="L7" i="1"/>
  <c r="L29" i="1"/>
  <c r="L37" i="1"/>
  <c r="L22" i="1"/>
  <c r="L35" i="1"/>
  <c r="L10" i="1"/>
  <c r="L14" i="1"/>
  <c r="L45" i="1"/>
  <c r="L44" i="1"/>
  <c r="L33" i="1"/>
  <c r="L42" i="1"/>
  <c r="L3" i="1"/>
  <c r="L27" i="1"/>
  <c r="L25" i="1"/>
  <c r="L23" i="1"/>
  <c r="L4" i="1"/>
  <c r="L39" i="1"/>
  <c r="D6" i="7"/>
  <c r="AB17" i="4"/>
  <c r="AB18" i="4" s="1"/>
  <c r="AB19" i="4" s="1"/>
  <c r="L17" i="3"/>
  <c r="O8" i="7"/>
  <c r="O22" i="7"/>
  <c r="L9" i="3"/>
  <c r="I9" i="6"/>
  <c r="F10" i="3"/>
  <c r="M1" i="6"/>
  <c r="L9" i="6"/>
  <c r="J20" i="7"/>
  <c r="J29" i="7" s="1"/>
  <c r="V93" i="4"/>
  <c r="R84" i="4"/>
  <c r="R91" i="4"/>
  <c r="R88" i="4"/>
  <c r="R28" i="4"/>
  <c r="R30" i="4"/>
  <c r="R27" i="4"/>
  <c r="X23" i="4" s="1"/>
  <c r="R49" i="4"/>
  <c r="X43" i="4" s="1"/>
  <c r="R55" i="4"/>
  <c r="R31" i="4"/>
  <c r="R79" i="4"/>
  <c r="R76" i="4"/>
  <c r="R75" i="4"/>
  <c r="X73" i="4" s="1"/>
  <c r="J17" i="3" s="1"/>
  <c r="N17" i="3" s="1"/>
  <c r="K4" i="4"/>
  <c r="F15" i="5"/>
  <c r="C3" i="6"/>
  <c r="F13" i="5"/>
  <c r="F14" i="5"/>
  <c r="U107" i="4"/>
  <c r="U106" i="4"/>
  <c r="J21" i="3"/>
  <c r="H99" i="4"/>
  <c r="L23" i="3"/>
  <c r="N23" i="3"/>
  <c r="H18" i="4"/>
  <c r="H27" i="4" s="1"/>
  <c r="H94" i="4"/>
  <c r="H77" i="4"/>
  <c r="H74" i="4"/>
  <c r="H49" i="4" s="1"/>
  <c r="H73" i="4"/>
  <c r="H76" i="4"/>
  <c r="H51" i="4" s="1"/>
  <c r="U43" i="4" l="1"/>
  <c r="V43" i="4" s="1"/>
  <c r="U47" i="4"/>
  <c r="U45" i="4"/>
  <c r="J14" i="3"/>
  <c r="U25" i="4"/>
  <c r="V23" i="4" s="1"/>
  <c r="J12" i="3"/>
  <c r="X2" i="4"/>
  <c r="N1" i="6"/>
  <c r="M9" i="6"/>
  <c r="F5" i="3"/>
  <c r="D5" i="5" s="1"/>
  <c r="L10" i="3"/>
  <c r="M42" i="1"/>
  <c r="M26" i="1"/>
  <c r="M10" i="1"/>
  <c r="M8" i="1"/>
  <c r="M39" i="1"/>
  <c r="M24" i="1"/>
  <c r="M19" i="1"/>
  <c r="M3" i="1"/>
  <c r="M38" i="1"/>
  <c r="M23" i="1"/>
  <c r="M6" i="1"/>
  <c r="M28" i="1"/>
  <c r="N2" i="1"/>
  <c r="M27" i="1"/>
  <c r="M45" i="1"/>
  <c r="M20" i="1"/>
  <c r="M44" i="1"/>
  <c r="M14" i="1"/>
  <c r="M25" i="1"/>
  <c r="M22" i="1"/>
  <c r="M4" i="1"/>
  <c r="M9" i="1"/>
  <c r="M11" i="1"/>
  <c r="M13" i="1"/>
  <c r="M35" i="1"/>
  <c r="M43" i="1"/>
  <c r="M7" i="1"/>
  <c r="M37" i="1"/>
  <c r="M5" i="1"/>
  <c r="M36" i="1"/>
  <c r="M16" i="1"/>
  <c r="M33" i="1"/>
  <c r="M32" i="1"/>
  <c r="M31" i="1"/>
  <c r="M29" i="1"/>
  <c r="L29" i="9"/>
  <c r="L43" i="9" s="1"/>
  <c r="H36" i="9"/>
  <c r="L36" i="9"/>
  <c r="H29" i="9"/>
  <c r="H43" i="9" s="1"/>
  <c r="D43" i="9"/>
  <c r="X82" i="4"/>
  <c r="E6" i="7"/>
  <c r="O6" i="7"/>
  <c r="O15" i="7" s="1"/>
  <c r="J6" i="7"/>
  <c r="J15" i="7" s="1"/>
  <c r="O20" i="7"/>
  <c r="O29" i="7" s="1"/>
  <c r="D15" i="7"/>
  <c r="D34" i="7" s="1"/>
  <c r="D40" i="7" s="1"/>
  <c r="B40" i="7" s="1"/>
  <c r="U16" i="4"/>
  <c r="V13" i="4" s="1"/>
  <c r="J10" i="3"/>
  <c r="N10" i="3" s="1"/>
  <c r="F21" i="5"/>
  <c r="F9" i="6"/>
  <c r="L21" i="3"/>
  <c r="N21" i="3"/>
  <c r="V103" i="4"/>
  <c r="H23" i="4"/>
  <c r="H15" i="5"/>
  <c r="H14" i="5"/>
  <c r="H28" i="4"/>
  <c r="H6" i="4"/>
  <c r="H9" i="4" s="1"/>
  <c r="H13" i="4"/>
  <c r="H35" i="4" s="1"/>
  <c r="H36" i="4" s="1"/>
  <c r="H88" i="4"/>
  <c r="H91" i="4" s="1"/>
  <c r="H52" i="4"/>
  <c r="H16" i="5"/>
  <c r="H18" i="5" s="1"/>
  <c r="C5" i="6" l="1"/>
  <c r="D6" i="5"/>
  <c r="D7" i="5" s="1"/>
  <c r="O1" i="6"/>
  <c r="N9" i="6"/>
  <c r="U83" i="4"/>
  <c r="U82" i="4"/>
  <c r="V82" i="4" s="1"/>
  <c r="J18" i="3"/>
  <c r="U126" i="4"/>
  <c r="F25" i="3"/>
  <c r="N12" i="3"/>
  <c r="L12" i="3"/>
  <c r="N20" i="1"/>
  <c r="N6" i="1"/>
  <c r="N14" i="1"/>
  <c r="N36" i="1"/>
  <c r="N25" i="1"/>
  <c r="N24" i="1"/>
  <c r="N33" i="1"/>
  <c r="N16" i="1"/>
  <c r="N7" i="1"/>
  <c r="N31" i="1"/>
  <c r="N22" i="1"/>
  <c r="N43" i="1"/>
  <c r="N9" i="1"/>
  <c r="N26" i="1"/>
  <c r="N5" i="1"/>
  <c r="O2" i="1"/>
  <c r="N11" i="1"/>
  <c r="N10" i="1"/>
  <c r="N45" i="1"/>
  <c r="N8" i="1"/>
  <c r="N42" i="1"/>
  <c r="N23" i="1"/>
  <c r="N44" i="1"/>
  <c r="N28" i="1"/>
  <c r="N29" i="1"/>
  <c r="N38" i="1"/>
  <c r="N19" i="1"/>
  <c r="N32" i="1"/>
  <c r="N3" i="1"/>
  <c r="N4" i="1"/>
  <c r="N37" i="1"/>
  <c r="N39" i="1"/>
  <c r="N27" i="1"/>
  <c r="N35" i="1"/>
  <c r="N13" i="1"/>
  <c r="N14" i="3"/>
  <c r="L14" i="3"/>
  <c r="F10" i="6"/>
  <c r="G10" i="6" s="1"/>
  <c r="H10" i="6" s="1"/>
  <c r="I10" i="6" s="1"/>
  <c r="J10" i="6" s="1"/>
  <c r="K10" i="6" s="1"/>
  <c r="L10" i="6" s="1"/>
  <c r="M10" i="6" s="1"/>
  <c r="N10" i="6" s="1"/>
  <c r="F4" i="5"/>
  <c r="F47" i="5"/>
  <c r="F3" i="6"/>
  <c r="F4" i="6" s="1"/>
  <c r="H14" i="4"/>
  <c r="W97" i="4"/>
  <c r="K3" i="6"/>
  <c r="H3" i="6"/>
  <c r="G3" i="6"/>
  <c r="I3" i="6"/>
  <c r="M3" i="6"/>
  <c r="L3" i="6"/>
  <c r="J3" i="6"/>
  <c r="N3" i="6"/>
  <c r="L18" i="3" l="1"/>
  <c r="L5" i="3" s="1"/>
  <c r="N18" i="3"/>
  <c r="N5" i="3" s="1"/>
  <c r="J5" i="3"/>
  <c r="P1" i="6"/>
  <c r="O9" i="6"/>
  <c r="O10" i="6"/>
  <c r="O31" i="1"/>
  <c r="O3" i="1"/>
  <c r="O35" i="1"/>
  <c r="O19" i="1"/>
  <c r="O7" i="1"/>
  <c r="O33" i="1"/>
  <c r="O4" i="1"/>
  <c r="O36" i="1"/>
  <c r="O13" i="1"/>
  <c r="O32" i="1"/>
  <c r="O10" i="1"/>
  <c r="O27" i="1"/>
  <c r="O11" i="1"/>
  <c r="O26" i="1"/>
  <c r="O14" i="1"/>
  <c r="O38" i="1"/>
  <c r="O9" i="1"/>
  <c r="O37" i="1"/>
  <c r="O5" i="1"/>
  <c r="O28" i="1"/>
  <c r="O29" i="1"/>
  <c r="P2" i="1"/>
  <c r="O23" i="1"/>
  <c r="O45" i="1"/>
  <c r="O25" i="1"/>
  <c r="O24" i="1"/>
  <c r="O22" i="1"/>
  <c r="O42" i="1"/>
  <c r="O39" i="1"/>
  <c r="O20" i="1"/>
  <c r="O8" i="1"/>
  <c r="O16" i="1"/>
  <c r="O6" i="1"/>
  <c r="O43" i="1"/>
  <c r="O44" i="1"/>
  <c r="F45" i="5"/>
  <c r="F44" i="5"/>
  <c r="F42" i="5"/>
  <c r="F43" i="5"/>
  <c r="F41" i="5"/>
  <c r="F46" i="5" s="1"/>
  <c r="T4" i="5"/>
  <c r="C9" i="6"/>
  <c r="T97" i="4"/>
  <c r="H78" i="4"/>
  <c r="H53" i="4" s="1"/>
  <c r="H79" i="4"/>
  <c r="H93" i="4"/>
  <c r="G4" i="6"/>
  <c r="P45" i="1" l="1"/>
  <c r="P29" i="1"/>
  <c r="P9" i="1"/>
  <c r="P28" i="1"/>
  <c r="P5" i="1"/>
  <c r="P44" i="1"/>
  <c r="P27" i="1"/>
  <c r="P16" i="1"/>
  <c r="P38" i="1"/>
  <c r="P20" i="1"/>
  <c r="P37" i="1"/>
  <c r="P19" i="1"/>
  <c r="P25" i="1"/>
  <c r="P4" i="1"/>
  <c r="P24" i="1"/>
  <c r="P3" i="1"/>
  <c r="P23" i="1"/>
  <c r="P22" i="1"/>
  <c r="P43" i="1"/>
  <c r="P11" i="1"/>
  <c r="P14" i="1"/>
  <c r="P10" i="1"/>
  <c r="P35" i="1"/>
  <c r="P42" i="1"/>
  <c r="P7" i="1"/>
  <c r="P39" i="1"/>
  <c r="P13" i="1"/>
  <c r="P36" i="1"/>
  <c r="P8" i="1"/>
  <c r="P33" i="1"/>
  <c r="P32" i="1"/>
  <c r="P31" i="1"/>
  <c r="P26" i="1"/>
  <c r="P6" i="1"/>
  <c r="Q2" i="1"/>
  <c r="Q1" i="6"/>
  <c r="O3" i="6"/>
  <c r="F5" i="5"/>
  <c r="J25" i="3"/>
  <c r="H25" i="3"/>
  <c r="W78" i="4"/>
  <c r="M17" i="6"/>
  <c r="J17" i="6"/>
  <c r="N17" i="6"/>
  <c r="G17" i="6"/>
  <c r="L17" i="6"/>
  <c r="H17" i="6"/>
  <c r="K17" i="6"/>
  <c r="O17" i="6"/>
  <c r="P17" i="6"/>
  <c r="I17" i="6"/>
  <c r="F17" i="6"/>
  <c r="F18" i="6" s="1"/>
  <c r="H4" i="6"/>
  <c r="H54" i="4"/>
  <c r="H80" i="4"/>
  <c r="H55" i="4" s="1"/>
  <c r="H48" i="4"/>
  <c r="H103" i="4"/>
  <c r="H37" i="4"/>
  <c r="R1" i="6" l="1"/>
  <c r="Q9" i="6" s="1"/>
  <c r="C11" i="6"/>
  <c r="T5" i="5"/>
  <c r="T6" i="5" s="1"/>
  <c r="F6" i="5"/>
  <c r="F7" i="5" s="1"/>
  <c r="Q44" i="1"/>
  <c r="Q31" i="1"/>
  <c r="Q9" i="1"/>
  <c r="Q39" i="1"/>
  <c r="Q22" i="1"/>
  <c r="Q4" i="1"/>
  <c r="Q38" i="1"/>
  <c r="Q13" i="1"/>
  <c r="Q3" i="1"/>
  <c r="Q45" i="1"/>
  <c r="Q24" i="1"/>
  <c r="Q7" i="1"/>
  <c r="Q43" i="1"/>
  <c r="Q10" i="1"/>
  <c r="Q5" i="1"/>
  <c r="Q8" i="1"/>
  <c r="Q6" i="1"/>
  <c r="Q36" i="1"/>
  <c r="Q14" i="1"/>
  <c r="Q35" i="1"/>
  <c r="Q11" i="1"/>
  <c r="Q32" i="1"/>
  <c r="Q20" i="1"/>
  <c r="Q33" i="1"/>
  <c r="Q23" i="1"/>
  <c r="Q26" i="1"/>
  <c r="Q19" i="1"/>
  <c r="Q16" i="1"/>
  <c r="Q28" i="1"/>
  <c r="Q42" i="1"/>
  <c r="Q37" i="1"/>
  <c r="R2" i="1"/>
  <c r="Q25" i="1"/>
  <c r="Q29" i="1"/>
  <c r="Q27" i="1"/>
  <c r="Q17" i="6"/>
  <c r="P3" i="6"/>
  <c r="P9" i="6"/>
  <c r="W53" i="4"/>
  <c r="W31" i="4"/>
  <c r="W89" i="4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H111" i="4"/>
  <c r="H105" i="4"/>
  <c r="H104" i="4"/>
  <c r="H106" i="4"/>
  <c r="H107" i="4"/>
  <c r="I4" i="6"/>
  <c r="P10" i="6" l="1"/>
  <c r="Q10" i="6" s="1"/>
  <c r="R43" i="1"/>
  <c r="R14" i="1"/>
  <c r="R24" i="1"/>
  <c r="R35" i="1"/>
  <c r="R6" i="1"/>
  <c r="R20" i="1"/>
  <c r="R33" i="1"/>
  <c r="R5" i="1"/>
  <c r="R16" i="1"/>
  <c r="R25" i="1"/>
  <c r="R13" i="1"/>
  <c r="S2" i="1"/>
  <c r="R42" i="1"/>
  <c r="R7" i="1"/>
  <c r="R39" i="1"/>
  <c r="R31" i="1"/>
  <c r="R11" i="1"/>
  <c r="R10" i="1"/>
  <c r="R8" i="1"/>
  <c r="R9" i="1"/>
  <c r="R38" i="1"/>
  <c r="R27" i="1"/>
  <c r="R45" i="1"/>
  <c r="R28" i="1"/>
  <c r="R44" i="1"/>
  <c r="R26" i="1"/>
  <c r="R22" i="1"/>
  <c r="R37" i="1"/>
  <c r="R3" i="1"/>
  <c r="R36" i="1"/>
  <c r="R32" i="1"/>
  <c r="R29" i="1"/>
  <c r="R4" i="1"/>
  <c r="R19" i="1"/>
  <c r="R23" i="1"/>
  <c r="Q3" i="6"/>
  <c r="S1" i="6"/>
  <c r="R9" i="6"/>
  <c r="R3" i="6"/>
  <c r="R17" i="6"/>
  <c r="J11" i="6"/>
  <c r="M11" i="6"/>
  <c r="H20" i="6"/>
  <c r="K11" i="6"/>
  <c r="N20" i="6"/>
  <c r="G11" i="6"/>
  <c r="O11" i="6"/>
  <c r="L11" i="6"/>
  <c r="L20" i="6"/>
  <c r="F11" i="6"/>
  <c r="I20" i="6"/>
  <c r="R11" i="6"/>
  <c r="G20" i="6"/>
  <c r="O20" i="6"/>
  <c r="Q11" i="6"/>
  <c r="Q20" i="6"/>
  <c r="R20" i="6"/>
  <c r="M20" i="6"/>
  <c r="P11" i="6"/>
  <c r="I11" i="6"/>
  <c r="K20" i="6"/>
  <c r="P20" i="6"/>
  <c r="H11" i="6"/>
  <c r="F20" i="6"/>
  <c r="N11" i="6"/>
  <c r="J20" i="6"/>
  <c r="L5" i="6"/>
  <c r="I5" i="6"/>
  <c r="Q5" i="6"/>
  <c r="N5" i="6"/>
  <c r="M5" i="6"/>
  <c r="J4" i="6"/>
  <c r="P5" i="6"/>
  <c r="H5" i="6"/>
  <c r="R5" i="6"/>
  <c r="G5" i="6"/>
  <c r="J5" i="6"/>
  <c r="O5" i="6"/>
  <c r="F5" i="6"/>
  <c r="K5" i="6"/>
  <c r="R10" i="6" l="1"/>
  <c r="T1" i="6"/>
  <c r="S9" i="6" s="1"/>
  <c r="S10" i="6" s="1"/>
  <c r="S3" i="6"/>
  <c r="S17" i="6"/>
  <c r="S44" i="1"/>
  <c r="S37" i="1"/>
  <c r="S9" i="1"/>
  <c r="S22" i="1"/>
  <c r="S14" i="1"/>
  <c r="S45" i="1"/>
  <c r="S43" i="1"/>
  <c r="S11" i="1"/>
  <c r="S26" i="1"/>
  <c r="S7" i="1"/>
  <c r="S38" i="1"/>
  <c r="S23" i="1"/>
  <c r="S36" i="1"/>
  <c r="S4" i="1"/>
  <c r="S29" i="1"/>
  <c r="S3" i="1"/>
  <c r="S42" i="1"/>
  <c r="S20" i="1"/>
  <c r="S19" i="1"/>
  <c r="S33" i="1"/>
  <c r="S5" i="1"/>
  <c r="S39" i="1"/>
  <c r="S6" i="1"/>
  <c r="S31" i="1"/>
  <c r="S28" i="1"/>
  <c r="S8" i="1"/>
  <c r="S24" i="1"/>
  <c r="S10" i="1"/>
  <c r="S13" i="1"/>
  <c r="S35" i="1"/>
  <c r="S32" i="1"/>
  <c r="S16" i="1"/>
  <c r="T2" i="1"/>
  <c r="S27" i="1"/>
  <c r="S25" i="1"/>
  <c r="R18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F12" i="6"/>
  <c r="F6" i="6"/>
  <c r="K4" i="6"/>
  <c r="S18" i="6" l="1"/>
  <c r="T33" i="1"/>
  <c r="T4" i="1"/>
  <c r="T22" i="1"/>
  <c r="T36" i="1"/>
  <c r="T3" i="1"/>
  <c r="U2" i="1"/>
  <c r="T45" i="1"/>
  <c r="T20" i="1"/>
  <c r="T13" i="1"/>
  <c r="T39" i="1"/>
  <c r="T5" i="1"/>
  <c r="T38" i="1"/>
  <c r="T9" i="1"/>
  <c r="T31" i="1"/>
  <c r="T7" i="1"/>
  <c r="T35" i="1"/>
  <c r="T10" i="1"/>
  <c r="T24" i="1"/>
  <c r="T8" i="1"/>
  <c r="T25" i="1"/>
  <c r="T16" i="1"/>
  <c r="T27" i="1"/>
  <c r="T6" i="1"/>
  <c r="T14" i="1"/>
  <c r="T29" i="1"/>
  <c r="T23" i="1"/>
  <c r="T11" i="1"/>
  <c r="T19" i="1"/>
  <c r="T26" i="1"/>
  <c r="T44" i="1"/>
  <c r="T42" i="1"/>
  <c r="T43" i="1"/>
  <c r="T37" i="1"/>
  <c r="T32" i="1"/>
  <c r="T28" i="1"/>
  <c r="U1" i="6"/>
  <c r="T9" i="6"/>
  <c r="T10" i="6" s="1"/>
  <c r="T3" i="6"/>
  <c r="T17" i="6"/>
  <c r="S20" i="6"/>
  <c r="S21" i="6" s="1"/>
  <c r="T11" i="6"/>
  <c r="T5" i="6"/>
  <c r="S5" i="6"/>
  <c r="S11" i="6"/>
  <c r="G12" i="6"/>
  <c r="F14" i="6"/>
  <c r="L4" i="6"/>
  <c r="G6" i="6"/>
  <c r="F7" i="6"/>
  <c r="U38" i="1" l="1"/>
  <c r="U24" i="1"/>
  <c r="U5" i="1"/>
  <c r="U35" i="1"/>
  <c r="U13" i="1"/>
  <c r="V2" i="1"/>
  <c r="U33" i="1"/>
  <c r="U10" i="1"/>
  <c r="U42" i="1"/>
  <c r="U22" i="1"/>
  <c r="U43" i="1"/>
  <c r="U20" i="1"/>
  <c r="U39" i="1"/>
  <c r="U8" i="1"/>
  <c r="U27" i="1"/>
  <c r="U3" i="1"/>
  <c r="U26" i="1"/>
  <c r="U23" i="1"/>
  <c r="U25" i="1"/>
  <c r="U14" i="1"/>
  <c r="U11" i="1"/>
  <c r="U36" i="1"/>
  <c r="U45" i="1"/>
  <c r="U6" i="1"/>
  <c r="U44" i="1"/>
  <c r="U37" i="1"/>
  <c r="U9" i="1"/>
  <c r="U32" i="1"/>
  <c r="U29" i="1"/>
  <c r="U28" i="1"/>
  <c r="U7" i="1"/>
  <c r="U19" i="1"/>
  <c r="U31" i="1"/>
  <c r="U4" i="1"/>
  <c r="U16" i="1"/>
  <c r="V1" i="6"/>
  <c r="U9" i="6"/>
  <c r="U10" i="6" s="1"/>
  <c r="U3" i="6"/>
  <c r="U17" i="6"/>
  <c r="U11" i="6"/>
  <c r="U5" i="6"/>
  <c r="U20" i="6"/>
  <c r="T18" i="6"/>
  <c r="T20" i="6"/>
  <c r="T21" i="6" s="1"/>
  <c r="U21" i="6" s="1"/>
  <c r="H12" i="6"/>
  <c r="G14" i="6"/>
  <c r="H6" i="6"/>
  <c r="G7" i="6"/>
  <c r="M4" i="6"/>
  <c r="V31" i="1" l="1"/>
  <c r="V16" i="1"/>
  <c r="V26" i="1"/>
  <c r="V29" i="1"/>
  <c r="V13" i="1"/>
  <c r="V45" i="1"/>
  <c r="V27" i="1"/>
  <c r="V8" i="1"/>
  <c r="V44" i="1"/>
  <c r="V20" i="1"/>
  <c r="V4" i="1"/>
  <c r="V38" i="1"/>
  <c r="V14" i="1"/>
  <c r="V36" i="1"/>
  <c r="V11" i="1"/>
  <c r="V9" i="1"/>
  <c r="V42" i="1"/>
  <c r="V7" i="1"/>
  <c r="V43" i="1"/>
  <c r="V19" i="1"/>
  <c r="V33" i="1"/>
  <c r="V5" i="1"/>
  <c r="V24" i="1"/>
  <c r="V32" i="1"/>
  <c r="V39" i="1"/>
  <c r="V10" i="1"/>
  <c r="V37" i="1"/>
  <c r="V28" i="1"/>
  <c r="V35" i="1"/>
  <c r="V6" i="1"/>
  <c r="V22" i="1"/>
  <c r="W2" i="1"/>
  <c r="V3" i="1"/>
  <c r="V23" i="1"/>
  <c r="V25" i="1"/>
  <c r="U18" i="6"/>
  <c r="W1" i="6"/>
  <c r="V3" i="6"/>
  <c r="V17" i="6"/>
  <c r="V11" i="6"/>
  <c r="V20" i="6"/>
  <c r="V21" i="6" s="1"/>
  <c r="V5" i="6"/>
  <c r="H14" i="6"/>
  <c r="I12" i="6"/>
  <c r="N4" i="6"/>
  <c r="I6" i="6"/>
  <c r="H7" i="6"/>
  <c r="W21" i="6" l="1"/>
  <c r="W36" i="1"/>
  <c r="W22" i="1"/>
  <c r="W5" i="1"/>
  <c r="W42" i="1"/>
  <c r="W25" i="1"/>
  <c r="W11" i="1"/>
  <c r="W39" i="1"/>
  <c r="W24" i="1"/>
  <c r="W7" i="1"/>
  <c r="W29" i="1"/>
  <c r="W6" i="1"/>
  <c r="W44" i="1"/>
  <c r="W20" i="1"/>
  <c r="W43" i="1"/>
  <c r="W4" i="1"/>
  <c r="W35" i="1"/>
  <c r="W8" i="1"/>
  <c r="W33" i="1"/>
  <c r="W16" i="1"/>
  <c r="W31" i="1"/>
  <c r="X2" i="1"/>
  <c r="W32" i="1"/>
  <c r="W14" i="1"/>
  <c r="W23" i="1"/>
  <c r="W28" i="1"/>
  <c r="W9" i="1"/>
  <c r="W27" i="1"/>
  <c r="W26" i="1"/>
  <c r="W38" i="1"/>
  <c r="W37" i="1"/>
  <c r="W3" i="1"/>
  <c r="W13" i="1"/>
  <c r="W45" i="1"/>
  <c r="W19" i="1"/>
  <c r="W10" i="1"/>
  <c r="W9" i="6"/>
  <c r="X1" i="6"/>
  <c r="W3" i="6" s="1"/>
  <c r="W17" i="6"/>
  <c r="W11" i="6"/>
  <c r="W20" i="6"/>
  <c r="W5" i="6"/>
  <c r="V9" i="6"/>
  <c r="V10" i="6" s="1"/>
  <c r="V18" i="6"/>
  <c r="I14" i="6"/>
  <c r="J12" i="6"/>
  <c r="O4" i="6"/>
  <c r="J6" i="6"/>
  <c r="I7" i="6"/>
  <c r="W10" i="6" l="1"/>
  <c r="X35" i="1"/>
  <c r="X20" i="1"/>
  <c r="X3" i="1"/>
  <c r="X36" i="1"/>
  <c r="X19" i="1"/>
  <c r="X5" i="1"/>
  <c r="X33" i="1"/>
  <c r="X16" i="1"/>
  <c r="X32" i="1"/>
  <c r="X8" i="1"/>
  <c r="X44" i="1"/>
  <c r="X24" i="1"/>
  <c r="X43" i="1"/>
  <c r="X23" i="1"/>
  <c r="X28" i="1"/>
  <c r="X14" i="1"/>
  <c r="X27" i="1"/>
  <c r="X9" i="1"/>
  <c r="X25" i="1"/>
  <c r="X26" i="1"/>
  <c r="X13" i="1"/>
  <c r="X42" i="1"/>
  <c r="X6" i="1"/>
  <c r="X22" i="1"/>
  <c r="X45" i="1"/>
  <c r="X10" i="1"/>
  <c r="X39" i="1"/>
  <c r="X31" i="1"/>
  <c r="X29" i="1"/>
  <c r="Y2" i="1"/>
  <c r="X7" i="1"/>
  <c r="X4" i="1"/>
  <c r="X11" i="1"/>
  <c r="X38" i="1"/>
  <c r="X37" i="1"/>
  <c r="W18" i="6"/>
  <c r="Y1" i="6"/>
  <c r="X9" i="6"/>
  <c r="X3" i="6"/>
  <c r="X17" i="6"/>
  <c r="X11" i="6"/>
  <c r="X20" i="6"/>
  <c r="X21" i="6" s="1"/>
  <c r="X5" i="6"/>
  <c r="J14" i="6"/>
  <c r="K12" i="6"/>
  <c r="K6" i="6"/>
  <c r="J7" i="6"/>
  <c r="P4" i="6"/>
  <c r="Y33" i="1" l="1"/>
  <c r="Y9" i="1"/>
  <c r="Y3" i="1"/>
  <c r="Y29" i="1"/>
  <c r="Y13" i="1"/>
  <c r="Y45" i="1"/>
  <c r="Y27" i="1"/>
  <c r="Y10" i="1"/>
  <c r="Y38" i="1"/>
  <c r="Y11" i="1"/>
  <c r="Y44" i="1"/>
  <c r="Y19" i="1"/>
  <c r="Y22" i="1"/>
  <c r="Y43" i="1"/>
  <c r="Y16" i="1"/>
  <c r="Y14" i="1"/>
  <c r="Y7" i="1"/>
  <c r="Y39" i="1"/>
  <c r="Y28" i="1"/>
  <c r="Y42" i="1"/>
  <c r="Y5" i="1"/>
  <c r="Y35" i="1"/>
  <c r="Z2" i="1"/>
  <c r="Y37" i="1"/>
  <c r="Y8" i="1"/>
  <c r="Y36" i="1"/>
  <c r="Y6" i="1"/>
  <c r="Y26" i="1"/>
  <c r="Y31" i="1"/>
  <c r="Y32" i="1"/>
  <c r="Y25" i="1"/>
  <c r="Y23" i="1"/>
  <c r="Y20" i="1"/>
  <c r="Y4" i="1"/>
  <c r="Y24" i="1"/>
  <c r="Z1" i="6"/>
  <c r="Y9" i="6"/>
  <c r="Y3" i="6"/>
  <c r="Y17" i="6"/>
  <c r="Y5" i="6"/>
  <c r="Y11" i="6"/>
  <c r="Y20" i="6"/>
  <c r="Y21" i="6" s="1"/>
  <c r="X18" i="6"/>
  <c r="X10" i="6"/>
  <c r="Y10" i="6" s="1"/>
  <c r="K14" i="6"/>
  <c r="L12" i="6"/>
  <c r="Q4" i="6"/>
  <c r="L6" i="6"/>
  <c r="K7" i="6"/>
  <c r="Y18" i="6" l="1"/>
  <c r="Z31" i="1"/>
  <c r="Z10" i="1"/>
  <c r="Z22" i="1"/>
  <c r="Z42" i="1"/>
  <c r="Z20" i="1"/>
  <c r="Z26" i="1"/>
  <c r="Z39" i="1"/>
  <c r="Z19" i="1"/>
  <c r="AA2" i="1"/>
  <c r="Z44" i="1"/>
  <c r="Z16" i="1"/>
  <c r="Z4" i="1"/>
  <c r="Z23" i="1"/>
  <c r="Z45" i="1"/>
  <c r="Z14" i="1"/>
  <c r="Z37" i="1"/>
  <c r="Z7" i="1"/>
  <c r="Z36" i="1"/>
  <c r="Z6" i="1"/>
  <c r="Z33" i="1"/>
  <c r="Z28" i="1"/>
  <c r="Z27" i="1"/>
  <c r="Z35" i="1"/>
  <c r="Z5" i="1"/>
  <c r="Z29" i="1"/>
  <c r="Z32" i="1"/>
  <c r="Z3" i="1"/>
  <c r="Z24" i="1"/>
  <c r="Z25" i="1"/>
  <c r="Z43" i="1"/>
  <c r="Z38" i="1"/>
  <c r="Z9" i="1"/>
  <c r="Z13" i="1"/>
  <c r="Z11" i="1"/>
  <c r="Z8" i="1"/>
  <c r="AA1" i="6"/>
  <c r="Z9" i="6"/>
  <c r="Z10" i="6" s="1"/>
  <c r="Z3" i="6"/>
  <c r="Z17" i="6"/>
  <c r="Z20" i="6"/>
  <c r="Z21" i="6" s="1"/>
  <c r="Z5" i="6"/>
  <c r="Z11" i="6"/>
  <c r="L14" i="6"/>
  <c r="M12" i="6"/>
  <c r="M6" i="6"/>
  <c r="L7" i="6"/>
  <c r="R4" i="6"/>
  <c r="AB1" i="6" l="1"/>
  <c r="AA9" i="6"/>
  <c r="AA10" i="6" s="1"/>
  <c r="AA3" i="6"/>
  <c r="AA17" i="6"/>
  <c r="AA20" i="6"/>
  <c r="AA21" i="6" s="1"/>
  <c r="AA11" i="6"/>
  <c r="AA5" i="6"/>
  <c r="Z18" i="6"/>
  <c r="AA28" i="1"/>
  <c r="AA4" i="1"/>
  <c r="AA44" i="1"/>
  <c r="AA9" i="1"/>
  <c r="AA23" i="1"/>
  <c r="AA31" i="1"/>
  <c r="AA33" i="1"/>
  <c r="AA7" i="1"/>
  <c r="AA20" i="1"/>
  <c r="AA11" i="1"/>
  <c r="AA45" i="1"/>
  <c r="AA10" i="1"/>
  <c r="AA19" i="1"/>
  <c r="AA43" i="1"/>
  <c r="AA8" i="1"/>
  <c r="AA36" i="1"/>
  <c r="AA25" i="1"/>
  <c r="AA42" i="1"/>
  <c r="AA5" i="1"/>
  <c r="AA13" i="1"/>
  <c r="AA26" i="1"/>
  <c r="AB2" i="1"/>
  <c r="AA39" i="1"/>
  <c r="AA37" i="1"/>
  <c r="AA6" i="1"/>
  <c r="AA24" i="1"/>
  <c r="AA3" i="1"/>
  <c r="AA16" i="1"/>
  <c r="AA14" i="1"/>
  <c r="AA29" i="1"/>
  <c r="AA35" i="1"/>
  <c r="AA32" i="1"/>
  <c r="AA38" i="1"/>
  <c r="AA27" i="1"/>
  <c r="AA22" i="1"/>
  <c r="N12" i="6"/>
  <c r="M14" i="6"/>
  <c r="S4" i="6"/>
  <c r="N6" i="6"/>
  <c r="M7" i="6"/>
  <c r="AA18" i="6" l="1"/>
  <c r="AC1" i="6"/>
  <c r="AB9" i="6"/>
  <c r="AB10" i="6" s="1"/>
  <c r="AB3" i="6"/>
  <c r="AB17" i="6"/>
  <c r="AB5" i="6"/>
  <c r="AB20" i="6"/>
  <c r="AB21" i="6" s="1"/>
  <c r="AB11" i="6"/>
  <c r="AB45" i="1"/>
  <c r="AB31" i="1"/>
  <c r="AB7" i="1"/>
  <c r="AB33" i="1"/>
  <c r="AB5" i="1"/>
  <c r="AB28" i="1"/>
  <c r="AB27" i="1"/>
  <c r="AB38" i="1"/>
  <c r="AB13" i="1"/>
  <c r="AB22" i="1"/>
  <c r="AC2" i="1"/>
  <c r="AB43" i="1"/>
  <c r="AB25" i="1"/>
  <c r="AB19" i="1"/>
  <c r="AB4" i="1"/>
  <c r="AB3" i="1"/>
  <c r="AB37" i="1"/>
  <c r="AB14" i="1"/>
  <c r="AB39" i="1"/>
  <c r="AB16" i="1"/>
  <c r="AB9" i="1"/>
  <c r="AB29" i="1"/>
  <c r="AB44" i="1"/>
  <c r="AB35" i="1"/>
  <c r="AB11" i="1"/>
  <c r="AB32" i="1"/>
  <c r="AB6" i="1"/>
  <c r="AB23" i="1"/>
  <c r="AB42" i="1"/>
  <c r="AB26" i="1"/>
  <c r="AB24" i="1"/>
  <c r="AB10" i="1"/>
  <c r="AB20" i="1"/>
  <c r="AB36" i="1"/>
  <c r="AB8" i="1"/>
  <c r="O12" i="6"/>
  <c r="N14" i="6"/>
  <c r="O6" i="6"/>
  <c r="N7" i="6"/>
  <c r="T4" i="6"/>
  <c r="AC44" i="1" l="1"/>
  <c r="AC28" i="1"/>
  <c r="AC11" i="1"/>
  <c r="AC42" i="1"/>
  <c r="AC25" i="1"/>
  <c r="AC6" i="1"/>
  <c r="AC39" i="1"/>
  <c r="AC24" i="1"/>
  <c r="AD2" i="1"/>
  <c r="AC36" i="1"/>
  <c r="AC16" i="1"/>
  <c r="AC27" i="1"/>
  <c r="AC10" i="1"/>
  <c r="AC26" i="1"/>
  <c r="AC8" i="1"/>
  <c r="AC43" i="1"/>
  <c r="AC5" i="1"/>
  <c r="AC38" i="1"/>
  <c r="AC14" i="1"/>
  <c r="AC35" i="1"/>
  <c r="AC29" i="1"/>
  <c r="AC37" i="1"/>
  <c r="AC9" i="1"/>
  <c r="AC7" i="1"/>
  <c r="AC31" i="1"/>
  <c r="AC33" i="1"/>
  <c r="AC13" i="1"/>
  <c r="AC32" i="1"/>
  <c r="AC4" i="1"/>
  <c r="AC3" i="1"/>
  <c r="AC20" i="1"/>
  <c r="AC19" i="1"/>
  <c r="AC22" i="1"/>
  <c r="AC23" i="1"/>
  <c r="AC45" i="1"/>
  <c r="AD1" i="6"/>
  <c r="AC3" i="6" s="1"/>
  <c r="AC11" i="6"/>
  <c r="AC5" i="6"/>
  <c r="AC20" i="6"/>
  <c r="AC21" i="6" s="1"/>
  <c r="AB18" i="6"/>
  <c r="P12" i="6"/>
  <c r="O14" i="6"/>
  <c r="U4" i="6"/>
  <c r="P6" i="6"/>
  <c r="O7" i="6"/>
  <c r="AD21" i="6" l="1"/>
  <c r="AC17" i="6"/>
  <c r="AD39" i="1"/>
  <c r="AD26" i="1"/>
  <c r="AD9" i="1"/>
  <c r="AD44" i="1"/>
  <c r="AD8" i="1"/>
  <c r="AD3" i="1"/>
  <c r="AD42" i="1"/>
  <c r="AD6" i="1"/>
  <c r="AD4" i="1"/>
  <c r="AD37" i="1"/>
  <c r="AD13" i="1"/>
  <c r="AD28" i="1"/>
  <c r="AD27" i="1"/>
  <c r="AD24" i="1"/>
  <c r="AD25" i="1"/>
  <c r="AD36" i="1"/>
  <c r="AD19" i="1"/>
  <c r="AD31" i="1"/>
  <c r="AD33" i="1"/>
  <c r="AD20" i="1"/>
  <c r="AD10" i="1"/>
  <c r="AD45" i="1"/>
  <c r="AD22" i="1"/>
  <c r="AD23" i="1"/>
  <c r="AE2" i="1"/>
  <c r="AD43" i="1"/>
  <c r="AD32" i="1"/>
  <c r="AD38" i="1"/>
  <c r="AD14" i="1"/>
  <c r="AD35" i="1"/>
  <c r="AD29" i="1"/>
  <c r="AD16" i="1"/>
  <c r="AD11" i="1"/>
  <c r="AD5" i="1"/>
  <c r="AD7" i="1"/>
  <c r="AC18" i="6"/>
  <c r="AE1" i="6"/>
  <c r="AD9" i="6"/>
  <c r="AD3" i="6"/>
  <c r="AD17" i="6"/>
  <c r="AD5" i="6"/>
  <c r="AD11" i="6"/>
  <c r="AD20" i="6"/>
  <c r="AC9" i="6"/>
  <c r="AC10" i="6" s="1"/>
  <c r="AD10" i="6" s="1"/>
  <c r="P14" i="6"/>
  <c r="Q12" i="6"/>
  <c r="Q6" i="6"/>
  <c r="P7" i="6"/>
  <c r="V4" i="6"/>
  <c r="AD18" i="6" l="1"/>
  <c r="AF1" i="6"/>
  <c r="AE9" i="6"/>
  <c r="AE10" i="6" s="1"/>
  <c r="AE3" i="6"/>
  <c r="AE17" i="6"/>
  <c r="AE11" i="6"/>
  <c r="AE20" i="6"/>
  <c r="AE5" i="6"/>
  <c r="AE42" i="1"/>
  <c r="AE26" i="1"/>
  <c r="AE5" i="1"/>
  <c r="AE31" i="1"/>
  <c r="AE11" i="1"/>
  <c r="AE29" i="1"/>
  <c r="AE9" i="1"/>
  <c r="AE45" i="1"/>
  <c r="AE25" i="1"/>
  <c r="AE6" i="1"/>
  <c r="AE28" i="1"/>
  <c r="AE13" i="1"/>
  <c r="AE27" i="1"/>
  <c r="AE16" i="1"/>
  <c r="AE23" i="1"/>
  <c r="AE44" i="1"/>
  <c r="AE20" i="1"/>
  <c r="AE22" i="1"/>
  <c r="AE39" i="1"/>
  <c r="AE14" i="1"/>
  <c r="AE37" i="1"/>
  <c r="AE43" i="1"/>
  <c r="AE4" i="1"/>
  <c r="AE3" i="1"/>
  <c r="AE38" i="1"/>
  <c r="AE7" i="1"/>
  <c r="AE36" i="1"/>
  <c r="AE35" i="1"/>
  <c r="AE32" i="1"/>
  <c r="AE24" i="1"/>
  <c r="AE10" i="1"/>
  <c r="AF2" i="1"/>
  <c r="AE33" i="1"/>
  <c r="AE19" i="1"/>
  <c r="AE8" i="1"/>
  <c r="AE18" i="6"/>
  <c r="AE21" i="6"/>
  <c r="Q14" i="6"/>
  <c r="R12" i="6"/>
  <c r="W4" i="6"/>
  <c r="R6" i="6"/>
  <c r="Q7" i="6"/>
  <c r="AF39" i="1" l="1"/>
  <c r="AF25" i="1"/>
  <c r="AF14" i="1"/>
  <c r="AF43" i="1"/>
  <c r="AF26" i="1"/>
  <c r="AF3" i="1"/>
  <c r="AF42" i="1"/>
  <c r="AF24" i="1"/>
  <c r="AF5" i="1"/>
  <c r="AF31" i="1"/>
  <c r="AF6" i="1"/>
  <c r="AF29" i="1"/>
  <c r="AF7" i="1"/>
  <c r="AF28" i="1"/>
  <c r="AF9" i="1"/>
  <c r="AF44" i="1"/>
  <c r="AF16" i="1"/>
  <c r="AF37" i="1"/>
  <c r="AF10" i="1"/>
  <c r="AF38" i="1"/>
  <c r="AF13" i="1"/>
  <c r="AF35" i="1"/>
  <c r="AF4" i="1"/>
  <c r="AF32" i="1"/>
  <c r="AF36" i="1"/>
  <c r="AF8" i="1"/>
  <c r="AG2" i="1"/>
  <c r="AF33" i="1"/>
  <c r="AF11" i="1"/>
  <c r="AF22" i="1"/>
  <c r="AF20" i="1"/>
  <c r="AF19" i="1"/>
  <c r="AF27" i="1"/>
  <c r="AF45" i="1"/>
  <c r="AF23" i="1"/>
  <c r="AG1" i="6"/>
  <c r="AF9" i="6"/>
  <c r="AF10" i="6" s="1"/>
  <c r="AF3" i="6"/>
  <c r="AF17" i="6"/>
  <c r="AF18" i="6" s="1"/>
  <c r="AF5" i="6"/>
  <c r="AF20" i="6"/>
  <c r="AF21" i="6" s="1"/>
  <c r="AF11" i="6"/>
  <c r="R14" i="6"/>
  <c r="S12" i="6"/>
  <c r="S6" i="6"/>
  <c r="R7" i="6"/>
  <c r="X4" i="6"/>
  <c r="AG21" i="6" l="1"/>
  <c r="AG38" i="1"/>
  <c r="AG36" i="1"/>
  <c r="AG20" i="1"/>
  <c r="AG5" i="1"/>
  <c r="AG35" i="1"/>
  <c r="AG6" i="1"/>
  <c r="AG9" i="1"/>
  <c r="AG33" i="1"/>
  <c r="AG13" i="1"/>
  <c r="AG31" i="1"/>
  <c r="AG4" i="1"/>
  <c r="AG28" i="1"/>
  <c r="AG3" i="1"/>
  <c r="AG37" i="1"/>
  <c r="AG25" i="1"/>
  <c r="AG29" i="1"/>
  <c r="AG14" i="1"/>
  <c r="AG32" i="1"/>
  <c r="AG23" i="1"/>
  <c r="AG24" i="1"/>
  <c r="AG19" i="1"/>
  <c r="AG26" i="1"/>
  <c r="AG11" i="1"/>
  <c r="AG7" i="1"/>
  <c r="AG22" i="1"/>
  <c r="AG8" i="1"/>
  <c r="AG42" i="1"/>
  <c r="AG16" i="1"/>
  <c r="AG45" i="1"/>
  <c r="AG43" i="1"/>
  <c r="AG39" i="1"/>
  <c r="AG44" i="1"/>
  <c r="AH2" i="1"/>
  <c r="AG27" i="1"/>
  <c r="AG10" i="1"/>
  <c r="AH1" i="6"/>
  <c r="AG3" i="6"/>
  <c r="AG17" i="6"/>
  <c r="AG18" i="6" s="1"/>
  <c r="AG11" i="6"/>
  <c r="AG5" i="6"/>
  <c r="AG20" i="6"/>
  <c r="S14" i="6"/>
  <c r="T12" i="6"/>
  <c r="Y4" i="6"/>
  <c r="T6" i="6"/>
  <c r="S7" i="6"/>
  <c r="AH35" i="1" l="1"/>
  <c r="AH7" i="1"/>
  <c r="AH3" i="1"/>
  <c r="AH33" i="1"/>
  <c r="AH6" i="1"/>
  <c r="AH25" i="1"/>
  <c r="AH43" i="1"/>
  <c r="AH11" i="1"/>
  <c r="AI2" i="1"/>
  <c r="AH36" i="1"/>
  <c r="AH29" i="1"/>
  <c r="AH32" i="1"/>
  <c r="AH26" i="1"/>
  <c r="AH19" i="1"/>
  <c r="AH22" i="1"/>
  <c r="AH14" i="1"/>
  <c r="AH23" i="1"/>
  <c r="AH16" i="1"/>
  <c r="AH4" i="1"/>
  <c r="AH10" i="1"/>
  <c r="AH45" i="1"/>
  <c r="AH8" i="1"/>
  <c r="AH13" i="1"/>
  <c r="AH9" i="1"/>
  <c r="AH44" i="1"/>
  <c r="AH42" i="1"/>
  <c r="AH39" i="1"/>
  <c r="AH37" i="1"/>
  <c r="AH31" i="1"/>
  <c r="AH28" i="1"/>
  <c r="AH38" i="1"/>
  <c r="AH5" i="1"/>
  <c r="AH24" i="1"/>
  <c r="AH20" i="1"/>
  <c r="AH27" i="1"/>
  <c r="AI1" i="6"/>
  <c r="AH9" i="6" s="1"/>
  <c r="AG9" i="6"/>
  <c r="AG10" i="6" s="1"/>
  <c r="U12" i="6"/>
  <c r="T14" i="6"/>
  <c r="Z4" i="6"/>
  <c r="U6" i="6"/>
  <c r="T7" i="6"/>
  <c r="AH10" i="6" l="1"/>
  <c r="AH20" i="6"/>
  <c r="AH21" i="6" s="1"/>
  <c r="AH5" i="6"/>
  <c r="AH17" i="6"/>
  <c r="AH18" i="6" s="1"/>
  <c r="AH3" i="6"/>
  <c r="AI38" i="1"/>
  <c r="AI36" i="1"/>
  <c r="AI5" i="1"/>
  <c r="AI16" i="1"/>
  <c r="AI33" i="1"/>
  <c r="AI24" i="1"/>
  <c r="AI37" i="1"/>
  <c r="AI11" i="1"/>
  <c r="AI19" i="1"/>
  <c r="AI35" i="1"/>
  <c r="AI9" i="1"/>
  <c r="AI25" i="1"/>
  <c r="AI6" i="1"/>
  <c r="AI20" i="1"/>
  <c r="AI3" i="1"/>
  <c r="AI23" i="1"/>
  <c r="AI4" i="1"/>
  <c r="AI14" i="1"/>
  <c r="AI43" i="1"/>
  <c r="AI26" i="1"/>
  <c r="AI45" i="1"/>
  <c r="AI28" i="1"/>
  <c r="AI44" i="1"/>
  <c r="AI7" i="1"/>
  <c r="AI39" i="1"/>
  <c r="AI31" i="1"/>
  <c r="AI42" i="1"/>
  <c r="AI22" i="1"/>
  <c r="AI13" i="1"/>
  <c r="AI8" i="1"/>
  <c r="AI29" i="1"/>
  <c r="AI27" i="1"/>
  <c r="AJ2" i="1"/>
  <c r="AI10" i="1"/>
  <c r="AI32" i="1"/>
  <c r="AH11" i="6"/>
  <c r="AJ1" i="6"/>
  <c r="AI9" i="6"/>
  <c r="AI3" i="6"/>
  <c r="AI17" i="6"/>
  <c r="AI20" i="6"/>
  <c r="AI5" i="6"/>
  <c r="AI11" i="6"/>
  <c r="U14" i="6"/>
  <c r="V12" i="6"/>
  <c r="V6" i="6"/>
  <c r="U7" i="6"/>
  <c r="AA4" i="6"/>
  <c r="AK1" i="6" l="1"/>
  <c r="AJ9" i="6" s="1"/>
  <c r="AI18" i="6"/>
  <c r="AJ20" i="1"/>
  <c r="AJ19" i="1"/>
  <c r="AJ42" i="1"/>
  <c r="AJ35" i="1"/>
  <c r="AJ37" i="1"/>
  <c r="AJ16" i="1"/>
  <c r="AJ14" i="1"/>
  <c r="AJ45" i="1"/>
  <c r="AJ43" i="1"/>
  <c r="AJ9" i="1"/>
  <c r="AJ26" i="1"/>
  <c r="AJ5" i="1"/>
  <c r="AJ10" i="1"/>
  <c r="AJ13" i="1"/>
  <c r="AK2" i="1"/>
  <c r="AJ7" i="1"/>
  <c r="AJ6" i="1"/>
  <c r="AJ36" i="1"/>
  <c r="AJ31" i="1"/>
  <c r="AJ8" i="1"/>
  <c r="AJ22" i="1"/>
  <c r="AJ38" i="1"/>
  <c r="AJ4" i="1"/>
  <c r="AJ27" i="1"/>
  <c r="AJ25" i="1"/>
  <c r="AJ23" i="1"/>
  <c r="AJ39" i="1"/>
  <c r="AJ11" i="1"/>
  <c r="AJ28" i="1"/>
  <c r="AJ3" i="1"/>
  <c r="AJ32" i="1"/>
  <c r="AJ24" i="1"/>
  <c r="AJ33" i="1"/>
  <c r="AJ44" i="1"/>
  <c r="AJ29" i="1"/>
  <c r="AI21" i="6"/>
  <c r="AI10" i="6"/>
  <c r="V14" i="6"/>
  <c r="W12" i="6"/>
  <c r="AB4" i="6"/>
  <c r="W6" i="6"/>
  <c r="V7" i="6"/>
  <c r="AJ10" i="6" l="1"/>
  <c r="AJ21" i="6"/>
  <c r="AJ20" i="6"/>
  <c r="AK45" i="1"/>
  <c r="AK29" i="1"/>
  <c r="AK37" i="1"/>
  <c r="AK22" i="1"/>
  <c r="AK13" i="1"/>
  <c r="AK36" i="1"/>
  <c r="AK19" i="1"/>
  <c r="AK10" i="1"/>
  <c r="AK35" i="1"/>
  <c r="AK16" i="1"/>
  <c r="AK28" i="1"/>
  <c r="AK3" i="1"/>
  <c r="AK26" i="1"/>
  <c r="AK4" i="1"/>
  <c r="AK27" i="1"/>
  <c r="AL2" i="1"/>
  <c r="AK24" i="1"/>
  <c r="AK43" i="1"/>
  <c r="AK25" i="1"/>
  <c r="AK6" i="1"/>
  <c r="AK44" i="1"/>
  <c r="AK8" i="1"/>
  <c r="AK23" i="1"/>
  <c r="AK33" i="1"/>
  <c r="AK32" i="1"/>
  <c r="AK20" i="1"/>
  <c r="AK14" i="1"/>
  <c r="AK9" i="1"/>
  <c r="AK5" i="1"/>
  <c r="AK31" i="1"/>
  <c r="AK11" i="1"/>
  <c r="AK7" i="1"/>
  <c r="AK39" i="1"/>
  <c r="AK42" i="1"/>
  <c r="AK38" i="1"/>
  <c r="AJ5" i="6"/>
  <c r="AJ11" i="6"/>
  <c r="AJ17" i="6"/>
  <c r="AJ18" i="6" s="1"/>
  <c r="AJ3" i="6"/>
  <c r="AL1" i="6"/>
  <c r="AK9" i="6"/>
  <c r="AK3" i="6"/>
  <c r="AK17" i="6"/>
  <c r="AK5" i="6"/>
  <c r="AK11" i="6"/>
  <c r="X12" i="6"/>
  <c r="W14" i="6"/>
  <c r="X6" i="6"/>
  <c r="W7" i="6"/>
  <c r="AC4" i="6"/>
  <c r="AK18" i="6" l="1"/>
  <c r="AM1" i="6"/>
  <c r="AL17" i="6" s="1"/>
  <c r="AL18" i="6" s="1"/>
  <c r="AL9" i="6"/>
  <c r="AL3" i="6"/>
  <c r="AL5" i="6"/>
  <c r="AL11" i="6"/>
  <c r="AL20" i="6"/>
  <c r="AL27" i="1"/>
  <c r="AL14" i="1"/>
  <c r="AL22" i="1"/>
  <c r="AL43" i="1"/>
  <c r="AL28" i="1"/>
  <c r="AL45" i="1"/>
  <c r="AL39" i="1"/>
  <c r="AL16" i="1"/>
  <c r="AL25" i="1"/>
  <c r="AL5" i="1"/>
  <c r="AL20" i="1"/>
  <c r="AL23" i="1"/>
  <c r="AL26" i="1"/>
  <c r="AL8" i="1"/>
  <c r="AL35" i="1"/>
  <c r="AL32" i="1"/>
  <c r="AL37" i="1"/>
  <c r="AL10" i="1"/>
  <c r="AL3" i="1"/>
  <c r="AL4" i="1"/>
  <c r="AL44" i="1"/>
  <c r="AL36" i="1"/>
  <c r="AL33" i="1"/>
  <c r="AL29" i="1"/>
  <c r="AM2" i="1"/>
  <c r="AL19" i="1"/>
  <c r="AL9" i="1"/>
  <c r="AL24" i="1"/>
  <c r="AL11" i="1"/>
  <c r="AL7" i="1"/>
  <c r="AL38" i="1"/>
  <c r="AL13" i="1"/>
  <c r="AL31" i="1"/>
  <c r="AL6" i="1"/>
  <c r="AL42" i="1"/>
  <c r="AK20" i="6"/>
  <c r="AK21" i="6"/>
  <c r="AL21" i="6" s="1"/>
  <c r="AK10" i="6"/>
  <c r="Y12" i="6"/>
  <c r="X14" i="6"/>
  <c r="AD4" i="6"/>
  <c r="Y6" i="6"/>
  <c r="X7" i="6"/>
  <c r="AL10" i="6" l="1"/>
  <c r="AM33" i="1"/>
  <c r="AM13" i="1"/>
  <c r="AN2" i="1"/>
  <c r="AM42" i="1"/>
  <c r="AM25" i="1"/>
  <c r="AM9" i="1"/>
  <c r="AM39" i="1"/>
  <c r="AM24" i="1"/>
  <c r="AM7" i="1"/>
  <c r="AM37" i="1"/>
  <c r="AM10" i="1"/>
  <c r="AM35" i="1"/>
  <c r="AM36" i="1"/>
  <c r="AM8" i="1"/>
  <c r="AM6" i="1"/>
  <c r="AM31" i="1"/>
  <c r="AM29" i="1"/>
  <c r="AM32" i="1"/>
  <c r="AM4" i="1"/>
  <c r="AM3" i="1"/>
  <c r="AM14" i="1"/>
  <c r="AM44" i="1"/>
  <c r="AM19" i="1"/>
  <c r="AM28" i="1"/>
  <c r="AM27" i="1"/>
  <c r="AM23" i="1"/>
  <c r="AM43" i="1"/>
  <c r="AM38" i="1"/>
  <c r="AM26" i="1"/>
  <c r="AM22" i="1"/>
  <c r="AM45" i="1"/>
  <c r="AM20" i="1"/>
  <c r="AM11" i="1"/>
  <c r="AM5" i="1"/>
  <c r="AM16" i="1"/>
  <c r="AN1" i="6"/>
  <c r="AM9" i="6"/>
  <c r="AM3" i="6"/>
  <c r="AM17" i="6"/>
  <c r="AM18" i="6" s="1"/>
  <c r="AM5" i="6"/>
  <c r="AM20" i="6"/>
  <c r="AM21" i="6" s="1"/>
  <c r="AM11" i="6"/>
  <c r="Y14" i="6"/>
  <c r="Z12" i="6"/>
  <c r="Z6" i="6"/>
  <c r="Y7" i="6"/>
  <c r="AE4" i="6"/>
  <c r="AN32" i="1" l="1"/>
  <c r="AN16" i="1"/>
  <c r="AN6" i="1"/>
  <c r="AN36" i="1"/>
  <c r="AN20" i="1"/>
  <c r="AN3" i="1"/>
  <c r="AN35" i="1"/>
  <c r="AN19" i="1"/>
  <c r="AN43" i="1"/>
  <c r="AN24" i="1"/>
  <c r="AN4" i="1"/>
  <c r="AN39" i="1"/>
  <c r="AN42" i="1"/>
  <c r="AN23" i="1"/>
  <c r="AN22" i="1"/>
  <c r="AN37" i="1"/>
  <c r="AN33" i="1"/>
  <c r="AN38" i="1"/>
  <c r="AN14" i="1"/>
  <c r="AN11" i="1"/>
  <c r="AN9" i="1"/>
  <c r="AN8" i="1"/>
  <c r="AN45" i="1"/>
  <c r="AO2" i="1"/>
  <c r="AN44" i="1"/>
  <c r="AN10" i="1"/>
  <c r="AN29" i="1"/>
  <c r="AN28" i="1"/>
  <c r="AN26" i="1"/>
  <c r="AN31" i="1"/>
  <c r="AN27" i="1"/>
  <c r="AN13" i="1"/>
  <c r="AN25" i="1"/>
  <c r="AN7" i="1"/>
  <c r="AN5" i="1"/>
  <c r="AO1" i="6"/>
  <c r="AN11" i="6" s="1"/>
  <c r="AN9" i="6"/>
  <c r="AN3" i="6"/>
  <c r="AN17" i="6"/>
  <c r="AN18" i="6" s="1"/>
  <c r="AN20" i="6"/>
  <c r="AN21" i="6" s="1"/>
  <c r="AM10" i="6"/>
  <c r="AA12" i="6"/>
  <c r="Z14" i="6"/>
  <c r="AF4" i="6"/>
  <c r="AA6" i="6"/>
  <c r="Z7" i="6"/>
  <c r="AN5" i="6" l="1"/>
  <c r="AN10" i="6"/>
  <c r="AP1" i="6"/>
  <c r="AO3" i="6" s="1"/>
  <c r="AO9" i="6"/>
  <c r="AO17" i="6"/>
  <c r="AO18" i="6" s="1"/>
  <c r="AO11" i="6"/>
  <c r="AO20" i="6"/>
  <c r="AO21" i="6" s="1"/>
  <c r="AO5" i="6"/>
  <c r="AO29" i="1"/>
  <c r="AO10" i="1"/>
  <c r="AO16" i="1"/>
  <c r="AO6" i="1"/>
  <c r="AO45" i="1"/>
  <c r="AO22" i="1"/>
  <c r="AO4" i="1"/>
  <c r="AO25" i="1"/>
  <c r="AO9" i="1"/>
  <c r="AO43" i="1"/>
  <c r="AO19" i="1"/>
  <c r="AO44" i="1"/>
  <c r="AP2" i="1"/>
  <c r="AO7" i="1"/>
  <c r="AO31" i="1"/>
  <c r="AO39" i="1"/>
  <c r="AO14" i="1"/>
  <c r="AO38" i="1"/>
  <c r="AO42" i="1"/>
  <c r="AO28" i="1"/>
  <c r="AO11" i="1"/>
  <c r="AO23" i="1"/>
  <c r="AO26" i="1"/>
  <c r="AO3" i="1"/>
  <c r="AO24" i="1"/>
  <c r="AO37" i="1"/>
  <c r="AO36" i="1"/>
  <c r="AO33" i="1"/>
  <c r="AO5" i="1"/>
  <c r="AO35" i="1"/>
  <c r="AO32" i="1"/>
  <c r="AO8" i="1"/>
  <c r="AO27" i="1"/>
  <c r="AO20" i="1"/>
  <c r="AO13" i="1"/>
  <c r="AA14" i="6"/>
  <c r="AB12" i="6"/>
  <c r="AB6" i="6"/>
  <c r="AA7" i="6"/>
  <c r="AG4" i="6"/>
  <c r="AP21" i="6" l="1"/>
  <c r="AP43" i="1"/>
  <c r="AP13" i="1"/>
  <c r="AP24" i="1"/>
  <c r="AP42" i="1"/>
  <c r="AP11" i="1"/>
  <c r="AP22" i="1"/>
  <c r="AP33" i="1"/>
  <c r="AP31" i="1"/>
  <c r="AP26" i="1"/>
  <c r="AP32" i="1"/>
  <c r="AP28" i="1"/>
  <c r="AP29" i="1"/>
  <c r="AP27" i="1"/>
  <c r="AP45" i="1"/>
  <c r="AP25" i="1"/>
  <c r="AP16" i="1"/>
  <c r="AP19" i="1"/>
  <c r="AP14" i="1"/>
  <c r="AP10" i="1"/>
  <c r="AP6" i="1"/>
  <c r="AP5" i="1"/>
  <c r="AP4" i="1"/>
  <c r="AP23" i="1"/>
  <c r="AP39" i="1"/>
  <c r="AQ2" i="1"/>
  <c r="AP38" i="1"/>
  <c r="AP3" i="1"/>
  <c r="AP36" i="1"/>
  <c r="AP44" i="1"/>
  <c r="AP20" i="1"/>
  <c r="AP37" i="1"/>
  <c r="AP35" i="1"/>
  <c r="AP9" i="1"/>
  <c r="AP8" i="1"/>
  <c r="AP7" i="1"/>
  <c r="AQ1" i="6"/>
  <c r="AP9" i="6"/>
  <c r="AP3" i="6"/>
  <c r="AP17" i="6"/>
  <c r="AP18" i="6" s="1"/>
  <c r="AP20" i="6"/>
  <c r="AP5" i="6"/>
  <c r="AP11" i="6"/>
  <c r="AO10" i="6"/>
  <c r="AP10" i="6" s="1"/>
  <c r="AC12" i="6"/>
  <c r="AB14" i="6"/>
  <c r="AH4" i="6"/>
  <c r="AC6" i="6"/>
  <c r="AB7" i="6"/>
  <c r="AQ38" i="1" l="1"/>
  <c r="AQ24" i="1"/>
  <c r="AQ3" i="1"/>
  <c r="AQ36" i="1"/>
  <c r="AQ22" i="1"/>
  <c r="AQ13" i="1"/>
  <c r="AQ42" i="1"/>
  <c r="AQ27" i="1"/>
  <c r="AQ7" i="1"/>
  <c r="AQ33" i="1"/>
  <c r="AQ25" i="1"/>
  <c r="AQ11" i="1"/>
  <c r="AQ29" i="1"/>
  <c r="AQ23" i="1"/>
  <c r="AQ14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5" i="1"/>
  <c r="AQ39" i="1"/>
  <c r="AQ37" i="1"/>
  <c r="AQ20" i="1"/>
  <c r="AQ28" i="1"/>
  <c r="AQ6" i="1"/>
  <c r="AQ26" i="1"/>
  <c r="AQ4" i="1"/>
  <c r="AQ9" i="1"/>
  <c r="AQ19" i="1"/>
  <c r="AQ45" i="1"/>
  <c r="AQ8" i="1"/>
  <c r="AQ44" i="1"/>
  <c r="AQ10" i="1"/>
  <c r="AQ32" i="1"/>
  <c r="AQ16" i="1"/>
  <c r="AQ35" i="1"/>
  <c r="AQ31" i="1"/>
  <c r="AR1" i="6"/>
  <c r="AQ3" i="6"/>
  <c r="AQ17" i="6"/>
  <c r="AQ18" i="6" s="1"/>
  <c r="AQ11" i="6"/>
  <c r="AQ5" i="6"/>
  <c r="AQ20" i="6"/>
  <c r="AQ21" i="6"/>
  <c r="AC14" i="6"/>
  <c r="AD12" i="6"/>
  <c r="AD6" i="6"/>
  <c r="AC7" i="6"/>
  <c r="AI4" i="6"/>
  <c r="AS1" i="6" l="1"/>
  <c r="AR9" i="6"/>
  <c r="AR3" i="6"/>
  <c r="AR17" i="6"/>
  <c r="AR18" i="6" s="1"/>
  <c r="AR11" i="6"/>
  <c r="AR20" i="6"/>
  <c r="AR21" i="6" s="1"/>
  <c r="AR5" i="6"/>
  <c r="AQ9" i="6"/>
  <c r="AQ10" i="6" s="1"/>
  <c r="AR10" i="6" s="1"/>
  <c r="AD14" i="6"/>
  <c r="AE12" i="6"/>
  <c r="AJ4" i="6"/>
  <c r="AE6" i="6"/>
  <c r="AD7" i="6"/>
  <c r="AT1" i="6" l="1"/>
  <c r="AS17" i="6" s="1"/>
  <c r="AS18" i="6" s="1"/>
  <c r="AF12" i="6"/>
  <c r="AE14" i="6"/>
  <c r="AF6" i="6"/>
  <c r="AE7" i="6"/>
  <c r="AK4" i="6"/>
  <c r="AS11" i="6" l="1"/>
  <c r="AS3" i="6"/>
  <c r="AS9" i="6"/>
  <c r="AS10" i="6" s="1"/>
  <c r="AS20" i="6"/>
  <c r="AS21" i="6" s="1"/>
  <c r="AS5" i="6"/>
  <c r="AU1" i="6"/>
  <c r="AT9" i="6"/>
  <c r="AT3" i="6"/>
  <c r="AT17" i="6"/>
  <c r="AT18" i="6" s="1"/>
  <c r="AT11" i="6"/>
  <c r="AT20" i="6"/>
  <c r="AT5" i="6"/>
  <c r="AF14" i="6"/>
  <c r="AG12" i="6"/>
  <c r="AL4" i="6"/>
  <c r="AG6" i="6"/>
  <c r="AF7" i="6"/>
  <c r="AV1" i="6" l="1"/>
  <c r="AU3" i="6"/>
  <c r="AU17" i="6"/>
  <c r="AU18" i="6" s="1"/>
  <c r="AU5" i="6"/>
  <c r="AU20" i="6"/>
  <c r="AU11" i="6"/>
  <c r="AT21" i="6"/>
  <c r="AT10" i="6"/>
  <c r="AH12" i="6"/>
  <c r="AG14" i="6"/>
  <c r="AH6" i="6"/>
  <c r="AG7" i="6"/>
  <c r="AM4" i="6"/>
  <c r="AU21" i="6" l="1"/>
  <c r="AW1" i="6"/>
  <c r="AV9" i="6"/>
  <c r="AV3" i="6"/>
  <c r="AV17" i="6"/>
  <c r="AV18" i="6" s="1"/>
  <c r="AV5" i="6"/>
  <c r="AV20" i="6"/>
  <c r="AV11" i="6"/>
  <c r="AU9" i="6"/>
  <c r="AU10" i="6" s="1"/>
  <c r="AV10" i="6" s="1"/>
  <c r="AI12" i="6"/>
  <c r="AH14" i="6"/>
  <c r="AN4" i="6"/>
  <c r="AI6" i="6"/>
  <c r="AH7" i="6"/>
  <c r="AX1" i="6" l="1"/>
  <c r="AW3" i="6"/>
  <c r="AW17" i="6"/>
  <c r="AW18" i="6" s="1"/>
  <c r="AW5" i="6"/>
  <c r="AW20" i="6"/>
  <c r="AW11" i="6"/>
  <c r="AV21" i="6"/>
  <c r="AJ12" i="6"/>
  <c r="AI14" i="6"/>
  <c r="AJ6" i="6"/>
  <c r="AI7" i="6"/>
  <c r="AO4" i="6"/>
  <c r="AW21" i="6" l="1"/>
  <c r="AY1" i="6"/>
  <c r="AX17" i="6"/>
  <c r="AX18" i="6" s="1"/>
  <c r="AX5" i="6"/>
  <c r="AX11" i="6"/>
  <c r="AX20" i="6"/>
  <c r="AW9" i="6"/>
  <c r="AW10" i="6" s="1"/>
  <c r="AJ14" i="6"/>
  <c r="AK12" i="6"/>
  <c r="AP4" i="6"/>
  <c r="AK6" i="6"/>
  <c r="AJ7" i="6"/>
  <c r="AZ1" i="6" l="1"/>
  <c r="AX3" i="6"/>
  <c r="AX9" i="6"/>
  <c r="AX10" i="6" s="1"/>
  <c r="AX21" i="6"/>
  <c r="AL12" i="6"/>
  <c r="AK14" i="6"/>
  <c r="AL6" i="6"/>
  <c r="AK7" i="6"/>
  <c r="AQ4" i="6"/>
  <c r="BA1" i="6" l="1"/>
  <c r="AZ3" i="6"/>
  <c r="AZ17" i="6"/>
  <c r="AZ5" i="6"/>
  <c r="AZ11" i="6"/>
  <c r="AZ20" i="6"/>
  <c r="AY11" i="6"/>
  <c r="AY20" i="6"/>
  <c r="AY21" i="6" s="1"/>
  <c r="AZ21" i="6" s="1"/>
  <c r="AY5" i="6"/>
  <c r="AY17" i="6"/>
  <c r="AY18" i="6" s="1"/>
  <c r="AZ18" i="6" s="1"/>
  <c r="AY3" i="6"/>
  <c r="AY9" i="6"/>
  <c r="AY10" i="6" s="1"/>
  <c r="AM12" i="6"/>
  <c r="AL14" i="6"/>
  <c r="AR4" i="6"/>
  <c r="AM6" i="6"/>
  <c r="AL7" i="6"/>
  <c r="BB1" i="6" l="1"/>
  <c r="BA3" i="6"/>
  <c r="BA17" i="6"/>
  <c r="BA18" i="6" s="1"/>
  <c r="BA5" i="6"/>
  <c r="BA11" i="6"/>
  <c r="BA20" i="6"/>
  <c r="BA21" i="6" s="1"/>
  <c r="AZ9" i="6"/>
  <c r="AZ10" i="6" s="1"/>
  <c r="AN12" i="6"/>
  <c r="AM14" i="6"/>
  <c r="AN6" i="6"/>
  <c r="AM7" i="6"/>
  <c r="AS4" i="6"/>
  <c r="BC1" i="6" l="1"/>
  <c r="BB3" i="6"/>
  <c r="BB17" i="6"/>
  <c r="BB18" i="6" s="1"/>
  <c r="BB5" i="6"/>
  <c r="BB11" i="6"/>
  <c r="BB20" i="6"/>
  <c r="BB21" i="6" s="1"/>
  <c r="BA9" i="6"/>
  <c r="BA10" i="6" s="1"/>
  <c r="AO12" i="6"/>
  <c r="AN14" i="6"/>
  <c r="AO6" i="6"/>
  <c r="AN7" i="6"/>
  <c r="AT4" i="6"/>
  <c r="BD1" i="6" l="1"/>
  <c r="BC9" i="6"/>
  <c r="BC3" i="6"/>
  <c r="BC17" i="6"/>
  <c r="BC18" i="6" s="1"/>
  <c r="BC5" i="6"/>
  <c r="BC11" i="6"/>
  <c r="BC20" i="6"/>
  <c r="BC21" i="6" s="1"/>
  <c r="BB9" i="6"/>
  <c r="BB10" i="6" s="1"/>
  <c r="BC10" i="6" s="1"/>
  <c r="AO14" i="6"/>
  <c r="AP12" i="6"/>
  <c r="AU4" i="6"/>
  <c r="AP6" i="6"/>
  <c r="AO7" i="6"/>
  <c r="BE1" i="6" l="1"/>
  <c r="BD9" i="6"/>
  <c r="BD10" i="6" s="1"/>
  <c r="BD3" i="6"/>
  <c r="BD17" i="6"/>
  <c r="BD18" i="6" s="1"/>
  <c r="BD11" i="6"/>
  <c r="BD20" i="6"/>
  <c r="BD21" i="6" s="1"/>
  <c r="BD5" i="6"/>
  <c r="AQ12" i="6"/>
  <c r="AP14" i="6"/>
  <c r="AQ6" i="6"/>
  <c r="AP7" i="6"/>
  <c r="AV4" i="6"/>
  <c r="BF1" i="6" l="1"/>
  <c r="BE3" i="6"/>
  <c r="BE17" i="6"/>
  <c r="BE18" i="6" s="1"/>
  <c r="BE5" i="6"/>
  <c r="BE11" i="6"/>
  <c r="BE20" i="6"/>
  <c r="BE21" i="6" s="1"/>
  <c r="AR12" i="6"/>
  <c r="AQ14" i="6"/>
  <c r="AW4" i="6"/>
  <c r="AR6" i="6"/>
  <c r="AQ7" i="6"/>
  <c r="BF21" i="6" l="1"/>
  <c r="BG1" i="6"/>
  <c r="BF9" i="6"/>
  <c r="BF3" i="6"/>
  <c r="BF17" i="6"/>
  <c r="BF18" i="6" s="1"/>
  <c r="BF20" i="6"/>
  <c r="BF5" i="6"/>
  <c r="BF11" i="6"/>
  <c r="BE9" i="6"/>
  <c r="BE10" i="6" s="1"/>
  <c r="BF10" i="6" s="1"/>
  <c r="AS12" i="6"/>
  <c r="AR14" i="6"/>
  <c r="AS6" i="6"/>
  <c r="AR7" i="6"/>
  <c r="AX4" i="6"/>
  <c r="BH1" i="6" l="1"/>
  <c r="BG9" i="6"/>
  <c r="BG10" i="6" s="1"/>
  <c r="BG3" i="6"/>
  <c r="BG17" i="6"/>
  <c r="BG18" i="6" s="1"/>
  <c r="BG5" i="6"/>
  <c r="BG11" i="6"/>
  <c r="BG20" i="6"/>
  <c r="BG21" i="6" s="1"/>
  <c r="AT12" i="6"/>
  <c r="AS14" i="6"/>
  <c r="AY4" i="6"/>
  <c r="AT6" i="6"/>
  <c r="AS7" i="6"/>
  <c r="BI1" i="6" l="1"/>
  <c r="BH9" i="6"/>
  <c r="BH10" i="6" s="1"/>
  <c r="BH3" i="6"/>
  <c r="BH17" i="6"/>
  <c r="BH18" i="6" s="1"/>
  <c r="BH11" i="6"/>
  <c r="BH20" i="6"/>
  <c r="BH21" i="6" s="1"/>
  <c r="BH5" i="6"/>
  <c r="AT14" i="6"/>
  <c r="AU12" i="6"/>
  <c r="AU6" i="6"/>
  <c r="AT7" i="6"/>
  <c r="AZ4" i="6"/>
  <c r="BJ1" i="6" l="1"/>
  <c r="BI3" i="6"/>
  <c r="BI17" i="6"/>
  <c r="BI18" i="6" s="1"/>
  <c r="BI20" i="6"/>
  <c r="BI21" i="6" s="1"/>
  <c r="BI11" i="6"/>
  <c r="BI5" i="6"/>
  <c r="AU14" i="6"/>
  <c r="AV12" i="6"/>
  <c r="BA4" i="6"/>
  <c r="AV6" i="6"/>
  <c r="AU7" i="6"/>
  <c r="BJ21" i="6" l="1"/>
  <c r="BK1" i="6"/>
  <c r="BJ3" i="6"/>
  <c r="BJ17" i="6"/>
  <c r="BJ18" i="6" s="1"/>
  <c r="BJ5" i="6"/>
  <c r="BJ11" i="6"/>
  <c r="BJ20" i="6"/>
  <c r="BI9" i="6"/>
  <c r="BI10" i="6" s="1"/>
  <c r="AW12" i="6"/>
  <c r="AV14" i="6"/>
  <c r="AW6" i="6"/>
  <c r="AV7" i="6"/>
  <c r="BB4" i="6"/>
  <c r="BL1" i="6" l="1"/>
  <c r="BJ9" i="6"/>
  <c r="BJ10" i="6" s="1"/>
  <c r="AX12" i="6"/>
  <c r="AW14" i="6"/>
  <c r="AX6" i="6"/>
  <c r="AW7" i="6"/>
  <c r="BC4" i="6"/>
  <c r="BM1" i="6" l="1"/>
  <c r="BL17" i="6" s="1"/>
  <c r="BL9" i="6"/>
  <c r="BL3" i="6"/>
  <c r="BK11" i="6"/>
  <c r="BK5" i="6"/>
  <c r="BK20" i="6"/>
  <c r="BK21" i="6" s="1"/>
  <c r="BK17" i="6"/>
  <c r="BK18" i="6" s="1"/>
  <c r="BK3" i="6"/>
  <c r="BK9" i="6"/>
  <c r="BK10" i="6" s="1"/>
  <c r="BL10" i="6" s="1"/>
  <c r="AY12" i="6"/>
  <c r="AX14" i="6"/>
  <c r="BD4" i="6"/>
  <c r="AY6" i="6"/>
  <c r="AX7" i="6"/>
  <c r="BL18" i="6" l="1"/>
  <c r="BL5" i="6"/>
  <c r="BL11" i="6"/>
  <c r="BL20" i="6"/>
  <c r="BL21" i="6" s="1"/>
  <c r="BM21" i="6" s="1"/>
  <c r="BN1" i="6"/>
  <c r="BM9" i="6"/>
  <c r="BM10" i="6" s="1"/>
  <c r="BM3" i="6"/>
  <c r="BM17" i="6"/>
  <c r="BM5" i="6"/>
  <c r="BM20" i="6"/>
  <c r="BM11" i="6"/>
  <c r="AZ12" i="6"/>
  <c r="AY14" i="6"/>
  <c r="AZ6" i="6"/>
  <c r="AY7" i="6"/>
  <c r="BE4" i="6"/>
  <c r="BO1" i="6" l="1"/>
  <c r="BN9" i="6"/>
  <c r="BN10" i="6" s="1"/>
  <c r="BN3" i="6"/>
  <c r="BN17" i="6"/>
  <c r="BN11" i="6"/>
  <c r="BN5" i="6"/>
  <c r="BN20" i="6"/>
  <c r="BN21" i="6" s="1"/>
  <c r="BM18" i="6"/>
  <c r="BN18" i="6" s="1"/>
  <c r="AZ14" i="6"/>
  <c r="BA12" i="6"/>
  <c r="BF4" i="6"/>
  <c r="BA6" i="6"/>
  <c r="AZ7" i="6"/>
  <c r="BO21" i="6" l="1"/>
  <c r="BP1" i="6"/>
  <c r="BO9" i="6"/>
  <c r="BO10" i="6" s="1"/>
  <c r="BO3" i="6"/>
  <c r="BO17" i="6"/>
  <c r="BO18" i="6" s="1"/>
  <c r="BO20" i="6"/>
  <c r="BO5" i="6"/>
  <c r="BO11" i="6"/>
  <c r="BB12" i="6"/>
  <c r="BA14" i="6"/>
  <c r="BB6" i="6"/>
  <c r="BA7" i="6"/>
  <c r="BG4" i="6"/>
  <c r="BQ1" i="6" l="1"/>
  <c r="BP3" i="6"/>
  <c r="BP17" i="6"/>
  <c r="BP18" i="6" s="1"/>
  <c r="BP11" i="6"/>
  <c r="BP20" i="6"/>
  <c r="BP21" i="6" s="1"/>
  <c r="BP5" i="6"/>
  <c r="BC12" i="6"/>
  <c r="BB14" i="6"/>
  <c r="BH4" i="6"/>
  <c r="BC6" i="6"/>
  <c r="BB7" i="6"/>
  <c r="BQ21" i="6" l="1"/>
  <c r="BQ9" i="6"/>
  <c r="BR1" i="6"/>
  <c r="BQ3" i="6"/>
  <c r="BQ17" i="6"/>
  <c r="BQ18" i="6" s="1"/>
  <c r="BQ11" i="6"/>
  <c r="BQ5" i="6"/>
  <c r="BQ20" i="6"/>
  <c r="BP9" i="6"/>
  <c r="BP10" i="6" s="1"/>
  <c r="BQ10" i="6" s="1"/>
  <c r="BD12" i="6"/>
  <c r="BC14" i="6"/>
  <c r="BD6" i="6"/>
  <c r="BC7" i="6"/>
  <c r="BI4" i="6"/>
  <c r="BS1" i="6" l="1"/>
  <c r="BR3" i="6"/>
  <c r="BR17" i="6"/>
  <c r="BR11" i="6"/>
  <c r="BR5" i="6"/>
  <c r="BR20" i="6"/>
  <c r="BR21" i="6" s="1"/>
  <c r="BR18" i="6"/>
  <c r="BD14" i="6"/>
  <c r="BE12" i="6"/>
  <c r="BJ4" i="6"/>
  <c r="BE6" i="6"/>
  <c r="BD7" i="6"/>
  <c r="BS21" i="6" l="1"/>
  <c r="BT1" i="6"/>
  <c r="BS9" i="6"/>
  <c r="BS3" i="6"/>
  <c r="BS17" i="6"/>
  <c r="BS18" i="6" s="1"/>
  <c r="BS20" i="6"/>
  <c r="BS5" i="6"/>
  <c r="BS11" i="6"/>
  <c r="BR9" i="6"/>
  <c r="BR10" i="6" s="1"/>
  <c r="BS10" i="6" s="1"/>
  <c r="BE14" i="6"/>
  <c r="BF12" i="6"/>
  <c r="BF6" i="6"/>
  <c r="BE7" i="6"/>
  <c r="BK4" i="6"/>
  <c r="BU1" i="6" l="1"/>
  <c r="BT9" i="6"/>
  <c r="BT10" i="6" s="1"/>
  <c r="BT3" i="6"/>
  <c r="BT17" i="6"/>
  <c r="BT18" i="6" s="1"/>
  <c r="BT20" i="6"/>
  <c r="BT21" i="6" s="1"/>
  <c r="BT5" i="6"/>
  <c r="BT11" i="6"/>
  <c r="BF14" i="6"/>
  <c r="BG12" i="6"/>
  <c r="BL4" i="6"/>
  <c r="BG6" i="6"/>
  <c r="BF7" i="6"/>
  <c r="BV1" i="6" l="1"/>
  <c r="BU9" i="6"/>
  <c r="BU3" i="6"/>
  <c r="BU17" i="6"/>
  <c r="BU18" i="6" s="1"/>
  <c r="BU11" i="6"/>
  <c r="BU5" i="6"/>
  <c r="BU20" i="6"/>
  <c r="BU21" i="6" s="1"/>
  <c r="BU10" i="6"/>
  <c r="BH12" i="6"/>
  <c r="BG14" i="6"/>
  <c r="BH6" i="6"/>
  <c r="BG7" i="6"/>
  <c r="BM4" i="6"/>
  <c r="BV21" i="6" l="1"/>
  <c r="BW1" i="6"/>
  <c r="BV3" i="6"/>
  <c r="BV17" i="6"/>
  <c r="BV18" i="6" s="1"/>
  <c r="BV20" i="6"/>
  <c r="BV5" i="6"/>
  <c r="BV11" i="6"/>
  <c r="BI12" i="6"/>
  <c r="BH14" i="6"/>
  <c r="BN4" i="6"/>
  <c r="BI6" i="6"/>
  <c r="BH7" i="6"/>
  <c r="BX1" i="6" l="1"/>
  <c r="BW9" i="6"/>
  <c r="BW3" i="6"/>
  <c r="BW17" i="6"/>
  <c r="BW18" i="6" s="1"/>
  <c r="BW20" i="6"/>
  <c r="BW21" i="6" s="1"/>
  <c r="BW5" i="6"/>
  <c r="BW11" i="6"/>
  <c r="BV9" i="6"/>
  <c r="BV10" i="6" s="1"/>
  <c r="BW10" i="6" s="1"/>
  <c r="BJ12" i="6"/>
  <c r="BI14" i="6"/>
  <c r="BJ6" i="6"/>
  <c r="BI7" i="6"/>
  <c r="BO4" i="6"/>
  <c r="BY1" i="6" l="1"/>
  <c r="BX9" i="6"/>
  <c r="BX10" i="6" s="1"/>
  <c r="BX3" i="6"/>
  <c r="BX17" i="6"/>
  <c r="BX18" i="6" s="1"/>
  <c r="BX20" i="6"/>
  <c r="BX21" i="6" s="1"/>
  <c r="BX5" i="6"/>
  <c r="BX11" i="6"/>
  <c r="BK12" i="6"/>
  <c r="BJ14" i="6"/>
  <c r="BP4" i="6"/>
  <c r="BK6" i="6"/>
  <c r="BJ7" i="6"/>
  <c r="BZ1" i="6" l="1"/>
  <c r="BY3" i="6"/>
  <c r="BY17" i="6"/>
  <c r="D17" i="6" s="1"/>
  <c r="C17" i="6" s="1"/>
  <c r="BY11" i="6"/>
  <c r="BY5" i="6"/>
  <c r="D5" i="6" s="1"/>
  <c r="BY20" i="6"/>
  <c r="D20" i="6" s="1"/>
  <c r="BL12" i="6"/>
  <c r="BK14" i="6"/>
  <c r="BL6" i="6"/>
  <c r="BK7" i="6"/>
  <c r="BQ4" i="6"/>
  <c r="CA1" i="6" l="1"/>
  <c r="BZ9" i="6"/>
  <c r="BZ3" i="6"/>
  <c r="BZ17" i="6"/>
  <c r="BZ11" i="6"/>
  <c r="BZ5" i="6"/>
  <c r="BZ20" i="6"/>
  <c r="BY9" i="6"/>
  <c r="BY10" i="6" s="1"/>
  <c r="BZ10" i="6" s="1"/>
  <c r="BY18" i="6"/>
  <c r="BY21" i="6"/>
  <c r="BZ21" i="6" s="1"/>
  <c r="BM12" i="6"/>
  <c r="BL14" i="6"/>
  <c r="BR4" i="6"/>
  <c r="BM6" i="6"/>
  <c r="BL7" i="6"/>
  <c r="BZ18" i="6" l="1"/>
  <c r="D18" i="6"/>
  <c r="C18" i="6" s="1"/>
  <c r="CB1" i="6"/>
  <c r="CA9" i="6"/>
  <c r="CA10" i="6" s="1"/>
  <c r="CA3" i="6"/>
  <c r="CA17" i="6"/>
  <c r="CA11" i="6"/>
  <c r="CA20" i="6"/>
  <c r="CA21" i="6" s="1"/>
  <c r="CA5" i="6"/>
  <c r="BM14" i="6"/>
  <c r="BN12" i="6"/>
  <c r="BN6" i="6"/>
  <c r="BM7" i="6"/>
  <c r="BS4" i="6"/>
  <c r="CB21" i="6" l="1"/>
  <c r="CC1" i="6"/>
  <c r="CB3" i="6"/>
  <c r="CB17" i="6"/>
  <c r="CB20" i="6"/>
  <c r="CB5" i="6"/>
  <c r="CB11" i="6"/>
  <c r="CA18" i="6"/>
  <c r="CB18" i="6" s="1"/>
  <c r="BN14" i="6"/>
  <c r="BO12" i="6"/>
  <c r="BT4" i="6"/>
  <c r="BO6" i="6"/>
  <c r="BN7" i="6"/>
  <c r="CD1" i="6" l="1"/>
  <c r="CC5" i="6"/>
  <c r="CC20" i="6"/>
  <c r="CC21" i="6" s="1"/>
  <c r="CC11" i="6"/>
  <c r="CB9" i="6"/>
  <c r="CB10" i="6" s="1"/>
  <c r="BP12" i="6"/>
  <c r="BO14" i="6"/>
  <c r="BP6" i="6"/>
  <c r="BO7" i="6"/>
  <c r="BU4" i="6"/>
  <c r="CE1" i="6" l="1"/>
  <c r="CD9" i="6"/>
  <c r="CD3" i="6"/>
  <c r="CD17" i="6"/>
  <c r="CD5" i="6"/>
  <c r="CD20" i="6"/>
  <c r="CD21" i="6" s="1"/>
  <c r="CD11" i="6"/>
  <c r="CC9" i="6"/>
  <c r="CC10" i="6"/>
  <c r="CD10" i="6" s="1"/>
  <c r="CC17" i="6"/>
  <c r="CC18" i="6" s="1"/>
  <c r="CD18" i="6" s="1"/>
  <c r="CC3" i="6"/>
  <c r="BQ12" i="6"/>
  <c r="BP14" i="6"/>
  <c r="BQ6" i="6"/>
  <c r="BP7" i="6"/>
  <c r="BV4" i="6"/>
  <c r="CE21" i="6" l="1"/>
  <c r="CF1" i="6"/>
  <c r="CE3" i="6"/>
  <c r="CE17" i="6"/>
  <c r="CE18" i="6" s="1"/>
  <c r="CE11" i="6"/>
  <c r="CE5" i="6"/>
  <c r="CE20" i="6"/>
  <c r="BR12" i="6"/>
  <c r="BQ14" i="6"/>
  <c r="BW4" i="6"/>
  <c r="BR6" i="6"/>
  <c r="BQ7" i="6"/>
  <c r="CG1" i="6" l="1"/>
  <c r="CF9" i="6"/>
  <c r="CF3" i="6"/>
  <c r="CF17" i="6"/>
  <c r="CF18" i="6" s="1"/>
  <c r="CF11" i="6"/>
  <c r="CF5" i="6"/>
  <c r="CF20" i="6"/>
  <c r="CF21" i="6" s="1"/>
  <c r="CE9" i="6"/>
  <c r="CE10" i="6" s="1"/>
  <c r="CF10" i="6" s="1"/>
  <c r="BS12" i="6"/>
  <c r="BR14" i="6"/>
  <c r="BS6" i="6"/>
  <c r="BR7" i="6"/>
  <c r="BX4" i="6"/>
  <c r="CG21" i="6" l="1"/>
  <c r="CH1" i="6"/>
  <c r="CG9" i="6"/>
  <c r="CG3" i="6"/>
  <c r="CG17" i="6"/>
  <c r="CG20" i="6"/>
  <c r="CG11" i="6"/>
  <c r="CG5" i="6"/>
  <c r="CG18" i="6"/>
  <c r="CG10" i="6"/>
  <c r="BS14" i="6"/>
  <c r="BT12" i="6"/>
  <c r="BY4" i="6"/>
  <c r="BT6" i="6"/>
  <c r="BS7" i="6"/>
  <c r="CI1" i="6" l="1"/>
  <c r="CH9" i="6"/>
  <c r="CH10" i="6" s="1"/>
  <c r="CH3" i="6"/>
  <c r="CH17" i="6"/>
  <c r="CH18" i="6" s="1"/>
  <c r="CH20" i="6"/>
  <c r="CH21" i="6" s="1"/>
  <c r="CH5" i="6"/>
  <c r="CH11" i="6"/>
  <c r="BU12" i="6"/>
  <c r="BT14" i="6"/>
  <c r="BU6" i="6"/>
  <c r="BT7" i="6"/>
  <c r="BZ4" i="6"/>
  <c r="CI21" i="6" l="1"/>
  <c r="CJ1" i="6"/>
  <c r="CI3" i="6"/>
  <c r="CI17" i="6"/>
  <c r="CI18" i="6" s="1"/>
  <c r="CI5" i="6"/>
  <c r="CI20" i="6"/>
  <c r="CI11" i="6"/>
  <c r="BV12" i="6"/>
  <c r="BU14" i="6"/>
  <c r="CA4" i="6"/>
  <c r="BV6" i="6"/>
  <c r="BU7" i="6"/>
  <c r="CK1" i="6" l="1"/>
  <c r="CJ9" i="6"/>
  <c r="CJ3" i="6"/>
  <c r="CJ17" i="6"/>
  <c r="CJ18" i="6" s="1"/>
  <c r="CJ11" i="6"/>
  <c r="CJ5" i="6"/>
  <c r="CJ20" i="6"/>
  <c r="CJ21" i="6" s="1"/>
  <c r="CI9" i="6"/>
  <c r="CI10" i="6" s="1"/>
  <c r="CJ10" i="6" s="1"/>
  <c r="BW12" i="6"/>
  <c r="BV14" i="6"/>
  <c r="CB4" i="6"/>
  <c r="BW6" i="6"/>
  <c r="BV7" i="6"/>
  <c r="CL1" i="6" l="1"/>
  <c r="CK3" i="6"/>
  <c r="CK17" i="6"/>
  <c r="CK18" i="6" s="1"/>
  <c r="CK5" i="6"/>
  <c r="CK11" i="6"/>
  <c r="CK20" i="6"/>
  <c r="CK21" i="6" s="1"/>
  <c r="BX12" i="6"/>
  <c r="BW14" i="6"/>
  <c r="CC4" i="6"/>
  <c r="BX6" i="6"/>
  <c r="BW7" i="6"/>
  <c r="CM1" i="6" l="1"/>
  <c r="CL9" i="6" s="1"/>
  <c r="CL3" i="6"/>
  <c r="CL17" i="6"/>
  <c r="CL18" i="6" s="1"/>
  <c r="CL5" i="6"/>
  <c r="CL11" i="6"/>
  <c r="CL20" i="6"/>
  <c r="CL21" i="6" s="1"/>
  <c r="CK9" i="6"/>
  <c r="CK10" i="6" s="1"/>
  <c r="BY12" i="6"/>
  <c r="BX14" i="6"/>
  <c r="BY6" i="6"/>
  <c r="BX7" i="6"/>
  <c r="CD4" i="6"/>
  <c r="CL10" i="6" l="1"/>
  <c r="CM9" i="6"/>
  <c r="D9" i="6" s="1"/>
  <c r="CM3" i="6"/>
  <c r="D3" i="6" s="1"/>
  <c r="CM17" i="6"/>
  <c r="CM18" i="6" s="1"/>
  <c r="CM11" i="6"/>
  <c r="D11" i="6" s="1"/>
  <c r="CM20" i="6"/>
  <c r="CM21" i="6" s="1"/>
  <c r="CM5" i="6"/>
  <c r="BZ12" i="6"/>
  <c r="BY14" i="6"/>
  <c r="CE4" i="6"/>
  <c r="BZ6" i="6"/>
  <c r="BY7" i="6"/>
  <c r="CM10" i="6" l="1"/>
  <c r="BZ14" i="6"/>
  <c r="CA12" i="6"/>
  <c r="CA6" i="6"/>
  <c r="BZ7" i="6"/>
  <c r="CF4" i="6"/>
  <c r="CB12" i="6" l="1"/>
  <c r="CA14" i="6"/>
  <c r="CG4" i="6"/>
  <c r="CB6" i="6"/>
  <c r="CA7" i="6"/>
  <c r="CC12" i="6" l="1"/>
  <c r="CB14" i="6"/>
  <c r="CC6" i="6"/>
  <c r="CB7" i="6"/>
  <c r="CH4" i="6"/>
  <c r="CD12" i="6" l="1"/>
  <c r="CC14" i="6"/>
  <c r="CI4" i="6"/>
  <c r="CD6" i="6"/>
  <c r="CC7" i="6"/>
  <c r="CD14" i="6" l="1"/>
  <c r="CE12" i="6"/>
  <c r="CJ4" i="6"/>
  <c r="CE6" i="6"/>
  <c r="CD7" i="6"/>
  <c r="CF12" i="6" l="1"/>
  <c r="CE14" i="6"/>
  <c r="CF6" i="6"/>
  <c r="CE7" i="6"/>
  <c r="CK4" i="6"/>
  <c r="CF14" i="6" l="1"/>
  <c r="CG12" i="6"/>
  <c r="CL4" i="6"/>
  <c r="CG6" i="6"/>
  <c r="CF7" i="6"/>
  <c r="CH12" i="6" l="1"/>
  <c r="CG14" i="6"/>
  <c r="CH6" i="6"/>
  <c r="CG7" i="6"/>
  <c r="CM4" i="6"/>
  <c r="CI12" i="6" l="1"/>
  <c r="CH14" i="6"/>
  <c r="CI6" i="6"/>
  <c r="CH7" i="6"/>
  <c r="CJ12" i="6" l="1"/>
  <c r="CI14" i="6"/>
  <c r="CJ6" i="6"/>
  <c r="CI7" i="6"/>
  <c r="CK12" i="6" l="1"/>
  <c r="CJ14" i="6"/>
  <c r="CK6" i="6"/>
  <c r="CJ7" i="6"/>
  <c r="CL12" i="6" l="1"/>
  <c r="CK14" i="6"/>
  <c r="CL6" i="6"/>
  <c r="CK7" i="6"/>
  <c r="CM12" i="6" l="1"/>
  <c r="CM14" i="6" s="1"/>
  <c r="CL14" i="6"/>
  <c r="CM6" i="6"/>
  <c r="CM7" i="6" s="1"/>
  <c r="CL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tc={DD636672-8CC8-4ECE-BF49-0C27DC12D895}</author>
    <author>tc={41C54260-23FB-46C8-A69A-EA32A797319E}</author>
    <author>tc={9E5A03A8-D849-416F-95A6-2D75FB50AF8D}</author>
    <author>tc={B1BC53B4-B485-4C2D-B9DB-41C71354FEC3}</author>
  </authors>
  <commentList>
    <comment ref="W28" authorId="0" shapeId="0" xr:uid="{DD636672-8CC8-4ECE-BF49-0C27DC12D8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9" authorId="1" shapeId="0" xr:uid="{41C54260-23FB-46C8-A69A-EA32A797319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date as not the full milestone was paid</t>
      </text>
    </comment>
    <comment ref="W93" authorId="2" shapeId="0" xr:uid="{9E5A03A8-D849-416F-95A6-2D75FB50AF8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as it hasn’t been paid</t>
      </text>
    </comment>
    <comment ref="R122" authorId="3" shapeId="0" xr:uid="{B1BC53B4-B485-4C2D-B9DB-41C71354FEC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was this recovered from Thula Moya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<sst xmlns="http://schemas.openxmlformats.org/spreadsheetml/2006/main" count="872" uniqueCount="514">
  <si>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</si>
  <si>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</si>
  <si>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</si>
  <si>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</si>
  <si>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</si>
  <si>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</si>
  <si>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</si>
  <si>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</si>
  <si>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</si>
  <si>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</si>
  <si>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</si>
  <si>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</si>
  <si>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</si>
  <si>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</si>
  <si>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</si>
  <si>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</si>
  <si>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</si>
  <si>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</si>
  <si>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</si>
  <si>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</si>
  <si>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</si>
  <si>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</si>
  <si>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</si>
  <si>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</si>
  <si>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</si>
  <si>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</si>
  <si>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</si>
  <si>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</si>
  <si>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</si>
  <si>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</si>
  <si>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</si>
  <si>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</si>
  <si>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</si>
  <si>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</si>
  <si>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</si>
  <si>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</si>
  <si>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</si>
  <si>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</si>
  <si>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</si>
  <si>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</si>
  <si>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</si>
  <si>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</si>
  <si>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</si>
  <si>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</si>
  <si>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</si>
  <si>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</si>
  <si>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</si>
  <si>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</si>
  <si>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</si>
  <si>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</si>
  <si>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</si>
  <si>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</si>
  <si>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</si>
  <si>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</si>
  <si>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</si>
  <si>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</si>
  <si>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</si>
  <si>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</si>
  <si>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</si>
  <si>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</si>
  <si>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</si>
  <si>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</si>
  <si>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</si>
  <si>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</si>
  <si>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</si>
  <si>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</si>
  <si>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</si>
  <si>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</si>
  <si>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</si>
  <si>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</si>
  <si>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</si>
  <si>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</si>
  <si>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</si>
  <si>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</si>
  <si>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</si>
  <si>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</si>
  <si>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</si>
  <si>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</si>
  <si>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</si>
  <si>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</si>
  <si>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Actual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</si>
  <si>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</si>
  <si>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</si>
  <si>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</si>
  <si>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</si>
  <si>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</si>
  <si>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</si>
  <si>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</si>
  <si>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</si>
  <si>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</si>
  <si>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</si>
  <si>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</si>
  <si>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</si>
  <si>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</si>
  <si>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</si>
  <si>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</si>
  <si>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</si>
  <si>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</si>
  <si>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</si>
  <si>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</si>
  <si>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</si>
  <si>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004469</t>
  </si>
  <si>
    <t>Delivery of Inverters</t>
  </si>
  <si>
    <t>004553</t>
  </si>
  <si>
    <t>Delivery of Panels</t>
  </si>
  <si>
    <t>004575</t>
  </si>
  <si>
    <t>Practical Completion</t>
  </si>
  <si>
    <t>004618</t>
  </si>
  <si>
    <t>004691</t>
  </si>
  <si>
    <t>VO - Walkways</t>
  </si>
  <si>
    <t>Credit Note - Walk ways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</si>
  <si>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</si>
  <si>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</si>
  <si>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</si>
  <si>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</si>
  <si>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</si>
  <si>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</si>
  <si>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</si>
  <si>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</si>
  <si>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</si>
  <si>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</si>
  <si>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</si>
  <si>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</si>
  <si>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</si>
  <si>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- 14 Christiaan_B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</si>
  <si>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</si>
  <si>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</si>
  <si>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</si>
  <si>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</si>
  <si>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</si>
  <si>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</si>
  <si>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</si>
  <si>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</si>
  <si>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</si>
  <si>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</si>
  <si>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</si>
  <si>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</si>
  <si>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</si>
  <si>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</si>
  <si>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</si>
  <si>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</si>
  <si>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</si>
  <si>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</si>
  <si>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</si>
  <si>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</si>
  <si>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</si>
  <si>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</si>
  <si>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</si>
  <si>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</si>
  <si>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</si>
  <si>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</si>
  <si>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</si>
  <si>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</si>
  <si>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</si>
  <si>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</si>
  <si>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</si>
  <si>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</si>
  <si>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</si>
  <si>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</si>
  <si>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</si>
  <si>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</si>
  <si>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</si>
  <si>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</si>
  <si>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</si>
  <si>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</si>
  <si>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</si>
  <si>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</si>
  <si>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</si>
  <si>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</si>
  <si>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</si>
  <si>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</si>
  <si>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</si>
  <si>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</si>
  <si>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</si>
  <si>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</si>
  <si>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</si>
  <si>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</si>
  <si>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</si>
  <si>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</si>
  <si>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</si>
  <si>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</si>
  <si>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</si>
  <si>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</si>
  <si>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</si>
  <si>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</si>
  <si>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</si>
  <si>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</si>
  <si>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</si>
  <si>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</si>
  <si>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</si>
  <si>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</si>
  <si>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</si>
  <si>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</si>
  <si>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</si>
  <si>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</si>
  <si>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</si>
  <si>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</si>
  <si>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</si>
  <si>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</si>
  <si>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</si>
  <si>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</si>
  <si>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</si>
  <si>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</si>
  <si>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</si>
  <si>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</si>
  <si>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</si>
  <si>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</si>
  <si>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</si>
  <si>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</si>
  <si>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</si>
  <si>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</si>
  <si>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</si>
  <si>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</si>
  <si>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</si>
  <si>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</si>
  <si>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</si>
  <si>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</si>
  <si>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</si>
  <si>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</si>
  <si>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</si>
  <si>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</si>
  <si>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</si>
  <si>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</si>
  <si>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</si>
  <si>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</si>
  <si>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</si>
  <si>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</si>
  <si>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</si>
  <si>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</si>
  <si>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</si>
  <si>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</si>
  <si>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</si>
  <si>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</si>
  <si>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</si>
  <si>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</si>
  <si>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</si>
  <si>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</si>
  <si>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</si>
  <si>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</si>
  <si>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</si>
  <si>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</si>
  <si>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</si>
  <si>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</si>
  <si>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</si>
  <si>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</si>
  <si>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</si>
  <si>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</si>
  <si>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</si>
  <si>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</si>
  <si>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Handling fees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</si>
  <si>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</si>
  <si>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</si>
  <si>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</si>
  <si>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</si>
  <si>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</si>
  <si>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</si>
  <si>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</si>
  <si>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DC Labour</t>
  </si>
  <si>
    <t/>
  </si>
  <si>
    <t>Offloading</t>
  </si>
  <si>
    <t>Inverters</t>
  </si>
  <si>
    <t>Huawei 100KTL</t>
  </si>
  <si>
    <t>2. Inverters</t>
  </si>
  <si>
    <t>Kathea Inv518635</t>
  </si>
  <si>
    <t>MI: Kathea quote</t>
  </si>
  <si>
    <t>Telehandler</t>
  </si>
  <si>
    <t>Huawei 50KTL</t>
  </si>
  <si>
    <t>Kathea Inv518655</t>
  </si>
  <si>
    <t>Other</t>
  </si>
  <si>
    <t>Mounting Structures</t>
  </si>
  <si>
    <t>KlipLok Roof</t>
  </si>
  <si>
    <t>3. Mounting Structures</t>
  </si>
  <si>
    <t>Schletter INV0894</t>
  </si>
  <si>
    <t>PO3362-SAM14B-20240918 - RV Approved</t>
  </si>
  <si>
    <t>Less 15%</t>
  </si>
  <si>
    <t>IBR Roof</t>
  </si>
  <si>
    <t>PO3381-SAM14A-20241002 - RV Approved</t>
  </si>
  <si>
    <t>R/Wp</t>
  </si>
  <si>
    <t>Schletter Inv0893</t>
  </si>
  <si>
    <t>ACTUAL - Cosmic Sun</t>
  </si>
  <si>
    <t>Installer Price</t>
  </si>
  <si>
    <t>ACTUAL - Thula Moya</t>
  </si>
  <si>
    <t>ACTUAL - CornerStone</t>
  </si>
  <si>
    <t>* Excluded R25976,34 for Comms and metering</t>
  </si>
  <si>
    <t xml:space="preserve">DC Cable </t>
  </si>
  <si>
    <t>4. DC Equipment</t>
  </si>
  <si>
    <t>Herholdts Inv: INV922149</t>
  </si>
  <si>
    <t>PO3315-MUL-20240823 - RV Approved</t>
  </si>
  <si>
    <t>MI:  Herholdts quote</t>
  </si>
  <si>
    <t>MENLO - INV0002444</t>
  </si>
  <si>
    <t>This was not on the tracker (extra DC Cable)</t>
  </si>
  <si>
    <t>DC Surge Arrestor</t>
  </si>
  <si>
    <t>DC Cable Tray</t>
  </si>
  <si>
    <t>Project Kick Off</t>
  </si>
  <si>
    <t>Thula Moya In04434</t>
  </si>
  <si>
    <t>PO3366-SAM14B-202409 - RV Approved</t>
  </si>
  <si>
    <t>Earth Cable</t>
  </si>
  <si>
    <t>Thula Moya IN04438</t>
  </si>
  <si>
    <t>Site Logistics</t>
  </si>
  <si>
    <t>Earth clamp</t>
  </si>
  <si>
    <t>AC Installation Complete</t>
  </si>
  <si>
    <t>Thula Moya IN04477</t>
  </si>
  <si>
    <t>Roof Access</t>
  </si>
  <si>
    <t>Sundries</t>
  </si>
  <si>
    <t>DC Installation Complete</t>
  </si>
  <si>
    <t>Thula Moya IN04478</t>
  </si>
  <si>
    <t>Container</t>
  </si>
  <si>
    <t>Accomodation</t>
  </si>
  <si>
    <t>COC</t>
  </si>
  <si>
    <t>Commissioning Complete</t>
  </si>
  <si>
    <t>Thula Moya IN04513</t>
  </si>
  <si>
    <t>Scaffolding</t>
  </si>
  <si>
    <t>Travel</t>
  </si>
  <si>
    <t>Site De-establisment</t>
  </si>
  <si>
    <t>Thula Moya IN04535</t>
  </si>
  <si>
    <t>Handover Document Complete</t>
  </si>
  <si>
    <t>Thula Moya IN04595</t>
  </si>
  <si>
    <t>End of Defects Period</t>
  </si>
  <si>
    <t>Thula Moya IN04592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</si>
  <si>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</si>
  <si>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</si>
  <si>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</si>
  <si>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</si>
  <si>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</si>
  <si>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</si>
  <si>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</si>
  <si>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</si>
  <si>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</si>
  <si>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Delivery of Techsitter</t>
  </si>
  <si>
    <t>DSV Inv: 1048652</t>
  </si>
  <si>
    <t>DSV Inv: 180131355</t>
  </si>
  <si>
    <t>Frontline Comms Equipment</t>
  </si>
  <si>
    <t>Frontline Electrical: INV697940</t>
  </si>
  <si>
    <t>PO3387-SAM-20241007 - RV Approved</t>
  </si>
  <si>
    <t>PO split across the portfolio</t>
  </si>
  <si>
    <t>Attena Extension</t>
  </si>
  <si>
    <t>Accuenergy Inv: ASAI-004425</t>
  </si>
  <si>
    <t>PO3517-SAM-20241206 - RV Approved</t>
  </si>
  <si>
    <t>6. AC Equipment</t>
  </si>
  <si>
    <t>AC &amp; Comms DB - Deposit</t>
  </si>
  <si>
    <t>Cosmic Sun CS_SAMPVDB_001</t>
  </si>
  <si>
    <t>PO3375-SAMPort-20240930 - RV Approved</t>
  </si>
  <si>
    <t>AC &amp; Comms DB - Balance</t>
  </si>
  <si>
    <t>Cosmic Sun CS_SAMPVDB_002</t>
  </si>
  <si>
    <t>Powder Coat DB</t>
  </si>
  <si>
    <t>Cosmic Sun CS_SAMPVDB_003</t>
  </si>
  <si>
    <t>PO3400-SAM-20241011 - RV Approved</t>
  </si>
  <si>
    <t>Thula MoyaIN04438</t>
  </si>
  <si>
    <t>Battery Systems</t>
  </si>
  <si>
    <t xml:space="preserve">Product Add On </t>
  </si>
  <si>
    <t xml:space="preserve">8. Product Add On </t>
  </si>
  <si>
    <t>Walkways Transport</t>
  </si>
  <si>
    <t>Onvlee Engineering: Inv 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</si>
  <si>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</si>
  <si>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</si>
  <si>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</si>
  <si>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</si>
  <si>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</si>
  <si>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Supply and install tie in Breaker - Thula Moya</t>
  </si>
  <si>
    <t>Thula Moya IN04488</t>
  </si>
  <si>
    <t>PO3432-SAM-20241029 - RV Approved</t>
  </si>
  <si>
    <t>Installation of walkways</t>
  </si>
  <si>
    <t>Thula Moya IN04593</t>
  </si>
  <si>
    <t>TC: Added cost, it was not on the tracker</t>
  </si>
  <si>
    <t>1000A Cooper Stub. Poly Angle&amp; Copper Stub</t>
  </si>
  <si>
    <t>Switchboard - INV 2-SOI001940</t>
  </si>
  <si>
    <t>Only services to be capture below, products above</t>
  </si>
  <si>
    <t>AC &amp; DC Installation</t>
  </si>
  <si>
    <t>9. AC &amp; DC installation</t>
  </si>
  <si>
    <t>10. Site Logistics</t>
  </si>
  <si>
    <t>Security</t>
  </si>
  <si>
    <t>MI: Security of R15k removed as per Lloyd email 19/11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</si>
  <si>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</si>
  <si>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</si>
  <si>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</si>
  <si>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</si>
  <si>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</si>
  <si>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</si>
  <si>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Red Team Inspection</t>
  </si>
  <si>
    <t>MATRIARCH - INV-3413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</si>
  <si>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</si>
  <si>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</si>
  <si>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</si>
  <si>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</si>
  <si>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</si>
  <si>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</si>
  <si>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</si>
  <si>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- INV-3414</t>
  </si>
  <si>
    <t>Management</t>
  </si>
  <si>
    <t>Performance Guarantee</t>
  </si>
  <si>
    <t>Matriarch - INV-5021</t>
  </si>
  <si>
    <t xml:space="preserve">Project manager </t>
  </si>
  <si>
    <t>Matriarch - CN-5022</t>
  </si>
  <si>
    <t>Planner time</t>
  </si>
  <si>
    <t>De Snagging</t>
  </si>
  <si>
    <t>General Expenses</t>
  </si>
  <si>
    <t>Car travel to site</t>
  </si>
  <si>
    <t>14. General Expenses</t>
  </si>
  <si>
    <t>Expense Claim</t>
  </si>
  <si>
    <t>1 571.0</t>
  </si>
  <si>
    <t>Service Add On</t>
  </si>
  <si>
    <t>15. Service Add On</t>
  </si>
  <si>
    <t>Defect Correction</t>
  </si>
  <si>
    <t>Cosmic Sun Inv: CS_SAM14B_001</t>
  </si>
  <si>
    <t>PO3871-SAM14B-20250512 - RV Approved</t>
  </si>
  <si>
    <t>We will recover the cost from Thula Moya</t>
  </si>
  <si>
    <t>Moving inverter and reprogramming meters</t>
  </si>
  <si>
    <t>Thula Moya - IN04750</t>
  </si>
  <si>
    <t>Thula Moya to provide CN for this</t>
  </si>
  <si>
    <t>Thula Moya - IC200104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</si>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</sst>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0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44" fillId="9" borderId="25" xfId="3" applyFont="1" applyFill="1" applyBorder="1" applyAlignment="1" applyProtection="1">
      <alignment vertical="center"/>
      <protection locked="0"/>
    </xf>
    <xf numFmtId="167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7" fontId="13" fillId="13" borderId="2" xfId="3" applyFont="1" applyFill="1" applyBorder="1" applyAlignment="1" applyProtection="1">
      <alignment horizontal="left" vertical="center"/>
      <protection locked="0"/>
    </xf>
    <xf numFmtId="167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6" fontId="5" fillId="11" borderId="38" xfId="3" applyNumberFormat="1" applyFont="1" applyFill="1" applyBorder="1" applyAlignment="1" applyProtection="1">
      <alignment horizontal="center"/>
      <protection locked="0"/>
    </xf>
    <xf numFmtId="166" fontId="44" fillId="9" borderId="24" xfId="3" applyNumberFormat="1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8" fontId="53" fillId="11" borderId="78" xfId="3" applyNumberFormat="1" applyFont="1" applyFill="1" applyBorder="1" applyAlignment="1" applyProtection="1">
      <alignment horizontal="center"/>
      <protection locked="0"/>
    </xf>
    <xf numFmtId="167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8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7" fontId="6" fillId="7" borderId="0" xfId="3" applyFont="1" applyFill="1" applyProtection="1"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67" fontId="5" fillId="13" borderId="27" xfId="2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5" xfId="0" applyNumberFormat="1" applyFont="1" applyFill="1" applyBorder="1" applyAlignment="1" applyProtection="1">
      <alignment horizontal="center"/>
      <protection locked="0"/>
    </xf>
    <xf numFmtId="167" fontId="53" fillId="11" borderId="78" xfId="3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7" fontId="53" fillId="10" borderId="78" xfId="3" applyFont="1" applyFill="1" applyBorder="1" applyAlignment="1" applyProtection="1">
      <alignment horizontal="center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164" fontId="26" fillId="7" borderId="0" xfId="0" applyNumberFormat="1" applyFont="1" applyFill="1" applyProtection="1">
      <protection locked="0"/>
    </xf>
    <xf numFmtId="164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164" fontId="27" fillId="7" borderId="102" xfId="0" applyNumberFormat="1" applyFont="1" applyFill="1" applyBorder="1" applyProtection="1">
      <protection locked="0"/>
    </xf>
    <xf numFmtId="164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7" fontId="53" fillId="13" borderId="78" xfId="3" applyFont="1" applyFill="1" applyBorder="1" applyAlignment="1" applyProtection="1">
      <alignment horizontal="center"/>
      <protection locked="0"/>
    </xf>
    <xf numFmtId="167" fontId="53" fillId="13" borderId="77" xfId="3" applyFont="1" applyFill="1" applyBorder="1" applyAlignment="1" applyProtection="1">
      <alignment horizontal="center"/>
      <protection locked="0"/>
    </xf>
    <xf numFmtId="167" fontId="53" fillId="13" borderId="80" xfId="3" applyFont="1" applyFill="1" applyBorder="1" applyAlignment="1" applyProtection="1">
      <alignment horizontal="center"/>
      <protection locked="0"/>
    </xf>
    <xf numFmtId="167" fontId="53" fillId="11" borderId="89" xfId="3" applyFont="1" applyFill="1" applyBorder="1" applyAlignment="1" applyProtection="1">
      <alignment horizontal="center"/>
      <protection locked="0"/>
    </xf>
    <xf numFmtId="167" fontId="53" fillId="11" borderId="83" xfId="3" applyFont="1" applyFill="1" applyBorder="1" applyAlignment="1" applyProtection="1">
      <alignment horizontal="center"/>
      <protection locked="0"/>
    </xf>
    <xf numFmtId="167" fontId="53" fillId="10" borderId="80" xfId="3" applyFont="1" applyFill="1" applyBorder="1" applyAlignment="1" applyProtection="1">
      <alignment horizontal="center"/>
      <protection locked="0"/>
    </xf>
    <xf numFmtId="167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67" fontId="5" fillId="13" borderId="80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7" fontId="5" fillId="11" borderId="78" xfId="3" applyFont="1" applyFill="1" applyBorder="1" applyAlignment="1" applyProtection="1">
      <alignment horizontal="center"/>
      <protection locked="0"/>
    </xf>
    <xf numFmtId="14" fontId="53" fillId="11" borderId="76" xfId="0" applyNumberFormat="1" applyFont="1" applyFill="1" applyBorder="1" applyAlignment="1" applyProtection="1">
      <alignment horizontal="center"/>
      <protection locked="0"/>
    </xf>
    <xf numFmtId="167" fontId="53" fillId="11" borderId="79" xfId="3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67" fontId="53" fillId="11" borderId="90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7" fontId="53" fillId="13" borderId="79" xfId="3" applyFont="1" applyFill="1" applyBorder="1" applyAlignment="1" applyProtection="1">
      <alignment horizontal="center"/>
      <protection locked="0"/>
    </xf>
    <xf numFmtId="167" fontId="53" fillId="11" borderId="91" xfId="3" applyFont="1" applyFill="1" applyBorder="1" applyAlignment="1" applyProtection="1">
      <alignment horizontal="center"/>
      <protection locked="0"/>
    </xf>
    <xf numFmtId="167" fontId="53" fillId="11" borderId="92" xfId="3" applyFont="1" applyFill="1" applyBorder="1" applyAlignment="1" applyProtection="1">
      <alignment horizontal="center"/>
      <protection locked="0"/>
    </xf>
    <xf numFmtId="167" fontId="53" fillId="10" borderId="14" xfId="3" applyFont="1" applyFill="1" applyBorder="1" applyAlignment="1" applyProtection="1">
      <alignment horizontal="center"/>
      <protection locked="0"/>
    </xf>
    <xf numFmtId="167" fontId="53" fillId="10" borderId="96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0" fontId="21" fillId="13" borderId="7" xfId="0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Alignment="1" applyProtection="1">
      <alignment horizontal="left" vertical="center"/>
      <protection locked="0"/>
    </xf>
    <xf numFmtId="9" fontId="6" fillId="13" borderId="8" xfId="0" applyNumberFormat="1" applyFont="1" applyFill="1" applyBorder="1" applyProtection="1">
      <protection locked="0"/>
    </xf>
    <xf numFmtId="9" fontId="6" fillId="13" borderId="8" xfId="0" applyNumberFormat="1" applyFont="1" applyFill="1" applyBorder="1" applyAlignment="1" applyProtection="1">
      <alignment horizontal="center" vertical="center"/>
      <protection locked="0"/>
    </xf>
    <xf numFmtId="9" fontId="6" fillId="13" borderId="8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Alignment="1" applyProtection="1">
      <alignment horizontal="center"/>
      <protection locked="0"/>
    </xf>
    <xf numFmtId="14" fontId="5" fillId="13" borderId="8" xfId="0" applyNumberFormat="1" applyFont="1" applyFill="1" applyBorder="1" applyAlignment="1" applyProtection="1">
      <alignment horizont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2" fontId="5" fillId="13" borderId="85" xfId="0" applyNumberFormat="1" applyFont="1" applyFill="1" applyBorder="1" applyAlignment="1" applyProtection="1">
      <alignment horizontal="center"/>
      <protection locked="0"/>
    </xf>
    <xf numFmtId="14" fontId="13" fillId="13" borderId="0" xfId="0" applyNumberFormat="1" applyFont="1" applyFill="1" applyAlignment="1" applyProtection="1">
      <alignment horizontal="center" vertical="center"/>
      <protection locked="0"/>
    </xf>
    <xf numFmtId="0" fontId="5" fillId="13" borderId="8" xfId="0" applyFont="1" applyFill="1" applyBorder="1" applyProtection="1">
      <protection locked="0"/>
    </xf>
    <xf numFmtId="14" fontId="23" fillId="13" borderId="8" xfId="0" applyNumberFormat="1" applyFont="1" applyFill="1" applyBorder="1" applyProtection="1">
      <protection locked="0"/>
    </xf>
    <xf numFmtId="0" fontId="21" fillId="13" borderId="108" xfId="0" applyFont="1" applyFill="1" applyBorder="1" applyAlignment="1" applyProtection="1">
      <alignment horizontal="center"/>
      <protection locked="0"/>
    </xf>
    <xf numFmtId="0" fontId="5" fillId="13" borderId="109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Protection="1">
      <protection locked="0"/>
    </xf>
    <xf numFmtId="9" fontId="6" fillId="13" borderId="109" xfId="0" applyNumberFormat="1" applyFont="1" applyFill="1" applyBorder="1" applyAlignment="1" applyProtection="1">
      <alignment horizontal="center" vertical="center"/>
      <protection locked="0"/>
    </xf>
    <xf numFmtId="9" fontId="6" fillId="13" borderId="109" xfId="0" applyNumberFormat="1" applyFont="1" applyFill="1" applyBorder="1" applyAlignment="1" applyProtection="1">
      <alignment horizontal="center"/>
      <protection locked="0"/>
    </xf>
    <xf numFmtId="168" fontId="5" fillId="13" borderId="109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167" fontId="13" fillId="13" borderId="112" xfId="3" applyFont="1" applyFill="1" applyBorder="1" applyAlignment="1" applyProtection="1">
      <alignment horizontal="center"/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Alignment="1" applyProtection="1">
      <alignment horizontal="center" vertical="center"/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0" fontId="5" fillId="13" borderId="116" xfId="0" applyFont="1" applyFill="1" applyBorder="1" applyProtection="1">
      <protection locked="0"/>
    </xf>
    <xf numFmtId="14" fontId="23" fillId="13" borderId="116" xfId="0" applyNumberFormat="1" applyFont="1" applyFill="1" applyBorder="1" applyProtection="1">
      <protection locked="0"/>
    </xf>
    <xf numFmtId="167" fontId="13" fillId="13" borderId="105" xfId="3" applyFont="1" applyFill="1" applyBorder="1" applyAlignment="1" applyProtection="1">
      <alignment horizontal="center"/>
      <protection locked="0"/>
    </xf>
    <xf numFmtId="14" fontId="5" fillId="13" borderId="107" xfId="0" applyNumberFormat="1" applyFont="1" applyFill="1" applyBorder="1" applyAlignment="1" applyProtection="1">
      <alignment horizontal="center"/>
      <protection locked="0"/>
    </xf>
    <xf numFmtId="14" fontId="5" fillId="13" borderId="114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49" fontId="54" fillId="0" borderId="2" xfId="0" applyNumberFormat="1" applyFont="1" applyBorder="1" applyAlignment="1" applyProtection="1">
      <alignment horizontal="center"/>
      <protection locked="0"/>
    </xf>
    <xf numFmtId="2" fontId="53" fillId="11" borderId="60" xfId="0" applyNumberFormat="1" applyFont="1" applyFill="1" applyBorder="1" applyAlignment="1" applyProtection="1">
      <alignment horizontal="center"/>
      <protection locked="0"/>
    </xf>
    <xf numFmtId="14" fontId="53" fillId="11" borderId="74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7" xfId="0" applyFont="1" applyFill="1" applyBorder="1" applyAlignment="1">
      <alignment horizontal="center"/>
    </xf>
    <xf numFmtId="0" fontId="3" fillId="7" borderId="118" xfId="0" applyFont="1" applyFill="1" applyBorder="1" applyAlignment="1">
      <alignment horizontal="center"/>
    </xf>
    <xf numFmtId="0" fontId="3" fillId="7" borderId="11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113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47" xfId="3" applyFont="1" applyFill="1" applyBorder="1" applyAlignment="1" applyProtection="1">
      <alignment horizontal="center" vertical="center"/>
      <protection locked="0"/>
    </xf>
    <xf numFmtId="167" fontId="5" fillId="11" borderId="7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5" fillId="10" borderId="18" xfId="0" applyNumberFormat="1" applyFont="1" applyFill="1" applyBorder="1" applyAlignment="1" applyProtection="1">
      <alignment horizontal="center"/>
      <protection locked="0"/>
    </xf>
    <xf numFmtId="168" fontId="5" fillId="10" borderId="14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94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53" fillId="10" borderId="28" xfId="0" applyNumberFormat="1" applyFont="1" applyFill="1" applyBorder="1" applyAlignment="1" applyProtection="1">
      <alignment horizontal="center" vertical="center"/>
      <protection locked="0"/>
    </xf>
    <xf numFmtId="14" fontId="53" fillId="10" borderId="47" xfId="0" applyNumberFormat="1" applyFont="1" applyFill="1" applyBorder="1" applyAlignment="1" applyProtection="1">
      <alignment horizontal="center" vertical="center"/>
      <protection locked="0"/>
    </xf>
    <xf numFmtId="14" fontId="53" fillId="10" borderId="49" xfId="0" applyNumberFormat="1" applyFont="1" applyFill="1" applyBorder="1" applyAlignment="1" applyProtection="1">
      <alignment horizontal="center" vertical="center"/>
      <protection locked="0"/>
    </xf>
    <xf numFmtId="168" fontId="7" fillId="13" borderId="115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45577</c:v>
                </c:pt>
                <c:pt idx="3">
                  <c:v>45560</c:v>
                </c:pt>
                <c:pt idx="4">
                  <c:v>45581</c:v>
                </c:pt>
                <c:pt idx="5">
                  <c:v>45621</c:v>
                </c:pt>
                <c:pt idx="6">
                  <c:v>45630</c:v>
                </c:pt>
                <c:pt idx="7">
                  <c:v>45636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4EB4B9-12DA-4848-9745-C9CF660D175A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EF8BB87-000F-401E-9655-1B9A405139DE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A4F00D3-E860-4620-9BBD-25A6B6F1D27A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218968B-57CC-4094-ADA7-B2B74E39A3BD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8CDD28E-6D71-40E5-A659-C3AEEBE41034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6FC7B24-9A93-484C-9B2C-6E3ABF11DCE1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0A2228-3B7A-4820-A61C-6BB55E3C741B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2D3A209-6B4A-4FFF-8656-36380CA507BB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19</c:v>
                </c:pt>
                <c:pt idx="3">
                  <c:v>61</c:v>
                </c:pt>
                <c:pt idx="4">
                  <c:v>40</c:v>
                </c:pt>
                <c:pt idx="5">
                  <c:v>9</c:v>
                </c:pt>
                <c:pt idx="6">
                  <c:v>9</c:v>
                </c:pt>
                <c:pt idx="7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Cashflow!$F$4:$BY$4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580561.66482684645</c:v>
                </c:pt>
                <c:pt idx="10">
                  <c:v>580561.66482684645</c:v>
                </c:pt>
                <c:pt idx="11">
                  <c:v>995248.56827459391</c:v>
                </c:pt>
                <c:pt idx="12">
                  <c:v>995248.56827459391</c:v>
                </c:pt>
                <c:pt idx="13">
                  <c:v>995248.56827459391</c:v>
                </c:pt>
                <c:pt idx="14">
                  <c:v>1409935.4717223414</c:v>
                </c:pt>
                <c:pt idx="15">
                  <c:v>1409935.4717223414</c:v>
                </c:pt>
                <c:pt idx="16">
                  <c:v>1409935.4717223414</c:v>
                </c:pt>
                <c:pt idx="17">
                  <c:v>1409935.4717223414</c:v>
                </c:pt>
                <c:pt idx="18">
                  <c:v>1409935.4717223414</c:v>
                </c:pt>
                <c:pt idx="19">
                  <c:v>1409935.4717223414</c:v>
                </c:pt>
                <c:pt idx="20">
                  <c:v>1661420.4531014403</c:v>
                </c:pt>
                <c:pt idx="21">
                  <c:v>1661420.4531014403</c:v>
                </c:pt>
                <c:pt idx="22">
                  <c:v>1661420.4531014403</c:v>
                </c:pt>
                <c:pt idx="23">
                  <c:v>1661420.4531014403</c:v>
                </c:pt>
                <c:pt idx="24">
                  <c:v>1661420.4531014403</c:v>
                </c:pt>
                <c:pt idx="25">
                  <c:v>1661420.4531014403</c:v>
                </c:pt>
                <c:pt idx="26">
                  <c:v>1661420.4531014403</c:v>
                </c:pt>
                <c:pt idx="27">
                  <c:v>1661420.4531014403</c:v>
                </c:pt>
                <c:pt idx="28">
                  <c:v>1661420.4531014403</c:v>
                </c:pt>
                <c:pt idx="29">
                  <c:v>1744357.8337909898</c:v>
                </c:pt>
                <c:pt idx="30">
                  <c:v>1744357.8337909898</c:v>
                </c:pt>
                <c:pt idx="31">
                  <c:v>1744357.8337909898</c:v>
                </c:pt>
                <c:pt idx="32">
                  <c:v>1744357.8337909898</c:v>
                </c:pt>
                <c:pt idx="33">
                  <c:v>1744357.8337909898</c:v>
                </c:pt>
                <c:pt idx="34">
                  <c:v>1744357.8337909898</c:v>
                </c:pt>
                <c:pt idx="35">
                  <c:v>1744357.8337909898</c:v>
                </c:pt>
                <c:pt idx="36">
                  <c:v>1744357.8337909898</c:v>
                </c:pt>
                <c:pt idx="37">
                  <c:v>1744357.8337909898</c:v>
                </c:pt>
                <c:pt idx="38">
                  <c:v>1744357.8337909898</c:v>
                </c:pt>
                <c:pt idx="39">
                  <c:v>1744357.8337909898</c:v>
                </c:pt>
                <c:pt idx="40">
                  <c:v>1744357.8337909898</c:v>
                </c:pt>
                <c:pt idx="41">
                  <c:v>1744357.8337909898</c:v>
                </c:pt>
                <c:pt idx="42">
                  <c:v>1744357.8337909898</c:v>
                </c:pt>
                <c:pt idx="43">
                  <c:v>1744357.8337909898</c:v>
                </c:pt>
                <c:pt idx="44">
                  <c:v>1744357.8337909898</c:v>
                </c:pt>
                <c:pt idx="45">
                  <c:v>1744357.8337909898</c:v>
                </c:pt>
                <c:pt idx="46">
                  <c:v>1744357.8337909898</c:v>
                </c:pt>
                <c:pt idx="47">
                  <c:v>1744357.8337909898</c:v>
                </c:pt>
                <c:pt idx="48">
                  <c:v>1744357.8337909898</c:v>
                </c:pt>
                <c:pt idx="49">
                  <c:v>1744357.8337909898</c:v>
                </c:pt>
                <c:pt idx="50">
                  <c:v>1744357.8337909898</c:v>
                </c:pt>
                <c:pt idx="51">
                  <c:v>1744357.8337909898</c:v>
                </c:pt>
                <c:pt idx="52">
                  <c:v>1744357.8337909898</c:v>
                </c:pt>
                <c:pt idx="53">
                  <c:v>1744357.8337909898</c:v>
                </c:pt>
                <c:pt idx="54">
                  <c:v>1744357.8337909898</c:v>
                </c:pt>
                <c:pt idx="55">
                  <c:v>1744357.8337909898</c:v>
                </c:pt>
                <c:pt idx="56">
                  <c:v>1744357.8337909898</c:v>
                </c:pt>
                <c:pt idx="57">
                  <c:v>1744357.8337909898</c:v>
                </c:pt>
                <c:pt idx="58">
                  <c:v>1744357.8337909898</c:v>
                </c:pt>
                <c:pt idx="59">
                  <c:v>1744357.8337909898</c:v>
                </c:pt>
                <c:pt idx="60">
                  <c:v>1744357.8337909898</c:v>
                </c:pt>
                <c:pt idx="61">
                  <c:v>1744357.8337909898</c:v>
                </c:pt>
                <c:pt idx="62">
                  <c:v>1744357.8337909898</c:v>
                </c:pt>
                <c:pt idx="63">
                  <c:v>1744357.8337909898</c:v>
                </c:pt>
                <c:pt idx="64">
                  <c:v>1744357.8337909898</c:v>
                </c:pt>
                <c:pt idx="65">
                  <c:v>1744357.8337909898</c:v>
                </c:pt>
                <c:pt idx="66">
                  <c:v>1744357.8337909898</c:v>
                </c:pt>
                <c:pt idx="67">
                  <c:v>1744357.8337909898</c:v>
                </c:pt>
                <c:pt idx="68">
                  <c:v>1744357.8337909898</c:v>
                </c:pt>
                <c:pt idx="69">
                  <c:v>1744357.8337909898</c:v>
                </c:pt>
                <c:pt idx="70">
                  <c:v>1744357.8337909898</c:v>
                </c:pt>
                <c:pt idx="71">
                  <c:v>1744357.8337909898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Cashflow!$F$6:$BY$6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13110</c:v>
                </c:pt>
                <c:pt idx="10">
                  <c:v>92284.17300000001</c:v>
                </c:pt>
                <c:pt idx="11">
                  <c:v>92284.17300000001</c:v>
                </c:pt>
                <c:pt idx="12">
                  <c:v>92284.17300000001</c:v>
                </c:pt>
                <c:pt idx="13">
                  <c:v>92725.773000000016</c:v>
                </c:pt>
                <c:pt idx="14">
                  <c:v>383649.77300000004</c:v>
                </c:pt>
                <c:pt idx="15">
                  <c:v>465215.33700000006</c:v>
                </c:pt>
                <c:pt idx="16">
                  <c:v>465215.33700000006</c:v>
                </c:pt>
                <c:pt idx="17">
                  <c:v>504115.33700000006</c:v>
                </c:pt>
                <c:pt idx="18">
                  <c:v>504115.33700000006</c:v>
                </c:pt>
                <c:pt idx="19">
                  <c:v>617072.29200000002</c:v>
                </c:pt>
                <c:pt idx="20">
                  <c:v>705125.57400000002</c:v>
                </c:pt>
                <c:pt idx="21">
                  <c:v>1234210.666</c:v>
                </c:pt>
                <c:pt idx="22">
                  <c:v>1282274.8389999999</c:v>
                </c:pt>
                <c:pt idx="23">
                  <c:v>1282274.8389999999</c:v>
                </c:pt>
                <c:pt idx="24">
                  <c:v>1351183.169</c:v>
                </c:pt>
                <c:pt idx="25">
                  <c:v>1351183.169</c:v>
                </c:pt>
                <c:pt idx="26">
                  <c:v>1371574.56</c:v>
                </c:pt>
                <c:pt idx="27">
                  <c:v>1371574.56</c:v>
                </c:pt>
                <c:pt idx="28">
                  <c:v>1414650.52</c:v>
                </c:pt>
                <c:pt idx="29">
                  <c:v>1414650.52</c:v>
                </c:pt>
                <c:pt idx="30">
                  <c:v>1414650.52</c:v>
                </c:pt>
                <c:pt idx="31">
                  <c:v>1414650.52</c:v>
                </c:pt>
                <c:pt idx="32">
                  <c:v>1414650.52</c:v>
                </c:pt>
                <c:pt idx="33">
                  <c:v>1414650.52</c:v>
                </c:pt>
                <c:pt idx="34">
                  <c:v>1414650.52</c:v>
                </c:pt>
                <c:pt idx="35">
                  <c:v>1414650.52</c:v>
                </c:pt>
                <c:pt idx="36">
                  <c:v>1414650.52</c:v>
                </c:pt>
                <c:pt idx="37">
                  <c:v>1414650.52</c:v>
                </c:pt>
                <c:pt idx="38">
                  <c:v>1414650.52</c:v>
                </c:pt>
                <c:pt idx="39">
                  <c:v>1414650.52</c:v>
                </c:pt>
                <c:pt idx="40">
                  <c:v>1414650.52</c:v>
                </c:pt>
                <c:pt idx="41">
                  <c:v>1414650.52</c:v>
                </c:pt>
                <c:pt idx="42">
                  <c:v>1414650.52</c:v>
                </c:pt>
                <c:pt idx="43">
                  <c:v>1414650.52</c:v>
                </c:pt>
                <c:pt idx="44">
                  <c:v>1414650.52</c:v>
                </c:pt>
                <c:pt idx="45">
                  <c:v>1414650.52</c:v>
                </c:pt>
                <c:pt idx="46">
                  <c:v>1414650.52</c:v>
                </c:pt>
                <c:pt idx="47">
                  <c:v>1414650.52</c:v>
                </c:pt>
                <c:pt idx="48">
                  <c:v>1414650.52</c:v>
                </c:pt>
                <c:pt idx="49">
                  <c:v>1414650.52</c:v>
                </c:pt>
                <c:pt idx="50">
                  <c:v>1414650.52</c:v>
                </c:pt>
                <c:pt idx="51">
                  <c:v>1414650.52</c:v>
                </c:pt>
                <c:pt idx="52">
                  <c:v>1414650.52</c:v>
                </c:pt>
                <c:pt idx="53">
                  <c:v>1414650.52</c:v>
                </c:pt>
                <c:pt idx="54">
                  <c:v>1414650.52</c:v>
                </c:pt>
                <c:pt idx="55">
                  <c:v>1414650.52</c:v>
                </c:pt>
                <c:pt idx="56">
                  <c:v>1414650.52</c:v>
                </c:pt>
                <c:pt idx="57">
                  <c:v>1414650.52</c:v>
                </c:pt>
                <c:pt idx="58">
                  <c:v>1414650.52</c:v>
                </c:pt>
                <c:pt idx="59">
                  <c:v>1414650.52</c:v>
                </c:pt>
                <c:pt idx="60">
                  <c:v>1414650.52</c:v>
                </c:pt>
                <c:pt idx="61">
                  <c:v>1414650.52</c:v>
                </c:pt>
                <c:pt idx="62">
                  <c:v>1414650.52</c:v>
                </c:pt>
                <c:pt idx="63">
                  <c:v>1414650.52</c:v>
                </c:pt>
                <c:pt idx="64">
                  <c:v>1414650.52</c:v>
                </c:pt>
                <c:pt idx="65">
                  <c:v>1414650.52</c:v>
                </c:pt>
                <c:pt idx="66">
                  <c:v>1414650.52</c:v>
                </c:pt>
                <c:pt idx="67">
                  <c:v>1414650.52</c:v>
                </c:pt>
                <c:pt idx="68">
                  <c:v>1414650.52</c:v>
                </c:pt>
                <c:pt idx="69">
                  <c:v>1414650.52</c:v>
                </c:pt>
                <c:pt idx="70">
                  <c:v>1414650.52</c:v>
                </c:pt>
                <c:pt idx="71">
                  <c:v>1414650.52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Cashflow!$F$7:$BY$7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567451.66482684645</c:v>
                </c:pt>
                <c:pt idx="10">
                  <c:v>488277.49182684644</c:v>
                </c:pt>
                <c:pt idx="11">
                  <c:v>902964.39527459396</c:v>
                </c:pt>
                <c:pt idx="12">
                  <c:v>902964.39527459396</c:v>
                </c:pt>
                <c:pt idx="13">
                  <c:v>902522.79527459387</c:v>
                </c:pt>
                <c:pt idx="14">
                  <c:v>1026285.6987223413</c:v>
                </c:pt>
                <c:pt idx="15">
                  <c:v>944720.13472234132</c:v>
                </c:pt>
                <c:pt idx="16">
                  <c:v>944720.13472234132</c:v>
                </c:pt>
                <c:pt idx="17">
                  <c:v>905820.13472234132</c:v>
                </c:pt>
                <c:pt idx="18">
                  <c:v>905820.13472234132</c:v>
                </c:pt>
                <c:pt idx="19">
                  <c:v>792863.17972234136</c:v>
                </c:pt>
                <c:pt idx="20">
                  <c:v>956294.87910144031</c:v>
                </c:pt>
                <c:pt idx="21">
                  <c:v>427209.78710144036</c:v>
                </c:pt>
                <c:pt idx="22">
                  <c:v>379145.61410144041</c:v>
                </c:pt>
                <c:pt idx="23">
                  <c:v>379145.61410144041</c:v>
                </c:pt>
                <c:pt idx="24">
                  <c:v>310237.28410144034</c:v>
                </c:pt>
                <c:pt idx="25">
                  <c:v>310237.28410144034</c:v>
                </c:pt>
                <c:pt idx="26">
                  <c:v>289845.89310144028</c:v>
                </c:pt>
                <c:pt idx="27">
                  <c:v>289845.89310144028</c:v>
                </c:pt>
                <c:pt idx="28">
                  <c:v>246769.93310144031</c:v>
                </c:pt>
                <c:pt idx="29">
                  <c:v>329707.31379098981</c:v>
                </c:pt>
                <c:pt idx="30">
                  <c:v>329707.31379098981</c:v>
                </c:pt>
                <c:pt idx="31">
                  <c:v>329707.31379098981</c:v>
                </c:pt>
                <c:pt idx="32">
                  <c:v>329707.31379098981</c:v>
                </c:pt>
                <c:pt idx="33">
                  <c:v>329707.31379098981</c:v>
                </c:pt>
                <c:pt idx="34">
                  <c:v>329707.31379098981</c:v>
                </c:pt>
                <c:pt idx="35">
                  <c:v>329707.31379098981</c:v>
                </c:pt>
                <c:pt idx="36">
                  <c:v>329707.31379098981</c:v>
                </c:pt>
                <c:pt idx="37">
                  <c:v>329707.31379098981</c:v>
                </c:pt>
                <c:pt idx="38">
                  <c:v>329707.31379098981</c:v>
                </c:pt>
                <c:pt idx="39">
                  <c:v>329707.31379098981</c:v>
                </c:pt>
                <c:pt idx="40">
                  <c:v>329707.31379098981</c:v>
                </c:pt>
                <c:pt idx="41">
                  <c:v>329707.31379098981</c:v>
                </c:pt>
                <c:pt idx="42">
                  <c:v>329707.31379098981</c:v>
                </c:pt>
                <c:pt idx="43">
                  <c:v>329707.31379098981</c:v>
                </c:pt>
                <c:pt idx="44">
                  <c:v>329707.31379098981</c:v>
                </c:pt>
                <c:pt idx="45">
                  <c:v>329707.31379098981</c:v>
                </c:pt>
                <c:pt idx="46">
                  <c:v>329707.31379098981</c:v>
                </c:pt>
                <c:pt idx="47">
                  <c:v>329707.31379098981</c:v>
                </c:pt>
                <c:pt idx="48">
                  <c:v>329707.31379098981</c:v>
                </c:pt>
                <c:pt idx="49">
                  <c:v>329707.31379098981</c:v>
                </c:pt>
                <c:pt idx="50">
                  <c:v>329707.31379098981</c:v>
                </c:pt>
                <c:pt idx="51">
                  <c:v>329707.31379098981</c:v>
                </c:pt>
                <c:pt idx="52">
                  <c:v>329707.31379098981</c:v>
                </c:pt>
                <c:pt idx="53">
                  <c:v>329707.31379098981</c:v>
                </c:pt>
                <c:pt idx="54">
                  <c:v>329707.31379098981</c:v>
                </c:pt>
                <c:pt idx="55">
                  <c:v>329707.31379098981</c:v>
                </c:pt>
                <c:pt idx="56">
                  <c:v>329707.31379098981</c:v>
                </c:pt>
                <c:pt idx="57">
                  <c:v>329707.31379098981</c:v>
                </c:pt>
                <c:pt idx="58">
                  <c:v>329707.31379098981</c:v>
                </c:pt>
                <c:pt idx="59">
                  <c:v>329707.31379098981</c:v>
                </c:pt>
                <c:pt idx="60">
                  <c:v>329707.31379098981</c:v>
                </c:pt>
                <c:pt idx="61">
                  <c:v>329707.31379098981</c:v>
                </c:pt>
                <c:pt idx="62">
                  <c:v>329707.31379098981</c:v>
                </c:pt>
                <c:pt idx="63">
                  <c:v>329707.31379098981</c:v>
                </c:pt>
                <c:pt idx="64">
                  <c:v>329707.31379098981</c:v>
                </c:pt>
                <c:pt idx="65">
                  <c:v>329707.31379098981</c:v>
                </c:pt>
                <c:pt idx="66">
                  <c:v>329707.31379098981</c:v>
                </c:pt>
                <c:pt idx="67">
                  <c:v>329707.31379098981</c:v>
                </c:pt>
                <c:pt idx="68">
                  <c:v>329707.31379098981</c:v>
                </c:pt>
                <c:pt idx="69">
                  <c:v>329707.31379098981</c:v>
                </c:pt>
                <c:pt idx="70">
                  <c:v>329707.31379098981</c:v>
                </c:pt>
                <c:pt idx="71">
                  <c:v>329707.31379098981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Cashflow!$F$10:$BY$10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580561.66482684645</c:v>
                </c:pt>
                <c:pt idx="10">
                  <c:v>580561.66482684645</c:v>
                </c:pt>
                <c:pt idx="11">
                  <c:v>580561.66482684645</c:v>
                </c:pt>
                <c:pt idx="12">
                  <c:v>995248.56827459391</c:v>
                </c:pt>
                <c:pt idx="13">
                  <c:v>995248.56827459391</c:v>
                </c:pt>
                <c:pt idx="14">
                  <c:v>995248.56827459391</c:v>
                </c:pt>
                <c:pt idx="15">
                  <c:v>995248.56827459391</c:v>
                </c:pt>
                <c:pt idx="16">
                  <c:v>995248.56827459391</c:v>
                </c:pt>
                <c:pt idx="17">
                  <c:v>995248.56827459391</c:v>
                </c:pt>
                <c:pt idx="18">
                  <c:v>995248.56827459391</c:v>
                </c:pt>
                <c:pt idx="19">
                  <c:v>1409935.4717223414</c:v>
                </c:pt>
                <c:pt idx="20">
                  <c:v>1409935.4717223414</c:v>
                </c:pt>
                <c:pt idx="21">
                  <c:v>1409935.4717223414</c:v>
                </c:pt>
                <c:pt idx="22">
                  <c:v>1409935.4717223414</c:v>
                </c:pt>
                <c:pt idx="23">
                  <c:v>1409935.4717223414</c:v>
                </c:pt>
                <c:pt idx="24">
                  <c:v>1409935.4717223414</c:v>
                </c:pt>
                <c:pt idx="25">
                  <c:v>1409935.4717223414</c:v>
                </c:pt>
                <c:pt idx="26">
                  <c:v>1409935.4717223414</c:v>
                </c:pt>
                <c:pt idx="27">
                  <c:v>1409935.4717223414</c:v>
                </c:pt>
                <c:pt idx="28">
                  <c:v>1661420.4531014403</c:v>
                </c:pt>
                <c:pt idx="29">
                  <c:v>1661420.4531014403</c:v>
                </c:pt>
                <c:pt idx="30">
                  <c:v>1661420.4531014403</c:v>
                </c:pt>
                <c:pt idx="31">
                  <c:v>1661420.4531014403</c:v>
                </c:pt>
                <c:pt idx="32">
                  <c:v>1661420.4531014403</c:v>
                </c:pt>
                <c:pt idx="33">
                  <c:v>1661420.4531014403</c:v>
                </c:pt>
                <c:pt idx="34">
                  <c:v>1661420.4531014403</c:v>
                </c:pt>
                <c:pt idx="35">
                  <c:v>1661420.4531014403</c:v>
                </c:pt>
                <c:pt idx="36">
                  <c:v>1661420.4531014403</c:v>
                </c:pt>
                <c:pt idx="37">
                  <c:v>1661420.4531014403</c:v>
                </c:pt>
                <c:pt idx="38">
                  <c:v>1661420.4531014403</c:v>
                </c:pt>
                <c:pt idx="39">
                  <c:v>1661420.4531014403</c:v>
                </c:pt>
                <c:pt idx="40">
                  <c:v>1661420.4531014403</c:v>
                </c:pt>
                <c:pt idx="41">
                  <c:v>1661420.4531014403</c:v>
                </c:pt>
                <c:pt idx="42">
                  <c:v>1661420.4531014403</c:v>
                </c:pt>
                <c:pt idx="43">
                  <c:v>1661420.4531014403</c:v>
                </c:pt>
                <c:pt idx="44">
                  <c:v>1661420.4531014403</c:v>
                </c:pt>
                <c:pt idx="45">
                  <c:v>1661420.4531014403</c:v>
                </c:pt>
                <c:pt idx="46">
                  <c:v>1661420.4531014403</c:v>
                </c:pt>
                <c:pt idx="47">
                  <c:v>1661420.4531014403</c:v>
                </c:pt>
                <c:pt idx="48">
                  <c:v>1661420.4531014403</c:v>
                </c:pt>
                <c:pt idx="49">
                  <c:v>1661420.4531014403</c:v>
                </c:pt>
                <c:pt idx="50">
                  <c:v>1661420.4531014403</c:v>
                </c:pt>
                <c:pt idx="51">
                  <c:v>1661420.4531014403</c:v>
                </c:pt>
                <c:pt idx="52">
                  <c:v>1661420.4531014403</c:v>
                </c:pt>
                <c:pt idx="53">
                  <c:v>1661420.4531014403</c:v>
                </c:pt>
                <c:pt idx="54">
                  <c:v>1661420.4531014403</c:v>
                </c:pt>
                <c:pt idx="55">
                  <c:v>1661420.4531014403</c:v>
                </c:pt>
                <c:pt idx="56">
                  <c:v>1661420.4531014403</c:v>
                </c:pt>
                <c:pt idx="57">
                  <c:v>1661420.4531014403</c:v>
                </c:pt>
                <c:pt idx="58">
                  <c:v>1661420.4531014403</c:v>
                </c:pt>
                <c:pt idx="59">
                  <c:v>1661420.4531014403</c:v>
                </c:pt>
                <c:pt idx="60">
                  <c:v>1661420.4531014403</c:v>
                </c:pt>
                <c:pt idx="61">
                  <c:v>1661420.4531014403</c:v>
                </c:pt>
                <c:pt idx="62">
                  <c:v>1661420.4531014403</c:v>
                </c:pt>
                <c:pt idx="63">
                  <c:v>1661420.4531014403</c:v>
                </c:pt>
                <c:pt idx="64">
                  <c:v>1661420.4531014403</c:v>
                </c:pt>
                <c:pt idx="65">
                  <c:v>1744357.8337909898</c:v>
                </c:pt>
                <c:pt idx="66">
                  <c:v>1744357.8337909898</c:v>
                </c:pt>
                <c:pt idx="67">
                  <c:v>1744357.8337909898</c:v>
                </c:pt>
                <c:pt idx="68">
                  <c:v>1744357.8337909898</c:v>
                </c:pt>
                <c:pt idx="69">
                  <c:v>1744357.8337909898</c:v>
                </c:pt>
                <c:pt idx="70">
                  <c:v>1744357.8337909898</c:v>
                </c:pt>
                <c:pt idx="71">
                  <c:v>1744357.8337909898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Cashflow!$F$12:$BY$12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25080.76</c:v>
                </c:pt>
                <c:pt idx="8">
                  <c:v>25080.76</c:v>
                </c:pt>
                <c:pt idx="9">
                  <c:v>25080.76</c:v>
                </c:pt>
                <c:pt idx="10">
                  <c:v>320146.76000000007</c:v>
                </c:pt>
                <c:pt idx="11">
                  <c:v>346837.74000000005</c:v>
                </c:pt>
                <c:pt idx="12">
                  <c:v>491342.76</c:v>
                </c:pt>
                <c:pt idx="13">
                  <c:v>498592.76</c:v>
                </c:pt>
                <c:pt idx="14">
                  <c:v>498592.76</c:v>
                </c:pt>
                <c:pt idx="15">
                  <c:v>831514.46</c:v>
                </c:pt>
                <c:pt idx="16">
                  <c:v>833185.46</c:v>
                </c:pt>
                <c:pt idx="17">
                  <c:v>833185.46</c:v>
                </c:pt>
                <c:pt idx="18">
                  <c:v>833185.46</c:v>
                </c:pt>
                <c:pt idx="19">
                  <c:v>1096037.9551723874</c:v>
                </c:pt>
                <c:pt idx="20">
                  <c:v>1157811.4151723874</c:v>
                </c:pt>
                <c:pt idx="21">
                  <c:v>1179349.3951723874</c:v>
                </c:pt>
                <c:pt idx="22">
                  <c:v>1179349.3951723874</c:v>
                </c:pt>
                <c:pt idx="23">
                  <c:v>1179349.3951723874</c:v>
                </c:pt>
                <c:pt idx="24">
                  <c:v>1179349.3951723874</c:v>
                </c:pt>
                <c:pt idx="25">
                  <c:v>1179349.3951723874</c:v>
                </c:pt>
                <c:pt idx="26">
                  <c:v>1182900.5851723873</c:v>
                </c:pt>
                <c:pt idx="27">
                  <c:v>1182900.5851723873</c:v>
                </c:pt>
                <c:pt idx="28">
                  <c:v>1262948.3351723873</c:v>
                </c:pt>
                <c:pt idx="29">
                  <c:v>1263964.3551723873</c:v>
                </c:pt>
                <c:pt idx="30">
                  <c:v>1284156.5551723873</c:v>
                </c:pt>
                <c:pt idx="31">
                  <c:v>1284156.5551723873</c:v>
                </c:pt>
                <c:pt idx="32">
                  <c:v>1284156.5551723873</c:v>
                </c:pt>
                <c:pt idx="33">
                  <c:v>1304946.1151723873</c:v>
                </c:pt>
                <c:pt idx="34">
                  <c:v>1304946.1151723873</c:v>
                </c:pt>
                <c:pt idx="35">
                  <c:v>1304946.1151723873</c:v>
                </c:pt>
                <c:pt idx="36">
                  <c:v>1344846.1151723873</c:v>
                </c:pt>
                <c:pt idx="37">
                  <c:v>1344846.1151723873</c:v>
                </c:pt>
                <c:pt idx="38">
                  <c:v>1344846.1151723873</c:v>
                </c:pt>
                <c:pt idx="39">
                  <c:v>1344846.1151723873</c:v>
                </c:pt>
                <c:pt idx="40">
                  <c:v>1344846.1151723873</c:v>
                </c:pt>
                <c:pt idx="41">
                  <c:v>1344846.1151723873</c:v>
                </c:pt>
                <c:pt idx="42">
                  <c:v>1345934.0951723873</c:v>
                </c:pt>
                <c:pt idx="43">
                  <c:v>1368343.3751723873</c:v>
                </c:pt>
                <c:pt idx="44">
                  <c:v>1368343.3751723873</c:v>
                </c:pt>
                <c:pt idx="45">
                  <c:v>1375196.1351723874</c:v>
                </c:pt>
                <c:pt idx="46">
                  <c:v>1375196.1351723874</c:v>
                </c:pt>
                <c:pt idx="47">
                  <c:v>1375196.1351723874</c:v>
                </c:pt>
                <c:pt idx="48">
                  <c:v>1375196.1351723874</c:v>
                </c:pt>
                <c:pt idx="49">
                  <c:v>1375196.1351723874</c:v>
                </c:pt>
                <c:pt idx="50">
                  <c:v>1375306.5851723873</c:v>
                </c:pt>
                <c:pt idx="51">
                  <c:v>1375306.5851723873</c:v>
                </c:pt>
                <c:pt idx="52">
                  <c:v>1375306.5851723873</c:v>
                </c:pt>
                <c:pt idx="53">
                  <c:v>1375306.5851723873</c:v>
                </c:pt>
                <c:pt idx="54">
                  <c:v>1394693.7851723873</c:v>
                </c:pt>
                <c:pt idx="55">
                  <c:v>1394693.7851723873</c:v>
                </c:pt>
                <c:pt idx="56">
                  <c:v>1394693.7851723873</c:v>
                </c:pt>
                <c:pt idx="57">
                  <c:v>1394693.7851723873</c:v>
                </c:pt>
                <c:pt idx="58">
                  <c:v>1424359.44</c:v>
                </c:pt>
                <c:pt idx="59">
                  <c:v>1424359.44</c:v>
                </c:pt>
                <c:pt idx="60">
                  <c:v>1424359.44</c:v>
                </c:pt>
                <c:pt idx="61">
                  <c:v>1424359.44</c:v>
                </c:pt>
                <c:pt idx="62">
                  <c:v>1424359.44</c:v>
                </c:pt>
                <c:pt idx="63">
                  <c:v>1424359.44</c:v>
                </c:pt>
                <c:pt idx="64">
                  <c:v>1424359.44</c:v>
                </c:pt>
                <c:pt idx="65">
                  <c:v>1424359.44</c:v>
                </c:pt>
                <c:pt idx="66">
                  <c:v>1424359.44</c:v>
                </c:pt>
                <c:pt idx="67">
                  <c:v>1424359.44</c:v>
                </c:pt>
                <c:pt idx="68">
                  <c:v>1424359.44</c:v>
                </c:pt>
                <c:pt idx="69">
                  <c:v>1424359.44</c:v>
                </c:pt>
                <c:pt idx="70">
                  <c:v>1424359.44</c:v>
                </c:pt>
                <c:pt idx="71">
                  <c:v>1424359.44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</c:numRef>
          </c:cat>
          <c:val>
            <c:numRef>
              <c:f>Cashflow!$F$14:$BY$14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555480.90482684644</c:v>
                </c:pt>
                <c:pt idx="8">
                  <c:v>555480.90482684644</c:v>
                </c:pt>
                <c:pt idx="9">
                  <c:v>555480.90482684644</c:v>
                </c:pt>
                <c:pt idx="10">
                  <c:v>260414.90482684638</c:v>
                </c:pt>
                <c:pt idx="11">
                  <c:v>233723.9248268464</c:v>
                </c:pt>
                <c:pt idx="12">
                  <c:v>503905.8082745939</c:v>
                </c:pt>
                <c:pt idx="13">
                  <c:v>496655.8082745939</c:v>
                </c:pt>
                <c:pt idx="14">
                  <c:v>496655.8082745939</c:v>
                </c:pt>
                <c:pt idx="15">
                  <c:v>163734.10827459395</c:v>
                </c:pt>
                <c:pt idx="16">
                  <c:v>162063.10827459395</c:v>
                </c:pt>
                <c:pt idx="17">
                  <c:v>162063.10827459395</c:v>
                </c:pt>
                <c:pt idx="18">
                  <c:v>162063.10827459395</c:v>
                </c:pt>
                <c:pt idx="19">
                  <c:v>313897.51654995396</c:v>
                </c:pt>
                <c:pt idx="20">
                  <c:v>252124.056549954</c:v>
                </c:pt>
                <c:pt idx="21">
                  <c:v>230586.07654995401</c:v>
                </c:pt>
                <c:pt idx="22">
                  <c:v>230586.07654995401</c:v>
                </c:pt>
                <c:pt idx="23">
                  <c:v>230586.07654995401</c:v>
                </c:pt>
                <c:pt idx="24">
                  <c:v>230586.07654995401</c:v>
                </c:pt>
                <c:pt idx="25">
                  <c:v>230586.07654995401</c:v>
                </c:pt>
                <c:pt idx="26">
                  <c:v>227034.88654995407</c:v>
                </c:pt>
                <c:pt idx="27">
                  <c:v>227034.88654995407</c:v>
                </c:pt>
                <c:pt idx="28">
                  <c:v>398472.11792905303</c:v>
                </c:pt>
                <c:pt idx="29">
                  <c:v>397456.09792905301</c:v>
                </c:pt>
                <c:pt idx="30">
                  <c:v>377263.89792905306</c:v>
                </c:pt>
                <c:pt idx="31">
                  <c:v>377263.89792905306</c:v>
                </c:pt>
                <c:pt idx="32">
                  <c:v>377263.89792905306</c:v>
                </c:pt>
                <c:pt idx="33">
                  <c:v>356474.337929053</c:v>
                </c:pt>
                <c:pt idx="34">
                  <c:v>356474.337929053</c:v>
                </c:pt>
                <c:pt idx="35">
                  <c:v>356474.337929053</c:v>
                </c:pt>
                <c:pt idx="36">
                  <c:v>316574.337929053</c:v>
                </c:pt>
                <c:pt idx="37">
                  <c:v>316574.337929053</c:v>
                </c:pt>
                <c:pt idx="38">
                  <c:v>316574.337929053</c:v>
                </c:pt>
                <c:pt idx="39">
                  <c:v>316574.337929053</c:v>
                </c:pt>
                <c:pt idx="40">
                  <c:v>316574.337929053</c:v>
                </c:pt>
                <c:pt idx="41">
                  <c:v>316574.337929053</c:v>
                </c:pt>
                <c:pt idx="42">
                  <c:v>315486.35792905302</c:v>
                </c:pt>
                <c:pt idx="43">
                  <c:v>293077.07792905299</c:v>
                </c:pt>
                <c:pt idx="44">
                  <c:v>293077.07792905299</c:v>
                </c:pt>
                <c:pt idx="45">
                  <c:v>286224.31792905298</c:v>
                </c:pt>
                <c:pt idx="46">
                  <c:v>286224.31792905298</c:v>
                </c:pt>
                <c:pt idx="47">
                  <c:v>286224.31792905298</c:v>
                </c:pt>
                <c:pt idx="48">
                  <c:v>286224.31792905298</c:v>
                </c:pt>
                <c:pt idx="49">
                  <c:v>286224.31792905298</c:v>
                </c:pt>
                <c:pt idx="50">
                  <c:v>286113.86792905303</c:v>
                </c:pt>
                <c:pt idx="51">
                  <c:v>286113.86792905303</c:v>
                </c:pt>
                <c:pt idx="52">
                  <c:v>286113.86792905303</c:v>
                </c:pt>
                <c:pt idx="53">
                  <c:v>286113.86792905303</c:v>
                </c:pt>
                <c:pt idx="54">
                  <c:v>266726.66792905307</c:v>
                </c:pt>
                <c:pt idx="55">
                  <c:v>266726.66792905307</c:v>
                </c:pt>
                <c:pt idx="56">
                  <c:v>266726.66792905307</c:v>
                </c:pt>
                <c:pt idx="57">
                  <c:v>266726.66792905307</c:v>
                </c:pt>
                <c:pt idx="58">
                  <c:v>237061.01310144039</c:v>
                </c:pt>
                <c:pt idx="59">
                  <c:v>237061.01310144039</c:v>
                </c:pt>
                <c:pt idx="60">
                  <c:v>237061.01310144039</c:v>
                </c:pt>
                <c:pt idx="61">
                  <c:v>237061.01310144039</c:v>
                </c:pt>
                <c:pt idx="62">
                  <c:v>237061.01310144039</c:v>
                </c:pt>
                <c:pt idx="63">
                  <c:v>237061.01310144039</c:v>
                </c:pt>
                <c:pt idx="64">
                  <c:v>237061.01310144039</c:v>
                </c:pt>
                <c:pt idx="65">
                  <c:v>319998.39379098988</c:v>
                </c:pt>
                <c:pt idx="66">
                  <c:v>319998.39379098988</c:v>
                </c:pt>
                <c:pt idx="67">
                  <c:v>319998.39379098988</c:v>
                </c:pt>
                <c:pt idx="68">
                  <c:v>319998.39379098988</c:v>
                </c:pt>
                <c:pt idx="69">
                  <c:v>319998.39379098988</c:v>
                </c:pt>
                <c:pt idx="70">
                  <c:v>319998.39379098988</c:v>
                </c:pt>
                <c:pt idx="71">
                  <c:v>319998.39379098988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Cashflow!$F$18:$BY$18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541591.65388054238</c:v>
                </c:pt>
                <c:pt idx="3">
                  <c:v>541591.65388054238</c:v>
                </c:pt>
                <c:pt idx="4">
                  <c:v>541591.65388054238</c:v>
                </c:pt>
                <c:pt idx="5">
                  <c:v>541591.65388054238</c:v>
                </c:pt>
                <c:pt idx="6">
                  <c:v>573669.32824239682</c:v>
                </c:pt>
                <c:pt idx="7">
                  <c:v>573669.32824239682</c:v>
                </c:pt>
                <c:pt idx="8">
                  <c:v>573669.32824239682</c:v>
                </c:pt>
                <c:pt idx="9">
                  <c:v>573669.32824239682</c:v>
                </c:pt>
                <c:pt idx="10">
                  <c:v>573669.32824239682</c:v>
                </c:pt>
                <c:pt idx="11">
                  <c:v>897560.63238097401</c:v>
                </c:pt>
                <c:pt idx="12">
                  <c:v>897560.63238097401</c:v>
                </c:pt>
                <c:pt idx="13">
                  <c:v>897560.63238097401</c:v>
                </c:pt>
                <c:pt idx="14">
                  <c:v>897560.63238097401</c:v>
                </c:pt>
                <c:pt idx="15">
                  <c:v>1421245.2800140539</c:v>
                </c:pt>
                <c:pt idx="16">
                  <c:v>1421245.2800140539</c:v>
                </c:pt>
                <c:pt idx="17">
                  <c:v>1421245.2800140539</c:v>
                </c:pt>
                <c:pt idx="18">
                  <c:v>1421245.2800140539</c:v>
                </c:pt>
                <c:pt idx="19">
                  <c:v>1694916.8786590251</c:v>
                </c:pt>
                <c:pt idx="20">
                  <c:v>1694916.8786590251</c:v>
                </c:pt>
                <c:pt idx="21">
                  <c:v>1694916.8786590251</c:v>
                </c:pt>
                <c:pt idx="22">
                  <c:v>1694916.8786590251</c:v>
                </c:pt>
                <c:pt idx="23">
                  <c:v>1694916.8786590251</c:v>
                </c:pt>
                <c:pt idx="24">
                  <c:v>1695704.7178575518</c:v>
                </c:pt>
                <c:pt idx="25">
                  <c:v>1695704.7178575518</c:v>
                </c:pt>
                <c:pt idx="26">
                  <c:v>1695704.7178575518</c:v>
                </c:pt>
                <c:pt idx="27">
                  <c:v>1695704.7178575518</c:v>
                </c:pt>
                <c:pt idx="28">
                  <c:v>1744357.827910922</c:v>
                </c:pt>
                <c:pt idx="29">
                  <c:v>1744357.827910922</c:v>
                </c:pt>
                <c:pt idx="30">
                  <c:v>1744357.827910922</c:v>
                </c:pt>
                <c:pt idx="31">
                  <c:v>1744357.827910922</c:v>
                </c:pt>
                <c:pt idx="32">
                  <c:v>1744357.827910922</c:v>
                </c:pt>
                <c:pt idx="33">
                  <c:v>1744357.827910922</c:v>
                </c:pt>
                <c:pt idx="34">
                  <c:v>1744357.827910922</c:v>
                </c:pt>
                <c:pt idx="35">
                  <c:v>1744357.827910922</c:v>
                </c:pt>
                <c:pt idx="36">
                  <c:v>1744357.827910922</c:v>
                </c:pt>
                <c:pt idx="37">
                  <c:v>1744357.827910922</c:v>
                </c:pt>
                <c:pt idx="38">
                  <c:v>1744357.827910922</c:v>
                </c:pt>
                <c:pt idx="39">
                  <c:v>1744357.827910922</c:v>
                </c:pt>
                <c:pt idx="40">
                  <c:v>1744357.827910922</c:v>
                </c:pt>
                <c:pt idx="41">
                  <c:v>1744357.827910922</c:v>
                </c:pt>
                <c:pt idx="42">
                  <c:v>1744357.827910922</c:v>
                </c:pt>
                <c:pt idx="43">
                  <c:v>1744357.827910922</c:v>
                </c:pt>
                <c:pt idx="44">
                  <c:v>1744357.827910922</c:v>
                </c:pt>
                <c:pt idx="45">
                  <c:v>1744357.827910922</c:v>
                </c:pt>
                <c:pt idx="46">
                  <c:v>1744357.827910922</c:v>
                </c:pt>
                <c:pt idx="47">
                  <c:v>1744357.827910922</c:v>
                </c:pt>
                <c:pt idx="48">
                  <c:v>1744357.827910922</c:v>
                </c:pt>
                <c:pt idx="49">
                  <c:v>1744357.827910922</c:v>
                </c:pt>
                <c:pt idx="50">
                  <c:v>1744357.827910922</c:v>
                </c:pt>
                <c:pt idx="51">
                  <c:v>1744357.827910922</c:v>
                </c:pt>
                <c:pt idx="52">
                  <c:v>1744357.827910922</c:v>
                </c:pt>
                <c:pt idx="53">
                  <c:v>1744357.827910922</c:v>
                </c:pt>
                <c:pt idx="54">
                  <c:v>1744357.827910922</c:v>
                </c:pt>
                <c:pt idx="55">
                  <c:v>1744357.827910922</c:v>
                </c:pt>
                <c:pt idx="56">
                  <c:v>1744357.827910922</c:v>
                </c:pt>
                <c:pt idx="57">
                  <c:v>1744357.827910922</c:v>
                </c:pt>
                <c:pt idx="58">
                  <c:v>1744357.827910922</c:v>
                </c:pt>
                <c:pt idx="59">
                  <c:v>1744357.827910922</c:v>
                </c:pt>
                <c:pt idx="60">
                  <c:v>1744357.827910922</c:v>
                </c:pt>
                <c:pt idx="61">
                  <c:v>1744357.827910922</c:v>
                </c:pt>
                <c:pt idx="62">
                  <c:v>1744357.827910922</c:v>
                </c:pt>
                <c:pt idx="63">
                  <c:v>1744357.827910922</c:v>
                </c:pt>
                <c:pt idx="64">
                  <c:v>1744357.827910922</c:v>
                </c:pt>
                <c:pt idx="65">
                  <c:v>1744357.827910922</c:v>
                </c:pt>
                <c:pt idx="66">
                  <c:v>1744357.827910922</c:v>
                </c:pt>
                <c:pt idx="67">
                  <c:v>1744357.827910922</c:v>
                </c:pt>
                <c:pt idx="68">
                  <c:v>1744357.827910922</c:v>
                </c:pt>
                <c:pt idx="69">
                  <c:v>1744357.827910922</c:v>
                </c:pt>
                <c:pt idx="70">
                  <c:v>1744357.827910922</c:v>
                </c:pt>
                <c:pt idx="71">
                  <c:v>1744357.827910922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82EE003-D802-4297-B188-A97AFBED168E}">
    <Anchor>
      <Comment id="{DD636672-8CC8-4ECE-BF49-0C27DC12D895}"/>
    </Anchor>
    <History>
      <Event time="2024-11-25T09:25:26.17" id="{086D6ED8-2641-4887-A8C4-3B74FAD0F929}">
        <Attribution userId="S::tasneema@emergy.co.za::9a0cc615-e4de-4e2f-ae82-9f40753a7d8a" userName="Tasneema van Harte" userProvider="AD"/>
        <Anchor>
          <Comment id="{DD636672-8CC8-4ECE-BF49-0C27DC12D895}"/>
        </Anchor>
        <Create/>
      </Event>
      <Event time="2024-11-25T09:25:26.17" id="{FB62B29C-3847-412E-BF75-274AAF7EB0AE}">
        <Attribution userId="S::tasneema@emergy.co.za::9a0cc615-e4de-4e2f-ae82-9f40753a7d8a" userName="Tasneema van Harte" userProvider="AD"/>
        <Anchor>
          <Comment id="{DD636672-8CC8-4ECE-BF49-0C27DC12D895}"/>
        </Anchor>
        <Assign userId="S::mizelda@emergentenergy.co.za::3a5c2ad2-993e-4fe1-a333-48e19c6adda8" userName="Mizelda Isaacs" userProvider="AD"/>
      </Event>
      <Event time="2024-11-25T09:25:26.17" id="{F939218C-5192-4EDF-B119-ABD7A2A16CD0}">
        <Attribution userId="S::tasneema@emergy.co.za::9a0cc615-e4de-4e2f-ae82-9f40753a7d8a" userName="Tasneema van Harte" userProvider="AD"/>
        <Anchor>
          <Comment id="{DD636672-8CC8-4ECE-BF49-0C27DC12D895}"/>
        </Anchor>
        <SetTitle title="@Mizelda Isaacs please update the payment date"/>
      </Event>
      <Event time="2024-11-25T10:05:29.20" id="{006E973D-10C8-483E-831E-34FE52BC792F}">
        <Attribution userId="S::mizelda@emergentenergy.co.za::3a5c2ad2-993e-4fe1-a333-48e19c6adda8" userName="Mizelda Isaacs" userProvider="AD"/>
        <Progress percentComplete="100"/>
      </Event>
    </History>
  </Task>
  <Task id="{CD895B4B-0A4C-4E74-9A78-03170CC0A2EF}">
    <Anchor>
      <Comment id="{9E5A03A8-D849-416F-95A6-2D75FB50AF8D}"/>
    </Anchor>
    <History>
      <Event time="2025-01-10T09:25:10.59" id="{0DC66452-ABCB-4277-9F01-1070CF39FCB1}">
        <Attribution userId="S::tasneema@emergy.co.za::9a0cc615-e4de-4e2f-ae82-9f40753a7d8a" userName="Tasneema van Harte" userProvider="AD"/>
        <Anchor>
          <Comment id="{9E5A03A8-D849-416F-95A6-2D75FB50AF8D}"/>
        </Anchor>
        <Create/>
      </Event>
      <Event time="2025-01-10T09:25:10.59" id="{12E3B78C-472A-4351-84BF-5C3F6BFBD7F6}">
        <Attribution userId="S::tasneema@emergy.co.za::9a0cc615-e4de-4e2f-ae82-9f40753a7d8a" userName="Tasneema van Harte" userProvider="AD"/>
        <Anchor>
          <Comment id="{9E5A03A8-D849-416F-95A6-2D75FB50AF8D}"/>
        </Anchor>
        <Assign userId="S::mizelda@emergentenergy.co.za::3a5c2ad2-993e-4fe1-a333-48e19c6adda8" userName="Mizelda Isaacs" userProvider="AD"/>
      </Event>
      <Event time="2025-01-10T09:25:10.59" id="{3115A5B7-7A46-4127-8EDE-49A5CC0E083C}">
        <Attribution userId="S::tasneema@emergy.co.za::9a0cc615-e4de-4e2f-ae82-9f40753a7d8a" userName="Tasneema van Harte" userProvider="AD"/>
        <Anchor>
          <Comment id="{9E5A03A8-D849-416F-95A6-2D75FB50AF8D}"/>
        </Anchor>
        <SetTitle title="@Mizelda Isaacs please update the payment date as it hasn’t been paid"/>
      </Event>
      <Event time="2025-01-10T11:52:07.38" id="{4BDA01CB-724D-49BE-A1EF-393B6199C4AF}">
        <Attribution userId="S::mizelda@emergentenergy.co.za::3a5c2ad2-993e-4fe1-a333-48e19c6adda8" userName="Mizelda Isaacs" userProvider="AD"/>
        <Progress percentComplete="100"/>
      </Event>
    </History>
  </Task>
  <Task id="{60172A4F-ABBC-42EB-9703-54FB21D4A2BD}">
    <Anchor>
      <Comment id="{B1BC53B4-B485-4C2D-B9DB-41C71354FEC3}"/>
    </Anchor>
    <History>
      <Event time="2025-11-08T13:39:51.55" id="{97E80132-7AFB-4DAF-A2B5-CD8966DEA0D1}">
        <Attribution userId="S::tasneema@emergy.co.za::9a0cc615-e4de-4e2f-ae82-9f40753a7d8a" userName="Tasneema van Harte" userProvider="AD"/>
        <Anchor>
          <Comment id="{B1BC53B4-B485-4C2D-B9DB-41C71354FEC3}"/>
        </Anchor>
        <Create/>
      </Event>
      <Event time="2025-11-08T13:39:51.55" id="{3CE6CF52-26A7-4C71-A2AA-34267B8E0226}">
        <Attribution userId="S::tasneema@emergy.co.za::9a0cc615-e4de-4e2f-ae82-9f40753a7d8a" userName="Tasneema van Harte" userProvider="AD"/>
        <Anchor>
          <Comment id="{B1BC53B4-B485-4C2D-B9DB-41C71354FEC3}"/>
        </Anchor>
        <Assign userId="S::roedolph@emergentenergy.co.za::9a21ce2b-45c7-4248-95e2-e26943ee2072" userName="Roedolph Venter" userProvider="AD"/>
      </Event>
      <Event time="2025-11-08T13:39:51.55" id="{7E1677DF-3433-4E9F-BBE3-8BE814C332B3}">
        <Attribution userId="S::tasneema@emergy.co.za::9a0cc615-e4de-4e2f-ae82-9f40753a7d8a" userName="Tasneema van Harte" userProvider="AD"/>
        <Anchor>
          <Comment id="{B1BC53B4-B485-4C2D-B9DB-41C71354FEC3}"/>
        </Anchor>
        <SetTitle title="@Roedolph Venter was this recovered from Thula Moya"/>
      </Event>
      <Event time="2025-11-26T07:23:53.45" id="{36AA43BA-9A0F-44D6-AD88-D66C68DDB5D4}">
        <Attribution userId="S::johannes@emergentenergy.co.za::ebfc203a-7452-4ef3-9e97-736da20b03b9" userName="Johannes Potgieter" userProvider="AD"/>
        <Progress percentComplete="100"/>
      </Event>
    </History>
  </Task>
  <Task id="{0E54B8FB-AA0D-428A-A5A0-DF8727BC1556}">
    <Anchor>
      <Comment id="{41C54260-23FB-46C8-A69A-EA32A797319E}"/>
    </Anchor>
    <History>
      <Event time="2025-01-10T09:21:38.66" id="{F5069E6B-A019-4FEA-A9C7-63F3673CF503}">
        <Attribution userId="S::tasneema@emergy.co.za::9a0cc615-e4de-4e2f-ae82-9f40753a7d8a" userName="Tasneema van Harte" userProvider="AD"/>
        <Anchor>
          <Comment id="{41C54260-23FB-46C8-A69A-EA32A797319E}"/>
        </Anchor>
        <Create/>
      </Event>
      <Event time="2025-01-10T09:21:38.66" id="{864D66EF-5765-4A7E-B08B-A0FC5B6F3F21}">
        <Attribution userId="S::tasneema@emergy.co.za::9a0cc615-e4de-4e2f-ae82-9f40753a7d8a" userName="Tasneema van Harte" userProvider="AD"/>
        <Anchor>
          <Comment id="{41C54260-23FB-46C8-A69A-EA32A797319E}"/>
        </Anchor>
        <Assign userId="S::mizelda@emergentenergy.co.za::3a5c2ad2-993e-4fe1-a333-48e19c6adda8" userName="Mizelda Isaacs" userProvider="AD"/>
      </Event>
      <Event time="2025-01-10T09:21:38.66" id="{9E8D2F0D-1D6F-4E1A-95B8-5D93D5CA1167}">
        <Attribution userId="S::tasneema@emergy.co.za::9a0cc615-e4de-4e2f-ae82-9f40753a7d8a" userName="Tasneema van Harte" userProvider="AD"/>
        <Anchor>
          <Comment id="{41C54260-23FB-46C8-A69A-EA32A797319E}"/>
        </Anchor>
        <SetTitle title="@Mizelda Isaacs please update the date as not the full milestone was paid"/>
      </Event>
      <Event time="2025-02-05T09:38:34.75" id="{E830AB66-1BF3-474D-8EBA-A6FA9CD912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694230</xdr:colOff>
      <xdr:row>6</xdr:row>
      <xdr:rowOff>151927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9F54A38E-7975-4427-8083-869BAC6FBFAF}" userId="mizelda@emergentenergy.co.za" providerId="PeoplePicker"/>
  <person displayName="Roedolph Venter" id="{EE93FF0C-CEDA-4A8B-B7DE-C5BEA95634B8}" userId="roedolph@emergentenergy.co.za" providerId="PeoplePicker"/>
  <person displayName="Tasneema van Harte" id="{5BD82885-5C4B-4130-B7A5-22E0F7C6250E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392951389" createdVersion="8" refreshedVersion="8" minRefreshableVersion="3" recordCount="120" xr:uid="{5501410B-D70C-4B2D-91F7-76BD0FC02E9D}">
  <cacheSource type="worksheet">
    <worksheetSource ref="N4:T124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0.4" maxValue="116305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0734.345172387377" maxValue="200965.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44">
        <m/>
        <d v="2024-07-31T00:00:00"/>
        <d v="2024-10-31T00:00:00"/>
        <d v="2024-11-30T00:00:00"/>
        <s v=""/>
        <d v="2024-09-30T00:00:00"/>
        <d v="2024-01-31T00:00:00"/>
        <d v="2025-01-31T00:00:00"/>
        <d v="2024-08-31T00:00:00"/>
        <d v="2025-05-31T00:00:00"/>
        <d v="2024-12-31T00:00:00"/>
        <d v="2025-04-30T00:00:00"/>
        <d v="2025-08-31T00:00:00"/>
        <d v="2025-02-28T00:00:00"/>
        <d v="2025-07-31T00:00:00"/>
        <d v="2026-01-31T00:00:00"/>
        <d v="2024-10-30T00:00:00" u="1"/>
        <d v="2024-06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392951389" createdVersion="8" refreshedVersion="8" minRefreshableVersion="3" recordCount="120" xr:uid="{CFE685BB-DDF2-42BA-9528-D7F36DD72BD0}">
  <cacheSource type="worksheet">
    <worksheetSource ref="M4:X124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0.4" maxValue="116305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0734.345172387377" maxValue="200965.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2-01T00:00:00" count="35">
        <m/>
        <d v="2024-07-31T00:00:00"/>
        <d v="2024-10-31T00:00:00"/>
        <d v="2024-11-30T00:00:00"/>
        <s v=""/>
        <d v="2024-09-30T00:00:00"/>
        <d v="2024-01-31T00:00:00"/>
        <d v="2025-01-31T00:00:00"/>
        <d v="2024-08-31T00:00:00"/>
        <d v="2025-05-31T00:00:00"/>
        <d v="2024-12-31T00:00:00"/>
        <d v="2025-04-30T00:00:00"/>
        <d v="2025-08-31T00:00:00"/>
        <d v="2025-02-28T00:00:00"/>
        <d v="2025-07-31T00:00:00"/>
        <d v="2026-01-31T00:00:00"/>
        <d v="2024-10-3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70">
        <m/>
        <n v="270795.82694027119"/>
        <n v="949.14407851481712"/>
        <n v="7532.7635431974959"/>
        <n v="1153.2100553955029"/>
        <n v="44263.85"/>
        <n v="85967.555169140294"/>
        <n v="56608.914449823875"/>
        <n v="1379.6251005538061"/>
        <n v="0"/>
        <n v="66337.123071076887"/>
        <n v="16167.37"/>
        <n v="3829.6576653734755"/>
        <n v="49360.883103780296"/>
        <n v="8164.8385196219697"/>
        <n v="12247.257779432954"/>
        <n v="16329.677039243939"/>
        <n v="20412.096299054923"/>
        <n v="4082.4264979894879"/>
        <n v="4082.4164979894877"/>
        <n v="11164.016778879275"/>
        <n v="16495.532541842807"/>
        <n v="23106.548907431301"/>
        <n v="206.49527537125621"/>
        <n v="7995.6633710684082"/>
        <n v="787.83919852664576"/>
        <n v="46371.286957016418"/>
        <n v="69556.930435524628"/>
        <n v="13383.432740380931"/>
        <n v="20816.129786707803"/>
        <n v="31224.194680061697"/>
        <n v="41632.259573415606"/>
        <n v="52040.324466769503"/>
        <n v="10408.064893353901"/>
        <n v="3135.0872176970533"/>
        <n v="3305.9163676561384"/>
        <n v="60241.109812468581"/>
        <n v="18928.106602178232"/>
        <n v="15423.529410000001"/>
        <n v="23135.294115000001"/>
        <n v="30847.058820000002"/>
        <n v="38558.823525"/>
        <n v="7711.7647050000005"/>
        <n v="3229.6177868999252"/>
        <n v="4844.4304597582013"/>
        <n v="6459.1994985734864"/>
        <n v="8074.1188581895703"/>
        <n v="5780.7078606835603"/>
        <n v="5780.6978606835601"/>
        <n v="1898.2589303417801"/>
        <n v="10036.976227116083"/>
        <n v="3734.8597129105128"/>
        <n v="20345.808896397124"/>
        <n v="75321.963459999999"/>
        <n v="683.26532822183185"/>
        <n v="920.76363793376538"/>
        <n v="806.06249977565346"/>
        <n v="226.05"/>
        <n v="452.09000000000003"/>
        <n v="3193.3964979894877" u="1"/>
        <n v="4082.4192598109848" u="1"/>
        <n v="16958.218896397124" u="1"/>
        <n v="226.04" u="1"/>
        <n v="23642.138907431348" u="1"/>
        <n v="44263.852034655065" u="1"/>
        <n v="23894.385023288152" u="1"/>
        <n v="5669.0983627609503" u="1"/>
        <n v="3229.6097492867434" u="1"/>
        <n v="1614.8048746433717" u="1"/>
        <n v="18526.089845786275" u="1"/>
        <n v="11856.697501303215" u="1"/>
        <n v="22079.112850135662" u="1"/>
        <n v="4259.4280487891474" u="1"/>
        <n v="21723.08304882465" u="1"/>
        <n v="5537.2564634258915" u="1"/>
        <n v="678.1418310776686" u="1"/>
        <n v="25771.763543197496" u="1"/>
        <n v="26492.432034655067" u="1"/>
        <n v="50662.834449823873" u="1"/>
        <n v="4081.9733710684081" u="1"/>
        <n v="6459.2194985734868" u="1"/>
        <n v="944.31249977565346" u="1"/>
        <n v="5669.1124715924389" u="1"/>
        <n v="6459.2355737998505" u="1"/>
        <n v="8074.0444672498124" u="1"/>
        <n v="1614.8088934499626" u="1"/>
        <n v="23977.241623935581" u="1"/>
        <n v="4096.12809558341" u="1"/>
        <n v="16167.365603549646" u="1"/>
        <n v="25291.659891181105" u="1"/>
        <n v="2117.7228747975319" u="1"/>
        <n v="26489.58765021486" u="1"/>
        <n v="56608.917330305892" u="1"/>
        <n v="742.10261462304959" u="1"/>
        <n v="971.52363793376537" u="1"/>
        <n v="5669.113035947159" u="1"/>
        <n v="3229.6181084052841" u="1"/>
        <n v="4844.4271626079253" u="1"/>
        <n v="6459.2362168105683" u="1"/>
        <n v="8074.0452710132104" u="1"/>
        <n v="1614.8090542026421" u="1"/>
        <n v="25291.660502724677" u="1"/>
        <n v="85967.562623477628" u="1"/>
        <n v="56608.922238924788" u="1"/>
        <n v="1379.6127375975923" u="1"/>
        <n v="792.91784721240003" u="1"/>
        <n v="804.72041327374825" u="1"/>
        <n v="20932.531460398641" u="1"/>
        <n v="48286.211602378622" u="1"/>
        <n v="72429.317403567926" u="1"/>
        <n v="21675.741899405348" u="1"/>
        <n v="32513.612849108013" u="1"/>
        <n v="43351.483798810696" u="1"/>
        <n v="54189.35474851336" u="1"/>
        <n v="10837.870949702674" u="1"/>
        <n v="801.65665525938948" u="1"/>
        <n v="53898.968119457561" u="1"/>
        <n v="87580.814114545501" u="1"/>
        <n v="47617.202073999972" u="1"/>
        <n v="8758.0814114545483" u="1"/>
        <n v="75073.17073043478" u="1"/>
        <n v="11260.975609565217" u="1"/>
        <n v="66820.919973394746" u="1"/>
        <n v="13364.18399467895" u="1"/>
        <n v="5082.4164331926322" u="1"/>
        <n v="7623.6246497889497" u="1"/>
        <n v="10164.832866385264" u="1"/>
        <n v="12706.041082981583" u="1"/>
        <n v="2541.2082165963161" u="1"/>
        <n v="4681.3532650691241" u="1"/>
        <n v="13768.686073732719" u="1"/>
        <n v="8261.2116442396327" u="1"/>
        <n v="33044.846576958531" u="1"/>
        <n v="33747.294799999996" u="1"/>
        <n v="50620.942199999998" u="1"/>
        <n v="67494.589599999992" u="1"/>
        <n v="84368.236999999994" u="1"/>
        <n v="16873.647399999998" u="1"/>
        <n v="37965.294119999999" u="1"/>
        <n v="15508.021390909093" u="1"/>
        <n v="10338.680927272728" u="1"/>
        <n v="8270.9447418181826" u="1"/>
        <n v="3088.2352940000001" u="1"/>
        <n v="59169.455852563653" u="1"/>
        <n v="11833.89117051273" u="1"/>
        <n v="6000.5921276923646" u="1"/>
        <n v="9000.8881915385464" u="1"/>
        <n v="12001.184255384729" u="1"/>
        <n v="15001.480319230914" u="1"/>
        <n v="3000.2960638461823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7593.58290909091" u="1"/>
        <n v="31729.055272727273" u="1"/>
        <n v="25383.244218181819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4763570185750723E-3" maxValue="3.9345281402347609E-3"/>
    </cacheField>
    <cacheField name="FINANCE PAYMENT DATE" numFmtId="0">
      <sharedItems containsNonDate="0" containsDate="1" containsString="0" containsBlank="1" minDate="2024-09-02T00:00:00" maxDate="2026-02-01T00:00:00"/>
    </cacheField>
    <cacheField name="Total COS" numFmtId="0">
      <sharedItems containsString="0" containsBlank="1" containsNumber="1" minValue="0" maxValue="409353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m/>
    <m/>
    <m/>
    <m/>
    <m/>
    <x v="0"/>
  </r>
  <r>
    <x v="1"/>
    <s v="Canadian Solar 555W - Deposit - Herholdts"/>
    <n v="284"/>
    <n v="1415.25"/>
    <n v="200965.5"/>
    <s v="Herholdts Inv: INV875402"/>
    <x v="1"/>
  </r>
  <r>
    <x v="1"/>
    <m/>
    <m/>
    <m/>
    <n v="200965.5"/>
    <s v="Herholdts Inv: INV875402"/>
    <x v="1"/>
  </r>
  <r>
    <x v="1"/>
    <s v="Handling fees"/>
    <m/>
    <m/>
    <n v="800"/>
    <s v="Supply Chain: Inv SCO04502"/>
    <x v="2"/>
  </r>
  <r>
    <x v="1"/>
    <s v="Delivery"/>
    <m/>
    <m/>
    <n v="5650"/>
    <s v="Supply Chain: Inv SCO04533"/>
    <x v="2"/>
  </r>
  <r>
    <x v="1"/>
    <s v="Storage"/>
    <m/>
    <m/>
    <n v="972"/>
    <s v="Supply Chain: Inv SCO04502"/>
    <x v="2"/>
  </r>
  <r>
    <x v="1"/>
    <m/>
    <m/>
    <m/>
    <m/>
    <m/>
    <x v="3"/>
  </r>
  <r>
    <x v="0"/>
    <m/>
    <m/>
    <m/>
    <m/>
    <m/>
    <x v="4"/>
  </r>
  <r>
    <x v="2"/>
    <s v="Huawei 100KTL"/>
    <n v="1"/>
    <n v="68870"/>
    <n v="68870"/>
    <s v="Kathea Inv518635"/>
    <x v="5"/>
  </r>
  <r>
    <x v="2"/>
    <s v="Huawei 50KTL"/>
    <n v="1"/>
    <n v="38000"/>
    <n v="38000"/>
    <s v="Kathea Inv518655"/>
    <x v="2"/>
  </r>
  <r>
    <x v="2"/>
    <s v="Delivery"/>
    <m/>
    <m/>
    <n v="1105.24"/>
    <s v="Kathea Inv518635"/>
    <x v="5"/>
  </r>
  <r>
    <x v="2"/>
    <m/>
    <m/>
    <m/>
    <m/>
    <m/>
    <x v="4"/>
  </r>
  <r>
    <x v="0"/>
    <m/>
    <m/>
    <m/>
    <m/>
    <m/>
    <x v="4"/>
  </r>
  <r>
    <x v="3"/>
    <s v="KlipLok Roof"/>
    <n v="1.1499999999999999"/>
    <n v="32045.599999999999"/>
    <n v="32045.599999999999"/>
    <s v="Schletter INV0894"/>
    <x v="5"/>
  </r>
  <r>
    <x v="3"/>
    <s v="IBR Roof"/>
    <m/>
    <m/>
    <n v="0"/>
    <m/>
    <x v="2"/>
  </r>
  <r>
    <x v="3"/>
    <s v="Delivery"/>
    <m/>
    <m/>
    <n v="1850"/>
    <s v="Schletter Inv0893"/>
    <x v="5"/>
  </r>
  <r>
    <x v="3"/>
    <m/>
    <m/>
    <m/>
    <m/>
    <m/>
    <x v="4"/>
  </r>
  <r>
    <x v="0"/>
    <m/>
    <m/>
    <m/>
    <m/>
    <m/>
    <x v="4"/>
  </r>
  <r>
    <x v="4"/>
    <s v="DC Cable "/>
    <n v="4000"/>
    <n v="13.5"/>
    <n v="54000"/>
    <s v="Herholdts Inv: INV922149"/>
    <x v="2"/>
  </r>
  <r>
    <x v="4"/>
    <s v="DC Cable "/>
    <m/>
    <m/>
    <n v="39900"/>
    <s v="MENLO - INV0002444"/>
    <x v="6"/>
  </r>
  <r>
    <x v="4"/>
    <s v="Delivery"/>
    <m/>
    <m/>
    <n v="0"/>
    <m/>
    <x v="0"/>
  </r>
  <r>
    <x v="4"/>
    <s v="Project Kick Off"/>
    <n v="89322"/>
    <n v="0.1"/>
    <n v="8932.2000000000007"/>
    <s v="Thula Moya In04434"/>
    <x v="5"/>
  </r>
  <r>
    <x v="4"/>
    <s v="Site Establishment"/>
    <m/>
    <n v="0.15"/>
    <n v="13398.3"/>
    <s v="Thula Moya IN04438"/>
    <x v="5"/>
  </r>
  <r>
    <x v="4"/>
    <s v="AC Installation Complete"/>
    <m/>
    <n v="0.2"/>
    <n v="17864.400000000001"/>
    <s v="Thula Moya IN04477"/>
    <x v="2"/>
  </r>
  <r>
    <x v="4"/>
    <s v="DC Installation Complete"/>
    <m/>
    <n v="0.25"/>
    <n v="22330.5"/>
    <s v="Thula Moya IN04478"/>
    <x v="2"/>
  </r>
  <r>
    <x v="4"/>
    <s v="Commissioning Complete"/>
    <m/>
    <n v="0.1"/>
    <n v="8932.2000000000007"/>
    <s v="Thula Moya IN04513"/>
    <x v="3"/>
  </r>
  <r>
    <x v="4"/>
    <s v="Site De-establisment"/>
    <m/>
    <n v="0.1"/>
    <n v="8932.2000000000007"/>
    <s v="Thula Moya IN04535"/>
    <x v="3"/>
  </r>
  <r>
    <x v="4"/>
    <s v="Handover Document Complete"/>
    <m/>
    <n v="0.05"/>
    <n v="4466.1000000000004"/>
    <s v="Thula Moya IN04595"/>
    <x v="7"/>
  </r>
  <r>
    <x v="4"/>
    <s v="End of Defects Period"/>
    <m/>
    <n v="0.05"/>
    <n v="4466.1000000000004"/>
    <s v="Thula Moya IN04592"/>
    <x v="7"/>
  </r>
  <r>
    <x v="0"/>
    <m/>
    <m/>
    <m/>
    <m/>
    <m/>
    <x v="4"/>
  </r>
  <r>
    <x v="5"/>
    <s v="Smartlogger 3000"/>
    <n v="1"/>
    <n v="8000"/>
    <n v="8000"/>
    <s v="Solarworld SASIV-24-00517"/>
    <x v="8"/>
  </r>
  <r>
    <x v="5"/>
    <s v="CTs"/>
    <m/>
    <m/>
    <n v="11820.5"/>
    <s v="AccuEnergy ASAI-003743"/>
    <x v="8"/>
  </r>
  <r>
    <x v="5"/>
    <s v="Revenue Grade Meter"/>
    <n v="1"/>
    <n v="11169"/>
    <n v="11169"/>
    <s v="MATRIARCH - INV-3278"/>
    <x v="3"/>
  </r>
  <r>
    <x v="5"/>
    <s v="Delivery of Techsitter"/>
    <m/>
    <m/>
    <n v="129.63"/>
    <s v="DSV Inv: 1048652"/>
    <x v="2"/>
  </r>
  <r>
    <x v="5"/>
    <m/>
    <m/>
    <m/>
    <n v="110.45"/>
    <s v="DSV Inv: 180131355"/>
    <x v="9"/>
  </r>
  <r>
    <x v="5"/>
    <s v="Frontline Comms Equipment"/>
    <m/>
    <m/>
    <n v="2562.5099999999998"/>
    <s v="Frontline Electrical: INV697940"/>
    <x v="2"/>
  </r>
  <r>
    <x v="5"/>
    <s v="Attena Extension"/>
    <m/>
    <m/>
    <n v="450"/>
    <s v="Accuenergy Inv: ASAI-004425"/>
    <x v="10"/>
  </r>
  <r>
    <x v="0"/>
    <m/>
    <m/>
    <m/>
    <m/>
    <m/>
    <x v="4"/>
  </r>
  <r>
    <x v="6"/>
    <m/>
    <m/>
    <m/>
    <m/>
    <m/>
    <x v="4"/>
  </r>
  <r>
    <x v="6"/>
    <s v="AC &amp; Comms DB - Deposit"/>
    <n v="0.4"/>
    <n v="62800"/>
    <n v="25120"/>
    <s v="Cosmic Sun CS_SAMPVDB_001"/>
    <x v="5"/>
  </r>
  <r>
    <x v="6"/>
    <s v="AC &amp; Comms DB - Balance"/>
    <n v="0.6"/>
    <m/>
    <n v="37680"/>
    <s v="Cosmic Sun CS_SAMPVDB_002"/>
    <x v="2"/>
  </r>
  <r>
    <x v="6"/>
    <s v="Powder Coat DB"/>
    <m/>
    <m/>
    <n v="7250"/>
    <s v="Cosmic Sun CS_SAMPVDB_003"/>
    <x v="2"/>
  </r>
  <r>
    <x v="6"/>
    <m/>
    <m/>
    <m/>
    <m/>
    <m/>
    <x v="4"/>
  </r>
  <r>
    <x v="6"/>
    <s v="Project Kick Off"/>
    <n v="112764"/>
    <n v="0.1"/>
    <n v="11276.400000000001"/>
    <s v="Thula Moya In04434"/>
    <x v="5"/>
  </r>
  <r>
    <x v="6"/>
    <s v="Site Establishment"/>
    <m/>
    <n v="0.15"/>
    <n v="16914.599999999999"/>
    <s v="Thula MoyaIN04438"/>
    <x v="5"/>
  </r>
  <r>
    <x v="6"/>
    <s v="AC Installation Complete"/>
    <m/>
    <n v="0.2"/>
    <n v="22552.800000000003"/>
    <s v="Thula Moya IN04477"/>
    <x v="2"/>
  </r>
  <r>
    <x v="6"/>
    <s v="DC Installation Complete"/>
    <m/>
    <n v="0.25"/>
    <n v="28191"/>
    <s v="Thula Moya IN04478"/>
    <x v="2"/>
  </r>
  <r>
    <x v="6"/>
    <s v="Commissioning Complete"/>
    <m/>
    <n v="0.1"/>
    <n v="11276.400000000001"/>
    <s v="Thula Moya IN04513"/>
    <x v="3"/>
  </r>
  <r>
    <x v="6"/>
    <s v="Site De-establisment"/>
    <m/>
    <n v="0.1"/>
    <n v="11276.400000000001"/>
    <s v="Thula Moya IN04535"/>
    <x v="3"/>
  </r>
  <r>
    <x v="6"/>
    <s v="Handover Document Complete"/>
    <m/>
    <n v="0.05"/>
    <n v="5638.2000000000007"/>
    <s v="Thula Moya IN04595"/>
    <x v="7"/>
  </r>
  <r>
    <x v="6"/>
    <s v="End of Defects Period"/>
    <m/>
    <n v="0.05"/>
    <n v="5638.2000000000007"/>
    <s v="Thula Moya IN04592"/>
    <x v="7"/>
  </r>
  <r>
    <x v="0"/>
    <m/>
    <m/>
    <m/>
    <m/>
    <m/>
    <x v="4"/>
  </r>
  <r>
    <x v="7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8"/>
    <s v="Walkways Transport"/>
    <m/>
    <m/>
    <n v="4025"/>
    <s v="Onvlee Engineering: Inv 01048652"/>
    <x v="2"/>
  </r>
  <r>
    <x v="8"/>
    <s v="Mounting Structure for Walkways"/>
    <m/>
    <m/>
    <n v="4244.32"/>
    <s v="Schletter INV0951"/>
    <x v="2"/>
  </r>
  <r>
    <x v="8"/>
    <s v="Walkways"/>
    <m/>
    <m/>
    <n v="77340.899999999994"/>
    <s v="Onvlee Engineering: Inv 01048652"/>
    <x v="2"/>
  </r>
  <r>
    <x v="8"/>
    <s v="Supply and install tie in Breaker - Thula Moya"/>
    <m/>
    <m/>
    <n v="24300.959999999999"/>
    <s v="Thula Moya IN04488"/>
    <x v="2"/>
  </r>
  <r>
    <x v="8"/>
    <s v="Installation of walkways"/>
    <m/>
    <m/>
    <n v="19387.2"/>
    <s v="Thula Moya IN04593"/>
    <x v="7"/>
  </r>
  <r>
    <x v="8"/>
    <s v="1000A Cooper Stub. Poly Angle&amp; Copper Stub"/>
    <m/>
    <m/>
    <n v="6852.76"/>
    <s v="Switchboard - INV 2-SOI001940"/>
    <x v="11"/>
  </r>
  <r>
    <x v="0"/>
    <m/>
    <m/>
    <m/>
    <m/>
    <m/>
    <x v="4"/>
  </r>
  <r>
    <x v="9"/>
    <s v="Project Kick Off"/>
    <n v="116305"/>
    <n v="0.1"/>
    <n v="11630.5"/>
    <s v="Thula Moya In04434"/>
    <x v="5"/>
  </r>
  <r>
    <x v="9"/>
    <s v="Site Establishment"/>
    <m/>
    <n v="0.15"/>
    <n v="17445.75"/>
    <s v="Thula Moya IN04438"/>
    <x v="5"/>
  </r>
  <r>
    <x v="9"/>
    <s v="AC Installation Complete"/>
    <m/>
    <n v="0.2"/>
    <n v="23261"/>
    <s v="Thula Moya IN04477"/>
    <x v="2"/>
  </r>
  <r>
    <x v="9"/>
    <s v="DC Installation Complete"/>
    <m/>
    <n v="0.25"/>
    <n v="29076.25"/>
    <s v="Thula Moya IN04478"/>
    <x v="2"/>
  </r>
  <r>
    <x v="9"/>
    <s v="Commissioning Complete"/>
    <m/>
    <n v="0.1"/>
    <n v="11630.5"/>
    <s v="Thula Moya IN04513"/>
    <x v="3"/>
  </r>
  <r>
    <x v="9"/>
    <s v="Site De-establisment"/>
    <m/>
    <n v="0.1"/>
    <n v="11630.5"/>
    <s v="Thula Moya IN04535"/>
    <x v="3"/>
  </r>
  <r>
    <x v="9"/>
    <s v="Handover Document Complete"/>
    <m/>
    <n v="0.05"/>
    <n v="5815.25"/>
    <s v="Thula Moya IN04595"/>
    <x v="7"/>
  </r>
  <r>
    <x v="9"/>
    <s v="End of Defects Period"/>
    <m/>
    <n v="0.05"/>
    <n v="5815.25"/>
    <s v="Thula Moya IN04592"/>
    <x v="7"/>
  </r>
  <r>
    <x v="0"/>
    <m/>
    <m/>
    <m/>
    <m/>
    <m/>
    <x v="4"/>
  </r>
  <r>
    <x v="10"/>
    <s v="Security"/>
    <m/>
    <m/>
    <m/>
    <m/>
    <x v="0"/>
  </r>
  <r>
    <x v="10"/>
    <m/>
    <m/>
    <m/>
    <m/>
    <m/>
    <x v="4"/>
  </r>
  <r>
    <x v="10"/>
    <s v="Project Kick Off"/>
    <n v="85453"/>
    <n v="0.1"/>
    <n v="8545.3000000000011"/>
    <s v="Thula Moya In04434"/>
    <x v="5"/>
  </r>
  <r>
    <x v="10"/>
    <s v="Site Establishment"/>
    <m/>
    <n v="0.15"/>
    <n v="12817.96"/>
    <s v="Thula Moya IN04438"/>
    <x v="5"/>
  </r>
  <r>
    <x v="10"/>
    <s v="AC Installation Complete"/>
    <m/>
    <n v="0.2"/>
    <n v="17090.600000000002"/>
    <s v="Thula Moya IN04477"/>
    <x v="2"/>
  </r>
  <r>
    <x v="10"/>
    <s v="DC Installation Complete"/>
    <m/>
    <n v="0.25"/>
    <n v="21363.5"/>
    <s v="Thula Moya IN04478"/>
    <x v="2"/>
  </r>
  <r>
    <x v="10"/>
    <s v="Commissioning Complete"/>
    <m/>
    <n v="0.1"/>
    <n v="8545.3000000000011"/>
    <s v="Thula Moya IN04513"/>
    <x v="3"/>
  </r>
  <r>
    <x v="10"/>
    <s v="Site De-establisment"/>
    <m/>
    <n v="0.1"/>
    <n v="8545.3000000000011"/>
    <s v="Thula Moya IN04535"/>
    <x v="3"/>
  </r>
  <r>
    <x v="10"/>
    <s v="Handover Document Complete"/>
    <m/>
    <n v="0.05"/>
    <n v="4272.6500000000005"/>
    <s v="Thula Moya IN04595"/>
    <x v="7"/>
  </r>
  <r>
    <x v="10"/>
    <s v="End of Defects Period"/>
    <m/>
    <n v="0.05"/>
    <n v="4272.6500000000005"/>
    <s v="Thula Moya IN04592"/>
    <x v="7"/>
  </r>
  <r>
    <x v="0"/>
    <m/>
    <m/>
    <m/>
    <m/>
    <m/>
    <x v="4"/>
  </r>
  <r>
    <x v="11"/>
    <s v="Electrical PrEng sign off"/>
    <m/>
    <m/>
    <n v="3551.19"/>
    <s v="Sun Spot Inv E005"/>
    <x v="3"/>
  </r>
  <r>
    <x v="11"/>
    <s v="Structural sign off"/>
    <m/>
    <m/>
    <n v="2520"/>
    <s v="L&amp;B Consulting Inv1742"/>
    <x v="8"/>
  </r>
  <r>
    <x v="11"/>
    <m/>
    <m/>
    <m/>
    <m/>
    <m/>
    <x v="4"/>
  </r>
  <r>
    <x v="11"/>
    <m/>
    <m/>
    <m/>
    <m/>
    <m/>
    <x v="4"/>
  </r>
  <r>
    <x v="11"/>
    <s v="Red Team Inspection"/>
    <m/>
    <m/>
    <n v="6000"/>
    <s v="MATRIARCH - INV-3413"/>
    <x v="3"/>
  </r>
  <r>
    <x v="0"/>
    <m/>
    <m/>
    <m/>
    <m/>
    <m/>
    <x v="4"/>
  </r>
  <r>
    <x v="12"/>
    <s v="Referral Fee"/>
    <m/>
    <m/>
    <n v="21537.98"/>
    <s v="Green Co Inv: INV0000518"/>
    <x v="8"/>
  </r>
  <r>
    <x v="12"/>
    <s v="Referral Fee"/>
    <m/>
    <m/>
    <n v="21537.98"/>
    <s v="Green Co Inv: INV0000527"/>
    <x v="3"/>
  </r>
  <r>
    <x v="12"/>
    <m/>
    <m/>
    <m/>
    <m/>
    <m/>
    <x v="4"/>
  </r>
  <r>
    <x v="0"/>
    <m/>
    <m/>
    <m/>
    <m/>
    <m/>
    <x v="4"/>
  </r>
  <r>
    <x v="13"/>
    <s v="Matriarch Defects Period"/>
    <m/>
    <m/>
    <n v="20734.345172387377"/>
    <s v="MATRIARCH - INV-3414"/>
    <x v="3"/>
  </r>
  <r>
    <x v="13"/>
    <s v="Performance Guarantee"/>
    <m/>
    <m/>
    <n v="50400"/>
    <s v="Matriarch - INV-5021"/>
    <x v="12"/>
  </r>
  <r>
    <x v="13"/>
    <s v="Matriarch Defects Period"/>
    <m/>
    <m/>
    <n v="-20734.345172387377"/>
    <s v="Matriarch - CN-5022"/>
    <x v="12"/>
  </r>
  <r>
    <x v="13"/>
    <m/>
    <m/>
    <m/>
    <n v="0"/>
    <m/>
    <x v="0"/>
  </r>
  <r>
    <x v="13"/>
    <m/>
    <m/>
    <m/>
    <n v="0"/>
    <m/>
    <x v="0"/>
  </r>
  <r>
    <x v="13"/>
    <m/>
    <m/>
    <m/>
    <m/>
    <m/>
    <x v="4"/>
  </r>
  <r>
    <x v="13"/>
    <m/>
    <m/>
    <m/>
    <m/>
    <m/>
    <x v="4"/>
  </r>
  <r>
    <x v="0"/>
    <m/>
    <m/>
    <m/>
    <m/>
    <m/>
    <x v="4"/>
  </r>
  <r>
    <x v="14"/>
    <s v="Car travel to site"/>
    <m/>
    <m/>
    <n v="1022.78"/>
    <s v="Expense Claim"/>
    <x v="8"/>
  </r>
  <r>
    <x v="14"/>
    <m/>
    <s v="1 571.0"/>
    <m/>
    <n v="1570.98"/>
    <s v="Expense Claim"/>
    <x v="5"/>
  </r>
  <r>
    <x v="14"/>
    <m/>
    <m/>
    <m/>
    <n v="1671"/>
    <s v="Expense Claim"/>
    <x v="2"/>
  </r>
  <r>
    <x v="14"/>
    <m/>
    <m/>
    <m/>
    <n v="25.56"/>
    <s v="Expense Claim"/>
    <x v="3"/>
  </r>
  <r>
    <x v="14"/>
    <m/>
    <m/>
    <m/>
    <n v="0"/>
    <s v="Expense Claim"/>
    <x v="10"/>
  </r>
  <r>
    <x v="14"/>
    <m/>
    <m/>
    <m/>
    <n v="1016.02"/>
    <s v="Expense Claim"/>
    <x v="7"/>
  </r>
  <r>
    <x v="14"/>
    <m/>
    <m/>
    <m/>
    <n v="597.36"/>
    <s v="Expense Claim"/>
    <x v="13"/>
  </r>
  <r>
    <x v="14"/>
    <m/>
    <m/>
    <m/>
    <n v="1087.98"/>
    <s v="Expense Claim"/>
    <x v="11"/>
  </r>
  <r>
    <x v="14"/>
    <m/>
    <m/>
    <m/>
    <m/>
    <m/>
    <x v="4"/>
  </r>
  <r>
    <x v="0"/>
    <m/>
    <m/>
    <m/>
    <m/>
    <m/>
    <x v="4"/>
  </r>
  <r>
    <x v="15"/>
    <m/>
    <m/>
    <m/>
    <m/>
    <m/>
    <x v="4"/>
  </r>
  <r>
    <x v="15"/>
    <s v="Defect Correction"/>
    <m/>
    <m/>
    <n v="22409.279999999999"/>
    <s v="Cosmic Sun Inv: CS_SAM14B_001"/>
    <x v="9"/>
  </r>
  <r>
    <x v="15"/>
    <s v="Moving inverter and reprogramming meters"/>
    <m/>
    <m/>
    <n v="19463.419999999998"/>
    <s v="Thula Moya - IN04750"/>
    <x v="14"/>
  </r>
  <r>
    <x v="15"/>
    <m/>
    <m/>
    <m/>
    <n v="-19463.419999999998"/>
    <s v="Thula Moya - IC200104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m/>
    <x v="0"/>
    <m/>
    <m/>
    <m/>
    <m/>
    <m/>
    <x v="0"/>
    <x v="0"/>
    <m/>
    <m/>
    <m/>
  </r>
  <r>
    <n v="1"/>
    <x v="1"/>
    <s v="Canadian Solar 555W - Deposit - Herholdts"/>
    <n v="284"/>
    <n v="1415.25"/>
    <n v="200965.5"/>
    <s v="Herholdts Inv: INV875402"/>
    <x v="1"/>
    <x v="1"/>
    <n v="4.4234981760382652E-4"/>
    <d v="2024-09-27T00:00:00"/>
    <n v="409353"/>
  </r>
  <r>
    <n v="1"/>
    <x v="1"/>
    <m/>
    <m/>
    <m/>
    <n v="200965.5"/>
    <s v="Herholdts Inv: INV875402"/>
    <x v="1"/>
    <x v="1"/>
    <m/>
    <d v="2024-10-31T00:00:00"/>
    <m/>
  </r>
  <r>
    <n v="1"/>
    <x v="1"/>
    <s v="Handling fees"/>
    <m/>
    <m/>
    <n v="800"/>
    <s v="Supply Chain: Inv SCO04502"/>
    <x v="2"/>
    <x v="2"/>
    <m/>
    <d v="2024-11-29T00:00:00"/>
    <m/>
  </r>
  <r>
    <n v="1"/>
    <x v="1"/>
    <s v="Delivery"/>
    <m/>
    <m/>
    <n v="5650"/>
    <s v="Supply Chain: Inv SCO04533"/>
    <x v="2"/>
    <x v="3"/>
    <m/>
    <d v="2024-11-29T00:00:00"/>
    <m/>
  </r>
  <r>
    <n v="1"/>
    <x v="1"/>
    <s v="Storage"/>
    <m/>
    <m/>
    <n v="972"/>
    <s v="Supply Chain: Inv SCO04502"/>
    <x v="2"/>
    <x v="4"/>
    <m/>
    <d v="2024-11-29T00:00:00"/>
    <m/>
  </r>
  <r>
    <n v="1"/>
    <x v="1"/>
    <m/>
    <m/>
    <m/>
    <m/>
    <m/>
    <x v="3"/>
    <x v="5"/>
    <m/>
    <m/>
    <m/>
  </r>
  <r>
    <m/>
    <x v="0"/>
    <m/>
    <m/>
    <m/>
    <m/>
    <m/>
    <x v="4"/>
    <x v="0"/>
    <m/>
    <m/>
    <m/>
  </r>
  <r>
    <n v="2"/>
    <x v="2"/>
    <s v="Huawei 100KTL"/>
    <n v="1"/>
    <n v="68870"/>
    <n v="68870"/>
    <s v="Kathea Inv518635"/>
    <x v="5"/>
    <x v="6"/>
    <n v="2.8804820321965963E-3"/>
    <d v="2024-10-30T00:00:00"/>
    <n v="107975.24"/>
  </r>
  <r>
    <n v="2"/>
    <x v="2"/>
    <s v="Huawei 50KTL"/>
    <n v="1"/>
    <n v="38000"/>
    <n v="38000"/>
    <s v="Kathea Inv518655"/>
    <x v="2"/>
    <x v="7"/>
    <m/>
    <d v="2024-11-29T00:00:00"/>
    <m/>
  </r>
  <r>
    <n v="2"/>
    <x v="2"/>
    <s v="Delivery"/>
    <m/>
    <m/>
    <n v="1105.24"/>
    <s v="Kathea Inv518635"/>
    <x v="5"/>
    <x v="8"/>
    <m/>
    <d v="2024-10-30T00:00:00"/>
    <m/>
  </r>
  <r>
    <n v="2"/>
    <x v="2"/>
    <m/>
    <m/>
    <m/>
    <m/>
    <m/>
    <x v="4"/>
    <x v="9"/>
    <m/>
    <m/>
    <m/>
  </r>
  <r>
    <m/>
    <x v="0"/>
    <m/>
    <m/>
    <m/>
    <m/>
    <m/>
    <x v="4"/>
    <x v="0"/>
    <m/>
    <m/>
    <m/>
  </r>
  <r>
    <n v="3"/>
    <x v="3"/>
    <s v="KlipLok Roof"/>
    <n v="1.1499999999999999"/>
    <n v="32045.599999999999"/>
    <n v="32045.599999999999"/>
    <s v="Schletter INV0894"/>
    <x v="5"/>
    <x v="10"/>
    <n v="-4.396450356580317E-3"/>
    <d v="2024-09-23T00:00:00"/>
    <n v="33895.599999999999"/>
  </r>
  <r>
    <n v="3"/>
    <x v="3"/>
    <s v="IBR Roof"/>
    <m/>
    <m/>
    <n v="0"/>
    <m/>
    <x v="2"/>
    <x v="11"/>
    <m/>
    <d v="2024-11-30T00:00:00"/>
    <m/>
  </r>
  <r>
    <n v="3"/>
    <x v="3"/>
    <s v="Delivery"/>
    <m/>
    <m/>
    <n v="1850"/>
    <s v="Schletter Inv0893"/>
    <x v="5"/>
    <x v="12"/>
    <m/>
    <d v="2024-09-23T00:00:00"/>
    <m/>
  </r>
  <r>
    <n v="3"/>
    <x v="3"/>
    <m/>
    <m/>
    <m/>
    <m/>
    <m/>
    <x v="4"/>
    <x v="9"/>
    <m/>
    <m/>
    <m/>
  </r>
  <r>
    <m/>
    <x v="0"/>
    <m/>
    <m/>
    <m/>
    <m/>
    <m/>
    <x v="4"/>
    <x v="0"/>
    <m/>
    <m/>
    <m/>
  </r>
  <r>
    <n v="4"/>
    <x v="4"/>
    <s v="DC Cable "/>
    <n v="4000"/>
    <n v="13.5"/>
    <n v="54000"/>
    <s v="Herholdts Inv: INV922149"/>
    <x v="2"/>
    <x v="13"/>
    <n v="-4.4763570185750723E-3"/>
    <d v="2024-11-30T00:00:00"/>
    <n v="183222.00000000003"/>
  </r>
  <r>
    <m/>
    <x v="4"/>
    <s v="DC Cable "/>
    <m/>
    <m/>
    <n v="39900"/>
    <s v="MENLO - INV0002444"/>
    <x v="6"/>
    <x v="0"/>
    <m/>
    <d v="2025-03-28T00:00:00"/>
    <m/>
  </r>
  <r>
    <n v="4"/>
    <x v="4"/>
    <s v="Delivery"/>
    <m/>
    <m/>
    <n v="0"/>
    <m/>
    <x v="0"/>
    <x v="9"/>
    <m/>
    <m/>
    <m/>
  </r>
  <r>
    <n v="4"/>
    <x v="4"/>
    <s v="Project Kick Off"/>
    <n v="89322"/>
    <n v="0.1"/>
    <n v="8932.2000000000007"/>
    <s v="Thula Moya In04434"/>
    <x v="5"/>
    <x v="14"/>
    <m/>
    <d v="2024-09-25T00:00:00"/>
    <m/>
  </r>
  <r>
    <n v="4"/>
    <x v="4"/>
    <s v="Site Establishment"/>
    <m/>
    <n v="0.15"/>
    <n v="13398.3"/>
    <s v="Thula Moya IN04438"/>
    <x v="5"/>
    <x v="15"/>
    <m/>
    <d v="2024-10-10T00:00:00"/>
    <m/>
  </r>
  <r>
    <n v="4"/>
    <x v="4"/>
    <s v="AC Installation Complete"/>
    <m/>
    <n v="0.2"/>
    <n v="17864.400000000001"/>
    <s v="Thula Moya IN04477"/>
    <x v="2"/>
    <x v="16"/>
    <m/>
    <d v="2024-11-29T00:00:00"/>
    <m/>
  </r>
  <r>
    <n v="4"/>
    <x v="4"/>
    <s v="DC Installation Complete"/>
    <m/>
    <n v="0.25"/>
    <n v="22330.5"/>
    <s v="Thula Moya IN04478"/>
    <x v="2"/>
    <x v="17"/>
    <m/>
    <d v="2025-01-30T00:00:00"/>
    <m/>
  </r>
  <r>
    <n v="4"/>
    <x v="4"/>
    <s v="Commissioning Complete"/>
    <m/>
    <n v="0.1"/>
    <n v="8932.2000000000007"/>
    <s v="Thula Moya IN04513"/>
    <x v="3"/>
    <x v="14"/>
    <m/>
    <d v="2024-11-29T00:00:00"/>
    <m/>
  </r>
  <r>
    <n v="4"/>
    <x v="4"/>
    <s v="Site De-establisment"/>
    <m/>
    <n v="0.1"/>
    <n v="8932.2000000000007"/>
    <s v="Thula Moya IN04535"/>
    <x v="3"/>
    <x v="14"/>
    <m/>
    <d v="2024-12-05T00:00:00"/>
    <m/>
  </r>
  <r>
    <n v="4"/>
    <x v="4"/>
    <s v="Handover Document Complete"/>
    <m/>
    <n v="0.05"/>
    <n v="4466.1000000000004"/>
    <s v="Thula Moya IN04595"/>
    <x v="7"/>
    <x v="18"/>
    <m/>
    <d v="2025-02-13T00:00:00"/>
    <m/>
  </r>
  <r>
    <n v="4"/>
    <x v="4"/>
    <s v="End of Defects Period"/>
    <m/>
    <n v="0.05"/>
    <n v="4466.1000000000004"/>
    <s v="Thula Moya IN04592"/>
    <x v="7"/>
    <x v="19"/>
    <m/>
    <d v="2025-03-06T00:00:00"/>
    <m/>
  </r>
  <r>
    <m/>
    <x v="0"/>
    <m/>
    <m/>
    <m/>
    <m/>
    <m/>
    <x v="4"/>
    <x v="0"/>
    <m/>
    <m/>
    <m/>
  </r>
  <r>
    <n v="5"/>
    <x v="5"/>
    <s v="Smartlogger 3000"/>
    <n v="1"/>
    <n v="8000"/>
    <n v="8000"/>
    <s v="Solarworld SASIV-24-00517"/>
    <x v="8"/>
    <x v="20"/>
    <n v="1.4868803118588403E-3"/>
    <d v="2024-09-26T00:00:00"/>
    <n v="34242.090000000004"/>
  </r>
  <r>
    <n v="5"/>
    <x v="5"/>
    <s v="CTs"/>
    <m/>
    <m/>
    <n v="11820.5"/>
    <s v="AccuEnergy ASAI-003743"/>
    <x v="8"/>
    <x v="21"/>
    <m/>
    <d v="2024-09-27T00:00:00"/>
    <m/>
  </r>
  <r>
    <n v="5"/>
    <x v="5"/>
    <s v="Revenue Grade Meter"/>
    <n v="1"/>
    <n v="11169"/>
    <n v="11169"/>
    <s v="MATRIARCH - INV-3278"/>
    <x v="3"/>
    <x v="22"/>
    <m/>
    <d v="2024-11-30T00:00:00"/>
    <m/>
  </r>
  <r>
    <n v="5"/>
    <x v="5"/>
    <s v="Delivery of Techsitter"/>
    <m/>
    <m/>
    <n v="129.63"/>
    <s v="DSV Inv: 1048652"/>
    <x v="2"/>
    <x v="23"/>
    <m/>
    <d v="2024-11-30T00:00:00"/>
    <m/>
  </r>
  <r>
    <n v="5"/>
    <x v="5"/>
    <m/>
    <m/>
    <m/>
    <n v="110.45"/>
    <s v="DSV Inv: 180131355"/>
    <x v="9"/>
    <x v="9"/>
    <m/>
    <d v="2025-06-30T00:00:00"/>
    <m/>
  </r>
  <r>
    <n v="5"/>
    <x v="5"/>
    <s v="Frontline Comms Equipment"/>
    <m/>
    <m/>
    <n v="2562.5099999999998"/>
    <s v="Frontline Electrical: INV697940"/>
    <x v="2"/>
    <x v="24"/>
    <m/>
    <d v="2024-10-10T00:00:00"/>
    <m/>
  </r>
  <r>
    <n v="5"/>
    <x v="5"/>
    <s v="Attena Extension"/>
    <m/>
    <m/>
    <n v="450"/>
    <s v="Accuenergy Inv: ASAI-004425"/>
    <x v="10"/>
    <x v="25"/>
    <m/>
    <d v="2025-01-30T00:00:00"/>
    <m/>
  </r>
  <r>
    <m/>
    <x v="0"/>
    <m/>
    <m/>
    <m/>
    <m/>
    <m/>
    <x v="4"/>
    <x v="0"/>
    <m/>
    <m/>
    <m/>
  </r>
  <r>
    <n v="6"/>
    <x v="6"/>
    <m/>
    <m/>
    <m/>
    <m/>
    <m/>
    <x v="4"/>
    <x v="9"/>
    <n v="0"/>
    <m/>
    <n v="182814"/>
  </r>
  <r>
    <n v="6"/>
    <x v="6"/>
    <s v="AC &amp; Comms DB - Deposit"/>
    <n v="0.4"/>
    <n v="62800"/>
    <n v="25120"/>
    <s v="Cosmic Sun CS_SAMPVDB_001"/>
    <x v="5"/>
    <x v="26"/>
    <m/>
    <d v="2024-10-03T00:00:00"/>
    <m/>
  </r>
  <r>
    <n v="6"/>
    <x v="6"/>
    <s v="AC &amp; Comms DB - Balance"/>
    <n v="0.6"/>
    <m/>
    <n v="37680"/>
    <s v="Cosmic Sun CS_SAMPVDB_002"/>
    <x v="2"/>
    <x v="27"/>
    <m/>
    <d v="2024-10-31T00:00:00"/>
    <m/>
  </r>
  <r>
    <n v="6"/>
    <x v="6"/>
    <s v="Powder Coat DB"/>
    <m/>
    <m/>
    <n v="7250"/>
    <s v="Cosmic Sun CS_SAMPVDB_003"/>
    <x v="2"/>
    <x v="28"/>
    <m/>
    <d v="2024-10-17T00:00:00"/>
    <m/>
  </r>
  <r>
    <n v="6"/>
    <x v="6"/>
    <m/>
    <m/>
    <m/>
    <m/>
    <m/>
    <x v="4"/>
    <x v="9"/>
    <m/>
    <m/>
    <m/>
  </r>
  <r>
    <n v="6"/>
    <x v="6"/>
    <s v="Project Kick Off"/>
    <n v="112764"/>
    <n v="0.1"/>
    <n v="11276.400000000001"/>
    <s v="Thula Moya In04434"/>
    <x v="5"/>
    <x v="29"/>
    <m/>
    <d v="2024-09-25T00:00:00"/>
    <m/>
  </r>
  <r>
    <n v="6"/>
    <x v="6"/>
    <s v="Site Establishment"/>
    <m/>
    <n v="0.15"/>
    <n v="16914.599999999999"/>
    <s v="Thula MoyaIN04438"/>
    <x v="5"/>
    <x v="30"/>
    <m/>
    <d v="2024-10-10T00:00:00"/>
    <m/>
  </r>
  <r>
    <n v="6"/>
    <x v="6"/>
    <s v="AC Installation Complete"/>
    <m/>
    <n v="0.2"/>
    <n v="22552.800000000003"/>
    <s v="Thula Moya IN04477"/>
    <x v="2"/>
    <x v="31"/>
    <m/>
    <d v="2024-11-29T00:00:00"/>
    <m/>
  </r>
  <r>
    <n v="6"/>
    <x v="6"/>
    <s v="DC Installation Complete"/>
    <m/>
    <n v="0.25"/>
    <n v="28191"/>
    <s v="Thula Moya IN04478"/>
    <x v="2"/>
    <x v="32"/>
    <m/>
    <d v="2025-01-30T00:00:00"/>
    <m/>
  </r>
  <r>
    <n v="6"/>
    <x v="6"/>
    <s v="Commissioning Complete"/>
    <m/>
    <n v="0.1"/>
    <n v="11276.400000000001"/>
    <s v="Thula Moya IN04513"/>
    <x v="3"/>
    <x v="29"/>
    <m/>
    <d v="2024-11-29T00:00:00"/>
    <m/>
  </r>
  <r>
    <n v="6"/>
    <x v="6"/>
    <s v="Site De-establisment"/>
    <m/>
    <n v="0.1"/>
    <n v="11276.400000000001"/>
    <s v="Thula Moya IN04535"/>
    <x v="3"/>
    <x v="29"/>
    <m/>
    <d v="2024-12-05T00:00:00"/>
    <m/>
  </r>
  <r>
    <n v="6"/>
    <x v="6"/>
    <s v="Handover Document Complete"/>
    <m/>
    <n v="0.05"/>
    <n v="5638.2000000000007"/>
    <s v="Thula Moya IN04595"/>
    <x v="7"/>
    <x v="33"/>
    <m/>
    <d v="2025-02-13T00:00:00"/>
    <m/>
  </r>
  <r>
    <n v="6"/>
    <x v="6"/>
    <s v="End of Defects Period"/>
    <m/>
    <n v="0.05"/>
    <n v="5638.2000000000007"/>
    <s v="Thula Moya IN04592"/>
    <x v="7"/>
    <x v="33"/>
    <m/>
    <d v="2025-03-06T00:00:00"/>
    <m/>
  </r>
  <r>
    <m/>
    <x v="0"/>
    <m/>
    <m/>
    <m/>
    <m/>
    <m/>
    <x v="4"/>
    <x v="0"/>
    <m/>
    <m/>
    <m/>
  </r>
  <r>
    <n v="7"/>
    <x v="7"/>
    <m/>
    <m/>
    <m/>
    <m/>
    <m/>
    <x v="4"/>
    <x v="0"/>
    <n v="0"/>
    <m/>
    <n v="0"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m/>
    <x v="0"/>
    <m/>
    <m/>
    <m/>
    <m/>
    <m/>
    <x v="4"/>
    <x v="0"/>
    <m/>
    <m/>
    <m/>
  </r>
  <r>
    <n v="8"/>
    <x v="8"/>
    <s v="Walkways Transport"/>
    <m/>
    <m/>
    <n v="4025"/>
    <s v="Onvlee Engineering: Inv 01048652"/>
    <x v="2"/>
    <x v="34"/>
    <n v="0"/>
    <d v="2024-10-10T00:00:00"/>
    <n v="136151.13999999998"/>
  </r>
  <r>
    <n v="8"/>
    <x v="8"/>
    <s v="Mounting Structure for Walkways"/>
    <m/>
    <m/>
    <n v="4244.32"/>
    <s v="Schletter INV0951"/>
    <x v="2"/>
    <x v="35"/>
    <m/>
    <d v="2024-11-29T00:00:00"/>
    <m/>
  </r>
  <r>
    <n v="8"/>
    <x v="8"/>
    <s v="Walkways"/>
    <m/>
    <m/>
    <n v="77340.899999999994"/>
    <s v="Onvlee Engineering: Inv 01048652"/>
    <x v="2"/>
    <x v="36"/>
    <m/>
    <d v="2024-10-10T00:00:00"/>
    <m/>
  </r>
  <r>
    <n v="8"/>
    <x v="8"/>
    <s v="Supply and install tie in Breaker - Thula Moya"/>
    <m/>
    <m/>
    <n v="24300.959999999999"/>
    <s v="Thula Moya IN04488"/>
    <x v="2"/>
    <x v="37"/>
    <m/>
    <d v="2024-11-01T00:00:00"/>
    <m/>
  </r>
  <r>
    <n v="8"/>
    <x v="8"/>
    <s v="Installation of walkways"/>
    <m/>
    <m/>
    <n v="19387.2"/>
    <s v="Thula Moya IN04593"/>
    <x v="7"/>
    <x v="9"/>
    <m/>
    <d v="2025-07-31T00:00:00"/>
    <m/>
  </r>
  <r>
    <m/>
    <x v="8"/>
    <s v="1000A Cooper Stub. Poly Angle&amp; Copper Stub"/>
    <m/>
    <m/>
    <n v="6852.76"/>
    <s v="Switchboard - INV 2-SOI001940"/>
    <x v="11"/>
    <x v="0"/>
    <m/>
    <d v="2025-05-29T00:00:00"/>
    <m/>
  </r>
  <r>
    <m/>
    <x v="0"/>
    <m/>
    <m/>
    <m/>
    <m/>
    <m/>
    <x v="4"/>
    <x v="0"/>
    <m/>
    <m/>
    <m/>
  </r>
  <r>
    <n v="9"/>
    <x v="9"/>
    <s v="Project Kick Off"/>
    <n v="116305"/>
    <n v="0.1"/>
    <n v="11630.5"/>
    <s v="Thula Moya In04434"/>
    <x v="5"/>
    <x v="38"/>
    <n v="0"/>
    <d v="2024-09-25T00:00:00"/>
    <n v="116305"/>
  </r>
  <r>
    <n v="9"/>
    <x v="9"/>
    <s v="Site Establishment"/>
    <m/>
    <n v="0.15"/>
    <n v="17445.75"/>
    <s v="Thula Moya IN04438"/>
    <x v="5"/>
    <x v="39"/>
    <m/>
    <d v="2024-10-10T00:00:00"/>
    <m/>
  </r>
  <r>
    <n v="9"/>
    <x v="9"/>
    <s v="AC Installation Complete"/>
    <m/>
    <n v="0.2"/>
    <n v="23261"/>
    <s v="Thula Moya IN04477"/>
    <x v="2"/>
    <x v="40"/>
    <m/>
    <d v="2024-11-29T00:00:00"/>
    <m/>
  </r>
  <r>
    <n v="9"/>
    <x v="9"/>
    <s v="DC Installation Complete"/>
    <m/>
    <n v="0.25"/>
    <n v="29076.25"/>
    <s v="Thula Moya IN04478"/>
    <x v="2"/>
    <x v="41"/>
    <m/>
    <d v="2025-01-30T00:00:00"/>
    <m/>
  </r>
  <r>
    <n v="9"/>
    <x v="9"/>
    <s v="Commissioning Complete"/>
    <m/>
    <n v="0.1"/>
    <n v="11630.5"/>
    <s v="Thula Moya IN04513"/>
    <x v="3"/>
    <x v="38"/>
    <m/>
    <d v="2024-11-29T00:00:00"/>
    <m/>
  </r>
  <r>
    <n v="9"/>
    <x v="9"/>
    <s v="Site De-establisment"/>
    <m/>
    <n v="0.1"/>
    <n v="11630.5"/>
    <s v="Thula Moya IN04535"/>
    <x v="3"/>
    <x v="38"/>
    <m/>
    <d v="2024-12-05T00:00:00"/>
    <m/>
  </r>
  <r>
    <n v="9"/>
    <x v="9"/>
    <s v="Handover Document Complete"/>
    <m/>
    <n v="0.05"/>
    <n v="5815.25"/>
    <s v="Thula Moya IN04595"/>
    <x v="7"/>
    <x v="42"/>
    <m/>
    <d v="2025-02-13T00:00:00"/>
    <m/>
  </r>
  <r>
    <n v="9"/>
    <x v="9"/>
    <s v="End of Defects Period"/>
    <m/>
    <n v="0.05"/>
    <n v="5815.25"/>
    <s v="Thula Moya IN04592"/>
    <x v="7"/>
    <x v="42"/>
    <m/>
    <d v="2025-03-06T00:00:00"/>
    <m/>
  </r>
  <r>
    <m/>
    <x v="0"/>
    <m/>
    <m/>
    <m/>
    <m/>
    <m/>
    <x v="4"/>
    <x v="0"/>
    <m/>
    <m/>
    <m/>
  </r>
  <r>
    <n v="10"/>
    <x v="10"/>
    <s v="Security"/>
    <m/>
    <m/>
    <m/>
    <m/>
    <x v="0"/>
    <x v="9"/>
    <n v="3.9345281402347609E-3"/>
    <m/>
    <n v="85453.26"/>
  </r>
  <r>
    <n v="10"/>
    <x v="10"/>
    <m/>
    <m/>
    <m/>
    <m/>
    <m/>
    <x v="4"/>
    <x v="9"/>
    <m/>
    <m/>
    <m/>
  </r>
  <r>
    <n v="10"/>
    <x v="10"/>
    <s v="Project Kick Off"/>
    <n v="85453"/>
    <n v="0.1"/>
    <n v="8545.3000000000011"/>
    <s v="Thula Moya In04434"/>
    <x v="5"/>
    <x v="43"/>
    <m/>
    <d v="2024-09-25T00:00:00"/>
    <m/>
  </r>
  <r>
    <n v="10"/>
    <x v="10"/>
    <s v="Site Establishment"/>
    <m/>
    <n v="0.15"/>
    <n v="12817.96"/>
    <s v="Thula Moya IN04438"/>
    <x v="5"/>
    <x v="44"/>
    <m/>
    <d v="2024-10-10T00:00:00"/>
    <m/>
  </r>
  <r>
    <n v="10"/>
    <x v="10"/>
    <s v="AC Installation Complete"/>
    <m/>
    <n v="0.2"/>
    <n v="17090.600000000002"/>
    <s v="Thula Moya IN04477"/>
    <x v="2"/>
    <x v="45"/>
    <m/>
    <d v="2024-11-29T00:00:00"/>
    <m/>
  </r>
  <r>
    <n v="10"/>
    <x v="10"/>
    <s v="DC Installation Complete"/>
    <m/>
    <n v="0.25"/>
    <n v="21363.5"/>
    <s v="Thula Moya IN04478"/>
    <x v="2"/>
    <x v="46"/>
    <m/>
    <d v="2024-12-05T00:00:00"/>
    <m/>
  </r>
  <r>
    <n v="10"/>
    <x v="10"/>
    <s v="Commissioning Complete"/>
    <m/>
    <n v="0.1"/>
    <n v="8545.3000000000011"/>
    <s v="Thula Moya IN04513"/>
    <x v="3"/>
    <x v="47"/>
    <m/>
    <d v="2024-11-29T00:00:00"/>
    <m/>
  </r>
  <r>
    <n v="10"/>
    <x v="10"/>
    <s v="Site De-establisment"/>
    <m/>
    <n v="0.1"/>
    <n v="8545.3000000000011"/>
    <s v="Thula Moya IN04535"/>
    <x v="3"/>
    <x v="48"/>
    <m/>
    <d v="2024-12-05T00:00:00"/>
    <m/>
  </r>
  <r>
    <n v="10"/>
    <x v="10"/>
    <s v="Handover Document Complete"/>
    <m/>
    <n v="0.05"/>
    <n v="4272.6500000000005"/>
    <s v="Thula Moya IN04595"/>
    <x v="7"/>
    <x v="49"/>
    <m/>
    <d v="2025-02-13T00:00:00"/>
    <m/>
  </r>
  <r>
    <n v="10"/>
    <x v="10"/>
    <s v="End of Defects Period"/>
    <m/>
    <n v="0.05"/>
    <n v="4272.6500000000005"/>
    <s v="Thula Moya IN04592"/>
    <x v="7"/>
    <x v="49"/>
    <m/>
    <d v="2025-03-06T00:00:00"/>
    <m/>
  </r>
  <r>
    <m/>
    <x v="0"/>
    <m/>
    <m/>
    <m/>
    <m/>
    <m/>
    <x v="4"/>
    <x v="0"/>
    <m/>
    <m/>
    <m/>
  </r>
  <r>
    <n v="11"/>
    <x v="11"/>
    <s v="Electrical PrEng sign off"/>
    <m/>
    <m/>
    <n v="3551.19"/>
    <s v="Sun Spot Inv E005"/>
    <x v="3"/>
    <x v="50"/>
    <n v="2.2235762808122672E-3"/>
    <d v="2025-01-16T00:00:00"/>
    <n v="12071.19"/>
  </r>
  <r>
    <n v="11"/>
    <x v="11"/>
    <s v="Structural sign off"/>
    <m/>
    <m/>
    <n v="2520"/>
    <s v="L&amp;B Consulting Inv1742"/>
    <x v="8"/>
    <x v="51"/>
    <m/>
    <d v="2024-09-02T00:00:00"/>
    <m/>
  </r>
  <r>
    <n v="11"/>
    <x v="11"/>
    <m/>
    <m/>
    <m/>
    <m/>
    <m/>
    <x v="4"/>
    <x v="9"/>
    <m/>
    <m/>
    <m/>
  </r>
  <r>
    <n v="11"/>
    <x v="11"/>
    <m/>
    <m/>
    <m/>
    <m/>
    <m/>
    <x v="4"/>
    <x v="9"/>
    <m/>
    <m/>
    <m/>
  </r>
  <r>
    <n v="11"/>
    <x v="11"/>
    <s v="Red Team Inspection"/>
    <m/>
    <m/>
    <n v="6000"/>
    <s v="MATRIARCH - INV-3413"/>
    <x v="3"/>
    <x v="52"/>
    <m/>
    <d v="2024-11-29T00:00:00"/>
    <m/>
  </r>
  <r>
    <m/>
    <x v="0"/>
    <m/>
    <m/>
    <m/>
    <m/>
    <m/>
    <x v="4"/>
    <x v="0"/>
    <m/>
    <m/>
    <m/>
  </r>
  <r>
    <n v="12"/>
    <x v="12"/>
    <s v="Referral Fee"/>
    <m/>
    <m/>
    <n v="21537.98"/>
    <s v="Green Co Inv: INV0000518"/>
    <x v="8"/>
    <x v="0"/>
    <m/>
    <d v="2024-09-05T00:00:00"/>
    <n v="43075.96"/>
  </r>
  <r>
    <n v="12"/>
    <x v="12"/>
    <s v="Referral Fee"/>
    <m/>
    <m/>
    <n v="21537.98"/>
    <s v="Green Co Inv: INV0000527"/>
    <x v="3"/>
    <x v="0"/>
    <m/>
    <d v="2024-12-12T00:00:00"/>
    <m/>
  </r>
  <r>
    <n v="12"/>
    <x v="12"/>
    <m/>
    <m/>
    <m/>
    <m/>
    <m/>
    <x v="4"/>
    <x v="0"/>
    <m/>
    <m/>
    <m/>
  </r>
  <r>
    <m/>
    <x v="0"/>
    <m/>
    <m/>
    <m/>
    <m/>
    <m/>
    <x v="4"/>
    <x v="0"/>
    <m/>
    <m/>
    <m/>
  </r>
  <r>
    <n v="13"/>
    <x v="13"/>
    <s v="Matriarch Defects Period"/>
    <m/>
    <m/>
    <n v="20734.345172387377"/>
    <s v="MATRIARCH - INV-3414"/>
    <x v="3"/>
    <x v="53"/>
    <n v="0"/>
    <d v="2024-11-30T00:00:00"/>
    <n v="50400"/>
  </r>
  <r>
    <n v="13"/>
    <x v="13"/>
    <s v="Performance Guarantee"/>
    <m/>
    <m/>
    <n v="50400"/>
    <s v="Matriarch - INV-5021"/>
    <x v="12"/>
    <x v="9"/>
    <m/>
    <d v="2025-08-31T00:00:00"/>
    <m/>
  </r>
  <r>
    <n v="13"/>
    <x v="13"/>
    <s v="Matriarch Defects Period"/>
    <m/>
    <m/>
    <n v="-20734.345172387377"/>
    <s v="Matriarch - CN-5022"/>
    <x v="12"/>
    <x v="9"/>
    <m/>
    <d v="2025-08-31T00:00:00"/>
    <m/>
  </r>
  <r>
    <n v="13"/>
    <x v="13"/>
    <m/>
    <m/>
    <m/>
    <n v="0"/>
    <m/>
    <x v="0"/>
    <x v="9"/>
    <m/>
    <m/>
    <m/>
  </r>
  <r>
    <n v="13"/>
    <x v="13"/>
    <m/>
    <m/>
    <m/>
    <n v="0"/>
    <m/>
    <x v="0"/>
    <x v="9"/>
    <m/>
    <m/>
    <m/>
  </r>
  <r>
    <n v="13"/>
    <x v="13"/>
    <m/>
    <m/>
    <m/>
    <m/>
    <m/>
    <x v="4"/>
    <x v="0"/>
    <m/>
    <m/>
    <m/>
  </r>
  <r>
    <n v="13"/>
    <x v="13"/>
    <m/>
    <m/>
    <m/>
    <m/>
    <m/>
    <x v="4"/>
    <x v="0"/>
    <m/>
    <m/>
    <m/>
  </r>
  <r>
    <m/>
    <x v="0"/>
    <m/>
    <m/>
    <m/>
    <m/>
    <m/>
    <x v="4"/>
    <x v="0"/>
    <m/>
    <m/>
    <m/>
  </r>
  <r>
    <n v="14"/>
    <x v="14"/>
    <s v="Car travel to site"/>
    <m/>
    <m/>
    <n v="1022.78"/>
    <s v="Expense Claim"/>
    <x v="8"/>
    <x v="54"/>
    <n v="3.8280687490441778E-3"/>
    <d v="2024-09-05T00:00:00"/>
    <n v="6991.68"/>
  </r>
  <r>
    <n v="14"/>
    <x v="14"/>
    <m/>
    <s v="1 571.0"/>
    <m/>
    <n v="1570.98"/>
    <s v="Expense Claim"/>
    <x v="5"/>
    <x v="55"/>
    <m/>
    <d v="2024-10-04T00:00:00"/>
    <m/>
  </r>
  <r>
    <n v="14"/>
    <x v="14"/>
    <m/>
    <m/>
    <m/>
    <n v="1671"/>
    <s v="Expense Claim"/>
    <x v="2"/>
    <x v="56"/>
    <m/>
    <d v="2024-11-08T00:00:00"/>
    <m/>
  </r>
  <r>
    <n v="14"/>
    <x v="14"/>
    <m/>
    <m/>
    <m/>
    <n v="25.56"/>
    <s v="Expense Claim"/>
    <x v="3"/>
    <x v="57"/>
    <m/>
    <d v="2024-12-06T00:00:00"/>
    <m/>
  </r>
  <r>
    <n v="14"/>
    <x v="14"/>
    <m/>
    <m/>
    <m/>
    <n v="0"/>
    <s v="Expense Claim"/>
    <x v="10"/>
    <x v="9"/>
    <m/>
    <d v="2025-01-09T00:00:00"/>
    <m/>
  </r>
  <r>
    <n v="14"/>
    <x v="14"/>
    <m/>
    <m/>
    <m/>
    <n v="1016.02"/>
    <s v="Expense Claim"/>
    <x v="7"/>
    <x v="58"/>
    <m/>
    <d v="2025-02-07T00:00:00"/>
    <m/>
  </r>
  <r>
    <n v="14"/>
    <x v="14"/>
    <m/>
    <m/>
    <m/>
    <n v="597.36"/>
    <s v="Expense Claim"/>
    <x v="13"/>
    <x v="9"/>
    <m/>
    <d v="2025-03-06T00:00:00"/>
    <m/>
  </r>
  <r>
    <n v="14"/>
    <x v="14"/>
    <m/>
    <m/>
    <m/>
    <n v="1087.98"/>
    <s v="Expense Claim"/>
    <x v="11"/>
    <x v="0"/>
    <m/>
    <d v="2025-05-08T00:00:00"/>
    <m/>
  </r>
  <r>
    <n v="14"/>
    <x v="14"/>
    <m/>
    <m/>
    <m/>
    <m/>
    <m/>
    <x v="4"/>
    <x v="0"/>
    <m/>
    <m/>
    <m/>
  </r>
  <r>
    <m/>
    <x v="0"/>
    <m/>
    <m/>
    <m/>
    <m/>
    <m/>
    <x v="4"/>
    <x v="0"/>
    <m/>
    <m/>
    <m/>
  </r>
  <r>
    <n v="15"/>
    <x v="15"/>
    <m/>
    <m/>
    <m/>
    <m/>
    <m/>
    <x v="4"/>
    <x v="0"/>
    <n v="0"/>
    <m/>
    <n v="22409.279999999999"/>
  </r>
  <r>
    <n v="15"/>
    <x v="15"/>
    <s v="Defect Correction"/>
    <m/>
    <m/>
    <n v="22409.279999999999"/>
    <s v="Cosmic Sun Inv: CS_SAM14B_001"/>
    <x v="9"/>
    <x v="0"/>
    <m/>
    <d v="2025-05-15T00:00:00"/>
    <m/>
  </r>
  <r>
    <n v="15"/>
    <x v="15"/>
    <s v="Moving inverter and reprogramming meters"/>
    <m/>
    <m/>
    <n v="19463.419999999998"/>
    <s v="Thula Moya - IN04750"/>
    <x v="14"/>
    <x v="0"/>
    <m/>
    <d v="2026-01-31T00:00:00"/>
    <m/>
  </r>
  <r>
    <n v="15"/>
    <x v="15"/>
    <m/>
    <m/>
    <m/>
    <n v="-19463.419999999998"/>
    <s v="Thula Moya - IC200104"/>
    <x v="15"/>
    <x v="0"/>
    <m/>
    <d v="2026-01-31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4"/>
        <item m="1" x="34"/>
        <item m="1" x="33"/>
        <item m="1" x="32"/>
        <item m="1" x="31"/>
        <item x="0"/>
        <item x="1"/>
        <item x="8"/>
        <item x="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6"/>
        <item m="1" x="27"/>
        <item m="1" x="28"/>
        <item m="1" x="29"/>
        <item m="1" x="30"/>
        <item x="2"/>
        <item x="3"/>
        <item x="10"/>
        <item x="7"/>
        <item x="13"/>
        <item x="6"/>
        <item x="11"/>
        <item x="9"/>
        <item x="14"/>
        <item x="12"/>
        <item x="15"/>
        <item t="default"/>
      </items>
    </pivotField>
    <pivotField axis="axisPage" dataField="1" multipleItemSelectionAllowed="1" showAll="0">
      <items count="571">
        <item x="9"/>
        <item m="1" x="544"/>
        <item m="1" x="549"/>
        <item m="1" x="569"/>
        <item m="1" x="554"/>
        <item m="1" x="558"/>
        <item m="1" x="556"/>
        <item m="1" x="551"/>
        <item m="1" x="546"/>
        <item m="1" x="555"/>
        <item m="1" x="564"/>
        <item m="1" x="553"/>
        <item m="1" x="566"/>
        <item m="1" x="563"/>
        <item m="1" x="557"/>
        <item m="1" x="567"/>
        <item m="1" x="542"/>
        <item m="1" x="561"/>
        <item m="1" x="552"/>
        <item m="1" x="568"/>
        <item m="1" x="562"/>
        <item m="1" x="548"/>
        <item m="1" x="547"/>
        <item m="1" x="560"/>
        <item m="1" x="545"/>
        <item m="1" x="565"/>
        <item m="1" x="543"/>
        <item m="1" x="559"/>
        <item m="1" x="550"/>
        <item m="1" x="541"/>
        <item x="0"/>
        <item m="1" x="470"/>
        <item m="1" x="471"/>
        <item m="1" x="504"/>
        <item m="1" x="511"/>
        <item m="1" x="512"/>
        <item m="1" x="513"/>
        <item m="1" x="514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489"/>
        <item m="1" x="490"/>
        <item m="1" x="491"/>
        <item m="1" x="534"/>
        <item m="1" x="535"/>
        <item m="1" x="536"/>
        <item m="1" x="537"/>
        <item m="1" x="495"/>
        <item m="1" x="496"/>
        <item m="1" x="538"/>
        <item m="1" x="539"/>
        <item m="1" x="540"/>
        <item m="1" x="499"/>
        <item m="1" x="520"/>
        <item m="1" x="521"/>
        <item m="1" x="522"/>
        <item m="1" x="515"/>
        <item m="1" x="516"/>
        <item m="1" x="517"/>
        <item m="1" x="518"/>
        <item m="1" x="519"/>
        <item m="1" x="482"/>
        <item m="1" x="483"/>
        <item m="1" x="484"/>
        <item m="1" x="485"/>
        <item m="1" x="507"/>
        <item m="1" x="508"/>
        <item m="1" x="509"/>
        <item m="1" x="492"/>
        <item m="1" x="493"/>
        <item m="1" x="494"/>
        <item m="1" x="505"/>
        <item m="1" x="500"/>
        <item m="1" x="510"/>
        <item m="1" x="474"/>
        <item m="1" x="475"/>
        <item m="1" x="476"/>
        <item m="1" x="477"/>
        <item m="1" x="478"/>
        <item m="1" x="479"/>
        <item m="1" x="480"/>
        <item m="1" x="481"/>
        <item m="1" x="501"/>
        <item m="1" x="506"/>
        <item m="1" x="486"/>
        <item m="1" x="487"/>
        <item m="1" x="488"/>
        <item m="1" x="472"/>
        <item m="1" x="473"/>
        <item m="1" x="497"/>
        <item m="1" x="498"/>
        <item m="1" x="502"/>
        <item m="1" x="503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30"/>
        <item m="1" x="458"/>
        <item m="1" x="459"/>
        <item m="1" x="460"/>
        <item m="1" x="433"/>
        <item m="1" x="434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46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1"/>
        <item m="1" x="432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10"/>
        <item m="1" x="311"/>
        <item m="1" x="312"/>
        <item m="1" x="337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26"/>
        <item m="1" x="327"/>
        <item m="1" x="350"/>
        <item m="1" x="351"/>
        <item m="1" x="352"/>
        <item m="1" x="353"/>
        <item m="1" x="354"/>
        <item m="1" x="355"/>
        <item m="1" x="356"/>
        <item m="1" x="335"/>
        <item m="1" x="338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8"/>
        <item m="1" x="329"/>
        <item m="1" x="330"/>
        <item m="1" x="331"/>
        <item m="1" x="332"/>
        <item m="1" x="333"/>
        <item m="1" x="334"/>
        <item m="1" x="336"/>
        <item m="1" x="313"/>
        <item m="1" x="314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255"/>
        <item m="1" x="256"/>
        <item m="1" x="286"/>
        <item m="1" x="287"/>
        <item m="1" x="288"/>
        <item m="1" x="289"/>
        <item m="1" x="290"/>
        <item m="1" x="274"/>
        <item m="1" x="275"/>
        <item m="1" x="276"/>
        <item m="1" x="277"/>
        <item m="1" x="278"/>
        <item m="1" x="291"/>
        <item m="1" x="292"/>
        <item m="1" x="293"/>
        <item m="1" x="285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9"/>
        <item m="1" x="280"/>
        <item m="1" x="281"/>
        <item m="1" x="282"/>
        <item m="1" x="283"/>
        <item m="1" x="284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139"/>
        <item m="1" x="140"/>
        <item m="1" x="141"/>
        <item m="1" x="248"/>
        <item m="1" x="249"/>
        <item m="1" x="250"/>
        <item m="1" x="251"/>
        <item m="1" x="252"/>
        <item m="1" x="253"/>
        <item m="1" x="254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129"/>
        <item m="1" x="130"/>
        <item m="1" x="131"/>
        <item m="1" x="132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x="1"/>
        <item m="1" x="116"/>
        <item m="1" x="117"/>
        <item m="1" x="118"/>
        <item m="1" x="119"/>
        <item m="1" x="120"/>
        <item m="1" x="121"/>
        <item m="1" x="143"/>
        <item m="1" x="144"/>
        <item m="1" x="145"/>
        <item m="1" x="146"/>
        <item m="1" x="147"/>
        <item m="1" x="148"/>
        <item m="1" x="149"/>
        <item m="1" x="133"/>
        <item m="1" x="134"/>
        <item m="1" x="135"/>
        <item m="1" x="136"/>
        <item m="1" x="137"/>
        <item x="38"/>
        <item x="39"/>
        <item x="40"/>
        <item x="41"/>
        <item x="42"/>
        <item m="1" x="138"/>
        <item m="1" x="71"/>
        <item m="1" x="72"/>
        <item m="1" x="73"/>
        <item m="1" x="74"/>
        <item m="1" x="142"/>
        <item m="1" x="122"/>
        <item m="1" x="123"/>
        <item m="1" x="124"/>
        <item m="1" x="125"/>
        <item m="1" x="126"/>
        <item m="1" x="127"/>
        <item m="1" x="128"/>
        <item m="1" x="101"/>
        <item m="1" x="90"/>
        <item m="1" x="91"/>
        <item m="1" x="102"/>
        <item m="1" x="103"/>
        <item m="1" x="104"/>
        <item x="10"/>
        <item m="1" x="88"/>
        <item x="12"/>
        <item x="13"/>
        <item x="14"/>
        <item x="15"/>
        <item x="16"/>
        <item x="17"/>
        <item m="1" x="60"/>
        <item x="20"/>
        <item x="21"/>
        <item m="1" x="107"/>
        <item m="1" x="108"/>
        <item m="1" x="109"/>
        <item m="1" x="110"/>
        <item m="1" x="111"/>
        <item m="1" x="112"/>
        <item m="1" x="113"/>
        <item m="1" x="114"/>
        <item m="1" x="95"/>
        <item m="1" x="96"/>
        <item m="1" x="97"/>
        <item m="1" x="98"/>
        <item m="1" x="99"/>
        <item m="1" x="100"/>
        <item m="1" x="69"/>
        <item x="51"/>
        <item m="1" x="70"/>
        <item x="54"/>
        <item m="1" x="115"/>
        <item m="1" x="86"/>
        <item m="1" x="87"/>
        <item x="26"/>
        <item x="27"/>
        <item x="28"/>
        <item x="29"/>
        <item x="30"/>
        <item x="31"/>
        <item x="32"/>
        <item x="33"/>
        <item m="1" x="105"/>
        <item m="1" x="106"/>
        <item m="1" x="94"/>
        <item m="1" x="93"/>
        <item m="1" x="89"/>
        <item x="6"/>
        <item m="1" x="92"/>
        <item x="8"/>
        <item m="1" x="82"/>
        <item x="43"/>
        <item x="44"/>
        <item m="1" x="83"/>
        <item m="1" x="84"/>
        <item m="1" x="85"/>
        <item x="55"/>
        <item x="2"/>
        <item m="1" x="76"/>
        <item x="4"/>
        <item m="1" x="77"/>
        <item m="1" x="78"/>
        <item m="1" x="81"/>
        <item m="1" x="75"/>
        <item m="1" x="65"/>
        <item x="23"/>
        <item m="1" x="79"/>
        <item m="1" x="66"/>
        <item m="1" x="80"/>
        <item x="46"/>
        <item m="1" x="67"/>
        <item m="1" x="68"/>
        <item x="3"/>
        <item m="1" x="64"/>
        <item x="7"/>
        <item x="11"/>
        <item x="24"/>
        <item x="34"/>
        <item x="35"/>
        <item x="36"/>
        <item x="37"/>
        <item x="45"/>
        <item x="56"/>
        <item x="5"/>
        <item m="1" x="63"/>
        <item x="25"/>
        <item x="47"/>
        <item x="48"/>
        <item x="49"/>
        <item x="50"/>
        <item m="1" x="61"/>
        <item x="53"/>
        <item x="57"/>
        <item m="1" x="62"/>
        <item x="22"/>
        <item x="58"/>
        <item x="52"/>
        <item m="1" x="59"/>
        <item x="18"/>
        <item x="1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7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5">
        <item m="1" x="36"/>
        <item m="1" x="42"/>
        <item m="1" x="37"/>
        <item m="1" x="40"/>
        <item m="1" x="38"/>
        <item x="0"/>
        <item m="1" x="43"/>
        <item m="1" x="39"/>
        <item m="1" x="41"/>
        <item x="6"/>
        <item m="1" x="35"/>
        <item m="1" x="34"/>
        <item m="1" x="33"/>
        <item m="1" x="32"/>
        <item m="1" x="31"/>
        <item m="1" x="17"/>
        <item x="4"/>
        <item x="1"/>
        <item x="8"/>
        <item x="5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6"/>
        <item m="1" x="27"/>
        <item m="1" x="28"/>
        <item m="1" x="29"/>
        <item m="1" x="30"/>
        <item x="2"/>
        <item x="3"/>
        <item x="10"/>
        <item x="7"/>
        <item x="13"/>
        <item x="11"/>
        <item x="9"/>
        <item x="14"/>
        <item x="12"/>
        <item x="15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7">
    <i>
      <x v="5"/>
    </i>
    <i>
      <x v="9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colItems>
  <dataFields count="1">
    <dataField name="Sum of Actual Total " fld="4" baseField="0" baseItem="0" numFmtId="168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8" dT="2024-11-25T09:25:25.91" personId="{5BD82885-5C4B-4130-B7A5-22E0F7C6250E}" id="{DD636672-8CC8-4ECE-BF49-0C27DC12D895}" done="1">
    <text>@Mizelda Isaacs please update the payment date</text>
    <mentions>
      <mention mentionpersonId="{9F54A38E-7975-4427-8083-869BAC6FBFAF}" mentionId="{DE50BA09-6E8B-4A8C-96A2-680CED1ECB40}" startIndex="0" length="15"/>
    </mentions>
  </threadedComment>
  <threadedComment ref="W29" dT="2025-01-10T09:21:38.66" personId="{5BD82885-5C4B-4130-B7A5-22E0F7C6250E}" id="{41C54260-23FB-46C8-A69A-EA32A797319E}" done="1">
    <text>@Mizelda Isaacs please update the date as not the full milestone was paid</text>
    <mentions>
      <mention mentionpersonId="{9F54A38E-7975-4427-8083-869BAC6FBFAF}" mentionId="{D7E509A7-B5DF-4D5B-8828-D12203E97F77}" startIndex="0" length="15"/>
    </mentions>
  </threadedComment>
  <threadedComment ref="W93" dT="2025-01-10T09:25:10.59" personId="{5BD82885-5C4B-4130-B7A5-22E0F7C6250E}" id="{9E5A03A8-D849-416F-95A6-2D75FB50AF8D}" done="1">
    <text>@Mizelda Isaacs please update the payment date as it hasn’t been paid</text>
    <mentions>
      <mention mentionpersonId="{9F54A38E-7975-4427-8083-869BAC6FBFAF}" mentionId="{A621E9C5-097D-4CC8-AE6B-74386B7E82AD}" startIndex="0" length="15"/>
    </mentions>
  </threadedComment>
  <threadedComment ref="R122" dT="2025-11-08T13:39:51.40" personId="{5BD82885-5C4B-4130-B7A5-22E0F7C6250E}" id="{B1BC53B4-B485-4C2D-B9DB-41C71354FEC3}" done="1">
    <text>@Roedolph Venter was this recovered from Thula Moya</text>
    <mentions>
      <mention mentionpersonId="{EE93FF0C-CEDA-4A8B-B7DE-C5BEA95634B8}" mentionId="{F00D7F6C-EB48-411D-8B11-4705CBA22433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1" t="s">
        <v>57</v>
      </c>
      <c r="E47" s="891"/>
      <c r="F47" s="892"/>
      <c r="G47" s="67"/>
      <c r="I47" s="68"/>
      <c r="J47" s="68"/>
    </row>
    <row r="48" spans="1:49" ht="14.5" thickBot="1">
      <c r="C48" s="69">
        <v>44014</v>
      </c>
      <c r="D48" s="893"/>
      <c r="E48" s="893"/>
      <c r="F48" s="89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EEA4-48E0-4079-BD77-B2BB3B799F07}">
  <sheetPr codeName="Sheet8"/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895" t="s">
        <v>58</v>
      </c>
      <c r="C2" s="896"/>
      <c r="D2" s="896"/>
      <c r="E2" s="896"/>
      <c r="F2" s="89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95" t="s">
        <v>69</v>
      </c>
      <c r="C16" s="896"/>
      <c r="D16" s="896"/>
      <c r="E16" s="896"/>
      <c r="F16" s="89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zoomScale="115" zoomScaleNormal="115" workbookViewId="0">
      <selection activeCell="P19" sqref="P19"/>
    </sheetView>
  </sheetViews>
  <sheetFormatPr defaultColWidth="8.453125" defaultRowHeight="14.5"/>
  <cols>
    <col min="1" max="1" width="5.54296875" style="93" customWidth="1"/>
    <col min="2" max="2" width="5.54296875" style="133" customWidth="1"/>
    <col min="3" max="4" width="23.453125" style="131" customWidth="1"/>
    <col min="5" max="5" width="6.54296875" style="131" customWidth="1"/>
    <col min="6" max="6" width="16.453125" style="131" customWidth="1"/>
    <col min="7" max="7" width="4.453125" style="131" customWidth="1"/>
    <col min="8" max="8" width="15.453125" style="131" customWidth="1"/>
    <col min="9" max="9" width="1.453125" style="131" customWidth="1"/>
    <col min="10" max="10" width="3.453125" style="93" customWidth="1"/>
    <col min="11" max="11" width="1.453125" style="224" customWidth="1"/>
    <col min="12" max="12" width="29.453125" style="93" customWidth="1"/>
    <col min="13" max="13" width="1.453125" style="131" customWidth="1"/>
    <col min="14" max="14" width="29.453125" style="131" customWidth="1"/>
    <col min="15" max="15" width="1.453125" style="93" customWidth="1"/>
    <col min="16" max="16" width="16.81640625" style="131" customWidth="1"/>
    <col min="17" max="17" width="5.54296875" style="131" customWidth="1"/>
    <col min="18" max="20" width="33.453125" style="131" customWidth="1"/>
    <col min="21" max="21" width="4.453125" style="131" customWidth="1"/>
    <col min="22" max="22" width="14.453125" style="131" customWidth="1"/>
    <col min="23" max="23" width="10.453125" style="93" bestFit="1" customWidth="1"/>
    <col min="24" max="25" width="8.453125" style="93"/>
    <col min="26" max="26" width="5.54296875" style="93" bestFit="1" customWidth="1"/>
    <col min="27" max="27" width="14.453125" style="93" bestFit="1" customWidth="1"/>
    <col min="28" max="28" width="8.453125" style="93"/>
    <col min="29" max="29" width="14.453125" style="93" bestFit="1" customWidth="1"/>
    <col min="30" max="30" width="8.453125" style="131"/>
    <col min="31" max="31" width="12.54296875" style="131" bestFit="1" customWidth="1"/>
    <col min="32" max="16384" width="8.453125" style="131"/>
  </cols>
  <sheetData>
    <row r="1" spans="1:23" s="93" customFormat="1" ht="14.25" customHeight="1">
      <c r="A1" s="542"/>
      <c r="B1" s="119"/>
      <c r="J1" s="144"/>
      <c r="U1" s="144"/>
    </row>
    <row r="2" spans="1:23" s="93" customFormat="1" ht="14.25" customHeight="1" thickBot="1">
      <c r="A2" s="542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130"/>
      <c r="T2" s="130"/>
      <c r="U2" s="144"/>
    </row>
    <row r="3" spans="1:23" s="93" customFormat="1" ht="13">
      <c r="B3" s="119"/>
      <c r="D3" s="127" t="s">
        <v>74</v>
      </c>
      <c r="F3" s="127" t="s">
        <v>75</v>
      </c>
      <c r="J3" s="144"/>
      <c r="L3" s="629" t="s">
        <v>76</v>
      </c>
      <c r="N3" s="629" t="s">
        <v>77</v>
      </c>
      <c r="P3" s="776"/>
      <c r="Q3" s="777"/>
      <c r="R3" s="778" t="s">
        <v>78</v>
      </c>
      <c r="S3" s="779" t="s">
        <v>79</v>
      </c>
      <c r="T3" s="780" t="s">
        <v>80</v>
      </c>
      <c r="U3" s="144"/>
    </row>
    <row r="4" spans="1:23" s="93" customFormat="1" ht="13">
      <c r="B4" s="487">
        <v>1</v>
      </c>
      <c r="C4" s="488" t="s">
        <v>81</v>
      </c>
      <c r="D4" s="489">
        <f>'Project Plan'!E6</f>
        <v>1658747.6137909901</v>
      </c>
      <c r="E4" s="490"/>
      <c r="F4" s="489">
        <f>F21</f>
        <v>1729080.5537909898</v>
      </c>
      <c r="J4" s="144"/>
      <c r="L4" s="540">
        <v>1658747.6137909899</v>
      </c>
      <c r="N4" s="540" t="s">
        <v>82</v>
      </c>
      <c r="P4" s="781" t="s">
        <v>83</v>
      </c>
      <c r="Q4" s="132"/>
      <c r="R4" s="132">
        <v>573669.32824239682</v>
      </c>
      <c r="S4" s="782">
        <v>1085078.2855485929</v>
      </c>
      <c r="T4" s="783">
        <f>F4-R4</f>
        <v>1155411.2255485929</v>
      </c>
      <c r="U4" s="144"/>
    </row>
    <row r="5" spans="1:23" s="93" customFormat="1" ht="15" customHeight="1">
      <c r="B5" s="487">
        <v>2</v>
      </c>
      <c r="C5" s="488" t="s">
        <v>84</v>
      </c>
      <c r="D5" s="489">
        <f>+'Expenditure Tracking'!F5</f>
        <v>1414650.52</v>
      </c>
      <c r="E5" s="490"/>
      <c r="F5" s="489">
        <f>+'Expenditure Tracking'!J5</f>
        <v>1424359.4399999997</v>
      </c>
      <c r="J5" s="144"/>
      <c r="L5" s="540">
        <v>1374853.7251723872</v>
      </c>
      <c r="N5" s="630">
        <v>45560</v>
      </c>
      <c r="P5" s="781" t="s">
        <v>85</v>
      </c>
      <c r="R5" s="782">
        <v>446832.26</v>
      </c>
      <c r="S5" s="782">
        <v>932047.4751723872</v>
      </c>
      <c r="T5" s="783">
        <f>F5-R5</f>
        <v>977527.1799999997</v>
      </c>
      <c r="U5" s="144"/>
    </row>
    <row r="6" spans="1:23" s="93" customFormat="1" ht="15" customHeight="1" thickBot="1">
      <c r="B6" s="487">
        <v>3</v>
      </c>
      <c r="C6" s="488" t="s">
        <v>86</v>
      </c>
      <c r="D6" s="489">
        <f>+D4-D5</f>
        <v>244097.09379099007</v>
      </c>
      <c r="E6" s="490"/>
      <c r="F6" s="489">
        <f>+F4-F5</f>
        <v>304721.11379099009</v>
      </c>
      <c r="H6" s="118"/>
      <c r="J6" s="144"/>
      <c r="L6" s="540">
        <v>283893.88861860265</v>
      </c>
      <c r="N6" s="540" t="s">
        <v>87</v>
      </c>
      <c r="P6" s="784" t="s">
        <v>88</v>
      </c>
      <c r="Q6" s="785"/>
      <c r="R6" s="786">
        <f>R4-R5</f>
        <v>126837.06824239681</v>
      </c>
      <c r="S6" s="786">
        <f>S4-S5</f>
        <v>153030.81037620571</v>
      </c>
      <c r="T6" s="787">
        <f>T4-T5</f>
        <v>177884.04554859316</v>
      </c>
      <c r="U6" s="144"/>
    </row>
    <row r="7" spans="1:23" s="93" customFormat="1" ht="15" customHeight="1" thickBot="1">
      <c r="B7" s="487">
        <v>4</v>
      </c>
      <c r="C7" s="488" t="s">
        <v>89</v>
      </c>
      <c r="D7" s="491">
        <f>+D6/D4</f>
        <v>0.147157464922055</v>
      </c>
      <c r="E7" s="490"/>
      <c r="F7" s="491">
        <f>+F6/F4</f>
        <v>0.17623303502135423</v>
      </c>
      <c r="J7" s="144"/>
      <c r="L7" s="541">
        <v>0.17114953851826589</v>
      </c>
      <c r="N7" s="714">
        <v>45594</v>
      </c>
      <c r="P7" s="788"/>
      <c r="Q7" s="789"/>
      <c r="R7" s="789"/>
      <c r="S7" s="789"/>
      <c r="T7" s="790"/>
      <c r="U7" s="144"/>
    </row>
    <row r="8" spans="1:23" s="93" customFormat="1" ht="9" customHeight="1">
      <c r="B8" s="119"/>
      <c r="J8" s="144"/>
      <c r="U8" s="144"/>
    </row>
    <row r="9" spans="1:23" s="93" customFormat="1" ht="9.75" customHeight="1">
      <c r="B9" s="119"/>
      <c r="J9" s="144"/>
      <c r="U9" s="144"/>
    </row>
    <row r="10" spans="1:23" s="93" customFormat="1" ht="13">
      <c r="B10" s="130" t="s">
        <v>90</v>
      </c>
      <c r="J10" s="144"/>
      <c r="U10" s="144"/>
      <c r="W10" s="130"/>
    </row>
    <row r="11" spans="1:23" s="93" customFormat="1" ht="14.25" customHeight="1">
      <c r="B11" s="119"/>
      <c r="J11" s="144"/>
      <c r="U11" s="144"/>
    </row>
    <row r="12" spans="1:23" s="93" customFormat="1" ht="26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2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56" t="s">
        <v>99</v>
      </c>
      <c r="S12" s="130"/>
      <c r="T12" s="130"/>
      <c r="U12" s="144"/>
    </row>
    <row r="13" spans="1:23" s="93" customFormat="1" ht="13">
      <c r="B13" s="487">
        <v>1</v>
      </c>
      <c r="C13" s="898" t="s">
        <v>100</v>
      </c>
      <c r="D13" s="899"/>
      <c r="E13" s="138">
        <v>0.35</v>
      </c>
      <c r="F13" s="139">
        <f>$D$4*E13</f>
        <v>580561.66482684645</v>
      </c>
      <c r="G13" s="140"/>
      <c r="H13" s="141">
        <v>45491</v>
      </c>
      <c r="J13" s="144"/>
      <c r="L13" s="506" t="s">
        <v>101</v>
      </c>
      <c r="M13" s="505"/>
      <c r="N13" s="141">
        <v>45488</v>
      </c>
      <c r="O13" s="131"/>
      <c r="P13" s="141">
        <v>45490</v>
      </c>
      <c r="R13" s="194"/>
      <c r="S13" s="774"/>
      <c r="T13" s="774"/>
      <c r="U13" s="144"/>
    </row>
    <row r="14" spans="1:23" s="93" customFormat="1" ht="12.5">
      <c r="B14" s="157">
        <v>2</v>
      </c>
      <c r="C14" s="900" t="s">
        <v>102</v>
      </c>
      <c r="D14" s="901"/>
      <c r="E14" s="138">
        <v>0.25</v>
      </c>
      <c r="F14" s="139">
        <f t="shared" ref="F14:F17" si="0">$D$4*E14</f>
        <v>414686.90344774752</v>
      </c>
      <c r="G14" s="490"/>
      <c r="H14" s="141">
        <f>'Project Plan'!E22+7</f>
        <v>45567</v>
      </c>
      <c r="J14" s="144"/>
      <c r="L14" s="506" t="s">
        <v>103</v>
      </c>
      <c r="N14" s="141">
        <v>45567</v>
      </c>
      <c r="O14" s="131"/>
      <c r="P14" s="797">
        <f>N14+7</f>
        <v>45574</v>
      </c>
      <c r="R14" s="557"/>
      <c r="S14" s="775"/>
      <c r="T14" s="775"/>
      <c r="U14" s="144"/>
    </row>
    <row r="15" spans="1:23" s="93" customFormat="1" ht="12.5">
      <c r="B15" s="487">
        <v>3</v>
      </c>
      <c r="C15" s="898" t="s">
        <v>104</v>
      </c>
      <c r="D15" s="899"/>
      <c r="E15" s="138">
        <v>0.25</v>
      </c>
      <c r="F15" s="139">
        <f t="shared" si="0"/>
        <v>414686.90344774752</v>
      </c>
      <c r="G15" s="490"/>
      <c r="H15" s="141">
        <f>'Project Plan'!E35+7</f>
        <v>45588</v>
      </c>
      <c r="J15" s="144"/>
      <c r="L15" s="506" t="s">
        <v>105</v>
      </c>
      <c r="N15" s="141">
        <v>45586</v>
      </c>
      <c r="O15" s="131"/>
      <c r="P15" s="141">
        <f>N15+38</f>
        <v>45624</v>
      </c>
      <c r="R15" s="557"/>
      <c r="S15" s="775"/>
      <c r="T15" s="775"/>
      <c r="U15" s="144"/>
    </row>
    <row r="16" spans="1:23" s="93" customFormat="1" ht="12.5">
      <c r="B16" s="487">
        <v>4</v>
      </c>
      <c r="C16" s="898" t="s">
        <v>106</v>
      </c>
      <c r="D16" s="899"/>
      <c r="E16" s="138">
        <v>0.1</v>
      </c>
      <c r="F16" s="139">
        <f t="shared" si="0"/>
        <v>165874.76137909901</v>
      </c>
      <c r="G16" s="490"/>
      <c r="H16" s="141">
        <f>'Project Plan'!E39+7</f>
        <v>45628</v>
      </c>
      <c r="J16" s="144"/>
      <c r="L16" s="821" t="s">
        <v>107</v>
      </c>
      <c r="M16" s="131"/>
      <c r="N16" s="797">
        <v>45624</v>
      </c>
      <c r="O16" s="131"/>
      <c r="P16" s="141">
        <v>45684</v>
      </c>
      <c r="R16" s="557"/>
      <c r="S16" s="775"/>
      <c r="T16" s="775"/>
      <c r="U16" s="144"/>
    </row>
    <row r="17" spans="2:21" s="93" customFormat="1" ht="12.5">
      <c r="B17" s="487">
        <v>5</v>
      </c>
      <c r="C17" s="900" t="s">
        <v>54</v>
      </c>
      <c r="D17" s="901"/>
      <c r="E17" s="138">
        <v>0.05</v>
      </c>
      <c r="F17" s="139">
        <f t="shared" si="0"/>
        <v>82937.380689549507</v>
      </c>
      <c r="G17" s="490"/>
      <c r="H17" s="141">
        <f>'Project Plan'!E50+7</f>
        <v>45693</v>
      </c>
      <c r="J17" s="144"/>
      <c r="L17" s="821" t="s">
        <v>108</v>
      </c>
      <c r="N17" s="797">
        <v>45714</v>
      </c>
      <c r="O17" s="131"/>
      <c r="P17" s="141">
        <v>45946</v>
      </c>
      <c r="R17" s="557"/>
      <c r="S17" s="775"/>
      <c r="T17" s="775"/>
      <c r="U17" s="144"/>
    </row>
    <row r="18" spans="2:21" s="93" customFormat="1" ht="12.5">
      <c r="B18" s="487">
        <v>6</v>
      </c>
      <c r="C18" s="898" t="s">
        <v>109</v>
      </c>
      <c r="D18" s="899"/>
      <c r="E18" s="138">
        <v>0</v>
      </c>
      <c r="F18" s="139">
        <f>'Expenditure Breakdown'!R66+'Expenditure Breakdown'!R67+'Expenditure Breakdown'!R68</f>
        <v>85610.22</v>
      </c>
      <c r="G18" s="490"/>
      <c r="H18" s="141">
        <f>H16</f>
        <v>45628</v>
      </c>
      <c r="J18" s="144"/>
      <c r="L18" s="821" t="s">
        <v>107</v>
      </c>
      <c r="M18" s="140"/>
      <c r="N18" s="797">
        <v>45624</v>
      </c>
      <c r="O18" s="131"/>
      <c r="P18" s="141">
        <f>P16</f>
        <v>45684</v>
      </c>
      <c r="R18" s="557"/>
      <c r="S18" s="775"/>
      <c r="T18" s="775"/>
      <c r="U18" s="144"/>
    </row>
    <row r="19" spans="2:21" s="93" customFormat="1" ht="12.5">
      <c r="B19" s="487">
        <v>7</v>
      </c>
      <c r="C19" s="898" t="s">
        <v>110</v>
      </c>
      <c r="D19" s="899"/>
      <c r="E19" s="138">
        <v>0</v>
      </c>
      <c r="F19" s="139">
        <v>-15277.28</v>
      </c>
      <c r="G19" s="490"/>
      <c r="H19" s="141"/>
      <c r="J19" s="144"/>
      <c r="L19" s="887" t="s">
        <v>111</v>
      </c>
      <c r="N19" s="797">
        <v>46045</v>
      </c>
      <c r="O19" s="131"/>
      <c r="P19" s="142">
        <v>46080</v>
      </c>
      <c r="R19" s="557"/>
      <c r="S19" s="773"/>
      <c r="T19" s="773"/>
      <c r="U19" s="144"/>
    </row>
    <row r="20" spans="2:21" s="93" customFormat="1" ht="9" customHeight="1">
      <c r="B20" s="119"/>
      <c r="E20" s="143"/>
      <c r="F20" s="118"/>
      <c r="H20" s="493"/>
      <c r="J20" s="144"/>
      <c r="U20" s="144"/>
    </row>
    <row r="21" spans="2:21" s="93" customFormat="1" ht="13">
      <c r="B21" s="119"/>
      <c r="E21" s="494">
        <f>SUM(E13:E19)</f>
        <v>1</v>
      </c>
      <c r="F21" s="495">
        <f>SUM(F13:F19)</f>
        <v>1729080.5537909898</v>
      </c>
      <c r="J21" s="144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112</v>
      </c>
      <c r="C23" s="148" t="s">
        <v>113</v>
      </c>
      <c r="D23" s="148"/>
      <c r="F23" s="149"/>
    </row>
    <row r="24" spans="2:21" s="93" customFormat="1" ht="12.5">
      <c r="C24" s="150" t="s">
        <v>114</v>
      </c>
      <c r="D24" s="151"/>
      <c r="F24" s="152"/>
    </row>
    <row r="25" spans="2:21" s="93" customFormat="1" ht="12.5">
      <c r="C25" s="150" t="s">
        <v>115</v>
      </c>
      <c r="D25" s="151"/>
    </row>
    <row r="26" spans="2:21" s="93" customFormat="1" ht="12.5">
      <c r="C26" s="153" t="s">
        <v>116</v>
      </c>
      <c r="D26" s="154"/>
    </row>
    <row r="27" spans="2:21" s="93" customFormat="1" ht="12.5">
      <c r="C27" s="155" t="s">
        <v>117</v>
      </c>
      <c r="D27" s="151"/>
    </row>
    <row r="28" spans="2:21" s="93" customFormat="1" ht="12.5">
      <c r="B28" s="119"/>
      <c r="C28" s="155" t="s">
        <v>118</v>
      </c>
      <c r="D28" s="151"/>
    </row>
    <row r="29" spans="2:21" s="93" customFormat="1" ht="12.5">
      <c r="B29" s="119"/>
      <c r="C29" s="93" t="s">
        <v>119</v>
      </c>
    </row>
    <row r="30" spans="2:21" s="93" customFormat="1" ht="27.75" customHeight="1">
      <c r="B30" s="119"/>
      <c r="C30" s="156" t="s">
        <v>120</v>
      </c>
      <c r="D30" s="156"/>
      <c r="F30" s="152"/>
    </row>
    <row r="31" spans="2:21" s="93" customFormat="1" ht="12.5">
      <c r="B31" s="119"/>
      <c r="F31" s="149"/>
    </row>
    <row r="32" spans="2:21" s="93" customFormat="1" ht="12.5">
      <c r="B32" s="119"/>
      <c r="F32" s="149"/>
    </row>
    <row r="33" spans="2:6" s="93" customFormat="1" ht="12.5">
      <c r="B33" s="119"/>
      <c r="F33" s="149"/>
    </row>
    <row r="34" spans="2:6" s="93" customFormat="1" ht="12.5">
      <c r="B34" s="119"/>
      <c r="F34" s="149"/>
    </row>
    <row r="35" spans="2:6" s="93" customFormat="1" ht="12.5">
      <c r="B35" s="119"/>
    </row>
    <row r="36" spans="2:6" s="93" customFormat="1" ht="12.5">
      <c r="B36" s="119"/>
    </row>
    <row r="37" spans="2:6" s="93" customFormat="1" ht="12.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</row>
    <row r="41" spans="2:6" s="93" customFormat="1" ht="12.75" hidden="1" customHeight="1">
      <c r="B41" s="157">
        <v>1</v>
      </c>
      <c r="C41" s="158" t="s">
        <v>121</v>
      </c>
      <c r="D41" s="158"/>
      <c r="E41" s="138">
        <v>0.35</v>
      </c>
      <c r="F41" s="139">
        <f>$F$47*E41</f>
        <v>605178.19382684643</v>
      </c>
    </row>
    <row r="42" spans="2:6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518724.16613729694</v>
      </c>
    </row>
    <row r="43" spans="2:6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345816.11075819796</v>
      </c>
    </row>
    <row r="44" spans="2:6" s="93" customFormat="1" ht="12.75" hidden="1" customHeight="1">
      <c r="B44" s="157">
        <v>4</v>
      </c>
      <c r="C44" s="158" t="s">
        <v>122</v>
      </c>
      <c r="D44" s="158"/>
      <c r="E44" s="138">
        <v>0.1</v>
      </c>
      <c r="F44" s="139">
        <f t="shared" si="1"/>
        <v>172908.05537909898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86454.02768954949</v>
      </c>
    </row>
    <row r="46" spans="2:6" s="93" customFormat="1" ht="13.5" hidden="1" customHeight="1" thickBot="1">
      <c r="B46" s="163"/>
      <c r="C46" s="164" t="s">
        <v>123</v>
      </c>
      <c r="D46" s="164"/>
      <c r="E46" s="165">
        <f>SUM(E41:E45)</f>
        <v>0.99999999999999989</v>
      </c>
      <c r="F46" s="166">
        <f>SUM(F41:F45)</f>
        <v>1729080.5537909898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1729080.5537909898</v>
      </c>
    </row>
    <row r="48" spans="2:6" s="93" customFormat="1" ht="12.75" hidden="1" customHeight="1">
      <c r="B48" s="119"/>
    </row>
    <row r="49" spans="2:2" s="93" customFormat="1" ht="12.5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zoomScale="115" zoomScaleNormal="115" workbookViewId="0">
      <selection activeCell="E7" sqref="E7"/>
    </sheetView>
  </sheetViews>
  <sheetFormatPr defaultColWidth="8.453125" defaultRowHeight="14"/>
  <cols>
    <col min="1" max="1" width="1.453125" style="114" customWidth="1"/>
    <col min="2" max="2" width="6.453125" style="190" bestFit="1" customWidth="1"/>
    <col min="3" max="3" width="50.54296875" style="24" bestFit="1" customWidth="1"/>
    <col min="4" max="4" width="3.453125" style="114" customWidth="1"/>
    <col min="5" max="5" width="15.453125" style="24" bestFit="1" customWidth="1"/>
    <col min="6" max="6" width="10.453125" style="187" customWidth="1"/>
    <col min="7" max="7" width="13.54296875" style="64" customWidth="1"/>
    <col min="8" max="8" width="5" style="114" customWidth="1"/>
    <col min="9" max="9" width="13.453125" style="114" customWidth="1"/>
    <col min="10" max="10" width="11.453125" style="115" customWidth="1"/>
    <col min="11" max="11" width="14.54296875" style="114" customWidth="1"/>
    <col min="12" max="12" width="2.453125" style="114" customWidth="1"/>
    <col min="13" max="13" width="12.54296875" style="114" customWidth="1"/>
    <col min="14" max="14" width="11.1796875" style="114" bestFit="1" customWidth="1"/>
    <col min="15" max="15" width="39.453125" style="114" bestFit="1" customWidth="1"/>
    <col min="16" max="16" width="1.453125" style="114" customWidth="1"/>
    <col min="17" max="17" width="5.54296875" style="3" customWidth="1"/>
    <col min="18" max="25" width="8.453125" style="114"/>
    <col min="26" max="16384" width="8.453125" style="24"/>
  </cols>
  <sheetData>
    <row r="1" spans="2:28" s="114" customFormat="1" ht="4.5" customHeight="1">
      <c r="B1" s="186"/>
      <c r="F1" s="187"/>
      <c r="G1" s="115"/>
      <c r="J1" s="115"/>
      <c r="N1" s="606">
        <v>45943</v>
      </c>
      <c r="O1" s="606">
        <v>45943</v>
      </c>
      <c r="Q1" s="3"/>
    </row>
    <row r="2" spans="2:28">
      <c r="B2" s="225"/>
      <c r="C2" s="226" t="s">
        <v>0</v>
      </c>
      <c r="D2" s="227"/>
      <c r="E2" s="902" t="s">
        <v>124</v>
      </c>
      <c r="F2" s="903"/>
      <c r="G2" s="903"/>
      <c r="H2" s="904"/>
      <c r="N2" s="607">
        <v>0</v>
      </c>
      <c r="O2" s="607">
        <v>1</v>
      </c>
    </row>
    <row r="3" spans="2:28" s="114" customFormat="1">
      <c r="B3" s="228"/>
      <c r="C3" s="229" t="s">
        <v>125</v>
      </c>
      <c r="D3" s="227"/>
      <c r="E3" s="648">
        <v>157</v>
      </c>
      <c r="F3" s="230"/>
      <c r="G3" s="231"/>
      <c r="H3" s="232"/>
      <c r="J3" s="115"/>
      <c r="Q3" s="3"/>
    </row>
    <row r="4" spans="2:28" s="114" customFormat="1">
      <c r="B4" s="228"/>
      <c r="C4" s="229" t="s">
        <v>126</v>
      </c>
      <c r="D4" s="227"/>
      <c r="E4" s="905" t="s">
        <v>127</v>
      </c>
      <c r="F4" s="906"/>
      <c r="G4" s="906"/>
      <c r="H4" s="907"/>
      <c r="J4" s="115"/>
      <c r="Q4" s="3"/>
    </row>
    <row r="5" spans="2:28" s="114" customFormat="1">
      <c r="B5" s="228"/>
      <c r="C5" s="229" t="s">
        <v>128</v>
      </c>
      <c r="D5" s="227"/>
      <c r="E5" s="905" t="s">
        <v>129</v>
      </c>
      <c r="F5" s="906"/>
      <c r="G5" s="906"/>
      <c r="H5" s="907"/>
      <c r="J5" s="115"/>
      <c r="Q5" s="3"/>
    </row>
    <row r="6" spans="2:28">
      <c r="B6" s="233"/>
      <c r="C6" s="234" t="s">
        <v>130</v>
      </c>
      <c r="D6" s="227"/>
      <c r="E6" s="730">
        <v>1658747.6137909901</v>
      </c>
      <c r="F6" s="715"/>
      <c r="G6" s="715"/>
      <c r="H6" s="716"/>
    </row>
    <row r="7" spans="2:28" s="114" customFormat="1">
      <c r="B7" s="186"/>
      <c r="C7" s="886" t="s">
        <v>131</v>
      </c>
      <c r="D7" s="178"/>
      <c r="E7" s="616" t="s">
        <v>132</v>
      </c>
      <c r="F7" s="187"/>
      <c r="G7" s="235"/>
      <c r="J7" s="115"/>
      <c r="Q7" s="3"/>
    </row>
    <row r="8" spans="2:28" ht="30" customHeight="1">
      <c r="B8" s="912" t="s">
        <v>91</v>
      </c>
      <c r="C8" s="913" t="s">
        <v>133</v>
      </c>
      <c r="D8" s="264"/>
      <c r="E8" s="910" t="s">
        <v>134</v>
      </c>
      <c r="F8" s="286" t="s">
        <v>135</v>
      </c>
      <c r="G8" s="910" t="s">
        <v>136</v>
      </c>
      <c r="H8" s="287"/>
      <c r="I8" s="910" t="s">
        <v>137</v>
      </c>
      <c r="J8" s="286" t="s">
        <v>135</v>
      </c>
      <c r="K8" s="910" t="s">
        <v>138</v>
      </c>
      <c r="M8" s="647" t="s">
        <v>60</v>
      </c>
      <c r="O8" s="908" t="s">
        <v>139</v>
      </c>
      <c r="Z8" s="114"/>
      <c r="AA8" s="114"/>
      <c r="AB8" s="114"/>
    </row>
    <row r="9" spans="2:28">
      <c r="B9" s="913"/>
      <c r="C9" s="914"/>
      <c r="D9" s="264"/>
      <c r="E9" s="911"/>
      <c r="F9" s="128">
        <v>65</v>
      </c>
      <c r="G9" s="911"/>
      <c r="H9" s="287"/>
      <c r="I9" s="911"/>
      <c r="J9" s="129">
        <v>65</v>
      </c>
      <c r="K9" s="911"/>
      <c r="M9" s="497">
        <v>1</v>
      </c>
      <c r="N9" s="497">
        <v>1</v>
      </c>
      <c r="O9" s="909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140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6">
        <v>1</v>
      </c>
      <c r="N11" s="496">
        <v>1</v>
      </c>
      <c r="O11" s="121"/>
      <c r="P11" s="114"/>
      <c r="Q11" s="122"/>
    </row>
    <row r="12" spans="2:28" s="114" customFormat="1">
      <c r="B12" s="297" t="s">
        <v>141</v>
      </c>
      <c r="C12" s="298" t="s">
        <v>142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4">
        <v>1</v>
      </c>
      <c r="N12" s="304">
        <v>1</v>
      </c>
      <c r="O12" s="124"/>
      <c r="Q12" s="3"/>
    </row>
    <row r="13" spans="2:28" s="114" customFormat="1">
      <c r="B13" s="297" t="s">
        <v>143</v>
      </c>
      <c r="C13" s="298" t="s">
        <v>144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4">
        <v>1</v>
      </c>
      <c r="N13" s="304">
        <v>1</v>
      </c>
      <c r="O13" s="124"/>
      <c r="Q13" s="3"/>
    </row>
    <row r="14" spans="2:28" s="114" customFormat="1">
      <c r="B14" s="297" t="s">
        <v>145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4">
        <v>1</v>
      </c>
      <c r="N14" s="304">
        <v>1</v>
      </c>
      <c r="O14" s="124"/>
      <c r="Q14" s="3"/>
    </row>
    <row r="15" spans="2:28" s="114" customFormat="1">
      <c r="B15" s="297" t="s">
        <v>146</v>
      </c>
      <c r="C15" s="298" t="s">
        <v>147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4">
        <v>1</v>
      </c>
      <c r="N15" s="304">
        <v>1</v>
      </c>
      <c r="O15" s="124"/>
      <c r="Q15" s="3"/>
    </row>
    <row r="16" spans="2:28" s="114" customFormat="1">
      <c r="B16" s="297" t="s">
        <v>148</v>
      </c>
      <c r="C16" s="298" t="s">
        <v>149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4">
        <v>1</v>
      </c>
      <c r="N16" s="304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>
      <c r="B18" s="293">
        <v>2</v>
      </c>
      <c r="C18" s="294" t="s">
        <v>150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6">
        <v>1</v>
      </c>
      <c r="N18" s="496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7" t="s">
        <v>151</v>
      </c>
      <c r="C19" s="298" t="s">
        <v>152</v>
      </c>
      <c r="D19" s="264"/>
      <c r="E19" s="651">
        <v>45560</v>
      </c>
      <c r="F19" s="300">
        <v>1</v>
      </c>
      <c r="G19" s="299">
        <v>45561</v>
      </c>
      <c r="H19" s="287"/>
      <c r="I19" s="651">
        <v>45560</v>
      </c>
      <c r="J19" s="300">
        <v>1</v>
      </c>
      <c r="K19" s="299">
        <v>45561</v>
      </c>
      <c r="M19" s="304">
        <v>1</v>
      </c>
      <c r="N19" s="304">
        <v>1</v>
      </c>
      <c r="O19" s="124"/>
      <c r="Q19" s="126"/>
      <c r="R19" s="123"/>
      <c r="S19" s="123">
        <v>88</v>
      </c>
      <c r="T19" s="123" t="s">
        <v>153</v>
      </c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301"/>
      <c r="C20" s="266"/>
      <c r="D20" s="264"/>
      <c r="E20" s="299"/>
      <c r="F20" s="300"/>
      <c r="G20" s="299"/>
      <c r="H20" s="287"/>
      <c r="I20" s="299"/>
      <c r="J20" s="300"/>
      <c r="K20" s="299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>
      <c r="B21" s="293">
        <v>3</v>
      </c>
      <c r="C21" s="294" t="s">
        <v>154</v>
      </c>
      <c r="D21" s="268"/>
      <c r="E21" s="295">
        <v>45577</v>
      </c>
      <c r="F21" s="296">
        <v>19</v>
      </c>
      <c r="G21" s="295">
        <v>45596</v>
      </c>
      <c r="H21" s="302"/>
      <c r="I21" s="295">
        <v>45577</v>
      </c>
      <c r="J21" s="296">
        <v>19</v>
      </c>
      <c r="K21" s="295">
        <v>45596</v>
      </c>
      <c r="M21" s="496">
        <v>1</v>
      </c>
      <c r="N21" s="496">
        <v>1</v>
      </c>
      <c r="O21" s="121"/>
      <c r="P21" s="114"/>
      <c r="Q21" s="125"/>
      <c r="R21" s="120"/>
      <c r="S21" s="727">
        <v>17.600000000000001</v>
      </c>
      <c r="T21" s="120" t="s">
        <v>155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7" t="s">
        <v>156</v>
      </c>
      <c r="C22" s="298" t="s">
        <v>157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4">
        <v>1</v>
      </c>
      <c r="N22" s="304">
        <v>1</v>
      </c>
      <c r="O22" s="124"/>
      <c r="Q22" s="126"/>
      <c r="R22" s="123"/>
      <c r="S22" s="728">
        <v>8.920454545454545</v>
      </c>
      <c r="T22" s="123" t="s">
        <v>158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7" t="s">
        <v>159</v>
      </c>
      <c r="C23" s="298" t="s">
        <v>160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4">
        <v>1</v>
      </c>
      <c r="N23" s="304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161</v>
      </c>
      <c r="C24" s="298" t="s">
        <v>162</v>
      </c>
      <c r="D24" s="264"/>
      <c r="E24" s="651">
        <v>45553</v>
      </c>
      <c r="F24" s="300">
        <v>20</v>
      </c>
      <c r="G24" s="299">
        <v>45582</v>
      </c>
      <c r="H24" s="287"/>
      <c r="I24" s="651">
        <v>45553</v>
      </c>
      <c r="J24" s="300">
        <v>20</v>
      </c>
      <c r="K24" s="299">
        <v>45582</v>
      </c>
      <c r="M24" s="304">
        <v>1</v>
      </c>
      <c r="N24" s="304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163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4">
        <v>1</v>
      </c>
      <c r="N25" s="304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164</v>
      </c>
      <c r="C26" s="298" t="s">
        <v>165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4">
        <v>1</v>
      </c>
      <c r="N26" s="304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301"/>
      <c r="C27" s="266"/>
      <c r="D27" s="264"/>
      <c r="E27" s="299"/>
      <c r="F27" s="300"/>
      <c r="G27" s="299"/>
      <c r="H27" s="287"/>
      <c r="I27" s="299"/>
      <c r="J27" s="300"/>
      <c r="K27" s="299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293">
        <v>4</v>
      </c>
      <c r="C28" s="294" t="s">
        <v>34</v>
      </c>
      <c r="D28" s="268"/>
      <c r="E28" s="295">
        <v>45560</v>
      </c>
      <c r="F28" s="296">
        <v>61</v>
      </c>
      <c r="G28" s="295">
        <v>45621</v>
      </c>
      <c r="H28" s="302"/>
      <c r="I28" s="295">
        <v>45560</v>
      </c>
      <c r="J28" s="296">
        <v>61</v>
      </c>
      <c r="K28" s="295">
        <v>45621</v>
      </c>
      <c r="M28" s="496">
        <v>1</v>
      </c>
      <c r="N28" s="496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7" t="s">
        <v>166</v>
      </c>
      <c r="C29" s="298" t="s">
        <v>167</v>
      </c>
      <c r="D29" s="264"/>
      <c r="E29" s="299">
        <v>45560</v>
      </c>
      <c r="F29" s="300">
        <v>1</v>
      </c>
      <c r="G29" s="299">
        <v>45561</v>
      </c>
      <c r="H29" s="287"/>
      <c r="I29" s="299">
        <v>45560</v>
      </c>
      <c r="J29" s="300">
        <v>1</v>
      </c>
      <c r="K29" s="299">
        <v>45561</v>
      </c>
      <c r="M29" s="304">
        <v>1</v>
      </c>
      <c r="N29" s="304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7" t="s">
        <v>168</v>
      </c>
      <c r="C30" s="298" t="s">
        <v>169</v>
      </c>
      <c r="D30" s="264"/>
      <c r="E30" s="299">
        <v>45560</v>
      </c>
      <c r="F30" s="300">
        <v>8</v>
      </c>
      <c r="G30" s="299">
        <v>45572</v>
      </c>
      <c r="H30" s="287"/>
      <c r="I30" s="299">
        <v>45560</v>
      </c>
      <c r="J30" s="300">
        <v>8</v>
      </c>
      <c r="K30" s="299">
        <v>45572</v>
      </c>
      <c r="M30" s="304">
        <v>1</v>
      </c>
      <c r="N30" s="304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170</v>
      </c>
      <c r="C31" s="298" t="s">
        <v>171</v>
      </c>
      <c r="D31" s="264"/>
      <c r="E31" s="299">
        <v>45560</v>
      </c>
      <c r="F31" s="300">
        <v>1</v>
      </c>
      <c r="G31" s="299">
        <v>45561</v>
      </c>
      <c r="H31" s="287"/>
      <c r="I31" s="299">
        <v>45560</v>
      </c>
      <c r="J31" s="300">
        <v>1</v>
      </c>
      <c r="K31" s="299">
        <v>45561</v>
      </c>
      <c r="M31" s="304">
        <v>1</v>
      </c>
      <c r="N31" s="304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170</v>
      </c>
      <c r="C32" s="298" t="s">
        <v>172</v>
      </c>
      <c r="D32" s="264"/>
      <c r="E32" s="299">
        <v>45595</v>
      </c>
      <c r="F32" s="300">
        <v>5</v>
      </c>
      <c r="G32" s="299">
        <v>45602</v>
      </c>
      <c r="H32" s="287"/>
      <c r="I32" s="299">
        <v>45595</v>
      </c>
      <c r="J32" s="300">
        <v>5</v>
      </c>
      <c r="K32" s="299">
        <v>45602</v>
      </c>
      <c r="M32" s="304">
        <v>1</v>
      </c>
      <c r="N32" s="304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301"/>
      <c r="C33" s="266"/>
      <c r="D33" s="264"/>
      <c r="E33" s="299"/>
      <c r="F33" s="300"/>
      <c r="G33" s="299"/>
      <c r="H33" s="287"/>
      <c r="I33" s="299"/>
      <c r="J33" s="300"/>
      <c r="K33" s="299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>
      <c r="B34" s="293">
        <v>5</v>
      </c>
      <c r="C34" s="294" t="s">
        <v>173</v>
      </c>
      <c r="D34" s="268"/>
      <c r="E34" s="295">
        <v>45581</v>
      </c>
      <c r="F34" s="296">
        <v>40</v>
      </c>
      <c r="G34" s="295">
        <v>45621</v>
      </c>
      <c r="H34" s="269"/>
      <c r="I34" s="295">
        <v>45581</v>
      </c>
      <c r="J34" s="296">
        <v>40</v>
      </c>
      <c r="K34" s="295">
        <v>45621</v>
      </c>
      <c r="M34" s="496">
        <v>1</v>
      </c>
      <c r="N34" s="496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7" t="s">
        <v>174</v>
      </c>
      <c r="C35" s="298" t="s">
        <v>175</v>
      </c>
      <c r="D35" s="264"/>
      <c r="E35" s="299">
        <v>45581</v>
      </c>
      <c r="F35" s="300">
        <v>1</v>
      </c>
      <c r="G35" s="299">
        <v>45582</v>
      </c>
      <c r="H35" s="287"/>
      <c r="I35" s="299">
        <v>45581</v>
      </c>
      <c r="J35" s="300">
        <v>1</v>
      </c>
      <c r="K35" s="299">
        <v>45582</v>
      </c>
      <c r="M35" s="304">
        <v>1</v>
      </c>
      <c r="N35" s="304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7" t="s">
        <v>176</v>
      </c>
      <c r="C36" s="298" t="s">
        <v>177</v>
      </c>
      <c r="D36" s="264"/>
      <c r="E36" s="299">
        <v>45581</v>
      </c>
      <c r="F36" s="300">
        <v>10</v>
      </c>
      <c r="G36" s="299">
        <v>45595</v>
      </c>
      <c r="H36" s="287"/>
      <c r="I36" s="299">
        <v>45581</v>
      </c>
      <c r="J36" s="300">
        <v>10</v>
      </c>
      <c r="K36" s="299">
        <v>45595</v>
      </c>
      <c r="M36" s="304">
        <v>1</v>
      </c>
      <c r="N36" s="304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8"/>
      <c r="C37" s="264"/>
      <c r="D37" s="264"/>
      <c r="E37" s="300"/>
      <c r="F37" s="289"/>
      <c r="G37" s="300"/>
      <c r="H37" s="287"/>
      <c r="I37" s="300"/>
      <c r="J37" s="289"/>
      <c r="K37" s="300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>
      <c r="B38" s="293">
        <v>6</v>
      </c>
      <c r="C38" s="294" t="s">
        <v>178</v>
      </c>
      <c r="D38" s="268"/>
      <c r="E38" s="295">
        <v>45621</v>
      </c>
      <c r="F38" s="296">
        <v>9</v>
      </c>
      <c r="G38" s="295">
        <v>45630</v>
      </c>
      <c r="H38" s="269"/>
      <c r="I38" s="295">
        <v>45621</v>
      </c>
      <c r="J38" s="296">
        <v>9</v>
      </c>
      <c r="K38" s="295">
        <v>45630</v>
      </c>
      <c r="M38" s="496">
        <v>1</v>
      </c>
      <c r="N38" s="496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7" t="s">
        <v>179</v>
      </c>
      <c r="C39" s="292" t="s">
        <v>178</v>
      </c>
      <c r="D39" s="264"/>
      <c r="E39" s="303">
        <v>45621</v>
      </c>
      <c r="F39" s="300">
        <v>1</v>
      </c>
      <c r="G39" s="299">
        <v>45622</v>
      </c>
      <c r="H39" s="265"/>
      <c r="I39" s="303">
        <v>45621</v>
      </c>
      <c r="J39" s="300">
        <v>1</v>
      </c>
      <c r="K39" s="299">
        <v>45622</v>
      </c>
      <c r="M39" s="304">
        <v>1</v>
      </c>
      <c r="N39" s="304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7" t="s">
        <v>180</v>
      </c>
      <c r="C40" s="292" t="s">
        <v>106</v>
      </c>
      <c r="D40" s="264"/>
      <c r="E40" s="303">
        <v>45621</v>
      </c>
      <c r="F40" s="300">
        <v>4</v>
      </c>
      <c r="G40" s="299">
        <v>45625</v>
      </c>
      <c r="H40" s="287"/>
      <c r="I40" s="303">
        <v>45621</v>
      </c>
      <c r="J40" s="300">
        <v>4</v>
      </c>
      <c r="K40" s="299">
        <v>45625</v>
      </c>
      <c r="M40" s="304">
        <v>1</v>
      </c>
      <c r="N40" s="304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8"/>
      <c r="C41" s="264"/>
      <c r="D41" s="264"/>
      <c r="E41" s="300"/>
      <c r="F41" s="289"/>
      <c r="G41" s="300"/>
      <c r="H41" s="287"/>
      <c r="I41" s="300"/>
      <c r="J41" s="289"/>
      <c r="K41" s="300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>
      <c r="B42" s="293">
        <v>7</v>
      </c>
      <c r="C42" s="294" t="s">
        <v>181</v>
      </c>
      <c r="D42" s="268"/>
      <c r="E42" s="295">
        <v>45630</v>
      </c>
      <c r="F42" s="296">
        <v>9</v>
      </c>
      <c r="G42" s="295">
        <v>45639</v>
      </c>
      <c r="H42" s="269"/>
      <c r="I42" s="295">
        <v>45630</v>
      </c>
      <c r="J42" s="296">
        <v>9</v>
      </c>
      <c r="K42" s="295">
        <v>45639</v>
      </c>
      <c r="M42" s="496">
        <v>1</v>
      </c>
      <c r="N42" s="496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7">
        <v>7.1</v>
      </c>
      <c r="C43" s="292" t="s">
        <v>182</v>
      </c>
      <c r="D43" s="264"/>
      <c r="E43" s="303">
        <v>45625</v>
      </c>
      <c r="F43" s="300">
        <v>3</v>
      </c>
      <c r="G43" s="303">
        <v>45630</v>
      </c>
      <c r="H43" s="287"/>
      <c r="I43" s="303">
        <v>45625</v>
      </c>
      <c r="J43" s="300">
        <v>3</v>
      </c>
      <c r="K43" s="303">
        <v>45630</v>
      </c>
      <c r="M43" s="304">
        <v>1</v>
      </c>
      <c r="N43" s="304">
        <v>1</v>
      </c>
      <c r="O43" s="124"/>
      <c r="Y43" s="24"/>
    </row>
    <row r="44" spans="2:28" s="114" customFormat="1" ht="4.5" customHeight="1">
      <c r="B44" s="288"/>
      <c r="C44" s="264"/>
      <c r="D44" s="264"/>
      <c r="E44" s="300"/>
      <c r="F44" s="289"/>
      <c r="G44" s="300"/>
      <c r="H44" s="287"/>
      <c r="I44" s="300"/>
      <c r="J44" s="289"/>
      <c r="K44" s="300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3">
        <v>8</v>
      </c>
      <c r="C45" s="294" t="s">
        <v>183</v>
      </c>
      <c r="D45" s="268"/>
      <c r="E45" s="295">
        <v>45636</v>
      </c>
      <c r="F45" s="296">
        <v>50</v>
      </c>
      <c r="G45" s="295">
        <v>45686</v>
      </c>
      <c r="H45" s="269"/>
      <c r="I45" s="295">
        <v>45636</v>
      </c>
      <c r="J45" s="296">
        <v>50</v>
      </c>
      <c r="K45" s="295">
        <v>45686</v>
      </c>
      <c r="M45" s="496">
        <v>1</v>
      </c>
      <c r="N45" s="496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7">
        <v>8.1</v>
      </c>
      <c r="C46" s="292" t="s">
        <v>184</v>
      </c>
      <c r="D46" s="264"/>
      <c r="E46" s="303">
        <v>45630</v>
      </c>
      <c r="F46" s="300">
        <v>1</v>
      </c>
      <c r="G46" s="303">
        <v>45631</v>
      </c>
      <c r="H46" s="287"/>
      <c r="I46" s="303">
        <v>45630</v>
      </c>
      <c r="J46" s="300">
        <v>1</v>
      </c>
      <c r="K46" s="303">
        <v>45631</v>
      </c>
      <c r="M46" s="304">
        <v>1</v>
      </c>
      <c r="N46" s="304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7">
        <v>8.1999999999999993</v>
      </c>
      <c r="C47" s="292" t="s">
        <v>185</v>
      </c>
      <c r="D47" s="264"/>
      <c r="E47" s="303">
        <v>45631</v>
      </c>
      <c r="F47" s="300">
        <v>5</v>
      </c>
      <c r="G47" s="303">
        <v>45638</v>
      </c>
      <c r="H47" s="287"/>
      <c r="I47" s="303">
        <v>45631</v>
      </c>
      <c r="J47" s="300">
        <v>33</v>
      </c>
      <c r="K47" s="303">
        <v>45681</v>
      </c>
      <c r="M47" s="304">
        <v>1</v>
      </c>
      <c r="N47" s="304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7">
        <v>8.3000000000000007</v>
      </c>
      <c r="C48" s="292" t="s">
        <v>186</v>
      </c>
      <c r="D48" s="264"/>
      <c r="E48" s="303">
        <v>45638</v>
      </c>
      <c r="F48" s="300">
        <v>5</v>
      </c>
      <c r="G48" s="303">
        <v>45646</v>
      </c>
      <c r="H48" s="287"/>
      <c r="I48" s="303">
        <v>45638</v>
      </c>
      <c r="J48" s="300">
        <v>5</v>
      </c>
      <c r="K48" s="303">
        <v>45646</v>
      </c>
      <c r="M48" s="304">
        <v>1</v>
      </c>
      <c r="N48" s="304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7">
        <v>8.4</v>
      </c>
      <c r="C49" s="292" t="s">
        <v>187</v>
      </c>
      <c r="D49" s="264"/>
      <c r="E49" s="303">
        <v>45638</v>
      </c>
      <c r="F49" s="300">
        <v>5</v>
      </c>
      <c r="G49" s="303">
        <v>45646</v>
      </c>
      <c r="H49" s="287"/>
      <c r="I49" s="303">
        <v>45638</v>
      </c>
      <c r="J49" s="300">
        <v>5</v>
      </c>
      <c r="K49" s="303">
        <v>45646</v>
      </c>
      <c r="M49" s="304">
        <v>1</v>
      </c>
      <c r="N49" s="304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7">
        <v>8.5</v>
      </c>
      <c r="C50" s="292" t="s">
        <v>188</v>
      </c>
      <c r="D50" s="264"/>
      <c r="E50" s="303">
        <v>45686</v>
      </c>
      <c r="F50" s="300">
        <v>1</v>
      </c>
      <c r="G50" s="303">
        <v>45686</v>
      </c>
      <c r="H50" s="287"/>
      <c r="I50" s="303">
        <v>45708</v>
      </c>
      <c r="J50" s="300">
        <v>1</v>
      </c>
      <c r="K50" s="303">
        <v>45708</v>
      </c>
      <c r="M50" s="304">
        <v>1</v>
      </c>
      <c r="N50" s="304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7">
        <v>8.6</v>
      </c>
      <c r="C51" s="292" t="s">
        <v>189</v>
      </c>
      <c r="D51" s="264"/>
      <c r="E51" s="303">
        <v>45627</v>
      </c>
      <c r="F51" s="300">
        <v>1</v>
      </c>
      <c r="G51" s="303">
        <v>45628</v>
      </c>
      <c r="H51" s="287"/>
      <c r="I51" s="303">
        <v>45776</v>
      </c>
      <c r="J51" s="300">
        <v>1</v>
      </c>
      <c r="K51" s="303">
        <v>45777</v>
      </c>
      <c r="M51" s="304">
        <v>1</v>
      </c>
      <c r="N51" s="304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8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B8:B9"/>
    <mergeCell ref="C8:C9"/>
    <mergeCell ref="E8:E9"/>
    <mergeCell ref="G8:G9"/>
    <mergeCell ref="I8:I9"/>
    <mergeCell ref="E2:H2"/>
    <mergeCell ref="E4:H4"/>
    <mergeCell ref="E5:H5"/>
    <mergeCell ref="O8:O9"/>
    <mergeCell ref="K8:K9"/>
  </mergeCells>
  <phoneticPr fontId="19" type="noConversion"/>
  <conditionalFormatting sqref="M19:N20 M12:N17 M22:N27 M29:N33 M35:N37 M39:N41 M43:N44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activeCell="G7" sqref="G7"/>
      <selection pane="bottomLeft" activeCell="H9" sqref="H9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1.453125" style="24" customWidth="1"/>
    <col min="10" max="10" width="18.453125" style="24" customWidth="1"/>
    <col min="11" max="11" width="3.453125" style="24" customWidth="1"/>
    <col min="12" max="12" width="21.54296875" style="24" customWidth="1"/>
    <col min="13" max="13" width="2" style="24" customWidth="1"/>
    <col min="14" max="14" width="24.453125" style="24" customWidth="1"/>
    <col min="15" max="15" width="2" style="24" customWidth="1"/>
    <col min="16" max="16" width="53.453125" style="24" customWidth="1"/>
    <col min="17" max="16384" width="8.453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190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5" thickBot="1">
      <c r="A4" s="264"/>
      <c r="B4" s="915"/>
      <c r="C4" s="915"/>
      <c r="D4" s="915"/>
      <c r="E4" s="649"/>
      <c r="F4" s="269" t="s">
        <v>191</v>
      </c>
      <c r="G4" s="264"/>
      <c r="H4" s="269" t="s">
        <v>74</v>
      </c>
      <c r="I4" s="264"/>
      <c r="J4" s="269" t="s">
        <v>75</v>
      </c>
      <c r="K4" s="264"/>
      <c r="L4" s="270" t="s">
        <v>192</v>
      </c>
      <c r="M4" s="114"/>
      <c r="N4" s="270" t="s">
        <v>193</v>
      </c>
      <c r="O4" s="114"/>
      <c r="P4" s="114"/>
    </row>
    <row r="5" spans="1:16" ht="14.5" thickBot="1">
      <c r="A5" s="264"/>
      <c r="B5" s="916" t="s">
        <v>194</v>
      </c>
      <c r="C5" s="916"/>
      <c r="D5" s="916"/>
      <c r="E5" s="649"/>
      <c r="F5" s="271">
        <f>SUM(F9:F23)</f>
        <v>1414650.52</v>
      </c>
      <c r="G5" s="266"/>
      <c r="H5" s="271">
        <f>SUM(H9:H23)</f>
        <v>1374853.7251723872</v>
      </c>
      <c r="I5" s="266"/>
      <c r="J5" s="271">
        <f>SUM(J9:J23)</f>
        <v>1424359.4399999997</v>
      </c>
      <c r="K5" s="264"/>
      <c r="L5" s="272">
        <f>SUM(L9:L23)</f>
        <v>-9708.919999999991</v>
      </c>
      <c r="M5" s="114"/>
      <c r="N5" s="272">
        <f>SUM(N9:N23)</f>
        <v>-49505.714827612646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5" thickBot="1">
      <c r="A7" s="264"/>
      <c r="B7" s="274" t="s">
        <v>91</v>
      </c>
      <c r="C7" s="275"/>
      <c r="D7" s="274" t="s">
        <v>195</v>
      </c>
      <c r="E7" s="275"/>
      <c r="F7" s="276" t="s">
        <v>196</v>
      </c>
      <c r="G7" s="277"/>
      <c r="H7" s="276" t="s">
        <v>197</v>
      </c>
      <c r="I7" s="277"/>
      <c r="J7" s="276" t="s">
        <v>198</v>
      </c>
      <c r="K7" s="277"/>
      <c r="L7" s="276" t="s">
        <v>199</v>
      </c>
      <c r="M7" s="191"/>
      <c r="N7" s="276" t="s">
        <v>199</v>
      </c>
      <c r="O7" s="191"/>
      <c r="P7" s="117" t="s">
        <v>200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488302.31</v>
      </c>
      <c r="G9" s="86"/>
      <c r="H9" s="280">
        <v>501931</v>
      </c>
      <c r="I9" s="86"/>
      <c r="J9" s="280">
        <f>'Expenditure Breakdown'!X6</f>
        <v>409353</v>
      </c>
      <c r="K9" s="89"/>
      <c r="L9" s="281">
        <f>F9-J9</f>
        <v>78949.31</v>
      </c>
      <c r="M9" s="192"/>
      <c r="N9" s="281">
        <f>H9-J9</f>
        <v>92578</v>
      </c>
      <c r="O9" s="192"/>
      <c r="P9" s="305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118044</v>
      </c>
      <c r="G10" s="86"/>
      <c r="H10" s="280">
        <v>121107.32</v>
      </c>
      <c r="I10" s="86"/>
      <c r="J10" s="280">
        <f>+'Expenditure Breakdown'!X13</f>
        <v>107975.24</v>
      </c>
      <c r="K10" s="89"/>
      <c r="L10" s="281">
        <f t="shared" ref="L10:L23" si="0">F10-J10</f>
        <v>10068.759999999995</v>
      </c>
      <c r="M10" s="192"/>
      <c r="N10" s="281">
        <f t="shared" ref="N10:N23" si="1">H10-J10</f>
        <v>13132.080000000002</v>
      </c>
      <c r="O10" s="192"/>
      <c r="P10" s="305"/>
    </row>
    <row r="11" spans="1:16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70794</v>
      </c>
      <c r="G11" s="86"/>
      <c r="H11" s="280">
        <v>33895.599999999999</v>
      </c>
      <c r="I11" s="86"/>
      <c r="J11" s="280">
        <f>+'Expenditure Breakdown'!X18</f>
        <v>33895.599999999999</v>
      </c>
      <c r="K11" s="89"/>
      <c r="L11" s="281">
        <f t="shared" si="0"/>
        <v>36898.400000000001</v>
      </c>
      <c r="M11" s="192"/>
      <c r="N11" s="281">
        <f t="shared" si="1"/>
        <v>0</v>
      </c>
      <c r="O11" s="192"/>
      <c r="P11" s="305"/>
    </row>
    <row r="12" spans="1:16">
      <c r="A12" s="264"/>
      <c r="B12" s="278">
        <f>'Expenditure Breakdown'!B23</f>
        <v>4</v>
      </c>
      <c r="C12" s="267"/>
      <c r="D12" s="279" t="str">
        <f>'Expenditure Breakdown'!C23</f>
        <v>DC Equipment</v>
      </c>
      <c r="E12" s="282"/>
      <c r="F12" s="280">
        <f>+'Expenditure Breakdown'!J23</f>
        <v>107427.6</v>
      </c>
      <c r="G12" s="86"/>
      <c r="H12" s="280">
        <v>143322</v>
      </c>
      <c r="I12" s="86"/>
      <c r="J12" s="280">
        <f>+'Expenditure Breakdown'!X23</f>
        <v>183222.00000000003</v>
      </c>
      <c r="K12" s="89"/>
      <c r="L12" s="281">
        <f t="shared" si="0"/>
        <v>-75794.400000000023</v>
      </c>
      <c r="M12" s="192"/>
      <c r="N12" s="281">
        <f t="shared" si="1"/>
        <v>-39900.000000000029</v>
      </c>
      <c r="O12" s="192"/>
      <c r="P12" s="305"/>
    </row>
    <row r="13" spans="1:16">
      <c r="A13" s="264"/>
      <c r="B13" s="278">
        <f>'Expenditure Breakdown'!B35</f>
        <v>5</v>
      </c>
      <c r="C13" s="267"/>
      <c r="D13" s="279" t="str">
        <f>'Expenditure Breakdown'!C35</f>
        <v>Monitoring</v>
      </c>
      <c r="E13" s="282"/>
      <c r="F13" s="280">
        <f>+'Expenditure Breakdown'!J35</f>
        <v>49000</v>
      </c>
      <c r="G13" s="86"/>
      <c r="H13" s="280">
        <v>42820.5</v>
      </c>
      <c r="I13" s="86"/>
      <c r="J13" s="280">
        <f>+'Expenditure Breakdown'!X35</f>
        <v>34242.090000000004</v>
      </c>
      <c r="K13" s="89"/>
      <c r="L13" s="281">
        <f t="shared" si="0"/>
        <v>14757.909999999996</v>
      </c>
      <c r="M13" s="192"/>
      <c r="N13" s="281">
        <f t="shared" si="1"/>
        <v>8578.4099999999962</v>
      </c>
      <c r="O13" s="192"/>
      <c r="P13" s="305"/>
    </row>
    <row r="14" spans="1:16">
      <c r="A14" s="264"/>
      <c r="B14" s="278">
        <f>'Expenditure Breakdown'!B43</f>
        <v>6</v>
      </c>
      <c r="C14" s="267"/>
      <c r="D14" s="279" t="str">
        <f>'Expenditure Breakdown'!C43</f>
        <v>AC Equipment</v>
      </c>
      <c r="E14" s="282"/>
      <c r="F14" s="280">
        <f>+'Expenditure Breakdown'!J43</f>
        <v>276727.82</v>
      </c>
      <c r="G14" s="86"/>
      <c r="H14" s="280">
        <v>175564</v>
      </c>
      <c r="I14" s="86"/>
      <c r="J14" s="280">
        <f>+'Expenditure Breakdown'!X43</f>
        <v>182814</v>
      </c>
      <c r="K14" s="89"/>
      <c r="L14" s="281">
        <f t="shared" si="0"/>
        <v>93913.82</v>
      </c>
      <c r="M14" s="192"/>
      <c r="N14" s="281">
        <f t="shared" si="1"/>
        <v>-7250</v>
      </c>
      <c r="O14" s="192"/>
      <c r="P14" s="305"/>
    </row>
    <row r="15" spans="1:16">
      <c r="A15" s="264"/>
      <c r="B15" s="278">
        <f>'Expenditure Breakdown'!B57</f>
        <v>7</v>
      </c>
      <c r="C15" s="267"/>
      <c r="D15" s="279" t="str">
        <f>'Expenditure Breakdown'!C57</f>
        <v>Battery Systems</v>
      </c>
      <c r="E15" s="282"/>
      <c r="F15" s="280">
        <f>+'Expenditure Breakdown'!J57</f>
        <v>0</v>
      </c>
      <c r="G15" s="86"/>
      <c r="H15" s="280">
        <v>0</v>
      </c>
      <c r="I15" s="86"/>
      <c r="J15" s="280">
        <f>'Expenditure Breakdown'!X57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5"/>
    </row>
    <row r="16" spans="1:16">
      <c r="A16" s="264"/>
      <c r="B16" s="278">
        <f>'Expenditure Breakdown'!B66</f>
        <v>8</v>
      </c>
      <c r="C16" s="267"/>
      <c r="D16" s="279" t="str">
        <f>'Expenditure Breakdown'!C66</f>
        <v xml:space="preserve">Product Add On </v>
      </c>
      <c r="E16" s="282"/>
      <c r="F16" s="280">
        <f>'Expenditure Breakdown'!J66</f>
        <v>0</v>
      </c>
      <c r="G16" s="86"/>
      <c r="H16" s="280">
        <v>0</v>
      </c>
      <c r="I16" s="86"/>
      <c r="J16" s="280">
        <f>'Expenditure Breakdown'!X66</f>
        <v>136151.13999999998</v>
      </c>
      <c r="K16" s="89"/>
      <c r="L16" s="281">
        <f t="shared" si="0"/>
        <v>-136151.13999999998</v>
      </c>
      <c r="M16" s="192"/>
      <c r="N16" s="281">
        <f t="shared" si="1"/>
        <v>-136151.13999999998</v>
      </c>
      <c r="O16" s="192"/>
      <c r="P16" s="305"/>
    </row>
    <row r="17" spans="1:16">
      <c r="A17" s="264"/>
      <c r="B17" s="278">
        <f>'Expenditure Breakdown'!M73</f>
        <v>9</v>
      </c>
      <c r="C17" s="267"/>
      <c r="D17" s="279" t="str">
        <f>'Expenditure Breakdown'!C73</f>
        <v>AC &amp; DC Installation</v>
      </c>
      <c r="E17" s="282"/>
      <c r="F17" s="280">
        <f>+'Expenditure Breakdown'!J73</f>
        <v>131100</v>
      </c>
      <c r="G17" s="86"/>
      <c r="H17" s="280">
        <v>116305</v>
      </c>
      <c r="I17" s="86"/>
      <c r="J17" s="280">
        <f>+'Expenditure Breakdown'!X73</f>
        <v>116305</v>
      </c>
      <c r="K17" s="89"/>
      <c r="L17" s="281">
        <f t="shared" si="0"/>
        <v>14795</v>
      </c>
      <c r="M17" s="192"/>
      <c r="N17" s="281">
        <f t="shared" si="1"/>
        <v>0</v>
      </c>
      <c r="O17" s="192"/>
      <c r="P17" s="305"/>
    </row>
    <row r="18" spans="1:16">
      <c r="A18" s="264"/>
      <c r="B18" s="278">
        <f>'Expenditure Breakdown'!B82</f>
        <v>10</v>
      </c>
      <c r="C18" s="267"/>
      <c r="D18" s="279" t="str">
        <f>'Expenditure Breakdown'!C82</f>
        <v>Site Logistics</v>
      </c>
      <c r="E18" s="86"/>
      <c r="F18" s="280">
        <f>+'Expenditure Breakdown'!J82</f>
        <v>32270.5</v>
      </c>
      <c r="G18" s="86"/>
      <c r="H18" s="280">
        <v>100453</v>
      </c>
      <c r="I18" s="86"/>
      <c r="J18" s="280">
        <f>+'Expenditure Breakdown'!X82</f>
        <v>85453.26</v>
      </c>
      <c r="K18" s="89"/>
      <c r="L18" s="281">
        <f t="shared" si="0"/>
        <v>-53182.759999999995</v>
      </c>
      <c r="M18" s="192"/>
      <c r="N18" s="281">
        <f t="shared" si="1"/>
        <v>14999.740000000005</v>
      </c>
      <c r="O18" s="192"/>
      <c r="P18" s="305"/>
    </row>
    <row r="19" spans="1:16">
      <c r="A19" s="264"/>
      <c r="B19" s="278">
        <f>'Expenditure Breakdown'!B93</f>
        <v>11</v>
      </c>
      <c r="C19" s="267"/>
      <c r="D19" s="279" t="str">
        <f>'Expenditure Breakdown'!C93</f>
        <v>Due Dilligence</v>
      </c>
      <c r="E19" s="86"/>
      <c r="F19" s="280">
        <f>'Expenditure Breakdown'!J93</f>
        <v>29000</v>
      </c>
      <c r="G19" s="86"/>
      <c r="H19" s="280">
        <v>23020</v>
      </c>
      <c r="I19" s="86"/>
      <c r="J19" s="280">
        <f>'Expenditure Breakdown'!X93</f>
        <v>12071.19</v>
      </c>
      <c r="K19" s="89"/>
      <c r="L19" s="281">
        <f t="shared" si="0"/>
        <v>16928.809999999998</v>
      </c>
      <c r="M19" s="192"/>
      <c r="N19" s="281">
        <f t="shared" si="1"/>
        <v>10948.81</v>
      </c>
      <c r="O19" s="192"/>
      <c r="P19" s="305"/>
    </row>
    <row r="20" spans="1:16">
      <c r="A20" s="264"/>
      <c r="B20" s="278">
        <f>'Expenditure Breakdown'!B101</f>
        <v>12</v>
      </c>
      <c r="C20" s="267"/>
      <c r="D20" s="279" t="str">
        <f>'Expenditure Breakdown'!C101</f>
        <v>BDP Commission</v>
      </c>
      <c r="E20" s="86"/>
      <c r="F20" s="280">
        <f>'Expenditure Breakdown'!G99</f>
        <v>43075.96</v>
      </c>
      <c r="G20" s="86"/>
      <c r="H20" s="280">
        <v>43075.96</v>
      </c>
      <c r="I20" s="86"/>
      <c r="J20" s="280">
        <f>'Expenditure Breakdown'!X99</f>
        <v>43075.96</v>
      </c>
      <c r="K20" s="89"/>
      <c r="L20" s="281">
        <f t="shared" si="0"/>
        <v>0</v>
      </c>
      <c r="M20" s="192"/>
      <c r="N20" s="281">
        <f t="shared" si="1"/>
        <v>0</v>
      </c>
      <c r="O20" s="192"/>
      <c r="P20" s="305"/>
    </row>
    <row r="21" spans="1:16">
      <c r="A21" s="264"/>
      <c r="B21" s="278">
        <f>'Expenditure Breakdown'!B103</f>
        <v>13</v>
      </c>
      <c r="C21" s="267"/>
      <c r="D21" s="279" t="str">
        <f>'Expenditure Breakdown'!C103</f>
        <v>Engineering</v>
      </c>
      <c r="E21" s="86"/>
      <c r="F21" s="280">
        <f>+'Expenditure Breakdown'!J103</f>
        <v>66283.33</v>
      </c>
      <c r="G21" s="86"/>
      <c r="H21" s="280">
        <v>70734.345172387373</v>
      </c>
      <c r="I21" s="86"/>
      <c r="J21" s="280">
        <f>+'Expenditure Breakdown'!X103</f>
        <v>50400</v>
      </c>
      <c r="K21" s="89"/>
      <c r="L21" s="281">
        <f t="shared" si="0"/>
        <v>15883.330000000002</v>
      </c>
      <c r="M21" s="192"/>
      <c r="N21" s="281">
        <f t="shared" si="1"/>
        <v>20334.345172387373</v>
      </c>
      <c r="O21" s="192"/>
      <c r="P21" s="305" t="s">
        <v>201</v>
      </c>
    </row>
    <row r="22" spans="1:16">
      <c r="A22" s="264"/>
      <c r="B22" s="278">
        <f>'Expenditure Breakdown'!B111</f>
        <v>14</v>
      </c>
      <c r="C22" s="267"/>
      <c r="D22" s="279" t="str">
        <f>'Expenditure Breakdown'!C111</f>
        <v>General Expenses</v>
      </c>
      <c r="E22" s="86"/>
      <c r="F22" s="280">
        <f>+'Expenditure Breakdown'!J111</f>
        <v>2625</v>
      </c>
      <c r="G22" s="86"/>
      <c r="H22" s="280">
        <v>2625</v>
      </c>
      <c r="I22" s="86"/>
      <c r="J22" s="280">
        <f>+'Expenditure Breakdown'!X111</f>
        <v>6991.68</v>
      </c>
      <c r="K22" s="89"/>
      <c r="L22" s="281">
        <f t="shared" si="0"/>
        <v>-4366.68</v>
      </c>
      <c r="M22" s="192"/>
      <c r="N22" s="281">
        <f t="shared" si="1"/>
        <v>-4366.68</v>
      </c>
      <c r="O22" s="192"/>
      <c r="P22" s="305"/>
    </row>
    <row r="23" spans="1:16">
      <c r="A23" s="264"/>
      <c r="B23" s="278">
        <f>'Expenditure Breakdown'!B121</f>
        <v>15</v>
      </c>
      <c r="C23" s="267"/>
      <c r="D23" s="279" t="str">
        <f>'Expenditure Breakdown'!C121</f>
        <v>Service Add On</v>
      </c>
      <c r="E23" s="86"/>
      <c r="F23" s="280">
        <f>+'Expenditure Breakdown'!J121</f>
        <v>0</v>
      </c>
      <c r="G23" s="86"/>
      <c r="H23" s="280">
        <v>0</v>
      </c>
      <c r="I23" s="86"/>
      <c r="J23" s="280">
        <f>+'Expenditure Breakdown'!X121</f>
        <v>22409.279999999999</v>
      </c>
      <c r="K23" s="89"/>
      <c r="L23" s="281">
        <f t="shared" si="0"/>
        <v>-22409.279999999999</v>
      </c>
      <c r="M23" s="192"/>
      <c r="N23" s="281">
        <f t="shared" si="1"/>
        <v>-22409.279999999999</v>
      </c>
      <c r="O23" s="192"/>
      <c r="P23" s="305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202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>
      <c r="A27" s="616" t="s">
        <v>203</v>
      </c>
      <c r="B27" s="617"/>
      <c r="C27" s="617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204</v>
      </c>
      <c r="F2" s="83" t="s">
        <v>205</v>
      </c>
    </row>
    <row r="3" spans="3:8">
      <c r="C3" s="79">
        <v>45292</v>
      </c>
      <c r="D3" s="73" t="s">
        <v>206</v>
      </c>
      <c r="F3" s="81" t="s">
        <v>207</v>
      </c>
    </row>
    <row r="4" spans="3:8">
      <c r="C4" s="79">
        <v>45372</v>
      </c>
      <c r="D4" s="73" t="s">
        <v>208</v>
      </c>
      <c r="F4" s="81" t="s">
        <v>209</v>
      </c>
    </row>
    <row r="5" spans="3:8">
      <c r="C5" s="79">
        <v>45380</v>
      </c>
      <c r="D5" s="73" t="s">
        <v>210</v>
      </c>
      <c r="F5" s="81" t="s">
        <v>211</v>
      </c>
    </row>
    <row r="6" spans="3:8" ht="13" thickBot="1">
      <c r="C6" s="79">
        <v>45383</v>
      </c>
      <c r="D6" s="73" t="s">
        <v>212</v>
      </c>
      <c r="F6" s="82" t="s">
        <v>213</v>
      </c>
    </row>
    <row r="7" spans="3:8">
      <c r="C7" s="79">
        <v>45413</v>
      </c>
      <c r="D7" s="73" t="s">
        <v>214</v>
      </c>
    </row>
    <row r="8" spans="3:8">
      <c r="C8" s="79">
        <v>45460</v>
      </c>
      <c r="D8" s="73" t="s">
        <v>215</v>
      </c>
    </row>
    <row r="9" spans="3:8">
      <c r="C9" s="79">
        <v>45513</v>
      </c>
      <c r="D9" s="73" t="s">
        <v>216</v>
      </c>
    </row>
    <row r="10" spans="3:8">
      <c r="C10" s="79">
        <v>45559</v>
      </c>
      <c r="D10" s="73" t="s">
        <v>217</v>
      </c>
    </row>
    <row r="11" spans="3:8">
      <c r="C11" s="79">
        <v>45642</v>
      </c>
      <c r="D11" s="73" t="s">
        <v>218</v>
      </c>
    </row>
    <row r="12" spans="3:8">
      <c r="C12" s="79">
        <v>45651</v>
      </c>
      <c r="D12" s="73" t="s">
        <v>219</v>
      </c>
    </row>
    <row r="13" spans="3:8">
      <c r="C13" s="79">
        <v>45652</v>
      </c>
      <c r="D13" s="73" t="s">
        <v>220</v>
      </c>
      <c r="F13" s="85"/>
      <c r="H13" s="73" t="s">
        <v>221</v>
      </c>
    </row>
    <row r="14" spans="3:8" ht="13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87"/>
  <sheetViews>
    <sheetView topLeftCell="N1" zoomScale="85" zoomScaleNormal="85" workbookViewId="0">
      <pane ySplit="4" topLeftCell="A111" activePane="bottomLeft" state="frozen"/>
      <selection activeCell="Q24" sqref="Q24"/>
      <selection pane="bottomLeft" activeCell="O115" sqref="O115"/>
    </sheetView>
  </sheetViews>
  <sheetFormatPr defaultColWidth="9.1796875" defaultRowHeight="14"/>
  <cols>
    <col min="1" max="1" width="2.453125" style="114" hidden="1" customWidth="1"/>
    <col min="2" max="2" width="6.453125" style="24" hidden="1" customWidth="1"/>
    <col min="3" max="3" width="20.453125" style="24" hidden="1" customWidth="1"/>
    <col min="4" max="4" width="29.1796875" style="24" hidden="1" customWidth="1"/>
    <col min="5" max="5" width="8.81640625" style="70" hidden="1" customWidth="1"/>
    <col min="6" max="6" width="14.453125" style="64" hidden="1" customWidth="1"/>
    <col min="7" max="7" width="16.453125" style="24" hidden="1" customWidth="1"/>
    <col min="8" max="8" width="14" style="24" hidden="1" customWidth="1"/>
    <col min="9" max="9" width="2.453125" style="114" hidden="1" customWidth="1"/>
    <col min="10" max="10" width="17.453125" style="461" hidden="1" customWidth="1"/>
    <col min="11" max="11" width="17.453125" style="461" customWidth="1"/>
    <col min="12" max="12" width="5.54296875" style="114" customWidth="1"/>
    <col min="13" max="13" width="5.54296875" style="24" customWidth="1"/>
    <col min="14" max="14" width="25.54296875" style="24" customWidth="1"/>
    <col min="15" max="15" width="61.453125" style="24" customWidth="1"/>
    <col min="16" max="16" width="15.54296875" style="70" customWidth="1"/>
    <col min="17" max="17" width="17.453125" style="64" customWidth="1"/>
    <col min="18" max="18" width="16.54296875" style="462" customWidth="1"/>
    <col min="19" max="19" width="33" style="467" customWidth="1"/>
    <col min="20" max="20" width="13" style="65" customWidth="1"/>
    <col min="21" max="22" width="16.453125" style="65" customWidth="1"/>
    <col min="23" max="23" width="13.453125" style="478" customWidth="1"/>
    <col min="24" max="24" width="21.54296875" style="24" customWidth="1"/>
    <col min="25" max="25" width="42.81640625" style="65" bestFit="1" customWidth="1"/>
    <col min="26" max="26" width="57" style="114" customWidth="1"/>
    <col min="27" max="27" width="29.453125" style="114" bestFit="1" customWidth="1"/>
    <col min="28" max="28" width="19.54296875" style="114" customWidth="1"/>
    <col min="29" max="29" width="9" style="114" customWidth="1"/>
    <col min="30" max="30" width="21.54296875" style="114" bestFit="1" customWidth="1"/>
    <col min="31" max="31" width="14.81640625" style="114" bestFit="1" customWidth="1"/>
    <col min="32" max="32" width="9.1796875" style="114"/>
    <col min="33" max="33" width="22.81640625" style="114" bestFit="1" customWidth="1"/>
    <col min="34" max="34" width="13.81640625" style="114" bestFit="1" customWidth="1"/>
    <col min="35" max="42" width="9.1796875" style="114"/>
    <col min="43" max="16384" width="9.1796875" style="24"/>
  </cols>
  <sheetData>
    <row r="1" spans="1:42" s="114" customFormat="1" ht="4.5" customHeight="1" thickBot="1">
      <c r="E1" s="168"/>
      <c r="F1" s="115"/>
      <c r="J1" s="306"/>
      <c r="K1" s="306"/>
      <c r="P1" s="168"/>
      <c r="Q1" s="115"/>
      <c r="R1" s="498"/>
      <c r="S1" s="464"/>
      <c r="T1" s="169"/>
      <c r="U1" s="169"/>
      <c r="V1" s="169"/>
      <c r="W1" s="468"/>
      <c r="Y1" s="169"/>
    </row>
    <row r="2" spans="1:42" ht="21.75" customHeight="1" thickBot="1">
      <c r="B2" s="927" t="s">
        <v>222</v>
      </c>
      <c r="C2" s="928"/>
      <c r="D2" s="928"/>
      <c r="E2" s="928"/>
      <c r="F2" s="928"/>
      <c r="G2" s="928"/>
      <c r="H2" s="929"/>
      <c r="J2" s="308">
        <f>SUM(J6:J125)</f>
        <v>1414650.52</v>
      </c>
      <c r="K2" s="308">
        <f>SUM(K6:K125)</f>
        <v>1744357.8338340002</v>
      </c>
      <c r="M2" s="930" t="s">
        <v>223</v>
      </c>
      <c r="N2" s="931"/>
      <c r="O2" s="931"/>
      <c r="P2" s="931"/>
      <c r="Q2" s="931"/>
      <c r="R2" s="931"/>
      <c r="S2" s="934" t="s">
        <v>224</v>
      </c>
      <c r="T2" s="935"/>
      <c r="U2" s="935"/>
      <c r="V2" s="935"/>
      <c r="W2" s="936"/>
      <c r="X2" s="479">
        <f>SUM(X6:X125)</f>
        <v>1424359.4399999997</v>
      </c>
      <c r="Y2" s="114"/>
    </row>
    <row r="3" spans="1:42" s="114" customFormat="1" ht="13.5" customHeight="1" thickBot="1">
      <c r="E3" s="168"/>
      <c r="F3" s="115"/>
      <c r="J3" s="306"/>
      <c r="K3" s="509"/>
      <c r="P3" s="168"/>
      <c r="Q3" s="115"/>
      <c r="R3" s="307"/>
      <c r="Y3" s="169"/>
    </row>
    <row r="4" spans="1:42" s="70" customFormat="1" ht="42.5" thickBot="1">
      <c r="A4" s="168"/>
      <c r="B4" s="309" t="s">
        <v>225</v>
      </c>
      <c r="C4" s="310" t="s">
        <v>226</v>
      </c>
      <c r="D4" s="310" t="s">
        <v>227</v>
      </c>
      <c r="E4" s="310" t="s">
        <v>228</v>
      </c>
      <c r="F4" s="310" t="s">
        <v>229</v>
      </c>
      <c r="G4" s="311" t="s">
        <v>230</v>
      </c>
      <c r="H4" s="312" t="s">
        <v>231</v>
      </c>
      <c r="I4" s="313"/>
      <c r="J4" s="314" t="s">
        <v>232</v>
      </c>
      <c r="K4" s="314" t="str">
        <f>IF(K2-'Revenue Tracking'!D4&gt;=0, "Total Revenue", "ERROR on REV" )</f>
        <v>Total Revenue</v>
      </c>
      <c r="L4" s="168"/>
      <c r="M4" s="309" t="s">
        <v>225</v>
      </c>
      <c r="N4" s="310" t="s">
        <v>233</v>
      </c>
      <c r="O4" s="310" t="s">
        <v>227</v>
      </c>
      <c r="P4" s="310" t="s">
        <v>228</v>
      </c>
      <c r="Q4" s="310" t="s">
        <v>229</v>
      </c>
      <c r="R4" s="558" t="s">
        <v>234</v>
      </c>
      <c r="S4" s="113" t="s">
        <v>96</v>
      </c>
      <c r="T4" s="530" t="s">
        <v>97</v>
      </c>
      <c r="U4" s="531" t="s">
        <v>235</v>
      </c>
      <c r="V4" s="532" t="s">
        <v>236</v>
      </c>
      <c r="W4" s="530" t="s">
        <v>237</v>
      </c>
      <c r="X4" s="480" t="s">
        <v>232</v>
      </c>
      <c r="Y4" s="113" t="s">
        <v>238</v>
      </c>
      <c r="Z4" s="113" t="s">
        <v>239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5"/>
      <c r="C5" s="316"/>
      <c r="D5" s="316"/>
      <c r="E5" s="317"/>
      <c r="F5" s="318"/>
      <c r="G5" s="319"/>
      <c r="H5" s="320"/>
      <c r="I5" s="321"/>
      <c r="J5" s="322"/>
      <c r="K5" s="322"/>
      <c r="L5" s="323"/>
      <c r="M5" s="315"/>
      <c r="N5" s="316"/>
      <c r="O5" s="316"/>
      <c r="P5" s="317"/>
      <c r="Q5" s="318"/>
      <c r="R5" s="324"/>
      <c r="S5" s="465"/>
      <c r="T5" s="110"/>
      <c r="U5" s="510"/>
      <c r="V5" s="463"/>
      <c r="W5" s="469"/>
      <c r="X5" s="481"/>
      <c r="Y5" s="110"/>
      <c r="Z5" s="110"/>
    </row>
    <row r="6" spans="1:42" ht="14.25" customHeight="1">
      <c r="B6" s="717">
        <v>1</v>
      </c>
      <c r="C6" s="486" t="s">
        <v>240</v>
      </c>
      <c r="D6" s="486" t="s">
        <v>241</v>
      </c>
      <c r="E6" s="718">
        <v>276</v>
      </c>
      <c r="F6" s="729">
        <v>1696.7474999999999</v>
      </c>
      <c r="G6" s="405">
        <f>E6*F6</f>
        <v>468302.31</v>
      </c>
      <c r="H6" s="352">
        <f>'Project Plan'!E35+60</f>
        <v>45641</v>
      </c>
      <c r="I6" s="353"/>
      <c r="J6" s="920">
        <f>SUM(G6:G11)</f>
        <v>488302.31</v>
      </c>
      <c r="K6" s="920">
        <v>595490.62199999997</v>
      </c>
      <c r="L6" s="581"/>
      <c r="M6" s="348">
        <v>1</v>
      </c>
      <c r="N6" s="663" t="s">
        <v>242</v>
      </c>
      <c r="O6" s="486" t="s">
        <v>243</v>
      </c>
      <c r="P6" s="718">
        <v>284</v>
      </c>
      <c r="Q6" s="726">
        <v>1415.25</v>
      </c>
      <c r="R6" s="405">
        <f>P6*Q6*0.5</f>
        <v>200965.5</v>
      </c>
      <c r="S6" s="548" t="s">
        <v>244</v>
      </c>
      <c r="T6" s="731">
        <v>45504</v>
      </c>
      <c r="U6" s="733">
        <v>270795.82694027119</v>
      </c>
      <c r="V6" s="937">
        <f>K6-SUM(U6:U11)</f>
        <v>4.4234981760382652E-4</v>
      </c>
      <c r="W6" s="731">
        <v>45562</v>
      </c>
      <c r="X6" s="950">
        <f>SUM(R6:R11)</f>
        <v>409353</v>
      </c>
      <c r="Y6" s="997" t="s">
        <v>245</v>
      </c>
      <c r="Z6" s="200"/>
      <c r="AA6" s="170">
        <v>19</v>
      </c>
      <c r="AB6" s="170"/>
      <c r="AE6" s="171"/>
    </row>
    <row r="7" spans="1:42" ht="15" customHeight="1">
      <c r="B7" s="719">
        <v>1</v>
      </c>
      <c r="C7" s="664"/>
      <c r="D7" s="583" t="s">
        <v>246</v>
      </c>
      <c r="E7" s="720"/>
      <c r="F7" s="721"/>
      <c r="G7" s="405"/>
      <c r="H7" s="357"/>
      <c r="I7" s="358"/>
      <c r="J7" s="921"/>
      <c r="K7" s="921"/>
      <c r="L7" s="359"/>
      <c r="M7" s="401">
        <v>1</v>
      </c>
      <c r="N7" s="403" t="s">
        <v>242</v>
      </c>
      <c r="O7" s="583"/>
      <c r="P7" s="720"/>
      <c r="Q7" s="721"/>
      <c r="R7" s="405">
        <f>P6*Q6*0.5</f>
        <v>200965.5</v>
      </c>
      <c r="S7" s="544" t="s">
        <v>244</v>
      </c>
      <c r="T7" s="732">
        <v>45504</v>
      </c>
      <c r="U7" s="734">
        <v>270795.82694027119</v>
      </c>
      <c r="V7" s="938"/>
      <c r="W7" s="816">
        <v>45596</v>
      </c>
      <c r="X7" s="951"/>
      <c r="Y7" s="998"/>
      <c r="Z7" s="201"/>
      <c r="AA7" s="172" t="s">
        <v>247</v>
      </c>
      <c r="AB7" s="173" t="s">
        <v>248</v>
      </c>
      <c r="AC7" s="24"/>
    </row>
    <row r="8" spans="1:42" ht="15" customHeight="1">
      <c r="B8" s="719">
        <v>1</v>
      </c>
      <c r="C8" s="583"/>
      <c r="D8" s="583"/>
      <c r="E8" s="720"/>
      <c r="F8" s="721"/>
      <c r="G8" s="584"/>
      <c r="H8" s="357"/>
      <c r="I8" s="358"/>
      <c r="J8" s="921"/>
      <c r="K8" s="921"/>
      <c r="L8" s="359"/>
      <c r="M8" s="401">
        <v>1</v>
      </c>
      <c r="N8" s="403" t="s">
        <v>242</v>
      </c>
      <c r="O8" s="583" t="s">
        <v>249</v>
      </c>
      <c r="P8" s="720"/>
      <c r="Q8" s="721"/>
      <c r="R8" s="584">
        <v>800</v>
      </c>
      <c r="S8" s="544" t="s">
        <v>250</v>
      </c>
      <c r="T8" s="732">
        <v>45596</v>
      </c>
      <c r="U8" s="734">
        <v>949.14407851481712</v>
      </c>
      <c r="V8" s="938"/>
      <c r="W8" s="747">
        <v>45625</v>
      </c>
      <c r="X8" s="951"/>
      <c r="Y8" s="210"/>
      <c r="Z8" s="201"/>
      <c r="AA8" s="174" t="s">
        <v>251</v>
      </c>
      <c r="AB8" s="175">
        <f>C49</f>
        <v>276727.82</v>
      </c>
    </row>
    <row r="9" spans="1:42" ht="15" customHeight="1">
      <c r="B9" s="719">
        <v>1</v>
      </c>
      <c r="C9" s="583"/>
      <c r="D9" s="583" t="s">
        <v>252</v>
      </c>
      <c r="E9" s="720"/>
      <c r="F9" s="721"/>
      <c r="G9" s="405">
        <v>20000</v>
      </c>
      <c r="H9" s="357">
        <f>H6</f>
        <v>45641</v>
      </c>
      <c r="I9" s="358"/>
      <c r="J9" s="921"/>
      <c r="K9" s="921"/>
      <c r="L9" s="359"/>
      <c r="M9" s="401">
        <v>1</v>
      </c>
      <c r="N9" s="403" t="s">
        <v>242</v>
      </c>
      <c r="O9" s="583" t="s">
        <v>252</v>
      </c>
      <c r="P9" s="720"/>
      <c r="Q9" s="721"/>
      <c r="R9" s="405">
        <v>5650</v>
      </c>
      <c r="S9" s="544" t="s">
        <v>253</v>
      </c>
      <c r="T9" s="732">
        <v>45596</v>
      </c>
      <c r="U9" s="734">
        <v>7532.7635431974959</v>
      </c>
      <c r="V9" s="938"/>
      <c r="W9" s="747">
        <v>45625</v>
      </c>
      <c r="X9" s="951"/>
      <c r="Y9" s="210"/>
      <c r="Z9" s="201"/>
      <c r="AA9" s="174" t="s">
        <v>254</v>
      </c>
      <c r="AB9" s="639">
        <f>SUM(G26:G33)</f>
        <v>48499.6</v>
      </c>
    </row>
    <row r="10" spans="1:42" ht="15" customHeight="1">
      <c r="B10" s="719">
        <v>1</v>
      </c>
      <c r="C10" s="583"/>
      <c r="D10" s="583"/>
      <c r="E10" s="720"/>
      <c r="F10" s="721"/>
      <c r="G10" s="405"/>
      <c r="H10" s="357"/>
      <c r="I10" s="358"/>
      <c r="J10" s="921"/>
      <c r="K10" s="921"/>
      <c r="L10" s="359"/>
      <c r="M10" s="401">
        <v>1</v>
      </c>
      <c r="N10" s="403" t="s">
        <v>242</v>
      </c>
      <c r="O10" s="583" t="s">
        <v>255</v>
      </c>
      <c r="P10" s="720"/>
      <c r="Q10" s="721"/>
      <c r="R10" s="405">
        <v>972</v>
      </c>
      <c r="S10" s="544" t="s">
        <v>250</v>
      </c>
      <c r="T10" s="732">
        <f>T9</f>
        <v>45596</v>
      </c>
      <c r="U10" s="734">
        <v>1153.2100553955029</v>
      </c>
      <c r="V10" s="938"/>
      <c r="W10" s="747">
        <v>45625</v>
      </c>
      <c r="X10" s="951"/>
      <c r="Y10" s="210"/>
      <c r="Z10" s="201"/>
      <c r="AA10" s="174" t="s">
        <v>256</v>
      </c>
      <c r="AB10" s="175">
        <f>C75</f>
        <v>91770</v>
      </c>
    </row>
    <row r="11" spans="1:42" ht="15" customHeight="1" thickBot="1">
      <c r="B11" s="722">
        <v>1</v>
      </c>
      <c r="C11" s="665"/>
      <c r="D11" s="665"/>
      <c r="E11" s="723"/>
      <c r="F11" s="724"/>
      <c r="G11" s="428"/>
      <c r="H11" s="360"/>
      <c r="I11" s="361"/>
      <c r="J11" s="922"/>
      <c r="K11" s="922"/>
      <c r="L11" s="362"/>
      <c r="M11" s="407">
        <v>1</v>
      </c>
      <c r="N11" s="665" t="s">
        <v>242</v>
      </c>
      <c r="O11" s="665"/>
      <c r="P11" s="723"/>
      <c r="Q11" s="724"/>
      <c r="R11" s="428"/>
      <c r="S11" s="537"/>
      <c r="T11" s="827">
        <v>45626</v>
      </c>
      <c r="U11" s="828">
        <v>44263.85</v>
      </c>
      <c r="V11" s="939"/>
      <c r="W11" s="475"/>
      <c r="X11" s="968"/>
      <c r="Y11" s="216"/>
      <c r="Z11" s="202"/>
      <c r="AA11" s="174" t="s">
        <v>257</v>
      </c>
      <c r="AB11" s="175">
        <f>C74</f>
        <v>39330</v>
      </c>
    </row>
    <row r="12" spans="1:42" ht="14.5" thickBot="1">
      <c r="A12" s="24"/>
      <c r="B12" s="341"/>
      <c r="C12" s="342"/>
      <c r="D12" s="343"/>
      <c r="E12" s="344"/>
      <c r="F12" s="345"/>
      <c r="G12" s="345"/>
      <c r="H12" s="346"/>
      <c r="I12" s="24"/>
      <c r="J12" s="347"/>
      <c r="K12" s="347"/>
      <c r="L12" s="24"/>
      <c r="M12" s="341"/>
      <c r="N12" s="602"/>
      <c r="O12" s="603"/>
      <c r="P12" s="604"/>
      <c r="Q12" s="605"/>
      <c r="R12" s="605"/>
      <c r="S12" s="543"/>
      <c r="T12" s="534" t="s">
        <v>258</v>
      </c>
      <c r="U12" s="511"/>
      <c r="V12" s="641"/>
      <c r="W12" s="472"/>
      <c r="X12" s="482"/>
      <c r="Y12" s="214"/>
      <c r="Z12" s="199"/>
      <c r="AA12" s="174" t="s">
        <v>259</v>
      </c>
      <c r="AB12" s="175">
        <f>G88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68">
        <v>2</v>
      </c>
      <c r="C13" s="411" t="s">
        <v>260</v>
      </c>
      <c r="D13" s="411" t="s">
        <v>261</v>
      </c>
      <c r="E13" s="502">
        <v>1</v>
      </c>
      <c r="F13" s="585">
        <v>78898</v>
      </c>
      <c r="G13" s="372">
        <f>E13*F13</f>
        <v>78898</v>
      </c>
      <c r="H13" s="373">
        <f>'Project Plan'!E22+30</f>
        <v>45590</v>
      </c>
      <c r="I13" s="374"/>
      <c r="J13" s="917">
        <f>SUM(G13:G16)</f>
        <v>118044</v>
      </c>
      <c r="K13" s="917">
        <v>143956.09760000001</v>
      </c>
      <c r="L13" s="375"/>
      <c r="M13" s="368">
        <v>2</v>
      </c>
      <c r="N13" s="666" t="s">
        <v>262</v>
      </c>
      <c r="O13" s="411" t="s">
        <v>261</v>
      </c>
      <c r="P13" s="502">
        <v>1</v>
      </c>
      <c r="Q13" s="585">
        <v>68870</v>
      </c>
      <c r="R13" s="372">
        <f>P13*Q13</f>
        <v>68870</v>
      </c>
      <c r="S13" s="586" t="s">
        <v>263</v>
      </c>
      <c r="T13" s="762">
        <v>45565</v>
      </c>
      <c r="U13" s="799">
        <v>85967.555169140294</v>
      </c>
      <c r="V13" s="940">
        <f>K13-SUM(U13:U16)</f>
        <v>2.8804820321965963E-3</v>
      </c>
      <c r="W13" s="808">
        <f>T13+30</f>
        <v>45595</v>
      </c>
      <c r="X13" s="969">
        <f>SUM(R13:R16)</f>
        <v>107975.24</v>
      </c>
      <c r="Y13" s="217"/>
      <c r="Z13" s="203" t="s">
        <v>264</v>
      </c>
      <c r="AA13" s="174" t="s">
        <v>265</v>
      </c>
      <c r="AB13" s="175">
        <f>G82</f>
        <v>0</v>
      </c>
    </row>
    <row r="14" spans="1:42" ht="15" customHeight="1">
      <c r="B14" s="412">
        <v>2</v>
      </c>
      <c r="C14" s="413"/>
      <c r="D14" s="413" t="s">
        <v>266</v>
      </c>
      <c r="E14" s="587">
        <v>1</v>
      </c>
      <c r="F14" s="588">
        <v>39146</v>
      </c>
      <c r="G14" s="414">
        <f>E14*F14</f>
        <v>39146</v>
      </c>
      <c r="H14" s="382">
        <f>H13</f>
        <v>45590</v>
      </c>
      <c r="I14" s="383"/>
      <c r="J14" s="918"/>
      <c r="K14" s="918"/>
      <c r="L14" s="384"/>
      <c r="M14" s="412">
        <v>2</v>
      </c>
      <c r="N14" s="667" t="s">
        <v>262</v>
      </c>
      <c r="O14" s="413" t="s">
        <v>266</v>
      </c>
      <c r="P14" s="587">
        <v>1</v>
      </c>
      <c r="Q14" s="588">
        <v>38000</v>
      </c>
      <c r="R14" s="414">
        <f>P14*Q14</f>
        <v>38000</v>
      </c>
      <c r="S14" s="546" t="s">
        <v>267</v>
      </c>
      <c r="T14" s="761">
        <v>45596</v>
      </c>
      <c r="U14" s="800">
        <v>56608.914449823875</v>
      </c>
      <c r="V14" s="941"/>
      <c r="W14" s="796">
        <f>T14+29</f>
        <v>45625</v>
      </c>
      <c r="X14" s="970"/>
      <c r="Y14" s="211"/>
      <c r="Z14" s="196" t="s">
        <v>264</v>
      </c>
      <c r="AA14" s="174" t="s">
        <v>255</v>
      </c>
      <c r="AB14" s="175">
        <f>G89</f>
        <v>0</v>
      </c>
    </row>
    <row r="15" spans="1:42" ht="15" customHeight="1">
      <c r="B15" s="412">
        <v>2</v>
      </c>
      <c r="C15" s="413"/>
      <c r="D15" s="413"/>
      <c r="E15" s="587"/>
      <c r="F15" s="588"/>
      <c r="G15" s="414"/>
      <c r="H15" s="382"/>
      <c r="I15" s="383"/>
      <c r="J15" s="918"/>
      <c r="K15" s="918"/>
      <c r="L15" s="384"/>
      <c r="M15" s="412">
        <v>2</v>
      </c>
      <c r="N15" s="667" t="s">
        <v>262</v>
      </c>
      <c r="O15" s="413" t="s">
        <v>252</v>
      </c>
      <c r="P15" s="587"/>
      <c r="Q15" s="588"/>
      <c r="R15" s="414">
        <v>1105.24</v>
      </c>
      <c r="S15" s="586" t="s">
        <v>263</v>
      </c>
      <c r="T15" s="761">
        <v>45565</v>
      </c>
      <c r="U15" s="800">
        <v>1379.6251005538061</v>
      </c>
      <c r="V15" s="941"/>
      <c r="W15" s="796">
        <f>W13</f>
        <v>45595</v>
      </c>
      <c r="X15" s="970"/>
      <c r="Y15" s="211"/>
      <c r="Z15" s="196"/>
      <c r="AA15" s="174" t="str">
        <f>D91</f>
        <v>Scaffolding</v>
      </c>
      <c r="AB15" s="175">
        <f>G91</f>
        <v>23770.5</v>
      </c>
    </row>
    <row r="16" spans="1:42" ht="15" customHeight="1" thickBot="1">
      <c r="B16" s="589">
        <v>2</v>
      </c>
      <c r="C16" s="590"/>
      <c r="D16" s="590"/>
      <c r="E16" s="591"/>
      <c r="F16" s="592"/>
      <c r="G16" s="593"/>
      <c r="H16" s="391"/>
      <c r="I16" s="392"/>
      <c r="J16" s="919"/>
      <c r="K16" s="919"/>
      <c r="L16" s="393"/>
      <c r="M16" s="589">
        <v>2</v>
      </c>
      <c r="N16" s="668" t="s">
        <v>262</v>
      </c>
      <c r="O16" s="590"/>
      <c r="P16" s="591"/>
      <c r="Q16" s="592"/>
      <c r="R16" s="593"/>
      <c r="S16" s="545"/>
      <c r="T16" s="517" t="s">
        <v>258</v>
      </c>
      <c r="U16" s="526">
        <f t="shared" ref="U16" si="0">(R16/$X$13*$K$13)</f>
        <v>0</v>
      </c>
      <c r="V16" s="942"/>
      <c r="W16" s="476"/>
      <c r="X16" s="971"/>
      <c r="Y16" s="218"/>
      <c r="Z16" s="204"/>
      <c r="AA16" s="174" t="s">
        <v>268</v>
      </c>
      <c r="AB16" s="176">
        <v>0</v>
      </c>
    </row>
    <row r="17" spans="1:42" ht="14.5" thickBot="1">
      <c r="A17" s="24"/>
      <c r="B17" s="363"/>
      <c r="C17" s="342"/>
      <c r="D17" s="342"/>
      <c r="E17" s="364"/>
      <c r="F17" s="365"/>
      <c r="G17" s="366"/>
      <c r="H17" s="346"/>
      <c r="I17" s="367"/>
      <c r="J17" s="347"/>
      <c r="K17" s="347"/>
      <c r="L17" s="24"/>
      <c r="M17" s="363"/>
      <c r="N17" s="342"/>
      <c r="O17" s="342"/>
      <c r="P17" s="364"/>
      <c r="Q17" s="365"/>
      <c r="R17" s="366"/>
      <c r="S17" s="543"/>
      <c r="T17" s="534" t="s">
        <v>258</v>
      </c>
      <c r="U17" s="511"/>
      <c r="V17" s="641"/>
      <c r="W17" s="472"/>
      <c r="X17" s="482"/>
      <c r="Y17" s="214"/>
      <c r="Z17" s="199"/>
      <c r="AA17" s="174" t="s">
        <v>123</v>
      </c>
      <c r="AB17" s="175">
        <f>SUM(AB8:AB16)</f>
        <v>488597.92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8">
        <v>3</v>
      </c>
      <c r="C18" s="398" t="s">
        <v>269</v>
      </c>
      <c r="D18" s="422" t="s">
        <v>270</v>
      </c>
      <c r="E18" s="350">
        <f>'Project Plan'!E3*1000</f>
        <v>157000</v>
      </c>
      <c r="F18" s="453">
        <v>0.45</v>
      </c>
      <c r="G18" s="351">
        <v>70794</v>
      </c>
      <c r="H18" s="352">
        <f>'Project Plan'!E19+30</f>
        <v>45590</v>
      </c>
      <c r="I18" s="353"/>
      <c r="J18" s="920">
        <f>SUM(G18:G21)</f>
        <v>70794</v>
      </c>
      <c r="K18" s="920">
        <v>86334.146340000007</v>
      </c>
      <c r="L18" s="354"/>
      <c r="M18" s="348">
        <v>3</v>
      </c>
      <c r="N18" s="669" t="s">
        <v>271</v>
      </c>
      <c r="O18" s="422" t="s">
        <v>270</v>
      </c>
      <c r="P18" s="350">
        <v>1.1499999999999999</v>
      </c>
      <c r="Q18" s="686">
        <v>32045.599999999999</v>
      </c>
      <c r="R18" s="351">
        <f>Q18</f>
        <v>32045.599999999999</v>
      </c>
      <c r="S18" s="536" t="s">
        <v>272</v>
      </c>
      <c r="T18" s="746">
        <v>45565</v>
      </c>
      <c r="U18" s="770">
        <v>66337.123071076887</v>
      </c>
      <c r="V18" s="937">
        <f>K18-SUM(U18:U21)</f>
        <v>-4.396450356580317E-3</v>
      </c>
      <c r="W18" s="765">
        <v>45558</v>
      </c>
      <c r="X18" s="950">
        <f>SUM(R18:R21)</f>
        <v>33895.599999999999</v>
      </c>
      <c r="Y18" s="215" t="s">
        <v>273</v>
      </c>
      <c r="Z18" s="200"/>
      <c r="AA18" s="174" t="s">
        <v>274</v>
      </c>
      <c r="AB18" s="177">
        <f>+AB17*0.85</f>
        <v>415308.23199999996</v>
      </c>
    </row>
    <row r="19" spans="1:42" ht="14.25" customHeight="1">
      <c r="B19" s="401">
        <v>3</v>
      </c>
      <c r="C19" s="402"/>
      <c r="D19" s="424"/>
      <c r="E19" s="406"/>
      <c r="F19" s="425"/>
      <c r="G19" s="405"/>
      <c r="H19" s="357"/>
      <c r="I19" s="358"/>
      <c r="J19" s="921"/>
      <c r="K19" s="921"/>
      <c r="L19" s="359"/>
      <c r="M19" s="401">
        <v>3</v>
      </c>
      <c r="N19" s="670" t="s">
        <v>271</v>
      </c>
      <c r="O19" s="424" t="s">
        <v>275</v>
      </c>
      <c r="P19" s="406"/>
      <c r="Q19" s="425"/>
      <c r="R19" s="405">
        <v>0</v>
      </c>
      <c r="S19" s="812"/>
      <c r="T19" s="813">
        <v>45596</v>
      </c>
      <c r="U19" s="734">
        <v>16167.37</v>
      </c>
      <c r="V19" s="938"/>
      <c r="W19" s="816">
        <f>T19+30</f>
        <v>45626</v>
      </c>
      <c r="X19" s="951"/>
      <c r="Y19" s="210" t="s">
        <v>276</v>
      </c>
      <c r="Z19" s="201"/>
      <c r="AA19" s="179" t="s">
        <v>277</v>
      </c>
      <c r="AB19" s="176">
        <f>+AB18/'Project Plan'!$E$3/1000</f>
        <v>2.6452753630573249</v>
      </c>
      <c r="AE19" s="749"/>
    </row>
    <row r="20" spans="1:42" ht="14.25" customHeight="1">
      <c r="B20" s="401">
        <v>3</v>
      </c>
      <c r="C20" s="402"/>
      <c r="D20" s="424"/>
      <c r="E20" s="406"/>
      <c r="F20" s="425"/>
      <c r="G20" s="405"/>
      <c r="H20" s="357"/>
      <c r="I20" s="358"/>
      <c r="J20" s="921"/>
      <c r="K20" s="921"/>
      <c r="L20" s="359"/>
      <c r="M20" s="401">
        <v>3</v>
      </c>
      <c r="N20" s="670" t="s">
        <v>271</v>
      </c>
      <c r="O20" s="424" t="s">
        <v>252</v>
      </c>
      <c r="P20" s="406"/>
      <c r="Q20" s="425"/>
      <c r="R20" s="405">
        <v>1850</v>
      </c>
      <c r="S20" s="544" t="s">
        <v>278</v>
      </c>
      <c r="T20" s="732">
        <v>45565</v>
      </c>
      <c r="U20" s="734">
        <v>3829.6576653734755</v>
      </c>
      <c r="V20" s="938"/>
      <c r="W20" s="747">
        <v>45558</v>
      </c>
      <c r="X20" s="951"/>
      <c r="Y20" s="210"/>
      <c r="Z20" s="201"/>
    </row>
    <row r="21" spans="1:42" ht="15" customHeight="1" thickBot="1">
      <c r="B21" s="407">
        <v>3</v>
      </c>
      <c r="C21" s="439"/>
      <c r="D21" s="426"/>
      <c r="E21" s="410"/>
      <c r="F21" s="427"/>
      <c r="G21" s="428"/>
      <c r="H21" s="360"/>
      <c r="I21" s="361"/>
      <c r="J21" s="922"/>
      <c r="K21" s="922"/>
      <c r="L21" s="362"/>
      <c r="M21" s="407">
        <v>3</v>
      </c>
      <c r="N21" s="671" t="s">
        <v>271</v>
      </c>
      <c r="O21" s="426"/>
      <c r="P21" s="410"/>
      <c r="Q21" s="427"/>
      <c r="R21" s="428"/>
      <c r="S21" s="537"/>
      <c r="T21" s="518" t="s">
        <v>258</v>
      </c>
      <c r="U21" s="524">
        <f t="shared" ref="U21" si="1">(R21/$X$18*$K$18)</f>
        <v>0</v>
      </c>
      <c r="V21" s="939"/>
      <c r="W21" s="475"/>
      <c r="X21" s="968"/>
      <c r="Y21" s="216"/>
      <c r="Z21" s="202"/>
      <c r="AA21" s="180" t="s">
        <v>279</v>
      </c>
      <c r="AB21" s="181" t="s">
        <v>280</v>
      </c>
      <c r="AD21" s="180" t="s">
        <v>281</v>
      </c>
      <c r="AE21" s="181" t="s">
        <v>280</v>
      </c>
      <c r="AG21" s="180" t="s">
        <v>282</v>
      </c>
      <c r="AH21" s="181" t="s">
        <v>280</v>
      </c>
      <c r="AO21" s="24"/>
      <c r="AP21" s="24"/>
    </row>
    <row r="22" spans="1:42" ht="14.5" thickBot="1">
      <c r="A22" s="24"/>
      <c r="B22" s="363"/>
      <c r="C22" s="394"/>
      <c r="D22" s="395"/>
      <c r="E22" s="396"/>
      <c r="F22" s="397"/>
      <c r="G22" s="366"/>
      <c r="H22" s="346"/>
      <c r="I22" s="367"/>
      <c r="J22" s="347"/>
      <c r="K22" s="347"/>
      <c r="L22" s="24"/>
      <c r="M22" s="363"/>
      <c r="N22" s="394"/>
      <c r="O22" s="395"/>
      <c r="P22" s="396"/>
      <c r="Q22" s="397"/>
      <c r="R22" s="366"/>
      <c r="S22" s="543"/>
      <c r="T22" s="534" t="s">
        <v>258</v>
      </c>
      <c r="U22" s="511"/>
      <c r="V22" s="641"/>
      <c r="W22" s="472"/>
      <c r="X22" s="482"/>
      <c r="Y22" s="214"/>
      <c r="Z22" s="199"/>
      <c r="AA22" s="182" t="s">
        <v>251</v>
      </c>
      <c r="AB22" s="183">
        <v>68700</v>
      </c>
      <c r="AD22" s="182" t="s">
        <v>251</v>
      </c>
      <c r="AE22" s="183">
        <v>112764</v>
      </c>
      <c r="AF22" s="24"/>
      <c r="AG22" s="182" t="s">
        <v>251</v>
      </c>
      <c r="AH22" s="183">
        <f>38489.54+11795.44</f>
        <v>50284.98</v>
      </c>
      <c r="AI22" s="24" t="s">
        <v>283</v>
      </c>
      <c r="AJ22" s="24"/>
      <c r="AK22" s="24"/>
      <c r="AL22" s="24"/>
      <c r="AM22" s="24"/>
      <c r="AN22" s="24"/>
      <c r="AO22" s="24"/>
      <c r="AP22" s="24"/>
    </row>
    <row r="23" spans="1:42" ht="14.25" customHeight="1" thickTop="1" thickBot="1">
      <c r="B23" s="368">
        <v>4</v>
      </c>
      <c r="C23" s="369" t="s">
        <v>254</v>
      </c>
      <c r="D23" s="369" t="s">
        <v>284</v>
      </c>
      <c r="E23" s="502">
        <v>2308</v>
      </c>
      <c r="F23" s="585">
        <v>16</v>
      </c>
      <c r="G23" s="372">
        <f>E23*F23</f>
        <v>36928</v>
      </c>
      <c r="H23" s="373">
        <f>'Project Plan'!E31+30</f>
        <v>45590</v>
      </c>
      <c r="I23" s="374"/>
      <c r="J23" s="917">
        <f>SUM(G23:G33)</f>
        <v>107427.6</v>
      </c>
      <c r="K23" s="917">
        <v>131009.2683</v>
      </c>
      <c r="L23" s="375"/>
      <c r="M23" s="368">
        <v>4</v>
      </c>
      <c r="N23" s="672" t="s">
        <v>285</v>
      </c>
      <c r="O23" s="369" t="s">
        <v>284</v>
      </c>
      <c r="P23" s="502">
        <v>4000</v>
      </c>
      <c r="Q23" s="585">
        <v>13.5</v>
      </c>
      <c r="R23" s="372">
        <f>P23*Q23</f>
        <v>54000</v>
      </c>
      <c r="S23" s="768" t="s">
        <v>286</v>
      </c>
      <c r="T23" s="791">
        <v>45596</v>
      </c>
      <c r="U23" s="799">
        <v>49360.883103780296</v>
      </c>
      <c r="V23" s="943">
        <f>K23-SUM(U23:U33)</f>
        <v>-4.4763570185750723E-3</v>
      </c>
      <c r="W23" s="829">
        <f>T23+30</f>
        <v>45626</v>
      </c>
      <c r="X23" s="969">
        <f>SUM(R23:R33)</f>
        <v>183222.00000000003</v>
      </c>
      <c r="Y23" s="217" t="s">
        <v>287</v>
      </c>
      <c r="Z23" s="203" t="s">
        <v>288</v>
      </c>
      <c r="AA23" s="182" t="s">
        <v>254</v>
      </c>
      <c r="AB23" s="183">
        <v>74017.399999999994</v>
      </c>
      <c r="AD23" s="182" t="s">
        <v>254</v>
      </c>
      <c r="AE23" s="183">
        <v>89322</v>
      </c>
      <c r="AG23" s="182" t="s">
        <v>254</v>
      </c>
      <c r="AH23" s="183">
        <v>146436.88</v>
      </c>
      <c r="AO23" s="24"/>
      <c r="AP23" s="24"/>
    </row>
    <row r="24" spans="1:42" ht="14.25" customHeight="1">
      <c r="B24" s="412"/>
      <c r="C24" s="625"/>
      <c r="D24" s="625"/>
      <c r="E24" s="587"/>
      <c r="F24" s="588"/>
      <c r="G24" s="414"/>
      <c r="H24" s="708"/>
      <c r="I24" s="383"/>
      <c r="J24" s="918"/>
      <c r="K24" s="918"/>
      <c r="L24" s="384"/>
      <c r="M24" s="412"/>
      <c r="N24" s="672" t="s">
        <v>285</v>
      </c>
      <c r="O24" s="369" t="s">
        <v>284</v>
      </c>
      <c r="P24" s="587"/>
      <c r="Q24" s="588"/>
      <c r="R24" s="414">
        <v>39900</v>
      </c>
      <c r="S24" s="768" t="s">
        <v>289</v>
      </c>
      <c r="T24" s="791">
        <v>45322</v>
      </c>
      <c r="U24" s="801"/>
      <c r="V24" s="944"/>
      <c r="W24" s="795">
        <v>45744</v>
      </c>
      <c r="X24" s="970"/>
      <c r="Y24" s="626"/>
      <c r="Z24" s="627" t="s">
        <v>290</v>
      </c>
      <c r="AA24" s="182"/>
      <c r="AB24" s="183"/>
      <c r="AD24" s="182"/>
      <c r="AE24" s="183"/>
      <c r="AG24" s="182"/>
      <c r="AH24" s="183"/>
      <c r="AO24" s="24"/>
      <c r="AP24" s="24"/>
    </row>
    <row r="25" spans="1:42" ht="14.25" customHeight="1">
      <c r="B25" s="412">
        <v>4</v>
      </c>
      <c r="C25" s="625"/>
      <c r="D25" s="625" t="s">
        <v>291</v>
      </c>
      <c r="E25" s="587">
        <v>4</v>
      </c>
      <c r="F25" s="588">
        <v>5500</v>
      </c>
      <c r="G25" s="381">
        <f>E25*F25</f>
        <v>22000</v>
      </c>
      <c r="H25" s="382">
        <f>H26</f>
        <v>45611</v>
      </c>
      <c r="I25" s="383"/>
      <c r="J25" s="918"/>
      <c r="K25" s="918"/>
      <c r="L25" s="384"/>
      <c r="M25" s="376">
        <v>4</v>
      </c>
      <c r="N25" s="673" t="s">
        <v>285</v>
      </c>
      <c r="O25" s="625" t="s">
        <v>252</v>
      </c>
      <c r="P25" s="587"/>
      <c r="Q25" s="588"/>
      <c r="R25" s="381">
        <v>0</v>
      </c>
      <c r="S25" s="546"/>
      <c r="T25" s="516"/>
      <c r="U25" s="624">
        <f t="shared" ref="U25" si="2">(R25/$X$23*$K$23)</f>
        <v>0</v>
      </c>
      <c r="V25" s="944"/>
      <c r="W25" s="470"/>
      <c r="X25" s="970"/>
      <c r="Y25" s="626"/>
      <c r="Z25" s="627"/>
      <c r="AA25" s="182" t="s">
        <v>256</v>
      </c>
      <c r="AB25" s="183">
        <v>39250</v>
      </c>
      <c r="AD25" s="182" t="s">
        <v>256</v>
      </c>
      <c r="AE25" s="183">
        <v>42376</v>
      </c>
      <c r="AG25" s="182" t="s">
        <v>256</v>
      </c>
      <c r="AH25" s="183">
        <v>15154.29</v>
      </c>
      <c r="AO25" s="24"/>
      <c r="AP25" s="24"/>
    </row>
    <row r="26" spans="1:42" ht="14.25" customHeight="1">
      <c r="B26" s="412">
        <v>4</v>
      </c>
      <c r="C26" s="625"/>
      <c r="D26" s="625" t="s">
        <v>292</v>
      </c>
      <c r="E26" s="587">
        <v>130</v>
      </c>
      <c r="F26" s="588">
        <v>130</v>
      </c>
      <c r="G26" s="381">
        <f>E26*F26</f>
        <v>16900</v>
      </c>
      <c r="H26" s="382">
        <f>'Project Plan'!E34+30</f>
        <v>45611</v>
      </c>
      <c r="I26" s="383"/>
      <c r="J26" s="918"/>
      <c r="K26" s="918"/>
      <c r="L26" s="384"/>
      <c r="M26" s="376">
        <v>4</v>
      </c>
      <c r="N26" s="673" t="s">
        <v>285</v>
      </c>
      <c r="O26" s="625" t="s">
        <v>293</v>
      </c>
      <c r="P26" s="702">
        <f>AE23</f>
        <v>89322</v>
      </c>
      <c r="Q26" s="687">
        <v>0.1</v>
      </c>
      <c r="R26" s="381">
        <f>$P$26*Q26</f>
        <v>8932.2000000000007</v>
      </c>
      <c r="S26" s="768" t="s">
        <v>294</v>
      </c>
      <c r="T26" s="762">
        <f>T73</f>
        <v>45565</v>
      </c>
      <c r="U26" s="801">
        <v>8164.8385196219697</v>
      </c>
      <c r="V26" s="944"/>
      <c r="W26" s="769">
        <v>45560</v>
      </c>
      <c r="X26" s="970"/>
      <c r="Y26" s="991" t="s">
        <v>295</v>
      </c>
      <c r="Z26" s="627"/>
      <c r="AA26" s="182" t="s">
        <v>257</v>
      </c>
      <c r="AB26" s="183">
        <v>94750</v>
      </c>
      <c r="AC26" s="749">
        <f>SUM(AB25:AB26)/148000</f>
        <v>0.90540540540540537</v>
      </c>
      <c r="AD26" s="182" t="s">
        <v>257</v>
      </c>
      <c r="AE26" s="183">
        <v>73929</v>
      </c>
      <c r="AF26" s="749">
        <f>SUM(AE25:AE26)/148000</f>
        <v>0.78584459459459455</v>
      </c>
      <c r="AG26" s="182" t="s">
        <v>257</v>
      </c>
      <c r="AH26" s="183">
        <v>126363.55</v>
      </c>
      <c r="AI26" s="749">
        <f>SUM(AH25:AH26)/148000</f>
        <v>0.95620162162162159</v>
      </c>
      <c r="AO26" s="24"/>
      <c r="AP26" s="24"/>
    </row>
    <row r="27" spans="1:42" ht="14.25" customHeight="1">
      <c r="B27" s="412">
        <v>4</v>
      </c>
      <c r="C27" s="625"/>
      <c r="D27" s="652" t="s">
        <v>296</v>
      </c>
      <c r="E27" s="594">
        <f>E23</f>
        <v>2308</v>
      </c>
      <c r="F27" s="653">
        <v>13.5</v>
      </c>
      <c r="G27" s="381">
        <f t="shared" ref="G27" si="3">E27*F27</f>
        <v>31158</v>
      </c>
      <c r="H27" s="382">
        <f>H18</f>
        <v>45590</v>
      </c>
      <c r="I27" s="383"/>
      <c r="J27" s="918"/>
      <c r="K27" s="918"/>
      <c r="L27" s="384"/>
      <c r="M27" s="376">
        <v>4</v>
      </c>
      <c r="N27" s="673" t="s">
        <v>285</v>
      </c>
      <c r="O27" s="625" t="s">
        <v>150</v>
      </c>
      <c r="P27" s="654"/>
      <c r="Q27" s="687">
        <v>0.15</v>
      </c>
      <c r="R27" s="381">
        <f t="shared" ref="R27:R33" si="4">$P$26*Q27</f>
        <v>13398.3</v>
      </c>
      <c r="S27" s="768" t="s">
        <v>297</v>
      </c>
      <c r="T27" s="762">
        <f t="shared" ref="T27:T32" si="5">T74</f>
        <v>45565</v>
      </c>
      <c r="U27" s="801">
        <v>12247.257779432954</v>
      </c>
      <c r="V27" s="944"/>
      <c r="W27" s="796">
        <f t="shared" ref="W27:W32" si="6">W74</f>
        <v>45575</v>
      </c>
      <c r="X27" s="970"/>
      <c r="Y27" s="992"/>
      <c r="Z27" s="627"/>
      <c r="AA27" s="182" t="s">
        <v>259</v>
      </c>
      <c r="AB27" s="183">
        <v>0</v>
      </c>
      <c r="AD27" s="182" t="s">
        <v>298</v>
      </c>
      <c r="AE27" s="183">
        <v>33116</v>
      </c>
      <c r="AG27" s="182" t="s">
        <v>298</v>
      </c>
      <c r="AH27" s="183">
        <f>54896.4+15381.6</f>
        <v>70278</v>
      </c>
      <c r="AO27" s="24"/>
      <c r="AP27" s="24"/>
    </row>
    <row r="28" spans="1:42" ht="14.25" customHeight="1">
      <c r="B28" s="412">
        <v>4</v>
      </c>
      <c r="C28" s="625"/>
      <c r="D28" s="415" t="s">
        <v>299</v>
      </c>
      <c r="E28" s="654">
        <v>27.6</v>
      </c>
      <c r="F28" s="588">
        <v>16</v>
      </c>
      <c r="G28" s="381">
        <f>E28*F28</f>
        <v>441.6</v>
      </c>
      <c r="H28" s="382">
        <f>'Project Plan'!E35</f>
        <v>45581</v>
      </c>
      <c r="I28" s="383"/>
      <c r="J28" s="918"/>
      <c r="K28" s="918"/>
      <c r="L28" s="384"/>
      <c r="M28" s="376">
        <v>4</v>
      </c>
      <c r="N28" s="673" t="s">
        <v>285</v>
      </c>
      <c r="O28" s="625" t="s">
        <v>300</v>
      </c>
      <c r="P28" s="654"/>
      <c r="Q28" s="687">
        <v>0.2</v>
      </c>
      <c r="R28" s="381">
        <f t="shared" si="4"/>
        <v>17864.400000000001</v>
      </c>
      <c r="S28" s="546" t="s">
        <v>301</v>
      </c>
      <c r="T28" s="762">
        <f t="shared" si="5"/>
        <v>45596</v>
      </c>
      <c r="U28" s="801">
        <v>16329.677039243939</v>
      </c>
      <c r="V28" s="944"/>
      <c r="W28" s="796">
        <f t="shared" si="6"/>
        <v>45625</v>
      </c>
      <c r="X28" s="970"/>
      <c r="Y28" s="992"/>
      <c r="Z28" s="627"/>
      <c r="AA28" s="182" t="s">
        <v>302</v>
      </c>
      <c r="AB28" s="183">
        <v>15000</v>
      </c>
      <c r="AD28" s="182" t="s">
        <v>303</v>
      </c>
      <c r="AE28" s="183">
        <v>12113</v>
      </c>
      <c r="AG28" s="182" t="s">
        <v>58</v>
      </c>
      <c r="AH28" s="183">
        <v>7027.8</v>
      </c>
      <c r="AO28" s="24"/>
      <c r="AP28" s="24"/>
    </row>
    <row r="29" spans="1:42" ht="14.25" customHeight="1">
      <c r="B29" s="412">
        <v>4</v>
      </c>
      <c r="C29" s="625"/>
      <c r="D29" s="625"/>
      <c r="E29" s="654"/>
      <c r="F29" s="588"/>
      <c r="G29" s="381"/>
      <c r="H29" s="382"/>
      <c r="I29" s="383"/>
      <c r="J29" s="918"/>
      <c r="K29" s="918"/>
      <c r="L29" s="384"/>
      <c r="M29" s="376">
        <v>4</v>
      </c>
      <c r="N29" s="673" t="s">
        <v>285</v>
      </c>
      <c r="O29" s="625" t="s">
        <v>304</v>
      </c>
      <c r="P29" s="654"/>
      <c r="Q29" s="687">
        <v>0.25</v>
      </c>
      <c r="R29" s="381">
        <f t="shared" si="4"/>
        <v>22330.5</v>
      </c>
      <c r="S29" s="546" t="s">
        <v>305</v>
      </c>
      <c r="T29" s="762">
        <f t="shared" si="5"/>
        <v>45596</v>
      </c>
      <c r="U29" s="801">
        <v>20412.096299054923</v>
      </c>
      <c r="V29" s="944"/>
      <c r="W29" s="796">
        <f t="shared" si="6"/>
        <v>45687</v>
      </c>
      <c r="X29" s="970"/>
      <c r="Y29" s="992"/>
      <c r="Z29" s="627"/>
      <c r="AA29" s="182" t="s">
        <v>306</v>
      </c>
      <c r="AB29" s="183">
        <v>0</v>
      </c>
      <c r="AD29" s="182" t="s">
        <v>307</v>
      </c>
      <c r="AE29" s="183">
        <v>40224</v>
      </c>
      <c r="AG29" s="182" t="s">
        <v>308</v>
      </c>
      <c r="AH29" s="183">
        <v>3978</v>
      </c>
      <c r="AO29" s="24"/>
      <c r="AP29" s="24"/>
    </row>
    <row r="30" spans="1:42" ht="14.25" customHeight="1">
      <c r="B30" s="412">
        <v>4</v>
      </c>
      <c r="C30" s="625"/>
      <c r="D30" s="625"/>
      <c r="E30" s="654"/>
      <c r="F30" s="588"/>
      <c r="G30" s="381"/>
      <c r="H30" s="382"/>
      <c r="I30" s="383"/>
      <c r="J30" s="918"/>
      <c r="K30" s="918"/>
      <c r="L30" s="384"/>
      <c r="M30" s="376">
        <v>4</v>
      </c>
      <c r="N30" s="673" t="s">
        <v>285</v>
      </c>
      <c r="O30" s="625" t="s">
        <v>309</v>
      </c>
      <c r="P30" s="654"/>
      <c r="Q30" s="687">
        <v>0.1</v>
      </c>
      <c r="R30" s="381">
        <f t="shared" si="4"/>
        <v>8932.2000000000007</v>
      </c>
      <c r="S30" s="546" t="s">
        <v>310</v>
      </c>
      <c r="T30" s="762">
        <f t="shared" si="5"/>
        <v>45626</v>
      </c>
      <c r="U30" s="801">
        <v>8164.8385196219697</v>
      </c>
      <c r="V30" s="944"/>
      <c r="W30" s="796">
        <f t="shared" si="6"/>
        <v>45625</v>
      </c>
      <c r="X30" s="970"/>
      <c r="Y30" s="992"/>
      <c r="Z30" s="627"/>
      <c r="AA30" s="182" t="s">
        <v>58</v>
      </c>
      <c r="AB30" s="183">
        <v>4500</v>
      </c>
      <c r="AD30" s="182" t="s">
        <v>311</v>
      </c>
      <c r="AE30" s="183">
        <v>0</v>
      </c>
      <c r="AG30" s="182" t="s">
        <v>312</v>
      </c>
      <c r="AH30" s="183">
        <v>14818.05</v>
      </c>
      <c r="AO30" s="24"/>
      <c r="AP30" s="24"/>
    </row>
    <row r="31" spans="1:42" ht="15" customHeight="1">
      <c r="B31" s="376">
        <v>4</v>
      </c>
      <c r="C31" s="377"/>
      <c r="D31" s="415"/>
      <c r="E31" s="654"/>
      <c r="F31" s="588"/>
      <c r="G31" s="381"/>
      <c r="H31" s="382"/>
      <c r="I31" s="383"/>
      <c r="J31" s="918"/>
      <c r="K31" s="918"/>
      <c r="L31" s="384"/>
      <c r="M31" s="376">
        <v>4</v>
      </c>
      <c r="N31" s="673" t="s">
        <v>285</v>
      </c>
      <c r="O31" s="415" t="s">
        <v>313</v>
      </c>
      <c r="P31" s="654"/>
      <c r="Q31" s="687">
        <v>0.1</v>
      </c>
      <c r="R31" s="381">
        <f t="shared" si="4"/>
        <v>8932.2000000000007</v>
      </c>
      <c r="S31" s="546" t="s">
        <v>314</v>
      </c>
      <c r="T31" s="762">
        <f t="shared" si="5"/>
        <v>45626</v>
      </c>
      <c r="U31" s="801">
        <v>8164.8385196219697</v>
      </c>
      <c r="V31" s="945"/>
      <c r="W31" s="796">
        <f t="shared" si="6"/>
        <v>45631</v>
      </c>
      <c r="X31" s="970"/>
      <c r="Y31" s="992"/>
      <c r="Z31" s="196"/>
      <c r="AA31" s="182" t="s">
        <v>268</v>
      </c>
      <c r="AB31" s="183">
        <v>0</v>
      </c>
      <c r="AD31" s="182" t="s">
        <v>268</v>
      </c>
      <c r="AE31" s="183">
        <v>0</v>
      </c>
      <c r="AG31" s="182" t="s">
        <v>268</v>
      </c>
      <c r="AH31" s="183">
        <v>0</v>
      </c>
      <c r="AO31" s="24"/>
      <c r="AP31" s="24"/>
    </row>
    <row r="32" spans="1:42" ht="15" customHeight="1">
      <c r="B32" s="376">
        <v>4</v>
      </c>
      <c r="C32" s="415"/>
      <c r="D32" s="652"/>
      <c r="E32" s="594"/>
      <c r="F32" s="653"/>
      <c r="G32" s="381"/>
      <c r="H32" s="382"/>
      <c r="I32" s="384"/>
      <c r="J32" s="918"/>
      <c r="K32" s="918"/>
      <c r="L32" s="384"/>
      <c r="M32" s="376">
        <v>4</v>
      </c>
      <c r="N32" s="673" t="s">
        <v>285</v>
      </c>
      <c r="O32" s="652" t="s">
        <v>315</v>
      </c>
      <c r="P32" s="594"/>
      <c r="Q32" s="688">
        <v>0.05</v>
      </c>
      <c r="R32" s="381">
        <f t="shared" si="4"/>
        <v>4466.1000000000004</v>
      </c>
      <c r="S32" s="546" t="s">
        <v>316</v>
      </c>
      <c r="T32" s="762">
        <f t="shared" si="5"/>
        <v>45688</v>
      </c>
      <c r="U32" s="800">
        <v>4082.4264979894879</v>
      </c>
      <c r="V32" s="945"/>
      <c r="W32" s="796">
        <f t="shared" si="6"/>
        <v>45701</v>
      </c>
      <c r="X32" s="970"/>
      <c r="Y32" s="992"/>
      <c r="Z32" s="196"/>
      <c r="AA32" s="182" t="s">
        <v>268</v>
      </c>
      <c r="AB32" s="183">
        <v>0</v>
      </c>
      <c r="AD32" s="182" t="s">
        <v>268</v>
      </c>
      <c r="AE32" s="183">
        <v>0</v>
      </c>
      <c r="AG32" s="182" t="s">
        <v>268</v>
      </c>
      <c r="AH32" s="183">
        <v>0</v>
      </c>
      <c r="AO32" s="24"/>
      <c r="AP32" s="24"/>
    </row>
    <row r="33" spans="1:42" ht="15" customHeight="1" thickBot="1">
      <c r="B33" s="385">
        <v>4</v>
      </c>
      <c r="C33" s="420"/>
      <c r="D33" s="420"/>
      <c r="E33" s="591"/>
      <c r="F33" s="595"/>
      <c r="G33" s="390"/>
      <c r="H33" s="391"/>
      <c r="I33" s="393"/>
      <c r="J33" s="919"/>
      <c r="K33" s="919"/>
      <c r="L33" s="393"/>
      <c r="M33" s="385">
        <v>4</v>
      </c>
      <c r="N33" s="674" t="s">
        <v>285</v>
      </c>
      <c r="O33" s="420" t="s">
        <v>317</v>
      </c>
      <c r="P33" s="591"/>
      <c r="Q33" s="689">
        <v>0.05</v>
      </c>
      <c r="R33" s="595">
        <f t="shared" si="4"/>
        <v>4466.1000000000004</v>
      </c>
      <c r="S33" s="633" t="s">
        <v>318</v>
      </c>
      <c r="T33" s="806">
        <f>T80</f>
        <v>45688</v>
      </c>
      <c r="U33" s="840">
        <v>4082.4164979894877</v>
      </c>
      <c r="V33" s="946"/>
      <c r="W33" s="847">
        <f>W80</f>
        <v>45722</v>
      </c>
      <c r="X33" s="971"/>
      <c r="Y33" s="993"/>
      <c r="Z33" s="204"/>
      <c r="AA33" s="182" t="s">
        <v>268</v>
      </c>
      <c r="AB33" s="184">
        <v>0</v>
      </c>
      <c r="AD33" s="182" t="s">
        <v>268</v>
      </c>
      <c r="AE33" s="184">
        <v>0</v>
      </c>
      <c r="AG33" s="182" t="s">
        <v>268</v>
      </c>
      <c r="AH33" s="184">
        <v>0</v>
      </c>
      <c r="AO33" s="24"/>
      <c r="AP33" s="24"/>
    </row>
    <row r="34" spans="1:42" ht="14.5" thickBot="1">
      <c r="A34" s="24"/>
      <c r="B34" s="341"/>
      <c r="C34" s="342"/>
      <c r="D34" s="342"/>
      <c r="E34" s="364"/>
      <c r="F34" s="345"/>
      <c r="G34" s="365"/>
      <c r="H34" s="346"/>
      <c r="I34" s="24"/>
      <c r="J34" s="347"/>
      <c r="K34" s="347"/>
      <c r="L34" s="24"/>
      <c r="M34" s="341"/>
      <c r="N34" s="342"/>
      <c r="O34" s="342"/>
      <c r="P34" s="364"/>
      <c r="Q34" s="345"/>
      <c r="R34" s="365"/>
      <c r="S34" s="543"/>
      <c r="T34" s="534" t="str">
        <f t="shared" ref="T34:T81" si="7">IF(W34&gt;1,EOMONTH(W34,-1),"")</f>
        <v/>
      </c>
      <c r="U34" s="511"/>
      <c r="V34" s="641"/>
      <c r="W34" s="472"/>
      <c r="X34" s="482"/>
      <c r="Y34" s="214"/>
      <c r="Z34" s="199"/>
      <c r="AA34" s="182" t="s">
        <v>123</v>
      </c>
      <c r="AB34" s="183">
        <f>SUM(AB22:AB33)</f>
        <v>296217.40000000002</v>
      </c>
      <c r="AD34" s="182" t="s">
        <v>123</v>
      </c>
      <c r="AE34" s="183">
        <f>SUM(AE22:AE33)</f>
        <v>403844</v>
      </c>
      <c r="AF34" s="24"/>
      <c r="AG34" s="182" t="s">
        <v>123</v>
      </c>
      <c r="AH34" s="183">
        <f>SUM(AH22:AH33)</f>
        <v>434341.55</v>
      </c>
      <c r="AI34" s="24"/>
      <c r="AJ34" s="24"/>
      <c r="AK34" s="24"/>
      <c r="AL34" s="24"/>
      <c r="AM34" s="24"/>
      <c r="AN34" s="24"/>
      <c r="AO34" s="24"/>
      <c r="AP34" s="24"/>
    </row>
    <row r="35" spans="1:42" ht="14.25" customHeight="1">
      <c r="B35" s="348">
        <v>5</v>
      </c>
      <c r="C35" s="398" t="s">
        <v>319</v>
      </c>
      <c r="D35" s="422" t="s">
        <v>320</v>
      </c>
      <c r="E35" s="350">
        <v>1</v>
      </c>
      <c r="F35" s="686">
        <v>26000</v>
      </c>
      <c r="G35" s="351">
        <f>F35*E35</f>
        <v>26000</v>
      </c>
      <c r="H35" s="352">
        <f t="shared" ref="H35" si="8">H13</f>
        <v>45590</v>
      </c>
      <c r="I35" s="353"/>
      <c r="J35" s="920">
        <f>SUM(G35:G41)</f>
        <v>49000</v>
      </c>
      <c r="K35" s="920">
        <v>59756.097560000002</v>
      </c>
      <c r="L35" s="354"/>
      <c r="M35" s="348">
        <v>5</v>
      </c>
      <c r="N35" s="669" t="s">
        <v>321</v>
      </c>
      <c r="O35" s="349" t="s">
        <v>320</v>
      </c>
      <c r="P35" s="655">
        <v>1</v>
      </c>
      <c r="Q35" s="657">
        <v>8000</v>
      </c>
      <c r="R35" s="351">
        <f>Q35*P35</f>
        <v>8000</v>
      </c>
      <c r="S35" s="536" t="s">
        <v>322</v>
      </c>
      <c r="T35" s="746">
        <v>45535</v>
      </c>
      <c r="U35" s="770">
        <v>11164.016778879275</v>
      </c>
      <c r="V35" s="937">
        <f>K35-SUM(U35:U41)</f>
        <v>1.4868803118588403E-3</v>
      </c>
      <c r="W35" s="765">
        <v>45561</v>
      </c>
      <c r="X35" s="950">
        <f>SUM(R35:R41)</f>
        <v>34242.090000000004</v>
      </c>
      <c r="Y35" s="215"/>
      <c r="Z35" s="200"/>
      <c r="AA35" s="623" t="s">
        <v>277</v>
      </c>
      <c r="AB35" s="184">
        <f>AB34/'Project Plan'!$E$3/1000</f>
        <v>1.8867350318471341</v>
      </c>
      <c r="AC35" s="24"/>
      <c r="AD35" s="623" t="s">
        <v>277</v>
      </c>
      <c r="AE35" s="184">
        <f>AE34/'Project Plan'!$E$3/1000</f>
        <v>2.5722547770700634</v>
      </c>
      <c r="AG35" s="623" t="s">
        <v>277</v>
      </c>
      <c r="AH35" s="184">
        <f>AH34/'Project Plan'!$E$3/1000</f>
        <v>2.7665066878980893</v>
      </c>
      <c r="AO35" s="24"/>
      <c r="AP35" s="24"/>
    </row>
    <row r="36" spans="1:42" ht="14.25" customHeight="1">
      <c r="B36" s="355">
        <v>5</v>
      </c>
      <c r="C36" s="399"/>
      <c r="D36" s="424" t="s">
        <v>323</v>
      </c>
      <c r="E36" s="406"/>
      <c r="F36" s="662"/>
      <c r="G36" s="405">
        <v>8000</v>
      </c>
      <c r="H36" s="357">
        <f>H35</f>
        <v>45590</v>
      </c>
      <c r="I36" s="358"/>
      <c r="J36" s="921"/>
      <c r="K36" s="921"/>
      <c r="L36" s="359"/>
      <c r="M36" s="355">
        <v>5</v>
      </c>
      <c r="N36" s="675" t="s">
        <v>321</v>
      </c>
      <c r="O36" s="356" t="s">
        <v>324</v>
      </c>
      <c r="P36" s="656"/>
      <c r="Q36" s="658"/>
      <c r="R36" s="405">
        <v>11820.5</v>
      </c>
      <c r="S36" s="536" t="s">
        <v>325</v>
      </c>
      <c r="T36" s="746">
        <v>45535</v>
      </c>
      <c r="U36" s="734">
        <v>16495.532541842807</v>
      </c>
      <c r="V36" s="967"/>
      <c r="W36" s="766">
        <v>45562</v>
      </c>
      <c r="X36" s="951"/>
      <c r="Y36" s="219"/>
      <c r="Z36" s="205"/>
      <c r="AC36" s="24"/>
      <c r="AD36" s="646"/>
      <c r="AO36" s="24"/>
      <c r="AP36" s="24"/>
    </row>
    <row r="37" spans="1:42" ht="14.25" customHeight="1">
      <c r="B37" s="355">
        <v>5</v>
      </c>
      <c r="C37" s="399"/>
      <c r="D37" s="356" t="s">
        <v>326</v>
      </c>
      <c r="E37" s="656">
        <v>1</v>
      </c>
      <c r="F37" s="658">
        <v>15000</v>
      </c>
      <c r="G37" s="405">
        <f t="shared" ref="G37" si="9">F37*E37</f>
        <v>15000</v>
      </c>
      <c r="H37" s="400">
        <f>'Project Plan'!G51</f>
        <v>45628</v>
      </c>
      <c r="I37" s="358"/>
      <c r="J37" s="921"/>
      <c r="K37" s="921"/>
      <c r="L37" s="359"/>
      <c r="M37" s="355">
        <v>5</v>
      </c>
      <c r="N37" s="675" t="s">
        <v>321</v>
      </c>
      <c r="O37" s="356" t="s">
        <v>326</v>
      </c>
      <c r="P37" s="656">
        <v>1</v>
      </c>
      <c r="Q37" s="658">
        <v>11169</v>
      </c>
      <c r="R37" s="405">
        <f t="shared" ref="R37" si="10">Q37*P37</f>
        <v>11169</v>
      </c>
      <c r="S37" s="536" t="s">
        <v>327</v>
      </c>
      <c r="T37" s="746">
        <v>45626</v>
      </c>
      <c r="U37" s="734">
        <v>23106.548907431301</v>
      </c>
      <c r="V37" s="938"/>
      <c r="W37" s="746">
        <v>45626</v>
      </c>
      <c r="X37" s="951"/>
      <c r="Y37" s="219"/>
      <c r="Z37" s="205"/>
      <c r="AD37" s="646"/>
      <c r="AO37" s="24"/>
      <c r="AP37" s="24"/>
    </row>
    <row r="38" spans="1:42" ht="14.25" customHeight="1">
      <c r="B38" s="355"/>
      <c r="C38" s="399"/>
      <c r="D38" s="356"/>
      <c r="E38" s="656"/>
      <c r="F38" s="658"/>
      <c r="G38" s="405"/>
      <c r="H38" s="400"/>
      <c r="I38" s="358"/>
      <c r="J38" s="921"/>
      <c r="K38" s="921"/>
      <c r="L38" s="359"/>
      <c r="M38" s="355">
        <v>5</v>
      </c>
      <c r="N38" s="675" t="s">
        <v>321</v>
      </c>
      <c r="O38" s="356" t="s">
        <v>328</v>
      </c>
      <c r="P38" s="656"/>
      <c r="Q38" s="658"/>
      <c r="R38" s="405">
        <v>129.63</v>
      </c>
      <c r="S38" s="814" t="s">
        <v>329</v>
      </c>
      <c r="T38" s="815">
        <v>45596</v>
      </c>
      <c r="U38" s="734">
        <v>206.49527537125621</v>
      </c>
      <c r="V38" s="938"/>
      <c r="W38" s="816">
        <v>45626</v>
      </c>
      <c r="X38" s="951"/>
      <c r="Y38" s="219"/>
      <c r="Z38" s="205"/>
      <c r="AD38" s="646"/>
      <c r="AO38" s="24"/>
      <c r="AP38" s="24"/>
    </row>
    <row r="39" spans="1:42" ht="14.25" customHeight="1">
      <c r="B39" s="401">
        <v>5</v>
      </c>
      <c r="C39" s="402"/>
      <c r="D39" s="403"/>
      <c r="E39" s="577"/>
      <c r="F39" s="454"/>
      <c r="G39" s="405"/>
      <c r="H39" s="357"/>
      <c r="I39" s="358"/>
      <c r="J39" s="921"/>
      <c r="K39" s="921"/>
      <c r="L39" s="359"/>
      <c r="M39" s="401">
        <v>5</v>
      </c>
      <c r="N39" s="675" t="s">
        <v>321</v>
      </c>
      <c r="O39" s="403"/>
      <c r="P39" s="577"/>
      <c r="Q39" s="454"/>
      <c r="R39" s="405">
        <v>110.45</v>
      </c>
      <c r="S39" s="544" t="s">
        <v>330</v>
      </c>
      <c r="T39" s="746">
        <v>45808</v>
      </c>
      <c r="U39" s="523">
        <v>0</v>
      </c>
      <c r="V39" s="938"/>
      <c r="W39" s="747">
        <v>45838</v>
      </c>
      <c r="X39" s="951"/>
      <c r="Y39" s="210"/>
      <c r="Z39" s="201"/>
      <c r="AD39" s="646"/>
      <c r="AO39" s="24"/>
      <c r="AP39" s="24"/>
    </row>
    <row r="40" spans="1:42" ht="14.25" customHeight="1">
      <c r="B40" s="401">
        <v>5</v>
      </c>
      <c r="C40" s="402"/>
      <c r="D40" s="403"/>
      <c r="E40" s="577"/>
      <c r="F40" s="454"/>
      <c r="G40" s="405"/>
      <c r="H40" s="357"/>
      <c r="I40" s="358"/>
      <c r="J40" s="921"/>
      <c r="K40" s="921"/>
      <c r="L40" s="359"/>
      <c r="M40" s="401">
        <v>5</v>
      </c>
      <c r="N40" s="675" t="s">
        <v>321</v>
      </c>
      <c r="O40" s="403" t="s">
        <v>331</v>
      </c>
      <c r="P40" s="577"/>
      <c r="Q40" s="454"/>
      <c r="R40" s="405">
        <f>12812.55/5</f>
        <v>2562.5099999999998</v>
      </c>
      <c r="S40" s="544" t="s">
        <v>332</v>
      </c>
      <c r="T40" s="793">
        <v>45596</v>
      </c>
      <c r="U40" s="734">
        <v>7995.6633710684082</v>
      </c>
      <c r="V40" s="938"/>
      <c r="W40" s="747">
        <v>45575</v>
      </c>
      <c r="X40" s="951"/>
      <c r="Y40" s="210" t="s">
        <v>333</v>
      </c>
      <c r="Z40" s="201" t="s">
        <v>334</v>
      </c>
      <c r="AO40" s="24"/>
      <c r="AP40" s="24"/>
    </row>
    <row r="41" spans="1:42" ht="15" customHeight="1" thickBot="1">
      <c r="B41" s="407">
        <v>5</v>
      </c>
      <c r="C41" s="439"/>
      <c r="D41" s="408"/>
      <c r="E41" s="580"/>
      <c r="F41" s="455"/>
      <c r="G41" s="428"/>
      <c r="H41" s="360"/>
      <c r="I41" s="361"/>
      <c r="J41" s="922"/>
      <c r="K41" s="922"/>
      <c r="L41" s="362"/>
      <c r="M41" s="407">
        <v>5</v>
      </c>
      <c r="N41" s="671" t="s">
        <v>321</v>
      </c>
      <c r="O41" s="408" t="s">
        <v>335</v>
      </c>
      <c r="P41" s="580"/>
      <c r="Q41" s="455"/>
      <c r="R41" s="428">
        <v>450</v>
      </c>
      <c r="S41" s="832" t="s">
        <v>336</v>
      </c>
      <c r="T41" s="827">
        <v>45657</v>
      </c>
      <c r="U41" s="828">
        <v>787.83919852664576</v>
      </c>
      <c r="V41" s="939"/>
      <c r="W41" s="825">
        <f>T41+30</f>
        <v>45687</v>
      </c>
      <c r="X41" s="968"/>
      <c r="Y41" s="216" t="s">
        <v>337</v>
      </c>
      <c r="Z41" s="202"/>
    </row>
    <row r="42" spans="1:42" ht="14.5" thickBot="1">
      <c r="A42" s="24"/>
      <c r="B42" s="363"/>
      <c r="C42" s="394"/>
      <c r="D42" s="343"/>
      <c r="E42" s="344"/>
      <c r="F42" s="345"/>
      <c r="G42" s="366"/>
      <c r="H42" s="346"/>
      <c r="I42" s="367"/>
      <c r="J42" s="421"/>
      <c r="K42" s="421"/>
      <c r="L42" s="24"/>
      <c r="M42" s="363"/>
      <c r="N42" s="394"/>
      <c r="O42" s="343"/>
      <c r="P42" s="344"/>
      <c r="Q42" s="345"/>
      <c r="R42" s="366"/>
      <c r="S42" s="543"/>
      <c r="T42" s="534" t="str">
        <f t="shared" si="7"/>
        <v/>
      </c>
      <c r="U42" s="511"/>
      <c r="V42" s="641"/>
      <c r="W42" s="472"/>
      <c r="X42" s="483"/>
      <c r="Y42" s="214"/>
      <c r="Z42" s="199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</row>
    <row r="43" spans="1:42" ht="14.25" customHeight="1">
      <c r="B43" s="368">
        <v>6</v>
      </c>
      <c r="C43" s="369" t="s">
        <v>251</v>
      </c>
      <c r="D43" s="370"/>
      <c r="E43" s="371"/>
      <c r="F43" s="596"/>
      <c r="G43" s="372"/>
      <c r="H43" s="373"/>
      <c r="I43" s="374"/>
      <c r="J43" s="917">
        <f>SUM(G43:G55)</f>
        <v>276727.82</v>
      </c>
      <c r="K43" s="917">
        <v>337472.94799999997</v>
      </c>
      <c r="L43" s="375"/>
      <c r="M43" s="368">
        <v>6</v>
      </c>
      <c r="N43" s="678" t="s">
        <v>338</v>
      </c>
      <c r="O43" s="680"/>
      <c r="P43" s="703"/>
      <c r="Q43" s="690"/>
      <c r="R43" s="681"/>
      <c r="S43" s="546"/>
      <c r="T43" s="512" t="str">
        <f t="shared" si="7"/>
        <v/>
      </c>
      <c r="U43" s="525">
        <f>(R43/$X$43*$K$43)</f>
        <v>0</v>
      </c>
      <c r="V43" s="953">
        <f>K43-SUM(U43:U55)</f>
        <v>0</v>
      </c>
      <c r="W43" s="650"/>
      <c r="X43" s="969">
        <f>SUM(R43:R55)</f>
        <v>182814</v>
      </c>
      <c r="Y43" s="217"/>
      <c r="Z43" s="203"/>
    </row>
    <row r="44" spans="1:42" ht="14.25" customHeight="1">
      <c r="B44" s="412"/>
      <c r="C44" s="625"/>
      <c r="D44" s="705"/>
      <c r="E44" s="706"/>
      <c r="F44" s="707"/>
      <c r="G44" s="414"/>
      <c r="H44" s="708"/>
      <c r="I44" s="383"/>
      <c r="J44" s="918"/>
      <c r="K44" s="918"/>
      <c r="L44" s="384"/>
      <c r="M44" s="376">
        <v>6</v>
      </c>
      <c r="N44" s="676" t="s">
        <v>338</v>
      </c>
      <c r="O44" s="709" t="s">
        <v>339</v>
      </c>
      <c r="P44" s="751">
        <v>0.4</v>
      </c>
      <c r="Q44" s="752">
        <v>62800</v>
      </c>
      <c r="R44" s="750">
        <f>P44*Q44</f>
        <v>25120</v>
      </c>
      <c r="S44" s="546" t="s">
        <v>340</v>
      </c>
      <c r="T44" s="761">
        <v>45565</v>
      </c>
      <c r="U44" s="801">
        <v>46371.286957016418</v>
      </c>
      <c r="V44" s="954"/>
      <c r="W44" s="795">
        <v>45568</v>
      </c>
      <c r="X44" s="970"/>
      <c r="Y44" s="991" t="s">
        <v>341</v>
      </c>
      <c r="Z44" s="627"/>
    </row>
    <row r="45" spans="1:42" ht="14.25" customHeight="1">
      <c r="B45" s="412"/>
      <c r="C45" s="625"/>
      <c r="D45" s="705"/>
      <c r="E45" s="706"/>
      <c r="F45" s="707"/>
      <c r="G45" s="414"/>
      <c r="H45" s="708"/>
      <c r="I45" s="383"/>
      <c r="J45" s="918"/>
      <c r="K45" s="918"/>
      <c r="L45" s="384"/>
      <c r="M45" s="376">
        <v>6</v>
      </c>
      <c r="N45" s="676" t="s">
        <v>338</v>
      </c>
      <c r="O45" s="709" t="s">
        <v>342</v>
      </c>
      <c r="P45" s="751">
        <v>0.6</v>
      </c>
      <c r="Q45" s="711"/>
      <c r="R45" s="750">
        <f>P45*Q44</f>
        <v>37680</v>
      </c>
      <c r="S45" s="546" t="s">
        <v>343</v>
      </c>
      <c r="T45" s="761">
        <v>45596</v>
      </c>
      <c r="U45" s="807">
        <f t="shared" ref="U45:U47" si="11">(R45/$X$43*$K$43)</f>
        <v>69556.930435524628</v>
      </c>
      <c r="V45" s="954"/>
      <c r="W45" s="795">
        <v>45596</v>
      </c>
      <c r="X45" s="970"/>
      <c r="Y45" s="999"/>
      <c r="Z45" s="627"/>
    </row>
    <row r="46" spans="1:42" ht="14.25" customHeight="1">
      <c r="B46" s="412"/>
      <c r="C46" s="625"/>
      <c r="D46" s="705"/>
      <c r="E46" s="706"/>
      <c r="F46" s="707"/>
      <c r="G46" s="414"/>
      <c r="H46" s="708"/>
      <c r="I46" s="383"/>
      <c r="J46" s="918"/>
      <c r="K46" s="918"/>
      <c r="L46" s="384"/>
      <c r="M46" s="376">
        <v>6</v>
      </c>
      <c r="N46" s="676" t="s">
        <v>338</v>
      </c>
      <c r="O46" s="709" t="s">
        <v>344</v>
      </c>
      <c r="P46" s="710"/>
      <c r="Q46" s="711"/>
      <c r="R46" s="750">
        <v>7250</v>
      </c>
      <c r="S46" s="546" t="s">
        <v>345</v>
      </c>
      <c r="T46" s="761">
        <v>45596</v>
      </c>
      <c r="U46" s="801">
        <v>13383.432740380931</v>
      </c>
      <c r="V46" s="954"/>
      <c r="W46" s="795">
        <v>45582</v>
      </c>
      <c r="X46" s="970"/>
      <c r="Y46" s="626" t="s">
        <v>346</v>
      </c>
      <c r="Z46" s="627"/>
    </row>
    <row r="47" spans="1:42" ht="14.25" customHeight="1">
      <c r="B47" s="412"/>
      <c r="C47" s="625"/>
      <c r="D47" s="705"/>
      <c r="E47" s="706"/>
      <c r="F47" s="707"/>
      <c r="G47" s="414"/>
      <c r="H47" s="708"/>
      <c r="I47" s="383"/>
      <c r="J47" s="918"/>
      <c r="K47" s="918"/>
      <c r="L47" s="384"/>
      <c r="M47" s="376">
        <v>6</v>
      </c>
      <c r="N47" s="676" t="s">
        <v>338</v>
      </c>
      <c r="O47" s="709"/>
      <c r="P47" s="710"/>
      <c r="Q47" s="711"/>
      <c r="R47" s="750"/>
      <c r="S47" s="546"/>
      <c r="T47" s="512" t="str">
        <f t="shared" ref="T47" si="12">T72</f>
        <v/>
      </c>
      <c r="U47" s="624">
        <f t="shared" si="11"/>
        <v>0</v>
      </c>
      <c r="V47" s="954"/>
      <c r="W47" s="712"/>
      <c r="X47" s="970"/>
      <c r="Y47" s="626"/>
      <c r="Z47" s="627"/>
    </row>
    <row r="48" spans="1:42" ht="14.25" customHeight="1">
      <c r="B48" s="376">
        <v>6</v>
      </c>
      <c r="C48" s="625"/>
      <c r="D48" s="705" t="s">
        <v>293</v>
      </c>
      <c r="E48" s="706"/>
      <c r="F48" s="707">
        <v>0.1</v>
      </c>
      <c r="G48" s="414">
        <f>$C$49*F48</f>
        <v>27672.782000000003</v>
      </c>
      <c r="H48" s="708">
        <f>H79</f>
        <v>45646</v>
      </c>
      <c r="I48" s="383"/>
      <c r="J48" s="918"/>
      <c r="K48" s="918"/>
      <c r="L48" s="384"/>
      <c r="M48" s="376">
        <v>6</v>
      </c>
      <c r="N48" s="676" t="s">
        <v>338</v>
      </c>
      <c r="O48" s="709" t="s">
        <v>293</v>
      </c>
      <c r="P48" s="710">
        <f>AE22</f>
        <v>112764</v>
      </c>
      <c r="Q48" s="711">
        <v>0.1</v>
      </c>
      <c r="R48" s="381">
        <f>$P$48*Q48</f>
        <v>11276.400000000001</v>
      </c>
      <c r="S48" s="546" t="s">
        <v>294</v>
      </c>
      <c r="T48" s="761">
        <f>T73</f>
        <v>45565</v>
      </c>
      <c r="U48" s="800">
        <v>20816.129786707803</v>
      </c>
      <c r="V48" s="954"/>
      <c r="W48" s="769">
        <v>45560</v>
      </c>
      <c r="X48" s="970"/>
      <c r="Y48" s="991" t="s">
        <v>295</v>
      </c>
      <c r="Z48" s="627"/>
    </row>
    <row r="49" spans="1:42" ht="14.25" customHeight="1">
      <c r="B49" s="376">
        <v>6</v>
      </c>
      <c r="C49" s="725">
        <v>276727.82</v>
      </c>
      <c r="D49" s="378" t="s">
        <v>150</v>
      </c>
      <c r="E49" s="379"/>
      <c r="F49" s="380">
        <v>0.15</v>
      </c>
      <c r="G49" s="381">
        <f t="shared" ref="G49:G55" si="13">$C$49*F49</f>
        <v>41509.173000000003</v>
      </c>
      <c r="H49" s="382">
        <f>H74</f>
        <v>45560</v>
      </c>
      <c r="I49" s="383"/>
      <c r="J49" s="918"/>
      <c r="K49" s="918"/>
      <c r="L49" s="384"/>
      <c r="M49" s="376">
        <v>6</v>
      </c>
      <c r="N49" s="676" t="s">
        <v>338</v>
      </c>
      <c r="O49" s="378" t="s">
        <v>150</v>
      </c>
      <c r="P49" s="379"/>
      <c r="Q49" s="380">
        <v>0.15</v>
      </c>
      <c r="R49" s="381">
        <f t="shared" ref="R49:R55" si="14">$P$48*Q49</f>
        <v>16914.599999999999</v>
      </c>
      <c r="S49" s="546" t="s">
        <v>347</v>
      </c>
      <c r="T49" s="761">
        <f t="shared" ref="T49:T54" si="15">T74</f>
        <v>45565</v>
      </c>
      <c r="U49" s="800">
        <v>31224.194680061697</v>
      </c>
      <c r="V49" s="954"/>
      <c r="W49" s="795">
        <f>W74</f>
        <v>45575</v>
      </c>
      <c r="X49" s="970"/>
      <c r="Y49" s="992"/>
      <c r="Z49" s="196"/>
    </row>
    <row r="50" spans="1:42" ht="14.25" customHeight="1">
      <c r="B50" s="376">
        <v>6</v>
      </c>
      <c r="C50" s="597"/>
      <c r="D50" s="378" t="s">
        <v>300</v>
      </c>
      <c r="E50" s="379"/>
      <c r="F50" s="380">
        <v>0.2</v>
      </c>
      <c r="G50" s="381">
        <f t="shared" si="13"/>
        <v>55345.564000000006</v>
      </c>
      <c r="H50" s="382">
        <f t="shared" ref="H50:H54" si="16">H75</f>
        <v>45596</v>
      </c>
      <c r="I50" s="383"/>
      <c r="J50" s="918"/>
      <c r="K50" s="918"/>
      <c r="L50" s="384"/>
      <c r="M50" s="376">
        <v>6</v>
      </c>
      <c r="N50" s="677" t="s">
        <v>338</v>
      </c>
      <c r="O50" s="378" t="s">
        <v>300</v>
      </c>
      <c r="P50" s="379"/>
      <c r="Q50" s="380">
        <v>0.2</v>
      </c>
      <c r="R50" s="381">
        <f t="shared" si="14"/>
        <v>22552.800000000003</v>
      </c>
      <c r="S50" s="546" t="s">
        <v>301</v>
      </c>
      <c r="T50" s="761">
        <f t="shared" si="15"/>
        <v>45596</v>
      </c>
      <c r="U50" s="800">
        <v>41632.259573415606</v>
      </c>
      <c r="V50" s="954"/>
      <c r="W50" s="795">
        <f t="shared" ref="W50:W54" si="17">W75</f>
        <v>45625</v>
      </c>
      <c r="X50" s="970"/>
      <c r="Y50" s="992"/>
      <c r="Z50" s="196"/>
    </row>
    <row r="51" spans="1:42" ht="14.25" customHeight="1">
      <c r="B51" s="376">
        <v>6</v>
      </c>
      <c r="C51" s="597"/>
      <c r="D51" s="378" t="s">
        <v>304</v>
      </c>
      <c r="E51" s="379"/>
      <c r="F51" s="380">
        <v>0.25</v>
      </c>
      <c r="G51" s="381">
        <f t="shared" si="13"/>
        <v>69181.955000000002</v>
      </c>
      <c r="H51" s="382">
        <f t="shared" si="16"/>
        <v>45621</v>
      </c>
      <c r="I51" s="383"/>
      <c r="J51" s="918"/>
      <c r="K51" s="918"/>
      <c r="L51" s="384"/>
      <c r="M51" s="376">
        <v>6</v>
      </c>
      <c r="N51" s="676" t="s">
        <v>338</v>
      </c>
      <c r="O51" s="378" t="s">
        <v>304</v>
      </c>
      <c r="P51" s="379"/>
      <c r="Q51" s="380">
        <v>0.25</v>
      </c>
      <c r="R51" s="381">
        <f t="shared" si="14"/>
        <v>28191</v>
      </c>
      <c r="S51" s="546" t="s">
        <v>305</v>
      </c>
      <c r="T51" s="761">
        <f t="shared" si="15"/>
        <v>45596</v>
      </c>
      <c r="U51" s="800">
        <v>52040.324466769503</v>
      </c>
      <c r="V51" s="954"/>
      <c r="W51" s="795">
        <f t="shared" si="17"/>
        <v>45687</v>
      </c>
      <c r="X51" s="970"/>
      <c r="Y51" s="992"/>
      <c r="Z51" s="196"/>
    </row>
    <row r="52" spans="1:42" ht="14.25" customHeight="1">
      <c r="B52" s="376">
        <v>6</v>
      </c>
      <c r="C52" s="597"/>
      <c r="D52" s="378" t="s">
        <v>309</v>
      </c>
      <c r="E52" s="379"/>
      <c r="F52" s="380">
        <v>0.1</v>
      </c>
      <c r="G52" s="381">
        <f t="shared" si="13"/>
        <v>27672.782000000003</v>
      </c>
      <c r="H52" s="382">
        <f t="shared" si="16"/>
        <v>45630</v>
      </c>
      <c r="I52" s="383"/>
      <c r="J52" s="918"/>
      <c r="K52" s="918"/>
      <c r="L52" s="384"/>
      <c r="M52" s="376">
        <v>6</v>
      </c>
      <c r="N52" s="677" t="s">
        <v>338</v>
      </c>
      <c r="O52" s="378" t="s">
        <v>309</v>
      </c>
      <c r="P52" s="379"/>
      <c r="Q52" s="380">
        <v>0.1</v>
      </c>
      <c r="R52" s="381">
        <f t="shared" si="14"/>
        <v>11276.400000000001</v>
      </c>
      <c r="S52" s="546" t="s">
        <v>310</v>
      </c>
      <c r="T52" s="761">
        <v>45626</v>
      </c>
      <c r="U52" s="800">
        <v>20816.129786707803</v>
      </c>
      <c r="V52" s="954"/>
      <c r="W52" s="795">
        <f t="shared" si="17"/>
        <v>45625</v>
      </c>
      <c r="X52" s="970"/>
      <c r="Y52" s="992"/>
      <c r="Z52" s="196"/>
    </row>
    <row r="53" spans="1:42" ht="14.25" customHeight="1">
      <c r="B53" s="376">
        <v>6</v>
      </c>
      <c r="C53" s="597"/>
      <c r="D53" s="378" t="s">
        <v>313</v>
      </c>
      <c r="E53" s="379"/>
      <c r="F53" s="380">
        <v>0.1</v>
      </c>
      <c r="G53" s="381">
        <f t="shared" si="13"/>
        <v>27672.782000000003</v>
      </c>
      <c r="H53" s="382">
        <f t="shared" si="16"/>
        <v>45638</v>
      </c>
      <c r="I53" s="383"/>
      <c r="J53" s="918"/>
      <c r="K53" s="918"/>
      <c r="L53" s="384"/>
      <c r="M53" s="376">
        <v>6</v>
      </c>
      <c r="N53" s="676" t="s">
        <v>338</v>
      </c>
      <c r="O53" s="378" t="s">
        <v>313</v>
      </c>
      <c r="P53" s="379"/>
      <c r="Q53" s="380">
        <v>0.1</v>
      </c>
      <c r="R53" s="381">
        <f t="shared" si="14"/>
        <v>11276.400000000001</v>
      </c>
      <c r="S53" s="546" t="s">
        <v>314</v>
      </c>
      <c r="T53" s="761">
        <f t="shared" si="15"/>
        <v>45626</v>
      </c>
      <c r="U53" s="800">
        <v>20816.129786707803</v>
      </c>
      <c r="V53" s="954"/>
      <c r="W53" s="795">
        <f t="shared" si="17"/>
        <v>45631</v>
      </c>
      <c r="X53" s="970"/>
      <c r="Y53" s="992"/>
      <c r="Z53" s="196"/>
    </row>
    <row r="54" spans="1:42" ht="14.25" customHeight="1">
      <c r="B54" s="376">
        <v>6</v>
      </c>
      <c r="C54" s="377"/>
      <c r="D54" s="378" t="s">
        <v>315</v>
      </c>
      <c r="E54" s="379"/>
      <c r="F54" s="380">
        <v>0.05</v>
      </c>
      <c r="G54" s="381">
        <f t="shared" si="13"/>
        <v>13836.391000000001</v>
      </c>
      <c r="H54" s="382">
        <f t="shared" si="16"/>
        <v>45646</v>
      </c>
      <c r="I54" s="383"/>
      <c r="J54" s="918"/>
      <c r="K54" s="918"/>
      <c r="L54" s="384"/>
      <c r="M54" s="376">
        <v>6</v>
      </c>
      <c r="N54" s="677" t="s">
        <v>338</v>
      </c>
      <c r="O54" s="378" t="s">
        <v>315</v>
      </c>
      <c r="P54" s="379"/>
      <c r="Q54" s="380">
        <v>0.05</v>
      </c>
      <c r="R54" s="381">
        <f t="shared" si="14"/>
        <v>5638.2000000000007</v>
      </c>
      <c r="S54" s="546" t="s">
        <v>316</v>
      </c>
      <c r="T54" s="761">
        <f t="shared" si="15"/>
        <v>45688</v>
      </c>
      <c r="U54" s="800">
        <v>10408.064893353901</v>
      </c>
      <c r="V54" s="954"/>
      <c r="W54" s="795">
        <f t="shared" si="17"/>
        <v>45701</v>
      </c>
      <c r="X54" s="970"/>
      <c r="Y54" s="992"/>
      <c r="Z54" s="196"/>
    </row>
    <row r="55" spans="1:42" ht="15" customHeight="1" thickBot="1">
      <c r="B55" s="385">
        <v>6</v>
      </c>
      <c r="C55" s="598"/>
      <c r="D55" s="387" t="s">
        <v>317</v>
      </c>
      <c r="E55" s="388"/>
      <c r="F55" s="389">
        <v>0.05</v>
      </c>
      <c r="G55" s="390">
        <f t="shared" si="13"/>
        <v>13836.391000000001</v>
      </c>
      <c r="H55" s="391">
        <f>H80</f>
        <v>45676</v>
      </c>
      <c r="I55" s="392"/>
      <c r="J55" s="919"/>
      <c r="K55" s="919"/>
      <c r="L55" s="393"/>
      <c r="M55" s="385">
        <v>6</v>
      </c>
      <c r="N55" s="679" t="s">
        <v>338</v>
      </c>
      <c r="O55" s="387" t="s">
        <v>317</v>
      </c>
      <c r="P55" s="388"/>
      <c r="Q55" s="389">
        <v>0.05</v>
      </c>
      <c r="R55" s="390">
        <f t="shared" si="14"/>
        <v>5638.2000000000007</v>
      </c>
      <c r="S55" s="834" t="s">
        <v>318</v>
      </c>
      <c r="T55" s="835">
        <f>T80</f>
        <v>45688</v>
      </c>
      <c r="U55" s="840">
        <v>10408.064893353901</v>
      </c>
      <c r="V55" s="955"/>
      <c r="W55" s="847">
        <f>W80</f>
        <v>45722</v>
      </c>
      <c r="X55" s="971"/>
      <c r="Y55" s="993"/>
      <c r="Z55" s="204"/>
    </row>
    <row r="56" spans="1:42" hidden="1">
      <c r="A56" s="24"/>
      <c r="B56" s="363"/>
      <c r="C56" s="429"/>
      <c r="D56" s="395"/>
      <c r="E56" s="396"/>
      <c r="F56" s="397"/>
      <c r="G56" s="366"/>
      <c r="H56" s="346"/>
      <c r="I56" s="367"/>
      <c r="J56" s="347"/>
      <c r="K56" s="347"/>
      <c r="L56" s="24"/>
      <c r="M56" s="363"/>
      <c r="N56" s="429"/>
      <c r="O56" s="395"/>
      <c r="P56" s="396"/>
      <c r="Q56" s="397"/>
      <c r="R56" s="366"/>
      <c r="S56" s="511"/>
      <c r="T56" s="559" t="str">
        <f t="shared" si="7"/>
        <v/>
      </c>
      <c r="U56" s="511"/>
      <c r="V56" s="642"/>
      <c r="W56" s="472"/>
      <c r="X56" s="482"/>
      <c r="Y56" s="214"/>
      <c r="Z56" s="199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spans="1:42" ht="14.25" hidden="1" customHeight="1">
      <c r="B57" s="560">
        <v>7</v>
      </c>
      <c r="C57" s="398" t="s">
        <v>348</v>
      </c>
      <c r="D57" s="561"/>
      <c r="E57" s="562"/>
      <c r="F57" s="563"/>
      <c r="G57" s="564"/>
      <c r="H57" s="565"/>
      <c r="I57" s="353"/>
      <c r="J57" s="920">
        <f>SUM(G57:G64)</f>
        <v>0</v>
      </c>
      <c r="K57" s="920">
        <v>0</v>
      </c>
      <c r="L57" s="354"/>
      <c r="M57" s="560">
        <v>7</v>
      </c>
      <c r="N57" s="398" t="s">
        <v>348</v>
      </c>
      <c r="O57" s="561"/>
      <c r="P57" s="562"/>
      <c r="Q57" s="563"/>
      <c r="R57" s="564"/>
      <c r="S57" s="582"/>
      <c r="T57" s="551" t="str">
        <f t="shared" si="7"/>
        <v/>
      </c>
      <c r="U57" s="522"/>
      <c r="V57" s="937">
        <f>K57-SUM(U57:U64)</f>
        <v>0</v>
      </c>
      <c r="W57" s="566"/>
      <c r="X57" s="950">
        <f>SUM(R57:R64)</f>
        <v>0</v>
      </c>
      <c r="Y57" s="567"/>
      <c r="Z57" s="568"/>
    </row>
    <row r="58" spans="1:42" ht="14.25" hidden="1" customHeight="1">
      <c r="B58" s="569">
        <v>7</v>
      </c>
      <c r="C58" s="570"/>
      <c r="D58" s="571"/>
      <c r="E58" s="572"/>
      <c r="F58" s="573"/>
      <c r="G58" s="574"/>
      <c r="H58" s="575"/>
      <c r="I58" s="358"/>
      <c r="J58" s="921"/>
      <c r="K58" s="921"/>
      <c r="L58" s="359"/>
      <c r="M58" s="569">
        <v>7</v>
      </c>
      <c r="N58" s="570"/>
      <c r="O58" s="571"/>
      <c r="P58" s="572"/>
      <c r="Q58" s="573"/>
      <c r="R58" s="574"/>
      <c r="S58" s="537"/>
      <c r="T58" s="518" t="str">
        <f t="shared" si="7"/>
        <v/>
      </c>
      <c r="U58" s="523"/>
      <c r="V58" s="967"/>
      <c r="W58" s="576"/>
      <c r="X58" s="951"/>
      <c r="Y58" s="600"/>
      <c r="Z58" s="601"/>
    </row>
    <row r="59" spans="1:42" ht="14.25" hidden="1" customHeight="1">
      <c r="B59" s="569">
        <v>7</v>
      </c>
      <c r="C59" s="570"/>
      <c r="D59" s="571"/>
      <c r="E59" s="572"/>
      <c r="F59" s="573"/>
      <c r="G59" s="574"/>
      <c r="H59" s="575"/>
      <c r="I59" s="358"/>
      <c r="J59" s="921"/>
      <c r="K59" s="921"/>
      <c r="L59" s="359"/>
      <c r="M59" s="569">
        <v>7</v>
      </c>
      <c r="N59" s="570"/>
      <c r="O59" s="571"/>
      <c r="P59" s="572"/>
      <c r="Q59" s="573"/>
      <c r="R59" s="574"/>
      <c r="S59" s="537"/>
      <c r="T59" s="518" t="str">
        <f t="shared" si="7"/>
        <v/>
      </c>
      <c r="U59" s="523"/>
      <c r="V59" s="967"/>
      <c r="W59" s="576"/>
      <c r="X59" s="951"/>
      <c r="Y59" s="600"/>
      <c r="Z59" s="601"/>
    </row>
    <row r="60" spans="1:42" ht="14.25" hidden="1" customHeight="1">
      <c r="B60" s="569">
        <v>7</v>
      </c>
      <c r="C60" s="570"/>
      <c r="D60" s="571"/>
      <c r="E60" s="572"/>
      <c r="F60" s="573"/>
      <c r="G60" s="574"/>
      <c r="H60" s="575"/>
      <c r="I60" s="358"/>
      <c r="J60" s="921"/>
      <c r="K60" s="921"/>
      <c r="L60" s="359"/>
      <c r="M60" s="569">
        <v>7</v>
      </c>
      <c r="N60" s="570"/>
      <c r="O60" s="571"/>
      <c r="P60" s="572"/>
      <c r="Q60" s="573"/>
      <c r="R60" s="574"/>
      <c r="S60" s="537"/>
      <c r="T60" s="518" t="str">
        <f t="shared" si="7"/>
        <v/>
      </c>
      <c r="U60" s="523"/>
      <c r="V60" s="938"/>
      <c r="W60" s="576"/>
      <c r="X60" s="951"/>
      <c r="Y60" s="499"/>
      <c r="Z60" s="500"/>
    </row>
    <row r="61" spans="1:42" ht="14.25" hidden="1" customHeight="1">
      <c r="B61" s="569">
        <v>7</v>
      </c>
      <c r="C61" s="570"/>
      <c r="D61" s="571"/>
      <c r="E61" s="572"/>
      <c r="F61" s="573"/>
      <c r="G61" s="574"/>
      <c r="H61" s="575"/>
      <c r="I61" s="358"/>
      <c r="J61" s="921"/>
      <c r="K61" s="921"/>
      <c r="L61" s="359"/>
      <c r="M61" s="569">
        <v>7</v>
      </c>
      <c r="N61" s="570"/>
      <c r="O61" s="571"/>
      <c r="P61" s="572"/>
      <c r="Q61" s="573"/>
      <c r="R61" s="574"/>
      <c r="S61" s="537"/>
      <c r="T61" s="518" t="str">
        <f t="shared" si="7"/>
        <v/>
      </c>
      <c r="U61" s="523"/>
      <c r="V61" s="938"/>
      <c r="W61" s="576"/>
      <c r="X61" s="951"/>
      <c r="Y61" s="499"/>
      <c r="Z61" s="500"/>
    </row>
    <row r="62" spans="1:42" ht="14.25" hidden="1" customHeight="1">
      <c r="B62" s="569">
        <v>7</v>
      </c>
      <c r="C62" s="570"/>
      <c r="D62" s="571"/>
      <c r="E62" s="572"/>
      <c r="F62" s="573"/>
      <c r="G62" s="574"/>
      <c r="H62" s="575"/>
      <c r="I62" s="358"/>
      <c r="J62" s="921"/>
      <c r="K62" s="921"/>
      <c r="L62" s="359"/>
      <c r="M62" s="569">
        <v>7</v>
      </c>
      <c r="N62" s="570"/>
      <c r="O62" s="571"/>
      <c r="P62" s="572"/>
      <c r="Q62" s="573"/>
      <c r="R62" s="574"/>
      <c r="S62" s="537"/>
      <c r="T62" s="518" t="str">
        <f t="shared" si="7"/>
        <v/>
      </c>
      <c r="U62" s="523"/>
      <c r="V62" s="938"/>
      <c r="W62" s="576"/>
      <c r="X62" s="951"/>
      <c r="Y62" s="499"/>
      <c r="Z62" s="500"/>
    </row>
    <row r="63" spans="1:42" ht="14.25" hidden="1" customHeight="1">
      <c r="B63" s="569">
        <v>7</v>
      </c>
      <c r="C63" s="570"/>
      <c r="D63" s="571"/>
      <c r="E63" s="572"/>
      <c r="F63" s="573"/>
      <c r="G63" s="574"/>
      <c r="H63" s="575"/>
      <c r="I63" s="358"/>
      <c r="J63" s="921"/>
      <c r="K63" s="921"/>
      <c r="L63" s="359"/>
      <c r="M63" s="569">
        <v>7</v>
      </c>
      <c r="N63" s="570"/>
      <c r="O63" s="571"/>
      <c r="P63" s="572"/>
      <c r="Q63" s="573"/>
      <c r="R63" s="574"/>
      <c r="S63" s="537"/>
      <c r="T63" s="518" t="str">
        <f t="shared" si="7"/>
        <v/>
      </c>
      <c r="U63" s="523"/>
      <c r="V63" s="938"/>
      <c r="W63" s="576"/>
      <c r="X63" s="951"/>
      <c r="Y63" s="499"/>
      <c r="Z63" s="500"/>
    </row>
    <row r="64" spans="1:42" ht="15" hidden="1" customHeight="1" thickBot="1">
      <c r="B64" s="407">
        <v>7</v>
      </c>
      <c r="C64" s="439"/>
      <c r="D64" s="426"/>
      <c r="E64" s="410"/>
      <c r="F64" s="427"/>
      <c r="G64" s="428"/>
      <c r="H64" s="360"/>
      <c r="I64" s="361"/>
      <c r="J64" s="922"/>
      <c r="K64" s="922"/>
      <c r="L64" s="362"/>
      <c r="M64" s="407">
        <v>7</v>
      </c>
      <c r="N64" s="439"/>
      <c r="O64" s="426"/>
      <c r="P64" s="410"/>
      <c r="Q64" s="427"/>
      <c r="R64" s="428"/>
      <c r="S64" s="549"/>
      <c r="T64" s="514" t="str">
        <f t="shared" si="7"/>
        <v/>
      </c>
      <c r="U64" s="524"/>
      <c r="V64" s="939"/>
      <c r="W64" s="475"/>
      <c r="X64" s="968"/>
      <c r="Y64" s="216"/>
      <c r="Z64" s="202"/>
    </row>
    <row r="65" spans="1:42" ht="14.5" thickBot="1">
      <c r="A65" s="24"/>
      <c r="B65" s="363"/>
      <c r="C65" s="429"/>
      <c r="D65" s="395"/>
      <c r="E65" s="396"/>
      <c r="F65" s="397"/>
      <c r="G65" s="366"/>
      <c r="H65" s="346"/>
      <c r="I65" s="367"/>
      <c r="J65" s="347"/>
      <c r="K65" s="347"/>
      <c r="L65" s="24"/>
      <c r="M65" s="363"/>
      <c r="N65" s="429"/>
      <c r="O65" s="395"/>
      <c r="P65" s="396"/>
      <c r="Q65" s="397"/>
      <c r="R65" s="366"/>
      <c r="S65" s="511"/>
      <c r="T65" s="559" t="str">
        <f t="shared" si="7"/>
        <v/>
      </c>
      <c r="U65" s="511"/>
      <c r="V65" s="642"/>
      <c r="W65" s="472"/>
      <c r="X65" s="482"/>
      <c r="Y65" s="214"/>
      <c r="Z65" s="199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</row>
    <row r="66" spans="1:42" ht="14.25" customHeight="1">
      <c r="B66" s="430">
        <v>8</v>
      </c>
      <c r="C66" s="369" t="s">
        <v>349</v>
      </c>
      <c r="D66" s="431"/>
      <c r="E66" s="659"/>
      <c r="F66" s="660"/>
      <c r="G66" s="432"/>
      <c r="H66" s="433"/>
      <c r="I66" s="374"/>
      <c r="J66" s="917">
        <v>0</v>
      </c>
      <c r="K66" s="917">
        <v>85610.22</v>
      </c>
      <c r="L66" s="375"/>
      <c r="M66" s="430">
        <v>8</v>
      </c>
      <c r="N66" s="672" t="s">
        <v>350</v>
      </c>
      <c r="O66" s="431" t="s">
        <v>351</v>
      </c>
      <c r="P66" s="659"/>
      <c r="Q66" s="660"/>
      <c r="R66" s="432">
        <v>4025</v>
      </c>
      <c r="S66" s="636" t="s">
        <v>352</v>
      </c>
      <c r="T66" s="809">
        <v>45596</v>
      </c>
      <c r="U66" s="799">
        <v>3135.0872176970533</v>
      </c>
      <c r="V66" s="953">
        <f>K66-SUM(U66:U70)</f>
        <v>0</v>
      </c>
      <c r="W66" s="810">
        <v>45575</v>
      </c>
      <c r="X66" s="969">
        <f>SUM(R66:R71)</f>
        <v>136151.13999999998</v>
      </c>
      <c r="Y66" s="221"/>
      <c r="Z66" s="207"/>
    </row>
    <row r="67" spans="1:42" ht="14.25" customHeight="1">
      <c r="B67" s="416">
        <v>8</v>
      </c>
      <c r="C67" s="417"/>
      <c r="D67" s="434"/>
      <c r="E67" s="435"/>
      <c r="F67" s="436"/>
      <c r="G67" s="418"/>
      <c r="H67" s="419"/>
      <c r="I67" s="383"/>
      <c r="J67" s="918"/>
      <c r="K67" s="918"/>
      <c r="L67" s="384"/>
      <c r="M67" s="416">
        <v>8</v>
      </c>
      <c r="N67" s="682" t="s">
        <v>350</v>
      </c>
      <c r="O67" s="434" t="s">
        <v>353</v>
      </c>
      <c r="P67" s="435"/>
      <c r="Q67" s="436"/>
      <c r="R67" s="418">
        <f>21221.6/5</f>
        <v>4244.32</v>
      </c>
      <c r="S67" s="633" t="s">
        <v>354</v>
      </c>
      <c r="T67" s="806">
        <v>45596</v>
      </c>
      <c r="U67" s="800">
        <v>3305.9163676561384</v>
      </c>
      <c r="V67" s="945"/>
      <c r="W67" s="811">
        <f>T67+29</f>
        <v>45625</v>
      </c>
      <c r="X67" s="970"/>
      <c r="Y67" s="220" t="s">
        <v>355</v>
      </c>
      <c r="Z67" s="206"/>
    </row>
    <row r="68" spans="1:42" ht="14.25" customHeight="1">
      <c r="B68" s="416">
        <v>8</v>
      </c>
      <c r="C68" s="417"/>
      <c r="D68" s="434"/>
      <c r="E68" s="435"/>
      <c r="F68" s="436"/>
      <c r="G68" s="418"/>
      <c r="H68" s="419"/>
      <c r="I68" s="383"/>
      <c r="J68" s="918"/>
      <c r="K68" s="918"/>
      <c r="L68" s="384"/>
      <c r="M68" s="416">
        <v>8</v>
      </c>
      <c r="N68" s="682" t="s">
        <v>350</v>
      </c>
      <c r="O68" s="434" t="s">
        <v>356</v>
      </c>
      <c r="P68" s="435"/>
      <c r="Q68" s="436"/>
      <c r="R68" s="418">
        <v>77340.899999999994</v>
      </c>
      <c r="S68" s="633" t="s">
        <v>352</v>
      </c>
      <c r="T68" s="792">
        <f>T67</f>
        <v>45596</v>
      </c>
      <c r="U68" s="800">
        <v>60241.109812468581</v>
      </c>
      <c r="V68" s="945"/>
      <c r="W68" s="811">
        <v>45575</v>
      </c>
      <c r="X68" s="970"/>
      <c r="Y68" s="220" t="s">
        <v>357</v>
      </c>
      <c r="Z68" s="206"/>
    </row>
    <row r="69" spans="1:42" ht="14.25" customHeight="1">
      <c r="B69" s="416">
        <v>8</v>
      </c>
      <c r="C69" s="417"/>
      <c r="D69" s="434"/>
      <c r="E69" s="435"/>
      <c r="F69" s="436"/>
      <c r="G69" s="418"/>
      <c r="H69" s="419"/>
      <c r="I69" s="383"/>
      <c r="J69" s="918"/>
      <c r="K69" s="918"/>
      <c r="L69" s="384"/>
      <c r="M69" s="416">
        <v>8</v>
      </c>
      <c r="N69" s="682" t="s">
        <v>350</v>
      </c>
      <c r="O69" s="434" t="s">
        <v>358</v>
      </c>
      <c r="P69" s="435"/>
      <c r="Q69" s="436"/>
      <c r="R69" s="418">
        <v>24300.959999999999</v>
      </c>
      <c r="S69" s="633" t="s">
        <v>359</v>
      </c>
      <c r="T69" s="806">
        <v>45596</v>
      </c>
      <c r="U69" s="800">
        <v>18928.106602178232</v>
      </c>
      <c r="V69" s="945"/>
      <c r="W69" s="811">
        <v>45597</v>
      </c>
      <c r="X69" s="970"/>
      <c r="Y69" s="220" t="s">
        <v>360</v>
      </c>
      <c r="Z69" s="206"/>
    </row>
    <row r="70" spans="1:42" ht="15" customHeight="1">
      <c r="B70" s="385">
        <v>8</v>
      </c>
      <c r="C70" s="386"/>
      <c r="D70" s="387"/>
      <c r="E70" s="388"/>
      <c r="F70" s="389"/>
      <c r="G70" s="390"/>
      <c r="H70" s="391"/>
      <c r="I70" s="392"/>
      <c r="J70" s="919"/>
      <c r="K70" s="919"/>
      <c r="L70" s="393"/>
      <c r="M70" s="863">
        <v>8</v>
      </c>
      <c r="N70" s="864" t="s">
        <v>350</v>
      </c>
      <c r="O70" s="865" t="s">
        <v>361</v>
      </c>
      <c r="P70" s="866"/>
      <c r="Q70" s="867"/>
      <c r="R70" s="868">
        <v>19387.2</v>
      </c>
      <c r="S70" s="869" t="s">
        <v>362</v>
      </c>
      <c r="T70" s="870">
        <v>45688</v>
      </c>
      <c r="U70" s="871">
        <v>0</v>
      </c>
      <c r="V70" s="956"/>
      <c r="W70" s="879">
        <v>45869</v>
      </c>
      <c r="X70" s="984"/>
      <c r="Y70" s="875"/>
      <c r="Z70" s="876" t="s">
        <v>363</v>
      </c>
    </row>
    <row r="71" spans="1:42" ht="15" customHeight="1">
      <c r="B71" s="851"/>
      <c r="C71" s="852"/>
      <c r="D71" s="853"/>
      <c r="E71" s="854"/>
      <c r="F71" s="855"/>
      <c r="G71" s="856"/>
      <c r="H71" s="857"/>
      <c r="I71" s="392"/>
      <c r="J71" s="858"/>
      <c r="K71" s="858"/>
      <c r="L71" s="393"/>
      <c r="M71" s="851"/>
      <c r="N71" s="872" t="s">
        <v>350</v>
      </c>
      <c r="O71" s="853" t="s">
        <v>364</v>
      </c>
      <c r="P71" s="873"/>
      <c r="Q71" s="874"/>
      <c r="R71" s="856">
        <v>6852.76</v>
      </c>
      <c r="S71" s="859" t="s">
        <v>365</v>
      </c>
      <c r="T71" s="857">
        <v>45777</v>
      </c>
      <c r="U71" s="877"/>
      <c r="V71" s="860"/>
      <c r="W71" s="878">
        <v>45806</v>
      </c>
      <c r="X71" s="850"/>
      <c r="Y71" s="861"/>
      <c r="Z71" s="862"/>
    </row>
    <row r="72" spans="1:42" ht="22.5" customHeight="1">
      <c r="A72" s="24"/>
      <c r="B72" s="437"/>
      <c r="C72" s="167"/>
      <c r="D72" s="167"/>
      <c r="E72" s="167"/>
      <c r="F72" s="167"/>
      <c r="G72" s="167"/>
      <c r="H72" s="167"/>
      <c r="I72" s="167"/>
      <c r="J72" s="694"/>
      <c r="K72" s="695"/>
      <c r="L72" s="167" t="s">
        <v>366</v>
      </c>
      <c r="M72" s="437"/>
      <c r="N72" s="167"/>
      <c r="O72" s="167"/>
      <c r="P72" s="167"/>
      <c r="Q72" s="167"/>
      <c r="R72" s="167"/>
      <c r="S72" s="547"/>
      <c r="T72" s="193" t="str">
        <f t="shared" si="7"/>
        <v/>
      </c>
      <c r="U72" s="519"/>
      <c r="V72" s="699"/>
      <c r="W72" s="485"/>
      <c r="X72" s="700"/>
      <c r="Y72" s="222"/>
      <c r="Z72" s="167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</row>
    <row r="73" spans="1:42" ht="15" customHeight="1">
      <c r="B73" s="401">
        <v>9</v>
      </c>
      <c r="C73" s="701" t="s">
        <v>367</v>
      </c>
      <c r="D73" s="422" t="s">
        <v>293</v>
      </c>
      <c r="E73" s="406"/>
      <c r="F73" s="423">
        <v>0.1</v>
      </c>
      <c r="G73" s="405">
        <f>SUM($C$74:$C$75)*F73</f>
        <v>13110</v>
      </c>
      <c r="H73" s="357">
        <f>'Project Plan'!E19-7</f>
        <v>45553</v>
      </c>
      <c r="I73" s="358"/>
      <c r="J73" s="932">
        <f>SUM(G73:G80)</f>
        <v>131100</v>
      </c>
      <c r="K73" s="920">
        <v>154235.2941</v>
      </c>
      <c r="L73" s="359"/>
      <c r="M73" s="401">
        <v>9</v>
      </c>
      <c r="N73" s="670" t="s">
        <v>368</v>
      </c>
      <c r="O73" s="422" t="s">
        <v>293</v>
      </c>
      <c r="P73" s="704">
        <f>AE25+AE26</f>
        <v>116305</v>
      </c>
      <c r="Q73" s="423">
        <v>0.1</v>
      </c>
      <c r="R73" s="351">
        <f>$P$73*Q73</f>
        <v>11630.5</v>
      </c>
      <c r="S73" s="548" t="s">
        <v>294</v>
      </c>
      <c r="T73" s="760">
        <v>45565</v>
      </c>
      <c r="U73" s="802">
        <v>15423.529410000001</v>
      </c>
      <c r="V73" s="957">
        <v>0</v>
      </c>
      <c r="W73" s="763">
        <v>45560</v>
      </c>
      <c r="X73" s="985">
        <f>SUM(R73:R80)</f>
        <v>116305</v>
      </c>
      <c r="Y73" s="994" t="s">
        <v>295</v>
      </c>
      <c r="Z73" s="201"/>
    </row>
    <row r="74" spans="1:42" ht="15" customHeight="1">
      <c r="B74" s="401">
        <v>9</v>
      </c>
      <c r="C74" s="701">
        <v>39330</v>
      </c>
      <c r="D74" s="424" t="s">
        <v>150</v>
      </c>
      <c r="E74" s="406"/>
      <c r="F74" s="425">
        <v>0.15</v>
      </c>
      <c r="G74" s="405">
        <f t="shared" ref="G74:G80" si="18">SUM($C$74:$C$75)*F74</f>
        <v>19665</v>
      </c>
      <c r="H74" s="357">
        <f>'Project Plan'!I19</f>
        <v>45560</v>
      </c>
      <c r="I74" s="358"/>
      <c r="J74" s="933"/>
      <c r="K74" s="921"/>
      <c r="L74" s="359"/>
      <c r="M74" s="401">
        <v>9</v>
      </c>
      <c r="N74" s="670" t="s">
        <v>368</v>
      </c>
      <c r="O74" s="424" t="s">
        <v>150</v>
      </c>
      <c r="P74" s="406"/>
      <c r="Q74" s="425">
        <v>0.15</v>
      </c>
      <c r="R74" s="405">
        <f t="shared" ref="R74:R80" si="19">$P$73*Q74</f>
        <v>17445.75</v>
      </c>
      <c r="S74" s="536" t="s">
        <v>297</v>
      </c>
      <c r="T74" s="746">
        <v>45565</v>
      </c>
      <c r="U74" s="803">
        <v>23135.294115000001</v>
      </c>
      <c r="V74" s="958"/>
      <c r="W74" s="794">
        <v>45575</v>
      </c>
      <c r="X74" s="986"/>
      <c r="Y74" s="995"/>
      <c r="Z74" s="201"/>
    </row>
    <row r="75" spans="1:42" ht="15" customHeight="1">
      <c r="B75" s="401">
        <v>9</v>
      </c>
      <c r="C75" s="701">
        <v>91770</v>
      </c>
      <c r="D75" s="424" t="s">
        <v>300</v>
      </c>
      <c r="E75" s="406"/>
      <c r="F75" s="425">
        <v>0.2</v>
      </c>
      <c r="G75" s="405">
        <f t="shared" si="18"/>
        <v>26220</v>
      </c>
      <c r="H75" s="357">
        <f>'Project Plan'!G21</f>
        <v>45596</v>
      </c>
      <c r="I75" s="358"/>
      <c r="J75" s="933"/>
      <c r="K75" s="921"/>
      <c r="L75" s="359"/>
      <c r="M75" s="401">
        <v>9</v>
      </c>
      <c r="N75" s="670" t="s">
        <v>368</v>
      </c>
      <c r="O75" s="424" t="s">
        <v>300</v>
      </c>
      <c r="P75" s="406"/>
      <c r="Q75" s="425">
        <v>0.2</v>
      </c>
      <c r="R75" s="405">
        <f t="shared" si="19"/>
        <v>23261</v>
      </c>
      <c r="S75" s="536" t="s">
        <v>301</v>
      </c>
      <c r="T75" s="746">
        <v>45596</v>
      </c>
      <c r="U75" s="803">
        <v>30847.058820000002</v>
      </c>
      <c r="V75" s="958"/>
      <c r="W75" s="794">
        <v>45625</v>
      </c>
      <c r="X75" s="986"/>
      <c r="Y75" s="995"/>
      <c r="Z75" s="201"/>
    </row>
    <row r="76" spans="1:42" ht="15" customHeight="1">
      <c r="B76" s="401">
        <v>9</v>
      </c>
      <c r="C76" s="438"/>
      <c r="D76" s="424" t="s">
        <v>304</v>
      </c>
      <c r="E76" s="406"/>
      <c r="F76" s="425">
        <v>0.25</v>
      </c>
      <c r="G76" s="405">
        <f t="shared" si="18"/>
        <v>32775</v>
      </c>
      <c r="H76" s="357">
        <f>'Project Plan'!G28</f>
        <v>45621</v>
      </c>
      <c r="I76" s="358"/>
      <c r="J76" s="933"/>
      <c r="K76" s="921"/>
      <c r="L76" s="359"/>
      <c r="M76" s="401">
        <v>9</v>
      </c>
      <c r="N76" s="670" t="s">
        <v>368</v>
      </c>
      <c r="O76" s="424" t="s">
        <v>304</v>
      </c>
      <c r="P76" s="406"/>
      <c r="Q76" s="425">
        <v>0.25</v>
      </c>
      <c r="R76" s="405">
        <f t="shared" si="19"/>
        <v>29076.25</v>
      </c>
      <c r="S76" s="536" t="s">
        <v>305</v>
      </c>
      <c r="T76" s="746">
        <v>45596</v>
      </c>
      <c r="U76" s="803">
        <v>38558.823525</v>
      </c>
      <c r="V76" s="958"/>
      <c r="W76" s="794">
        <v>45687</v>
      </c>
      <c r="X76" s="986"/>
      <c r="Y76" s="995"/>
      <c r="Z76" s="201"/>
    </row>
    <row r="77" spans="1:42" ht="15" customHeight="1">
      <c r="B77" s="401">
        <v>9</v>
      </c>
      <c r="C77" s="438"/>
      <c r="D77" s="424" t="s">
        <v>309</v>
      </c>
      <c r="E77" s="406"/>
      <c r="F77" s="425">
        <v>0.1</v>
      </c>
      <c r="G77" s="405">
        <f t="shared" si="18"/>
        <v>13110</v>
      </c>
      <c r="H77" s="357">
        <f>'Project Plan'!G38</f>
        <v>45630</v>
      </c>
      <c r="I77" s="358"/>
      <c r="J77" s="933"/>
      <c r="K77" s="921"/>
      <c r="L77" s="359"/>
      <c r="M77" s="401">
        <v>9</v>
      </c>
      <c r="N77" s="670" t="s">
        <v>368</v>
      </c>
      <c r="O77" s="424" t="s">
        <v>309</v>
      </c>
      <c r="P77" s="406"/>
      <c r="Q77" s="425">
        <v>0.1</v>
      </c>
      <c r="R77" s="405">
        <f t="shared" si="19"/>
        <v>11630.5</v>
      </c>
      <c r="S77" s="544" t="s">
        <v>310</v>
      </c>
      <c r="T77" s="746">
        <v>45626</v>
      </c>
      <c r="U77" s="830">
        <v>15423.529410000001</v>
      </c>
      <c r="V77" s="958"/>
      <c r="W77" s="822">
        <v>45625</v>
      </c>
      <c r="X77" s="986"/>
      <c r="Y77" s="995"/>
      <c r="Z77" s="201"/>
    </row>
    <row r="78" spans="1:42" ht="15" customHeight="1">
      <c r="B78" s="401">
        <v>9</v>
      </c>
      <c r="C78" s="438"/>
      <c r="D78" s="424" t="s">
        <v>313</v>
      </c>
      <c r="E78" s="406"/>
      <c r="F78" s="425">
        <v>0.1</v>
      </c>
      <c r="G78" s="405">
        <f t="shared" si="18"/>
        <v>13110</v>
      </c>
      <c r="H78" s="357">
        <f>'Project Plan'!G47</f>
        <v>45638</v>
      </c>
      <c r="I78" s="358"/>
      <c r="J78" s="933"/>
      <c r="K78" s="921"/>
      <c r="L78" s="359"/>
      <c r="M78" s="401">
        <v>9</v>
      </c>
      <c r="N78" s="670" t="s">
        <v>368</v>
      </c>
      <c r="O78" s="424" t="s">
        <v>313</v>
      </c>
      <c r="P78" s="406"/>
      <c r="Q78" s="425">
        <v>0.1</v>
      </c>
      <c r="R78" s="405">
        <f t="shared" si="19"/>
        <v>11630.5</v>
      </c>
      <c r="S78" s="544" t="s">
        <v>314</v>
      </c>
      <c r="T78" s="746">
        <v>45626</v>
      </c>
      <c r="U78" s="830">
        <v>15423.529410000001</v>
      </c>
      <c r="V78" s="958"/>
      <c r="W78" s="822">
        <f>'Project Plan'!I47</f>
        <v>45631</v>
      </c>
      <c r="X78" s="986"/>
      <c r="Y78" s="995"/>
      <c r="Z78" s="201"/>
    </row>
    <row r="79" spans="1:42" ht="15" customHeight="1">
      <c r="B79" s="569">
        <v>9</v>
      </c>
      <c r="C79" s="661"/>
      <c r="D79" s="571" t="s">
        <v>315</v>
      </c>
      <c r="E79" s="572"/>
      <c r="F79" s="573">
        <v>0.05</v>
      </c>
      <c r="G79" s="574">
        <f t="shared" si="18"/>
        <v>6555</v>
      </c>
      <c r="H79" s="575">
        <f>'Project Plan'!G49</f>
        <v>45646</v>
      </c>
      <c r="I79" s="358"/>
      <c r="J79" s="933"/>
      <c r="K79" s="921"/>
      <c r="L79" s="359"/>
      <c r="M79" s="401">
        <v>9</v>
      </c>
      <c r="N79" s="670" t="s">
        <v>368</v>
      </c>
      <c r="O79" s="571" t="s">
        <v>315</v>
      </c>
      <c r="P79" s="572"/>
      <c r="Q79" s="573">
        <v>0.05</v>
      </c>
      <c r="R79" s="574">
        <f t="shared" si="19"/>
        <v>5815.25</v>
      </c>
      <c r="S79" s="544" t="s">
        <v>316</v>
      </c>
      <c r="T79" s="746">
        <v>45688</v>
      </c>
      <c r="U79" s="841">
        <v>7711.7647050000005</v>
      </c>
      <c r="V79" s="958"/>
      <c r="W79" s="845">
        <v>45701</v>
      </c>
      <c r="X79" s="986"/>
      <c r="Y79" s="995"/>
      <c r="Z79" s="500"/>
    </row>
    <row r="80" spans="1:42" ht="15" customHeight="1" thickBot="1">
      <c r="B80" s="407">
        <v>9</v>
      </c>
      <c r="C80" s="691"/>
      <c r="D80" s="426" t="s">
        <v>317</v>
      </c>
      <c r="E80" s="410"/>
      <c r="F80" s="427">
        <v>0.05</v>
      </c>
      <c r="G80" s="428">
        <f t="shared" si="18"/>
        <v>6555</v>
      </c>
      <c r="H80" s="692">
        <f>H79+30</f>
        <v>45676</v>
      </c>
      <c r="I80" s="693"/>
      <c r="J80" s="923"/>
      <c r="K80" s="923"/>
      <c r="L80" s="501"/>
      <c r="M80" s="696">
        <v>9</v>
      </c>
      <c r="N80" s="697" t="s">
        <v>368</v>
      </c>
      <c r="O80" s="426" t="s">
        <v>317</v>
      </c>
      <c r="P80" s="410"/>
      <c r="Q80" s="427">
        <v>0.05</v>
      </c>
      <c r="R80" s="698">
        <f t="shared" si="19"/>
        <v>5815.25</v>
      </c>
      <c r="S80" s="836" t="s">
        <v>318</v>
      </c>
      <c r="T80" s="837">
        <v>45688</v>
      </c>
      <c r="U80" s="842">
        <v>7711.7647050000005</v>
      </c>
      <c r="V80" s="959"/>
      <c r="W80" s="692">
        <v>45722</v>
      </c>
      <c r="X80" s="987"/>
      <c r="Y80" s="996"/>
      <c r="Z80" s="202"/>
    </row>
    <row r="81" spans="1:42" ht="14.5" thickBot="1">
      <c r="A81" s="24"/>
      <c r="B81" s="363"/>
      <c r="C81" s="394"/>
      <c r="D81" s="395"/>
      <c r="E81" s="396"/>
      <c r="F81" s="397"/>
      <c r="G81" s="366"/>
      <c r="H81" s="346"/>
      <c r="I81" s="367"/>
      <c r="J81" s="347"/>
      <c r="K81" s="599"/>
      <c r="L81" s="24"/>
      <c r="M81" s="363"/>
      <c r="N81" s="394"/>
      <c r="O81" s="395"/>
      <c r="P81" s="396"/>
      <c r="Q81" s="397"/>
      <c r="R81" s="366"/>
      <c r="S81" s="640"/>
      <c r="T81" s="552" t="str">
        <f t="shared" si="7"/>
        <v/>
      </c>
      <c r="U81" s="511"/>
      <c r="V81" s="641"/>
      <c r="W81" s="472"/>
      <c r="X81" s="482"/>
      <c r="Y81" s="214"/>
      <c r="Z81" s="199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</row>
    <row r="82" spans="1:42" ht="14.25" customHeight="1">
      <c r="B82" s="325">
        <v>10</v>
      </c>
      <c r="C82" s="326" t="s">
        <v>298</v>
      </c>
      <c r="D82" s="326"/>
      <c r="E82" s="327"/>
      <c r="F82" s="440"/>
      <c r="G82" s="441"/>
      <c r="H82" s="329"/>
      <c r="I82" s="330"/>
      <c r="J82" s="924">
        <f>SUM(G82:G91)</f>
        <v>32270.5</v>
      </c>
      <c r="K82" s="924">
        <v>37965.294119999999</v>
      </c>
      <c r="L82" s="442"/>
      <c r="M82" s="325">
        <v>10</v>
      </c>
      <c r="N82" s="683" t="s">
        <v>369</v>
      </c>
      <c r="O82" s="326" t="s">
        <v>370</v>
      </c>
      <c r="P82" s="327"/>
      <c r="Q82" s="440"/>
      <c r="R82" s="441"/>
      <c r="S82" s="619"/>
      <c r="T82" s="634"/>
      <c r="U82" s="520">
        <f>R82/$X$82*$K$82</f>
        <v>0</v>
      </c>
      <c r="V82" s="960">
        <f>K82-SUM(U82:U91)</f>
        <v>3.9345281402347609E-3</v>
      </c>
      <c r="W82" s="635"/>
      <c r="X82" s="988">
        <f>SUM(R82:R91)</f>
        <v>85453.26</v>
      </c>
      <c r="Y82" s="209"/>
      <c r="Z82" s="195" t="s">
        <v>371</v>
      </c>
    </row>
    <row r="83" spans="1:42" ht="14.25" customHeight="1">
      <c r="B83" s="443"/>
      <c r="C83" s="444"/>
      <c r="D83" s="444"/>
      <c r="E83" s="445"/>
      <c r="F83" s="446"/>
      <c r="G83" s="447"/>
      <c r="H83" s="753"/>
      <c r="I83" s="333"/>
      <c r="J83" s="925"/>
      <c r="K83" s="925"/>
      <c r="L83" s="334"/>
      <c r="M83" s="443">
        <v>10</v>
      </c>
      <c r="N83" s="754" t="s">
        <v>369</v>
      </c>
      <c r="O83" s="444"/>
      <c r="P83" s="445"/>
      <c r="Q83" s="446"/>
      <c r="R83" s="447"/>
      <c r="S83" s="508"/>
      <c r="T83" s="538" t="str">
        <f t="shared" ref="T83" si="20">IF(W83&gt;1,EOMONTH(W83,-1),"")</f>
        <v/>
      </c>
      <c r="U83" s="553">
        <f t="shared" ref="U83" si="21">R83/$X$82*$K$82</f>
        <v>0</v>
      </c>
      <c r="V83" s="961"/>
      <c r="W83" s="477"/>
      <c r="X83" s="989"/>
      <c r="Y83" s="223"/>
      <c r="Z83" s="208"/>
    </row>
    <row r="84" spans="1:42" ht="14.25" customHeight="1">
      <c r="B84" s="443"/>
      <c r="C84" s="444"/>
      <c r="D84" s="444"/>
      <c r="E84" s="445"/>
      <c r="F84" s="446"/>
      <c r="G84" s="447"/>
      <c r="H84" s="753"/>
      <c r="I84" s="333"/>
      <c r="J84" s="925"/>
      <c r="K84" s="925"/>
      <c r="L84" s="334"/>
      <c r="M84" s="443">
        <v>10</v>
      </c>
      <c r="N84" s="754" t="s">
        <v>369</v>
      </c>
      <c r="O84" s="444" t="s">
        <v>293</v>
      </c>
      <c r="P84" s="758">
        <f>AE27+AE29++AE28</f>
        <v>85453</v>
      </c>
      <c r="Q84" s="755">
        <v>0.1</v>
      </c>
      <c r="R84" s="447">
        <f>$P$84*Q84</f>
        <v>8545.3000000000011</v>
      </c>
      <c r="S84" s="508" t="s">
        <v>294</v>
      </c>
      <c r="T84" s="759">
        <f>T73</f>
        <v>45565</v>
      </c>
      <c r="U84" s="804">
        <v>3229.6177868999252</v>
      </c>
      <c r="V84" s="961"/>
      <c r="W84" s="764">
        <v>45560</v>
      </c>
      <c r="X84" s="989"/>
      <c r="Y84" s="991" t="s">
        <v>295</v>
      </c>
      <c r="Z84" s="208"/>
    </row>
    <row r="85" spans="1:42" ht="14.25" customHeight="1">
      <c r="B85" s="443"/>
      <c r="C85" s="444"/>
      <c r="D85" s="444"/>
      <c r="E85" s="445"/>
      <c r="F85" s="446"/>
      <c r="G85" s="447"/>
      <c r="H85" s="753"/>
      <c r="I85" s="333"/>
      <c r="J85" s="925"/>
      <c r="K85" s="925"/>
      <c r="L85" s="334"/>
      <c r="M85" s="443">
        <v>10</v>
      </c>
      <c r="N85" s="754" t="s">
        <v>369</v>
      </c>
      <c r="O85" s="444" t="s">
        <v>150</v>
      </c>
      <c r="P85" s="445"/>
      <c r="Q85" s="755">
        <v>0.15</v>
      </c>
      <c r="R85" s="447">
        <v>12817.96</v>
      </c>
      <c r="S85" s="508" t="s">
        <v>297</v>
      </c>
      <c r="T85" s="759">
        <f t="shared" ref="T85:T90" si="22">T74</f>
        <v>45565</v>
      </c>
      <c r="U85" s="804">
        <v>4844.4304597582013</v>
      </c>
      <c r="V85" s="961"/>
      <c r="W85" s="764">
        <f t="shared" ref="W85:W90" si="23">W74</f>
        <v>45575</v>
      </c>
      <c r="X85" s="989"/>
      <c r="Y85" s="992"/>
      <c r="Z85" s="208"/>
    </row>
    <row r="86" spans="1:42" ht="14.25" customHeight="1">
      <c r="B86" s="443"/>
      <c r="C86" s="444"/>
      <c r="D86" s="444"/>
      <c r="E86" s="445"/>
      <c r="F86" s="446"/>
      <c r="G86" s="447"/>
      <c r="H86" s="753"/>
      <c r="I86" s="333"/>
      <c r="J86" s="925"/>
      <c r="K86" s="925"/>
      <c r="L86" s="334"/>
      <c r="M86" s="443">
        <v>10</v>
      </c>
      <c r="N86" s="754" t="s">
        <v>369</v>
      </c>
      <c r="O86" s="444" t="s">
        <v>300</v>
      </c>
      <c r="P86" s="445"/>
      <c r="Q86" s="755">
        <v>0.2</v>
      </c>
      <c r="R86" s="447">
        <f t="shared" ref="R86:R90" si="24">$P$84*Q86</f>
        <v>17090.600000000002</v>
      </c>
      <c r="S86" s="508" t="s">
        <v>301</v>
      </c>
      <c r="T86" s="759">
        <f t="shared" si="22"/>
        <v>45596</v>
      </c>
      <c r="U86" s="804">
        <v>6459.1994985734864</v>
      </c>
      <c r="V86" s="961"/>
      <c r="W86" s="764">
        <f t="shared" si="23"/>
        <v>45625</v>
      </c>
      <c r="X86" s="989"/>
      <c r="Y86" s="992"/>
      <c r="Z86" s="208"/>
    </row>
    <row r="87" spans="1:42" ht="14.25" customHeight="1">
      <c r="B87" s="443"/>
      <c r="C87" s="444"/>
      <c r="D87" s="444"/>
      <c r="E87" s="445"/>
      <c r="F87" s="446"/>
      <c r="G87" s="447"/>
      <c r="H87" s="753"/>
      <c r="I87" s="333"/>
      <c r="J87" s="925"/>
      <c r="K87" s="925"/>
      <c r="L87" s="334"/>
      <c r="M87" s="443">
        <v>10</v>
      </c>
      <c r="N87" s="754" t="s">
        <v>369</v>
      </c>
      <c r="O87" s="444" t="s">
        <v>304</v>
      </c>
      <c r="P87" s="445"/>
      <c r="Q87" s="755">
        <v>0.25</v>
      </c>
      <c r="R87" s="447">
        <v>21363.5</v>
      </c>
      <c r="S87" s="508" t="s">
        <v>305</v>
      </c>
      <c r="T87" s="759">
        <f t="shared" si="22"/>
        <v>45596</v>
      </c>
      <c r="U87" s="804">
        <v>8074.1188581895703</v>
      </c>
      <c r="V87" s="961"/>
      <c r="W87" s="764">
        <v>45631</v>
      </c>
      <c r="X87" s="989"/>
      <c r="Y87" s="992"/>
      <c r="Z87" s="208"/>
    </row>
    <row r="88" spans="1:42" ht="14.25" customHeight="1">
      <c r="B88" s="443">
        <v>10</v>
      </c>
      <c r="C88" s="335"/>
      <c r="D88" s="335" t="s">
        <v>259</v>
      </c>
      <c r="E88" s="448"/>
      <c r="F88" s="449"/>
      <c r="G88" s="328">
        <v>8500</v>
      </c>
      <c r="H88" s="332">
        <f>H77</f>
        <v>45630</v>
      </c>
      <c r="I88" s="333"/>
      <c r="J88" s="925"/>
      <c r="K88" s="925"/>
      <c r="L88" s="334"/>
      <c r="M88" s="443">
        <v>10</v>
      </c>
      <c r="N88" s="684" t="s">
        <v>369</v>
      </c>
      <c r="O88" s="335" t="s">
        <v>309</v>
      </c>
      <c r="P88" s="448"/>
      <c r="Q88" s="756">
        <v>0.1</v>
      </c>
      <c r="R88" s="447">
        <f t="shared" si="24"/>
        <v>8545.3000000000011</v>
      </c>
      <c r="S88" s="817" t="s">
        <v>310</v>
      </c>
      <c r="T88" s="759">
        <v>45626</v>
      </c>
      <c r="U88" s="804">
        <v>5780.7078606835603</v>
      </c>
      <c r="V88" s="962"/>
      <c r="W88" s="764">
        <f t="shared" si="23"/>
        <v>45625</v>
      </c>
      <c r="X88" s="989"/>
      <c r="Y88" s="992"/>
      <c r="Z88" s="197"/>
      <c r="AA88" s="24"/>
      <c r="AB88" s="24"/>
    </row>
    <row r="89" spans="1:42" ht="14.25" customHeight="1">
      <c r="B89" s="443">
        <v>10</v>
      </c>
      <c r="C89" s="335"/>
      <c r="D89" s="335"/>
      <c r="E89" s="448"/>
      <c r="F89" s="449"/>
      <c r="G89" s="328"/>
      <c r="H89" s="332"/>
      <c r="I89" s="333"/>
      <c r="J89" s="925"/>
      <c r="K89" s="925"/>
      <c r="L89" s="334"/>
      <c r="M89" s="443">
        <v>10</v>
      </c>
      <c r="N89" s="684" t="s">
        <v>369</v>
      </c>
      <c r="O89" s="335" t="s">
        <v>313</v>
      </c>
      <c r="P89" s="448"/>
      <c r="Q89" s="756">
        <v>0.1</v>
      </c>
      <c r="R89" s="447">
        <f t="shared" si="24"/>
        <v>8545.3000000000011</v>
      </c>
      <c r="S89" s="819" t="s">
        <v>314</v>
      </c>
      <c r="T89" s="759">
        <f t="shared" si="22"/>
        <v>45626</v>
      </c>
      <c r="U89" s="804">
        <v>5780.6978606835601</v>
      </c>
      <c r="V89" s="962"/>
      <c r="W89" s="764">
        <f t="shared" si="23"/>
        <v>45631</v>
      </c>
      <c r="X89" s="989"/>
      <c r="Y89" s="992"/>
      <c r="Z89" s="197"/>
    </row>
    <row r="90" spans="1:42" ht="15" customHeight="1">
      <c r="B90" s="443">
        <v>10</v>
      </c>
      <c r="C90" s="444"/>
      <c r="D90" s="444"/>
      <c r="E90" s="445"/>
      <c r="F90" s="446"/>
      <c r="G90" s="447"/>
      <c r="H90" s="332"/>
      <c r="I90" s="333"/>
      <c r="J90" s="925"/>
      <c r="K90" s="925"/>
      <c r="L90" s="334"/>
      <c r="M90" s="443">
        <v>10</v>
      </c>
      <c r="N90" s="684" t="s">
        <v>369</v>
      </c>
      <c r="O90" s="444" t="s">
        <v>315</v>
      </c>
      <c r="P90" s="445"/>
      <c r="Q90" s="755">
        <v>0.05</v>
      </c>
      <c r="R90" s="447">
        <f t="shared" si="24"/>
        <v>4272.6500000000005</v>
      </c>
      <c r="S90" s="508" t="s">
        <v>316</v>
      </c>
      <c r="T90" s="759">
        <f t="shared" si="22"/>
        <v>45688</v>
      </c>
      <c r="U90" s="804">
        <v>1898.2589303417801</v>
      </c>
      <c r="V90" s="962"/>
      <c r="W90" s="764">
        <f t="shared" si="23"/>
        <v>45701</v>
      </c>
      <c r="X90" s="989"/>
      <c r="Y90" s="992"/>
      <c r="Z90" s="208"/>
    </row>
    <row r="91" spans="1:42" ht="15" customHeight="1" thickBot="1">
      <c r="B91" s="336">
        <v>10</v>
      </c>
      <c r="C91" s="450"/>
      <c r="D91" s="450" t="s">
        <v>311</v>
      </c>
      <c r="E91" s="451"/>
      <c r="F91" s="452"/>
      <c r="G91" s="337">
        <v>23770.5</v>
      </c>
      <c r="H91" s="338">
        <f>H88</f>
        <v>45630</v>
      </c>
      <c r="I91" s="339"/>
      <c r="J91" s="926"/>
      <c r="K91" s="926"/>
      <c r="L91" s="340"/>
      <c r="M91" s="336">
        <v>10</v>
      </c>
      <c r="N91" s="685" t="s">
        <v>369</v>
      </c>
      <c r="O91" s="450" t="s">
        <v>317</v>
      </c>
      <c r="P91" s="451"/>
      <c r="Q91" s="757">
        <v>0.05</v>
      </c>
      <c r="R91" s="337">
        <f>$P$84*Q91</f>
        <v>4272.6500000000005</v>
      </c>
      <c r="S91" s="833" t="s">
        <v>318</v>
      </c>
      <c r="T91" s="838">
        <f>T80</f>
        <v>45688</v>
      </c>
      <c r="U91" s="843">
        <v>1898.2589303417801</v>
      </c>
      <c r="V91" s="963"/>
      <c r="W91" s="848">
        <f>W80</f>
        <v>45722</v>
      </c>
      <c r="X91" s="990"/>
      <c r="Y91" s="993"/>
      <c r="Z91" s="198"/>
    </row>
    <row r="92" spans="1:42" ht="14.5" thickBot="1">
      <c r="A92" s="24"/>
      <c r="B92" s="341"/>
      <c r="C92" s="342"/>
      <c r="D92" s="342"/>
      <c r="E92" s="364"/>
      <c r="F92" s="345"/>
      <c r="G92" s="345"/>
      <c r="H92" s="346"/>
      <c r="I92" s="367"/>
      <c r="J92" s="347"/>
      <c r="K92" s="599"/>
      <c r="L92" s="24"/>
      <c r="M92" s="341"/>
      <c r="N92" s="342"/>
      <c r="O92" s="342"/>
      <c r="P92" s="364"/>
      <c r="Q92" s="345"/>
      <c r="R92" s="345"/>
      <c r="S92" s="543"/>
      <c r="T92" s="534" t="str">
        <f t="shared" ref="T92:T121" si="25">IF(W92&gt;1,EOMONTH(W92,-1),"")</f>
        <v/>
      </c>
      <c r="U92" s="511"/>
      <c r="V92" s="641"/>
      <c r="W92" s="472"/>
      <c r="X92" s="482"/>
      <c r="Y92" s="214"/>
      <c r="Z92" s="199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</row>
    <row r="93" spans="1:42" ht="14.25" customHeight="1">
      <c r="B93" s="348">
        <v>11</v>
      </c>
      <c r="C93" s="349" t="s">
        <v>372</v>
      </c>
      <c r="D93" s="486" t="s">
        <v>373</v>
      </c>
      <c r="E93" s="350"/>
      <c r="F93" s="453"/>
      <c r="G93" s="351">
        <v>11000</v>
      </c>
      <c r="H93" s="352">
        <f>'Project Plan'!E51</f>
        <v>45627</v>
      </c>
      <c r="I93" s="353"/>
      <c r="J93" s="920">
        <f>SUM(G93:G97)</f>
        <v>29000</v>
      </c>
      <c r="K93" s="920">
        <v>34117.647060000003</v>
      </c>
      <c r="L93" s="354"/>
      <c r="M93" s="348">
        <v>11</v>
      </c>
      <c r="N93" s="486" t="s">
        <v>374</v>
      </c>
      <c r="O93" s="349" t="s">
        <v>373</v>
      </c>
      <c r="P93" s="350"/>
      <c r="Q93" s="453"/>
      <c r="R93" s="351">
        <v>3551.19</v>
      </c>
      <c r="S93" s="536" t="s">
        <v>375</v>
      </c>
      <c r="T93" s="746">
        <v>45626</v>
      </c>
      <c r="U93" s="770">
        <v>10036.976227116083</v>
      </c>
      <c r="V93" s="964">
        <f>K93-SUM(U93:U97)</f>
        <v>2.2235762808122672E-3</v>
      </c>
      <c r="W93" s="765">
        <v>45673</v>
      </c>
      <c r="X93" s="950">
        <f>SUM(R93:R97)</f>
        <v>12071.19</v>
      </c>
      <c r="Y93" s="215"/>
      <c r="Z93" s="200"/>
      <c r="AA93" s="24"/>
      <c r="AB93" s="24"/>
    </row>
    <row r="94" spans="1:42" ht="15" customHeight="1">
      <c r="B94" s="401">
        <v>11</v>
      </c>
      <c r="C94" s="403"/>
      <c r="D94" s="403" t="s">
        <v>376</v>
      </c>
      <c r="E94" s="404"/>
      <c r="F94" s="454"/>
      <c r="G94" s="405">
        <v>18000</v>
      </c>
      <c r="H94" s="357">
        <f>'Project Plan'!E19</f>
        <v>45560</v>
      </c>
      <c r="I94" s="358"/>
      <c r="J94" s="921"/>
      <c r="K94" s="921"/>
      <c r="L94" s="359"/>
      <c r="M94" s="401">
        <v>11</v>
      </c>
      <c r="N94" s="583" t="s">
        <v>374</v>
      </c>
      <c r="O94" s="403" t="s">
        <v>376</v>
      </c>
      <c r="P94" s="404"/>
      <c r="Q94" s="454"/>
      <c r="R94" s="405">
        <v>2520</v>
      </c>
      <c r="S94" s="544" t="s">
        <v>377</v>
      </c>
      <c r="T94" s="746">
        <v>45535</v>
      </c>
      <c r="U94" s="734">
        <v>3734.8597129105128</v>
      </c>
      <c r="V94" s="965"/>
      <c r="W94" s="747">
        <v>45537</v>
      </c>
      <c r="X94" s="951"/>
      <c r="Y94" s="210"/>
      <c r="Z94" s="201"/>
    </row>
    <row r="95" spans="1:42" ht="15" customHeight="1">
      <c r="B95" s="401">
        <v>11</v>
      </c>
      <c r="C95" s="403"/>
      <c r="D95" s="403"/>
      <c r="E95" s="404"/>
      <c r="F95" s="454"/>
      <c r="G95" s="405"/>
      <c r="H95" s="357"/>
      <c r="I95" s="358"/>
      <c r="J95" s="921"/>
      <c r="K95" s="921"/>
      <c r="L95" s="359"/>
      <c r="M95" s="401">
        <v>11</v>
      </c>
      <c r="N95" s="583" t="s">
        <v>374</v>
      </c>
      <c r="O95" s="403"/>
      <c r="P95" s="404"/>
      <c r="Q95" s="454"/>
      <c r="R95" s="405"/>
      <c r="S95" s="466"/>
      <c r="T95" s="515" t="str">
        <f t="shared" si="25"/>
        <v/>
      </c>
      <c r="U95" s="523">
        <f>R95/$X$93*$K$93</f>
        <v>0</v>
      </c>
      <c r="V95" s="965"/>
      <c r="W95" s="474"/>
      <c r="X95" s="951"/>
      <c r="Y95" s="210"/>
      <c r="Z95" s="201"/>
    </row>
    <row r="96" spans="1:42" ht="14.25" customHeight="1">
      <c r="B96" s="401">
        <v>11</v>
      </c>
      <c r="C96" s="403"/>
      <c r="D96" s="403"/>
      <c r="E96" s="404"/>
      <c r="F96" s="454"/>
      <c r="G96" s="405"/>
      <c r="H96" s="357"/>
      <c r="I96" s="358"/>
      <c r="J96" s="921"/>
      <c r="K96" s="921"/>
      <c r="L96" s="359"/>
      <c r="M96" s="401">
        <v>11</v>
      </c>
      <c r="N96" s="583" t="s">
        <v>374</v>
      </c>
      <c r="O96" s="403"/>
      <c r="P96" s="404"/>
      <c r="Q96" s="454"/>
      <c r="R96" s="405"/>
      <c r="S96" s="466"/>
      <c r="T96" s="515" t="str">
        <f t="shared" si="25"/>
        <v/>
      </c>
      <c r="U96" s="523">
        <f>R96/$X$93*$K$93</f>
        <v>0</v>
      </c>
      <c r="V96" s="965"/>
      <c r="W96" s="474"/>
      <c r="X96" s="951"/>
      <c r="Y96" s="210"/>
      <c r="Z96" s="201"/>
      <c r="AA96" s="24"/>
      <c r="AB96" s="24"/>
    </row>
    <row r="97" spans="1:42" ht="15" customHeight="1">
      <c r="B97" s="407">
        <v>11</v>
      </c>
      <c r="C97" s="408"/>
      <c r="D97" s="408"/>
      <c r="E97" s="409"/>
      <c r="F97" s="455"/>
      <c r="G97" s="428"/>
      <c r="H97" s="360"/>
      <c r="I97" s="361"/>
      <c r="J97" s="922"/>
      <c r="K97" s="922"/>
      <c r="L97" s="362"/>
      <c r="M97" s="407">
        <v>11</v>
      </c>
      <c r="N97" s="665" t="s">
        <v>374</v>
      </c>
      <c r="O97" s="408" t="s">
        <v>378</v>
      </c>
      <c r="P97" s="409"/>
      <c r="Q97" s="455"/>
      <c r="R97" s="428">
        <v>6000</v>
      </c>
      <c r="S97" s="823" t="s">
        <v>379</v>
      </c>
      <c r="T97" s="824">
        <f>IF(W97&gt;1,EOMONTH(W97,0),"")</f>
        <v>45626</v>
      </c>
      <c r="U97" s="828">
        <v>20345.808896397124</v>
      </c>
      <c r="V97" s="966"/>
      <c r="W97" s="825">
        <f>'Project Plan'!I43</f>
        <v>45625</v>
      </c>
      <c r="X97" s="968"/>
      <c r="Y97" s="216"/>
      <c r="Z97" s="202"/>
    </row>
    <row r="98" spans="1:42" ht="15" customHeight="1">
      <c r="A98" s="24"/>
      <c r="B98" s="363"/>
      <c r="C98" s="342"/>
      <c r="D98" s="342"/>
      <c r="E98" s="364"/>
      <c r="F98" s="345"/>
      <c r="G98" s="366"/>
      <c r="H98" s="346"/>
      <c r="I98" s="367"/>
      <c r="J98" s="347"/>
      <c r="K98" s="347"/>
      <c r="L98" s="24"/>
      <c r="M98" s="363"/>
      <c r="N98" s="342"/>
      <c r="O98" s="342"/>
      <c r="P98" s="364"/>
      <c r="Q98" s="345"/>
      <c r="R98" s="366"/>
      <c r="S98" s="543"/>
      <c r="T98" s="534" t="str">
        <f t="shared" si="25"/>
        <v/>
      </c>
      <c r="U98" s="511"/>
      <c r="V98" s="641"/>
      <c r="W98" s="472"/>
      <c r="X98" s="482"/>
      <c r="Y98" s="214"/>
      <c r="Z98" s="199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</row>
    <row r="99" spans="1:42">
      <c r="B99" s="325">
        <v>12</v>
      </c>
      <c r="C99" s="326" t="s">
        <v>380</v>
      </c>
      <c r="D99" s="326" t="s">
        <v>381</v>
      </c>
      <c r="E99" s="327"/>
      <c r="F99" s="621"/>
      <c r="G99" s="441">
        <v>43075.96</v>
      </c>
      <c r="H99" s="329">
        <f>'Project Plan'!G50</f>
        <v>45686</v>
      </c>
      <c r="I99" s="972"/>
      <c r="J99" s="924">
        <f>SUM(G99:G101)</f>
        <v>43075.96</v>
      </c>
      <c r="K99" s="924">
        <v>0</v>
      </c>
      <c r="L99" s="975"/>
      <c r="M99" s="325">
        <v>12</v>
      </c>
      <c r="N99" s="326" t="s">
        <v>380</v>
      </c>
      <c r="O99" s="326" t="s">
        <v>381</v>
      </c>
      <c r="P99" s="327"/>
      <c r="Q99" s="621"/>
      <c r="R99" s="441">
        <f>43075.96/2</f>
        <v>21537.98</v>
      </c>
      <c r="S99" s="619" t="s">
        <v>382</v>
      </c>
      <c r="T99" s="745">
        <v>45535</v>
      </c>
      <c r="U99" s="622"/>
      <c r="V99" s="643"/>
      <c r="W99" s="748">
        <v>45540</v>
      </c>
      <c r="X99" s="978">
        <f>SUM(R99:R101)</f>
        <v>43075.96</v>
      </c>
      <c r="Y99" s="209"/>
      <c r="Z99" s="195"/>
    </row>
    <row r="100" spans="1:42">
      <c r="B100" s="736"/>
      <c r="C100" s="737"/>
      <c r="D100" s="737"/>
      <c r="E100" s="738"/>
      <c r="F100" s="739"/>
      <c r="G100" s="740"/>
      <c r="H100" s="741"/>
      <c r="I100" s="973"/>
      <c r="J100" s="925"/>
      <c r="K100" s="925"/>
      <c r="L100" s="976"/>
      <c r="M100" s="736">
        <v>12</v>
      </c>
      <c r="N100" s="737" t="s">
        <v>380</v>
      </c>
      <c r="O100" s="737" t="s">
        <v>381</v>
      </c>
      <c r="P100" s="738"/>
      <c r="Q100" s="739"/>
      <c r="R100" s="740">
        <v>21537.98</v>
      </c>
      <c r="S100" s="508" t="s">
        <v>383</v>
      </c>
      <c r="T100" s="759">
        <f>T77</f>
        <v>45626</v>
      </c>
      <c r="U100" s="742"/>
      <c r="V100" s="735"/>
      <c r="W100" s="831">
        <v>45638</v>
      </c>
      <c r="X100" s="979"/>
      <c r="Y100" s="743"/>
      <c r="Z100" s="744"/>
    </row>
    <row r="101" spans="1:42" ht="15" customHeight="1" thickBot="1">
      <c r="B101" s="336">
        <v>12</v>
      </c>
      <c r="C101" s="450" t="s">
        <v>380</v>
      </c>
      <c r="D101" s="450"/>
      <c r="E101" s="451"/>
      <c r="F101" s="628"/>
      <c r="G101" s="337"/>
      <c r="H101" s="338"/>
      <c r="I101" s="974"/>
      <c r="J101" s="926"/>
      <c r="K101" s="926"/>
      <c r="L101" s="977"/>
      <c r="M101" s="336">
        <v>12</v>
      </c>
      <c r="N101" s="450" t="s">
        <v>380</v>
      </c>
      <c r="O101" s="450"/>
      <c r="P101" s="451"/>
      <c r="Q101" s="628"/>
      <c r="R101" s="337"/>
      <c r="S101" s="508"/>
      <c r="T101" s="538" t="str">
        <f t="shared" si="25"/>
        <v/>
      </c>
      <c r="U101" s="637"/>
      <c r="V101" s="644"/>
      <c r="W101" s="471"/>
      <c r="X101" s="980"/>
      <c r="Y101" s="638"/>
      <c r="Z101" s="198"/>
    </row>
    <row r="102" spans="1:42">
      <c r="A102" s="24"/>
      <c r="B102" s="363"/>
      <c r="C102" s="342"/>
      <c r="D102" s="342"/>
      <c r="E102" s="364"/>
      <c r="F102" s="397"/>
      <c r="G102" s="366"/>
      <c r="H102" s="346"/>
      <c r="I102" s="367"/>
      <c r="J102" s="421"/>
      <c r="K102" s="421"/>
      <c r="L102" s="24"/>
      <c r="M102" s="363"/>
      <c r="N102" s="342"/>
      <c r="O102" s="342"/>
      <c r="P102" s="364"/>
      <c r="Q102" s="397"/>
      <c r="R102" s="366"/>
      <c r="S102" s="543"/>
      <c r="T102" s="534" t="str">
        <f t="shared" si="25"/>
        <v/>
      </c>
      <c r="U102" s="511"/>
      <c r="V102" s="641"/>
      <c r="W102" s="472"/>
      <c r="X102" s="483"/>
      <c r="Y102" s="214"/>
      <c r="Z102" s="199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</row>
    <row r="103" spans="1:42" ht="15.75" customHeight="1">
      <c r="B103" s="348">
        <v>13</v>
      </c>
      <c r="C103" s="349" t="s">
        <v>384</v>
      </c>
      <c r="D103" s="486" t="s">
        <v>385</v>
      </c>
      <c r="E103" s="350"/>
      <c r="F103" s="453"/>
      <c r="G103" s="351">
        <v>16283.33</v>
      </c>
      <c r="H103" s="352">
        <f>'Project Plan'!G51+31</f>
        <v>45659</v>
      </c>
      <c r="I103" s="947"/>
      <c r="J103" s="920">
        <f>SUM(G103:G109)</f>
        <v>66283.33</v>
      </c>
      <c r="K103" s="920">
        <v>75321.963459999999</v>
      </c>
      <c r="L103" s="354"/>
      <c r="M103" s="348">
        <v>13</v>
      </c>
      <c r="N103" s="486" t="s">
        <v>386</v>
      </c>
      <c r="O103" s="486" t="s">
        <v>385</v>
      </c>
      <c r="P103" s="350"/>
      <c r="Q103" s="351"/>
      <c r="R103" s="351">
        <f>'Project Plan'!E6*1.25%</f>
        <v>20734.345172387377</v>
      </c>
      <c r="S103" s="536" t="s">
        <v>387</v>
      </c>
      <c r="T103" s="746">
        <v>45626</v>
      </c>
      <c r="U103" s="826">
        <v>75321.963459999999</v>
      </c>
      <c r="V103" s="937">
        <f>K103-SUM(U103:U109)</f>
        <v>0</v>
      </c>
      <c r="W103" s="352">
        <v>45626</v>
      </c>
      <c r="X103" s="950">
        <f>SUM(R103:R109)</f>
        <v>50400</v>
      </c>
      <c r="Y103" s="215"/>
      <c r="Z103" s="200"/>
    </row>
    <row r="104" spans="1:42" ht="15.75" customHeight="1">
      <c r="B104" s="401">
        <v>13</v>
      </c>
      <c r="C104" s="403"/>
      <c r="D104" s="403" t="s">
        <v>388</v>
      </c>
      <c r="E104" s="404"/>
      <c r="F104" s="454"/>
      <c r="G104" s="405">
        <v>4000</v>
      </c>
      <c r="H104" s="357">
        <f>H103</f>
        <v>45659</v>
      </c>
      <c r="I104" s="948"/>
      <c r="J104" s="921"/>
      <c r="K104" s="921"/>
      <c r="L104" s="359"/>
      <c r="M104" s="401">
        <v>13</v>
      </c>
      <c r="N104" s="583" t="s">
        <v>386</v>
      </c>
      <c r="O104" s="403" t="s">
        <v>389</v>
      </c>
      <c r="P104" s="404"/>
      <c r="Q104" s="405"/>
      <c r="R104" s="405">
        <v>50400</v>
      </c>
      <c r="S104" s="544" t="s">
        <v>390</v>
      </c>
      <c r="T104" s="746">
        <v>45900</v>
      </c>
      <c r="U104" s="523">
        <v>0</v>
      </c>
      <c r="V104" s="938"/>
      <c r="W104" s="732">
        <v>45900</v>
      </c>
      <c r="X104" s="951"/>
      <c r="Y104" s="210"/>
      <c r="Z104" s="201"/>
    </row>
    <row r="105" spans="1:42" ht="15.75" customHeight="1">
      <c r="B105" s="401">
        <v>13</v>
      </c>
      <c r="C105" s="403"/>
      <c r="D105" s="403" t="s">
        <v>391</v>
      </c>
      <c r="E105" s="404"/>
      <c r="F105" s="454"/>
      <c r="G105" s="405">
        <v>20400</v>
      </c>
      <c r="H105" s="357">
        <f>H103</f>
        <v>45659</v>
      </c>
      <c r="I105" s="948"/>
      <c r="J105" s="921"/>
      <c r="K105" s="921"/>
      <c r="L105" s="359"/>
      <c r="M105" s="401">
        <v>13</v>
      </c>
      <c r="N105" s="583" t="s">
        <v>386</v>
      </c>
      <c r="O105" s="403" t="s">
        <v>385</v>
      </c>
      <c r="P105" s="404"/>
      <c r="Q105" s="405"/>
      <c r="R105" s="405">
        <f>-R103</f>
        <v>-20734.345172387377</v>
      </c>
      <c r="S105" s="544" t="s">
        <v>392</v>
      </c>
      <c r="T105" s="746">
        <v>45900</v>
      </c>
      <c r="U105" s="523">
        <v>0</v>
      </c>
      <c r="V105" s="938"/>
      <c r="W105" s="732">
        <v>45900</v>
      </c>
      <c r="X105" s="951"/>
      <c r="Y105" s="210"/>
      <c r="Z105" s="201"/>
      <c r="AA105" s="24"/>
      <c r="AB105" s="24"/>
    </row>
    <row r="106" spans="1:42" ht="15.75" customHeight="1">
      <c r="B106" s="401">
        <v>13</v>
      </c>
      <c r="C106" s="403"/>
      <c r="D106" s="403" t="s">
        <v>393</v>
      </c>
      <c r="E106" s="404"/>
      <c r="F106" s="454"/>
      <c r="G106" s="405">
        <v>5200</v>
      </c>
      <c r="H106" s="357">
        <f>H103</f>
        <v>45659</v>
      </c>
      <c r="I106" s="948"/>
      <c r="J106" s="921"/>
      <c r="K106" s="921"/>
      <c r="L106" s="359"/>
      <c r="M106" s="401">
        <v>13</v>
      </c>
      <c r="N106" s="583" t="s">
        <v>386</v>
      </c>
      <c r="O106" s="403"/>
      <c r="P106" s="404"/>
      <c r="Q106" s="405"/>
      <c r="R106" s="405">
        <v>0</v>
      </c>
      <c r="S106" s="537"/>
      <c r="T106" s="515"/>
      <c r="U106" s="523">
        <f t="shared" ref="U106:U107" si="26">R106/$X$103*$K$103</f>
        <v>0</v>
      </c>
      <c r="V106" s="938"/>
      <c r="W106" s="513"/>
      <c r="X106" s="951"/>
      <c r="Y106" s="499"/>
      <c r="Z106" s="500"/>
    </row>
    <row r="107" spans="1:42" ht="15.75" customHeight="1">
      <c r="B107" s="401">
        <v>13</v>
      </c>
      <c r="C107" s="403"/>
      <c r="D107" s="403" t="s">
        <v>394</v>
      </c>
      <c r="E107" s="404"/>
      <c r="F107" s="454"/>
      <c r="G107" s="405">
        <v>20400</v>
      </c>
      <c r="H107" s="357">
        <f>H103</f>
        <v>45659</v>
      </c>
      <c r="I107" s="948"/>
      <c r="J107" s="921"/>
      <c r="K107" s="921"/>
      <c r="L107" s="359"/>
      <c r="M107" s="401">
        <v>13</v>
      </c>
      <c r="N107" s="583" t="s">
        <v>386</v>
      </c>
      <c r="O107" s="403"/>
      <c r="P107" s="404"/>
      <c r="Q107" s="405"/>
      <c r="R107" s="405">
        <v>0</v>
      </c>
      <c r="S107" s="537"/>
      <c r="T107" s="515"/>
      <c r="U107" s="523">
        <f t="shared" si="26"/>
        <v>0</v>
      </c>
      <c r="V107" s="938"/>
      <c r="W107" s="513"/>
      <c r="X107" s="951"/>
      <c r="Y107" s="499"/>
      <c r="Z107" s="500"/>
    </row>
    <row r="108" spans="1:42" ht="15.75" customHeight="1">
      <c r="B108" s="401">
        <v>13</v>
      </c>
      <c r="C108" s="578"/>
      <c r="D108" s="578"/>
      <c r="E108" s="608"/>
      <c r="F108" s="579"/>
      <c r="G108" s="574"/>
      <c r="H108" s="575"/>
      <c r="I108" s="948"/>
      <c r="J108" s="921"/>
      <c r="K108" s="921"/>
      <c r="L108" s="359"/>
      <c r="M108" s="401">
        <v>13</v>
      </c>
      <c r="N108" s="583" t="s">
        <v>386</v>
      </c>
      <c r="O108" s="578"/>
      <c r="P108" s="608"/>
      <c r="Q108" s="713"/>
      <c r="R108" s="574"/>
      <c r="S108" s="537"/>
      <c r="T108" s="513" t="str">
        <f t="shared" si="25"/>
        <v/>
      </c>
      <c r="U108" s="523"/>
      <c r="V108" s="938"/>
      <c r="W108" s="513"/>
      <c r="X108" s="951"/>
      <c r="Y108" s="499"/>
      <c r="Z108" s="500"/>
    </row>
    <row r="109" spans="1:42" ht="15.75" customHeight="1" thickBot="1">
      <c r="B109" s="407">
        <v>13</v>
      </c>
      <c r="C109" s="408"/>
      <c r="D109" s="408"/>
      <c r="E109" s="409"/>
      <c r="F109" s="455"/>
      <c r="G109" s="428"/>
      <c r="H109" s="360"/>
      <c r="I109" s="949"/>
      <c r="J109" s="922"/>
      <c r="K109" s="922"/>
      <c r="L109" s="501"/>
      <c r="M109" s="407">
        <v>13</v>
      </c>
      <c r="N109" s="665" t="s">
        <v>386</v>
      </c>
      <c r="O109" s="408"/>
      <c r="P109" s="409"/>
      <c r="Q109" s="455"/>
      <c r="R109" s="428"/>
      <c r="S109" s="537"/>
      <c r="T109" s="518" t="str">
        <f t="shared" si="25"/>
        <v/>
      </c>
      <c r="U109" s="524"/>
      <c r="V109" s="939"/>
      <c r="W109" s="475"/>
      <c r="X109" s="952"/>
      <c r="Y109" s="216"/>
      <c r="Z109" s="202"/>
    </row>
    <row r="110" spans="1:42" ht="14.5" thickBot="1">
      <c r="A110" s="24"/>
      <c r="B110" s="363"/>
      <c r="C110" s="342"/>
      <c r="D110" s="342"/>
      <c r="E110" s="364"/>
      <c r="F110" s="345"/>
      <c r="G110" s="366"/>
      <c r="H110" s="346"/>
      <c r="I110" s="367"/>
      <c r="J110" s="347"/>
      <c r="K110" s="347"/>
      <c r="L110" s="24"/>
      <c r="M110" s="363"/>
      <c r="N110" s="342"/>
      <c r="O110" s="342"/>
      <c r="P110" s="364"/>
      <c r="Q110" s="345"/>
      <c r="R110" s="366"/>
      <c r="S110" s="543"/>
      <c r="T110" s="534" t="str">
        <f t="shared" si="25"/>
        <v/>
      </c>
      <c r="U110" s="511"/>
      <c r="V110" s="641"/>
      <c r="W110" s="472"/>
      <c r="X110" s="483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</row>
    <row r="111" spans="1:42" ht="14.25" customHeight="1">
      <c r="B111" s="325">
        <v>14</v>
      </c>
      <c r="C111" s="326" t="s">
        <v>395</v>
      </c>
      <c r="D111" s="326" t="s">
        <v>396</v>
      </c>
      <c r="E111" s="327"/>
      <c r="F111" s="440"/>
      <c r="G111" s="441">
        <v>2625</v>
      </c>
      <c r="H111" s="329">
        <f>H103</f>
        <v>45659</v>
      </c>
      <c r="I111" s="330"/>
      <c r="J111" s="924">
        <f>SUM(G111:G119)</f>
        <v>2625</v>
      </c>
      <c r="K111" s="924">
        <v>3088.2352940000001</v>
      </c>
      <c r="L111" s="442"/>
      <c r="M111" s="325">
        <v>14</v>
      </c>
      <c r="N111" s="683" t="s">
        <v>397</v>
      </c>
      <c r="O111" s="326" t="s">
        <v>396</v>
      </c>
      <c r="P111" s="327"/>
      <c r="Q111" s="440"/>
      <c r="R111" s="441">
        <v>1022.78</v>
      </c>
      <c r="S111" s="818" t="s">
        <v>398</v>
      </c>
      <c r="T111" s="771">
        <v>45535</v>
      </c>
      <c r="U111" s="772">
        <v>683.26532822183185</v>
      </c>
      <c r="V111" s="981">
        <f>K111-SUM(U111:U119)</f>
        <v>3.8280687490441778E-3</v>
      </c>
      <c r="W111" s="767">
        <v>45540</v>
      </c>
      <c r="X111" s="988">
        <f>SUM(R111:R119)</f>
        <v>6991.68</v>
      </c>
      <c r="Y111" s="209"/>
      <c r="Z111" s="195"/>
    </row>
    <row r="112" spans="1:42" ht="15" customHeight="1">
      <c r="B112" s="331">
        <v>14</v>
      </c>
      <c r="C112" s="335"/>
      <c r="D112" s="335"/>
      <c r="E112" s="448"/>
      <c r="F112" s="449"/>
      <c r="G112" s="328"/>
      <c r="H112" s="332"/>
      <c r="I112" s="333"/>
      <c r="J112" s="925"/>
      <c r="K112" s="925"/>
      <c r="L112" s="334"/>
      <c r="M112" s="331">
        <v>14</v>
      </c>
      <c r="N112" s="684" t="s">
        <v>397</v>
      </c>
      <c r="O112" s="335"/>
      <c r="P112" s="448" t="s">
        <v>399</v>
      </c>
      <c r="Q112" s="449"/>
      <c r="R112" s="328">
        <v>1570.98</v>
      </c>
      <c r="S112" s="819" t="s">
        <v>398</v>
      </c>
      <c r="T112" s="798">
        <v>45565</v>
      </c>
      <c r="U112" s="805">
        <v>920.76363793376538</v>
      </c>
      <c r="V112" s="982"/>
      <c r="W112" s="798">
        <v>45569</v>
      </c>
      <c r="X112" s="989"/>
      <c r="Y112" s="212"/>
      <c r="Z112" s="197"/>
      <c r="AA112" s="24"/>
      <c r="AB112" s="24"/>
    </row>
    <row r="113" spans="1:42" ht="15" customHeight="1">
      <c r="B113" s="331">
        <v>14</v>
      </c>
      <c r="C113" s="335"/>
      <c r="D113" s="335"/>
      <c r="E113" s="448"/>
      <c r="F113" s="449"/>
      <c r="G113" s="328"/>
      <c r="H113" s="332"/>
      <c r="I113" s="333"/>
      <c r="J113" s="925"/>
      <c r="K113" s="925"/>
      <c r="L113" s="334"/>
      <c r="M113" s="331">
        <v>14</v>
      </c>
      <c r="N113" s="684" t="s">
        <v>397</v>
      </c>
      <c r="O113" s="335"/>
      <c r="P113" s="448"/>
      <c r="Q113" s="449"/>
      <c r="R113" s="328">
        <v>1671</v>
      </c>
      <c r="S113" s="819" t="s">
        <v>398</v>
      </c>
      <c r="T113" s="798">
        <v>45596</v>
      </c>
      <c r="U113" s="805">
        <v>806.06249977565346</v>
      </c>
      <c r="V113" s="982"/>
      <c r="W113" s="798">
        <v>45604</v>
      </c>
      <c r="X113" s="989"/>
      <c r="Y113" s="212"/>
      <c r="Z113" s="197"/>
    </row>
    <row r="114" spans="1:42" ht="15" customHeight="1">
      <c r="B114" s="331">
        <v>14</v>
      </c>
      <c r="C114" s="335"/>
      <c r="D114" s="335"/>
      <c r="E114" s="448"/>
      <c r="F114" s="449"/>
      <c r="G114" s="328"/>
      <c r="H114" s="332"/>
      <c r="I114" s="333"/>
      <c r="J114" s="925"/>
      <c r="K114" s="925"/>
      <c r="L114" s="334"/>
      <c r="M114" s="331">
        <v>14</v>
      </c>
      <c r="N114" s="684" t="s">
        <v>397</v>
      </c>
      <c r="O114" s="335"/>
      <c r="P114" s="448"/>
      <c r="Q114" s="449"/>
      <c r="R114" s="328">
        <v>25.56</v>
      </c>
      <c r="S114" s="819" t="s">
        <v>398</v>
      </c>
      <c r="T114" s="798">
        <v>45626</v>
      </c>
      <c r="U114" s="805">
        <v>226.05</v>
      </c>
      <c r="V114" s="982"/>
      <c r="W114" s="798">
        <v>45632</v>
      </c>
      <c r="X114" s="989"/>
      <c r="Y114" s="212"/>
      <c r="Z114" s="197"/>
    </row>
    <row r="115" spans="1:42" ht="15" customHeight="1">
      <c r="B115" s="331">
        <v>14</v>
      </c>
      <c r="C115" s="609"/>
      <c r="D115" s="609"/>
      <c r="E115" s="610"/>
      <c r="F115" s="611"/>
      <c r="G115" s="612"/>
      <c r="H115" s="613"/>
      <c r="I115" s="333"/>
      <c r="J115" s="925"/>
      <c r="K115" s="925"/>
      <c r="L115" s="334"/>
      <c r="M115" s="331">
        <v>14</v>
      </c>
      <c r="N115" s="684" t="s">
        <v>397</v>
      </c>
      <c r="O115" s="609"/>
      <c r="P115" s="610"/>
      <c r="Q115" s="611"/>
      <c r="R115" s="328">
        <v>0</v>
      </c>
      <c r="S115" s="819" t="s">
        <v>398</v>
      </c>
      <c r="T115" s="798">
        <v>45657</v>
      </c>
      <c r="U115" s="805">
        <v>0</v>
      </c>
      <c r="V115" s="982"/>
      <c r="W115" s="798">
        <v>45666</v>
      </c>
      <c r="X115" s="989"/>
      <c r="Y115" s="614"/>
      <c r="Z115" s="615"/>
    </row>
    <row r="116" spans="1:42" ht="15" customHeight="1">
      <c r="B116" s="820"/>
      <c r="C116" s="609"/>
      <c r="D116" s="609"/>
      <c r="E116" s="610"/>
      <c r="F116" s="611"/>
      <c r="G116" s="612"/>
      <c r="H116" s="613"/>
      <c r="I116" s="333"/>
      <c r="J116" s="925"/>
      <c r="K116" s="925"/>
      <c r="L116" s="334"/>
      <c r="M116" s="331">
        <v>14</v>
      </c>
      <c r="N116" s="684" t="s">
        <v>397</v>
      </c>
      <c r="O116" s="609"/>
      <c r="P116" s="610"/>
      <c r="Q116" s="611"/>
      <c r="R116" s="328">
        <v>1016.02</v>
      </c>
      <c r="S116" s="819" t="s">
        <v>398</v>
      </c>
      <c r="T116" s="839">
        <v>45688</v>
      </c>
      <c r="U116" s="805">
        <v>452.09000000000003</v>
      </c>
      <c r="V116" s="982"/>
      <c r="W116" s="798">
        <v>45695</v>
      </c>
      <c r="X116" s="989"/>
      <c r="Y116" s="614"/>
      <c r="Z116" s="615"/>
    </row>
    <row r="117" spans="1:42" ht="15" customHeight="1">
      <c r="B117" s="820"/>
      <c r="C117" s="609"/>
      <c r="D117" s="609"/>
      <c r="E117" s="610"/>
      <c r="F117" s="611"/>
      <c r="G117" s="612"/>
      <c r="H117" s="613"/>
      <c r="I117" s="333"/>
      <c r="J117" s="925"/>
      <c r="K117" s="925"/>
      <c r="L117" s="334"/>
      <c r="M117" s="331">
        <v>14</v>
      </c>
      <c r="N117" s="684" t="s">
        <v>397</v>
      </c>
      <c r="O117" s="609"/>
      <c r="P117" s="610"/>
      <c r="Q117" s="611"/>
      <c r="R117" s="612">
        <v>597.36</v>
      </c>
      <c r="S117" s="819" t="s">
        <v>398</v>
      </c>
      <c r="T117" s="839">
        <v>45716</v>
      </c>
      <c r="U117" s="844">
        <v>0</v>
      </c>
      <c r="V117" s="982"/>
      <c r="W117" s="846">
        <v>45722</v>
      </c>
      <c r="X117" s="989"/>
      <c r="Y117" s="614"/>
      <c r="Z117" s="615"/>
    </row>
    <row r="118" spans="1:42" ht="15" customHeight="1">
      <c r="B118" s="820"/>
      <c r="C118" s="609"/>
      <c r="D118" s="609"/>
      <c r="E118" s="610"/>
      <c r="F118" s="611"/>
      <c r="G118" s="612"/>
      <c r="H118" s="613"/>
      <c r="I118" s="333"/>
      <c r="J118" s="925"/>
      <c r="K118" s="925"/>
      <c r="L118" s="334"/>
      <c r="M118" s="331">
        <v>14</v>
      </c>
      <c r="N118" s="684" t="s">
        <v>397</v>
      </c>
      <c r="O118" s="609"/>
      <c r="P118" s="610"/>
      <c r="Q118" s="611"/>
      <c r="R118" s="612">
        <v>1087.98</v>
      </c>
      <c r="S118" s="819" t="s">
        <v>398</v>
      </c>
      <c r="T118" s="839">
        <v>45777</v>
      </c>
      <c r="U118" s="844"/>
      <c r="V118" s="982"/>
      <c r="W118" s="846">
        <v>45785</v>
      </c>
      <c r="X118" s="989"/>
      <c r="Y118" s="614"/>
      <c r="Z118" s="615"/>
    </row>
    <row r="119" spans="1:42" ht="15" customHeight="1">
      <c r="B119" s="336">
        <v>14</v>
      </c>
      <c r="C119" s="450"/>
      <c r="D119" s="450"/>
      <c r="E119" s="451"/>
      <c r="F119" s="452"/>
      <c r="G119" s="337"/>
      <c r="H119" s="338"/>
      <c r="I119" s="339"/>
      <c r="J119" s="926"/>
      <c r="K119" s="926"/>
      <c r="L119" s="340"/>
      <c r="M119" s="336">
        <v>14</v>
      </c>
      <c r="N119" s="685" t="s">
        <v>397</v>
      </c>
      <c r="O119" s="450"/>
      <c r="P119" s="451"/>
      <c r="Q119" s="452"/>
      <c r="R119" s="337"/>
      <c r="S119" s="535"/>
      <c r="T119" s="533" t="str">
        <f t="shared" si="25"/>
        <v/>
      </c>
      <c r="U119" s="521"/>
      <c r="V119" s="983"/>
      <c r="W119" s="471"/>
      <c r="X119" s="990"/>
      <c r="Y119" s="213"/>
      <c r="Z119" s="198"/>
    </row>
    <row r="120" spans="1:42" ht="14.5" thickBot="1">
      <c r="A120" s="24"/>
      <c r="B120" s="363"/>
      <c r="C120" s="342"/>
      <c r="D120" s="342"/>
      <c r="E120" s="364"/>
      <c r="F120" s="345"/>
      <c r="G120" s="366"/>
      <c r="H120" s="346"/>
      <c r="I120" s="367"/>
      <c r="J120" s="456"/>
      <c r="K120" s="456"/>
      <c r="L120" s="24"/>
      <c r="M120" s="363"/>
      <c r="N120" s="342"/>
      <c r="O120" s="342"/>
      <c r="P120" s="364"/>
      <c r="Q120" s="345"/>
      <c r="R120" s="366"/>
      <c r="S120" s="543"/>
      <c r="T120" s="534" t="str">
        <f t="shared" si="25"/>
        <v/>
      </c>
      <c r="U120" s="511"/>
      <c r="V120" s="641"/>
      <c r="W120" s="472"/>
      <c r="X120" s="484"/>
      <c r="Y120" s="214"/>
      <c r="Z120" s="199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</row>
    <row r="121" spans="1:42">
      <c r="B121" s="348">
        <v>15</v>
      </c>
      <c r="C121" s="349" t="s">
        <v>400</v>
      </c>
      <c r="D121" s="349"/>
      <c r="E121" s="350"/>
      <c r="F121" s="453"/>
      <c r="G121" s="351"/>
      <c r="H121" s="352"/>
      <c r="I121" s="353"/>
      <c r="J121" s="920">
        <f>SUM(G121:G124)</f>
        <v>0</v>
      </c>
      <c r="K121" s="920">
        <v>0</v>
      </c>
      <c r="L121" s="354"/>
      <c r="M121" s="348">
        <v>15</v>
      </c>
      <c r="N121" s="486" t="s">
        <v>401</v>
      </c>
      <c r="O121" s="349"/>
      <c r="P121" s="350"/>
      <c r="Q121" s="453"/>
      <c r="R121" s="351"/>
      <c r="S121" s="550"/>
      <c r="T121" s="515" t="str">
        <f t="shared" si="25"/>
        <v/>
      </c>
      <c r="U121" s="522"/>
      <c r="V121" s="937">
        <f>K121-SUM(U121:U124)</f>
        <v>0</v>
      </c>
      <c r="W121" s="473"/>
      <c r="X121" s="950">
        <f>SUM(R121:R124)</f>
        <v>22409.279999999999</v>
      </c>
      <c r="Y121" s="215"/>
      <c r="Z121" s="200"/>
    </row>
    <row r="122" spans="1:42">
      <c r="B122" s="401">
        <v>15</v>
      </c>
      <c r="C122" s="403"/>
      <c r="D122" s="403"/>
      <c r="E122" s="404"/>
      <c r="F122" s="454"/>
      <c r="G122" s="405"/>
      <c r="H122" s="357"/>
      <c r="I122" s="358"/>
      <c r="J122" s="921"/>
      <c r="K122" s="921"/>
      <c r="L122" s="359"/>
      <c r="M122" s="401">
        <v>15</v>
      </c>
      <c r="N122" s="583" t="s">
        <v>401</v>
      </c>
      <c r="O122" s="403" t="s">
        <v>402</v>
      </c>
      <c r="P122" s="404"/>
      <c r="Q122" s="454"/>
      <c r="R122" s="405">
        <v>22409.279999999999</v>
      </c>
      <c r="S122" s="544" t="s">
        <v>403</v>
      </c>
      <c r="T122" s="732">
        <v>45808</v>
      </c>
      <c r="U122" s="554"/>
      <c r="V122" s="938"/>
      <c r="W122" s="747">
        <v>45792</v>
      </c>
      <c r="X122" s="951"/>
      <c r="Y122" s="210" t="s">
        <v>404</v>
      </c>
      <c r="Z122" s="201" t="s">
        <v>405</v>
      </c>
    </row>
    <row r="123" spans="1:42">
      <c r="B123" s="401">
        <v>15</v>
      </c>
      <c r="C123" s="403"/>
      <c r="D123" s="403"/>
      <c r="E123" s="404"/>
      <c r="F123" s="454"/>
      <c r="G123" s="405"/>
      <c r="H123" s="357"/>
      <c r="I123" s="358"/>
      <c r="J123" s="921"/>
      <c r="K123" s="921"/>
      <c r="L123" s="359"/>
      <c r="M123" s="401">
        <v>15</v>
      </c>
      <c r="N123" s="583" t="s">
        <v>401</v>
      </c>
      <c r="O123" s="403" t="s">
        <v>406</v>
      </c>
      <c r="P123" s="404"/>
      <c r="Q123" s="454"/>
      <c r="R123" s="405">
        <v>19463.419999999998</v>
      </c>
      <c r="S123" s="544" t="s">
        <v>407</v>
      </c>
      <c r="T123" s="732">
        <v>45869</v>
      </c>
      <c r="U123" s="554"/>
      <c r="V123" s="938"/>
      <c r="W123" s="816">
        <v>46053</v>
      </c>
      <c r="X123" s="951"/>
      <c r="Y123" s="210"/>
      <c r="Z123" s="201" t="s">
        <v>408</v>
      </c>
    </row>
    <row r="124" spans="1:42">
      <c r="B124" s="407">
        <v>15</v>
      </c>
      <c r="C124" s="408"/>
      <c r="D124" s="408"/>
      <c r="E124" s="409"/>
      <c r="F124" s="455"/>
      <c r="G124" s="428"/>
      <c r="H124" s="360"/>
      <c r="I124" s="361"/>
      <c r="J124" s="922"/>
      <c r="K124" s="922"/>
      <c r="L124" s="362"/>
      <c r="M124" s="407">
        <v>15</v>
      </c>
      <c r="N124" s="665" t="s">
        <v>401</v>
      </c>
      <c r="O124" s="408"/>
      <c r="P124" s="409"/>
      <c r="Q124" s="455"/>
      <c r="R124" s="428">
        <v>-19463.419999999998</v>
      </c>
      <c r="S124" s="888" t="s">
        <v>409</v>
      </c>
      <c r="T124" s="889">
        <v>46053</v>
      </c>
      <c r="U124" s="555"/>
      <c r="V124" s="939"/>
      <c r="W124" s="890">
        <v>46053</v>
      </c>
      <c r="X124" s="968"/>
      <c r="Y124" s="216"/>
      <c r="Z124" s="202"/>
    </row>
    <row r="125" spans="1:42" s="3" customFormat="1">
      <c r="B125" s="109"/>
      <c r="E125" s="4"/>
      <c r="F125" s="109"/>
      <c r="G125" s="5"/>
      <c r="H125" s="5"/>
      <c r="I125" s="457"/>
      <c r="J125" s="458"/>
      <c r="K125" s="458"/>
      <c r="M125" s="109"/>
      <c r="P125" s="4"/>
      <c r="Q125" s="109"/>
      <c r="R125" s="459"/>
      <c r="S125" s="459"/>
      <c r="T125" s="459"/>
      <c r="U125" s="459"/>
      <c r="V125" s="459"/>
      <c r="W125" s="459"/>
      <c r="X125" s="459"/>
      <c r="Y125" s="459"/>
    </row>
    <row r="126" spans="1:42">
      <c r="B126" s="114"/>
      <c r="C126" s="114"/>
      <c r="D126" s="114"/>
      <c r="E126" s="168"/>
      <c r="F126" s="115"/>
      <c r="G126" s="114"/>
      <c r="H126" s="114"/>
      <c r="J126" s="114"/>
      <c r="K126" s="114"/>
      <c r="M126" s="114"/>
      <c r="N126" s="114"/>
      <c r="O126" s="114"/>
      <c r="P126" s="114"/>
      <c r="Q126" s="114"/>
      <c r="R126" s="307"/>
      <c r="S126" s="307"/>
      <c r="T126" s="307"/>
      <c r="U126" s="507">
        <f>SUM(U6:U119)</f>
        <v>1744357.8279109215</v>
      </c>
      <c r="V126" s="307"/>
      <c r="W126" s="307"/>
      <c r="X126" s="307"/>
      <c r="Y126" s="114"/>
    </row>
    <row r="127" spans="1:42">
      <c r="B127" s="114"/>
      <c r="C127" s="114"/>
      <c r="D127" s="114"/>
      <c r="E127" s="168"/>
      <c r="F127" s="115"/>
      <c r="G127" s="114"/>
      <c r="H127" s="114"/>
      <c r="J127" s="306"/>
      <c r="K127" s="306"/>
      <c r="M127" s="114"/>
      <c r="N127" s="114"/>
      <c r="O127" s="114"/>
      <c r="P127" s="168"/>
      <c r="Q127" s="115"/>
      <c r="R127" s="307"/>
      <c r="S127" s="307"/>
      <c r="T127" s="307"/>
      <c r="U127" s="307"/>
      <c r="V127" s="307"/>
      <c r="W127" s="307"/>
      <c r="X127" s="307"/>
      <c r="Y127" s="169"/>
    </row>
    <row r="128" spans="1:42">
      <c r="B128" s="114"/>
      <c r="C128" s="114"/>
      <c r="D128" s="114"/>
      <c r="E128" s="168"/>
      <c r="F128" s="115"/>
      <c r="G128" s="114"/>
      <c r="H128" s="114"/>
      <c r="J128" s="460"/>
      <c r="K128" s="460"/>
      <c r="M128" s="114"/>
      <c r="N128" s="114"/>
      <c r="O128" s="114"/>
      <c r="P128" s="168"/>
      <c r="Q128" s="115"/>
      <c r="R128" s="307"/>
      <c r="S128" s="307"/>
      <c r="T128" s="307"/>
      <c r="U128" s="307"/>
      <c r="V128" s="307"/>
      <c r="W128" s="307"/>
      <c r="X128" s="307"/>
      <c r="Y128" s="169"/>
    </row>
    <row r="129" spans="2:25">
      <c r="B129" s="114"/>
      <c r="C129" s="114"/>
      <c r="D129" s="114"/>
      <c r="E129" s="168"/>
      <c r="F129" s="115"/>
      <c r="G129" s="114"/>
      <c r="H129" s="114"/>
      <c r="J129" s="306"/>
      <c r="K129" s="306"/>
      <c r="M129" s="114"/>
      <c r="N129" s="114"/>
      <c r="O129" s="114"/>
      <c r="P129" s="168"/>
      <c r="Q129" s="115"/>
      <c r="R129" s="307"/>
      <c r="S129" s="307"/>
      <c r="T129" s="307"/>
      <c r="U129" s="307"/>
      <c r="V129" s="307"/>
      <c r="W129" s="307"/>
      <c r="X129" s="307"/>
      <c r="Y129" s="169"/>
    </row>
    <row r="130" spans="2:25">
      <c r="B130" s="114"/>
      <c r="C130" s="114"/>
      <c r="D130" s="114"/>
      <c r="E130" s="168"/>
      <c r="F130" s="115"/>
      <c r="G130" s="114"/>
      <c r="H130" s="114"/>
      <c r="J130" s="460"/>
      <c r="K130" s="460"/>
      <c r="M130" s="114"/>
      <c r="N130" s="114"/>
      <c r="O130" s="114"/>
      <c r="P130" s="168"/>
      <c r="Q130" s="115"/>
      <c r="R130" s="307"/>
      <c r="S130" s="307"/>
      <c r="T130" s="307"/>
      <c r="U130" s="307"/>
      <c r="V130" s="307"/>
      <c r="W130" s="307"/>
      <c r="X130" s="307"/>
      <c r="Y130" s="169"/>
    </row>
    <row r="131" spans="2:25">
      <c r="B131" s="114"/>
      <c r="C131" s="114"/>
      <c r="D131" s="114"/>
      <c r="E131" s="168"/>
      <c r="F131" s="115"/>
      <c r="G131" s="114"/>
      <c r="H131" s="114"/>
      <c r="J131" s="306"/>
      <c r="K131" s="306"/>
      <c r="M131" s="114"/>
      <c r="N131" s="114"/>
      <c r="O131" s="114"/>
      <c r="P131" s="168"/>
      <c r="Q131" s="115"/>
      <c r="R131" s="307"/>
      <c r="S131" s="307"/>
      <c r="T131" s="307"/>
      <c r="U131" s="307"/>
      <c r="V131" s="307"/>
      <c r="W131" s="307"/>
      <c r="X131" s="307"/>
      <c r="Y131" s="169"/>
    </row>
    <row r="132" spans="2:25">
      <c r="B132" s="114"/>
      <c r="C132" s="114"/>
      <c r="D132" s="114"/>
      <c r="E132" s="168"/>
      <c r="F132" s="115"/>
      <c r="G132" s="114"/>
      <c r="H132" s="114"/>
      <c r="J132" s="306"/>
      <c r="K132" s="306"/>
      <c r="M132" s="114"/>
      <c r="N132" s="114"/>
      <c r="O132" s="114"/>
      <c r="P132" s="168"/>
      <c r="Q132" s="115"/>
      <c r="R132" s="507"/>
      <c r="S132" s="307"/>
      <c r="T132" s="307"/>
      <c r="U132" s="307"/>
      <c r="V132" s="307"/>
      <c r="W132" s="307"/>
      <c r="X132" s="307"/>
      <c r="Y132" s="169"/>
    </row>
    <row r="133" spans="2:25">
      <c r="B133" s="114"/>
      <c r="C133" s="114"/>
      <c r="D133" s="114"/>
      <c r="E133" s="168"/>
      <c r="F133" s="115"/>
      <c r="G133" s="114"/>
      <c r="H133" s="114"/>
      <c r="J133" s="306"/>
      <c r="K133" s="306"/>
      <c r="M133" s="114"/>
      <c r="N133" s="114"/>
      <c r="O133" s="114"/>
      <c r="P133" s="168"/>
      <c r="Q133" s="115"/>
      <c r="R133" s="307"/>
      <c r="S133" s="307"/>
      <c r="T133" s="307"/>
      <c r="U133" s="307"/>
      <c r="V133" s="307"/>
      <c r="W133" s="307"/>
      <c r="X133" s="307"/>
      <c r="Y133" s="169"/>
    </row>
    <row r="134" spans="2:25">
      <c r="B134" s="114"/>
      <c r="C134" s="114"/>
      <c r="D134" s="114"/>
      <c r="E134" s="168"/>
      <c r="F134" s="115"/>
      <c r="G134" s="114"/>
      <c r="H134" s="114"/>
      <c r="J134" s="306"/>
      <c r="K134" s="306"/>
      <c r="M134" s="114"/>
      <c r="N134" s="114"/>
      <c r="O134" s="114"/>
      <c r="P134" s="168"/>
      <c r="Q134" s="115"/>
      <c r="R134" s="307"/>
      <c r="S134" s="307"/>
      <c r="T134" s="307"/>
      <c r="U134" s="307"/>
      <c r="V134" s="307"/>
      <c r="W134" s="307"/>
      <c r="X134" s="307"/>
      <c r="Y134" s="169"/>
    </row>
    <row r="135" spans="2:25">
      <c r="B135" s="114"/>
      <c r="C135" s="114"/>
      <c r="D135" s="114"/>
      <c r="E135" s="168"/>
      <c r="F135" s="115"/>
      <c r="G135" s="114"/>
      <c r="H135" s="114"/>
      <c r="J135" s="306"/>
      <c r="K135" s="306"/>
      <c r="M135" s="114"/>
      <c r="N135" s="114"/>
      <c r="O135" s="114"/>
      <c r="P135" s="168"/>
      <c r="Q135" s="115"/>
      <c r="R135" s="307"/>
      <c r="S135" s="307"/>
      <c r="T135" s="307"/>
      <c r="U135" s="307"/>
      <c r="V135" s="307"/>
      <c r="W135" s="307"/>
      <c r="X135" s="307"/>
      <c r="Y135" s="169"/>
    </row>
    <row r="136" spans="2:25">
      <c r="B136" s="114"/>
      <c r="C136" s="114"/>
      <c r="D136" s="114"/>
      <c r="E136" s="168"/>
      <c r="F136" s="115"/>
      <c r="G136" s="114"/>
      <c r="H136" s="114"/>
      <c r="J136" s="306"/>
      <c r="K136" s="306"/>
      <c r="M136" s="114"/>
      <c r="N136" s="114"/>
      <c r="O136" s="114"/>
      <c r="P136" s="168"/>
      <c r="Q136" s="115"/>
      <c r="R136" s="307"/>
      <c r="S136" s="307"/>
      <c r="T136" s="307"/>
      <c r="U136" s="307"/>
      <c r="V136" s="307"/>
      <c r="W136" s="307"/>
      <c r="X136" s="307"/>
      <c r="Y136" s="169"/>
    </row>
    <row r="137" spans="2:25">
      <c r="B137" s="114"/>
      <c r="C137" s="114"/>
      <c r="D137" s="114"/>
      <c r="E137" s="168"/>
      <c r="F137" s="115"/>
      <c r="G137" s="114"/>
      <c r="H137" s="114"/>
      <c r="J137" s="306"/>
      <c r="K137" s="306"/>
      <c r="M137" s="114"/>
      <c r="N137" s="114"/>
      <c r="O137" s="114"/>
      <c r="P137" s="168"/>
      <c r="Q137" s="115"/>
      <c r="R137" s="307"/>
      <c r="S137" s="307"/>
      <c r="T137" s="307"/>
      <c r="U137" s="307"/>
      <c r="V137" s="307"/>
      <c r="W137" s="307"/>
      <c r="X137" s="307"/>
      <c r="Y137" s="169"/>
    </row>
    <row r="138" spans="2:25">
      <c r="B138" s="114"/>
      <c r="C138" s="114"/>
      <c r="D138" s="114"/>
      <c r="E138" s="168"/>
      <c r="F138" s="115"/>
      <c r="G138" s="114"/>
      <c r="H138" s="114"/>
      <c r="J138" s="306"/>
      <c r="K138" s="306"/>
      <c r="M138" s="114"/>
      <c r="N138" s="114"/>
      <c r="O138" s="114"/>
      <c r="P138" s="168"/>
      <c r="Q138" s="115"/>
      <c r="R138" s="307"/>
      <c r="S138" s="307"/>
      <c r="T138" s="307"/>
      <c r="U138" s="307"/>
      <c r="V138" s="307"/>
      <c r="W138" s="307"/>
      <c r="X138" s="307"/>
      <c r="Y138" s="169"/>
    </row>
    <row r="139" spans="2:25" s="114" customFormat="1">
      <c r="E139" s="168"/>
      <c r="F139" s="115"/>
      <c r="J139" s="306"/>
      <c r="K139" s="306"/>
      <c r="P139" s="168"/>
      <c r="Q139" s="115"/>
      <c r="R139" s="307"/>
      <c r="S139" s="307"/>
      <c r="T139" s="307"/>
      <c r="U139" s="307"/>
      <c r="V139" s="307"/>
      <c r="W139" s="307"/>
      <c r="X139" s="307"/>
      <c r="Y139" s="169"/>
    </row>
    <row r="140" spans="2:25" s="114" customFormat="1">
      <c r="E140" s="168"/>
      <c r="F140" s="115"/>
      <c r="J140" s="306"/>
      <c r="K140" s="306"/>
      <c r="P140" s="168"/>
      <c r="Q140" s="115"/>
      <c r="R140" s="307"/>
      <c r="S140" s="307"/>
      <c r="T140" s="307"/>
      <c r="U140" s="307"/>
      <c r="V140" s="307"/>
      <c r="W140" s="307"/>
      <c r="X140" s="307"/>
      <c r="Y140" s="169"/>
    </row>
    <row r="141" spans="2:25" s="114" customFormat="1">
      <c r="E141" s="168"/>
      <c r="F141" s="115"/>
      <c r="J141" s="306"/>
      <c r="K141" s="306"/>
      <c r="P141" s="168"/>
      <c r="Q141" s="115"/>
      <c r="R141" s="307"/>
      <c r="S141" s="307"/>
      <c r="T141" s="307"/>
      <c r="U141" s="307"/>
      <c r="V141" s="307"/>
      <c r="W141" s="307"/>
      <c r="X141" s="307"/>
      <c r="Y141" s="169"/>
    </row>
    <row r="142" spans="2:25" s="114" customFormat="1">
      <c r="E142" s="168"/>
      <c r="F142" s="115"/>
      <c r="J142" s="306"/>
      <c r="K142" s="306"/>
      <c r="P142" s="168"/>
      <c r="Q142" s="115"/>
      <c r="R142" s="307"/>
      <c r="S142" s="307"/>
      <c r="T142" s="307"/>
      <c r="U142" s="307"/>
      <c r="V142" s="307"/>
      <c r="W142" s="307"/>
      <c r="X142" s="307"/>
      <c r="Y142" s="169"/>
    </row>
    <row r="143" spans="2:25" s="114" customFormat="1">
      <c r="E143" s="168"/>
      <c r="F143" s="115"/>
      <c r="J143" s="306"/>
      <c r="K143" s="306"/>
      <c r="P143" s="168"/>
      <c r="Q143" s="115"/>
      <c r="R143" s="307"/>
      <c r="S143" s="307"/>
      <c r="T143" s="307"/>
      <c r="U143" s="307"/>
      <c r="V143" s="307"/>
      <c r="W143" s="307"/>
      <c r="X143" s="307"/>
      <c r="Y143" s="169"/>
    </row>
    <row r="144" spans="2:25" s="114" customFormat="1">
      <c r="E144" s="168"/>
      <c r="F144" s="115"/>
      <c r="J144" s="306"/>
      <c r="K144" s="306"/>
      <c r="P144" s="168"/>
      <c r="Q144" s="115"/>
      <c r="R144" s="307"/>
      <c r="S144" s="307"/>
      <c r="T144" s="307"/>
      <c r="U144" s="307"/>
      <c r="V144" s="307"/>
      <c r="W144" s="307"/>
      <c r="X144" s="307"/>
      <c r="Y144" s="169"/>
    </row>
    <row r="145" spans="5:25" s="114" customFormat="1">
      <c r="E145" s="168"/>
      <c r="F145" s="115"/>
      <c r="J145" s="306"/>
      <c r="K145" s="306"/>
      <c r="P145" s="168"/>
      <c r="Q145" s="115"/>
      <c r="R145" s="307"/>
      <c r="S145" s="307"/>
      <c r="T145" s="307"/>
      <c r="U145" s="307"/>
      <c r="V145" s="307"/>
      <c r="W145" s="307"/>
      <c r="X145" s="307"/>
      <c r="Y145" s="169"/>
    </row>
    <row r="146" spans="5:25" s="114" customFormat="1">
      <c r="E146" s="168"/>
      <c r="F146" s="115"/>
      <c r="J146" s="306"/>
      <c r="K146" s="306"/>
      <c r="P146" s="168"/>
      <c r="Q146" s="115"/>
      <c r="R146" s="307"/>
      <c r="S146" s="307"/>
      <c r="T146" s="307"/>
      <c r="U146" s="307"/>
      <c r="V146" s="307"/>
      <c r="W146" s="307"/>
      <c r="X146" s="307"/>
      <c r="Y146" s="169"/>
    </row>
    <row r="147" spans="5:25" s="114" customFormat="1">
      <c r="E147" s="168"/>
      <c r="F147" s="115"/>
      <c r="J147" s="306"/>
      <c r="K147" s="306"/>
      <c r="P147" s="168"/>
      <c r="Q147" s="115"/>
      <c r="R147" s="307"/>
      <c r="S147" s="307"/>
      <c r="T147" s="307"/>
      <c r="U147" s="307"/>
      <c r="V147" s="307"/>
      <c r="W147" s="307"/>
      <c r="X147" s="307"/>
      <c r="Y147" s="169"/>
    </row>
    <row r="148" spans="5:25" s="114" customFormat="1">
      <c r="E148" s="168"/>
      <c r="F148" s="115"/>
      <c r="J148" s="306"/>
      <c r="K148" s="306"/>
      <c r="P148" s="168"/>
      <c r="Q148" s="115"/>
      <c r="R148" s="307"/>
      <c r="S148" s="307"/>
      <c r="T148" s="307"/>
      <c r="U148" s="307"/>
      <c r="V148" s="307"/>
      <c r="W148" s="307"/>
      <c r="X148" s="307"/>
      <c r="Y148" s="169"/>
    </row>
    <row r="149" spans="5:25" s="114" customFormat="1">
      <c r="E149" s="168"/>
      <c r="F149" s="115"/>
      <c r="J149" s="306"/>
      <c r="K149" s="306"/>
      <c r="P149" s="168"/>
      <c r="Q149" s="115"/>
      <c r="R149" s="307"/>
      <c r="S149" s="307"/>
      <c r="T149" s="307"/>
      <c r="U149" s="307"/>
      <c r="V149" s="307"/>
      <c r="W149" s="307"/>
      <c r="X149" s="307"/>
      <c r="Y149" s="169"/>
    </row>
    <row r="150" spans="5:25" s="114" customFormat="1">
      <c r="E150" s="168"/>
      <c r="F150" s="115"/>
      <c r="J150" s="306"/>
      <c r="K150" s="306"/>
      <c r="P150" s="168"/>
      <c r="Q150" s="115"/>
      <c r="R150" s="307"/>
      <c r="S150" s="307"/>
      <c r="T150" s="307"/>
      <c r="U150" s="307"/>
      <c r="V150" s="307"/>
      <c r="W150" s="307"/>
      <c r="X150" s="307"/>
      <c r="Y150" s="169"/>
    </row>
    <row r="151" spans="5:25" s="114" customFormat="1">
      <c r="E151" s="168"/>
      <c r="F151" s="115"/>
      <c r="J151" s="306"/>
      <c r="K151" s="306"/>
      <c r="P151" s="168"/>
      <c r="Q151" s="115"/>
      <c r="R151" s="307"/>
      <c r="S151" s="307"/>
      <c r="T151" s="307"/>
      <c r="U151" s="307"/>
      <c r="V151" s="307"/>
      <c r="W151" s="307"/>
      <c r="X151" s="307"/>
      <c r="Y151" s="169"/>
    </row>
    <row r="152" spans="5:25" s="114" customFormat="1">
      <c r="E152" s="168"/>
      <c r="F152" s="115"/>
      <c r="J152" s="306"/>
      <c r="K152" s="306"/>
      <c r="P152" s="168"/>
      <c r="Q152" s="115"/>
      <c r="R152" s="307"/>
      <c r="S152" s="307"/>
      <c r="T152" s="307"/>
      <c r="U152" s="307"/>
      <c r="V152" s="307"/>
      <c r="W152" s="307"/>
      <c r="X152" s="307"/>
      <c r="Y152" s="169"/>
    </row>
    <row r="153" spans="5:25" s="114" customFormat="1">
      <c r="E153" s="168"/>
      <c r="F153" s="115"/>
      <c r="J153" s="306"/>
      <c r="K153" s="306"/>
      <c r="P153" s="168"/>
      <c r="Q153" s="115"/>
      <c r="R153" s="307"/>
      <c r="S153" s="307"/>
      <c r="T153" s="307"/>
      <c r="U153" s="307"/>
      <c r="V153" s="307"/>
      <c r="W153" s="307"/>
      <c r="X153" s="307"/>
      <c r="Y153" s="169"/>
    </row>
    <row r="154" spans="5:25" s="114" customFormat="1">
      <c r="E154" s="168"/>
      <c r="F154" s="115"/>
      <c r="J154" s="306"/>
      <c r="K154" s="306"/>
      <c r="P154" s="168"/>
      <c r="Q154" s="115"/>
      <c r="R154" s="307"/>
      <c r="S154" s="307"/>
      <c r="T154" s="307"/>
      <c r="U154" s="307"/>
      <c r="V154" s="307"/>
      <c r="W154" s="307"/>
      <c r="X154" s="307"/>
      <c r="Y154" s="169"/>
    </row>
    <row r="155" spans="5:25" s="114" customFormat="1">
      <c r="E155" s="168"/>
      <c r="F155" s="115"/>
      <c r="J155" s="306"/>
      <c r="K155" s="306"/>
      <c r="P155" s="168"/>
      <c r="Q155" s="115"/>
      <c r="R155" s="307"/>
      <c r="S155" s="307"/>
      <c r="T155" s="307"/>
      <c r="U155" s="307"/>
      <c r="V155" s="307"/>
      <c r="W155" s="307"/>
      <c r="X155" s="307"/>
      <c r="Y155" s="169"/>
    </row>
    <row r="156" spans="5:25" s="114" customFormat="1">
      <c r="E156" s="168"/>
      <c r="F156" s="115"/>
      <c r="J156" s="306"/>
      <c r="K156" s="306"/>
      <c r="P156" s="168"/>
      <c r="Q156" s="115"/>
      <c r="R156" s="307"/>
      <c r="S156" s="307"/>
      <c r="T156" s="307"/>
      <c r="U156" s="307"/>
      <c r="V156" s="307"/>
      <c r="W156" s="307"/>
      <c r="X156" s="307"/>
      <c r="Y156" s="169"/>
    </row>
    <row r="157" spans="5:25" s="114" customFormat="1">
      <c r="E157" s="168"/>
      <c r="F157" s="115"/>
      <c r="J157" s="306"/>
      <c r="K157" s="306"/>
      <c r="P157" s="168"/>
      <c r="Q157" s="115"/>
      <c r="R157" s="307"/>
      <c r="S157" s="307"/>
      <c r="T157" s="307"/>
      <c r="U157" s="307"/>
      <c r="V157" s="307"/>
      <c r="W157" s="307"/>
      <c r="X157" s="307"/>
      <c r="Y157" s="169"/>
    </row>
    <row r="158" spans="5:25" s="114" customFormat="1">
      <c r="E158" s="168"/>
      <c r="F158" s="115"/>
      <c r="J158" s="306"/>
      <c r="K158" s="306"/>
      <c r="P158" s="168"/>
      <c r="Q158" s="115"/>
      <c r="R158" s="307"/>
      <c r="S158" s="307"/>
      <c r="T158" s="307"/>
      <c r="U158" s="307"/>
      <c r="V158" s="307"/>
      <c r="W158" s="307"/>
      <c r="X158" s="307"/>
      <c r="Y158" s="169"/>
    </row>
    <row r="159" spans="5:25" s="114" customFormat="1">
      <c r="E159" s="168"/>
      <c r="F159" s="115"/>
      <c r="J159" s="306"/>
      <c r="K159" s="306"/>
      <c r="P159" s="168"/>
      <c r="Q159" s="115"/>
      <c r="R159" s="307"/>
      <c r="S159" s="307"/>
      <c r="T159" s="307"/>
      <c r="U159" s="307"/>
      <c r="V159" s="307"/>
      <c r="W159" s="307"/>
      <c r="X159" s="307"/>
      <c r="Y159" s="169"/>
    </row>
    <row r="160" spans="5:25" s="114" customFormat="1">
      <c r="E160" s="168"/>
      <c r="F160" s="115"/>
      <c r="J160" s="306"/>
      <c r="K160" s="306"/>
      <c r="P160" s="168"/>
      <c r="Q160" s="115"/>
      <c r="R160" s="307"/>
      <c r="S160" s="307"/>
      <c r="T160" s="307"/>
      <c r="U160" s="307"/>
      <c r="V160" s="307"/>
      <c r="W160" s="307"/>
      <c r="X160" s="307"/>
      <c r="Y160" s="169"/>
    </row>
    <row r="161" spans="5:25" s="114" customFormat="1">
      <c r="E161" s="168"/>
      <c r="F161" s="115"/>
      <c r="J161" s="306"/>
      <c r="K161" s="306"/>
      <c r="P161" s="168"/>
      <c r="Q161" s="115"/>
      <c r="R161" s="307"/>
      <c r="S161" s="307"/>
      <c r="T161" s="307"/>
      <c r="U161" s="307"/>
      <c r="V161" s="307"/>
      <c r="W161" s="307"/>
      <c r="X161" s="307"/>
      <c r="Y161" s="169"/>
    </row>
    <row r="162" spans="5:25" s="114" customFormat="1">
      <c r="E162" s="168"/>
      <c r="F162" s="115"/>
      <c r="J162" s="306"/>
      <c r="K162" s="306"/>
      <c r="P162" s="168"/>
      <c r="Q162" s="115"/>
      <c r="R162" s="307"/>
      <c r="S162" s="307"/>
      <c r="T162" s="307"/>
      <c r="U162" s="307"/>
      <c r="V162" s="307"/>
      <c r="W162" s="307"/>
      <c r="X162" s="307"/>
      <c r="Y162" s="169"/>
    </row>
    <row r="163" spans="5:25" s="114" customFormat="1">
      <c r="E163" s="168"/>
      <c r="F163" s="115"/>
      <c r="J163" s="306"/>
      <c r="K163" s="306"/>
      <c r="P163" s="168"/>
      <c r="Q163" s="115"/>
      <c r="R163" s="307"/>
      <c r="S163" s="307"/>
      <c r="T163" s="307"/>
      <c r="U163" s="307"/>
      <c r="V163" s="307"/>
      <c r="W163" s="307"/>
      <c r="X163" s="307"/>
      <c r="Y163" s="169"/>
    </row>
    <row r="164" spans="5:25" s="114" customFormat="1">
      <c r="E164" s="168"/>
      <c r="F164" s="115"/>
      <c r="J164" s="306"/>
      <c r="K164" s="306"/>
      <c r="P164" s="168"/>
      <c r="Q164" s="115"/>
      <c r="R164" s="307"/>
      <c r="S164" s="307"/>
      <c r="T164" s="307"/>
      <c r="U164" s="307"/>
      <c r="V164" s="307"/>
      <c r="W164" s="307"/>
      <c r="X164" s="307"/>
      <c r="Y164" s="169"/>
    </row>
    <row r="165" spans="5:25" s="114" customFormat="1">
      <c r="E165" s="168"/>
      <c r="F165" s="115"/>
      <c r="J165" s="306"/>
      <c r="K165" s="306"/>
      <c r="P165" s="168"/>
      <c r="Q165" s="115"/>
      <c r="R165" s="307"/>
      <c r="S165" s="307"/>
      <c r="T165" s="307"/>
      <c r="U165" s="307"/>
      <c r="V165" s="307"/>
      <c r="W165" s="307"/>
      <c r="X165" s="307"/>
      <c r="Y165" s="169"/>
    </row>
    <row r="166" spans="5:25" s="114" customFormat="1">
      <c r="E166" s="168"/>
      <c r="F166" s="115"/>
      <c r="J166" s="306"/>
      <c r="K166" s="306"/>
      <c r="P166" s="168"/>
      <c r="Q166" s="115"/>
      <c r="R166" s="307"/>
      <c r="S166" s="307"/>
      <c r="T166" s="307"/>
      <c r="U166" s="307"/>
      <c r="V166" s="307"/>
      <c r="W166" s="307"/>
      <c r="X166" s="307"/>
      <c r="Y166" s="169"/>
    </row>
    <row r="167" spans="5:25" s="114" customFormat="1">
      <c r="E167" s="168"/>
      <c r="F167" s="115"/>
      <c r="J167" s="306"/>
      <c r="K167" s="306"/>
      <c r="P167" s="168"/>
      <c r="Q167" s="115"/>
      <c r="R167" s="307"/>
      <c r="S167" s="307"/>
      <c r="T167" s="307"/>
      <c r="U167" s="307"/>
      <c r="V167" s="307"/>
      <c r="W167" s="307"/>
      <c r="X167" s="307"/>
      <c r="Y167" s="169"/>
    </row>
    <row r="168" spans="5:25" s="114" customFormat="1">
      <c r="E168" s="168"/>
      <c r="F168" s="115"/>
      <c r="J168" s="306"/>
      <c r="K168" s="306"/>
      <c r="P168" s="168"/>
      <c r="Q168" s="115"/>
      <c r="R168" s="307"/>
      <c r="S168" s="307"/>
      <c r="T168" s="307"/>
      <c r="U168" s="307"/>
      <c r="V168" s="307"/>
      <c r="W168" s="307"/>
      <c r="X168" s="307"/>
      <c r="Y168" s="169"/>
    </row>
    <row r="169" spans="5:25" s="114" customFormat="1">
      <c r="E169" s="168"/>
      <c r="F169" s="115"/>
      <c r="J169" s="306"/>
      <c r="K169" s="306"/>
      <c r="P169" s="168"/>
      <c r="Q169" s="115"/>
      <c r="R169" s="307"/>
      <c r="S169" s="307"/>
      <c r="T169" s="307"/>
      <c r="U169" s="307"/>
      <c r="V169" s="307"/>
      <c r="W169" s="307"/>
      <c r="X169" s="307"/>
      <c r="Y169" s="169"/>
    </row>
    <row r="170" spans="5:25" s="114" customFormat="1">
      <c r="E170" s="168"/>
      <c r="F170" s="115"/>
      <c r="J170" s="306"/>
      <c r="K170" s="306"/>
      <c r="P170" s="168"/>
      <c r="Q170" s="115"/>
      <c r="R170" s="307"/>
      <c r="S170" s="307"/>
      <c r="T170" s="307"/>
      <c r="U170" s="307"/>
      <c r="V170" s="307"/>
      <c r="W170" s="307"/>
      <c r="X170" s="307"/>
      <c r="Y170" s="169"/>
    </row>
    <row r="171" spans="5:25" s="114" customFormat="1">
      <c r="E171" s="168"/>
      <c r="F171" s="115"/>
      <c r="J171" s="306"/>
      <c r="K171" s="306"/>
      <c r="P171" s="168"/>
      <c r="Q171" s="115"/>
      <c r="R171" s="307"/>
      <c r="S171" s="307"/>
      <c r="T171" s="307"/>
      <c r="U171" s="307"/>
      <c r="V171" s="307"/>
      <c r="W171" s="307"/>
      <c r="X171" s="307"/>
      <c r="Y171" s="169"/>
    </row>
    <row r="172" spans="5:25" s="114" customFormat="1">
      <c r="E172" s="168"/>
      <c r="F172" s="115"/>
      <c r="J172" s="306"/>
      <c r="K172" s="306"/>
      <c r="P172" s="168"/>
      <c r="Q172" s="115"/>
      <c r="R172" s="307"/>
      <c r="S172" s="307"/>
      <c r="T172" s="307"/>
      <c r="U172" s="307"/>
      <c r="V172" s="307"/>
      <c r="W172" s="307"/>
      <c r="X172" s="307"/>
      <c r="Y172" s="169"/>
    </row>
    <row r="173" spans="5:25" s="114" customFormat="1">
      <c r="E173" s="168"/>
      <c r="F173" s="115"/>
      <c r="J173" s="306"/>
      <c r="K173" s="306"/>
      <c r="P173" s="168"/>
      <c r="Q173" s="115"/>
      <c r="R173" s="307"/>
      <c r="S173" s="307"/>
      <c r="T173" s="307"/>
      <c r="U173" s="307"/>
      <c r="V173" s="307"/>
      <c r="W173" s="307"/>
      <c r="X173" s="307"/>
      <c r="Y173" s="169"/>
    </row>
    <row r="174" spans="5:25" s="114" customFormat="1">
      <c r="E174" s="168"/>
      <c r="F174" s="115"/>
      <c r="J174" s="306"/>
      <c r="K174" s="306"/>
      <c r="P174" s="168"/>
      <c r="Q174" s="115"/>
      <c r="R174" s="307"/>
      <c r="S174" s="307"/>
      <c r="T174" s="307"/>
      <c r="U174" s="307"/>
      <c r="V174" s="307"/>
      <c r="W174" s="307"/>
      <c r="X174" s="307"/>
      <c r="Y174" s="169"/>
    </row>
    <row r="175" spans="5:25" s="114" customFormat="1">
      <c r="E175" s="168"/>
      <c r="F175" s="115"/>
      <c r="J175" s="306"/>
      <c r="K175" s="306"/>
      <c r="P175" s="168"/>
      <c r="Q175" s="115"/>
      <c r="R175" s="307"/>
      <c r="S175" s="307"/>
      <c r="T175" s="307"/>
      <c r="U175" s="307"/>
      <c r="V175" s="307"/>
      <c r="W175" s="307"/>
      <c r="X175" s="307"/>
      <c r="Y175" s="169"/>
    </row>
    <row r="176" spans="5:25" s="114" customFormat="1">
      <c r="E176" s="168"/>
      <c r="F176" s="115"/>
      <c r="J176" s="306"/>
      <c r="K176" s="306"/>
      <c r="P176" s="168"/>
      <c r="Q176" s="115"/>
      <c r="R176" s="307"/>
      <c r="S176" s="307"/>
      <c r="T176" s="307"/>
      <c r="U176" s="307"/>
      <c r="V176" s="307"/>
      <c r="W176" s="307"/>
      <c r="X176" s="307"/>
      <c r="Y176" s="169"/>
    </row>
    <row r="177" spans="5:25" s="114" customFormat="1">
      <c r="E177" s="168"/>
      <c r="F177" s="115"/>
      <c r="J177" s="306"/>
      <c r="K177" s="306"/>
      <c r="P177" s="168"/>
      <c r="Q177" s="115"/>
      <c r="R177" s="307"/>
      <c r="S177" s="307"/>
      <c r="T177" s="307"/>
      <c r="U177" s="307"/>
      <c r="V177" s="307"/>
      <c r="W177" s="307"/>
      <c r="X177" s="307"/>
      <c r="Y177" s="169"/>
    </row>
    <row r="178" spans="5:25" s="114" customFormat="1">
      <c r="E178" s="168"/>
      <c r="F178" s="115"/>
      <c r="J178" s="306"/>
      <c r="K178" s="306"/>
      <c r="P178" s="168"/>
      <c r="Q178" s="115"/>
      <c r="R178" s="307"/>
      <c r="S178" s="307"/>
      <c r="T178" s="307"/>
      <c r="U178" s="307"/>
      <c r="V178" s="307"/>
      <c r="W178" s="307"/>
      <c r="X178" s="307"/>
      <c r="Y178" s="169"/>
    </row>
    <row r="179" spans="5:25" s="114" customFormat="1">
      <c r="E179" s="168"/>
      <c r="F179" s="115"/>
      <c r="J179" s="306"/>
      <c r="K179" s="306"/>
      <c r="P179" s="168"/>
      <c r="Q179" s="115"/>
      <c r="R179" s="307"/>
      <c r="S179" s="307"/>
      <c r="T179" s="307"/>
      <c r="U179" s="307"/>
      <c r="V179" s="307"/>
      <c r="W179" s="307"/>
      <c r="X179" s="307"/>
      <c r="Y179" s="169"/>
    </row>
    <row r="180" spans="5:25" s="114" customFormat="1">
      <c r="E180" s="168"/>
      <c r="F180" s="115"/>
      <c r="J180" s="306"/>
      <c r="K180" s="306"/>
      <c r="P180" s="168"/>
      <c r="Q180" s="115"/>
      <c r="R180" s="307"/>
      <c r="S180" s="307"/>
      <c r="T180" s="307"/>
      <c r="U180" s="307"/>
      <c r="V180" s="307"/>
      <c r="W180" s="307"/>
      <c r="X180" s="307"/>
      <c r="Y180" s="169"/>
    </row>
    <row r="181" spans="5:25" s="114" customFormat="1">
      <c r="E181" s="168"/>
      <c r="F181" s="115"/>
      <c r="J181" s="306"/>
      <c r="K181" s="306"/>
      <c r="P181" s="168"/>
      <c r="Q181" s="115"/>
      <c r="R181" s="307"/>
      <c r="S181" s="307"/>
      <c r="T181" s="307"/>
      <c r="U181" s="307"/>
      <c r="V181" s="307"/>
      <c r="W181" s="307"/>
      <c r="X181" s="307"/>
      <c r="Y181" s="169"/>
    </row>
    <row r="182" spans="5:25" s="114" customFormat="1">
      <c r="E182" s="168"/>
      <c r="F182" s="115"/>
      <c r="J182" s="306"/>
      <c r="K182" s="306"/>
      <c r="P182" s="168"/>
      <c r="Q182" s="115"/>
      <c r="R182" s="307"/>
      <c r="S182" s="307"/>
      <c r="T182" s="307"/>
      <c r="U182" s="307"/>
      <c r="V182" s="307"/>
      <c r="W182" s="307"/>
      <c r="X182" s="307"/>
      <c r="Y182" s="169"/>
    </row>
    <row r="183" spans="5:25" s="114" customFormat="1">
      <c r="E183" s="168"/>
      <c r="F183" s="115"/>
      <c r="J183" s="306"/>
      <c r="K183" s="306"/>
      <c r="P183" s="168"/>
      <c r="Q183" s="115"/>
      <c r="R183" s="307"/>
      <c r="S183" s="307"/>
      <c r="T183" s="307"/>
      <c r="U183" s="307"/>
      <c r="V183" s="307"/>
      <c r="W183" s="307"/>
      <c r="X183" s="307"/>
      <c r="Y183" s="169"/>
    </row>
    <row r="184" spans="5:25" s="114" customFormat="1">
      <c r="E184" s="168"/>
      <c r="F184" s="115"/>
      <c r="J184" s="306"/>
      <c r="K184" s="306"/>
      <c r="P184" s="168"/>
      <c r="Q184" s="115"/>
      <c r="R184" s="307"/>
      <c r="S184" s="307"/>
      <c r="T184" s="307"/>
      <c r="U184" s="307"/>
      <c r="V184" s="307"/>
      <c r="W184" s="307"/>
      <c r="X184" s="307"/>
      <c r="Y184" s="169"/>
    </row>
    <row r="185" spans="5:25" s="114" customFormat="1">
      <c r="E185" s="168"/>
      <c r="F185" s="115"/>
      <c r="J185" s="306"/>
      <c r="K185" s="306"/>
      <c r="P185" s="168"/>
      <c r="Q185" s="115"/>
      <c r="R185" s="307"/>
      <c r="S185" s="307"/>
      <c r="T185" s="307"/>
      <c r="U185" s="307"/>
      <c r="V185" s="307"/>
      <c r="W185" s="307"/>
      <c r="X185" s="307"/>
      <c r="Y185" s="169"/>
    </row>
    <row r="186" spans="5:25" s="114" customFormat="1">
      <c r="E186" s="168"/>
      <c r="F186" s="115"/>
      <c r="J186" s="306"/>
      <c r="K186" s="306"/>
      <c r="P186" s="168"/>
      <c r="Q186" s="115"/>
      <c r="R186" s="307"/>
      <c r="S186" s="307"/>
      <c r="T186" s="307"/>
      <c r="U186" s="307"/>
      <c r="V186" s="307"/>
      <c r="W186" s="307"/>
      <c r="X186" s="307"/>
      <c r="Y186" s="169"/>
    </row>
    <row r="187" spans="5:25" s="114" customFormat="1">
      <c r="E187" s="168"/>
      <c r="F187" s="115"/>
      <c r="J187" s="306"/>
      <c r="K187" s="306"/>
      <c r="P187" s="168"/>
      <c r="Q187" s="115"/>
      <c r="R187" s="307"/>
      <c r="S187" s="307"/>
      <c r="T187" s="307"/>
      <c r="U187" s="307"/>
      <c r="V187" s="307"/>
      <c r="W187" s="307"/>
      <c r="X187" s="307"/>
      <c r="Y187" s="169"/>
    </row>
    <row r="188" spans="5:25" s="114" customFormat="1">
      <c r="E188" s="168"/>
      <c r="F188" s="115"/>
      <c r="J188" s="306"/>
      <c r="K188" s="306"/>
      <c r="P188" s="168"/>
      <c r="Q188" s="115"/>
      <c r="R188" s="307"/>
      <c r="S188" s="307"/>
      <c r="T188" s="307"/>
      <c r="U188" s="307"/>
      <c r="V188" s="307"/>
      <c r="W188" s="307"/>
      <c r="X188" s="307"/>
      <c r="Y188" s="169"/>
    </row>
    <row r="189" spans="5:25" s="114" customFormat="1">
      <c r="E189" s="168"/>
      <c r="F189" s="115"/>
      <c r="J189" s="306"/>
      <c r="K189" s="306"/>
      <c r="P189" s="168"/>
      <c r="Q189" s="115"/>
      <c r="R189" s="307"/>
      <c r="S189" s="307"/>
      <c r="T189" s="307"/>
      <c r="U189" s="307"/>
      <c r="V189" s="307"/>
      <c r="W189" s="307"/>
      <c r="X189" s="307"/>
      <c r="Y189" s="169"/>
    </row>
    <row r="190" spans="5:25" s="114" customFormat="1">
      <c r="E190" s="168"/>
      <c r="F190" s="115"/>
      <c r="J190" s="306"/>
      <c r="K190" s="306"/>
      <c r="P190" s="168"/>
      <c r="Q190" s="115"/>
      <c r="R190" s="307"/>
      <c r="S190" s="307"/>
      <c r="T190" s="307"/>
      <c r="U190" s="307"/>
      <c r="V190" s="307"/>
      <c r="W190" s="307"/>
      <c r="X190" s="307"/>
      <c r="Y190" s="169"/>
    </row>
    <row r="191" spans="5:25" s="114" customFormat="1">
      <c r="E191" s="168"/>
      <c r="F191" s="115"/>
      <c r="J191" s="306"/>
      <c r="K191" s="306"/>
      <c r="P191" s="168"/>
      <c r="Q191" s="115"/>
      <c r="R191" s="307"/>
      <c r="S191" s="307"/>
      <c r="T191" s="307"/>
      <c r="U191" s="307"/>
      <c r="V191" s="307"/>
      <c r="W191" s="307"/>
      <c r="X191" s="307"/>
      <c r="Y191" s="169"/>
    </row>
    <row r="192" spans="5:25" s="114" customFormat="1">
      <c r="E192" s="168"/>
      <c r="F192" s="115"/>
      <c r="J192" s="306"/>
      <c r="K192" s="306"/>
      <c r="P192" s="168"/>
      <c r="Q192" s="115"/>
      <c r="R192" s="307"/>
      <c r="S192" s="307"/>
      <c r="T192" s="307"/>
      <c r="U192" s="307"/>
      <c r="V192" s="307"/>
      <c r="W192" s="307"/>
      <c r="X192" s="307"/>
      <c r="Y192" s="169"/>
    </row>
    <row r="193" spans="5:25" s="114" customFormat="1">
      <c r="E193" s="168"/>
      <c r="F193" s="115"/>
      <c r="J193" s="306"/>
      <c r="K193" s="306"/>
      <c r="P193" s="168"/>
      <c r="Q193" s="115"/>
      <c r="R193" s="307"/>
      <c r="S193" s="307"/>
      <c r="T193" s="307"/>
      <c r="U193" s="307"/>
      <c r="V193" s="307"/>
      <c r="W193" s="307"/>
      <c r="X193" s="307"/>
      <c r="Y193" s="169"/>
    </row>
    <row r="194" spans="5:25" s="114" customFormat="1">
      <c r="E194" s="168"/>
      <c r="F194" s="115"/>
      <c r="J194" s="306"/>
      <c r="K194" s="306"/>
      <c r="P194" s="168"/>
      <c r="Q194" s="115"/>
      <c r="R194" s="307"/>
      <c r="S194" s="307"/>
      <c r="T194" s="307"/>
      <c r="U194" s="307"/>
      <c r="V194" s="307"/>
      <c r="W194" s="307"/>
      <c r="X194" s="307"/>
      <c r="Y194" s="169"/>
    </row>
    <row r="195" spans="5:25" s="114" customFormat="1">
      <c r="E195" s="168"/>
      <c r="F195" s="115"/>
      <c r="J195" s="306"/>
      <c r="K195" s="306"/>
      <c r="P195" s="168"/>
      <c r="Q195" s="115"/>
      <c r="R195" s="307"/>
      <c r="S195" s="307"/>
      <c r="T195" s="307"/>
      <c r="U195" s="307"/>
      <c r="V195" s="307"/>
      <c r="W195" s="307"/>
      <c r="X195" s="307"/>
      <c r="Y195" s="169"/>
    </row>
    <row r="196" spans="5:25" s="114" customFormat="1">
      <c r="E196" s="168"/>
      <c r="F196" s="115"/>
      <c r="J196" s="306"/>
      <c r="K196" s="306"/>
      <c r="P196" s="168"/>
      <c r="Q196" s="115"/>
      <c r="R196" s="307"/>
      <c r="S196" s="307"/>
      <c r="T196" s="307"/>
      <c r="U196" s="307"/>
      <c r="V196" s="307"/>
      <c r="W196" s="307"/>
      <c r="X196" s="307"/>
      <c r="Y196" s="169"/>
    </row>
    <row r="197" spans="5:25" s="114" customFormat="1">
      <c r="E197" s="168"/>
      <c r="F197" s="115"/>
      <c r="J197" s="306"/>
      <c r="K197" s="306"/>
      <c r="P197" s="168"/>
      <c r="Q197" s="115"/>
      <c r="R197" s="307"/>
      <c r="S197" s="307"/>
      <c r="T197" s="307"/>
      <c r="U197" s="307"/>
      <c r="V197" s="307"/>
      <c r="W197" s="307"/>
      <c r="X197" s="307"/>
      <c r="Y197" s="169"/>
    </row>
    <row r="198" spans="5:25" s="114" customFormat="1">
      <c r="E198" s="168"/>
      <c r="F198" s="115"/>
      <c r="J198" s="306"/>
      <c r="K198" s="306"/>
      <c r="P198" s="168"/>
      <c r="Q198" s="115"/>
      <c r="R198" s="307"/>
      <c r="S198" s="307"/>
      <c r="T198" s="307"/>
      <c r="U198" s="307"/>
      <c r="V198" s="307"/>
      <c r="W198" s="307"/>
      <c r="X198" s="307"/>
      <c r="Y198" s="169"/>
    </row>
    <row r="199" spans="5:25" s="114" customFormat="1">
      <c r="E199" s="168"/>
      <c r="F199" s="115"/>
      <c r="J199" s="306"/>
      <c r="K199" s="306"/>
      <c r="P199" s="168"/>
      <c r="Q199" s="115"/>
      <c r="R199" s="307"/>
      <c r="S199" s="307"/>
      <c r="T199" s="307"/>
      <c r="U199" s="307"/>
      <c r="V199" s="307"/>
      <c r="W199" s="307"/>
      <c r="X199" s="307"/>
      <c r="Y199" s="169"/>
    </row>
    <row r="200" spans="5:25" s="114" customFormat="1">
      <c r="E200" s="168"/>
      <c r="F200" s="115"/>
      <c r="J200" s="306"/>
      <c r="K200" s="306"/>
      <c r="P200" s="168"/>
      <c r="Q200" s="115"/>
      <c r="R200" s="307"/>
      <c r="S200" s="307"/>
      <c r="T200" s="307"/>
      <c r="U200" s="307"/>
      <c r="V200" s="307"/>
      <c r="W200" s="307"/>
      <c r="X200" s="307"/>
      <c r="Y200" s="169"/>
    </row>
    <row r="201" spans="5:25" s="114" customFormat="1">
      <c r="E201" s="168"/>
      <c r="F201" s="115"/>
      <c r="J201" s="306"/>
      <c r="K201" s="306"/>
      <c r="P201" s="168"/>
      <c r="Q201" s="115"/>
      <c r="R201" s="307"/>
      <c r="S201" s="307"/>
      <c r="T201" s="307"/>
      <c r="U201" s="307"/>
      <c r="V201" s="307"/>
      <c r="W201" s="307"/>
      <c r="X201" s="307"/>
      <c r="Y201" s="169"/>
    </row>
    <row r="202" spans="5:25" s="114" customFormat="1">
      <c r="E202" s="168"/>
      <c r="F202" s="115"/>
      <c r="J202" s="306"/>
      <c r="K202" s="306"/>
      <c r="P202" s="168"/>
      <c r="Q202" s="115"/>
      <c r="R202" s="307"/>
      <c r="S202" s="307"/>
      <c r="T202" s="307"/>
      <c r="U202" s="307"/>
      <c r="V202" s="307"/>
      <c r="W202" s="307"/>
      <c r="X202" s="307"/>
      <c r="Y202" s="169"/>
    </row>
    <row r="203" spans="5:25" s="114" customFormat="1">
      <c r="E203" s="168"/>
      <c r="F203" s="115"/>
      <c r="J203" s="306"/>
      <c r="K203" s="306"/>
      <c r="P203" s="168"/>
      <c r="Q203" s="115"/>
      <c r="R203" s="307"/>
      <c r="S203" s="307"/>
      <c r="T203" s="307"/>
      <c r="U203" s="307"/>
      <c r="V203" s="307"/>
      <c r="W203" s="307"/>
      <c r="X203" s="307"/>
      <c r="Y203" s="169"/>
    </row>
    <row r="204" spans="5:25" s="114" customFormat="1">
      <c r="E204" s="168"/>
      <c r="F204" s="115"/>
      <c r="J204" s="306"/>
      <c r="K204" s="306"/>
      <c r="P204" s="168"/>
      <c r="Q204" s="115"/>
      <c r="R204" s="307"/>
      <c r="S204" s="307"/>
      <c r="T204" s="307"/>
      <c r="U204" s="307"/>
      <c r="V204" s="307"/>
      <c r="W204" s="307"/>
      <c r="X204" s="307"/>
      <c r="Y204" s="169"/>
    </row>
    <row r="205" spans="5:25" s="114" customFormat="1">
      <c r="E205" s="168"/>
      <c r="F205" s="115"/>
      <c r="J205" s="306"/>
      <c r="K205" s="306"/>
      <c r="P205" s="168"/>
      <c r="Q205" s="115"/>
      <c r="R205" s="307"/>
      <c r="S205" s="307"/>
      <c r="T205" s="307"/>
      <c r="U205" s="307"/>
      <c r="V205" s="307"/>
      <c r="W205" s="307"/>
      <c r="X205" s="307"/>
      <c r="Y205" s="169"/>
    </row>
    <row r="206" spans="5:25" s="114" customFormat="1">
      <c r="E206" s="168"/>
      <c r="F206" s="115"/>
      <c r="J206" s="306"/>
      <c r="K206" s="306"/>
      <c r="P206" s="168"/>
      <c r="Q206" s="115"/>
      <c r="R206" s="307"/>
      <c r="S206" s="307"/>
      <c r="T206" s="307"/>
      <c r="U206" s="307"/>
      <c r="V206" s="307"/>
      <c r="W206" s="307"/>
      <c r="X206" s="307"/>
      <c r="Y206" s="169"/>
    </row>
    <row r="207" spans="5:25" s="114" customFormat="1">
      <c r="E207" s="168"/>
      <c r="F207" s="115"/>
      <c r="J207" s="306"/>
      <c r="K207" s="306"/>
      <c r="P207" s="168"/>
      <c r="Q207" s="115"/>
      <c r="R207" s="307"/>
      <c r="S207" s="307"/>
      <c r="T207" s="307"/>
      <c r="U207" s="307"/>
      <c r="V207" s="307"/>
      <c r="W207" s="307"/>
      <c r="X207" s="307"/>
      <c r="Y207" s="169"/>
    </row>
    <row r="208" spans="5:25" s="114" customFormat="1">
      <c r="E208" s="168"/>
      <c r="F208" s="115"/>
      <c r="J208" s="306"/>
      <c r="K208" s="306"/>
      <c r="P208" s="168"/>
      <c r="Q208" s="115"/>
      <c r="R208" s="307"/>
      <c r="S208" s="307"/>
      <c r="T208" s="307"/>
      <c r="U208" s="307"/>
      <c r="V208" s="307"/>
      <c r="W208" s="307"/>
      <c r="X208" s="307"/>
      <c r="Y208" s="169"/>
    </row>
    <row r="209" spans="5:25" s="114" customFormat="1">
      <c r="E209" s="168"/>
      <c r="F209" s="115"/>
      <c r="J209" s="306"/>
      <c r="K209" s="306"/>
      <c r="P209" s="168"/>
      <c r="Q209" s="115"/>
      <c r="R209" s="307"/>
      <c r="S209" s="307"/>
      <c r="T209" s="307"/>
      <c r="U209" s="307"/>
      <c r="V209" s="307"/>
      <c r="W209" s="307"/>
      <c r="X209" s="307"/>
      <c r="Y209" s="169"/>
    </row>
    <row r="210" spans="5:25" s="114" customFormat="1">
      <c r="E210" s="168"/>
      <c r="F210" s="115"/>
      <c r="J210" s="306"/>
      <c r="K210" s="306"/>
      <c r="P210" s="168"/>
      <c r="Q210" s="115"/>
      <c r="R210" s="307"/>
      <c r="S210" s="307"/>
      <c r="T210" s="307"/>
      <c r="U210" s="307"/>
      <c r="V210" s="307"/>
      <c r="W210" s="307"/>
      <c r="X210" s="307"/>
      <c r="Y210" s="169"/>
    </row>
    <row r="211" spans="5:25" s="114" customFormat="1">
      <c r="E211" s="168"/>
      <c r="F211" s="115"/>
      <c r="J211" s="306"/>
      <c r="K211" s="306"/>
      <c r="P211" s="168"/>
      <c r="Q211" s="115"/>
      <c r="R211" s="307"/>
      <c r="S211" s="307"/>
      <c r="T211" s="307"/>
      <c r="U211" s="307"/>
      <c r="V211" s="307"/>
      <c r="W211" s="307"/>
      <c r="X211" s="307"/>
      <c r="Y211" s="169"/>
    </row>
    <row r="212" spans="5:25" s="114" customFormat="1">
      <c r="E212" s="168"/>
      <c r="F212" s="115"/>
      <c r="J212" s="306"/>
      <c r="K212" s="306"/>
      <c r="P212" s="168"/>
      <c r="Q212" s="115"/>
      <c r="R212" s="307"/>
      <c r="S212" s="307"/>
      <c r="T212" s="307"/>
      <c r="U212" s="307"/>
      <c r="V212" s="307"/>
      <c r="W212" s="307"/>
      <c r="X212" s="307"/>
      <c r="Y212" s="169"/>
    </row>
    <row r="213" spans="5:25" s="114" customFormat="1">
      <c r="E213" s="168"/>
      <c r="F213" s="115"/>
      <c r="J213" s="306"/>
      <c r="K213" s="306"/>
      <c r="P213" s="168"/>
      <c r="Q213" s="115"/>
      <c r="R213" s="307"/>
      <c r="S213" s="307"/>
      <c r="T213" s="307"/>
      <c r="U213" s="307"/>
      <c r="V213" s="307"/>
      <c r="W213" s="307"/>
      <c r="X213" s="307"/>
      <c r="Y213" s="169"/>
    </row>
    <row r="214" spans="5:25" s="114" customFormat="1">
      <c r="E214" s="168"/>
      <c r="F214" s="115"/>
      <c r="J214" s="306"/>
      <c r="K214" s="306"/>
      <c r="P214" s="168"/>
      <c r="Q214" s="115"/>
      <c r="R214" s="307"/>
      <c r="S214" s="307"/>
      <c r="T214" s="307"/>
      <c r="U214" s="307"/>
      <c r="V214" s="307"/>
      <c r="W214" s="307"/>
      <c r="X214" s="307"/>
      <c r="Y214" s="169"/>
    </row>
    <row r="215" spans="5:25" s="114" customFormat="1">
      <c r="E215" s="168"/>
      <c r="F215" s="115"/>
      <c r="J215" s="306"/>
      <c r="K215" s="306"/>
      <c r="P215" s="168"/>
      <c r="Q215" s="115"/>
      <c r="R215" s="307"/>
      <c r="S215" s="307"/>
      <c r="T215" s="307"/>
      <c r="U215" s="307"/>
      <c r="V215" s="307"/>
      <c r="W215" s="307"/>
      <c r="X215" s="307"/>
      <c r="Y215" s="169"/>
    </row>
    <row r="216" spans="5:25" s="114" customFormat="1">
      <c r="E216" s="168"/>
      <c r="F216" s="115"/>
      <c r="J216" s="306"/>
      <c r="K216" s="306"/>
      <c r="P216" s="168"/>
      <c r="Q216" s="115"/>
      <c r="R216" s="307"/>
      <c r="S216" s="307"/>
      <c r="T216" s="307"/>
      <c r="U216" s="307"/>
      <c r="V216" s="307"/>
      <c r="W216" s="307"/>
      <c r="X216" s="307"/>
      <c r="Y216" s="169"/>
    </row>
    <row r="217" spans="5:25" s="114" customFormat="1">
      <c r="E217" s="168"/>
      <c r="F217" s="115"/>
      <c r="J217" s="306"/>
      <c r="K217" s="306"/>
      <c r="P217" s="168"/>
      <c r="Q217" s="115"/>
      <c r="R217" s="307"/>
      <c r="S217" s="307"/>
      <c r="T217" s="307"/>
      <c r="U217" s="307"/>
      <c r="V217" s="307"/>
      <c r="W217" s="307"/>
      <c r="X217" s="307"/>
      <c r="Y217" s="169"/>
    </row>
    <row r="218" spans="5:25" s="114" customFormat="1">
      <c r="E218" s="168"/>
      <c r="F218" s="115"/>
      <c r="J218" s="306"/>
      <c r="K218" s="306"/>
      <c r="P218" s="168"/>
      <c r="Q218" s="115"/>
      <c r="R218" s="307"/>
      <c r="S218" s="307"/>
      <c r="T218" s="307"/>
      <c r="U218" s="307"/>
      <c r="V218" s="307"/>
      <c r="W218" s="307"/>
      <c r="X218" s="307"/>
      <c r="Y218" s="169"/>
    </row>
    <row r="219" spans="5:25" s="114" customFormat="1">
      <c r="E219" s="168"/>
      <c r="F219" s="115"/>
      <c r="J219" s="306"/>
      <c r="K219" s="306"/>
      <c r="P219" s="168"/>
      <c r="Q219" s="115"/>
      <c r="R219" s="307"/>
      <c r="S219" s="307"/>
      <c r="T219" s="307"/>
      <c r="U219" s="307"/>
      <c r="V219" s="307"/>
      <c r="W219" s="307"/>
      <c r="X219" s="307"/>
      <c r="Y219" s="169"/>
    </row>
    <row r="220" spans="5:25" s="114" customFormat="1">
      <c r="E220" s="168"/>
      <c r="F220" s="115"/>
      <c r="J220" s="306"/>
      <c r="K220" s="306"/>
      <c r="P220" s="168"/>
      <c r="Q220" s="115"/>
      <c r="R220" s="307"/>
      <c r="S220" s="307"/>
      <c r="T220" s="307"/>
      <c r="U220" s="307"/>
      <c r="V220" s="307"/>
      <c r="W220" s="307"/>
      <c r="X220" s="307"/>
      <c r="Y220" s="169"/>
    </row>
    <row r="221" spans="5:25" s="114" customFormat="1">
      <c r="E221" s="168"/>
      <c r="F221" s="115"/>
      <c r="J221" s="306"/>
      <c r="K221" s="306"/>
      <c r="P221" s="168"/>
      <c r="Q221" s="115"/>
      <c r="R221" s="307"/>
      <c r="S221" s="307"/>
      <c r="T221" s="307"/>
      <c r="U221" s="307"/>
      <c r="V221" s="307"/>
      <c r="W221" s="307"/>
      <c r="X221" s="307"/>
      <c r="Y221" s="169"/>
    </row>
    <row r="222" spans="5:25" s="114" customFormat="1">
      <c r="E222" s="168"/>
      <c r="F222" s="115"/>
      <c r="J222" s="306"/>
      <c r="K222" s="306"/>
      <c r="P222" s="168"/>
      <c r="Q222" s="115"/>
      <c r="R222" s="307"/>
      <c r="S222" s="307"/>
      <c r="T222" s="307"/>
      <c r="U222" s="307"/>
      <c r="V222" s="307"/>
      <c r="W222" s="307"/>
      <c r="X222" s="307"/>
      <c r="Y222" s="169"/>
    </row>
    <row r="223" spans="5:25" s="114" customFormat="1">
      <c r="E223" s="168"/>
      <c r="F223" s="115"/>
      <c r="J223" s="306"/>
      <c r="K223" s="306"/>
      <c r="P223" s="168"/>
      <c r="Q223" s="115"/>
      <c r="R223" s="307"/>
      <c r="S223" s="307"/>
      <c r="T223" s="307"/>
      <c r="U223" s="307"/>
      <c r="V223" s="307"/>
      <c r="W223" s="307"/>
      <c r="X223" s="307"/>
      <c r="Y223" s="169"/>
    </row>
    <row r="224" spans="5:25" s="114" customFormat="1">
      <c r="E224" s="168"/>
      <c r="F224" s="115"/>
      <c r="J224" s="306"/>
      <c r="K224" s="306"/>
      <c r="P224" s="168"/>
      <c r="Q224" s="115"/>
      <c r="R224" s="307"/>
      <c r="S224" s="307"/>
      <c r="T224" s="307"/>
      <c r="U224" s="307"/>
      <c r="V224" s="307"/>
      <c r="W224" s="307"/>
      <c r="X224" s="307"/>
      <c r="Y224" s="169"/>
    </row>
    <row r="225" spans="5:25" s="114" customFormat="1">
      <c r="E225" s="168"/>
      <c r="F225" s="115"/>
      <c r="J225" s="306"/>
      <c r="K225" s="306"/>
      <c r="P225" s="168"/>
      <c r="Q225" s="115"/>
      <c r="R225" s="307"/>
      <c r="S225" s="307"/>
      <c r="T225" s="307"/>
      <c r="U225" s="307"/>
      <c r="V225" s="307"/>
      <c r="W225" s="307"/>
      <c r="X225" s="307"/>
      <c r="Y225" s="169"/>
    </row>
    <row r="226" spans="5:25" s="114" customFormat="1">
      <c r="E226" s="168"/>
      <c r="F226" s="115"/>
      <c r="J226" s="306"/>
      <c r="K226" s="306"/>
      <c r="P226" s="168"/>
      <c r="Q226" s="115"/>
      <c r="R226" s="307"/>
      <c r="S226" s="307"/>
      <c r="T226" s="307"/>
      <c r="U226" s="307"/>
      <c r="V226" s="307"/>
      <c r="W226" s="307"/>
      <c r="X226" s="307"/>
      <c r="Y226" s="169"/>
    </row>
    <row r="227" spans="5:25" s="114" customFormat="1">
      <c r="E227" s="168"/>
      <c r="F227" s="115"/>
      <c r="J227" s="306"/>
      <c r="K227" s="306"/>
      <c r="P227" s="168"/>
      <c r="Q227" s="115"/>
      <c r="R227" s="307"/>
      <c r="S227" s="307"/>
      <c r="T227" s="307"/>
      <c r="U227" s="307"/>
      <c r="V227" s="307"/>
      <c r="W227" s="307"/>
      <c r="X227" s="307"/>
      <c r="Y227" s="169"/>
    </row>
    <row r="228" spans="5:25" s="114" customFormat="1">
      <c r="E228" s="168"/>
      <c r="F228" s="115"/>
      <c r="J228" s="306"/>
      <c r="K228" s="306"/>
      <c r="P228" s="168"/>
      <c r="Q228" s="115"/>
      <c r="R228" s="307"/>
      <c r="S228" s="307"/>
      <c r="T228" s="307"/>
      <c r="U228" s="307"/>
      <c r="V228" s="307"/>
      <c r="W228" s="307"/>
      <c r="X228" s="307"/>
      <c r="Y228" s="169"/>
    </row>
    <row r="229" spans="5:25" s="114" customFormat="1">
      <c r="E229" s="168"/>
      <c r="F229" s="115"/>
      <c r="J229" s="306"/>
      <c r="K229" s="306"/>
      <c r="P229" s="168"/>
      <c r="Q229" s="115"/>
      <c r="R229" s="307"/>
      <c r="S229" s="307"/>
      <c r="T229" s="307"/>
      <c r="U229" s="307"/>
      <c r="V229" s="307"/>
      <c r="W229" s="307"/>
      <c r="X229" s="307"/>
      <c r="Y229" s="169"/>
    </row>
    <row r="230" spans="5:25" s="114" customFormat="1">
      <c r="E230" s="168"/>
      <c r="F230" s="115"/>
      <c r="J230" s="306"/>
      <c r="K230" s="306"/>
      <c r="P230" s="168"/>
      <c r="Q230" s="115"/>
      <c r="R230" s="307"/>
      <c r="S230" s="307"/>
      <c r="T230" s="307"/>
      <c r="U230" s="307"/>
      <c r="V230" s="307"/>
      <c r="W230" s="307"/>
      <c r="X230" s="307"/>
      <c r="Y230" s="169"/>
    </row>
    <row r="231" spans="5:25" s="114" customFormat="1">
      <c r="E231" s="168"/>
      <c r="F231" s="115"/>
      <c r="J231" s="306"/>
      <c r="K231" s="306"/>
      <c r="P231" s="168"/>
      <c r="Q231" s="115"/>
      <c r="R231" s="307"/>
      <c r="S231" s="307"/>
      <c r="T231" s="307"/>
      <c r="U231" s="307"/>
      <c r="V231" s="307"/>
      <c r="W231" s="307"/>
      <c r="X231" s="307"/>
      <c r="Y231" s="169"/>
    </row>
    <row r="232" spans="5:25" s="114" customFormat="1">
      <c r="E232" s="168"/>
      <c r="F232" s="115"/>
      <c r="J232" s="306"/>
      <c r="K232" s="306"/>
      <c r="P232" s="168"/>
      <c r="Q232" s="115"/>
      <c r="R232" s="307"/>
      <c r="S232" s="307"/>
      <c r="T232" s="307"/>
      <c r="U232" s="307"/>
      <c r="V232" s="307"/>
      <c r="W232" s="307"/>
      <c r="X232" s="307"/>
      <c r="Y232" s="169"/>
    </row>
    <row r="233" spans="5:25" s="114" customFormat="1">
      <c r="E233" s="168"/>
      <c r="F233" s="115"/>
      <c r="J233" s="306"/>
      <c r="K233" s="306"/>
      <c r="P233" s="168"/>
      <c r="Q233" s="115"/>
      <c r="R233" s="307"/>
      <c r="S233" s="307"/>
      <c r="T233" s="307"/>
      <c r="U233" s="307"/>
      <c r="V233" s="307"/>
      <c r="W233" s="307"/>
      <c r="X233" s="307"/>
      <c r="Y233" s="169"/>
    </row>
    <row r="234" spans="5:25" s="114" customFormat="1">
      <c r="E234" s="168"/>
      <c r="F234" s="115"/>
      <c r="J234" s="306"/>
      <c r="K234" s="306"/>
      <c r="P234" s="168"/>
      <c r="Q234" s="115"/>
      <c r="R234" s="307"/>
      <c r="S234" s="307"/>
      <c r="T234" s="307"/>
      <c r="U234" s="307"/>
      <c r="V234" s="307"/>
      <c r="W234" s="307"/>
      <c r="X234" s="307"/>
      <c r="Y234" s="169"/>
    </row>
    <row r="235" spans="5:25" s="114" customFormat="1">
      <c r="E235" s="168"/>
      <c r="F235" s="115"/>
      <c r="J235" s="306"/>
      <c r="K235" s="306"/>
      <c r="P235" s="168"/>
      <c r="Q235" s="115"/>
      <c r="R235" s="307"/>
      <c r="S235" s="307"/>
      <c r="T235" s="307"/>
      <c r="U235" s="307"/>
      <c r="V235" s="307"/>
      <c r="W235" s="307"/>
      <c r="X235" s="307"/>
      <c r="Y235" s="169"/>
    </row>
    <row r="236" spans="5:25" s="114" customFormat="1">
      <c r="E236" s="168"/>
      <c r="F236" s="115"/>
      <c r="J236" s="306"/>
      <c r="K236" s="306"/>
      <c r="P236" s="168"/>
      <c r="Q236" s="115"/>
      <c r="R236" s="307"/>
      <c r="S236" s="307"/>
      <c r="T236" s="307"/>
      <c r="U236" s="307"/>
      <c r="V236" s="307"/>
      <c r="W236" s="307"/>
      <c r="X236" s="307"/>
      <c r="Y236" s="169"/>
    </row>
    <row r="237" spans="5:25" s="114" customFormat="1">
      <c r="E237" s="168"/>
      <c r="F237" s="115"/>
      <c r="J237" s="306"/>
      <c r="K237" s="306"/>
      <c r="P237" s="168"/>
      <c r="Q237" s="115"/>
      <c r="R237" s="307"/>
      <c r="S237" s="307"/>
      <c r="T237" s="307"/>
      <c r="U237" s="307"/>
      <c r="V237" s="307"/>
      <c r="W237" s="307"/>
      <c r="X237" s="307"/>
      <c r="Y237" s="169"/>
    </row>
    <row r="238" spans="5:25" s="114" customFormat="1">
      <c r="E238" s="168"/>
      <c r="F238" s="115"/>
      <c r="J238" s="306"/>
      <c r="K238" s="306"/>
      <c r="P238" s="168"/>
      <c r="Q238" s="115"/>
      <c r="R238" s="307"/>
      <c r="S238" s="307"/>
      <c r="T238" s="307"/>
      <c r="U238" s="307"/>
      <c r="V238" s="307"/>
      <c r="W238" s="307"/>
      <c r="X238" s="307"/>
      <c r="Y238" s="169"/>
    </row>
    <row r="239" spans="5:25" s="114" customFormat="1">
      <c r="E239" s="168"/>
      <c r="F239" s="115"/>
      <c r="J239" s="306"/>
      <c r="K239" s="306"/>
      <c r="P239" s="168"/>
      <c r="Q239" s="115"/>
      <c r="R239" s="307"/>
      <c r="S239" s="307"/>
      <c r="T239" s="307"/>
      <c r="U239" s="307"/>
      <c r="V239" s="307"/>
      <c r="W239" s="307"/>
      <c r="X239" s="307"/>
      <c r="Y239" s="169"/>
    </row>
    <row r="240" spans="5:25" s="114" customFormat="1">
      <c r="E240" s="168"/>
      <c r="F240" s="115"/>
      <c r="J240" s="306"/>
      <c r="K240" s="306"/>
      <c r="P240" s="168"/>
      <c r="Q240" s="115"/>
      <c r="R240" s="307"/>
      <c r="S240" s="307"/>
      <c r="T240" s="307"/>
      <c r="U240" s="307"/>
      <c r="V240" s="307"/>
      <c r="W240" s="307"/>
      <c r="X240" s="307"/>
      <c r="Y240" s="169"/>
    </row>
    <row r="241" spans="5:25" s="114" customFormat="1">
      <c r="E241" s="168"/>
      <c r="F241" s="115"/>
      <c r="J241" s="306"/>
      <c r="K241" s="306"/>
      <c r="P241" s="168"/>
      <c r="Q241" s="115"/>
      <c r="R241" s="307"/>
      <c r="S241" s="307"/>
      <c r="T241" s="307"/>
      <c r="U241" s="307"/>
      <c r="V241" s="307"/>
      <c r="W241" s="307"/>
      <c r="X241" s="307"/>
      <c r="Y241" s="169"/>
    </row>
    <row r="242" spans="5:25" s="114" customFormat="1">
      <c r="E242" s="168"/>
      <c r="F242" s="115"/>
      <c r="J242" s="306"/>
      <c r="K242" s="306"/>
      <c r="P242" s="168"/>
      <c r="Q242" s="115"/>
      <c r="R242" s="307"/>
      <c r="S242" s="307"/>
      <c r="T242" s="307"/>
      <c r="U242" s="307"/>
      <c r="V242" s="307"/>
      <c r="W242" s="307"/>
      <c r="X242" s="307"/>
      <c r="Y242" s="169"/>
    </row>
    <row r="243" spans="5:25" s="114" customFormat="1">
      <c r="E243" s="168"/>
      <c r="F243" s="115"/>
      <c r="J243" s="306"/>
      <c r="K243" s="306"/>
      <c r="P243" s="168"/>
      <c r="Q243" s="115"/>
      <c r="R243" s="307"/>
      <c r="S243" s="307"/>
      <c r="T243" s="307"/>
      <c r="U243" s="307"/>
      <c r="V243" s="307"/>
      <c r="W243" s="307"/>
      <c r="X243" s="307"/>
      <c r="Y243" s="169"/>
    </row>
    <row r="244" spans="5:25" s="114" customFormat="1">
      <c r="E244" s="168"/>
      <c r="F244" s="115"/>
      <c r="J244" s="306"/>
      <c r="K244" s="306"/>
      <c r="P244" s="168"/>
      <c r="Q244" s="115"/>
      <c r="R244" s="307"/>
      <c r="S244" s="307"/>
      <c r="T244" s="307"/>
      <c r="U244" s="307"/>
      <c r="V244" s="307"/>
      <c r="W244" s="307"/>
      <c r="X244" s="307"/>
      <c r="Y244" s="169"/>
    </row>
    <row r="245" spans="5:25" s="114" customFormat="1">
      <c r="E245" s="168"/>
      <c r="F245" s="115"/>
      <c r="J245" s="306"/>
      <c r="K245" s="306"/>
      <c r="P245" s="168"/>
      <c r="Q245" s="115"/>
      <c r="R245" s="307"/>
      <c r="S245" s="307"/>
      <c r="T245" s="307"/>
      <c r="U245" s="307"/>
      <c r="V245" s="307"/>
      <c r="W245" s="307"/>
      <c r="X245" s="307"/>
      <c r="Y245" s="169"/>
    </row>
    <row r="246" spans="5:25" s="114" customFormat="1">
      <c r="E246" s="168"/>
      <c r="F246" s="115"/>
      <c r="J246" s="306"/>
      <c r="K246" s="306"/>
      <c r="P246" s="168"/>
      <c r="Q246" s="115"/>
      <c r="R246" s="307"/>
      <c r="S246" s="307"/>
      <c r="T246" s="307"/>
      <c r="U246" s="307"/>
      <c r="V246" s="307"/>
      <c r="W246" s="307"/>
      <c r="X246" s="307"/>
      <c r="Y246" s="169"/>
    </row>
    <row r="247" spans="5:25" s="114" customFormat="1">
      <c r="E247" s="168"/>
      <c r="F247" s="115"/>
      <c r="J247" s="306"/>
      <c r="K247" s="306"/>
      <c r="P247" s="168"/>
      <c r="Q247" s="115"/>
      <c r="R247" s="307"/>
      <c r="S247" s="307"/>
      <c r="T247" s="307"/>
      <c r="U247" s="307"/>
      <c r="V247" s="307"/>
      <c r="W247" s="307"/>
      <c r="X247" s="307"/>
      <c r="Y247" s="169"/>
    </row>
    <row r="248" spans="5:25" s="114" customFormat="1">
      <c r="E248" s="168"/>
      <c r="F248" s="115"/>
      <c r="J248" s="306"/>
      <c r="K248" s="306"/>
      <c r="P248" s="168"/>
      <c r="Q248" s="115"/>
      <c r="R248" s="307"/>
      <c r="S248" s="307"/>
      <c r="T248" s="307"/>
      <c r="U248" s="307"/>
      <c r="V248" s="307"/>
      <c r="W248" s="307"/>
      <c r="X248" s="307"/>
      <c r="Y248" s="169"/>
    </row>
    <row r="249" spans="5:25" s="114" customFormat="1">
      <c r="E249" s="168"/>
      <c r="F249" s="115"/>
      <c r="J249" s="306"/>
      <c r="K249" s="306"/>
      <c r="P249" s="168"/>
      <c r="Q249" s="115"/>
      <c r="R249" s="307"/>
      <c r="S249" s="307"/>
      <c r="T249" s="307"/>
      <c r="U249" s="307"/>
      <c r="V249" s="307"/>
      <c r="W249" s="307"/>
      <c r="X249" s="307"/>
      <c r="Y249" s="169"/>
    </row>
    <row r="250" spans="5:25" s="114" customFormat="1">
      <c r="E250" s="168"/>
      <c r="F250" s="115"/>
      <c r="J250" s="306"/>
      <c r="K250" s="306"/>
      <c r="P250" s="168"/>
      <c r="Q250" s="115"/>
      <c r="R250" s="307"/>
      <c r="S250" s="307"/>
      <c r="T250" s="307"/>
      <c r="U250" s="307"/>
      <c r="V250" s="307"/>
      <c r="W250" s="307"/>
      <c r="X250" s="307"/>
      <c r="Y250" s="169"/>
    </row>
    <row r="251" spans="5:25" s="114" customFormat="1">
      <c r="E251" s="168"/>
      <c r="F251" s="115"/>
      <c r="J251" s="306"/>
      <c r="K251" s="306"/>
      <c r="P251" s="168"/>
      <c r="Q251" s="115"/>
      <c r="R251" s="307"/>
      <c r="S251" s="307"/>
      <c r="T251" s="307"/>
      <c r="U251" s="307"/>
      <c r="V251" s="307"/>
      <c r="W251" s="307"/>
      <c r="X251" s="307"/>
      <c r="Y251" s="169"/>
    </row>
    <row r="252" spans="5:25" s="114" customFormat="1">
      <c r="E252" s="168"/>
      <c r="F252" s="115"/>
      <c r="J252" s="306"/>
      <c r="K252" s="306"/>
      <c r="P252" s="168"/>
      <c r="Q252" s="115"/>
      <c r="R252" s="307"/>
      <c r="S252" s="307"/>
      <c r="T252" s="307"/>
      <c r="U252" s="307"/>
      <c r="V252" s="307"/>
      <c r="W252" s="307"/>
      <c r="X252" s="307"/>
      <c r="Y252" s="169"/>
    </row>
    <row r="253" spans="5:25" s="114" customFormat="1">
      <c r="E253" s="168"/>
      <c r="F253" s="115"/>
      <c r="J253" s="306"/>
      <c r="K253" s="306"/>
      <c r="P253" s="168"/>
      <c r="Q253" s="115"/>
      <c r="R253" s="307"/>
      <c r="S253" s="307"/>
      <c r="T253" s="307"/>
      <c r="U253" s="307"/>
      <c r="V253" s="307"/>
      <c r="W253" s="307"/>
      <c r="X253" s="307"/>
      <c r="Y253" s="169"/>
    </row>
    <row r="254" spans="5:25" s="114" customFormat="1">
      <c r="E254" s="168"/>
      <c r="F254" s="115"/>
      <c r="J254" s="306"/>
      <c r="K254" s="306"/>
      <c r="P254" s="168"/>
      <c r="Q254" s="115"/>
      <c r="R254" s="307"/>
      <c r="S254" s="307"/>
      <c r="T254" s="307"/>
      <c r="U254" s="307"/>
      <c r="V254" s="307"/>
      <c r="W254" s="307"/>
      <c r="X254" s="307"/>
      <c r="Y254" s="169"/>
    </row>
    <row r="255" spans="5:25" s="114" customFormat="1">
      <c r="E255" s="168"/>
      <c r="F255" s="115"/>
      <c r="J255" s="306"/>
      <c r="K255" s="306"/>
      <c r="P255" s="168"/>
      <c r="Q255" s="115"/>
      <c r="R255" s="307"/>
      <c r="S255" s="307"/>
      <c r="T255" s="307"/>
      <c r="U255" s="307"/>
      <c r="V255" s="307"/>
      <c r="W255" s="307"/>
      <c r="X255" s="307"/>
      <c r="Y255" s="169"/>
    </row>
    <row r="256" spans="5:25" s="114" customFormat="1">
      <c r="E256" s="168"/>
      <c r="F256" s="115"/>
      <c r="J256" s="306"/>
      <c r="K256" s="306"/>
      <c r="P256" s="168"/>
      <c r="Q256" s="115"/>
      <c r="R256" s="307"/>
      <c r="S256" s="307"/>
      <c r="T256" s="307"/>
      <c r="U256" s="307"/>
      <c r="V256" s="307"/>
      <c r="W256" s="307"/>
      <c r="X256" s="307"/>
      <c r="Y256" s="169"/>
    </row>
    <row r="257" spans="5:25" s="114" customFormat="1">
      <c r="E257" s="168"/>
      <c r="F257" s="115"/>
      <c r="J257" s="306"/>
      <c r="K257" s="306"/>
      <c r="P257" s="168"/>
      <c r="Q257" s="115"/>
      <c r="R257" s="307"/>
      <c r="S257" s="307"/>
      <c r="T257" s="307"/>
      <c r="U257" s="307"/>
      <c r="V257" s="307"/>
      <c r="W257" s="307"/>
      <c r="X257" s="307"/>
      <c r="Y257" s="169"/>
    </row>
    <row r="258" spans="5:25" s="114" customFormat="1">
      <c r="E258" s="168"/>
      <c r="F258" s="115"/>
      <c r="J258" s="306"/>
      <c r="K258" s="306"/>
      <c r="P258" s="168"/>
      <c r="Q258" s="115"/>
      <c r="R258" s="307"/>
      <c r="S258" s="307"/>
      <c r="T258" s="307"/>
      <c r="U258" s="307"/>
      <c r="V258" s="307"/>
      <c r="W258" s="307"/>
      <c r="X258" s="307"/>
      <c r="Y258" s="169"/>
    </row>
    <row r="259" spans="5:25" s="114" customFormat="1">
      <c r="E259" s="168"/>
      <c r="F259" s="115"/>
      <c r="J259" s="306"/>
      <c r="K259" s="306"/>
      <c r="P259" s="168"/>
      <c r="Q259" s="115"/>
      <c r="R259" s="307"/>
      <c r="S259" s="307"/>
      <c r="T259" s="307"/>
      <c r="U259" s="307"/>
      <c r="V259" s="307"/>
      <c r="W259" s="307"/>
      <c r="X259" s="307"/>
      <c r="Y259" s="169"/>
    </row>
    <row r="260" spans="5:25" s="114" customFormat="1">
      <c r="E260" s="168"/>
      <c r="F260" s="115"/>
      <c r="J260" s="306"/>
      <c r="K260" s="306"/>
      <c r="P260" s="168"/>
      <c r="Q260" s="115"/>
      <c r="R260" s="307"/>
      <c r="S260" s="307"/>
      <c r="T260" s="307"/>
      <c r="U260" s="307"/>
      <c r="V260" s="307"/>
      <c r="W260" s="307"/>
      <c r="X260" s="307"/>
      <c r="Y260" s="169"/>
    </row>
    <row r="261" spans="5:25" s="114" customFormat="1">
      <c r="E261" s="168"/>
      <c r="F261" s="115"/>
      <c r="J261" s="306"/>
      <c r="K261" s="306"/>
      <c r="P261" s="168"/>
      <c r="Q261" s="115"/>
      <c r="R261" s="307"/>
      <c r="S261" s="307"/>
      <c r="T261" s="307"/>
      <c r="U261" s="307"/>
      <c r="V261" s="307"/>
      <c r="W261" s="307"/>
      <c r="X261" s="307"/>
      <c r="Y261" s="169"/>
    </row>
    <row r="262" spans="5:25" s="114" customFormat="1">
      <c r="E262" s="168"/>
      <c r="F262" s="115"/>
      <c r="J262" s="306"/>
      <c r="K262" s="306"/>
      <c r="P262" s="168"/>
      <c r="Q262" s="115"/>
      <c r="R262" s="307"/>
      <c r="S262" s="307"/>
      <c r="T262" s="307"/>
      <c r="U262" s="307"/>
      <c r="V262" s="307"/>
      <c r="W262" s="307"/>
      <c r="X262" s="307"/>
      <c r="Y262" s="169"/>
    </row>
    <row r="263" spans="5:25" s="114" customFormat="1">
      <c r="E263" s="168"/>
      <c r="F263" s="115"/>
      <c r="J263" s="306"/>
      <c r="K263" s="306"/>
      <c r="P263" s="168"/>
      <c r="Q263" s="115"/>
      <c r="R263" s="307"/>
      <c r="S263" s="307"/>
      <c r="T263" s="307"/>
      <c r="U263" s="307"/>
      <c r="V263" s="307"/>
      <c r="W263" s="307"/>
      <c r="X263" s="307"/>
      <c r="Y263" s="169"/>
    </row>
    <row r="264" spans="5:25" s="114" customFormat="1">
      <c r="E264" s="168"/>
      <c r="F264" s="115"/>
      <c r="J264" s="306"/>
      <c r="K264" s="306"/>
      <c r="P264" s="168"/>
      <c r="Q264" s="115"/>
      <c r="R264" s="307"/>
      <c r="S264" s="307"/>
      <c r="T264" s="307"/>
      <c r="U264" s="307"/>
      <c r="V264" s="307"/>
      <c r="W264" s="307"/>
      <c r="X264" s="307"/>
      <c r="Y264" s="169"/>
    </row>
    <row r="265" spans="5:25" s="114" customFormat="1">
      <c r="E265" s="168"/>
      <c r="F265" s="115"/>
      <c r="J265" s="306"/>
      <c r="K265" s="306"/>
      <c r="P265" s="168"/>
      <c r="Q265" s="115"/>
      <c r="R265" s="307"/>
      <c r="S265" s="307"/>
      <c r="T265" s="307"/>
      <c r="U265" s="307"/>
      <c r="V265" s="307"/>
      <c r="W265" s="307"/>
      <c r="X265" s="307"/>
      <c r="Y265" s="169"/>
    </row>
    <row r="266" spans="5:25" s="114" customFormat="1">
      <c r="E266" s="168"/>
      <c r="F266" s="115"/>
      <c r="J266" s="306"/>
      <c r="K266" s="306"/>
      <c r="P266" s="168"/>
      <c r="Q266" s="115"/>
      <c r="R266" s="307"/>
      <c r="S266" s="307"/>
      <c r="T266" s="307"/>
      <c r="U266" s="307"/>
      <c r="V266" s="307"/>
      <c r="W266" s="307"/>
      <c r="X266" s="307"/>
      <c r="Y266" s="169"/>
    </row>
    <row r="267" spans="5:25" s="114" customFormat="1">
      <c r="E267" s="168"/>
      <c r="F267" s="115"/>
      <c r="J267" s="306"/>
      <c r="K267" s="306"/>
      <c r="P267" s="168"/>
      <c r="Q267" s="115"/>
      <c r="R267" s="307"/>
      <c r="S267" s="307"/>
      <c r="T267" s="307"/>
      <c r="U267" s="307"/>
      <c r="V267" s="307"/>
      <c r="W267" s="307"/>
      <c r="X267" s="307"/>
      <c r="Y267" s="169"/>
    </row>
    <row r="268" spans="5:25" s="114" customFormat="1">
      <c r="E268" s="168"/>
      <c r="F268" s="115"/>
      <c r="J268" s="306"/>
      <c r="K268" s="306"/>
      <c r="P268" s="168"/>
      <c r="Q268" s="115"/>
      <c r="R268" s="307"/>
      <c r="S268" s="307"/>
      <c r="T268" s="307"/>
      <c r="U268" s="307"/>
      <c r="V268" s="307"/>
      <c r="W268" s="307"/>
      <c r="X268" s="307"/>
      <c r="Y268" s="169"/>
    </row>
    <row r="269" spans="5:25" s="114" customFormat="1">
      <c r="E269" s="168"/>
      <c r="F269" s="115"/>
      <c r="J269" s="306"/>
      <c r="K269" s="306"/>
      <c r="P269" s="168"/>
      <c r="Q269" s="115"/>
      <c r="R269" s="307"/>
      <c r="S269" s="307"/>
      <c r="T269" s="307"/>
      <c r="U269" s="307"/>
      <c r="V269" s="307"/>
      <c r="W269" s="307"/>
      <c r="X269" s="307"/>
      <c r="Y269" s="169"/>
    </row>
    <row r="270" spans="5:25" s="114" customFormat="1">
      <c r="E270" s="168"/>
      <c r="F270" s="115"/>
      <c r="J270" s="306"/>
      <c r="K270" s="306"/>
      <c r="P270" s="168"/>
      <c r="Q270" s="115"/>
      <c r="R270" s="307"/>
      <c r="S270" s="307"/>
      <c r="T270" s="307"/>
      <c r="U270" s="307"/>
      <c r="V270" s="307"/>
      <c r="W270" s="307"/>
      <c r="X270" s="307"/>
      <c r="Y270" s="169"/>
    </row>
    <row r="271" spans="5:25" s="114" customFormat="1">
      <c r="E271" s="168"/>
      <c r="F271" s="115"/>
      <c r="J271" s="306"/>
      <c r="K271" s="306"/>
      <c r="P271" s="168"/>
      <c r="Q271" s="115"/>
      <c r="R271" s="307"/>
      <c r="S271" s="307"/>
      <c r="T271" s="307"/>
      <c r="U271" s="307"/>
      <c r="V271" s="307"/>
      <c r="W271" s="307"/>
      <c r="X271" s="307"/>
      <c r="Y271" s="169"/>
    </row>
    <row r="272" spans="5:25" s="114" customFormat="1">
      <c r="E272" s="168"/>
      <c r="F272" s="115"/>
      <c r="J272" s="306"/>
      <c r="K272" s="306"/>
      <c r="P272" s="168"/>
      <c r="Q272" s="115"/>
      <c r="R272" s="307"/>
      <c r="S272" s="307"/>
      <c r="T272" s="307"/>
      <c r="U272" s="307"/>
      <c r="V272" s="307"/>
      <c r="W272" s="307"/>
      <c r="X272" s="307"/>
      <c r="Y272" s="169"/>
    </row>
    <row r="273" spans="5:25" s="114" customFormat="1">
      <c r="E273" s="168"/>
      <c r="F273" s="115"/>
      <c r="J273" s="306"/>
      <c r="K273" s="306"/>
      <c r="P273" s="168"/>
      <c r="Q273" s="115"/>
      <c r="R273" s="307"/>
      <c r="S273" s="307"/>
      <c r="T273" s="307"/>
      <c r="U273" s="307"/>
      <c r="V273" s="307"/>
      <c r="W273" s="307"/>
      <c r="X273" s="307"/>
      <c r="Y273" s="169"/>
    </row>
    <row r="274" spans="5:25" s="114" customFormat="1">
      <c r="E274" s="168"/>
      <c r="F274" s="115"/>
      <c r="J274" s="306"/>
      <c r="K274" s="306"/>
      <c r="P274" s="168"/>
      <c r="Q274" s="115"/>
      <c r="R274" s="307"/>
      <c r="S274" s="307"/>
      <c r="T274" s="307"/>
      <c r="U274" s="307"/>
      <c r="V274" s="307"/>
      <c r="W274" s="307"/>
      <c r="X274" s="307"/>
      <c r="Y274" s="169"/>
    </row>
    <row r="275" spans="5:25" s="114" customFormat="1">
      <c r="E275" s="168"/>
      <c r="F275" s="115"/>
      <c r="J275" s="306"/>
      <c r="K275" s="306"/>
      <c r="P275" s="168"/>
      <c r="Q275" s="115"/>
      <c r="R275" s="307"/>
      <c r="S275" s="307"/>
      <c r="T275" s="307"/>
      <c r="U275" s="307"/>
      <c r="V275" s="307"/>
      <c r="W275" s="307"/>
      <c r="X275" s="307"/>
      <c r="Y275" s="169"/>
    </row>
    <row r="276" spans="5:25" s="114" customFormat="1">
      <c r="E276" s="168"/>
      <c r="F276" s="115"/>
      <c r="J276" s="306"/>
      <c r="K276" s="306"/>
      <c r="P276" s="168"/>
      <c r="Q276" s="115"/>
      <c r="R276" s="307"/>
      <c r="S276" s="307"/>
      <c r="T276" s="307"/>
      <c r="U276" s="307"/>
      <c r="V276" s="307"/>
      <c r="W276" s="307"/>
      <c r="X276" s="307"/>
      <c r="Y276" s="169"/>
    </row>
    <row r="277" spans="5:25" s="114" customFormat="1">
      <c r="E277" s="168"/>
      <c r="F277" s="115"/>
      <c r="J277" s="306"/>
      <c r="K277" s="306"/>
      <c r="P277" s="168"/>
      <c r="Q277" s="115"/>
      <c r="R277" s="307"/>
      <c r="S277" s="307"/>
      <c r="T277" s="307"/>
      <c r="U277" s="307"/>
      <c r="V277" s="307"/>
      <c r="W277" s="307"/>
      <c r="X277" s="307"/>
      <c r="Y277" s="169"/>
    </row>
    <row r="278" spans="5:25" s="114" customFormat="1">
      <c r="E278" s="168"/>
      <c r="F278" s="115"/>
      <c r="J278" s="306"/>
      <c r="K278" s="306"/>
      <c r="P278" s="168"/>
      <c r="Q278" s="115"/>
      <c r="R278" s="307"/>
      <c r="S278" s="307"/>
      <c r="T278" s="307"/>
      <c r="U278" s="307"/>
      <c r="V278" s="307"/>
      <c r="W278" s="307"/>
      <c r="X278" s="307"/>
      <c r="Y278" s="169"/>
    </row>
    <row r="279" spans="5:25" s="114" customFormat="1">
      <c r="E279" s="168"/>
      <c r="F279" s="115"/>
      <c r="J279" s="306"/>
      <c r="K279" s="306"/>
      <c r="P279" s="168"/>
      <c r="Q279" s="115"/>
      <c r="R279" s="307"/>
      <c r="S279" s="307"/>
      <c r="T279" s="307"/>
      <c r="U279" s="307"/>
      <c r="V279" s="307"/>
      <c r="W279" s="307"/>
      <c r="X279" s="307"/>
      <c r="Y279" s="169"/>
    </row>
    <row r="280" spans="5:25" s="114" customFormat="1">
      <c r="E280" s="168"/>
      <c r="F280" s="115"/>
      <c r="J280" s="306"/>
      <c r="K280" s="306"/>
      <c r="P280" s="168"/>
      <c r="Q280" s="115"/>
      <c r="R280" s="307"/>
      <c r="S280" s="307"/>
      <c r="T280" s="307"/>
      <c r="U280" s="307"/>
      <c r="V280" s="307"/>
      <c r="W280" s="307"/>
      <c r="X280" s="307"/>
      <c r="Y280" s="169"/>
    </row>
    <row r="281" spans="5:25" s="114" customFormat="1">
      <c r="E281" s="168"/>
      <c r="F281" s="115"/>
      <c r="J281" s="306"/>
      <c r="K281" s="306"/>
      <c r="P281" s="168"/>
      <c r="Q281" s="115"/>
      <c r="R281" s="307"/>
      <c r="S281" s="307"/>
      <c r="T281" s="307"/>
      <c r="U281" s="307"/>
      <c r="V281" s="307"/>
      <c r="W281" s="307"/>
      <c r="X281" s="307"/>
      <c r="Y281" s="169"/>
    </row>
    <row r="282" spans="5:25" s="114" customFormat="1">
      <c r="E282" s="168"/>
      <c r="F282" s="115"/>
      <c r="J282" s="306"/>
      <c r="K282" s="306"/>
      <c r="P282" s="168"/>
      <c r="Q282" s="115"/>
      <c r="R282" s="307"/>
      <c r="S282" s="307"/>
      <c r="T282" s="307"/>
      <c r="U282" s="307"/>
      <c r="V282" s="307"/>
      <c r="W282" s="307"/>
      <c r="X282" s="307"/>
      <c r="Y282" s="169"/>
    </row>
    <row r="283" spans="5:25" s="114" customFormat="1">
      <c r="E283" s="168"/>
      <c r="F283" s="115"/>
      <c r="J283" s="306"/>
      <c r="K283" s="306"/>
      <c r="P283" s="168"/>
      <c r="Q283" s="115"/>
      <c r="R283" s="307"/>
      <c r="S283" s="307"/>
      <c r="T283" s="307"/>
      <c r="U283" s="307"/>
      <c r="V283" s="307"/>
      <c r="W283" s="307"/>
      <c r="X283" s="307"/>
      <c r="Y283" s="169"/>
    </row>
    <row r="284" spans="5:25" s="114" customFormat="1">
      <c r="E284" s="168"/>
      <c r="F284" s="115"/>
      <c r="J284" s="306"/>
      <c r="K284" s="306"/>
      <c r="P284" s="168"/>
      <c r="Q284" s="115"/>
      <c r="R284" s="307"/>
      <c r="S284" s="307"/>
      <c r="T284" s="307"/>
      <c r="U284" s="307"/>
      <c r="V284" s="307"/>
      <c r="W284" s="307"/>
      <c r="X284" s="307"/>
      <c r="Y284" s="169"/>
    </row>
    <row r="285" spans="5:25" s="114" customFormat="1">
      <c r="E285" s="168"/>
      <c r="F285" s="115"/>
      <c r="J285" s="306"/>
      <c r="K285" s="306"/>
      <c r="P285" s="168"/>
      <c r="Q285" s="115"/>
      <c r="R285" s="307"/>
      <c r="S285" s="307"/>
      <c r="T285" s="307"/>
      <c r="U285" s="307"/>
      <c r="V285" s="307"/>
      <c r="W285" s="307"/>
      <c r="X285" s="307"/>
      <c r="Y285" s="169"/>
    </row>
    <row r="286" spans="5:25" s="114" customFormat="1">
      <c r="E286" s="168"/>
      <c r="F286" s="115"/>
      <c r="J286" s="306"/>
      <c r="K286" s="306"/>
      <c r="P286" s="168"/>
      <c r="Q286" s="115"/>
      <c r="R286" s="307"/>
      <c r="S286" s="307"/>
      <c r="T286" s="307"/>
      <c r="U286" s="307"/>
      <c r="V286" s="307"/>
      <c r="W286" s="307"/>
      <c r="X286" s="307"/>
      <c r="Y286" s="169"/>
    </row>
    <row r="287" spans="5:25" s="114" customFormat="1">
      <c r="E287" s="168"/>
      <c r="F287" s="115"/>
      <c r="J287" s="306"/>
      <c r="K287" s="306"/>
      <c r="P287" s="168"/>
      <c r="Q287" s="115"/>
      <c r="R287" s="307"/>
      <c r="S287" s="307"/>
      <c r="T287" s="307"/>
      <c r="U287" s="307"/>
      <c r="V287" s="307"/>
      <c r="W287" s="307"/>
      <c r="X287" s="307"/>
      <c r="Y287" s="169"/>
    </row>
    <row r="288" spans="5:25" s="114" customFormat="1">
      <c r="E288" s="168"/>
      <c r="F288" s="115"/>
      <c r="J288" s="306"/>
      <c r="K288" s="306"/>
      <c r="P288" s="168"/>
      <c r="Q288" s="115"/>
      <c r="R288" s="307"/>
      <c r="S288" s="307"/>
      <c r="T288" s="307"/>
      <c r="U288" s="307"/>
      <c r="V288" s="307"/>
      <c r="W288" s="307"/>
      <c r="X288" s="307"/>
      <c r="Y288" s="169"/>
    </row>
    <row r="289" spans="5:25" s="114" customFormat="1">
      <c r="E289" s="168"/>
      <c r="F289" s="115"/>
      <c r="J289" s="306"/>
      <c r="K289" s="306"/>
      <c r="P289" s="168"/>
      <c r="Q289" s="115"/>
      <c r="R289" s="307"/>
      <c r="S289" s="307"/>
      <c r="T289" s="307"/>
      <c r="U289" s="307"/>
      <c r="V289" s="307"/>
      <c r="W289" s="307"/>
      <c r="X289" s="307"/>
      <c r="Y289" s="169"/>
    </row>
    <row r="290" spans="5:25" s="114" customFormat="1">
      <c r="E290" s="168"/>
      <c r="F290" s="115"/>
      <c r="J290" s="306"/>
      <c r="K290" s="306"/>
      <c r="P290" s="168"/>
      <c r="Q290" s="115"/>
      <c r="R290" s="307"/>
      <c r="S290" s="307"/>
      <c r="T290" s="307"/>
      <c r="U290" s="307"/>
      <c r="V290" s="307"/>
      <c r="W290" s="307"/>
      <c r="X290" s="307"/>
      <c r="Y290" s="169"/>
    </row>
    <row r="291" spans="5:25" s="114" customFormat="1">
      <c r="E291" s="168"/>
      <c r="F291" s="115"/>
      <c r="J291" s="306"/>
      <c r="K291" s="306"/>
      <c r="P291" s="168"/>
      <c r="Q291" s="115"/>
      <c r="R291" s="307"/>
      <c r="S291" s="307"/>
      <c r="T291" s="307"/>
      <c r="U291" s="307"/>
      <c r="V291" s="307"/>
      <c r="W291" s="307"/>
      <c r="X291" s="307"/>
      <c r="Y291" s="169"/>
    </row>
    <row r="292" spans="5:25" s="114" customFormat="1">
      <c r="E292" s="168"/>
      <c r="F292" s="115"/>
      <c r="J292" s="306"/>
      <c r="K292" s="306"/>
      <c r="P292" s="168"/>
      <c r="Q292" s="115"/>
      <c r="R292" s="307"/>
      <c r="S292" s="307"/>
      <c r="T292" s="307"/>
      <c r="U292" s="307"/>
      <c r="V292" s="307"/>
      <c r="W292" s="307"/>
      <c r="X292" s="307"/>
      <c r="Y292" s="169"/>
    </row>
    <row r="293" spans="5:25" s="114" customFormat="1">
      <c r="E293" s="168"/>
      <c r="F293" s="115"/>
      <c r="J293" s="306"/>
      <c r="K293" s="306"/>
      <c r="P293" s="168"/>
      <c r="Q293" s="115"/>
      <c r="R293" s="307"/>
      <c r="S293" s="307"/>
      <c r="T293" s="307"/>
      <c r="U293" s="307"/>
      <c r="V293" s="307"/>
      <c r="W293" s="307"/>
      <c r="X293" s="307"/>
      <c r="Y293" s="169"/>
    </row>
    <row r="294" spans="5:25" s="114" customFormat="1">
      <c r="E294" s="168"/>
      <c r="F294" s="115"/>
      <c r="J294" s="306"/>
      <c r="K294" s="306"/>
      <c r="P294" s="168"/>
      <c r="Q294" s="115"/>
      <c r="R294" s="307"/>
      <c r="S294" s="307"/>
      <c r="T294" s="307"/>
      <c r="U294" s="307"/>
      <c r="V294" s="307"/>
      <c r="W294" s="307"/>
      <c r="X294" s="307"/>
      <c r="Y294" s="169"/>
    </row>
    <row r="295" spans="5:25" s="114" customFormat="1">
      <c r="E295" s="168"/>
      <c r="F295" s="115"/>
      <c r="J295" s="306"/>
      <c r="K295" s="306"/>
      <c r="P295" s="168"/>
      <c r="Q295" s="115"/>
      <c r="R295" s="307"/>
      <c r="S295" s="307"/>
      <c r="T295" s="307"/>
      <c r="U295" s="307"/>
      <c r="V295" s="307"/>
      <c r="W295" s="307"/>
      <c r="X295" s="307"/>
      <c r="Y295" s="169"/>
    </row>
    <row r="296" spans="5:25" s="114" customFormat="1">
      <c r="E296" s="168"/>
      <c r="F296" s="115"/>
      <c r="J296" s="306"/>
      <c r="K296" s="306"/>
      <c r="P296" s="168"/>
      <c r="Q296" s="115"/>
      <c r="R296" s="307"/>
      <c r="S296" s="307"/>
      <c r="T296" s="307"/>
      <c r="U296" s="307"/>
      <c r="V296" s="307"/>
      <c r="W296" s="307"/>
      <c r="X296" s="307"/>
      <c r="Y296" s="169"/>
    </row>
    <row r="297" spans="5:25" s="114" customFormat="1">
      <c r="E297" s="168"/>
      <c r="F297" s="115"/>
      <c r="J297" s="306"/>
      <c r="K297" s="306"/>
      <c r="P297" s="168"/>
      <c r="Q297" s="115"/>
      <c r="R297" s="307"/>
      <c r="S297" s="307"/>
      <c r="T297" s="307"/>
      <c r="U297" s="307"/>
      <c r="V297" s="307"/>
      <c r="W297" s="307"/>
      <c r="X297" s="307"/>
      <c r="Y297" s="169"/>
    </row>
    <row r="298" spans="5:25" s="114" customFormat="1">
      <c r="E298" s="168"/>
      <c r="F298" s="115"/>
      <c r="J298" s="306"/>
      <c r="K298" s="306"/>
      <c r="P298" s="168"/>
      <c r="Q298" s="115"/>
      <c r="R298" s="307"/>
      <c r="S298" s="307"/>
      <c r="T298" s="307"/>
      <c r="U298" s="307"/>
      <c r="V298" s="307"/>
      <c r="W298" s="307"/>
      <c r="X298" s="307"/>
      <c r="Y298" s="169"/>
    </row>
    <row r="299" spans="5:25" s="114" customFormat="1">
      <c r="E299" s="168"/>
      <c r="F299" s="115"/>
      <c r="J299" s="306"/>
      <c r="K299" s="306"/>
      <c r="P299" s="168"/>
      <c r="Q299" s="115"/>
      <c r="R299" s="307"/>
      <c r="S299" s="307"/>
      <c r="T299" s="307"/>
      <c r="U299" s="307"/>
      <c r="V299" s="307"/>
      <c r="W299" s="307"/>
      <c r="X299" s="307"/>
      <c r="Y299" s="169"/>
    </row>
    <row r="300" spans="5:25" s="114" customFormat="1">
      <c r="E300" s="168"/>
      <c r="F300" s="115"/>
      <c r="J300" s="306"/>
      <c r="K300" s="306"/>
      <c r="P300" s="168"/>
      <c r="Q300" s="115"/>
      <c r="R300" s="307"/>
      <c r="S300" s="307"/>
      <c r="T300" s="307"/>
      <c r="U300" s="307"/>
      <c r="V300" s="307"/>
      <c r="W300" s="307"/>
      <c r="X300" s="307"/>
      <c r="Y300" s="169"/>
    </row>
    <row r="301" spans="5:25" s="114" customFormat="1">
      <c r="E301" s="168"/>
      <c r="F301" s="115"/>
      <c r="J301" s="306"/>
      <c r="K301" s="306"/>
      <c r="P301" s="168"/>
      <c r="Q301" s="115"/>
      <c r="R301" s="307"/>
      <c r="S301" s="307"/>
      <c r="T301" s="307"/>
      <c r="U301" s="307"/>
      <c r="V301" s="307"/>
      <c r="W301" s="307"/>
      <c r="X301" s="307"/>
      <c r="Y301" s="169"/>
    </row>
    <row r="302" spans="5:25" s="114" customFormat="1">
      <c r="E302" s="168"/>
      <c r="F302" s="115"/>
      <c r="J302" s="306"/>
      <c r="K302" s="306"/>
      <c r="P302" s="168"/>
      <c r="Q302" s="115"/>
      <c r="R302" s="307"/>
      <c r="S302" s="307"/>
      <c r="T302" s="307"/>
      <c r="U302" s="307"/>
      <c r="V302" s="307"/>
      <c r="W302" s="307"/>
      <c r="X302" s="307"/>
      <c r="Y302" s="169"/>
    </row>
    <row r="303" spans="5:25" s="114" customFormat="1">
      <c r="E303" s="168"/>
      <c r="F303" s="115"/>
      <c r="J303" s="306"/>
      <c r="K303" s="306"/>
      <c r="P303" s="168"/>
      <c r="Q303" s="115"/>
      <c r="R303" s="307"/>
      <c r="S303" s="307"/>
      <c r="T303" s="307"/>
      <c r="U303" s="307"/>
      <c r="V303" s="307"/>
      <c r="W303" s="307"/>
      <c r="X303" s="307"/>
      <c r="Y303" s="169"/>
    </row>
    <row r="304" spans="5:25" s="114" customFormat="1">
      <c r="E304" s="168"/>
      <c r="F304" s="115"/>
      <c r="J304" s="306"/>
      <c r="K304" s="306"/>
      <c r="P304" s="168"/>
      <c r="Q304" s="115"/>
      <c r="R304" s="307"/>
      <c r="S304" s="307"/>
      <c r="T304" s="307"/>
      <c r="U304" s="307"/>
      <c r="V304" s="307"/>
      <c r="W304" s="307"/>
      <c r="X304" s="307"/>
      <c r="Y304" s="169"/>
    </row>
    <row r="305" spans="5:25" s="114" customFormat="1">
      <c r="E305" s="168"/>
      <c r="F305" s="115"/>
      <c r="J305" s="306"/>
      <c r="K305" s="306"/>
      <c r="P305" s="168"/>
      <c r="Q305" s="115"/>
      <c r="R305" s="307"/>
      <c r="S305" s="307"/>
      <c r="T305" s="307"/>
      <c r="U305" s="307"/>
      <c r="V305" s="307"/>
      <c r="W305" s="307"/>
      <c r="X305" s="307"/>
      <c r="Y305" s="169"/>
    </row>
    <row r="306" spans="5:25" s="114" customFormat="1">
      <c r="E306" s="168"/>
      <c r="F306" s="115"/>
      <c r="J306" s="306"/>
      <c r="K306" s="306"/>
      <c r="P306" s="168"/>
      <c r="Q306" s="115"/>
      <c r="R306" s="307"/>
      <c r="S306" s="307"/>
      <c r="T306" s="307"/>
      <c r="U306" s="307"/>
      <c r="V306" s="307"/>
      <c r="W306" s="307"/>
      <c r="X306" s="307"/>
      <c r="Y306" s="169"/>
    </row>
    <row r="307" spans="5:25" s="114" customFormat="1">
      <c r="E307" s="168"/>
      <c r="F307" s="115"/>
      <c r="J307" s="306"/>
      <c r="K307" s="306"/>
      <c r="P307" s="168"/>
      <c r="Q307" s="115"/>
      <c r="R307" s="307"/>
      <c r="S307" s="307"/>
      <c r="T307" s="307"/>
      <c r="U307" s="307"/>
      <c r="V307" s="307"/>
      <c r="W307" s="307"/>
      <c r="X307" s="307"/>
      <c r="Y307" s="169"/>
    </row>
    <row r="308" spans="5:25" s="114" customFormat="1">
      <c r="E308" s="168"/>
      <c r="F308" s="115"/>
      <c r="J308" s="306"/>
      <c r="K308" s="306"/>
      <c r="P308" s="168"/>
      <c r="Q308" s="115"/>
      <c r="R308" s="307"/>
      <c r="S308" s="307"/>
      <c r="T308" s="307"/>
      <c r="U308" s="307"/>
      <c r="V308" s="307"/>
      <c r="W308" s="307"/>
      <c r="X308" s="307"/>
      <c r="Y308" s="169"/>
    </row>
    <row r="309" spans="5:25" s="114" customFormat="1">
      <c r="E309" s="168"/>
      <c r="F309" s="115"/>
      <c r="J309" s="306"/>
      <c r="K309" s="306"/>
      <c r="P309" s="168"/>
      <c r="Q309" s="115"/>
      <c r="R309" s="307"/>
      <c r="S309" s="307"/>
      <c r="T309" s="307"/>
      <c r="U309" s="307"/>
      <c r="V309" s="307"/>
      <c r="W309" s="307"/>
      <c r="X309" s="307"/>
      <c r="Y309" s="169"/>
    </row>
    <row r="310" spans="5:25" s="114" customFormat="1">
      <c r="E310" s="168"/>
      <c r="F310" s="115"/>
      <c r="J310" s="306"/>
      <c r="K310" s="306"/>
      <c r="P310" s="168"/>
      <c r="Q310" s="115"/>
      <c r="R310" s="307"/>
      <c r="S310" s="307"/>
      <c r="T310" s="307"/>
      <c r="U310" s="307"/>
      <c r="V310" s="307"/>
      <c r="W310" s="307"/>
      <c r="X310" s="307"/>
      <c r="Y310" s="169"/>
    </row>
    <row r="311" spans="5:25" s="114" customFormat="1">
      <c r="E311" s="168"/>
      <c r="F311" s="115"/>
      <c r="J311" s="306"/>
      <c r="K311" s="306"/>
      <c r="P311" s="168"/>
      <c r="Q311" s="115"/>
      <c r="R311" s="307"/>
      <c r="S311" s="307"/>
      <c r="T311" s="307"/>
      <c r="U311" s="307"/>
      <c r="V311" s="307"/>
      <c r="W311" s="307"/>
      <c r="X311" s="307"/>
      <c r="Y311" s="169"/>
    </row>
    <row r="312" spans="5:25" s="114" customFormat="1">
      <c r="E312" s="168"/>
      <c r="F312" s="115"/>
      <c r="J312" s="306"/>
      <c r="K312" s="306"/>
      <c r="P312" s="168"/>
      <c r="Q312" s="115"/>
      <c r="R312" s="307"/>
      <c r="S312" s="307"/>
      <c r="T312" s="307"/>
      <c r="U312" s="307"/>
      <c r="V312" s="307"/>
      <c r="W312" s="307"/>
      <c r="X312" s="307"/>
      <c r="Y312" s="169"/>
    </row>
    <row r="313" spans="5:25" s="114" customFormat="1">
      <c r="E313" s="168"/>
      <c r="F313" s="115"/>
      <c r="J313" s="306"/>
      <c r="K313" s="306"/>
      <c r="P313" s="168"/>
      <c r="Q313" s="115"/>
      <c r="R313" s="307"/>
      <c r="S313" s="307"/>
      <c r="T313" s="307"/>
      <c r="U313" s="307"/>
      <c r="V313" s="307"/>
      <c r="W313" s="307"/>
      <c r="X313" s="307"/>
      <c r="Y313" s="169"/>
    </row>
    <row r="314" spans="5:25" s="114" customFormat="1">
      <c r="E314" s="168"/>
      <c r="F314" s="115"/>
      <c r="J314" s="306"/>
      <c r="K314" s="306"/>
      <c r="P314" s="168"/>
      <c r="Q314" s="115"/>
      <c r="R314" s="307"/>
      <c r="S314" s="307"/>
      <c r="T314" s="307"/>
      <c r="U314" s="307"/>
      <c r="V314" s="307"/>
      <c r="W314" s="307"/>
      <c r="X314" s="307"/>
      <c r="Y314" s="169"/>
    </row>
    <row r="315" spans="5:25" s="114" customFormat="1">
      <c r="E315" s="168"/>
      <c r="F315" s="115"/>
      <c r="J315" s="306"/>
      <c r="K315" s="306"/>
      <c r="P315" s="168"/>
      <c r="Q315" s="115"/>
      <c r="R315" s="307"/>
      <c r="S315" s="307"/>
      <c r="T315" s="307"/>
      <c r="U315" s="307"/>
      <c r="V315" s="307"/>
      <c r="W315" s="307"/>
      <c r="X315" s="307"/>
      <c r="Y315" s="169"/>
    </row>
    <row r="316" spans="5:25" s="114" customFormat="1">
      <c r="E316" s="168"/>
      <c r="F316" s="115"/>
      <c r="J316" s="306"/>
      <c r="K316" s="306"/>
      <c r="P316" s="168"/>
      <c r="Q316" s="115"/>
      <c r="R316" s="307"/>
      <c r="S316" s="307"/>
      <c r="T316" s="307"/>
      <c r="U316" s="307"/>
      <c r="V316" s="307"/>
      <c r="W316" s="307"/>
      <c r="X316" s="307"/>
      <c r="Y316" s="169"/>
    </row>
    <row r="317" spans="5:25" s="114" customFormat="1">
      <c r="E317" s="168"/>
      <c r="F317" s="115"/>
      <c r="J317" s="306"/>
      <c r="K317" s="306"/>
      <c r="P317" s="168"/>
      <c r="Q317" s="115"/>
      <c r="R317" s="307"/>
      <c r="S317" s="307"/>
      <c r="T317" s="307"/>
      <c r="U317" s="307"/>
      <c r="V317" s="307"/>
      <c r="W317" s="307"/>
      <c r="X317" s="307"/>
      <c r="Y317" s="169"/>
    </row>
    <row r="318" spans="5:25" s="114" customFormat="1">
      <c r="E318" s="168"/>
      <c r="F318" s="115"/>
      <c r="J318" s="306"/>
      <c r="K318" s="306"/>
      <c r="P318" s="168"/>
      <c r="Q318" s="115"/>
      <c r="R318" s="307"/>
      <c r="S318" s="307"/>
      <c r="T318" s="307"/>
      <c r="U318" s="307"/>
      <c r="V318" s="307"/>
      <c r="W318" s="307"/>
      <c r="X318" s="307"/>
      <c r="Y318" s="169"/>
    </row>
    <row r="319" spans="5:25" s="114" customFormat="1">
      <c r="E319" s="168"/>
      <c r="F319" s="115"/>
      <c r="J319" s="306"/>
      <c r="K319" s="306"/>
      <c r="P319" s="168"/>
      <c r="Q319" s="115"/>
      <c r="R319" s="307"/>
      <c r="S319" s="307"/>
      <c r="T319" s="307"/>
      <c r="U319" s="307"/>
      <c r="V319" s="307"/>
      <c r="W319" s="307"/>
      <c r="X319" s="307"/>
      <c r="Y319" s="169"/>
    </row>
    <row r="320" spans="5:25" s="114" customFormat="1">
      <c r="E320" s="168"/>
      <c r="F320" s="115"/>
      <c r="J320" s="306"/>
      <c r="K320" s="306"/>
      <c r="P320" s="168"/>
      <c r="Q320" s="115"/>
      <c r="R320" s="307"/>
      <c r="S320" s="307"/>
      <c r="T320" s="307"/>
      <c r="U320" s="307"/>
      <c r="V320" s="307"/>
      <c r="W320" s="307"/>
      <c r="X320" s="307"/>
      <c r="Y320" s="169"/>
    </row>
    <row r="321" spans="5:25" s="114" customFormat="1">
      <c r="E321" s="168"/>
      <c r="F321" s="115"/>
      <c r="J321" s="306"/>
      <c r="K321" s="306"/>
      <c r="P321" s="168"/>
      <c r="Q321" s="115"/>
      <c r="R321" s="307"/>
      <c r="S321" s="307"/>
      <c r="T321" s="307"/>
      <c r="U321" s="307"/>
      <c r="V321" s="307"/>
      <c r="W321" s="307"/>
      <c r="X321" s="307"/>
      <c r="Y321" s="169"/>
    </row>
    <row r="322" spans="5:25" s="114" customFormat="1">
      <c r="E322" s="168"/>
      <c r="F322" s="115"/>
      <c r="J322" s="306"/>
      <c r="K322" s="306"/>
      <c r="P322" s="168"/>
      <c r="Q322" s="115"/>
      <c r="R322" s="307"/>
      <c r="S322" s="307"/>
      <c r="T322" s="307"/>
      <c r="U322" s="307"/>
      <c r="V322" s="307"/>
      <c r="W322" s="307"/>
      <c r="X322" s="307"/>
      <c r="Y322" s="169"/>
    </row>
    <row r="323" spans="5:25" s="114" customFormat="1">
      <c r="E323" s="168"/>
      <c r="F323" s="115"/>
      <c r="J323" s="306"/>
      <c r="K323" s="306"/>
      <c r="P323" s="168"/>
      <c r="Q323" s="115"/>
      <c r="R323" s="307"/>
      <c r="S323" s="307"/>
      <c r="T323" s="307"/>
      <c r="U323" s="307"/>
      <c r="V323" s="307"/>
      <c r="W323" s="307"/>
      <c r="X323" s="307"/>
      <c r="Y323" s="169"/>
    </row>
    <row r="324" spans="5:25" s="114" customFormat="1">
      <c r="E324" s="168"/>
      <c r="F324" s="115"/>
      <c r="J324" s="306"/>
      <c r="K324" s="306"/>
      <c r="P324" s="168"/>
      <c r="Q324" s="115"/>
      <c r="R324" s="307"/>
      <c r="S324" s="307"/>
      <c r="T324" s="307"/>
      <c r="U324" s="307"/>
      <c r="V324" s="307"/>
      <c r="W324" s="307"/>
      <c r="X324" s="307"/>
      <c r="Y324" s="169"/>
    </row>
    <row r="325" spans="5:25" s="114" customFormat="1">
      <c r="E325" s="168"/>
      <c r="F325" s="115"/>
      <c r="J325" s="306"/>
      <c r="K325" s="306"/>
      <c r="P325" s="168"/>
      <c r="Q325" s="115"/>
      <c r="R325" s="307"/>
      <c r="S325" s="307"/>
      <c r="T325" s="307"/>
      <c r="U325" s="307"/>
      <c r="V325" s="307"/>
      <c r="W325" s="307"/>
      <c r="X325" s="307"/>
      <c r="Y325" s="169"/>
    </row>
    <row r="326" spans="5:25" s="114" customFormat="1">
      <c r="E326" s="168"/>
      <c r="F326" s="115"/>
      <c r="J326" s="306"/>
      <c r="K326" s="306"/>
      <c r="P326" s="168"/>
      <c r="Q326" s="115"/>
      <c r="R326" s="307"/>
      <c r="S326" s="307"/>
      <c r="T326" s="307"/>
      <c r="U326" s="307"/>
      <c r="V326" s="307"/>
      <c r="W326" s="307"/>
      <c r="X326" s="307"/>
      <c r="Y326" s="169"/>
    </row>
    <row r="327" spans="5:25" s="114" customFormat="1">
      <c r="E327" s="168"/>
      <c r="F327" s="115"/>
      <c r="J327" s="306"/>
      <c r="K327" s="306"/>
      <c r="P327" s="168"/>
      <c r="Q327" s="115"/>
      <c r="R327" s="307"/>
      <c r="S327" s="307"/>
      <c r="T327" s="307"/>
      <c r="U327" s="307"/>
      <c r="V327" s="307"/>
      <c r="W327" s="307"/>
      <c r="X327" s="307"/>
      <c r="Y327" s="169"/>
    </row>
    <row r="328" spans="5:25" s="114" customFormat="1">
      <c r="E328" s="168"/>
      <c r="F328" s="115"/>
      <c r="J328" s="306"/>
      <c r="K328" s="306"/>
      <c r="P328" s="168"/>
      <c r="Q328" s="115"/>
      <c r="R328" s="307"/>
      <c r="S328" s="307"/>
      <c r="T328" s="307"/>
      <c r="U328" s="307"/>
      <c r="V328" s="307"/>
      <c r="W328" s="307"/>
      <c r="X328" s="307"/>
      <c r="Y328" s="169"/>
    </row>
    <row r="329" spans="5:25" s="114" customFormat="1">
      <c r="E329" s="168"/>
      <c r="F329" s="115"/>
      <c r="J329" s="306"/>
      <c r="K329" s="306"/>
      <c r="P329" s="168"/>
      <c r="Q329" s="115"/>
      <c r="R329" s="307"/>
      <c r="S329" s="307"/>
      <c r="T329" s="307"/>
      <c r="U329" s="307"/>
      <c r="V329" s="307"/>
      <c r="W329" s="307"/>
      <c r="X329" s="307"/>
      <c r="Y329" s="169"/>
    </row>
    <row r="330" spans="5:25" s="114" customFormat="1">
      <c r="E330" s="168"/>
      <c r="F330" s="115"/>
      <c r="J330" s="306"/>
      <c r="K330" s="306"/>
      <c r="P330" s="168"/>
      <c r="Q330" s="115"/>
      <c r="R330" s="307"/>
      <c r="S330" s="307"/>
      <c r="T330" s="307"/>
      <c r="U330" s="307"/>
      <c r="V330" s="307"/>
      <c r="W330" s="307"/>
      <c r="X330" s="307"/>
      <c r="Y330" s="169"/>
    </row>
    <row r="331" spans="5:25" s="114" customFormat="1">
      <c r="E331" s="168"/>
      <c r="F331" s="115"/>
      <c r="J331" s="306"/>
      <c r="K331" s="306"/>
      <c r="P331" s="168"/>
      <c r="Q331" s="115"/>
      <c r="R331" s="307"/>
      <c r="S331" s="307"/>
      <c r="T331" s="307"/>
      <c r="U331" s="307"/>
      <c r="V331" s="307"/>
      <c r="W331" s="307"/>
      <c r="X331" s="307"/>
      <c r="Y331" s="169"/>
    </row>
    <row r="332" spans="5:25" s="114" customFormat="1">
      <c r="E332" s="168"/>
      <c r="F332" s="115"/>
      <c r="J332" s="306"/>
      <c r="K332" s="306"/>
      <c r="P332" s="168"/>
      <c r="Q332" s="115"/>
      <c r="R332" s="307"/>
      <c r="S332" s="307"/>
      <c r="T332" s="307"/>
      <c r="U332" s="307"/>
      <c r="V332" s="307"/>
      <c r="W332" s="307"/>
      <c r="X332" s="307"/>
      <c r="Y332" s="169"/>
    </row>
    <row r="333" spans="5:25" s="114" customFormat="1">
      <c r="E333" s="168"/>
      <c r="F333" s="115"/>
      <c r="J333" s="306"/>
      <c r="K333" s="306"/>
      <c r="P333" s="168"/>
      <c r="Q333" s="115"/>
      <c r="R333" s="307"/>
      <c r="S333" s="307"/>
      <c r="T333" s="307"/>
      <c r="U333" s="307"/>
      <c r="V333" s="307"/>
      <c r="W333" s="307"/>
      <c r="X333" s="307"/>
      <c r="Y333" s="169"/>
    </row>
    <row r="334" spans="5:25" s="114" customFormat="1">
      <c r="E334" s="168"/>
      <c r="F334" s="115"/>
      <c r="J334" s="306"/>
      <c r="K334" s="306"/>
      <c r="P334" s="168"/>
      <c r="Q334" s="115"/>
      <c r="R334" s="307"/>
      <c r="S334" s="307"/>
      <c r="T334" s="307"/>
      <c r="U334" s="307"/>
      <c r="V334" s="307"/>
      <c r="W334" s="307"/>
      <c r="X334" s="307"/>
      <c r="Y334" s="169"/>
    </row>
    <row r="335" spans="5:25" s="114" customFormat="1">
      <c r="E335" s="168"/>
      <c r="F335" s="115"/>
      <c r="J335" s="306"/>
      <c r="K335" s="306"/>
      <c r="P335" s="168"/>
      <c r="Q335" s="115"/>
      <c r="R335" s="307"/>
      <c r="S335" s="307"/>
      <c r="T335" s="307"/>
      <c r="U335" s="307"/>
      <c r="V335" s="307"/>
      <c r="W335" s="307"/>
      <c r="X335" s="307"/>
      <c r="Y335" s="169"/>
    </row>
    <row r="336" spans="5:25" s="114" customFormat="1">
      <c r="E336" s="168"/>
      <c r="F336" s="115"/>
      <c r="J336" s="306"/>
      <c r="K336" s="306"/>
      <c r="P336" s="168"/>
      <c r="Q336" s="115"/>
      <c r="R336" s="307"/>
      <c r="S336" s="307"/>
      <c r="T336" s="307"/>
      <c r="U336" s="307"/>
      <c r="V336" s="307"/>
      <c r="W336" s="307"/>
      <c r="X336" s="307"/>
      <c r="Y336" s="169"/>
    </row>
    <row r="337" spans="5:25" s="114" customFormat="1">
      <c r="E337" s="168"/>
      <c r="F337" s="115"/>
      <c r="J337" s="306"/>
      <c r="K337" s="306"/>
      <c r="P337" s="168"/>
      <c r="Q337" s="115"/>
      <c r="R337" s="307"/>
      <c r="S337" s="307"/>
      <c r="T337" s="307"/>
      <c r="U337" s="307"/>
      <c r="V337" s="307"/>
      <c r="W337" s="307"/>
      <c r="X337" s="307"/>
      <c r="Y337" s="169"/>
    </row>
    <row r="338" spans="5:25" s="114" customFormat="1">
      <c r="E338" s="168"/>
      <c r="F338" s="115"/>
      <c r="J338" s="306"/>
      <c r="K338" s="306"/>
      <c r="P338" s="168"/>
      <c r="Q338" s="115"/>
      <c r="R338" s="307"/>
      <c r="S338" s="307"/>
      <c r="T338" s="307"/>
      <c r="U338" s="307"/>
      <c r="V338" s="307"/>
      <c r="W338" s="307"/>
      <c r="X338" s="307"/>
      <c r="Y338" s="169"/>
    </row>
    <row r="339" spans="5:25" s="114" customFormat="1">
      <c r="E339" s="168"/>
      <c r="F339" s="115"/>
      <c r="J339" s="306"/>
      <c r="K339" s="306"/>
      <c r="P339" s="168"/>
      <c r="Q339" s="115"/>
      <c r="R339" s="307"/>
      <c r="S339" s="307"/>
      <c r="T339" s="307"/>
      <c r="U339" s="307"/>
      <c r="V339" s="307"/>
      <c r="W339" s="307"/>
      <c r="X339" s="307"/>
      <c r="Y339" s="169"/>
    </row>
    <row r="340" spans="5:25" s="114" customFormat="1">
      <c r="E340" s="168"/>
      <c r="F340" s="115"/>
      <c r="J340" s="306"/>
      <c r="K340" s="306"/>
      <c r="P340" s="168"/>
      <c r="Q340" s="115"/>
      <c r="R340" s="307"/>
      <c r="S340" s="307"/>
      <c r="T340" s="307"/>
      <c r="U340" s="307"/>
      <c r="V340" s="307"/>
      <c r="W340" s="307"/>
      <c r="X340" s="307"/>
      <c r="Y340" s="169"/>
    </row>
    <row r="341" spans="5:25" s="114" customFormat="1">
      <c r="E341" s="168"/>
      <c r="F341" s="115"/>
      <c r="J341" s="306"/>
      <c r="K341" s="306"/>
      <c r="P341" s="168"/>
      <c r="Q341" s="115"/>
      <c r="R341" s="307"/>
      <c r="S341" s="307"/>
      <c r="T341" s="307"/>
      <c r="U341" s="307"/>
      <c r="V341" s="307"/>
      <c r="W341" s="307"/>
      <c r="X341" s="307"/>
      <c r="Y341" s="169"/>
    </row>
    <row r="342" spans="5:25" s="114" customFormat="1">
      <c r="E342" s="168"/>
      <c r="F342" s="115"/>
      <c r="J342" s="306"/>
      <c r="K342" s="306"/>
      <c r="P342" s="168"/>
      <c r="Q342" s="115"/>
      <c r="R342" s="307"/>
      <c r="S342" s="307"/>
      <c r="T342" s="307"/>
      <c r="U342" s="307"/>
      <c r="V342" s="307"/>
      <c r="W342" s="307"/>
      <c r="X342" s="307"/>
      <c r="Y342" s="169"/>
    </row>
    <row r="343" spans="5:25" s="114" customFormat="1">
      <c r="E343" s="168"/>
      <c r="F343" s="115"/>
      <c r="J343" s="306"/>
      <c r="K343" s="306"/>
      <c r="P343" s="168"/>
      <c r="Q343" s="115"/>
      <c r="R343" s="307"/>
      <c r="S343" s="307"/>
      <c r="T343" s="307"/>
      <c r="U343" s="307"/>
      <c r="V343" s="307"/>
      <c r="W343" s="307"/>
      <c r="X343" s="307"/>
      <c r="Y343" s="169"/>
    </row>
    <row r="344" spans="5:25" s="114" customFormat="1">
      <c r="E344" s="168"/>
      <c r="F344" s="115"/>
      <c r="J344" s="306"/>
      <c r="K344" s="306"/>
      <c r="P344" s="168"/>
      <c r="Q344" s="115"/>
      <c r="R344" s="307"/>
      <c r="S344" s="307"/>
      <c r="T344" s="307"/>
      <c r="U344" s="307"/>
      <c r="V344" s="307"/>
      <c r="W344" s="307"/>
      <c r="X344" s="307"/>
      <c r="Y344" s="169"/>
    </row>
    <row r="345" spans="5:25" s="114" customFormat="1">
      <c r="E345" s="168"/>
      <c r="F345" s="115"/>
      <c r="J345" s="306"/>
      <c r="K345" s="306"/>
      <c r="P345" s="168"/>
      <c r="Q345" s="115"/>
      <c r="R345" s="307"/>
      <c r="S345" s="307"/>
      <c r="T345" s="307"/>
      <c r="U345" s="307"/>
      <c r="V345" s="307"/>
      <c r="W345" s="307"/>
      <c r="X345" s="307"/>
      <c r="Y345" s="169"/>
    </row>
    <row r="346" spans="5:25" s="114" customFormat="1">
      <c r="E346" s="168"/>
      <c r="F346" s="115"/>
      <c r="J346" s="306"/>
      <c r="K346" s="306"/>
      <c r="P346" s="168"/>
      <c r="Q346" s="115"/>
      <c r="R346" s="307"/>
      <c r="S346" s="307"/>
      <c r="T346" s="307"/>
      <c r="U346" s="307"/>
      <c r="V346" s="307"/>
      <c r="W346" s="307"/>
      <c r="X346" s="307"/>
      <c r="Y346" s="169"/>
    </row>
    <row r="347" spans="5:25" s="114" customFormat="1">
      <c r="E347" s="168"/>
      <c r="F347" s="115"/>
      <c r="J347" s="306"/>
      <c r="K347" s="306"/>
      <c r="P347" s="168"/>
      <c r="Q347" s="115"/>
      <c r="R347" s="307"/>
      <c r="S347" s="307"/>
      <c r="T347" s="307"/>
      <c r="U347" s="307"/>
      <c r="V347" s="307"/>
      <c r="W347" s="307"/>
      <c r="X347" s="307"/>
      <c r="Y347" s="169"/>
    </row>
    <row r="348" spans="5:25" s="114" customFormat="1">
      <c r="E348" s="168"/>
      <c r="F348" s="115"/>
      <c r="J348" s="306"/>
      <c r="K348" s="306"/>
      <c r="P348" s="168"/>
      <c r="Q348" s="115"/>
      <c r="R348" s="307"/>
      <c r="S348" s="307"/>
      <c r="T348" s="307"/>
      <c r="U348" s="307"/>
      <c r="V348" s="307"/>
      <c r="W348" s="307"/>
      <c r="X348" s="307"/>
      <c r="Y348" s="169"/>
    </row>
    <row r="349" spans="5:25" s="114" customFormat="1">
      <c r="E349" s="168"/>
      <c r="F349" s="115"/>
      <c r="J349" s="306"/>
      <c r="K349" s="306"/>
      <c r="P349" s="168"/>
      <c r="Q349" s="115"/>
      <c r="R349" s="307"/>
      <c r="S349" s="307"/>
      <c r="T349" s="307"/>
      <c r="U349" s="307"/>
      <c r="V349" s="307"/>
      <c r="W349" s="307"/>
      <c r="X349" s="307"/>
      <c r="Y349" s="169"/>
    </row>
    <row r="350" spans="5:25" s="114" customFormat="1">
      <c r="E350" s="168"/>
      <c r="F350" s="115"/>
      <c r="J350" s="306"/>
      <c r="K350" s="306"/>
      <c r="P350" s="168"/>
      <c r="Q350" s="115"/>
      <c r="R350" s="307"/>
      <c r="S350" s="307"/>
      <c r="T350" s="307"/>
      <c r="U350" s="307"/>
      <c r="V350" s="307"/>
      <c r="W350" s="307"/>
      <c r="X350" s="307"/>
      <c r="Y350" s="169"/>
    </row>
    <row r="351" spans="5:25" s="114" customFormat="1">
      <c r="E351" s="168"/>
      <c r="F351" s="115"/>
      <c r="J351" s="306"/>
      <c r="K351" s="306"/>
      <c r="P351" s="168"/>
      <c r="Q351" s="115"/>
      <c r="R351" s="307"/>
      <c r="S351" s="307"/>
      <c r="T351" s="307"/>
      <c r="U351" s="307"/>
      <c r="V351" s="307"/>
      <c r="W351" s="307"/>
      <c r="X351" s="307"/>
      <c r="Y351" s="169"/>
    </row>
    <row r="352" spans="5:25" s="114" customFormat="1">
      <c r="E352" s="168"/>
      <c r="F352" s="115"/>
      <c r="J352" s="306"/>
      <c r="K352" s="306"/>
      <c r="P352" s="168"/>
      <c r="Q352" s="115"/>
      <c r="R352" s="307"/>
      <c r="S352" s="307"/>
      <c r="T352" s="307"/>
      <c r="U352" s="307"/>
      <c r="V352" s="307"/>
      <c r="W352" s="307"/>
      <c r="X352" s="307"/>
      <c r="Y352" s="169"/>
    </row>
    <row r="353" spans="5:25" s="114" customFormat="1">
      <c r="E353" s="168"/>
      <c r="F353" s="115"/>
      <c r="J353" s="306"/>
      <c r="K353" s="306"/>
      <c r="P353" s="168"/>
      <c r="Q353" s="115"/>
      <c r="R353" s="307"/>
      <c r="S353" s="307"/>
      <c r="T353" s="307"/>
      <c r="U353" s="307"/>
      <c r="V353" s="307"/>
      <c r="W353" s="307"/>
      <c r="X353" s="307"/>
      <c r="Y353" s="169"/>
    </row>
    <row r="354" spans="5:25" s="114" customFormat="1">
      <c r="E354" s="168"/>
      <c r="F354" s="115"/>
      <c r="J354" s="306"/>
      <c r="K354" s="306"/>
      <c r="P354" s="168"/>
      <c r="Q354" s="115"/>
      <c r="R354" s="307"/>
      <c r="S354" s="307"/>
      <c r="T354" s="307"/>
      <c r="U354" s="307"/>
      <c r="V354" s="307"/>
      <c r="W354" s="307"/>
      <c r="X354" s="307"/>
      <c r="Y354" s="169"/>
    </row>
    <row r="355" spans="5:25" s="114" customFormat="1">
      <c r="E355" s="168"/>
      <c r="F355" s="115"/>
      <c r="J355" s="306"/>
      <c r="K355" s="306"/>
      <c r="P355" s="168"/>
      <c r="Q355" s="115"/>
      <c r="R355" s="307"/>
      <c r="S355" s="307"/>
      <c r="T355" s="307"/>
      <c r="U355" s="307"/>
      <c r="V355" s="307"/>
      <c r="W355" s="307"/>
      <c r="X355" s="307"/>
      <c r="Y355" s="169"/>
    </row>
    <row r="356" spans="5:25" s="114" customFormat="1">
      <c r="E356" s="168"/>
      <c r="F356" s="115"/>
      <c r="J356" s="306"/>
      <c r="K356" s="306"/>
      <c r="P356" s="168"/>
      <c r="Q356" s="115"/>
      <c r="R356" s="307"/>
      <c r="S356" s="307"/>
      <c r="T356" s="307"/>
      <c r="U356" s="307"/>
      <c r="V356" s="307"/>
      <c r="W356" s="307"/>
      <c r="X356" s="307"/>
      <c r="Y356" s="169"/>
    </row>
    <row r="357" spans="5:25" s="114" customFormat="1">
      <c r="E357" s="168"/>
      <c r="F357" s="115"/>
      <c r="J357" s="306"/>
      <c r="K357" s="306"/>
      <c r="P357" s="168"/>
      <c r="Q357" s="115"/>
      <c r="R357" s="307"/>
      <c r="S357" s="307"/>
      <c r="T357" s="307"/>
      <c r="U357" s="307"/>
      <c r="V357" s="307"/>
      <c r="W357" s="307"/>
      <c r="X357" s="307"/>
      <c r="Y357" s="169"/>
    </row>
    <row r="358" spans="5:25" s="114" customFormat="1">
      <c r="E358" s="168"/>
      <c r="F358" s="115"/>
      <c r="J358" s="306"/>
      <c r="K358" s="306"/>
      <c r="P358" s="168"/>
      <c r="Q358" s="115"/>
      <c r="R358" s="307"/>
      <c r="S358" s="307"/>
      <c r="T358" s="307"/>
      <c r="U358" s="307"/>
      <c r="V358" s="307"/>
      <c r="W358" s="307"/>
      <c r="X358" s="307"/>
      <c r="Y358" s="169"/>
    </row>
    <row r="359" spans="5:25" s="114" customFormat="1">
      <c r="E359" s="168"/>
      <c r="F359" s="115"/>
      <c r="J359" s="306"/>
      <c r="K359" s="306"/>
      <c r="P359" s="168"/>
      <c r="Q359" s="115"/>
      <c r="R359" s="307"/>
      <c r="S359" s="307"/>
      <c r="T359" s="307"/>
      <c r="U359" s="307"/>
      <c r="V359" s="307"/>
      <c r="W359" s="307"/>
      <c r="X359" s="307"/>
      <c r="Y359" s="169"/>
    </row>
    <row r="360" spans="5:25" s="114" customFormat="1">
      <c r="E360" s="168"/>
      <c r="F360" s="115"/>
      <c r="J360" s="306"/>
      <c r="K360" s="306"/>
      <c r="P360" s="168"/>
      <c r="Q360" s="115"/>
      <c r="R360" s="307"/>
      <c r="S360" s="307"/>
      <c r="T360" s="307"/>
      <c r="U360" s="307"/>
      <c r="V360" s="307"/>
      <c r="W360" s="307"/>
      <c r="X360" s="307"/>
      <c r="Y360" s="169"/>
    </row>
    <row r="361" spans="5:25" s="114" customFormat="1">
      <c r="E361" s="168"/>
      <c r="F361" s="115"/>
      <c r="J361" s="306"/>
      <c r="K361" s="306"/>
      <c r="P361" s="168"/>
      <c r="Q361" s="115"/>
      <c r="R361" s="307"/>
      <c r="S361" s="307"/>
      <c r="T361" s="307"/>
      <c r="U361" s="307"/>
      <c r="V361" s="307"/>
      <c r="W361" s="307"/>
      <c r="X361" s="307"/>
      <c r="Y361" s="169"/>
    </row>
    <row r="362" spans="5:25" s="114" customFormat="1">
      <c r="E362" s="168"/>
      <c r="F362" s="115"/>
      <c r="J362" s="306"/>
      <c r="K362" s="306"/>
      <c r="P362" s="168"/>
      <c r="Q362" s="115"/>
      <c r="R362" s="307"/>
      <c r="S362" s="307"/>
      <c r="T362" s="307"/>
      <c r="U362" s="307"/>
      <c r="V362" s="307"/>
      <c r="W362" s="307"/>
      <c r="X362" s="307"/>
      <c r="Y362" s="169"/>
    </row>
    <row r="363" spans="5:25" s="114" customFormat="1">
      <c r="E363" s="168"/>
      <c r="F363" s="115"/>
      <c r="J363" s="306"/>
      <c r="K363" s="306"/>
      <c r="P363" s="168"/>
      <c r="Q363" s="115"/>
      <c r="R363" s="307"/>
      <c r="S363" s="307"/>
      <c r="T363" s="307"/>
      <c r="U363" s="307"/>
      <c r="V363" s="307"/>
      <c r="W363" s="307"/>
      <c r="X363" s="307"/>
      <c r="Y363" s="169"/>
    </row>
    <row r="364" spans="5:25" s="114" customFormat="1">
      <c r="E364" s="168"/>
      <c r="F364" s="115"/>
      <c r="J364" s="306"/>
      <c r="K364" s="306"/>
      <c r="P364" s="168"/>
      <c r="Q364" s="115"/>
      <c r="R364" s="307"/>
      <c r="S364" s="307"/>
      <c r="T364" s="307"/>
      <c r="U364" s="307"/>
      <c r="V364" s="307"/>
      <c r="W364" s="307"/>
      <c r="X364" s="307"/>
      <c r="Y364" s="169"/>
    </row>
    <row r="365" spans="5:25" s="114" customFormat="1">
      <c r="E365" s="168"/>
      <c r="F365" s="115"/>
      <c r="J365" s="306"/>
      <c r="K365" s="306"/>
      <c r="P365" s="168"/>
      <c r="Q365" s="115"/>
      <c r="R365" s="307"/>
      <c r="S365" s="307"/>
      <c r="T365" s="307"/>
      <c r="U365" s="307"/>
      <c r="V365" s="307"/>
      <c r="W365" s="307"/>
      <c r="X365" s="307"/>
      <c r="Y365" s="169"/>
    </row>
    <row r="366" spans="5:25" s="114" customFormat="1">
      <c r="E366" s="168"/>
      <c r="F366" s="115"/>
      <c r="J366" s="306"/>
      <c r="K366" s="306"/>
      <c r="P366" s="168"/>
      <c r="Q366" s="115"/>
      <c r="R366" s="307"/>
      <c r="S366" s="307"/>
      <c r="T366" s="307"/>
      <c r="U366" s="307"/>
      <c r="V366" s="307"/>
      <c r="W366" s="307"/>
      <c r="X366" s="307"/>
      <c r="Y366" s="169"/>
    </row>
    <row r="367" spans="5:25" s="114" customFormat="1">
      <c r="E367" s="168"/>
      <c r="F367" s="115"/>
      <c r="J367" s="306"/>
      <c r="K367" s="306"/>
      <c r="P367" s="168"/>
      <c r="Q367" s="115"/>
      <c r="R367" s="307"/>
      <c r="S367" s="307"/>
      <c r="T367" s="307"/>
      <c r="U367" s="307"/>
      <c r="V367" s="307"/>
      <c r="W367" s="307"/>
      <c r="X367" s="307"/>
      <c r="Y367" s="169"/>
    </row>
    <row r="368" spans="5:25" s="114" customFormat="1">
      <c r="E368" s="168"/>
      <c r="F368" s="115"/>
      <c r="J368" s="306"/>
      <c r="K368" s="306"/>
      <c r="P368" s="168"/>
      <c r="Q368" s="115"/>
      <c r="R368" s="307"/>
      <c r="S368" s="307"/>
      <c r="T368" s="307"/>
      <c r="U368" s="307"/>
      <c r="V368" s="307"/>
      <c r="W368" s="307"/>
      <c r="X368" s="307"/>
      <c r="Y368" s="169"/>
    </row>
    <row r="369" spans="5:25" s="114" customFormat="1">
      <c r="E369" s="168"/>
      <c r="F369" s="115"/>
      <c r="J369" s="306"/>
      <c r="K369" s="306"/>
      <c r="P369" s="168"/>
      <c r="Q369" s="115"/>
      <c r="R369" s="307"/>
      <c r="S369" s="307"/>
      <c r="T369" s="307"/>
      <c r="U369" s="307"/>
      <c r="V369" s="307"/>
      <c r="W369" s="307"/>
      <c r="X369" s="307"/>
      <c r="Y369" s="169"/>
    </row>
    <row r="370" spans="5:25" s="114" customFormat="1">
      <c r="E370" s="168"/>
      <c r="F370" s="115"/>
      <c r="J370" s="306"/>
      <c r="K370" s="306"/>
      <c r="P370" s="168"/>
      <c r="Q370" s="115"/>
      <c r="R370" s="307"/>
      <c r="S370" s="307"/>
      <c r="T370" s="307"/>
      <c r="U370" s="307"/>
      <c r="V370" s="307"/>
      <c r="W370" s="307"/>
      <c r="X370" s="307"/>
      <c r="Y370" s="169"/>
    </row>
    <row r="371" spans="5:25" s="114" customFormat="1">
      <c r="E371" s="168"/>
      <c r="F371" s="115"/>
      <c r="J371" s="306"/>
      <c r="K371" s="306"/>
      <c r="P371" s="168"/>
      <c r="Q371" s="115"/>
      <c r="R371" s="307"/>
      <c r="S371" s="307"/>
      <c r="T371" s="307"/>
      <c r="U371" s="307"/>
      <c r="V371" s="307"/>
      <c r="W371" s="307"/>
      <c r="X371" s="307"/>
      <c r="Y371" s="169"/>
    </row>
    <row r="372" spans="5:25" s="114" customFormat="1">
      <c r="E372" s="168"/>
      <c r="F372" s="115"/>
      <c r="J372" s="306"/>
      <c r="K372" s="306"/>
      <c r="P372" s="168"/>
      <c r="Q372" s="115"/>
      <c r="R372" s="307"/>
      <c r="S372" s="307"/>
      <c r="T372" s="307"/>
      <c r="U372" s="307"/>
      <c r="V372" s="307"/>
      <c r="W372" s="307"/>
      <c r="X372" s="307"/>
      <c r="Y372" s="169"/>
    </row>
    <row r="373" spans="5:25" s="114" customFormat="1">
      <c r="E373" s="168"/>
      <c r="F373" s="115"/>
      <c r="J373" s="306"/>
      <c r="K373" s="306"/>
      <c r="P373" s="168"/>
      <c r="Q373" s="115"/>
      <c r="R373" s="307"/>
      <c r="S373" s="307"/>
      <c r="T373" s="307"/>
      <c r="U373" s="307"/>
      <c r="V373" s="307"/>
      <c r="W373" s="307"/>
      <c r="X373" s="307"/>
      <c r="Y373" s="169"/>
    </row>
    <row r="374" spans="5:25" s="114" customFormat="1">
      <c r="E374" s="168"/>
      <c r="F374" s="115"/>
      <c r="J374" s="306"/>
      <c r="K374" s="306"/>
      <c r="P374" s="168"/>
      <c r="Q374" s="115"/>
      <c r="R374" s="307"/>
      <c r="S374" s="307"/>
      <c r="T374" s="307"/>
      <c r="U374" s="307"/>
      <c r="V374" s="307"/>
      <c r="W374" s="307"/>
      <c r="X374" s="307"/>
      <c r="Y374" s="169"/>
    </row>
    <row r="375" spans="5:25" s="114" customFormat="1">
      <c r="E375" s="168"/>
      <c r="F375" s="115"/>
      <c r="J375" s="306"/>
      <c r="K375" s="306"/>
      <c r="P375" s="168"/>
      <c r="Q375" s="115"/>
      <c r="R375" s="307"/>
      <c r="S375" s="307"/>
      <c r="T375" s="307"/>
      <c r="U375" s="307"/>
      <c r="V375" s="307"/>
      <c r="W375" s="307"/>
      <c r="X375" s="307"/>
      <c r="Y375" s="169"/>
    </row>
    <row r="376" spans="5:25" s="114" customFormat="1">
      <c r="E376" s="168"/>
      <c r="F376" s="115"/>
      <c r="J376" s="306"/>
      <c r="K376" s="306"/>
      <c r="P376" s="168"/>
      <c r="Q376" s="115"/>
      <c r="R376" s="307"/>
      <c r="S376" s="307"/>
      <c r="T376" s="307"/>
      <c r="U376" s="307"/>
      <c r="V376" s="307"/>
      <c r="W376" s="307"/>
      <c r="X376" s="307"/>
      <c r="Y376" s="169"/>
    </row>
    <row r="377" spans="5:25" s="114" customFormat="1">
      <c r="E377" s="168"/>
      <c r="F377" s="115"/>
      <c r="J377" s="306"/>
      <c r="K377" s="306"/>
      <c r="P377" s="168"/>
      <c r="Q377" s="115"/>
      <c r="R377" s="307"/>
      <c r="S377" s="307"/>
      <c r="T377" s="307"/>
      <c r="U377" s="307"/>
      <c r="V377" s="307"/>
      <c r="W377" s="307"/>
      <c r="X377" s="307"/>
      <c r="Y377" s="169"/>
    </row>
    <row r="378" spans="5:25" s="114" customFormat="1">
      <c r="E378" s="168"/>
      <c r="F378" s="115"/>
      <c r="J378" s="306"/>
      <c r="K378" s="306"/>
      <c r="P378" s="168"/>
      <c r="Q378" s="115"/>
      <c r="R378" s="307"/>
      <c r="S378" s="307"/>
      <c r="T378" s="307"/>
      <c r="U378" s="307"/>
      <c r="V378" s="307"/>
      <c r="W378" s="307"/>
      <c r="X378" s="307"/>
      <c r="Y378" s="169"/>
    </row>
    <row r="379" spans="5:25" s="114" customFormat="1">
      <c r="E379" s="168"/>
      <c r="F379" s="115"/>
      <c r="J379" s="306"/>
      <c r="K379" s="306"/>
      <c r="P379" s="168"/>
      <c r="Q379" s="115"/>
      <c r="R379" s="307"/>
      <c r="S379" s="307"/>
      <c r="T379" s="307"/>
      <c r="U379" s="307"/>
      <c r="V379" s="307"/>
      <c r="W379" s="307"/>
      <c r="X379" s="307"/>
      <c r="Y379" s="169"/>
    </row>
    <row r="380" spans="5:25" s="114" customFormat="1">
      <c r="E380" s="168"/>
      <c r="F380" s="115"/>
      <c r="J380" s="306"/>
      <c r="K380" s="306"/>
      <c r="P380" s="168"/>
      <c r="Q380" s="115"/>
      <c r="R380" s="307"/>
      <c r="S380" s="307"/>
      <c r="T380" s="307"/>
      <c r="U380" s="307"/>
      <c r="V380" s="307"/>
      <c r="W380" s="307"/>
      <c r="X380" s="307"/>
      <c r="Y380" s="169"/>
    </row>
    <row r="381" spans="5:25" s="114" customFormat="1">
      <c r="E381" s="168"/>
      <c r="F381" s="115"/>
      <c r="J381" s="306"/>
      <c r="K381" s="306"/>
      <c r="P381" s="168"/>
      <c r="Q381" s="115"/>
      <c r="R381" s="307"/>
      <c r="S381" s="307"/>
      <c r="T381" s="307"/>
      <c r="U381" s="307"/>
      <c r="V381" s="307"/>
      <c r="W381" s="307"/>
      <c r="X381" s="307"/>
      <c r="Y381" s="169"/>
    </row>
    <row r="382" spans="5:25" s="114" customFormat="1">
      <c r="E382" s="168"/>
      <c r="F382" s="115"/>
      <c r="J382" s="306"/>
      <c r="K382" s="306"/>
      <c r="P382" s="168"/>
      <c r="Q382" s="115"/>
      <c r="R382" s="307"/>
      <c r="S382" s="307"/>
      <c r="T382" s="307"/>
      <c r="U382" s="307"/>
      <c r="V382" s="307"/>
      <c r="W382" s="307"/>
      <c r="X382" s="307"/>
      <c r="Y382" s="169"/>
    </row>
    <row r="383" spans="5:25" s="114" customFormat="1">
      <c r="E383" s="168"/>
      <c r="F383" s="115"/>
      <c r="J383" s="306"/>
      <c r="K383" s="306"/>
      <c r="P383" s="168"/>
      <c r="Q383" s="115"/>
      <c r="R383" s="307"/>
      <c r="S383" s="307"/>
      <c r="T383" s="307"/>
      <c r="U383" s="307"/>
      <c r="V383" s="307"/>
      <c r="W383" s="307"/>
      <c r="X383" s="307"/>
      <c r="Y383" s="169"/>
    </row>
    <row r="384" spans="5:25" s="114" customFormat="1">
      <c r="E384" s="168"/>
      <c r="F384" s="115"/>
      <c r="J384" s="306"/>
      <c r="K384" s="306"/>
      <c r="P384" s="168"/>
      <c r="Q384" s="115"/>
      <c r="R384" s="307"/>
      <c r="S384" s="307"/>
      <c r="T384" s="307"/>
      <c r="U384" s="307"/>
      <c r="V384" s="307"/>
      <c r="W384" s="307"/>
      <c r="X384" s="307"/>
      <c r="Y384" s="169"/>
    </row>
    <row r="385" spans="5:25" s="114" customFormat="1">
      <c r="E385" s="168"/>
      <c r="F385" s="115"/>
      <c r="J385" s="306"/>
      <c r="K385" s="306"/>
      <c r="P385" s="168"/>
      <c r="Q385" s="115"/>
      <c r="R385" s="307"/>
      <c r="S385" s="307"/>
      <c r="T385" s="307"/>
      <c r="U385" s="307"/>
      <c r="V385" s="307"/>
      <c r="W385" s="307"/>
      <c r="X385" s="307"/>
      <c r="Y385" s="169"/>
    </row>
    <row r="386" spans="5:25" s="114" customFormat="1">
      <c r="E386" s="168"/>
      <c r="F386" s="115"/>
      <c r="J386" s="306"/>
      <c r="K386" s="306"/>
      <c r="P386" s="168"/>
      <c r="Q386" s="115"/>
      <c r="R386" s="307"/>
      <c r="S386" s="307"/>
      <c r="T386" s="307"/>
      <c r="U386" s="307"/>
      <c r="V386" s="307"/>
      <c r="W386" s="307"/>
      <c r="X386" s="307"/>
      <c r="Y386" s="169"/>
    </row>
    <row r="387" spans="5:25" s="114" customFormat="1">
      <c r="E387" s="168"/>
      <c r="F387" s="115"/>
      <c r="J387" s="306"/>
      <c r="K387" s="306"/>
      <c r="P387" s="168"/>
      <c r="Q387" s="115"/>
      <c r="R387" s="307"/>
      <c r="S387" s="307"/>
      <c r="T387" s="307"/>
      <c r="U387" s="307"/>
      <c r="V387" s="307"/>
      <c r="W387" s="307"/>
      <c r="X387" s="307"/>
      <c r="Y387" s="169"/>
    </row>
    <row r="388" spans="5:25" s="114" customFormat="1">
      <c r="E388" s="168"/>
      <c r="F388" s="115"/>
      <c r="J388" s="306"/>
      <c r="K388" s="306"/>
      <c r="P388" s="168"/>
      <c r="Q388" s="115"/>
      <c r="R388" s="307"/>
      <c r="S388" s="307"/>
      <c r="T388" s="307"/>
      <c r="U388" s="307"/>
      <c r="V388" s="307"/>
      <c r="W388" s="307"/>
      <c r="X388" s="307"/>
      <c r="Y388" s="169"/>
    </row>
    <row r="389" spans="5:25" s="114" customFormat="1">
      <c r="E389" s="168"/>
      <c r="F389" s="115"/>
      <c r="J389" s="306"/>
      <c r="K389" s="306"/>
      <c r="P389" s="168"/>
      <c r="Q389" s="115"/>
      <c r="R389" s="307"/>
      <c r="S389" s="307"/>
      <c r="T389" s="307"/>
      <c r="U389" s="307"/>
      <c r="V389" s="307"/>
      <c r="W389" s="307"/>
      <c r="X389" s="307"/>
      <c r="Y389" s="169"/>
    </row>
    <row r="390" spans="5:25" s="114" customFormat="1">
      <c r="E390" s="168"/>
      <c r="F390" s="115"/>
      <c r="J390" s="306"/>
      <c r="K390" s="306"/>
      <c r="P390" s="168"/>
      <c r="Q390" s="115"/>
      <c r="R390" s="307"/>
      <c r="S390" s="307"/>
      <c r="T390" s="307"/>
      <c r="U390" s="307"/>
      <c r="V390" s="307"/>
      <c r="W390" s="307"/>
      <c r="X390" s="307"/>
      <c r="Y390" s="169"/>
    </row>
    <row r="391" spans="5:25" s="114" customFormat="1">
      <c r="E391" s="168"/>
      <c r="F391" s="115"/>
      <c r="J391" s="306"/>
      <c r="K391" s="306"/>
      <c r="P391" s="168"/>
      <c r="Q391" s="115"/>
      <c r="R391" s="307"/>
      <c r="S391" s="307"/>
      <c r="T391" s="307"/>
      <c r="U391" s="307"/>
      <c r="V391" s="307"/>
      <c r="W391" s="307"/>
      <c r="X391" s="307"/>
      <c r="Y391" s="169"/>
    </row>
    <row r="392" spans="5:25" s="114" customFormat="1">
      <c r="E392" s="168"/>
      <c r="F392" s="115"/>
      <c r="J392" s="306"/>
      <c r="K392" s="306"/>
      <c r="P392" s="168"/>
      <c r="Q392" s="115"/>
      <c r="R392" s="307"/>
      <c r="S392" s="307"/>
      <c r="T392" s="307"/>
      <c r="U392" s="307"/>
      <c r="V392" s="307"/>
      <c r="W392" s="307"/>
      <c r="X392" s="307"/>
      <c r="Y392" s="169"/>
    </row>
    <row r="393" spans="5:25" s="114" customFormat="1">
      <c r="E393" s="168"/>
      <c r="F393" s="115"/>
      <c r="J393" s="306"/>
      <c r="K393" s="306"/>
      <c r="P393" s="168"/>
      <c r="Q393" s="115"/>
      <c r="R393" s="307"/>
      <c r="S393" s="307"/>
      <c r="T393" s="307"/>
      <c r="U393" s="307"/>
      <c r="V393" s="307"/>
      <c r="W393" s="307"/>
      <c r="X393" s="307"/>
      <c r="Y393" s="169"/>
    </row>
    <row r="394" spans="5:25" s="114" customFormat="1">
      <c r="E394" s="168"/>
      <c r="F394" s="115"/>
      <c r="J394" s="306"/>
      <c r="K394" s="306"/>
      <c r="P394" s="168"/>
      <c r="Q394" s="115"/>
      <c r="R394" s="307"/>
      <c r="S394" s="307"/>
      <c r="T394" s="307"/>
      <c r="U394" s="307"/>
      <c r="V394" s="307"/>
      <c r="W394" s="307"/>
      <c r="X394" s="307"/>
      <c r="Y394" s="169"/>
    </row>
    <row r="395" spans="5:25" s="114" customFormat="1">
      <c r="E395" s="168"/>
      <c r="F395" s="115"/>
      <c r="J395" s="306"/>
      <c r="K395" s="306"/>
      <c r="P395" s="168"/>
      <c r="Q395" s="115"/>
      <c r="R395" s="307"/>
      <c r="S395" s="307"/>
      <c r="T395" s="307"/>
      <c r="U395" s="307"/>
      <c r="V395" s="307"/>
      <c r="W395" s="307"/>
      <c r="X395" s="307"/>
      <c r="Y395" s="169"/>
    </row>
    <row r="396" spans="5:25" s="114" customFormat="1">
      <c r="E396" s="168"/>
      <c r="F396" s="115"/>
      <c r="J396" s="306"/>
      <c r="K396" s="306"/>
      <c r="P396" s="168"/>
      <c r="Q396" s="115"/>
      <c r="R396" s="307"/>
      <c r="S396" s="307"/>
      <c r="T396" s="307"/>
      <c r="U396" s="307"/>
      <c r="V396" s="307"/>
      <c r="W396" s="307"/>
      <c r="X396" s="307"/>
      <c r="Y396" s="169"/>
    </row>
    <row r="397" spans="5:25" s="114" customFormat="1">
      <c r="E397" s="168"/>
      <c r="F397" s="115"/>
      <c r="J397" s="306"/>
      <c r="K397" s="306"/>
      <c r="P397" s="168"/>
      <c r="Q397" s="115"/>
      <c r="R397" s="307"/>
      <c r="S397" s="307"/>
      <c r="T397" s="307"/>
      <c r="U397" s="307"/>
      <c r="V397" s="307"/>
      <c r="W397" s="307"/>
      <c r="X397" s="307"/>
      <c r="Y397" s="169"/>
    </row>
    <row r="398" spans="5:25" s="114" customFormat="1">
      <c r="E398" s="168"/>
      <c r="F398" s="115"/>
      <c r="J398" s="306"/>
      <c r="K398" s="306"/>
      <c r="P398" s="168"/>
      <c r="Q398" s="115"/>
      <c r="R398" s="307"/>
      <c r="S398" s="307"/>
      <c r="T398" s="307"/>
      <c r="U398" s="307"/>
      <c r="V398" s="307"/>
      <c r="W398" s="307"/>
      <c r="X398" s="307"/>
      <c r="Y398" s="169"/>
    </row>
    <row r="399" spans="5:25" s="114" customFormat="1">
      <c r="E399" s="168"/>
      <c r="F399" s="115"/>
      <c r="J399" s="306"/>
      <c r="K399" s="306"/>
      <c r="P399" s="168"/>
      <c r="Q399" s="115"/>
      <c r="R399" s="307"/>
      <c r="S399" s="307"/>
      <c r="T399" s="307"/>
      <c r="U399" s="307"/>
      <c r="V399" s="307"/>
      <c r="W399" s="307"/>
      <c r="X399" s="307"/>
      <c r="Y399" s="169"/>
    </row>
    <row r="400" spans="5:25" s="114" customFormat="1">
      <c r="E400" s="168"/>
      <c r="F400" s="115"/>
      <c r="J400" s="306"/>
      <c r="K400" s="306"/>
      <c r="P400" s="168"/>
      <c r="Q400" s="115"/>
      <c r="R400" s="307"/>
      <c r="S400" s="307"/>
      <c r="T400" s="307"/>
      <c r="U400" s="307"/>
      <c r="V400" s="307"/>
      <c r="W400" s="307"/>
      <c r="X400" s="307"/>
      <c r="Y400" s="169"/>
    </row>
    <row r="401" spans="5:25" s="114" customFormat="1">
      <c r="E401" s="168"/>
      <c r="F401" s="115"/>
      <c r="J401" s="306"/>
      <c r="K401" s="306"/>
      <c r="P401" s="168"/>
      <c r="Q401" s="115"/>
      <c r="R401" s="307"/>
      <c r="S401" s="307"/>
      <c r="T401" s="307"/>
      <c r="U401" s="307"/>
      <c r="V401" s="307"/>
      <c r="W401" s="307"/>
      <c r="X401" s="307"/>
      <c r="Y401" s="169"/>
    </row>
    <row r="402" spans="5:25" s="114" customFormat="1">
      <c r="E402" s="168"/>
      <c r="F402" s="115"/>
      <c r="J402" s="306"/>
      <c r="K402" s="306"/>
      <c r="P402" s="168"/>
      <c r="Q402" s="115"/>
      <c r="R402" s="307"/>
      <c r="S402" s="307"/>
      <c r="T402" s="307"/>
      <c r="U402" s="307"/>
      <c r="V402" s="307"/>
      <c r="W402" s="307"/>
      <c r="X402" s="307"/>
      <c r="Y402" s="169"/>
    </row>
    <row r="403" spans="5:25" s="114" customFormat="1">
      <c r="E403" s="168"/>
      <c r="F403" s="115"/>
      <c r="J403" s="306"/>
      <c r="K403" s="306"/>
      <c r="P403" s="168"/>
      <c r="Q403" s="115"/>
      <c r="R403" s="307"/>
      <c r="S403" s="307"/>
      <c r="T403" s="307"/>
      <c r="U403" s="307"/>
      <c r="V403" s="307"/>
      <c r="W403" s="307"/>
      <c r="X403" s="307"/>
      <c r="Y403" s="169"/>
    </row>
    <row r="404" spans="5:25" s="114" customFormat="1">
      <c r="E404" s="168"/>
      <c r="F404" s="115"/>
      <c r="J404" s="306"/>
      <c r="K404" s="306"/>
      <c r="P404" s="168"/>
      <c r="Q404" s="115"/>
      <c r="R404" s="307"/>
      <c r="S404" s="307"/>
      <c r="T404" s="307"/>
      <c r="U404" s="307"/>
      <c r="V404" s="307"/>
      <c r="W404" s="307"/>
      <c r="X404" s="307"/>
      <c r="Y404" s="169"/>
    </row>
    <row r="405" spans="5:25" s="114" customFormat="1">
      <c r="E405" s="168"/>
      <c r="F405" s="115"/>
      <c r="J405" s="306"/>
      <c r="K405" s="306"/>
      <c r="P405" s="168"/>
      <c r="Q405" s="115"/>
      <c r="R405" s="307"/>
      <c r="S405" s="307"/>
      <c r="T405" s="307"/>
      <c r="U405" s="307"/>
      <c r="V405" s="307"/>
      <c r="W405" s="307"/>
      <c r="X405" s="307"/>
      <c r="Y405" s="169"/>
    </row>
    <row r="406" spans="5:25" s="114" customFormat="1">
      <c r="E406" s="168"/>
      <c r="F406" s="115"/>
      <c r="J406" s="306"/>
      <c r="K406" s="306"/>
      <c r="P406" s="168"/>
      <c r="Q406" s="115"/>
      <c r="R406" s="307"/>
      <c r="S406" s="307"/>
      <c r="T406" s="307"/>
      <c r="U406" s="307"/>
      <c r="V406" s="307"/>
      <c r="W406" s="307"/>
      <c r="X406" s="307"/>
      <c r="Y406" s="169"/>
    </row>
    <row r="407" spans="5:25" s="114" customFormat="1">
      <c r="E407" s="168"/>
      <c r="F407" s="115"/>
      <c r="J407" s="306"/>
      <c r="K407" s="306"/>
      <c r="P407" s="168"/>
      <c r="Q407" s="115"/>
      <c r="R407" s="307"/>
      <c r="S407" s="307"/>
      <c r="T407" s="307"/>
      <c r="U407" s="307"/>
      <c r="V407" s="307"/>
      <c r="W407" s="307"/>
      <c r="X407" s="307"/>
      <c r="Y407" s="169"/>
    </row>
    <row r="408" spans="5:25" s="114" customFormat="1">
      <c r="E408" s="168"/>
      <c r="F408" s="115"/>
      <c r="J408" s="306"/>
      <c r="K408" s="306"/>
      <c r="P408" s="168"/>
      <c r="Q408" s="115"/>
      <c r="R408" s="307"/>
      <c r="S408" s="307"/>
      <c r="T408" s="307"/>
      <c r="U408" s="307"/>
      <c r="V408" s="307"/>
      <c r="W408" s="307"/>
      <c r="X408" s="307"/>
      <c r="Y408" s="169"/>
    </row>
    <row r="409" spans="5:25" s="114" customFormat="1">
      <c r="E409" s="168"/>
      <c r="F409" s="115"/>
      <c r="J409" s="306"/>
      <c r="K409" s="306"/>
      <c r="P409" s="168"/>
      <c r="Q409" s="115"/>
      <c r="R409" s="307"/>
      <c r="S409" s="307"/>
      <c r="T409" s="307"/>
      <c r="U409" s="307"/>
      <c r="V409" s="307"/>
      <c r="W409" s="307"/>
      <c r="X409" s="307"/>
      <c r="Y409" s="169"/>
    </row>
    <row r="410" spans="5:25" s="114" customFormat="1">
      <c r="E410" s="168"/>
      <c r="F410" s="115"/>
      <c r="J410" s="306"/>
      <c r="K410" s="306"/>
      <c r="P410" s="168"/>
      <c r="Q410" s="115"/>
      <c r="R410" s="307"/>
      <c r="S410" s="307"/>
      <c r="T410" s="307"/>
      <c r="U410" s="307"/>
      <c r="V410" s="307"/>
      <c r="W410" s="307"/>
      <c r="X410" s="307"/>
      <c r="Y410" s="169"/>
    </row>
    <row r="411" spans="5:25" s="114" customFormat="1">
      <c r="E411" s="168"/>
      <c r="F411" s="115"/>
      <c r="J411" s="306"/>
      <c r="K411" s="306"/>
      <c r="P411" s="168"/>
      <c r="Q411" s="115"/>
      <c r="R411" s="307"/>
      <c r="S411" s="307"/>
      <c r="T411" s="307"/>
      <c r="U411" s="307"/>
      <c r="V411" s="307"/>
      <c r="W411" s="307"/>
      <c r="X411" s="307"/>
      <c r="Y411" s="169"/>
    </row>
    <row r="412" spans="5:25" s="114" customFormat="1">
      <c r="E412" s="168"/>
      <c r="F412" s="115"/>
      <c r="J412" s="306"/>
      <c r="K412" s="306"/>
      <c r="P412" s="168"/>
      <c r="Q412" s="115"/>
      <c r="R412" s="307"/>
      <c r="S412" s="307"/>
      <c r="T412" s="307"/>
      <c r="U412" s="307"/>
      <c r="V412" s="307"/>
      <c r="W412" s="307"/>
      <c r="X412" s="307"/>
      <c r="Y412" s="169"/>
    </row>
    <row r="413" spans="5:25" s="114" customFormat="1">
      <c r="E413" s="168"/>
      <c r="F413" s="115"/>
      <c r="J413" s="306"/>
      <c r="K413" s="306"/>
      <c r="P413" s="168"/>
      <c r="Q413" s="115"/>
      <c r="R413" s="307"/>
      <c r="S413" s="307"/>
      <c r="T413" s="307"/>
      <c r="U413" s="307"/>
      <c r="V413" s="307"/>
      <c r="W413" s="307"/>
      <c r="X413" s="307"/>
      <c r="Y413" s="169"/>
    </row>
    <row r="414" spans="5:25" s="114" customFormat="1">
      <c r="E414" s="168"/>
      <c r="F414" s="115"/>
      <c r="J414" s="306"/>
      <c r="K414" s="306"/>
      <c r="P414" s="168"/>
      <c r="Q414" s="115"/>
      <c r="R414" s="307"/>
      <c r="S414" s="307"/>
      <c r="T414" s="307"/>
      <c r="U414" s="307"/>
      <c r="V414" s="307"/>
      <c r="W414" s="307"/>
      <c r="X414" s="307"/>
      <c r="Y414" s="169"/>
    </row>
    <row r="415" spans="5:25" s="114" customFormat="1">
      <c r="E415" s="168"/>
      <c r="F415" s="115"/>
      <c r="J415" s="306"/>
      <c r="K415" s="306"/>
      <c r="P415" s="168"/>
      <c r="Q415" s="115"/>
      <c r="R415" s="307"/>
      <c r="S415" s="307"/>
      <c r="T415" s="307"/>
      <c r="U415" s="307"/>
      <c r="V415" s="307"/>
      <c r="W415" s="307"/>
      <c r="X415" s="307"/>
      <c r="Y415" s="169"/>
    </row>
    <row r="416" spans="5:25" s="114" customFormat="1">
      <c r="E416" s="168"/>
      <c r="F416" s="115"/>
      <c r="J416" s="306"/>
      <c r="K416" s="306"/>
      <c r="P416" s="168"/>
      <c r="Q416" s="115"/>
      <c r="R416" s="307"/>
      <c r="S416" s="307"/>
      <c r="T416" s="307"/>
      <c r="U416" s="307"/>
      <c r="V416" s="307"/>
      <c r="W416" s="307"/>
      <c r="X416" s="307"/>
      <c r="Y416" s="169"/>
    </row>
    <row r="417" spans="5:25" s="114" customFormat="1">
      <c r="E417" s="168"/>
      <c r="F417" s="115"/>
      <c r="J417" s="306"/>
      <c r="K417" s="306"/>
      <c r="P417" s="168"/>
      <c r="Q417" s="115"/>
      <c r="R417" s="307"/>
      <c r="S417" s="307"/>
      <c r="T417" s="307"/>
      <c r="U417" s="307"/>
      <c r="V417" s="307"/>
      <c r="W417" s="307"/>
      <c r="X417" s="307"/>
      <c r="Y417" s="169"/>
    </row>
    <row r="418" spans="5:25" s="114" customFormat="1">
      <c r="E418" s="168"/>
      <c r="F418" s="115"/>
      <c r="J418" s="306"/>
      <c r="K418" s="306"/>
      <c r="P418" s="168"/>
      <c r="Q418" s="115"/>
      <c r="R418" s="307"/>
      <c r="S418" s="307"/>
      <c r="T418" s="307"/>
      <c r="U418" s="307"/>
      <c r="V418" s="307"/>
      <c r="W418" s="307"/>
      <c r="X418" s="307"/>
      <c r="Y418" s="169"/>
    </row>
    <row r="419" spans="5:25" s="114" customFormat="1">
      <c r="E419" s="168"/>
      <c r="F419" s="115"/>
      <c r="J419" s="306"/>
      <c r="K419" s="306"/>
      <c r="P419" s="168"/>
      <c r="Q419" s="115"/>
      <c r="R419" s="307"/>
      <c r="S419" s="307"/>
      <c r="T419" s="307"/>
      <c r="U419" s="307"/>
      <c r="V419" s="307"/>
      <c r="W419" s="307"/>
      <c r="X419" s="307"/>
      <c r="Y419" s="169"/>
    </row>
    <row r="420" spans="5:25" s="114" customFormat="1">
      <c r="E420" s="168"/>
      <c r="F420" s="115"/>
      <c r="J420" s="306"/>
      <c r="K420" s="306"/>
      <c r="P420" s="168"/>
      <c r="Q420" s="115"/>
      <c r="R420" s="307"/>
      <c r="S420" s="307"/>
      <c r="T420" s="307"/>
      <c r="U420" s="307"/>
      <c r="V420" s="307"/>
      <c r="W420" s="307"/>
      <c r="X420" s="307"/>
      <c r="Y420" s="169"/>
    </row>
    <row r="421" spans="5:25" s="114" customFormat="1">
      <c r="E421" s="168"/>
      <c r="F421" s="115"/>
      <c r="J421" s="306"/>
      <c r="K421" s="306"/>
      <c r="P421" s="168"/>
      <c r="Q421" s="115"/>
      <c r="R421" s="307"/>
      <c r="S421" s="307"/>
      <c r="T421" s="307"/>
      <c r="U421" s="307"/>
      <c r="V421" s="307"/>
      <c r="W421" s="307"/>
      <c r="X421" s="307"/>
      <c r="Y421" s="169"/>
    </row>
    <row r="422" spans="5:25" s="114" customFormat="1">
      <c r="E422" s="168"/>
      <c r="F422" s="115"/>
      <c r="J422" s="306"/>
      <c r="K422" s="306"/>
      <c r="P422" s="168"/>
      <c r="Q422" s="115"/>
      <c r="R422" s="307"/>
      <c r="S422" s="307"/>
      <c r="T422" s="307"/>
      <c r="U422" s="307"/>
      <c r="V422" s="307"/>
      <c r="W422" s="307"/>
      <c r="X422" s="307"/>
      <c r="Y422" s="169"/>
    </row>
    <row r="423" spans="5:25" s="114" customFormat="1">
      <c r="E423" s="168"/>
      <c r="F423" s="115"/>
      <c r="J423" s="306"/>
      <c r="K423" s="306"/>
      <c r="P423" s="168"/>
      <c r="Q423" s="115"/>
      <c r="R423" s="307"/>
      <c r="S423" s="307"/>
      <c r="T423" s="307"/>
      <c r="U423" s="307"/>
      <c r="V423" s="307"/>
      <c r="W423" s="307"/>
      <c r="X423" s="307"/>
      <c r="Y423" s="169"/>
    </row>
    <row r="424" spans="5:25" s="114" customFormat="1">
      <c r="E424" s="168"/>
      <c r="F424" s="115"/>
      <c r="J424" s="306"/>
      <c r="K424" s="306"/>
      <c r="P424" s="168"/>
      <c r="Q424" s="115"/>
      <c r="R424" s="307"/>
      <c r="S424" s="307"/>
      <c r="T424" s="307"/>
      <c r="U424" s="307"/>
      <c r="V424" s="307"/>
      <c r="W424" s="307"/>
      <c r="X424" s="307"/>
      <c r="Y424" s="169"/>
    </row>
    <row r="425" spans="5:25" s="114" customFormat="1">
      <c r="E425" s="168"/>
      <c r="F425" s="115"/>
      <c r="J425" s="306"/>
      <c r="K425" s="306"/>
      <c r="P425" s="168"/>
      <c r="Q425" s="115"/>
      <c r="R425" s="307"/>
      <c r="S425" s="307"/>
      <c r="T425" s="307"/>
      <c r="U425" s="307"/>
      <c r="V425" s="307"/>
      <c r="W425" s="307"/>
      <c r="X425" s="307"/>
      <c r="Y425" s="169"/>
    </row>
    <row r="426" spans="5:25" s="114" customFormat="1">
      <c r="E426" s="168"/>
      <c r="F426" s="115"/>
      <c r="J426" s="306"/>
      <c r="K426" s="306"/>
      <c r="P426" s="168"/>
      <c r="Q426" s="115"/>
      <c r="R426" s="307"/>
      <c r="S426" s="307"/>
      <c r="T426" s="307"/>
      <c r="U426" s="307"/>
      <c r="V426" s="307"/>
      <c r="W426" s="307"/>
      <c r="X426" s="307"/>
      <c r="Y426" s="169"/>
    </row>
    <row r="427" spans="5:25" s="114" customFormat="1">
      <c r="E427" s="168"/>
      <c r="F427" s="115"/>
      <c r="J427" s="306"/>
      <c r="K427" s="306"/>
      <c r="P427" s="168"/>
      <c r="Q427" s="115"/>
      <c r="R427" s="307"/>
      <c r="S427" s="307"/>
      <c r="T427" s="307"/>
      <c r="U427" s="307"/>
      <c r="V427" s="307"/>
      <c r="W427" s="307"/>
      <c r="X427" s="307"/>
      <c r="Y427" s="169"/>
    </row>
    <row r="428" spans="5:25" s="114" customFormat="1">
      <c r="E428" s="168"/>
      <c r="F428" s="115"/>
      <c r="J428" s="306"/>
      <c r="K428" s="306"/>
      <c r="P428" s="168"/>
      <c r="Q428" s="115"/>
      <c r="R428" s="307"/>
      <c r="S428" s="307"/>
      <c r="T428" s="307"/>
      <c r="U428" s="307"/>
      <c r="V428" s="307"/>
      <c r="W428" s="307"/>
      <c r="X428" s="307"/>
      <c r="Y428" s="169"/>
    </row>
    <row r="429" spans="5:25" s="114" customFormat="1">
      <c r="E429" s="168"/>
      <c r="F429" s="115"/>
      <c r="J429" s="306"/>
      <c r="K429" s="306"/>
      <c r="P429" s="168"/>
      <c r="Q429" s="115"/>
      <c r="R429" s="307"/>
      <c r="S429" s="307"/>
      <c r="T429" s="307"/>
      <c r="U429" s="307"/>
      <c r="V429" s="307"/>
      <c r="W429" s="307"/>
      <c r="X429" s="307"/>
      <c r="Y429" s="169"/>
    </row>
    <row r="430" spans="5:25" s="114" customFormat="1">
      <c r="E430" s="168"/>
      <c r="F430" s="115"/>
      <c r="J430" s="306"/>
      <c r="K430" s="306"/>
      <c r="P430" s="168"/>
      <c r="Q430" s="115"/>
      <c r="R430" s="307"/>
      <c r="S430" s="307"/>
      <c r="T430" s="307"/>
      <c r="U430" s="307"/>
      <c r="V430" s="307"/>
      <c r="W430" s="307"/>
      <c r="X430" s="307"/>
      <c r="Y430" s="169"/>
    </row>
    <row r="431" spans="5:25" s="114" customFormat="1">
      <c r="E431" s="168"/>
      <c r="F431" s="115"/>
      <c r="J431" s="306"/>
      <c r="K431" s="306"/>
      <c r="P431" s="168"/>
      <c r="Q431" s="115"/>
      <c r="R431" s="307"/>
      <c r="S431" s="307"/>
      <c r="T431" s="307"/>
      <c r="U431" s="307"/>
      <c r="V431" s="307"/>
      <c r="W431" s="307"/>
      <c r="X431" s="307"/>
      <c r="Y431" s="169"/>
    </row>
    <row r="432" spans="5:25" s="114" customFormat="1">
      <c r="E432" s="168"/>
      <c r="F432" s="115"/>
      <c r="J432" s="306"/>
      <c r="K432" s="306"/>
      <c r="P432" s="168"/>
      <c r="Q432" s="115"/>
      <c r="R432" s="307"/>
      <c r="S432" s="307"/>
      <c r="T432" s="307"/>
      <c r="U432" s="307"/>
      <c r="V432" s="307"/>
      <c r="W432" s="307"/>
      <c r="X432" s="307"/>
      <c r="Y432" s="169"/>
    </row>
    <row r="433" spans="5:25" s="114" customFormat="1">
      <c r="E433" s="168"/>
      <c r="F433" s="115"/>
      <c r="J433" s="306"/>
      <c r="K433" s="306"/>
      <c r="P433" s="168"/>
      <c r="Q433" s="115"/>
      <c r="R433" s="307"/>
      <c r="S433" s="307"/>
      <c r="T433" s="307"/>
      <c r="U433" s="307"/>
      <c r="V433" s="307"/>
      <c r="W433" s="307"/>
      <c r="X433" s="307"/>
      <c r="Y433" s="169"/>
    </row>
    <row r="434" spans="5:25" s="114" customFormat="1">
      <c r="E434" s="168"/>
      <c r="F434" s="115"/>
      <c r="J434" s="306"/>
      <c r="K434" s="306"/>
      <c r="P434" s="168"/>
      <c r="Q434" s="115"/>
      <c r="R434" s="307"/>
      <c r="S434" s="307"/>
      <c r="T434" s="307"/>
      <c r="U434" s="307"/>
      <c r="V434" s="307"/>
      <c r="W434" s="307"/>
      <c r="X434" s="307"/>
      <c r="Y434" s="169"/>
    </row>
    <row r="435" spans="5:25" s="114" customFormat="1">
      <c r="E435" s="168"/>
      <c r="F435" s="115"/>
      <c r="J435" s="306"/>
      <c r="K435" s="306"/>
      <c r="P435" s="168"/>
      <c r="Q435" s="115"/>
      <c r="R435" s="307"/>
      <c r="S435" s="307"/>
      <c r="T435" s="307"/>
      <c r="U435" s="307"/>
      <c r="V435" s="307"/>
      <c r="W435" s="307"/>
      <c r="X435" s="307"/>
      <c r="Y435" s="169"/>
    </row>
    <row r="436" spans="5:25" s="114" customFormat="1">
      <c r="E436" s="168"/>
      <c r="F436" s="115"/>
      <c r="J436" s="306"/>
      <c r="K436" s="306"/>
      <c r="P436" s="168"/>
      <c r="Q436" s="115"/>
      <c r="R436" s="307"/>
      <c r="S436" s="307"/>
      <c r="T436" s="307"/>
      <c r="U436" s="307"/>
      <c r="V436" s="307"/>
      <c r="W436" s="307"/>
      <c r="X436" s="307"/>
      <c r="Y436" s="169"/>
    </row>
    <row r="437" spans="5:25" s="114" customFormat="1">
      <c r="E437" s="168"/>
      <c r="F437" s="115"/>
      <c r="J437" s="306"/>
      <c r="K437" s="306"/>
      <c r="P437" s="168"/>
      <c r="Q437" s="115"/>
      <c r="R437" s="307"/>
      <c r="S437" s="307"/>
      <c r="T437" s="307"/>
      <c r="U437" s="307"/>
      <c r="V437" s="307"/>
      <c r="W437" s="307"/>
      <c r="X437" s="307"/>
      <c r="Y437" s="169"/>
    </row>
    <row r="438" spans="5:25" s="114" customFormat="1">
      <c r="E438" s="168"/>
      <c r="F438" s="115"/>
      <c r="J438" s="306"/>
      <c r="K438" s="306"/>
      <c r="P438" s="168"/>
      <c r="Q438" s="115"/>
      <c r="R438" s="307"/>
      <c r="S438" s="307"/>
      <c r="T438" s="307"/>
      <c r="U438" s="307"/>
      <c r="V438" s="307"/>
      <c r="W438" s="307"/>
      <c r="X438" s="307"/>
      <c r="Y438" s="169"/>
    </row>
    <row r="439" spans="5:25" s="114" customFormat="1">
      <c r="E439" s="168"/>
      <c r="F439" s="115"/>
      <c r="J439" s="306"/>
      <c r="K439" s="306"/>
      <c r="P439" s="168"/>
      <c r="Q439" s="115"/>
      <c r="R439" s="307"/>
      <c r="S439" s="307"/>
      <c r="T439" s="307"/>
      <c r="U439" s="307"/>
      <c r="V439" s="307"/>
      <c r="W439" s="307"/>
      <c r="X439" s="307"/>
      <c r="Y439" s="169"/>
    </row>
    <row r="440" spans="5:25" s="114" customFormat="1">
      <c r="E440" s="168"/>
      <c r="F440" s="115"/>
      <c r="J440" s="306"/>
      <c r="K440" s="306"/>
      <c r="P440" s="168"/>
      <c r="Q440" s="115"/>
      <c r="R440" s="307"/>
      <c r="S440" s="307"/>
      <c r="T440" s="307"/>
      <c r="U440" s="307"/>
      <c r="V440" s="307"/>
      <c r="W440" s="307"/>
      <c r="X440" s="307"/>
      <c r="Y440" s="169"/>
    </row>
    <row r="441" spans="5:25" s="114" customFormat="1">
      <c r="E441" s="168"/>
      <c r="F441" s="115"/>
      <c r="J441" s="306"/>
      <c r="K441" s="306"/>
      <c r="P441" s="168"/>
      <c r="Q441" s="115"/>
      <c r="R441" s="307"/>
      <c r="S441" s="307"/>
      <c r="T441" s="307"/>
      <c r="U441" s="307"/>
      <c r="V441" s="307"/>
      <c r="W441" s="307"/>
      <c r="X441" s="307"/>
      <c r="Y441" s="169"/>
    </row>
    <row r="442" spans="5:25" s="114" customFormat="1">
      <c r="E442" s="168"/>
      <c r="F442" s="115"/>
      <c r="J442" s="306"/>
      <c r="K442" s="306"/>
      <c r="P442" s="168"/>
      <c r="Q442" s="115"/>
      <c r="R442" s="307"/>
      <c r="S442" s="307"/>
      <c r="T442" s="307"/>
      <c r="U442" s="307"/>
      <c r="V442" s="307"/>
      <c r="W442" s="307"/>
      <c r="X442" s="307"/>
      <c r="Y442" s="169"/>
    </row>
    <row r="443" spans="5:25" s="114" customFormat="1">
      <c r="E443" s="168"/>
      <c r="F443" s="115"/>
      <c r="J443" s="306"/>
      <c r="K443" s="306"/>
      <c r="P443" s="168"/>
      <c r="Q443" s="115"/>
      <c r="R443" s="307"/>
      <c r="S443" s="307"/>
      <c r="T443" s="307"/>
      <c r="U443" s="307"/>
      <c r="V443" s="307"/>
      <c r="W443" s="307"/>
      <c r="X443" s="307"/>
      <c r="Y443" s="169"/>
    </row>
    <row r="444" spans="5:25" s="114" customFormat="1">
      <c r="E444" s="168"/>
      <c r="F444" s="115"/>
      <c r="J444" s="306"/>
      <c r="K444" s="306"/>
      <c r="P444" s="168"/>
      <c r="Q444" s="115"/>
      <c r="R444" s="307"/>
      <c r="S444" s="307"/>
      <c r="T444" s="307"/>
      <c r="U444" s="307"/>
      <c r="V444" s="307"/>
      <c r="W444" s="307"/>
      <c r="X444" s="307"/>
      <c r="Y444" s="169"/>
    </row>
    <row r="445" spans="5:25" s="114" customFormat="1">
      <c r="E445" s="168"/>
      <c r="F445" s="115"/>
      <c r="J445" s="306"/>
      <c r="K445" s="306"/>
      <c r="P445" s="168"/>
      <c r="Q445" s="115"/>
      <c r="R445" s="307"/>
      <c r="S445" s="307"/>
      <c r="T445" s="307"/>
      <c r="U445" s="307"/>
      <c r="V445" s="307"/>
      <c r="W445" s="307"/>
      <c r="X445" s="307"/>
      <c r="Y445" s="169"/>
    </row>
    <row r="446" spans="5:25" s="114" customFormat="1">
      <c r="E446" s="168"/>
      <c r="F446" s="115"/>
      <c r="J446" s="306"/>
      <c r="K446" s="306"/>
      <c r="P446" s="168"/>
      <c r="Q446" s="115"/>
      <c r="R446" s="307"/>
      <c r="S446" s="307"/>
      <c r="T446" s="307"/>
      <c r="U446" s="307"/>
      <c r="V446" s="307"/>
      <c r="W446" s="307"/>
      <c r="X446" s="307"/>
      <c r="Y446" s="169"/>
    </row>
    <row r="447" spans="5:25" s="114" customFormat="1">
      <c r="E447" s="168"/>
      <c r="F447" s="115"/>
      <c r="J447" s="306"/>
      <c r="K447" s="306"/>
      <c r="P447" s="168"/>
      <c r="Q447" s="115"/>
      <c r="R447" s="307"/>
      <c r="S447" s="307"/>
      <c r="T447" s="307"/>
      <c r="U447" s="307"/>
      <c r="V447" s="307"/>
      <c r="W447" s="307"/>
      <c r="X447" s="307"/>
      <c r="Y447" s="169"/>
    </row>
    <row r="448" spans="5:25" s="114" customFormat="1">
      <c r="E448" s="168"/>
      <c r="F448" s="115"/>
      <c r="J448" s="306"/>
      <c r="K448" s="306"/>
      <c r="P448" s="168"/>
      <c r="Q448" s="115"/>
      <c r="R448" s="307"/>
      <c r="S448" s="307"/>
      <c r="T448" s="307"/>
      <c r="U448" s="307"/>
      <c r="V448" s="307"/>
      <c r="W448" s="307"/>
      <c r="X448" s="307"/>
      <c r="Y448" s="169"/>
    </row>
    <row r="449" spans="5:25" s="114" customFormat="1">
      <c r="E449" s="168"/>
      <c r="F449" s="115"/>
      <c r="J449" s="306"/>
      <c r="K449" s="306"/>
      <c r="P449" s="168"/>
      <c r="Q449" s="115"/>
      <c r="R449" s="307"/>
      <c r="S449" s="307"/>
      <c r="T449" s="307"/>
      <c r="U449" s="307"/>
      <c r="V449" s="307"/>
      <c r="W449" s="307"/>
      <c r="X449" s="307"/>
      <c r="Y449" s="169"/>
    </row>
    <row r="450" spans="5:25" s="114" customFormat="1">
      <c r="E450" s="168"/>
      <c r="F450" s="115"/>
      <c r="J450" s="306"/>
      <c r="K450" s="306"/>
      <c r="P450" s="168"/>
      <c r="Q450" s="115"/>
      <c r="R450" s="307"/>
      <c r="S450" s="307"/>
      <c r="T450" s="307"/>
      <c r="U450" s="307"/>
      <c r="V450" s="307"/>
      <c r="W450" s="307"/>
      <c r="X450" s="307"/>
      <c r="Y450" s="169"/>
    </row>
    <row r="451" spans="5:25" s="114" customFormat="1">
      <c r="E451" s="168"/>
      <c r="F451" s="115"/>
      <c r="J451" s="306"/>
      <c r="K451" s="306"/>
      <c r="P451" s="168"/>
      <c r="Q451" s="115"/>
      <c r="R451" s="307"/>
      <c r="S451" s="307"/>
      <c r="T451" s="307"/>
      <c r="U451" s="307"/>
      <c r="V451" s="307"/>
      <c r="W451" s="307"/>
      <c r="X451" s="307"/>
      <c r="Y451" s="169"/>
    </row>
    <row r="452" spans="5:25" s="114" customFormat="1">
      <c r="E452" s="168"/>
      <c r="F452" s="115"/>
      <c r="J452" s="306"/>
      <c r="K452" s="306"/>
      <c r="P452" s="168"/>
      <c r="Q452" s="115"/>
      <c r="R452" s="307"/>
      <c r="S452" s="307"/>
      <c r="T452" s="307"/>
      <c r="U452" s="307"/>
      <c r="V452" s="307"/>
      <c r="W452" s="307"/>
      <c r="X452" s="307"/>
      <c r="Y452" s="169"/>
    </row>
    <row r="453" spans="5:25" s="114" customFormat="1">
      <c r="E453" s="168"/>
      <c r="F453" s="115"/>
      <c r="J453" s="306"/>
      <c r="K453" s="306"/>
      <c r="P453" s="168"/>
      <c r="Q453" s="115"/>
      <c r="R453" s="307"/>
      <c r="S453" s="307"/>
      <c r="T453" s="307"/>
      <c r="U453" s="307"/>
      <c r="V453" s="307"/>
      <c r="W453" s="307"/>
      <c r="X453" s="307"/>
      <c r="Y453" s="169"/>
    </row>
    <row r="454" spans="5:25" s="114" customFormat="1">
      <c r="E454" s="168"/>
      <c r="F454" s="115"/>
      <c r="J454" s="306"/>
      <c r="K454" s="306"/>
      <c r="P454" s="168"/>
      <c r="Q454" s="115"/>
      <c r="R454" s="307"/>
      <c r="S454" s="307"/>
      <c r="T454" s="307"/>
      <c r="U454" s="307"/>
      <c r="V454" s="307"/>
      <c r="W454" s="307"/>
      <c r="X454" s="307"/>
      <c r="Y454" s="169"/>
    </row>
    <row r="455" spans="5:25" s="114" customFormat="1">
      <c r="E455" s="168"/>
      <c r="F455" s="115"/>
      <c r="J455" s="306"/>
      <c r="K455" s="306"/>
      <c r="P455" s="168"/>
      <c r="Q455" s="115"/>
      <c r="R455" s="307"/>
      <c r="S455" s="307"/>
      <c r="T455" s="307"/>
      <c r="U455" s="307"/>
      <c r="V455" s="307"/>
      <c r="W455" s="307"/>
      <c r="X455" s="307"/>
      <c r="Y455" s="169"/>
    </row>
    <row r="456" spans="5:25" s="114" customFormat="1">
      <c r="E456" s="168"/>
      <c r="F456" s="115"/>
      <c r="J456" s="306"/>
      <c r="K456" s="306"/>
      <c r="P456" s="168"/>
      <c r="Q456" s="115"/>
      <c r="R456" s="307"/>
      <c r="S456" s="307"/>
      <c r="T456" s="307"/>
      <c r="U456" s="307"/>
      <c r="V456" s="307"/>
      <c r="W456" s="307"/>
      <c r="X456" s="307"/>
      <c r="Y456" s="169"/>
    </row>
    <row r="457" spans="5:25" s="114" customFormat="1">
      <c r="E457" s="168"/>
      <c r="F457" s="115"/>
      <c r="J457" s="306"/>
      <c r="K457" s="306"/>
      <c r="P457" s="168"/>
      <c r="Q457" s="115"/>
      <c r="R457" s="307"/>
      <c r="S457" s="307"/>
      <c r="T457" s="307"/>
      <c r="U457" s="307"/>
      <c r="V457" s="307"/>
      <c r="W457" s="307"/>
      <c r="X457" s="307"/>
      <c r="Y457" s="169"/>
    </row>
    <row r="458" spans="5:25" s="114" customFormat="1">
      <c r="E458" s="168"/>
      <c r="F458" s="115"/>
      <c r="J458" s="306"/>
      <c r="K458" s="306"/>
      <c r="P458" s="168"/>
      <c r="Q458" s="115"/>
      <c r="R458" s="307"/>
      <c r="S458" s="307"/>
      <c r="T458" s="307"/>
      <c r="U458" s="307"/>
      <c r="V458" s="307"/>
      <c r="W458" s="307"/>
      <c r="X458" s="307"/>
      <c r="Y458" s="169"/>
    </row>
    <row r="459" spans="5:25" s="114" customFormat="1">
      <c r="E459" s="168"/>
      <c r="F459" s="115"/>
      <c r="J459" s="306"/>
      <c r="K459" s="306"/>
      <c r="P459" s="168"/>
      <c r="Q459" s="115"/>
      <c r="R459" s="307"/>
      <c r="S459" s="307"/>
      <c r="T459" s="307"/>
      <c r="U459" s="307"/>
      <c r="V459" s="307"/>
      <c r="W459" s="307"/>
      <c r="X459" s="307"/>
      <c r="Y459" s="169"/>
    </row>
    <row r="460" spans="5:25" s="114" customFormat="1">
      <c r="E460" s="168"/>
      <c r="F460" s="115"/>
      <c r="J460" s="306"/>
      <c r="K460" s="306"/>
      <c r="P460" s="168"/>
      <c r="Q460" s="115"/>
      <c r="R460" s="307"/>
      <c r="S460" s="307"/>
      <c r="T460" s="307"/>
      <c r="U460" s="307"/>
      <c r="V460" s="307"/>
      <c r="W460" s="307"/>
      <c r="X460" s="307"/>
      <c r="Y460" s="169"/>
    </row>
    <row r="461" spans="5:25" s="114" customFormat="1">
      <c r="E461" s="168"/>
      <c r="F461" s="115"/>
      <c r="J461" s="306"/>
      <c r="K461" s="306"/>
      <c r="P461" s="168"/>
      <c r="Q461" s="115"/>
      <c r="R461" s="307"/>
      <c r="S461" s="307"/>
      <c r="T461" s="307"/>
      <c r="U461" s="307"/>
      <c r="V461" s="307"/>
      <c r="W461" s="307"/>
      <c r="X461" s="307"/>
      <c r="Y461" s="169"/>
    </row>
    <row r="462" spans="5:25" s="114" customFormat="1">
      <c r="E462" s="168"/>
      <c r="F462" s="115"/>
      <c r="J462" s="306"/>
      <c r="K462" s="306"/>
      <c r="P462" s="168"/>
      <c r="Q462" s="115"/>
      <c r="R462" s="307"/>
      <c r="S462" s="307"/>
      <c r="T462" s="307"/>
      <c r="U462" s="307"/>
      <c r="V462" s="307"/>
      <c r="W462" s="307"/>
      <c r="X462" s="307"/>
      <c r="Y462" s="169"/>
    </row>
    <row r="463" spans="5:25" s="114" customFormat="1">
      <c r="E463" s="168"/>
      <c r="F463" s="115"/>
      <c r="J463" s="306"/>
      <c r="K463" s="306"/>
      <c r="P463" s="168"/>
      <c r="Q463" s="115"/>
      <c r="R463" s="307"/>
      <c r="S463" s="307"/>
      <c r="T463" s="307"/>
      <c r="U463" s="307"/>
      <c r="V463" s="307"/>
      <c r="W463" s="307"/>
      <c r="X463" s="307"/>
      <c r="Y463" s="169"/>
    </row>
    <row r="464" spans="5:25" s="114" customFormat="1">
      <c r="E464" s="168"/>
      <c r="F464" s="115"/>
      <c r="J464" s="306"/>
      <c r="K464" s="306"/>
      <c r="P464" s="168"/>
      <c r="Q464" s="115"/>
      <c r="R464" s="307"/>
      <c r="S464" s="307"/>
      <c r="T464" s="307"/>
      <c r="U464" s="307"/>
      <c r="V464" s="307"/>
      <c r="W464" s="307"/>
      <c r="X464" s="307"/>
      <c r="Y464" s="169"/>
    </row>
    <row r="465" spans="5:25" s="114" customFormat="1">
      <c r="E465" s="168"/>
      <c r="F465" s="115"/>
      <c r="J465" s="306"/>
      <c r="K465" s="306"/>
      <c r="P465" s="168"/>
      <c r="Q465" s="115"/>
      <c r="R465" s="307"/>
      <c r="S465" s="307"/>
      <c r="T465" s="307"/>
      <c r="U465" s="307"/>
      <c r="V465" s="307"/>
      <c r="W465" s="307"/>
      <c r="X465" s="307"/>
      <c r="Y465" s="169"/>
    </row>
    <row r="466" spans="5:25" s="114" customFormat="1">
      <c r="E466" s="168"/>
      <c r="F466" s="115"/>
      <c r="J466" s="306"/>
      <c r="K466" s="306"/>
      <c r="P466" s="168"/>
      <c r="Q466" s="115"/>
      <c r="R466" s="307"/>
      <c r="S466" s="307"/>
      <c r="T466" s="307"/>
      <c r="U466" s="307"/>
      <c r="V466" s="307"/>
      <c r="W466" s="307"/>
      <c r="X466" s="307"/>
      <c r="Y466" s="169"/>
    </row>
    <row r="467" spans="5:25" s="114" customFormat="1">
      <c r="E467" s="168"/>
      <c r="F467" s="115"/>
      <c r="J467" s="306"/>
      <c r="K467" s="306"/>
      <c r="P467" s="168"/>
      <c r="Q467" s="115"/>
      <c r="R467" s="307"/>
      <c r="S467" s="307"/>
      <c r="T467" s="307"/>
      <c r="U467" s="307"/>
      <c r="V467" s="307"/>
      <c r="W467" s="307"/>
      <c r="X467" s="307"/>
      <c r="Y467" s="169"/>
    </row>
    <row r="468" spans="5:25" s="114" customFormat="1">
      <c r="E468" s="168"/>
      <c r="F468" s="115"/>
      <c r="J468" s="306"/>
      <c r="K468" s="306"/>
      <c r="P468" s="168"/>
      <c r="Q468" s="115"/>
      <c r="R468" s="307"/>
      <c r="S468" s="307"/>
      <c r="T468" s="307"/>
      <c r="U468" s="307"/>
      <c r="V468" s="307"/>
      <c r="W468" s="307"/>
      <c r="X468" s="307"/>
      <c r="Y468" s="169"/>
    </row>
    <row r="469" spans="5:25" s="114" customFormat="1">
      <c r="E469" s="168"/>
      <c r="F469" s="115"/>
      <c r="J469" s="306"/>
      <c r="K469" s="306"/>
      <c r="P469" s="168"/>
      <c r="Q469" s="115"/>
      <c r="R469" s="307"/>
      <c r="S469" s="307"/>
      <c r="T469" s="307"/>
      <c r="U469" s="307"/>
      <c r="V469" s="307"/>
      <c r="W469" s="307"/>
      <c r="X469" s="307"/>
      <c r="Y469" s="169"/>
    </row>
    <row r="470" spans="5:25" s="114" customFormat="1">
      <c r="E470" s="168"/>
      <c r="F470" s="115"/>
      <c r="J470" s="306"/>
      <c r="K470" s="306"/>
      <c r="P470" s="168"/>
      <c r="Q470" s="115"/>
      <c r="R470" s="307"/>
      <c r="S470" s="307"/>
      <c r="T470" s="307"/>
      <c r="U470" s="307"/>
      <c r="V470" s="307"/>
      <c r="W470" s="307"/>
      <c r="X470" s="307"/>
      <c r="Y470" s="169"/>
    </row>
    <row r="471" spans="5:25" s="114" customFormat="1">
      <c r="E471" s="168"/>
      <c r="F471" s="115"/>
      <c r="J471" s="306"/>
      <c r="K471" s="306"/>
      <c r="P471" s="168"/>
      <c r="Q471" s="115"/>
      <c r="R471" s="307"/>
      <c r="S471" s="307"/>
      <c r="T471" s="307"/>
      <c r="U471" s="307"/>
      <c r="V471" s="307"/>
      <c r="W471" s="307"/>
      <c r="X471" s="307"/>
      <c r="Y471" s="169"/>
    </row>
    <row r="472" spans="5:25" s="114" customFormat="1">
      <c r="E472" s="168"/>
      <c r="F472" s="115"/>
      <c r="J472" s="306"/>
      <c r="K472" s="306"/>
      <c r="P472" s="168"/>
      <c r="Q472" s="115"/>
      <c r="R472" s="307"/>
      <c r="S472" s="307"/>
      <c r="T472" s="307"/>
      <c r="U472" s="307"/>
      <c r="V472" s="307"/>
      <c r="W472" s="307"/>
      <c r="X472" s="307"/>
      <c r="Y472" s="169"/>
    </row>
    <row r="473" spans="5:25" s="114" customFormat="1">
      <c r="E473" s="168"/>
      <c r="F473" s="115"/>
      <c r="J473" s="306"/>
      <c r="K473" s="306"/>
      <c r="P473" s="168"/>
      <c r="Q473" s="115"/>
      <c r="R473" s="307"/>
      <c r="S473" s="307"/>
      <c r="T473" s="307"/>
      <c r="U473" s="307"/>
      <c r="V473" s="307"/>
      <c r="W473" s="307"/>
      <c r="X473" s="307"/>
      <c r="Y473" s="169"/>
    </row>
    <row r="474" spans="5:25" s="114" customFormat="1">
      <c r="E474" s="168"/>
      <c r="F474" s="115"/>
      <c r="J474" s="306"/>
      <c r="K474" s="306"/>
      <c r="P474" s="168"/>
      <c r="Q474" s="115"/>
      <c r="R474" s="307"/>
      <c r="S474" s="307"/>
      <c r="T474" s="307"/>
      <c r="U474" s="307"/>
      <c r="V474" s="307"/>
      <c r="W474" s="307"/>
      <c r="X474" s="307"/>
      <c r="Y474" s="169"/>
    </row>
    <row r="475" spans="5:25" s="114" customFormat="1">
      <c r="E475" s="168"/>
      <c r="F475" s="115"/>
      <c r="J475" s="306"/>
      <c r="K475" s="306"/>
      <c r="P475" s="168"/>
      <c r="Q475" s="115"/>
      <c r="R475" s="307"/>
      <c r="S475" s="307"/>
      <c r="T475" s="307"/>
      <c r="U475" s="307"/>
      <c r="V475" s="307"/>
      <c r="W475" s="307"/>
      <c r="X475" s="307"/>
      <c r="Y475" s="169"/>
    </row>
    <row r="476" spans="5:25" s="114" customFormat="1">
      <c r="E476" s="168"/>
      <c r="F476" s="115"/>
      <c r="J476" s="306"/>
      <c r="K476" s="306"/>
      <c r="P476" s="168"/>
      <c r="Q476" s="115"/>
      <c r="R476" s="307"/>
      <c r="S476" s="307"/>
      <c r="T476" s="307"/>
      <c r="U476" s="307"/>
      <c r="V476" s="307"/>
      <c r="W476" s="307"/>
      <c r="X476" s="307"/>
      <c r="Y476" s="169"/>
    </row>
    <row r="477" spans="5:25" s="114" customFormat="1">
      <c r="E477" s="168"/>
      <c r="F477" s="115"/>
      <c r="J477" s="306"/>
      <c r="K477" s="306"/>
      <c r="P477" s="168"/>
      <c r="Q477" s="115"/>
      <c r="R477" s="307"/>
      <c r="S477" s="307"/>
      <c r="T477" s="307"/>
      <c r="U477" s="307"/>
      <c r="V477" s="307"/>
      <c r="W477" s="307"/>
      <c r="X477" s="307"/>
      <c r="Y477" s="169"/>
    </row>
    <row r="478" spans="5:25" s="114" customFormat="1">
      <c r="E478" s="168"/>
      <c r="F478" s="115"/>
      <c r="J478" s="306"/>
      <c r="K478" s="306"/>
      <c r="P478" s="168"/>
      <c r="Q478" s="115"/>
      <c r="R478" s="307"/>
      <c r="S478" s="307"/>
      <c r="T478" s="307"/>
      <c r="U478" s="307"/>
      <c r="V478" s="307"/>
      <c r="W478" s="307"/>
      <c r="X478" s="307"/>
      <c r="Y478" s="169"/>
    </row>
    <row r="479" spans="5:25" s="114" customFormat="1">
      <c r="E479" s="168"/>
      <c r="F479" s="115"/>
      <c r="J479" s="306"/>
      <c r="K479" s="306"/>
      <c r="P479" s="168"/>
      <c r="Q479" s="115"/>
      <c r="R479" s="307"/>
      <c r="S479" s="307"/>
      <c r="T479" s="307"/>
      <c r="U479" s="307"/>
      <c r="V479" s="307"/>
      <c r="W479" s="307"/>
      <c r="X479" s="307"/>
      <c r="Y479" s="169"/>
    </row>
    <row r="480" spans="5:25" s="114" customFormat="1">
      <c r="E480" s="168"/>
      <c r="F480" s="115"/>
      <c r="J480" s="306"/>
      <c r="K480" s="306"/>
      <c r="P480" s="168"/>
      <c r="Q480" s="115"/>
      <c r="R480" s="307"/>
      <c r="S480" s="307"/>
      <c r="T480" s="307"/>
      <c r="U480" s="307"/>
      <c r="V480" s="307"/>
      <c r="W480" s="307"/>
      <c r="X480" s="307"/>
      <c r="Y480" s="169"/>
    </row>
    <row r="481" spans="5:25" s="114" customFormat="1">
      <c r="E481" s="168"/>
      <c r="F481" s="115"/>
      <c r="J481" s="306"/>
      <c r="K481" s="306"/>
      <c r="P481" s="168"/>
      <c r="Q481" s="115"/>
      <c r="R481" s="307"/>
      <c r="S481" s="307"/>
      <c r="T481" s="307"/>
      <c r="U481" s="307"/>
      <c r="V481" s="307"/>
      <c r="W481" s="307"/>
      <c r="X481" s="307"/>
      <c r="Y481" s="169"/>
    </row>
    <row r="482" spans="5:25" s="114" customFormat="1">
      <c r="E482" s="168"/>
      <c r="F482" s="115"/>
      <c r="J482" s="306"/>
      <c r="K482" s="306"/>
      <c r="P482" s="168"/>
      <c r="Q482" s="115"/>
      <c r="R482" s="307"/>
      <c r="S482" s="307"/>
      <c r="T482" s="307"/>
      <c r="U482" s="307"/>
      <c r="V482" s="307"/>
      <c r="W482" s="307"/>
      <c r="X482" s="307"/>
      <c r="Y482" s="169"/>
    </row>
    <row r="483" spans="5:25" s="114" customFormat="1">
      <c r="E483" s="168"/>
      <c r="F483" s="115"/>
      <c r="J483" s="306"/>
      <c r="K483" s="306"/>
      <c r="P483" s="168"/>
      <c r="Q483" s="115"/>
      <c r="R483" s="307"/>
      <c r="S483" s="307"/>
      <c r="T483" s="307"/>
      <c r="U483" s="307"/>
      <c r="V483" s="307"/>
      <c r="W483" s="307"/>
      <c r="X483" s="307"/>
      <c r="Y483" s="169"/>
    </row>
    <row r="484" spans="5:25" s="114" customFormat="1">
      <c r="E484" s="168"/>
      <c r="F484" s="115"/>
      <c r="J484" s="306"/>
      <c r="K484" s="306"/>
      <c r="P484" s="168"/>
      <c r="Q484" s="115"/>
      <c r="R484" s="307"/>
      <c r="S484" s="307"/>
      <c r="T484" s="307"/>
      <c r="U484" s="307"/>
      <c r="V484" s="307"/>
      <c r="W484" s="307"/>
      <c r="X484" s="307"/>
      <c r="Y484" s="169"/>
    </row>
    <row r="485" spans="5:25">
      <c r="R485" s="307"/>
      <c r="S485" s="307"/>
      <c r="T485" s="307"/>
      <c r="U485" s="307"/>
      <c r="V485" s="307"/>
      <c r="W485" s="307"/>
      <c r="X485" s="307"/>
    </row>
    <row r="486" spans="5:25">
      <c r="R486" s="307"/>
      <c r="S486" s="307"/>
      <c r="T486" s="307"/>
      <c r="U486" s="307"/>
      <c r="V486" s="307"/>
      <c r="W486" s="307"/>
      <c r="X486" s="307"/>
    </row>
    <row r="487" spans="5:25">
      <c r="W487" s="307"/>
      <c r="X487" s="307"/>
    </row>
  </sheetData>
  <sheetProtection formatCells="0" formatColumns="0" formatRows="0" insertColumns="0" insertRows="0" insertHyperlinks="0" deleteColumns="0" deleteRows="0" sort="0" autoFilter="0" pivotTables="0"/>
  <mergeCells count="71">
    <mergeCell ref="Y48:Y55"/>
    <mergeCell ref="Y84:Y91"/>
    <mergeCell ref="Y73:Y80"/>
    <mergeCell ref="Y26:Y33"/>
    <mergeCell ref="Y6:Y7"/>
    <mergeCell ref="Y44:Y45"/>
    <mergeCell ref="X57:X64"/>
    <mergeCell ref="V103:V109"/>
    <mergeCell ref="X99:X101"/>
    <mergeCell ref="V111:V119"/>
    <mergeCell ref="V35:V41"/>
    <mergeCell ref="X66:X70"/>
    <mergeCell ref="X73:X80"/>
    <mergeCell ref="X82:X91"/>
    <mergeCell ref="X93:X97"/>
    <mergeCell ref="X111:X119"/>
    <mergeCell ref="X6:X11"/>
    <mergeCell ref="X13:X16"/>
    <mergeCell ref="X18:X21"/>
    <mergeCell ref="X23:X33"/>
    <mergeCell ref="X35:X41"/>
    <mergeCell ref="I99:I101"/>
    <mergeCell ref="J99:J101"/>
    <mergeCell ref="K99:K101"/>
    <mergeCell ref="L99:L101"/>
    <mergeCell ref="J57:J64"/>
    <mergeCell ref="K57:K64"/>
    <mergeCell ref="I103:I109"/>
    <mergeCell ref="J103:J109"/>
    <mergeCell ref="X103:X109"/>
    <mergeCell ref="V121:V124"/>
    <mergeCell ref="V43:V55"/>
    <mergeCell ref="V66:V70"/>
    <mergeCell ref="V73:V80"/>
    <mergeCell ref="V82:V91"/>
    <mergeCell ref="V93:V97"/>
    <mergeCell ref="V57:V64"/>
    <mergeCell ref="X121:X124"/>
    <mergeCell ref="J82:J91"/>
    <mergeCell ref="J93:J97"/>
    <mergeCell ref="J111:J119"/>
    <mergeCell ref="J121:J124"/>
    <mergeCell ref="X43:X55"/>
    <mergeCell ref="S2:W2"/>
    <mergeCell ref="V6:V11"/>
    <mergeCell ref="V13:V16"/>
    <mergeCell ref="V18:V21"/>
    <mergeCell ref="V23:V33"/>
    <mergeCell ref="J23:J33"/>
    <mergeCell ref="J35:J41"/>
    <mergeCell ref="J43:J55"/>
    <mergeCell ref="J66:J70"/>
    <mergeCell ref="J73:J80"/>
    <mergeCell ref="B2:H2"/>
    <mergeCell ref="M2:R2"/>
    <mergeCell ref="J6:J11"/>
    <mergeCell ref="J13:J16"/>
    <mergeCell ref="J18:J21"/>
    <mergeCell ref="K6:K11"/>
    <mergeCell ref="K13:K16"/>
    <mergeCell ref="K18:K21"/>
    <mergeCell ref="K23:K33"/>
    <mergeCell ref="K35:K41"/>
    <mergeCell ref="K43:K55"/>
    <mergeCell ref="K66:K70"/>
    <mergeCell ref="K121:K124"/>
    <mergeCell ref="K73:K80"/>
    <mergeCell ref="K82:K91"/>
    <mergeCell ref="K93:K97"/>
    <mergeCell ref="K103:K109"/>
    <mergeCell ref="K111:K119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5:V41">
    <cfRule type="cellIs" dxfId="22" priority="2" operator="notEqual">
      <formula>0</formula>
    </cfRule>
  </conditionalFormatting>
  <conditionalFormatting sqref="W7:W26 W28:W31 W33:W34 W95:W102 W109:W110 W119:W124">
    <cfRule type="timePeriod" dxfId="21" priority="4" timePeriod="thisWeek">
      <formula>AND(TODAY()-ROUNDDOWN(W7,0)&lt;=WEEKDAY(TODAY())-1,ROUNDDOWN(W7,0)-TODAY()&lt;=7-WEEKDAY(TODAY()))</formula>
    </cfRule>
  </conditionalFormatting>
  <conditionalFormatting sqref="W38:W39 W41:W45 W47:W48 W50:W53 W55:W73 W75:W78 W80:W84 W86:W89 W91:W93">
    <cfRule type="timePeriod" dxfId="20" priority="1" timePeriod="thisWeek">
      <formula>AND(TODAY()-ROUNDDOWN(W38,0)&lt;=WEEKDAY(TODAY())-1,ROUNDDOWN(W38,0)-TODAY()&lt;=7-WEEKDAY(TODAY()))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W22"/>
  <sheetViews>
    <sheetView zoomScale="70" zoomScaleNormal="70" workbookViewId="0">
      <pane xSplit="5" ySplit="15" topLeftCell="BT34" activePane="bottomRight" state="frozen"/>
      <selection pane="topRight" activeCell="F1" sqref="F1"/>
      <selection pane="bottomLeft" activeCell="A22" sqref="A22"/>
      <selection pane="bottomRight" activeCell="D30" sqref="D30"/>
    </sheetView>
  </sheetViews>
  <sheetFormatPr defaultColWidth="9.453125" defaultRowHeight="14.5"/>
  <cols>
    <col min="1" max="1" width="9.453125" customWidth="1"/>
    <col min="2" max="2" width="34.54296875" customWidth="1"/>
    <col min="3" max="3" width="18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91" width="15.453125" bestFit="1" customWidth="1"/>
    <col min="92" max="92" width="9.453125" style="240"/>
  </cols>
  <sheetData>
    <row r="1" spans="1:569">
      <c r="D1" s="236" t="s">
        <v>410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" si="0">H1+7</f>
        <v>45509</v>
      </c>
      <c r="J1" s="239">
        <f t="shared" ref="J1" si="1">I1+7</f>
        <v>45516</v>
      </c>
      <c r="K1" s="239">
        <f t="shared" ref="K1" si="2">J1+7</f>
        <v>45523</v>
      </c>
      <c r="L1" s="239">
        <f t="shared" ref="L1" si="3">K1+7</f>
        <v>45530</v>
      </c>
      <c r="M1" s="239">
        <f t="shared" ref="M1" si="4">L1+7</f>
        <v>45537</v>
      </c>
      <c r="N1" s="239">
        <f t="shared" ref="N1" si="5">M1+7</f>
        <v>45544</v>
      </c>
      <c r="O1" s="239">
        <f t="shared" ref="O1" si="6">N1+7</f>
        <v>45551</v>
      </c>
      <c r="P1" s="239">
        <f t="shared" ref="P1" si="7">O1+7</f>
        <v>45558</v>
      </c>
      <c r="Q1" s="239">
        <f t="shared" ref="Q1" si="8">P1+7</f>
        <v>45565</v>
      </c>
      <c r="R1" s="239">
        <f t="shared" ref="R1" si="9">Q1+7</f>
        <v>45572</v>
      </c>
      <c r="S1" s="239">
        <f t="shared" ref="S1" si="10">R1+7</f>
        <v>45579</v>
      </c>
      <c r="T1" s="239">
        <f t="shared" ref="T1" si="11">S1+7</f>
        <v>45586</v>
      </c>
      <c r="U1" s="239">
        <f t="shared" ref="U1" si="12">T1+7</f>
        <v>45593</v>
      </c>
      <c r="V1" s="239">
        <f t="shared" ref="V1" si="13">U1+7</f>
        <v>45600</v>
      </c>
      <c r="W1" s="239">
        <f t="shared" ref="W1" si="14">V1+7</f>
        <v>45607</v>
      </c>
      <c r="X1" s="239">
        <f t="shared" ref="X1" si="15">W1+7</f>
        <v>45614</v>
      </c>
      <c r="Y1" s="239">
        <f t="shared" ref="Y1" si="16">X1+7</f>
        <v>45621</v>
      </c>
      <c r="Z1" s="239">
        <f t="shared" ref="Z1" si="17">Y1+7</f>
        <v>45628</v>
      </c>
      <c r="AA1" s="239">
        <f t="shared" ref="AA1" si="18">Z1+7</f>
        <v>45635</v>
      </c>
      <c r="AB1" s="239">
        <f t="shared" ref="AB1" si="19">AA1+7</f>
        <v>45642</v>
      </c>
      <c r="AC1" s="239">
        <f t="shared" ref="AC1" si="20">AB1+7</f>
        <v>45649</v>
      </c>
      <c r="AD1" s="239">
        <f t="shared" ref="AD1" si="21">AC1+7</f>
        <v>45656</v>
      </c>
      <c r="AE1" s="239">
        <f t="shared" ref="AE1" si="22">AD1+7</f>
        <v>45663</v>
      </c>
      <c r="AF1" s="239">
        <f t="shared" ref="AF1" si="23">AE1+7</f>
        <v>45670</v>
      </c>
      <c r="AG1" s="239">
        <f t="shared" ref="AG1" si="24">AF1+7</f>
        <v>45677</v>
      </c>
      <c r="AH1" s="239">
        <f t="shared" ref="AH1" si="25">AG1+7</f>
        <v>45684</v>
      </c>
      <c r="AI1" s="239">
        <f t="shared" ref="AI1" si="26">AH1+7</f>
        <v>45691</v>
      </c>
      <c r="AJ1" s="239">
        <f t="shared" ref="AJ1" si="27">AI1+7</f>
        <v>45698</v>
      </c>
      <c r="AK1" s="239">
        <f t="shared" ref="AK1" si="28">AJ1+7</f>
        <v>45705</v>
      </c>
      <c r="AL1" s="239">
        <f t="shared" ref="AL1" si="29">AK1+7</f>
        <v>45712</v>
      </c>
      <c r="AM1" s="239">
        <f t="shared" ref="AM1" si="30">AL1+7</f>
        <v>45719</v>
      </c>
      <c r="AN1" s="239">
        <f t="shared" ref="AN1" si="31">AM1+7</f>
        <v>45726</v>
      </c>
      <c r="AO1" s="239">
        <f t="shared" ref="AO1" si="32">AN1+7</f>
        <v>45733</v>
      </c>
      <c r="AP1" s="239">
        <f t="shared" ref="AP1" si="33">AO1+7</f>
        <v>45740</v>
      </c>
      <c r="AQ1" s="239">
        <f t="shared" ref="AQ1" si="34">AP1+7</f>
        <v>45747</v>
      </c>
      <c r="AR1" s="239">
        <f t="shared" ref="AR1" si="35">AQ1+7</f>
        <v>45754</v>
      </c>
      <c r="AS1" s="239">
        <f t="shared" ref="AS1" si="36">AR1+7</f>
        <v>45761</v>
      </c>
      <c r="AT1" s="239">
        <f t="shared" ref="AT1" si="37">AS1+7</f>
        <v>45768</v>
      </c>
      <c r="AU1" s="239">
        <f t="shared" ref="AU1" si="38">AT1+7</f>
        <v>45775</v>
      </c>
      <c r="AV1" s="239">
        <f t="shared" ref="AV1" si="39">AU1+7</f>
        <v>45782</v>
      </c>
      <c r="AW1" s="239">
        <f t="shared" ref="AW1" si="40">AV1+7</f>
        <v>45789</v>
      </c>
      <c r="AX1" s="239">
        <f t="shared" ref="AX1" si="41">AW1+7</f>
        <v>45796</v>
      </c>
      <c r="AY1" s="239">
        <f t="shared" ref="AY1" si="42">AX1+7</f>
        <v>45803</v>
      </c>
      <c r="AZ1" s="239">
        <f t="shared" ref="AZ1" si="43">AY1+7</f>
        <v>45810</v>
      </c>
      <c r="BA1" s="239">
        <f t="shared" ref="BA1" si="44">AZ1+7</f>
        <v>45817</v>
      </c>
      <c r="BB1" s="239">
        <f t="shared" ref="BB1" si="45">BA1+7</f>
        <v>45824</v>
      </c>
      <c r="BC1" s="239">
        <f t="shared" ref="BC1" si="46">BB1+7</f>
        <v>45831</v>
      </c>
      <c r="BD1" s="239">
        <f t="shared" ref="BD1" si="47">BC1+7</f>
        <v>45838</v>
      </c>
      <c r="BE1" s="239">
        <f t="shared" ref="BE1" si="48">BD1+7</f>
        <v>45845</v>
      </c>
      <c r="BF1" s="239">
        <f t="shared" ref="BF1" si="49">BE1+7</f>
        <v>45852</v>
      </c>
      <c r="BG1" s="239">
        <f t="shared" ref="BG1" si="50">BF1+7</f>
        <v>45859</v>
      </c>
      <c r="BH1" s="239">
        <f t="shared" ref="BH1" si="51">BG1+7</f>
        <v>45866</v>
      </c>
      <c r="BI1" s="239">
        <f t="shared" ref="BI1" si="52">BH1+7</f>
        <v>45873</v>
      </c>
      <c r="BJ1" s="239">
        <f t="shared" ref="BJ1" si="53">BI1+7</f>
        <v>45880</v>
      </c>
      <c r="BK1" s="239">
        <f t="shared" ref="BK1" si="54">BJ1+7</f>
        <v>45887</v>
      </c>
      <c r="BL1" s="239">
        <f t="shared" ref="BL1" si="55">BK1+7</f>
        <v>45894</v>
      </c>
      <c r="BM1" s="239">
        <f t="shared" ref="BM1" si="56">BL1+7</f>
        <v>45901</v>
      </c>
      <c r="BN1" s="239">
        <f t="shared" ref="BN1" si="57">BM1+7</f>
        <v>45908</v>
      </c>
      <c r="BO1" s="239">
        <f t="shared" ref="BO1" si="58">BN1+7</f>
        <v>45915</v>
      </c>
      <c r="BP1" s="239">
        <f t="shared" ref="BP1" si="59">BO1+7</f>
        <v>45922</v>
      </c>
      <c r="BQ1" s="239">
        <f t="shared" ref="BQ1" si="60">BP1+7</f>
        <v>45929</v>
      </c>
      <c r="BR1" s="239">
        <f t="shared" ref="BR1" si="61">BQ1+7</f>
        <v>45936</v>
      </c>
      <c r="BS1" s="239">
        <f t="shared" ref="BS1" si="62">BR1+7</f>
        <v>45943</v>
      </c>
      <c r="BT1" s="239">
        <f t="shared" ref="BT1" si="63">BS1+7</f>
        <v>45950</v>
      </c>
      <c r="BU1" s="239">
        <f t="shared" ref="BU1" si="64">BT1+7</f>
        <v>45957</v>
      </c>
      <c r="BV1" s="239">
        <f t="shared" ref="BV1" si="65">BU1+7</f>
        <v>45964</v>
      </c>
      <c r="BW1" s="239">
        <f t="shared" ref="BW1" si="66">BV1+7</f>
        <v>45971</v>
      </c>
      <c r="BX1" s="239">
        <f t="shared" ref="BX1" si="67">BW1+7</f>
        <v>45978</v>
      </c>
      <c r="BY1" s="239">
        <f t="shared" ref="BY1" si="68">BX1+7</f>
        <v>45985</v>
      </c>
      <c r="BZ1" s="239">
        <f t="shared" ref="BZ1" si="69">BY1+7</f>
        <v>45992</v>
      </c>
      <c r="CA1" s="239">
        <f t="shared" ref="CA1" si="70">BZ1+7</f>
        <v>45999</v>
      </c>
      <c r="CB1" s="239">
        <f t="shared" ref="CB1" si="71">CA1+7</f>
        <v>46006</v>
      </c>
      <c r="CC1" s="239">
        <f t="shared" ref="CC1" si="72">CB1+7</f>
        <v>46013</v>
      </c>
      <c r="CD1" s="239">
        <f t="shared" ref="CD1" si="73">CC1+7</f>
        <v>46020</v>
      </c>
      <c r="CE1" s="239">
        <f t="shared" ref="CE1" si="74">CD1+7</f>
        <v>46027</v>
      </c>
      <c r="CF1" s="239">
        <f t="shared" ref="CF1" si="75">CE1+7</f>
        <v>46034</v>
      </c>
      <c r="CG1" s="239">
        <f t="shared" ref="CG1" si="76">CF1+7</f>
        <v>46041</v>
      </c>
      <c r="CH1" s="239">
        <f t="shared" ref="CH1" si="77">CG1+7</f>
        <v>46048</v>
      </c>
      <c r="CI1" s="239">
        <f t="shared" ref="CI1" si="78">CH1+7</f>
        <v>46055</v>
      </c>
      <c r="CJ1" s="239">
        <f t="shared" ref="CJ1" si="79">CI1+7</f>
        <v>46062</v>
      </c>
      <c r="CK1" s="239">
        <f t="shared" ref="CK1" si="80">CJ1+7</f>
        <v>46069</v>
      </c>
      <c r="CL1" s="239">
        <f t="shared" ref="CL1" si="81">CK1+7</f>
        <v>46076</v>
      </c>
      <c r="CM1" s="239">
        <f t="shared" ref="CM1" si="82">CL1+7</f>
        <v>46083</v>
      </c>
    </row>
    <row r="2" spans="1:569" s="240" customFormat="1">
      <c r="A2" s="1000" t="s">
        <v>74</v>
      </c>
      <c r="B2" s="241"/>
      <c r="C2" s="242" t="s">
        <v>236</v>
      </c>
      <c r="D2" s="242" t="s">
        <v>236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</row>
    <row r="3" spans="1:569">
      <c r="A3" s="1001"/>
      <c r="B3" s="244" t="s">
        <v>81</v>
      </c>
      <c r="C3" s="245">
        <f>'Revenue Tracking'!D4</f>
        <v>1658747.6137909901</v>
      </c>
      <c r="D3" s="245">
        <f>SUM(F3:CM3)</f>
        <v>1744357.8337909898</v>
      </c>
      <c r="E3" s="246"/>
      <c r="F3" s="247">
        <f>SUMIFS('Revenue Tracking'!$F$13:$F$19, 'Revenue Tracking'!$H$13:$H$19, "&gt;="&amp;F1,'Revenue Tracking'!$H$13:$H$19, "&lt;"&amp;G1)</f>
        <v>580561.66482684645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414686.90344774752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414686.90344774752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251484.98137909902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82937.380689549507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</row>
    <row r="4" spans="1:569">
      <c r="A4" s="1001"/>
      <c r="B4" s="244" t="s">
        <v>411</v>
      </c>
      <c r="C4" s="245"/>
      <c r="D4" s="245"/>
      <c r="E4" s="246"/>
      <c r="F4" s="247">
        <f>F3</f>
        <v>580561.66482684645</v>
      </c>
      <c r="G4" s="247">
        <f>F4+G3</f>
        <v>580561.66482684645</v>
      </c>
      <c r="H4" s="247">
        <f>G4+H3</f>
        <v>580561.66482684645</v>
      </c>
      <c r="I4" s="247">
        <f t="shared" ref="I4" si="83">H4+I3</f>
        <v>580561.66482684645</v>
      </c>
      <c r="J4" s="247">
        <f t="shared" ref="J4" si="84">I4+J3</f>
        <v>580561.66482684645</v>
      </c>
      <c r="K4" s="247">
        <f t="shared" ref="K4" si="85">J4+K3</f>
        <v>580561.66482684645</v>
      </c>
      <c r="L4" s="247">
        <f t="shared" ref="L4" si="86">K4+L3</f>
        <v>580561.66482684645</v>
      </c>
      <c r="M4" s="247">
        <f t="shared" ref="M4" si="87">L4+M3</f>
        <v>580561.66482684645</v>
      </c>
      <c r="N4" s="247">
        <f t="shared" ref="N4" si="88">M4+N3</f>
        <v>580561.66482684645</v>
      </c>
      <c r="O4" s="247">
        <f t="shared" ref="O4" si="89">N4+O3</f>
        <v>580561.66482684645</v>
      </c>
      <c r="P4" s="247">
        <f t="shared" ref="P4" si="90">O4+P3</f>
        <v>580561.66482684645</v>
      </c>
      <c r="Q4" s="247">
        <f t="shared" ref="Q4" si="91">P4+Q3</f>
        <v>995248.56827459391</v>
      </c>
      <c r="R4" s="247">
        <f t="shared" ref="R4" si="92">Q4+R3</f>
        <v>995248.56827459391</v>
      </c>
      <c r="S4" s="247">
        <f t="shared" ref="S4" si="93">R4+S3</f>
        <v>995248.56827459391</v>
      </c>
      <c r="T4" s="247">
        <f t="shared" ref="T4" si="94">S4+T3</f>
        <v>1409935.4717223414</v>
      </c>
      <c r="U4" s="247">
        <f t="shared" ref="U4" si="95">T4+U3</f>
        <v>1409935.4717223414</v>
      </c>
      <c r="V4" s="247">
        <f t="shared" ref="V4" si="96">U4+V3</f>
        <v>1409935.4717223414</v>
      </c>
      <c r="W4" s="247">
        <f t="shared" ref="W4" si="97">V4+W3</f>
        <v>1409935.4717223414</v>
      </c>
      <c r="X4" s="247">
        <f t="shared" ref="X4" si="98">W4+X3</f>
        <v>1409935.4717223414</v>
      </c>
      <c r="Y4" s="247">
        <f t="shared" ref="Y4" si="99">X4+Y3</f>
        <v>1409935.4717223414</v>
      </c>
      <c r="Z4" s="247">
        <f t="shared" ref="Z4" si="100">Y4+Z3</f>
        <v>1661420.4531014403</v>
      </c>
      <c r="AA4" s="247">
        <f t="shared" ref="AA4" si="101">Z4+AA3</f>
        <v>1661420.4531014403</v>
      </c>
      <c r="AB4" s="247">
        <f t="shared" ref="AB4" si="102">AA4+AB3</f>
        <v>1661420.4531014403</v>
      </c>
      <c r="AC4" s="247">
        <f t="shared" ref="AC4" si="103">AB4+AC3</f>
        <v>1661420.4531014403</v>
      </c>
      <c r="AD4" s="247">
        <f t="shared" ref="AD4" si="104">AC4+AD3</f>
        <v>1661420.4531014403</v>
      </c>
      <c r="AE4" s="247">
        <f t="shared" ref="AE4" si="105">AD4+AE3</f>
        <v>1661420.4531014403</v>
      </c>
      <c r="AF4" s="247">
        <f t="shared" ref="AF4" si="106">AE4+AF3</f>
        <v>1661420.4531014403</v>
      </c>
      <c r="AG4" s="247">
        <f t="shared" ref="AG4" si="107">AF4+AG3</f>
        <v>1661420.4531014403</v>
      </c>
      <c r="AH4" s="247">
        <f t="shared" ref="AH4" si="108">AG4+AH3</f>
        <v>1661420.4531014403</v>
      </c>
      <c r="AI4" s="247">
        <f t="shared" ref="AI4" si="109">AH4+AI3</f>
        <v>1744357.8337909898</v>
      </c>
      <c r="AJ4" s="247">
        <f t="shared" ref="AJ4" si="110">AI4+AJ3</f>
        <v>1744357.8337909898</v>
      </c>
      <c r="AK4" s="247">
        <f t="shared" ref="AK4" si="111">AJ4+AK3</f>
        <v>1744357.8337909898</v>
      </c>
      <c r="AL4" s="247">
        <f t="shared" ref="AL4" si="112">AK4+AL3</f>
        <v>1744357.8337909898</v>
      </c>
      <c r="AM4" s="247">
        <f t="shared" ref="AM4" si="113">AL4+AM3</f>
        <v>1744357.8337909898</v>
      </c>
      <c r="AN4" s="247">
        <f t="shared" ref="AN4" si="114">AM4+AN3</f>
        <v>1744357.8337909898</v>
      </c>
      <c r="AO4" s="247">
        <f t="shared" ref="AO4" si="115">AN4+AO3</f>
        <v>1744357.8337909898</v>
      </c>
      <c r="AP4" s="247">
        <f t="shared" ref="AP4" si="116">AO4+AP3</f>
        <v>1744357.8337909898</v>
      </c>
      <c r="AQ4" s="247">
        <f t="shared" ref="AQ4" si="117">AP4+AQ3</f>
        <v>1744357.8337909898</v>
      </c>
      <c r="AR4" s="247">
        <f t="shared" ref="AR4" si="118">AQ4+AR3</f>
        <v>1744357.8337909898</v>
      </c>
      <c r="AS4" s="247">
        <f t="shared" ref="AS4" si="119">AR4+AS3</f>
        <v>1744357.8337909898</v>
      </c>
      <c r="AT4" s="247">
        <f t="shared" ref="AT4" si="120">AS4+AT3</f>
        <v>1744357.8337909898</v>
      </c>
      <c r="AU4" s="247">
        <f t="shared" ref="AU4" si="121">AT4+AU3</f>
        <v>1744357.8337909898</v>
      </c>
      <c r="AV4" s="247">
        <f t="shared" ref="AV4" si="122">AU4+AV3</f>
        <v>1744357.8337909898</v>
      </c>
      <c r="AW4" s="247">
        <f t="shared" ref="AW4" si="123">AV4+AW3</f>
        <v>1744357.8337909898</v>
      </c>
      <c r="AX4" s="247">
        <f t="shared" ref="AX4" si="124">AW4+AX3</f>
        <v>1744357.8337909898</v>
      </c>
      <c r="AY4" s="247">
        <f t="shared" ref="AY4" si="125">AX4+AY3</f>
        <v>1744357.8337909898</v>
      </c>
      <c r="AZ4" s="247">
        <f t="shared" ref="AZ4" si="126">AY4+AZ3</f>
        <v>1744357.8337909898</v>
      </c>
      <c r="BA4" s="247">
        <f t="shared" ref="BA4" si="127">AZ4+BA3</f>
        <v>1744357.8337909898</v>
      </c>
      <c r="BB4" s="247">
        <f t="shared" ref="BB4" si="128">BA4+BB3</f>
        <v>1744357.8337909898</v>
      </c>
      <c r="BC4" s="247">
        <f t="shared" ref="BC4" si="129">BB4+BC3</f>
        <v>1744357.8337909898</v>
      </c>
      <c r="BD4" s="247">
        <f t="shared" ref="BD4" si="130">BC4+BD3</f>
        <v>1744357.8337909898</v>
      </c>
      <c r="BE4" s="247">
        <f t="shared" ref="BE4" si="131">BD4+BE3</f>
        <v>1744357.8337909898</v>
      </c>
      <c r="BF4" s="247">
        <f t="shared" ref="BF4" si="132">BE4+BF3</f>
        <v>1744357.8337909898</v>
      </c>
      <c r="BG4" s="247">
        <f t="shared" ref="BG4" si="133">BF4+BG3</f>
        <v>1744357.8337909898</v>
      </c>
      <c r="BH4" s="247">
        <f t="shared" ref="BH4" si="134">BG4+BH3</f>
        <v>1744357.8337909898</v>
      </c>
      <c r="BI4" s="247">
        <f t="shared" ref="BI4" si="135">BH4+BI3</f>
        <v>1744357.8337909898</v>
      </c>
      <c r="BJ4" s="247">
        <f t="shared" ref="BJ4" si="136">BI4+BJ3</f>
        <v>1744357.8337909898</v>
      </c>
      <c r="BK4" s="247">
        <f t="shared" ref="BK4" si="137">BJ4+BK3</f>
        <v>1744357.8337909898</v>
      </c>
      <c r="BL4" s="247">
        <f t="shared" ref="BL4" si="138">BK4+BL3</f>
        <v>1744357.8337909898</v>
      </c>
      <c r="BM4" s="247">
        <f t="shared" ref="BM4" si="139">BL4+BM3</f>
        <v>1744357.8337909898</v>
      </c>
      <c r="BN4" s="247">
        <f t="shared" ref="BN4" si="140">BM4+BN3</f>
        <v>1744357.8337909898</v>
      </c>
      <c r="BO4" s="247">
        <f t="shared" ref="BO4" si="141">BN4+BO3</f>
        <v>1744357.8337909898</v>
      </c>
      <c r="BP4" s="247">
        <f t="shared" ref="BP4" si="142">BO4+BP3</f>
        <v>1744357.8337909898</v>
      </c>
      <c r="BQ4" s="247">
        <f t="shared" ref="BQ4" si="143">BP4+BQ3</f>
        <v>1744357.8337909898</v>
      </c>
      <c r="BR4" s="247">
        <f t="shared" ref="BR4" si="144">BQ4+BR3</f>
        <v>1744357.8337909898</v>
      </c>
      <c r="BS4" s="247">
        <f t="shared" ref="BS4" si="145">BR4+BS3</f>
        <v>1744357.8337909898</v>
      </c>
      <c r="BT4" s="247">
        <f t="shared" ref="BT4" si="146">BS4+BT3</f>
        <v>1744357.8337909898</v>
      </c>
      <c r="BU4" s="247">
        <f t="shared" ref="BU4" si="147">BT4+BU3</f>
        <v>1744357.8337909898</v>
      </c>
      <c r="BV4" s="247">
        <f t="shared" ref="BV4" si="148">BU4+BV3</f>
        <v>1744357.8337909898</v>
      </c>
      <c r="BW4" s="247">
        <f t="shared" ref="BW4" si="149">BV4+BW3</f>
        <v>1744357.8337909898</v>
      </c>
      <c r="BX4" s="247">
        <f t="shared" ref="BX4" si="150">BW4+BX3</f>
        <v>1744357.8337909898</v>
      </c>
      <c r="BY4" s="247">
        <f t="shared" ref="BY4" si="151">BX4+BY3</f>
        <v>1744357.8337909898</v>
      </c>
      <c r="BZ4" s="247">
        <f t="shared" ref="BZ4" si="152">BY4+BZ3</f>
        <v>1744357.8337909898</v>
      </c>
      <c r="CA4" s="247">
        <f t="shared" ref="CA4" si="153">BZ4+CA3</f>
        <v>1744357.8337909898</v>
      </c>
      <c r="CB4" s="247">
        <f t="shared" ref="CB4" si="154">CA4+CB3</f>
        <v>1744357.8337909898</v>
      </c>
      <c r="CC4" s="247">
        <f t="shared" ref="CC4" si="155">CB4+CC3</f>
        <v>1744357.8337909898</v>
      </c>
      <c r="CD4" s="247">
        <f t="shared" ref="CD4" si="156">CC4+CD3</f>
        <v>1744357.8337909898</v>
      </c>
      <c r="CE4" s="247">
        <f t="shared" ref="CE4" si="157">CD4+CE3</f>
        <v>1744357.8337909898</v>
      </c>
      <c r="CF4" s="247">
        <f t="shared" ref="CF4" si="158">CE4+CF3</f>
        <v>1744357.8337909898</v>
      </c>
      <c r="CG4" s="247">
        <f t="shared" ref="CG4" si="159">CF4+CG3</f>
        <v>1744357.8337909898</v>
      </c>
      <c r="CH4" s="247">
        <f t="shared" ref="CH4" si="160">CG4+CH3</f>
        <v>1744357.8337909898</v>
      </c>
      <c r="CI4" s="247">
        <f t="shared" ref="CI4" si="161">CH4+CI3</f>
        <v>1744357.8337909898</v>
      </c>
      <c r="CJ4" s="247">
        <f t="shared" ref="CJ4" si="162">CI4+CJ3</f>
        <v>1744357.8337909898</v>
      </c>
      <c r="CK4" s="247">
        <f t="shared" ref="CK4" si="163">CJ4+CK3</f>
        <v>1744357.8337909898</v>
      </c>
      <c r="CL4" s="247">
        <f t="shared" ref="CL4" si="164">CK4+CL3</f>
        <v>1744357.8337909898</v>
      </c>
      <c r="CM4" s="247">
        <f t="shared" ref="CM4" si="165">CL4+CM3</f>
        <v>1744357.8337909898</v>
      </c>
    </row>
    <row r="5" spans="1:569" s="252" customFormat="1">
      <c r="A5" s="1001"/>
      <c r="B5" s="248" t="s">
        <v>84</v>
      </c>
      <c r="C5" s="249">
        <f>'Revenue Tracking'!D5</f>
        <v>1414650.52</v>
      </c>
      <c r="D5" s="249">
        <f>SUM(F5:BY5)</f>
        <v>1414650.52</v>
      </c>
      <c r="E5" s="246"/>
      <c r="F5" s="250">
        <f>SUMIFS('Expenditure Breakdown'!$G$6:$G$124, 'Expenditure Breakdown'!$H$6:$H$124, "&gt;="&amp;F1,'Expenditure Breakdown'!$H$6:$H$124, "&lt;"&amp;G1)</f>
        <v>0</v>
      </c>
      <c r="G5" s="250">
        <f>SUMIFS('Expenditure Breakdown'!$G$6:$G$124, 'Expenditure Breakdown'!$H$6:$H$124, "&gt;="&amp;G1,'Expenditure Breakdown'!$H$6:$H$124, "&lt;"&amp;H1)</f>
        <v>0</v>
      </c>
      <c r="H5" s="250">
        <f>SUMIFS('Expenditure Breakdown'!$G$6:$G$124, 'Expenditure Breakdown'!$H$6:$H$124, "&gt;="&amp;H1,'Expenditure Breakdown'!$H$6:$H$124, "&lt;"&amp;I1)</f>
        <v>0</v>
      </c>
      <c r="I5" s="250">
        <f>SUMIFS('Expenditure Breakdown'!$G$6:$G$124, 'Expenditure Breakdown'!$H$6:$H$124, "&gt;="&amp;I1,'Expenditure Breakdown'!$H$6:$H$124, "&lt;"&amp;J1)</f>
        <v>0</v>
      </c>
      <c r="J5" s="250">
        <f>SUMIFS('Expenditure Breakdown'!$G$6:$G$124, 'Expenditure Breakdown'!$H$6:$H$124, "&gt;="&amp;J1,'Expenditure Breakdown'!$H$6:$H$124, "&lt;"&amp;K1)</f>
        <v>0</v>
      </c>
      <c r="K5" s="250">
        <f>SUMIFS('Expenditure Breakdown'!$G$6:$G$124, 'Expenditure Breakdown'!$H$6:$H$124, "&gt;="&amp;K1,'Expenditure Breakdown'!$H$6:$H$124, "&lt;"&amp;L1)</f>
        <v>0</v>
      </c>
      <c r="L5" s="250">
        <f>SUMIFS('Expenditure Breakdown'!$G$6:$G$124, 'Expenditure Breakdown'!$H$6:$H$124, "&gt;="&amp;L1,'Expenditure Breakdown'!$H$6:$H$124, "&lt;"&amp;M1)</f>
        <v>0</v>
      </c>
      <c r="M5" s="250">
        <f>SUMIFS('Expenditure Breakdown'!$G$6:$G$124, 'Expenditure Breakdown'!$H$6:$H$124, "&gt;="&amp;M1,'Expenditure Breakdown'!$H$6:$H$124, "&lt;"&amp;N1)</f>
        <v>0</v>
      </c>
      <c r="N5" s="250">
        <f>SUMIFS('Expenditure Breakdown'!$G$6:$G$124, 'Expenditure Breakdown'!$H$6:$H$124, "&gt;="&amp;N1,'Expenditure Breakdown'!$H$6:$H$124, "&lt;"&amp;O1)</f>
        <v>0</v>
      </c>
      <c r="O5" s="250">
        <f>SUMIFS('Expenditure Breakdown'!$G$6:$G$124, 'Expenditure Breakdown'!$H$6:$H$124, "&gt;="&amp;O1,'Expenditure Breakdown'!$H$6:$H$124, "&lt;"&amp;P1)</f>
        <v>13110</v>
      </c>
      <c r="P5" s="250">
        <f>SUMIFS('Expenditure Breakdown'!$G$6:$G$124, 'Expenditure Breakdown'!$H$6:$H$124, "&gt;="&amp;P1,'Expenditure Breakdown'!$H$6:$H$124, "&lt;"&amp;Q1)</f>
        <v>79174.17300000001</v>
      </c>
      <c r="Q5" s="250">
        <f>SUMIFS('Expenditure Breakdown'!$G$6:$G$124, 'Expenditure Breakdown'!$H$6:$H$124, "&gt;="&amp;Q1,'Expenditure Breakdown'!$H$6:$H$124, "&lt;"&amp;R1)</f>
        <v>0</v>
      </c>
      <c r="R5" s="250">
        <f>SUMIFS('Expenditure Breakdown'!$G$6:$G$124, 'Expenditure Breakdown'!$H$6:$H$124, "&gt;="&amp;R1,'Expenditure Breakdown'!$H$6:$H$124, "&lt;"&amp;S1)</f>
        <v>0</v>
      </c>
      <c r="S5" s="250">
        <f>SUMIFS('Expenditure Breakdown'!$G$6:$G$124, 'Expenditure Breakdown'!$H$6:$H$124, "&gt;="&amp;S1,'Expenditure Breakdown'!$H$6:$H$124, "&lt;"&amp;T1)</f>
        <v>441.6</v>
      </c>
      <c r="T5" s="250">
        <f>SUMIFS('Expenditure Breakdown'!$G$6:$G$124, 'Expenditure Breakdown'!$H$6:$H$124, "&gt;="&amp;T1,'Expenditure Breakdown'!$H$6:$H$124, "&lt;"&amp;U1)</f>
        <v>290924</v>
      </c>
      <c r="U5" s="250">
        <f>SUMIFS('Expenditure Breakdown'!$G$6:$G$124, 'Expenditure Breakdown'!$H$6:$H$124, "&gt;="&amp;U1,'Expenditure Breakdown'!$H$6:$H$124, "&lt;"&amp;V1)</f>
        <v>81565.564000000013</v>
      </c>
      <c r="V5" s="250">
        <f>SUMIFS('Expenditure Breakdown'!$G$6:$G$124, 'Expenditure Breakdown'!$H$6:$H$124, "&gt;="&amp;V1,'Expenditure Breakdown'!$H$6:$H$124, "&lt;"&amp;W1)</f>
        <v>0</v>
      </c>
      <c r="W5" s="250">
        <f>SUMIFS('Expenditure Breakdown'!$G$6:$G$124, 'Expenditure Breakdown'!$H$6:$H$124, "&gt;="&amp;W1,'Expenditure Breakdown'!$H$6:$H$124, "&lt;"&amp;X1)</f>
        <v>38900</v>
      </c>
      <c r="X5" s="250">
        <f>SUMIFS('Expenditure Breakdown'!$G$6:$G$124, 'Expenditure Breakdown'!$H$6:$H$124, "&gt;="&amp;X1,'Expenditure Breakdown'!$H$6:$H$124, "&lt;"&amp;Y1)</f>
        <v>0</v>
      </c>
      <c r="Y5" s="250">
        <f>SUMIFS('Expenditure Breakdown'!$G$6:$G$124, 'Expenditure Breakdown'!$H$6:$H$124, "&gt;="&amp;Y1,'Expenditure Breakdown'!$H$6:$H$124, "&lt;"&amp;Z1)</f>
        <v>112956.955</v>
      </c>
      <c r="Z5" s="250">
        <f>SUMIFS('Expenditure Breakdown'!$G$6:$G$124, 'Expenditure Breakdown'!$H$6:$H$124, "&gt;="&amp;Z1,'Expenditure Breakdown'!$H$6:$H$124, "&lt;"&amp;AA1)</f>
        <v>88053.282000000007</v>
      </c>
      <c r="AA5" s="250">
        <f>SUMIFS('Expenditure Breakdown'!$G$6:$G$124, 'Expenditure Breakdown'!$H$6:$H$124, "&gt;="&amp;AA1,'Expenditure Breakdown'!$H$6:$H$124, "&lt;"&amp;AB1)</f>
        <v>529085.09199999995</v>
      </c>
      <c r="AB5" s="250">
        <f>SUMIFS('Expenditure Breakdown'!$G$6:$G$124, 'Expenditure Breakdown'!$H$6:$H$124, "&gt;="&amp;AB1,'Expenditure Breakdown'!$H$6:$H$124, "&lt;"&amp;AC1)</f>
        <v>48064.173000000003</v>
      </c>
      <c r="AC5" s="250">
        <f>SUMIFS('Expenditure Breakdown'!$G$6:$G$124, 'Expenditure Breakdown'!$H$6:$H$124, "&gt;="&amp;AC1,'Expenditure Breakdown'!$H$6:$H$124, "&lt;"&amp;AD1)</f>
        <v>0</v>
      </c>
      <c r="AD5" s="250">
        <f>SUMIFS('Expenditure Breakdown'!$G$6:$G$124, 'Expenditure Breakdown'!$H$6:$H$124, "&gt;="&amp;AD1,'Expenditure Breakdown'!$H$6:$H$124, "&lt;"&amp;AE1)</f>
        <v>68908.33</v>
      </c>
      <c r="AE5" s="250">
        <f>SUMIFS('Expenditure Breakdown'!$G$6:$G$124, 'Expenditure Breakdown'!$H$6:$H$124, "&gt;="&amp;AE1,'Expenditure Breakdown'!$H$6:$H$124, "&lt;"&amp;AF1)</f>
        <v>0</v>
      </c>
      <c r="AF5" s="250">
        <f>SUMIFS('Expenditure Breakdown'!$G$6:$G$124, 'Expenditure Breakdown'!$H$6:$H$124, "&gt;="&amp;AF1,'Expenditure Breakdown'!$H$6:$H$124, "&lt;"&amp;AG1)</f>
        <v>20391.391000000003</v>
      </c>
      <c r="AG5" s="250">
        <f>SUMIFS('Expenditure Breakdown'!$G$6:$G$124, 'Expenditure Breakdown'!$H$6:$H$124, "&gt;="&amp;AG1,'Expenditure Breakdown'!$H$6:$H$124, "&lt;"&amp;AH1)</f>
        <v>0</v>
      </c>
      <c r="AH5" s="250">
        <f>SUMIFS('Expenditure Breakdown'!$G$6:$G$124, 'Expenditure Breakdown'!$H$6:$H$124, "&gt;="&amp;AH1,'Expenditure Breakdown'!$H$6:$H$124, "&lt;"&amp;AI1)</f>
        <v>43075.96</v>
      </c>
      <c r="AI5" s="250">
        <f>SUMIFS('Expenditure Breakdown'!$G$6:$G$124, 'Expenditure Breakdown'!$H$6:$H$124, "&gt;="&amp;AI1,'Expenditure Breakdown'!$H$6:$H$124, "&lt;"&amp;AJ1)</f>
        <v>0</v>
      </c>
      <c r="AJ5" s="250">
        <f>SUMIFS('Expenditure Breakdown'!$G$6:$G$124, 'Expenditure Breakdown'!$H$6:$H$124, "&gt;="&amp;AJ1,'Expenditure Breakdown'!$H$6:$H$124, "&lt;"&amp;AK1)</f>
        <v>0</v>
      </c>
      <c r="AK5" s="250">
        <f>SUMIFS('Expenditure Breakdown'!$G$6:$G$124, 'Expenditure Breakdown'!$H$6:$H$124, "&gt;="&amp;AK1,'Expenditure Breakdown'!$H$6:$H$124, "&lt;"&amp;AL1)</f>
        <v>0</v>
      </c>
      <c r="AL5" s="250">
        <f>SUMIFS('Expenditure Breakdown'!$G$6:$G$124, 'Expenditure Breakdown'!$H$6:$H$124, "&gt;="&amp;AL1,'Expenditure Breakdown'!$H$6:$H$124, "&lt;"&amp;AM1)</f>
        <v>0</v>
      </c>
      <c r="AM5" s="250">
        <f>SUMIFS('Expenditure Breakdown'!$G$6:$G$124, 'Expenditure Breakdown'!$H$6:$H$124, "&gt;="&amp;AM1,'Expenditure Breakdown'!$H$6:$H$124, "&lt;"&amp;AN1)</f>
        <v>0</v>
      </c>
      <c r="AN5" s="250">
        <f>SUMIFS('Expenditure Breakdown'!$G$6:$G$124, 'Expenditure Breakdown'!$H$6:$H$124, "&gt;="&amp;AN1,'Expenditure Breakdown'!$H$6:$H$124, "&lt;"&amp;AO1)</f>
        <v>0</v>
      </c>
      <c r="AO5" s="250">
        <f>SUMIFS('Expenditure Breakdown'!$G$6:$G$124, 'Expenditure Breakdown'!$H$6:$H$124, "&gt;="&amp;AO1,'Expenditure Breakdown'!$H$6:$H$124, "&lt;"&amp;AP1)</f>
        <v>0</v>
      </c>
      <c r="AP5" s="250">
        <f>SUMIFS('Expenditure Breakdown'!$G$6:$G$124, 'Expenditure Breakdown'!$H$6:$H$124, "&gt;="&amp;AP1,'Expenditure Breakdown'!$H$6:$H$124, "&lt;"&amp;AQ1)</f>
        <v>0</v>
      </c>
      <c r="AQ5" s="250">
        <f>SUMIFS('Expenditure Breakdown'!$G$6:$G$124, 'Expenditure Breakdown'!$H$6:$H$124, "&gt;="&amp;AQ1,'Expenditure Breakdown'!$H$6:$H$124, "&lt;"&amp;AR1)</f>
        <v>0</v>
      </c>
      <c r="AR5" s="250">
        <f>SUMIFS('Expenditure Breakdown'!$G$6:$G$124, 'Expenditure Breakdown'!$H$6:$H$124, "&gt;="&amp;AR1,'Expenditure Breakdown'!$H$6:$H$124, "&lt;"&amp;AS1)</f>
        <v>0</v>
      </c>
      <c r="AS5" s="250">
        <f>SUMIFS('Expenditure Breakdown'!$G$6:$G$124, 'Expenditure Breakdown'!$H$6:$H$124, "&gt;="&amp;AS1,'Expenditure Breakdown'!$H$6:$H$124, "&lt;"&amp;AT1)</f>
        <v>0</v>
      </c>
      <c r="AT5" s="250">
        <f>SUMIFS('Expenditure Breakdown'!$G$6:$G$124, 'Expenditure Breakdown'!$H$6:$H$124, "&gt;="&amp;AT1,'Expenditure Breakdown'!$H$6:$H$124, "&lt;"&amp;AU1)</f>
        <v>0</v>
      </c>
      <c r="AU5" s="250">
        <f>SUMIFS('Expenditure Breakdown'!$G$6:$G$124, 'Expenditure Breakdown'!$H$6:$H$124, "&gt;="&amp;AU1,'Expenditure Breakdown'!$H$6:$H$124, "&lt;"&amp;AV1)</f>
        <v>0</v>
      </c>
      <c r="AV5" s="250">
        <f>SUMIFS('Expenditure Breakdown'!$G$6:$G$124, 'Expenditure Breakdown'!$H$6:$H$124, "&gt;="&amp;AV1,'Expenditure Breakdown'!$H$6:$H$124, "&lt;"&amp;AW1)</f>
        <v>0</v>
      </c>
      <c r="AW5" s="250">
        <f>SUMIFS('Expenditure Breakdown'!$G$6:$G$124, 'Expenditure Breakdown'!$H$6:$H$124, "&gt;="&amp;AW1,'Expenditure Breakdown'!$H$6:$H$124, "&lt;"&amp;AX1)</f>
        <v>0</v>
      </c>
      <c r="AX5" s="250">
        <f>SUMIFS('Expenditure Breakdown'!$G$6:$G$124, 'Expenditure Breakdown'!$H$6:$H$124, "&gt;="&amp;AX1,'Expenditure Breakdown'!$H$6:$H$124, "&lt;"&amp;AY1)</f>
        <v>0</v>
      </c>
      <c r="AY5" s="250">
        <f>SUMIFS('Expenditure Breakdown'!$G$6:$G$124, 'Expenditure Breakdown'!$H$6:$H$124, "&gt;="&amp;AY1,'Expenditure Breakdown'!$H$6:$H$124, "&lt;"&amp;AZ1)</f>
        <v>0</v>
      </c>
      <c r="AZ5" s="250">
        <f>SUMIFS('Expenditure Breakdown'!$G$6:$G$124, 'Expenditure Breakdown'!$H$6:$H$124, "&gt;="&amp;AZ1,'Expenditure Breakdown'!$H$6:$H$124, "&lt;"&amp;BA1)</f>
        <v>0</v>
      </c>
      <c r="BA5" s="250">
        <f>SUMIFS('Expenditure Breakdown'!$G$6:$G$124, 'Expenditure Breakdown'!$H$6:$H$124, "&gt;="&amp;BA1,'Expenditure Breakdown'!$H$6:$H$124, "&lt;"&amp;BB1)</f>
        <v>0</v>
      </c>
      <c r="BB5" s="250">
        <f>SUMIFS('Expenditure Breakdown'!$G$6:$G$124, 'Expenditure Breakdown'!$H$6:$H$124, "&gt;="&amp;BB1,'Expenditure Breakdown'!$H$6:$H$124, "&lt;"&amp;BC1)</f>
        <v>0</v>
      </c>
      <c r="BC5" s="250">
        <f>SUMIFS('Expenditure Breakdown'!$G$6:$G$124, 'Expenditure Breakdown'!$H$6:$H$124, "&gt;="&amp;BC1,'Expenditure Breakdown'!$H$6:$H$124, "&lt;"&amp;BD1)</f>
        <v>0</v>
      </c>
      <c r="BD5" s="250">
        <f>SUMIFS('Expenditure Breakdown'!$G$6:$G$124, 'Expenditure Breakdown'!$H$6:$H$124, "&gt;="&amp;BD1,'Expenditure Breakdown'!$H$6:$H$124, "&lt;"&amp;BE1)</f>
        <v>0</v>
      </c>
      <c r="BE5" s="250">
        <f>SUMIFS('Expenditure Breakdown'!$G$6:$G$124, 'Expenditure Breakdown'!$H$6:$H$124, "&gt;="&amp;BE1,'Expenditure Breakdown'!$H$6:$H$124, "&lt;"&amp;BF1)</f>
        <v>0</v>
      </c>
      <c r="BF5" s="250">
        <f>SUMIFS('Expenditure Breakdown'!$G$6:$G$124, 'Expenditure Breakdown'!$H$6:$H$124, "&gt;="&amp;BF1,'Expenditure Breakdown'!$H$6:$H$124, "&lt;"&amp;BG1)</f>
        <v>0</v>
      </c>
      <c r="BG5" s="250">
        <f>SUMIFS('Expenditure Breakdown'!$G$6:$G$124, 'Expenditure Breakdown'!$H$6:$H$124, "&gt;="&amp;BG1,'Expenditure Breakdown'!$H$6:$H$124, "&lt;"&amp;BH1)</f>
        <v>0</v>
      </c>
      <c r="BH5" s="250">
        <f>SUMIFS('Expenditure Breakdown'!$G$6:$G$124, 'Expenditure Breakdown'!$H$6:$H$124, "&gt;="&amp;BH1,'Expenditure Breakdown'!$H$6:$H$124, "&lt;"&amp;BI1)</f>
        <v>0</v>
      </c>
      <c r="BI5" s="250">
        <f>SUMIFS('Expenditure Breakdown'!$G$6:$G$124, 'Expenditure Breakdown'!$H$6:$H$124, "&gt;="&amp;BI1,'Expenditure Breakdown'!$H$6:$H$124, "&lt;"&amp;BJ1)</f>
        <v>0</v>
      </c>
      <c r="BJ5" s="250">
        <f>SUMIFS('Expenditure Breakdown'!$G$6:$G$124, 'Expenditure Breakdown'!$H$6:$H$124, "&gt;="&amp;BJ1,'Expenditure Breakdown'!$H$6:$H$124, "&lt;"&amp;BK1)</f>
        <v>0</v>
      </c>
      <c r="BK5" s="250">
        <f>SUMIFS('Expenditure Breakdown'!$G$6:$G$124, 'Expenditure Breakdown'!$H$6:$H$124, "&gt;="&amp;BK1,'Expenditure Breakdown'!$H$6:$H$124, "&lt;"&amp;BL1)</f>
        <v>0</v>
      </c>
      <c r="BL5" s="250">
        <f>SUMIFS('Expenditure Breakdown'!$G$6:$G$124, 'Expenditure Breakdown'!$H$6:$H$124, "&gt;="&amp;BL1,'Expenditure Breakdown'!$H$6:$H$124, "&lt;"&amp;BM1)</f>
        <v>0</v>
      </c>
      <c r="BM5" s="250">
        <f>SUMIFS('Expenditure Breakdown'!$G$6:$G$124, 'Expenditure Breakdown'!$H$6:$H$124, "&gt;="&amp;BM1,'Expenditure Breakdown'!$H$6:$H$124, "&lt;"&amp;BN1)</f>
        <v>0</v>
      </c>
      <c r="BN5" s="250">
        <f>SUMIFS('Expenditure Breakdown'!$G$6:$G$124, 'Expenditure Breakdown'!$H$6:$H$124, "&gt;="&amp;BN1,'Expenditure Breakdown'!$H$6:$H$124, "&lt;"&amp;BO1)</f>
        <v>0</v>
      </c>
      <c r="BO5" s="250">
        <f>SUMIFS('Expenditure Breakdown'!$G$6:$G$124, 'Expenditure Breakdown'!$H$6:$H$124, "&gt;="&amp;BO1,'Expenditure Breakdown'!$H$6:$H$124, "&lt;"&amp;BP1)</f>
        <v>0</v>
      </c>
      <c r="BP5" s="250">
        <f>SUMIFS('Expenditure Breakdown'!$G$6:$G$124, 'Expenditure Breakdown'!$H$6:$H$124, "&gt;="&amp;BP1,'Expenditure Breakdown'!$H$6:$H$124, "&lt;"&amp;BQ1)</f>
        <v>0</v>
      </c>
      <c r="BQ5" s="250">
        <f>SUMIFS('Expenditure Breakdown'!$G$6:$G$124, 'Expenditure Breakdown'!$H$6:$H$124, "&gt;="&amp;BQ1,'Expenditure Breakdown'!$H$6:$H$124, "&lt;"&amp;BR1)</f>
        <v>0</v>
      </c>
      <c r="BR5" s="250">
        <f>SUMIFS('Expenditure Breakdown'!$G$6:$G$124, 'Expenditure Breakdown'!$H$6:$H$124, "&gt;="&amp;BR1,'Expenditure Breakdown'!$H$6:$H$124, "&lt;"&amp;BS1)</f>
        <v>0</v>
      </c>
      <c r="BS5" s="250">
        <f>SUMIFS('Expenditure Breakdown'!$G$6:$G$124, 'Expenditure Breakdown'!$H$6:$H$124, "&gt;="&amp;BS1,'Expenditure Breakdown'!$H$6:$H$124, "&lt;"&amp;BT1)</f>
        <v>0</v>
      </c>
      <c r="BT5" s="250">
        <f>SUMIFS('Expenditure Breakdown'!$G$6:$G$124, 'Expenditure Breakdown'!$H$6:$H$124, "&gt;="&amp;BT1,'Expenditure Breakdown'!$H$6:$H$124, "&lt;"&amp;BU1)</f>
        <v>0</v>
      </c>
      <c r="BU5" s="250">
        <f>SUMIFS('Expenditure Breakdown'!$G$6:$G$124, 'Expenditure Breakdown'!$H$6:$H$124, "&gt;="&amp;BU1,'Expenditure Breakdown'!$H$6:$H$124, "&lt;"&amp;BV1)</f>
        <v>0</v>
      </c>
      <c r="BV5" s="250">
        <f>SUMIFS('Expenditure Breakdown'!$G$6:$G$124, 'Expenditure Breakdown'!$H$6:$H$124, "&gt;="&amp;BV1,'Expenditure Breakdown'!$H$6:$H$124, "&lt;"&amp;BW1)</f>
        <v>0</v>
      </c>
      <c r="BW5" s="250">
        <f>SUMIFS('Expenditure Breakdown'!$G$6:$G$124, 'Expenditure Breakdown'!$H$6:$H$124, "&gt;="&amp;BW1,'Expenditure Breakdown'!$H$6:$H$124, "&lt;"&amp;BX1)</f>
        <v>0</v>
      </c>
      <c r="BX5" s="250">
        <f>SUMIFS('Expenditure Breakdown'!$G$6:$G$124, 'Expenditure Breakdown'!$H$6:$H$124, "&gt;="&amp;BX1,'Expenditure Breakdown'!$H$6:$H$124, "&lt;"&amp;BY1)</f>
        <v>0</v>
      </c>
      <c r="BY5" s="250">
        <f>SUMIFS('Expenditure Breakdown'!$G$6:$G$124, 'Expenditure Breakdown'!$H$6:$H$124, "&gt;="&amp;BY1,'Expenditure Breakdown'!$H$6:$H$124, "&lt;"&amp;BZ1)</f>
        <v>0</v>
      </c>
      <c r="BZ5" s="250">
        <f>SUMIFS('Expenditure Breakdown'!$G$6:$G$124, 'Expenditure Breakdown'!$H$6:$H$124, "&gt;="&amp;BZ1,'Expenditure Breakdown'!$H$6:$H$124, "&lt;"&amp;CA1)</f>
        <v>0</v>
      </c>
      <c r="CA5" s="250">
        <f>SUMIFS('Expenditure Breakdown'!$G$6:$G$124, 'Expenditure Breakdown'!$H$6:$H$124, "&gt;="&amp;CA1,'Expenditure Breakdown'!$H$6:$H$124, "&lt;"&amp;CB1)</f>
        <v>0</v>
      </c>
      <c r="CB5" s="250">
        <f>SUMIFS('Expenditure Breakdown'!$G$6:$G$124, 'Expenditure Breakdown'!$H$6:$H$124, "&gt;="&amp;CB1,'Expenditure Breakdown'!$H$6:$H$124, "&lt;"&amp;CC1)</f>
        <v>0</v>
      </c>
      <c r="CC5" s="250">
        <f>SUMIFS('Expenditure Breakdown'!$G$6:$G$124, 'Expenditure Breakdown'!$H$6:$H$124, "&gt;="&amp;CC1,'Expenditure Breakdown'!$H$6:$H$124, "&lt;"&amp;CD1)</f>
        <v>0</v>
      </c>
      <c r="CD5" s="250">
        <f>SUMIFS('Expenditure Breakdown'!$G$6:$G$124, 'Expenditure Breakdown'!$H$6:$H$124, "&gt;="&amp;CD1,'Expenditure Breakdown'!$H$6:$H$124, "&lt;"&amp;CE1)</f>
        <v>0</v>
      </c>
      <c r="CE5" s="250">
        <f>SUMIFS('Expenditure Breakdown'!$G$6:$G$124, 'Expenditure Breakdown'!$H$6:$H$124, "&gt;="&amp;CE1,'Expenditure Breakdown'!$H$6:$H$124, "&lt;"&amp;CF1)</f>
        <v>0</v>
      </c>
      <c r="CF5" s="250">
        <f>SUMIFS('Expenditure Breakdown'!$G$6:$G$124, 'Expenditure Breakdown'!$H$6:$H$124, "&gt;="&amp;CF1,'Expenditure Breakdown'!$H$6:$H$124, "&lt;"&amp;CG1)</f>
        <v>0</v>
      </c>
      <c r="CG5" s="250">
        <f>SUMIFS('Expenditure Breakdown'!$G$6:$G$124, 'Expenditure Breakdown'!$H$6:$H$124, "&gt;="&amp;CG1,'Expenditure Breakdown'!$H$6:$H$124, "&lt;"&amp;CH1)</f>
        <v>0</v>
      </c>
      <c r="CH5" s="250">
        <f>SUMIFS('Expenditure Breakdown'!$G$6:$G$124, 'Expenditure Breakdown'!$H$6:$H$124, "&gt;="&amp;CH1,'Expenditure Breakdown'!$H$6:$H$124, "&lt;"&amp;CI1)</f>
        <v>0</v>
      </c>
      <c r="CI5" s="250">
        <f>SUMIFS('Expenditure Breakdown'!$G$6:$G$124, 'Expenditure Breakdown'!$H$6:$H$124, "&gt;="&amp;CI1,'Expenditure Breakdown'!$H$6:$H$124, "&lt;"&amp;CJ1)</f>
        <v>0</v>
      </c>
      <c r="CJ5" s="250">
        <f>SUMIFS('Expenditure Breakdown'!$G$6:$G$124, 'Expenditure Breakdown'!$H$6:$H$124, "&gt;="&amp;CJ1,'Expenditure Breakdown'!$H$6:$H$124, "&lt;"&amp;CK1)</f>
        <v>0</v>
      </c>
      <c r="CK5" s="250">
        <f>SUMIFS('Expenditure Breakdown'!$G$6:$G$124, 'Expenditure Breakdown'!$H$6:$H$124, "&gt;="&amp;CK1,'Expenditure Breakdown'!$H$6:$H$124, "&lt;"&amp;CL1)</f>
        <v>0</v>
      </c>
      <c r="CL5" s="250">
        <f>SUMIFS('Expenditure Breakdown'!$G$6:$G$124, 'Expenditure Breakdown'!$H$6:$H$124, "&gt;="&amp;CL1,'Expenditure Breakdown'!$H$6:$H$124, "&lt;"&amp;CM1)</f>
        <v>0</v>
      </c>
      <c r="CM5" s="250">
        <f>SUMIFS('Expenditure Breakdown'!$G$6:$G$124, 'Expenditure Breakdown'!$H$6:$H$124, "&gt;="&amp;CM1,'Expenditure Breakdown'!$H$6:$H$124, "&lt;"&amp;CN1)</f>
        <v>0</v>
      </c>
      <c r="CN5" s="240"/>
      <c r="CO5" s="251"/>
      <c r="CP5" s="251"/>
    </row>
    <row r="6" spans="1:569" s="252" customFormat="1">
      <c r="A6" s="1001"/>
      <c r="B6" s="248" t="s">
        <v>412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" si="166">H6+I5</f>
        <v>0</v>
      </c>
      <c r="J6" s="250">
        <f t="shared" ref="J6" si="167">I6+J5</f>
        <v>0</v>
      </c>
      <c r="K6" s="250">
        <f t="shared" ref="K6" si="168">J6+K5</f>
        <v>0</v>
      </c>
      <c r="L6" s="250">
        <f t="shared" ref="L6" si="169">K6+L5</f>
        <v>0</v>
      </c>
      <c r="M6" s="250">
        <f t="shared" ref="M6" si="170">L6+M5</f>
        <v>0</v>
      </c>
      <c r="N6" s="250">
        <f t="shared" ref="N6" si="171">M6+N5</f>
        <v>0</v>
      </c>
      <c r="O6" s="250">
        <f t="shared" ref="O6" si="172">N6+O5</f>
        <v>13110</v>
      </c>
      <c r="P6" s="250">
        <f t="shared" ref="P6" si="173">O6+P5</f>
        <v>92284.17300000001</v>
      </c>
      <c r="Q6" s="250">
        <f t="shared" ref="Q6" si="174">P6+Q5</f>
        <v>92284.17300000001</v>
      </c>
      <c r="R6" s="250">
        <f t="shared" ref="R6" si="175">Q6+R5</f>
        <v>92284.17300000001</v>
      </c>
      <c r="S6" s="250">
        <f t="shared" ref="S6" si="176">R6+S5</f>
        <v>92725.773000000016</v>
      </c>
      <c r="T6" s="250">
        <f t="shared" ref="T6" si="177">S6+T5</f>
        <v>383649.77300000004</v>
      </c>
      <c r="U6" s="250">
        <f t="shared" ref="U6" si="178">T6+U5</f>
        <v>465215.33700000006</v>
      </c>
      <c r="V6" s="250">
        <f t="shared" ref="V6" si="179">U6+V5</f>
        <v>465215.33700000006</v>
      </c>
      <c r="W6" s="250">
        <f t="shared" ref="W6" si="180">V6+W5</f>
        <v>504115.33700000006</v>
      </c>
      <c r="X6" s="250">
        <f t="shared" ref="X6" si="181">W6+X5</f>
        <v>504115.33700000006</v>
      </c>
      <c r="Y6" s="250">
        <f t="shared" ref="Y6" si="182">X6+Y5</f>
        <v>617072.29200000002</v>
      </c>
      <c r="Z6" s="250">
        <f t="shared" ref="Z6" si="183">Y6+Z5</f>
        <v>705125.57400000002</v>
      </c>
      <c r="AA6" s="250">
        <f t="shared" ref="AA6" si="184">Z6+AA5</f>
        <v>1234210.666</v>
      </c>
      <c r="AB6" s="250">
        <f t="shared" ref="AB6" si="185">AA6+AB5</f>
        <v>1282274.8389999999</v>
      </c>
      <c r="AC6" s="250">
        <f t="shared" ref="AC6" si="186">AB6+AC5</f>
        <v>1282274.8389999999</v>
      </c>
      <c r="AD6" s="250">
        <f t="shared" ref="AD6" si="187">AC6+AD5</f>
        <v>1351183.169</v>
      </c>
      <c r="AE6" s="250">
        <f t="shared" ref="AE6" si="188">AD6+AE5</f>
        <v>1351183.169</v>
      </c>
      <c r="AF6" s="250">
        <f t="shared" ref="AF6" si="189">AE6+AF5</f>
        <v>1371574.56</v>
      </c>
      <c r="AG6" s="250">
        <f t="shared" ref="AG6" si="190">AF6+AG5</f>
        <v>1371574.56</v>
      </c>
      <c r="AH6" s="250">
        <f t="shared" ref="AH6" si="191">AG6+AH5</f>
        <v>1414650.52</v>
      </c>
      <c r="AI6" s="250">
        <f t="shared" ref="AI6" si="192">AH6+AI5</f>
        <v>1414650.52</v>
      </c>
      <c r="AJ6" s="250">
        <f t="shared" ref="AJ6" si="193">AI6+AJ5</f>
        <v>1414650.52</v>
      </c>
      <c r="AK6" s="250">
        <f t="shared" ref="AK6" si="194">AJ6+AK5</f>
        <v>1414650.52</v>
      </c>
      <c r="AL6" s="250">
        <f t="shared" ref="AL6" si="195">AK6+AL5</f>
        <v>1414650.52</v>
      </c>
      <c r="AM6" s="250">
        <f t="shared" ref="AM6" si="196">AL6+AM5</f>
        <v>1414650.52</v>
      </c>
      <c r="AN6" s="250">
        <f t="shared" ref="AN6" si="197">AM6+AN5</f>
        <v>1414650.52</v>
      </c>
      <c r="AO6" s="250">
        <f t="shared" ref="AO6" si="198">AN6+AO5</f>
        <v>1414650.52</v>
      </c>
      <c r="AP6" s="250">
        <f t="shared" ref="AP6" si="199">AO6+AP5</f>
        <v>1414650.52</v>
      </c>
      <c r="AQ6" s="250">
        <f t="shared" ref="AQ6" si="200">AP6+AQ5</f>
        <v>1414650.52</v>
      </c>
      <c r="AR6" s="250">
        <f t="shared" ref="AR6" si="201">AQ6+AR5</f>
        <v>1414650.52</v>
      </c>
      <c r="AS6" s="250">
        <f t="shared" ref="AS6" si="202">AR6+AS5</f>
        <v>1414650.52</v>
      </c>
      <c r="AT6" s="250">
        <f t="shared" ref="AT6" si="203">AS6+AT5</f>
        <v>1414650.52</v>
      </c>
      <c r="AU6" s="250">
        <f t="shared" ref="AU6" si="204">AT6+AU5</f>
        <v>1414650.52</v>
      </c>
      <c r="AV6" s="250">
        <f t="shared" ref="AV6" si="205">AU6+AV5</f>
        <v>1414650.52</v>
      </c>
      <c r="AW6" s="250">
        <f t="shared" ref="AW6" si="206">AV6+AW5</f>
        <v>1414650.52</v>
      </c>
      <c r="AX6" s="250">
        <f t="shared" ref="AX6" si="207">AW6+AX5</f>
        <v>1414650.52</v>
      </c>
      <c r="AY6" s="250">
        <f t="shared" ref="AY6" si="208">AX6+AY5</f>
        <v>1414650.52</v>
      </c>
      <c r="AZ6" s="250">
        <f t="shared" ref="AZ6" si="209">AY6+AZ5</f>
        <v>1414650.52</v>
      </c>
      <c r="BA6" s="250">
        <f t="shared" ref="BA6" si="210">AZ6+BA5</f>
        <v>1414650.52</v>
      </c>
      <c r="BB6" s="250">
        <f t="shared" ref="BB6" si="211">BA6+BB5</f>
        <v>1414650.52</v>
      </c>
      <c r="BC6" s="250">
        <f t="shared" ref="BC6" si="212">BB6+BC5</f>
        <v>1414650.52</v>
      </c>
      <c r="BD6" s="250">
        <f t="shared" ref="BD6" si="213">BC6+BD5</f>
        <v>1414650.52</v>
      </c>
      <c r="BE6" s="250">
        <f t="shared" ref="BE6" si="214">BD6+BE5</f>
        <v>1414650.52</v>
      </c>
      <c r="BF6" s="250">
        <f t="shared" ref="BF6" si="215">BE6+BF5</f>
        <v>1414650.52</v>
      </c>
      <c r="BG6" s="250">
        <f t="shared" ref="BG6" si="216">BF6+BG5</f>
        <v>1414650.52</v>
      </c>
      <c r="BH6" s="250">
        <f t="shared" ref="BH6" si="217">BG6+BH5</f>
        <v>1414650.52</v>
      </c>
      <c r="BI6" s="250">
        <f t="shared" ref="BI6" si="218">BH6+BI5</f>
        <v>1414650.52</v>
      </c>
      <c r="BJ6" s="250">
        <f t="shared" ref="BJ6" si="219">BI6+BJ5</f>
        <v>1414650.52</v>
      </c>
      <c r="BK6" s="250">
        <f t="shared" ref="BK6" si="220">BJ6+BK5</f>
        <v>1414650.52</v>
      </c>
      <c r="BL6" s="250">
        <f t="shared" ref="BL6" si="221">BK6+BL5</f>
        <v>1414650.52</v>
      </c>
      <c r="BM6" s="250">
        <f t="shared" ref="BM6" si="222">BL6+BM5</f>
        <v>1414650.52</v>
      </c>
      <c r="BN6" s="250">
        <f t="shared" ref="BN6" si="223">BM6+BN5</f>
        <v>1414650.52</v>
      </c>
      <c r="BO6" s="250">
        <f t="shared" ref="BO6" si="224">BN6+BO5</f>
        <v>1414650.52</v>
      </c>
      <c r="BP6" s="250">
        <f t="shared" ref="BP6" si="225">BO6+BP5</f>
        <v>1414650.52</v>
      </c>
      <c r="BQ6" s="250">
        <f t="shared" ref="BQ6" si="226">BP6+BQ5</f>
        <v>1414650.52</v>
      </c>
      <c r="BR6" s="250">
        <f t="shared" ref="BR6" si="227">BQ6+BR5</f>
        <v>1414650.52</v>
      </c>
      <c r="BS6" s="250">
        <f t="shared" ref="BS6" si="228">BR6+BS5</f>
        <v>1414650.52</v>
      </c>
      <c r="BT6" s="250">
        <f t="shared" ref="BT6" si="229">BS6+BT5</f>
        <v>1414650.52</v>
      </c>
      <c r="BU6" s="250">
        <f t="shared" ref="BU6" si="230">BT6+BU5</f>
        <v>1414650.52</v>
      </c>
      <c r="BV6" s="250">
        <f t="shared" ref="BV6" si="231">BU6+BV5</f>
        <v>1414650.52</v>
      </c>
      <c r="BW6" s="250">
        <f t="shared" ref="BW6" si="232">BV6+BW5</f>
        <v>1414650.52</v>
      </c>
      <c r="BX6" s="250">
        <f t="shared" ref="BX6" si="233">BW6+BX5</f>
        <v>1414650.52</v>
      </c>
      <c r="BY6" s="250">
        <f t="shared" ref="BY6" si="234">BX6+BY5</f>
        <v>1414650.52</v>
      </c>
      <c r="BZ6" s="250">
        <f t="shared" ref="BZ6" si="235">BY6+BZ5</f>
        <v>1414650.52</v>
      </c>
      <c r="CA6" s="250">
        <f t="shared" ref="CA6" si="236">BZ6+CA5</f>
        <v>1414650.52</v>
      </c>
      <c r="CB6" s="250">
        <f t="shared" ref="CB6" si="237">CA6+CB5</f>
        <v>1414650.52</v>
      </c>
      <c r="CC6" s="250">
        <f t="shared" ref="CC6" si="238">CB6+CC5</f>
        <v>1414650.52</v>
      </c>
      <c r="CD6" s="250">
        <f t="shared" ref="CD6" si="239">CC6+CD5</f>
        <v>1414650.52</v>
      </c>
      <c r="CE6" s="250">
        <f t="shared" ref="CE6" si="240">CD6+CE5</f>
        <v>1414650.52</v>
      </c>
      <c r="CF6" s="250">
        <f t="shared" ref="CF6" si="241">CE6+CF5</f>
        <v>1414650.52</v>
      </c>
      <c r="CG6" s="250">
        <f t="shared" ref="CG6" si="242">CF6+CG5</f>
        <v>1414650.52</v>
      </c>
      <c r="CH6" s="250">
        <f t="shared" ref="CH6" si="243">CG6+CH5</f>
        <v>1414650.52</v>
      </c>
      <c r="CI6" s="250">
        <f t="shared" ref="CI6" si="244">CH6+CI5</f>
        <v>1414650.52</v>
      </c>
      <c r="CJ6" s="250">
        <f t="shared" ref="CJ6" si="245">CI6+CJ5</f>
        <v>1414650.52</v>
      </c>
      <c r="CK6" s="250">
        <f t="shared" ref="CK6" si="246">CJ6+CK5</f>
        <v>1414650.52</v>
      </c>
      <c r="CL6" s="250">
        <f t="shared" ref="CL6" si="247">CK6+CL5</f>
        <v>1414650.52</v>
      </c>
      <c r="CM6" s="250">
        <f t="shared" ref="CM6" si="248">CL6+CM5</f>
        <v>1414650.52</v>
      </c>
      <c r="CN6" s="240"/>
      <c r="CO6" s="251"/>
    </row>
    <row r="7" spans="1:569">
      <c r="A7" s="1001"/>
      <c r="B7" s="253" t="s">
        <v>413</v>
      </c>
      <c r="C7" s="254"/>
      <c r="D7" s="254"/>
      <c r="E7" s="255"/>
      <c r="F7" s="256">
        <f t="shared" ref="F7:H7" si="249">F4-F6</f>
        <v>580561.66482684645</v>
      </c>
      <c r="G7" s="256">
        <f t="shared" si="249"/>
        <v>580561.66482684645</v>
      </c>
      <c r="H7" s="256">
        <f t="shared" si="249"/>
        <v>580561.66482684645</v>
      </c>
      <c r="I7" s="256">
        <f t="shared" ref="I7" si="250">I4-I6</f>
        <v>580561.66482684645</v>
      </c>
      <c r="J7" s="256">
        <f t="shared" ref="J7:R7" si="251">J4-J6</f>
        <v>580561.66482684645</v>
      </c>
      <c r="K7" s="256">
        <f t="shared" si="251"/>
        <v>580561.66482684645</v>
      </c>
      <c r="L7" s="256">
        <f t="shared" si="251"/>
        <v>580561.66482684645</v>
      </c>
      <c r="M7" s="256">
        <f t="shared" si="251"/>
        <v>580561.66482684645</v>
      </c>
      <c r="N7" s="256">
        <f t="shared" si="251"/>
        <v>580561.66482684645</v>
      </c>
      <c r="O7" s="256">
        <f t="shared" si="251"/>
        <v>567451.66482684645</v>
      </c>
      <c r="P7" s="256">
        <f t="shared" si="251"/>
        <v>488277.49182684644</v>
      </c>
      <c r="Q7" s="256">
        <f t="shared" si="251"/>
        <v>902964.39527459396</v>
      </c>
      <c r="R7" s="256">
        <f t="shared" si="251"/>
        <v>902964.39527459396</v>
      </c>
      <c r="S7" s="256">
        <f t="shared" ref="S7:CD7" si="252">S4-S6</f>
        <v>902522.79527459387</v>
      </c>
      <c r="T7" s="256">
        <f t="shared" si="252"/>
        <v>1026285.6987223413</v>
      </c>
      <c r="U7" s="256">
        <f t="shared" si="252"/>
        <v>944720.13472234132</v>
      </c>
      <c r="V7" s="256">
        <f t="shared" si="252"/>
        <v>944720.13472234132</v>
      </c>
      <c r="W7" s="256">
        <f t="shared" si="252"/>
        <v>905820.13472234132</v>
      </c>
      <c r="X7" s="256">
        <f t="shared" si="252"/>
        <v>905820.13472234132</v>
      </c>
      <c r="Y7" s="256">
        <f t="shared" si="252"/>
        <v>792863.17972234136</v>
      </c>
      <c r="Z7" s="256">
        <f t="shared" si="252"/>
        <v>956294.87910144031</v>
      </c>
      <c r="AA7" s="256">
        <f t="shared" si="252"/>
        <v>427209.78710144036</v>
      </c>
      <c r="AB7" s="256">
        <f t="shared" si="252"/>
        <v>379145.61410144041</v>
      </c>
      <c r="AC7" s="256">
        <f t="shared" si="252"/>
        <v>379145.61410144041</v>
      </c>
      <c r="AD7" s="256">
        <f t="shared" si="252"/>
        <v>310237.28410144034</v>
      </c>
      <c r="AE7" s="256">
        <f t="shared" si="252"/>
        <v>310237.28410144034</v>
      </c>
      <c r="AF7" s="256">
        <f t="shared" si="252"/>
        <v>289845.89310144028</v>
      </c>
      <c r="AG7" s="256">
        <f t="shared" si="252"/>
        <v>289845.89310144028</v>
      </c>
      <c r="AH7" s="256">
        <f t="shared" si="252"/>
        <v>246769.93310144031</v>
      </c>
      <c r="AI7" s="256">
        <f t="shared" si="252"/>
        <v>329707.31379098981</v>
      </c>
      <c r="AJ7" s="256">
        <f t="shared" si="252"/>
        <v>329707.31379098981</v>
      </c>
      <c r="AK7" s="256">
        <f t="shared" si="252"/>
        <v>329707.31379098981</v>
      </c>
      <c r="AL7" s="256">
        <f t="shared" si="252"/>
        <v>329707.31379098981</v>
      </c>
      <c r="AM7" s="256">
        <f t="shared" si="252"/>
        <v>329707.31379098981</v>
      </c>
      <c r="AN7" s="256">
        <f t="shared" si="252"/>
        <v>329707.31379098981</v>
      </c>
      <c r="AO7" s="256">
        <f t="shared" si="252"/>
        <v>329707.31379098981</v>
      </c>
      <c r="AP7" s="256">
        <f t="shared" si="252"/>
        <v>329707.31379098981</v>
      </c>
      <c r="AQ7" s="256">
        <f t="shared" si="252"/>
        <v>329707.31379098981</v>
      </c>
      <c r="AR7" s="256">
        <f t="shared" si="252"/>
        <v>329707.31379098981</v>
      </c>
      <c r="AS7" s="256">
        <f t="shared" si="252"/>
        <v>329707.31379098981</v>
      </c>
      <c r="AT7" s="256">
        <f t="shared" si="252"/>
        <v>329707.31379098981</v>
      </c>
      <c r="AU7" s="256">
        <f t="shared" si="252"/>
        <v>329707.31379098981</v>
      </c>
      <c r="AV7" s="256">
        <f t="shared" si="252"/>
        <v>329707.31379098981</v>
      </c>
      <c r="AW7" s="256">
        <f t="shared" si="252"/>
        <v>329707.31379098981</v>
      </c>
      <c r="AX7" s="256">
        <f t="shared" si="252"/>
        <v>329707.31379098981</v>
      </c>
      <c r="AY7" s="256">
        <f t="shared" si="252"/>
        <v>329707.31379098981</v>
      </c>
      <c r="AZ7" s="256">
        <f t="shared" si="252"/>
        <v>329707.31379098981</v>
      </c>
      <c r="BA7" s="256">
        <f t="shared" si="252"/>
        <v>329707.31379098981</v>
      </c>
      <c r="BB7" s="256">
        <f t="shared" si="252"/>
        <v>329707.31379098981</v>
      </c>
      <c r="BC7" s="256">
        <f t="shared" si="252"/>
        <v>329707.31379098981</v>
      </c>
      <c r="BD7" s="256">
        <f t="shared" si="252"/>
        <v>329707.31379098981</v>
      </c>
      <c r="BE7" s="256">
        <f t="shared" si="252"/>
        <v>329707.31379098981</v>
      </c>
      <c r="BF7" s="256">
        <f t="shared" si="252"/>
        <v>329707.31379098981</v>
      </c>
      <c r="BG7" s="256">
        <f t="shared" si="252"/>
        <v>329707.31379098981</v>
      </c>
      <c r="BH7" s="256">
        <f t="shared" si="252"/>
        <v>329707.31379098981</v>
      </c>
      <c r="BI7" s="256">
        <f t="shared" si="252"/>
        <v>329707.31379098981</v>
      </c>
      <c r="BJ7" s="256">
        <f t="shared" si="252"/>
        <v>329707.31379098981</v>
      </c>
      <c r="BK7" s="256">
        <f t="shared" si="252"/>
        <v>329707.31379098981</v>
      </c>
      <c r="BL7" s="256">
        <f t="shared" si="252"/>
        <v>329707.31379098981</v>
      </c>
      <c r="BM7" s="256">
        <f t="shared" si="252"/>
        <v>329707.31379098981</v>
      </c>
      <c r="BN7" s="256">
        <f t="shared" si="252"/>
        <v>329707.31379098981</v>
      </c>
      <c r="BO7" s="256">
        <f t="shared" si="252"/>
        <v>329707.31379098981</v>
      </c>
      <c r="BP7" s="256">
        <f t="shared" si="252"/>
        <v>329707.31379098981</v>
      </c>
      <c r="BQ7" s="256">
        <f t="shared" si="252"/>
        <v>329707.31379098981</v>
      </c>
      <c r="BR7" s="256">
        <f t="shared" si="252"/>
        <v>329707.31379098981</v>
      </c>
      <c r="BS7" s="256">
        <f t="shared" si="252"/>
        <v>329707.31379098981</v>
      </c>
      <c r="BT7" s="256">
        <f t="shared" si="252"/>
        <v>329707.31379098981</v>
      </c>
      <c r="BU7" s="256">
        <f t="shared" si="252"/>
        <v>329707.31379098981</v>
      </c>
      <c r="BV7" s="256">
        <f t="shared" si="252"/>
        <v>329707.31379098981</v>
      </c>
      <c r="BW7" s="256">
        <f t="shared" si="252"/>
        <v>329707.31379098981</v>
      </c>
      <c r="BX7" s="256">
        <f t="shared" si="252"/>
        <v>329707.31379098981</v>
      </c>
      <c r="BY7" s="256">
        <f t="shared" si="252"/>
        <v>329707.31379098981</v>
      </c>
      <c r="BZ7" s="256">
        <f t="shared" si="252"/>
        <v>329707.31379098981</v>
      </c>
      <c r="CA7" s="256">
        <f t="shared" si="252"/>
        <v>329707.31379098981</v>
      </c>
      <c r="CB7" s="256">
        <f t="shared" si="252"/>
        <v>329707.31379098981</v>
      </c>
      <c r="CC7" s="256">
        <f t="shared" si="252"/>
        <v>329707.31379098981</v>
      </c>
      <c r="CD7" s="256">
        <f t="shared" si="252"/>
        <v>329707.31379098981</v>
      </c>
      <c r="CE7" s="256">
        <f t="shared" ref="CE7:CM7" si="253">CE4-CE6</f>
        <v>329707.31379098981</v>
      </c>
      <c r="CF7" s="256">
        <f t="shared" si="253"/>
        <v>329707.31379098981</v>
      </c>
      <c r="CG7" s="256">
        <f t="shared" si="253"/>
        <v>329707.31379098981</v>
      </c>
      <c r="CH7" s="256">
        <f t="shared" si="253"/>
        <v>329707.31379098981</v>
      </c>
      <c r="CI7" s="256">
        <f t="shared" si="253"/>
        <v>329707.31379098981</v>
      </c>
      <c r="CJ7" s="256">
        <f t="shared" si="253"/>
        <v>329707.31379098981</v>
      </c>
      <c r="CK7" s="256">
        <f t="shared" si="253"/>
        <v>329707.31379098981</v>
      </c>
      <c r="CL7" s="256">
        <f t="shared" si="253"/>
        <v>329707.31379098981</v>
      </c>
      <c r="CM7" s="256">
        <f t="shared" si="253"/>
        <v>329707.31379098981</v>
      </c>
    </row>
    <row r="8" spans="1:569" s="240" customFormat="1">
      <c r="A8" s="1000" t="s">
        <v>75</v>
      </c>
      <c r="B8" s="241"/>
      <c r="C8" s="242" t="s">
        <v>236</v>
      </c>
      <c r="D8" s="242" t="s">
        <v>236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</row>
    <row r="9" spans="1:569">
      <c r="A9" s="1001"/>
      <c r="B9" s="258" t="s">
        <v>414</v>
      </c>
      <c r="C9" s="259">
        <f>'Revenue Tracking'!F4</f>
        <v>1729080.5537909898</v>
      </c>
      <c r="D9" s="259">
        <f>SUM(F9:CM9)</f>
        <v>1729080.5537909898</v>
      </c>
      <c r="E9" s="246"/>
      <c r="F9" s="260">
        <f>SUMIFS('Revenue Tracking'!$F$13:$F$19, 'Revenue Tracking'!$P$13:$P$19, "&gt;="&amp;F1,'Revenue Tracking'!$P$13:$P$19, "&lt;"&amp;G1)</f>
        <v>580561.66482684645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414686.90344774752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414686.90344774752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251484.98137909902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82937.380689549507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-15277.28</v>
      </c>
      <c r="CM9" s="260">
        <f>SUMIFS('Revenue Tracking'!$F$13:$F$19, 'Revenue Tracking'!$P$13:$P$19, "&gt;="&amp;CM1,'Revenue Tracking'!$P$13:$P$19, "&lt;"&amp;CN1)</f>
        <v>0</v>
      </c>
    </row>
    <row r="10" spans="1:569">
      <c r="A10" s="1001"/>
      <c r="B10" s="258" t="s">
        <v>415</v>
      </c>
      <c r="C10" s="259"/>
      <c r="D10" s="259"/>
      <c r="E10" s="246"/>
      <c r="F10" s="260">
        <f>F9</f>
        <v>580561.66482684645</v>
      </c>
      <c r="G10" s="260">
        <f>F10+G9</f>
        <v>580561.66482684645</v>
      </c>
      <c r="H10" s="260">
        <f>G10+H9</f>
        <v>580561.66482684645</v>
      </c>
      <c r="I10" s="260">
        <f t="shared" ref="I10" si="254">H10+I9</f>
        <v>580561.66482684645</v>
      </c>
      <c r="J10" s="260">
        <f t="shared" ref="J10" si="255">I10+J9</f>
        <v>580561.66482684645</v>
      </c>
      <c r="K10" s="260">
        <f t="shared" ref="K10" si="256">J10+K9</f>
        <v>580561.66482684645</v>
      </c>
      <c r="L10" s="260">
        <f t="shared" ref="L10" si="257">K10+L9</f>
        <v>580561.66482684645</v>
      </c>
      <c r="M10" s="260">
        <f t="shared" ref="M10" si="258">L10+M9</f>
        <v>580561.66482684645</v>
      </c>
      <c r="N10" s="260">
        <f t="shared" ref="N10" si="259">M10+N9</f>
        <v>580561.66482684645</v>
      </c>
      <c r="O10" s="260">
        <f t="shared" ref="O10" si="260">N10+O9</f>
        <v>580561.66482684645</v>
      </c>
      <c r="P10" s="260">
        <f t="shared" ref="P10" si="261">O10+P9</f>
        <v>580561.66482684645</v>
      </c>
      <c r="Q10" s="260">
        <f t="shared" ref="Q10" si="262">P10+Q9</f>
        <v>580561.66482684645</v>
      </c>
      <c r="R10" s="260">
        <f t="shared" ref="R10" si="263">Q10+R9</f>
        <v>995248.56827459391</v>
      </c>
      <c r="S10" s="260">
        <f t="shared" ref="S10" si="264">R10+S9</f>
        <v>995248.56827459391</v>
      </c>
      <c r="T10" s="260">
        <f t="shared" ref="T10" si="265">S10+T9</f>
        <v>995248.56827459391</v>
      </c>
      <c r="U10" s="260">
        <f t="shared" ref="U10" si="266">T10+U9</f>
        <v>995248.56827459391</v>
      </c>
      <c r="V10" s="260">
        <f t="shared" ref="V10" si="267">U10+V9</f>
        <v>995248.56827459391</v>
      </c>
      <c r="W10" s="260">
        <f t="shared" ref="W10" si="268">V10+W9</f>
        <v>995248.56827459391</v>
      </c>
      <c r="X10" s="260">
        <f t="shared" ref="X10" si="269">W10+X9</f>
        <v>995248.56827459391</v>
      </c>
      <c r="Y10" s="260">
        <f t="shared" ref="Y10" si="270">X10+Y9</f>
        <v>1409935.4717223414</v>
      </c>
      <c r="Z10" s="260">
        <f t="shared" ref="Z10" si="271">Y10+Z9</f>
        <v>1409935.4717223414</v>
      </c>
      <c r="AA10" s="260">
        <f t="shared" ref="AA10" si="272">Z10+AA9</f>
        <v>1409935.4717223414</v>
      </c>
      <c r="AB10" s="260">
        <f t="shared" ref="AB10" si="273">AA10+AB9</f>
        <v>1409935.4717223414</v>
      </c>
      <c r="AC10" s="260">
        <f t="shared" ref="AC10" si="274">AB10+AC9</f>
        <v>1409935.4717223414</v>
      </c>
      <c r="AD10" s="260">
        <f t="shared" ref="AD10" si="275">AC10+AD9</f>
        <v>1409935.4717223414</v>
      </c>
      <c r="AE10" s="260">
        <f t="shared" ref="AE10" si="276">AD10+AE9</f>
        <v>1409935.4717223414</v>
      </c>
      <c r="AF10" s="260">
        <f t="shared" ref="AF10" si="277">AE10+AF9</f>
        <v>1409935.4717223414</v>
      </c>
      <c r="AG10" s="260">
        <f t="shared" ref="AG10" si="278">AF10+AG9</f>
        <v>1409935.4717223414</v>
      </c>
      <c r="AH10" s="260">
        <f t="shared" ref="AH10" si="279">AG10+AH9</f>
        <v>1661420.4531014403</v>
      </c>
      <c r="AI10" s="260">
        <f t="shared" ref="AI10" si="280">AH10+AI9</f>
        <v>1661420.4531014403</v>
      </c>
      <c r="AJ10" s="260">
        <f t="shared" ref="AJ10" si="281">AI10+AJ9</f>
        <v>1661420.4531014403</v>
      </c>
      <c r="AK10" s="260">
        <f t="shared" ref="AK10" si="282">AJ10+AK9</f>
        <v>1661420.4531014403</v>
      </c>
      <c r="AL10" s="260">
        <f t="shared" ref="AL10" si="283">AK10+AL9</f>
        <v>1661420.4531014403</v>
      </c>
      <c r="AM10" s="260">
        <f t="shared" ref="AM10" si="284">AL10+AM9</f>
        <v>1661420.4531014403</v>
      </c>
      <c r="AN10" s="260">
        <f t="shared" ref="AN10" si="285">AM10+AN9</f>
        <v>1661420.4531014403</v>
      </c>
      <c r="AO10" s="260">
        <f t="shared" ref="AO10" si="286">AN10+AO9</f>
        <v>1661420.4531014403</v>
      </c>
      <c r="AP10" s="260">
        <f t="shared" ref="AP10" si="287">AO10+AP9</f>
        <v>1661420.4531014403</v>
      </c>
      <c r="AQ10" s="260">
        <f t="shared" ref="AQ10" si="288">AP10+AQ9</f>
        <v>1661420.4531014403</v>
      </c>
      <c r="AR10" s="260">
        <f t="shared" ref="AR10" si="289">AQ10+AR9</f>
        <v>1661420.4531014403</v>
      </c>
      <c r="AS10" s="260">
        <f t="shared" ref="AS10" si="290">AR10+AS9</f>
        <v>1661420.4531014403</v>
      </c>
      <c r="AT10" s="260">
        <f t="shared" ref="AT10" si="291">AS10+AT9</f>
        <v>1661420.4531014403</v>
      </c>
      <c r="AU10" s="260">
        <f t="shared" ref="AU10" si="292">AT10+AU9</f>
        <v>1661420.4531014403</v>
      </c>
      <c r="AV10" s="260">
        <f t="shared" ref="AV10" si="293">AU10+AV9</f>
        <v>1661420.4531014403</v>
      </c>
      <c r="AW10" s="260">
        <f t="shared" ref="AW10" si="294">AV10+AW9</f>
        <v>1661420.4531014403</v>
      </c>
      <c r="AX10" s="260">
        <f t="shared" ref="AX10" si="295">AW10+AX9</f>
        <v>1661420.4531014403</v>
      </c>
      <c r="AY10" s="260">
        <f t="shared" ref="AY10" si="296">AX10+AY9</f>
        <v>1661420.4531014403</v>
      </c>
      <c r="AZ10" s="260">
        <f t="shared" ref="AZ10" si="297">AY10+AZ9</f>
        <v>1661420.4531014403</v>
      </c>
      <c r="BA10" s="260">
        <f t="shared" ref="BA10" si="298">AZ10+BA9</f>
        <v>1661420.4531014403</v>
      </c>
      <c r="BB10" s="260">
        <f t="shared" ref="BB10" si="299">BA10+BB9</f>
        <v>1661420.4531014403</v>
      </c>
      <c r="BC10" s="260">
        <f t="shared" ref="BC10" si="300">BB10+BC9</f>
        <v>1661420.4531014403</v>
      </c>
      <c r="BD10" s="260">
        <f t="shared" ref="BD10" si="301">BC10+BD9</f>
        <v>1661420.4531014403</v>
      </c>
      <c r="BE10" s="260">
        <f t="shared" ref="BE10" si="302">BD10+BE9</f>
        <v>1661420.4531014403</v>
      </c>
      <c r="BF10" s="260">
        <f t="shared" ref="BF10" si="303">BE10+BF9</f>
        <v>1661420.4531014403</v>
      </c>
      <c r="BG10" s="260">
        <f t="shared" ref="BG10" si="304">BF10+BG9</f>
        <v>1661420.4531014403</v>
      </c>
      <c r="BH10" s="260">
        <f t="shared" ref="BH10" si="305">BG10+BH9</f>
        <v>1661420.4531014403</v>
      </c>
      <c r="BI10" s="260">
        <f t="shared" ref="BI10" si="306">BH10+BI9</f>
        <v>1661420.4531014403</v>
      </c>
      <c r="BJ10" s="260">
        <f t="shared" ref="BJ10" si="307">BI10+BJ9</f>
        <v>1661420.4531014403</v>
      </c>
      <c r="BK10" s="260">
        <f t="shared" ref="BK10" si="308">BJ10+BK9</f>
        <v>1661420.4531014403</v>
      </c>
      <c r="BL10" s="260">
        <f t="shared" ref="BL10" si="309">BK10+BL9</f>
        <v>1661420.4531014403</v>
      </c>
      <c r="BM10" s="260">
        <f t="shared" ref="BM10" si="310">BL10+BM9</f>
        <v>1661420.4531014403</v>
      </c>
      <c r="BN10" s="260">
        <f t="shared" ref="BN10" si="311">BM10+BN9</f>
        <v>1661420.4531014403</v>
      </c>
      <c r="BO10" s="260">
        <f t="shared" ref="BO10" si="312">BN10+BO9</f>
        <v>1661420.4531014403</v>
      </c>
      <c r="BP10" s="260">
        <f t="shared" ref="BP10" si="313">BO10+BP9</f>
        <v>1661420.4531014403</v>
      </c>
      <c r="BQ10" s="260">
        <f t="shared" ref="BQ10" si="314">BP10+BQ9</f>
        <v>1661420.4531014403</v>
      </c>
      <c r="BR10" s="260">
        <f t="shared" ref="BR10" si="315">BQ10+BR9</f>
        <v>1661420.4531014403</v>
      </c>
      <c r="BS10" s="260">
        <f t="shared" ref="BS10" si="316">BR10+BS9</f>
        <v>1744357.8337909898</v>
      </c>
      <c r="BT10" s="260">
        <f t="shared" ref="BT10" si="317">BS10+BT9</f>
        <v>1744357.8337909898</v>
      </c>
      <c r="BU10" s="260">
        <f t="shared" ref="BU10" si="318">BT10+BU9</f>
        <v>1744357.8337909898</v>
      </c>
      <c r="BV10" s="260">
        <f t="shared" ref="BV10" si="319">BU10+BV9</f>
        <v>1744357.8337909898</v>
      </c>
      <c r="BW10" s="260">
        <f t="shared" ref="BW10" si="320">BV10+BW9</f>
        <v>1744357.8337909898</v>
      </c>
      <c r="BX10" s="260">
        <f t="shared" ref="BX10" si="321">BW10+BX9</f>
        <v>1744357.8337909898</v>
      </c>
      <c r="BY10" s="260">
        <f t="shared" ref="BY10" si="322">BX10+BY9</f>
        <v>1744357.8337909898</v>
      </c>
      <c r="BZ10" s="260">
        <f t="shared" ref="BZ10" si="323">BY10+BZ9</f>
        <v>1744357.8337909898</v>
      </c>
      <c r="CA10" s="260">
        <f t="shared" ref="CA10" si="324">BZ10+CA9</f>
        <v>1744357.8337909898</v>
      </c>
      <c r="CB10" s="260">
        <f t="shared" ref="CB10" si="325">CA10+CB9</f>
        <v>1744357.8337909898</v>
      </c>
      <c r="CC10" s="260">
        <f t="shared" ref="CC10" si="326">CB10+CC9</f>
        <v>1744357.8337909898</v>
      </c>
      <c r="CD10" s="260">
        <f t="shared" ref="CD10" si="327">CC10+CD9</f>
        <v>1744357.8337909898</v>
      </c>
      <c r="CE10" s="260">
        <f t="shared" ref="CE10" si="328">CD10+CE9</f>
        <v>1744357.8337909898</v>
      </c>
      <c r="CF10" s="260">
        <f t="shared" ref="CF10" si="329">CE10+CF9</f>
        <v>1744357.8337909898</v>
      </c>
      <c r="CG10" s="260">
        <f t="shared" ref="CG10" si="330">CF10+CG9</f>
        <v>1744357.8337909898</v>
      </c>
      <c r="CH10" s="260">
        <f t="shared" ref="CH10" si="331">CG10+CH9</f>
        <v>1744357.8337909898</v>
      </c>
      <c r="CI10" s="260">
        <f t="shared" ref="CI10" si="332">CH10+CI9</f>
        <v>1744357.8337909898</v>
      </c>
      <c r="CJ10" s="260">
        <f t="shared" ref="CJ10" si="333">CI10+CJ9</f>
        <v>1744357.8337909898</v>
      </c>
      <c r="CK10" s="260">
        <f t="shared" ref="CK10" si="334">CJ10+CK9</f>
        <v>1744357.8337909898</v>
      </c>
      <c r="CL10" s="260">
        <f t="shared" ref="CL10" si="335">CK10+CL9</f>
        <v>1729080.5537909898</v>
      </c>
      <c r="CM10" s="260">
        <f t="shared" ref="CM10" si="336">CL10+CM9</f>
        <v>1729080.5537909898</v>
      </c>
    </row>
    <row r="11" spans="1:569" s="252" customFormat="1">
      <c r="A11" s="1001"/>
      <c r="B11" s="261" t="s">
        <v>416</v>
      </c>
      <c r="C11" s="262">
        <f>'Revenue Tracking'!F5</f>
        <v>1424359.4399999997</v>
      </c>
      <c r="D11" s="262">
        <f>SUM(F11:CM11)</f>
        <v>1424359.44</v>
      </c>
      <c r="E11" s="246"/>
      <c r="F11" s="263">
        <f>SUMIFS('Expenditure Breakdown'!$R$6:$R$124, 'Expenditure Breakdown'!$W$6:$W$124, "&gt;="&amp;F1,'Expenditure Breakdown'!$W$6:$W$124, "&lt;"&amp;G1)</f>
        <v>0</v>
      </c>
      <c r="G11" s="263">
        <f>SUMIFS('Expenditure Breakdown'!$R$6:$R$124, 'Expenditure Breakdown'!$W$6:$W$124, "&gt;="&amp;G1,'Expenditure Breakdown'!$W$6:$W$124, "&lt;"&amp;H1)</f>
        <v>0</v>
      </c>
      <c r="H11" s="263">
        <f>SUMIFS('Expenditure Breakdown'!$R$6:$R$124, 'Expenditure Breakdown'!$W$6:$W$124, "&gt;="&amp;H1,'Expenditure Breakdown'!$W$6:$W$124, "&lt;"&amp;I1)</f>
        <v>0</v>
      </c>
      <c r="I11" s="263">
        <f>SUMIFS('Expenditure Breakdown'!$R$6:$R$124, 'Expenditure Breakdown'!$W$6:$W$124, "&gt;="&amp;I1,'Expenditure Breakdown'!$W$6:$W$124, "&lt;"&amp;J1)</f>
        <v>0</v>
      </c>
      <c r="J11" s="263">
        <f>SUMIFS('Expenditure Breakdown'!$R$6:$R$124, 'Expenditure Breakdown'!$W$6:$W$124, "&gt;="&amp;J1,'Expenditure Breakdown'!$W$6:$W$124, "&lt;"&amp;K1)</f>
        <v>0</v>
      </c>
      <c r="K11" s="263">
        <f>SUMIFS('Expenditure Breakdown'!$R$6:$R$124, 'Expenditure Breakdown'!$W$6:$W$124, "&gt;="&amp;K1,'Expenditure Breakdown'!$W$6:$W$124, "&lt;"&amp;L1)</f>
        <v>0</v>
      </c>
      <c r="L11" s="263">
        <f>SUMIFS('Expenditure Breakdown'!$R$6:$R$124, 'Expenditure Breakdown'!$W$6:$W$124, "&gt;="&amp;L1,'Expenditure Breakdown'!$W$6:$W$124, "&lt;"&amp;M1)</f>
        <v>0</v>
      </c>
      <c r="M11" s="263">
        <f>SUMIFS('Expenditure Breakdown'!$R$6:$R$124, 'Expenditure Breakdown'!$W$6:$W$124, "&gt;="&amp;M1,'Expenditure Breakdown'!$W$6:$W$124, "&lt;"&amp;N1)</f>
        <v>25080.76</v>
      </c>
      <c r="N11" s="263">
        <f>SUMIFS('Expenditure Breakdown'!$R$6:$R$124, 'Expenditure Breakdown'!$W$6:$W$124, "&gt;="&amp;N1,'Expenditure Breakdown'!$W$6:$W$124, "&lt;"&amp;O1)</f>
        <v>0</v>
      </c>
      <c r="O11" s="263">
        <f>SUMIFS('Expenditure Breakdown'!$R$6:$R$124, 'Expenditure Breakdown'!$W$6:$W$124, "&gt;="&amp;O1,'Expenditure Breakdown'!$W$6:$W$124, "&lt;"&amp;P1)</f>
        <v>0</v>
      </c>
      <c r="P11" s="263">
        <f>SUMIFS('Expenditure Breakdown'!$R$6:$R$124, 'Expenditure Breakdown'!$W$6:$W$124, "&gt;="&amp;P1,'Expenditure Breakdown'!$W$6:$W$124, "&lt;"&amp;Q1)</f>
        <v>295066.00000000006</v>
      </c>
      <c r="Q11" s="263">
        <f>SUMIFS('Expenditure Breakdown'!$R$6:$R$124, 'Expenditure Breakdown'!$W$6:$W$124, "&gt;="&amp;Q1,'Expenditure Breakdown'!$W$6:$W$124, "&lt;"&amp;R1)</f>
        <v>26690.98</v>
      </c>
      <c r="R11" s="263">
        <f>SUMIFS('Expenditure Breakdown'!$R$6:$R$124, 'Expenditure Breakdown'!$W$6:$W$124, "&gt;="&amp;R1,'Expenditure Breakdown'!$W$6:$W$124, "&lt;"&amp;S1)</f>
        <v>144505.01999999999</v>
      </c>
      <c r="S11" s="263">
        <f>SUMIFS('Expenditure Breakdown'!$R$6:$R$124, 'Expenditure Breakdown'!$W$6:$W$124, "&gt;="&amp;S1,'Expenditure Breakdown'!$W$6:$W$124, "&lt;"&amp;T1)</f>
        <v>7250</v>
      </c>
      <c r="T11" s="263">
        <f>SUMIFS('Expenditure Breakdown'!$R$6:$R$124, 'Expenditure Breakdown'!$W$6:$W$124, "&gt;="&amp;T1,'Expenditure Breakdown'!$W$6:$W$124, "&lt;"&amp;U1)</f>
        <v>0</v>
      </c>
      <c r="U11" s="263">
        <f>SUMIFS('Expenditure Breakdown'!$R$6:$R$124, 'Expenditure Breakdown'!$W$6:$W$124, "&gt;="&amp;U1,'Expenditure Breakdown'!$W$6:$W$124, "&lt;"&amp;V1)</f>
        <v>332921.7</v>
      </c>
      <c r="V11" s="263">
        <f>SUMIFS('Expenditure Breakdown'!$R$6:$R$124, 'Expenditure Breakdown'!$W$6:$W$124, "&gt;="&amp;V1,'Expenditure Breakdown'!$W$6:$W$124, "&lt;"&amp;W1)</f>
        <v>1671</v>
      </c>
      <c r="W11" s="263">
        <f>SUMIFS('Expenditure Breakdown'!$R$6:$R$124, 'Expenditure Breakdown'!$W$6:$W$124, "&gt;="&amp;W1,'Expenditure Breakdown'!$W$6:$W$124, "&lt;"&amp;X1)</f>
        <v>0</v>
      </c>
      <c r="X11" s="263">
        <f>SUMIFS('Expenditure Breakdown'!$R$6:$R$124, 'Expenditure Breakdown'!$W$6:$W$124, "&gt;="&amp;X1,'Expenditure Breakdown'!$W$6:$W$124, "&lt;"&amp;Y1)</f>
        <v>0</v>
      </c>
      <c r="Y11" s="263">
        <f>SUMIFS('Expenditure Breakdown'!$R$6:$R$124, 'Expenditure Breakdown'!$W$6:$W$124, "&gt;="&amp;Y1,'Expenditure Breakdown'!$W$6:$W$124, "&lt;"&amp;Z1)</f>
        <v>262852.49517238734</v>
      </c>
      <c r="Z11" s="263">
        <f>SUMIFS('Expenditure Breakdown'!$R$6:$R$124, 'Expenditure Breakdown'!$W$6:$W$124, "&gt;="&amp;Z1,'Expenditure Breakdown'!$W$6:$W$124, "&lt;"&amp;AA1)</f>
        <v>61773.460000000006</v>
      </c>
      <c r="AA11" s="263">
        <f>SUMIFS('Expenditure Breakdown'!$R$6:$R$124, 'Expenditure Breakdown'!$W$6:$W$124, "&gt;="&amp;AA1,'Expenditure Breakdown'!$W$6:$W$124, "&lt;"&amp;AB1)</f>
        <v>21537.98</v>
      </c>
      <c r="AB11" s="263">
        <f>SUMIFS('Expenditure Breakdown'!$R$6:$R$124, 'Expenditure Breakdown'!$W$6:$W$124, "&gt;="&amp;AB1,'Expenditure Breakdown'!$W$6:$W$124, "&lt;"&amp;AC1)</f>
        <v>0</v>
      </c>
      <c r="AC11" s="263">
        <f>SUMIFS('Expenditure Breakdown'!$R$6:$R$124, 'Expenditure Breakdown'!$W$6:$W$124, "&gt;="&amp;AC1,'Expenditure Breakdown'!$W$6:$W$124, "&lt;"&amp;AD1)</f>
        <v>0</v>
      </c>
      <c r="AD11" s="263">
        <f>SUMIFS('Expenditure Breakdown'!$R$6:$R$124, 'Expenditure Breakdown'!$W$6:$W$124, "&gt;="&amp;AD1,'Expenditure Breakdown'!$W$6:$W$124, "&lt;"&amp;AE1)</f>
        <v>0</v>
      </c>
      <c r="AE11" s="263">
        <f>SUMIFS('Expenditure Breakdown'!$R$6:$R$124, 'Expenditure Breakdown'!$W$6:$W$124, "&gt;="&amp;AE1,'Expenditure Breakdown'!$W$6:$W$124, "&lt;"&amp;AF1)</f>
        <v>0</v>
      </c>
      <c r="AF11" s="263">
        <f>SUMIFS('Expenditure Breakdown'!$R$6:$R$124, 'Expenditure Breakdown'!$W$6:$W$124, "&gt;="&amp;AF1,'Expenditure Breakdown'!$W$6:$W$124, "&lt;"&amp;AG1)</f>
        <v>3551.19</v>
      </c>
      <c r="AG11" s="263">
        <f>SUMIFS('Expenditure Breakdown'!$R$6:$R$124, 'Expenditure Breakdown'!$W$6:$W$124, "&gt;="&amp;AG1,'Expenditure Breakdown'!$W$6:$W$124, "&lt;"&amp;AH1)</f>
        <v>0</v>
      </c>
      <c r="AH11" s="263">
        <f>SUMIFS('Expenditure Breakdown'!$R$6:$R$124, 'Expenditure Breakdown'!$W$6:$W$124, "&gt;="&amp;AH1,'Expenditure Breakdown'!$W$6:$W$124, "&lt;"&amp;AI1)</f>
        <v>80047.75</v>
      </c>
      <c r="AI11" s="263">
        <f>SUMIFS('Expenditure Breakdown'!$R$6:$R$124, 'Expenditure Breakdown'!$W$6:$W$124, "&gt;="&amp;AI1,'Expenditure Breakdown'!$W$6:$W$124, "&lt;"&amp;AJ1)</f>
        <v>1016.02</v>
      </c>
      <c r="AJ11" s="263">
        <f>SUMIFS('Expenditure Breakdown'!$R$6:$R$124, 'Expenditure Breakdown'!$W$6:$W$124, "&gt;="&amp;AJ1,'Expenditure Breakdown'!$W$6:$W$124, "&lt;"&amp;AK1)</f>
        <v>20192.2</v>
      </c>
      <c r="AK11" s="263">
        <f>SUMIFS('Expenditure Breakdown'!$R$6:$R$124, 'Expenditure Breakdown'!$W$6:$W$124, "&gt;="&amp;AK1,'Expenditure Breakdown'!$W$6:$W$124, "&lt;"&amp;AL1)</f>
        <v>0</v>
      </c>
      <c r="AL11" s="263">
        <f>SUMIFS('Expenditure Breakdown'!$R$6:$R$124, 'Expenditure Breakdown'!$W$6:$W$124, "&gt;="&amp;AL1,'Expenditure Breakdown'!$W$6:$W$124, "&lt;"&amp;AM1)</f>
        <v>0</v>
      </c>
      <c r="AM11" s="263">
        <f>SUMIFS('Expenditure Breakdown'!$R$6:$R$124, 'Expenditure Breakdown'!$W$6:$W$124, "&gt;="&amp;AM1,'Expenditure Breakdown'!$W$6:$W$124, "&lt;"&amp;AN1)</f>
        <v>20789.560000000001</v>
      </c>
      <c r="AN11" s="263">
        <f>SUMIFS('Expenditure Breakdown'!$R$6:$R$124, 'Expenditure Breakdown'!$W$6:$W$124, "&gt;="&amp;AN1,'Expenditure Breakdown'!$W$6:$W$124, "&lt;"&amp;AO1)</f>
        <v>0</v>
      </c>
      <c r="AO11" s="263">
        <f>SUMIFS('Expenditure Breakdown'!$R$6:$R$124, 'Expenditure Breakdown'!$W$6:$W$124, "&gt;="&amp;AO1,'Expenditure Breakdown'!$W$6:$W$124, "&lt;"&amp;AP1)</f>
        <v>0</v>
      </c>
      <c r="AP11" s="263">
        <f>SUMIFS('Expenditure Breakdown'!$R$6:$R$124, 'Expenditure Breakdown'!$W$6:$W$124, "&gt;="&amp;AP1,'Expenditure Breakdown'!$W$6:$W$124, "&lt;"&amp;AQ1)</f>
        <v>39900</v>
      </c>
      <c r="AQ11" s="263">
        <f>SUMIFS('Expenditure Breakdown'!$R$6:$R$124, 'Expenditure Breakdown'!$W$6:$W$124, "&gt;="&amp;AQ1,'Expenditure Breakdown'!$W$6:$W$124, "&lt;"&amp;AR1)</f>
        <v>0</v>
      </c>
      <c r="AR11" s="263">
        <f>SUMIFS('Expenditure Breakdown'!$R$6:$R$124, 'Expenditure Breakdown'!$W$6:$W$124, "&gt;="&amp;AR1,'Expenditure Breakdown'!$W$6:$W$124, "&lt;"&amp;AS1)</f>
        <v>0</v>
      </c>
      <c r="AS11" s="263">
        <f>SUMIFS('Expenditure Breakdown'!$R$6:$R$124, 'Expenditure Breakdown'!$W$6:$W$124, "&gt;="&amp;AS1,'Expenditure Breakdown'!$W$6:$W$124, "&lt;"&amp;AT1)</f>
        <v>0</v>
      </c>
      <c r="AT11" s="263">
        <f>SUMIFS('Expenditure Breakdown'!$R$6:$R$124, 'Expenditure Breakdown'!$W$6:$W$124, "&gt;="&amp;AT1,'Expenditure Breakdown'!$W$6:$W$124, "&lt;"&amp;AU1)</f>
        <v>0</v>
      </c>
      <c r="AU11" s="263">
        <f>SUMIFS('Expenditure Breakdown'!$R$6:$R$124, 'Expenditure Breakdown'!$W$6:$W$124, "&gt;="&amp;AU1,'Expenditure Breakdown'!$W$6:$W$124, "&lt;"&amp;AV1)</f>
        <v>0</v>
      </c>
      <c r="AV11" s="263">
        <f>SUMIFS('Expenditure Breakdown'!$R$6:$R$124, 'Expenditure Breakdown'!$W$6:$W$124, "&gt;="&amp;AV1,'Expenditure Breakdown'!$W$6:$W$124, "&lt;"&amp;AW1)</f>
        <v>1087.98</v>
      </c>
      <c r="AW11" s="263">
        <f>SUMIFS('Expenditure Breakdown'!$R$6:$R$124, 'Expenditure Breakdown'!$W$6:$W$124, "&gt;="&amp;AW1,'Expenditure Breakdown'!$W$6:$W$124, "&lt;"&amp;AX1)</f>
        <v>22409.279999999999</v>
      </c>
      <c r="AX11" s="263">
        <f>SUMIFS('Expenditure Breakdown'!$R$6:$R$124, 'Expenditure Breakdown'!$W$6:$W$124, "&gt;="&amp;AX1,'Expenditure Breakdown'!$W$6:$W$124, "&lt;"&amp;AY1)</f>
        <v>0</v>
      </c>
      <c r="AY11" s="263">
        <f>SUMIFS('Expenditure Breakdown'!$R$6:$R$124, 'Expenditure Breakdown'!$W$6:$W$124, "&gt;="&amp;AY1,'Expenditure Breakdown'!$W$6:$W$124, "&lt;"&amp;AZ1)</f>
        <v>6852.76</v>
      </c>
      <c r="AZ11" s="263">
        <f>SUMIFS('Expenditure Breakdown'!$R$6:$R$124, 'Expenditure Breakdown'!$W$6:$W$124, "&gt;="&amp;AZ1,'Expenditure Breakdown'!$W$6:$W$124, "&lt;"&amp;BA1)</f>
        <v>0</v>
      </c>
      <c r="BA11" s="263">
        <f>SUMIFS('Expenditure Breakdown'!$R$6:$R$124, 'Expenditure Breakdown'!$W$6:$W$124, "&gt;="&amp;BA1,'Expenditure Breakdown'!$W$6:$W$124, "&lt;"&amp;BB1)</f>
        <v>0</v>
      </c>
      <c r="BB11" s="263">
        <f>SUMIFS('Expenditure Breakdown'!$R$6:$R$124, 'Expenditure Breakdown'!$W$6:$W$124, "&gt;="&amp;BB1,'Expenditure Breakdown'!$W$6:$W$124, "&lt;"&amp;BC1)</f>
        <v>0</v>
      </c>
      <c r="BC11" s="263">
        <f>SUMIFS('Expenditure Breakdown'!$R$6:$R$124, 'Expenditure Breakdown'!$W$6:$W$124, "&gt;="&amp;BC1,'Expenditure Breakdown'!$W$6:$W$124, "&lt;"&amp;BD1)</f>
        <v>0</v>
      </c>
      <c r="BD11" s="263">
        <f>SUMIFS('Expenditure Breakdown'!$R$6:$R$124, 'Expenditure Breakdown'!$W$6:$W$124, "&gt;="&amp;BD1,'Expenditure Breakdown'!$W$6:$W$124, "&lt;"&amp;BE1)</f>
        <v>110.45</v>
      </c>
      <c r="BE11" s="263">
        <f>SUMIFS('Expenditure Breakdown'!$R$6:$R$124, 'Expenditure Breakdown'!$W$6:$W$124, "&gt;="&amp;BE1,'Expenditure Breakdown'!$W$6:$W$124, "&lt;"&amp;BF1)</f>
        <v>0</v>
      </c>
      <c r="BF11" s="263">
        <f>SUMIFS('Expenditure Breakdown'!$R$6:$R$124, 'Expenditure Breakdown'!$W$6:$W$124, "&gt;="&amp;BF1,'Expenditure Breakdown'!$W$6:$W$124, "&lt;"&amp;BG1)</f>
        <v>0</v>
      </c>
      <c r="BG11" s="263">
        <f>SUMIFS('Expenditure Breakdown'!$R$6:$R$124, 'Expenditure Breakdown'!$W$6:$W$124, "&gt;="&amp;BG1,'Expenditure Breakdown'!$W$6:$W$124, "&lt;"&amp;BH1)</f>
        <v>0</v>
      </c>
      <c r="BH11" s="263">
        <f>SUMIFS('Expenditure Breakdown'!$R$6:$R$124, 'Expenditure Breakdown'!$W$6:$W$124, "&gt;="&amp;BH1,'Expenditure Breakdown'!$W$6:$W$124, "&lt;"&amp;BI1)</f>
        <v>19387.2</v>
      </c>
      <c r="BI11" s="263">
        <f>SUMIFS('Expenditure Breakdown'!$R$6:$R$124, 'Expenditure Breakdown'!$W$6:$W$124, "&gt;="&amp;BI1,'Expenditure Breakdown'!$W$6:$W$124, "&lt;"&amp;BJ1)</f>
        <v>0</v>
      </c>
      <c r="BJ11" s="263">
        <f>SUMIFS('Expenditure Breakdown'!$R$6:$R$124, 'Expenditure Breakdown'!$W$6:$W$124, "&gt;="&amp;BJ1,'Expenditure Breakdown'!$W$6:$W$124, "&lt;"&amp;BK1)</f>
        <v>0</v>
      </c>
      <c r="BK11" s="263">
        <f>SUMIFS('Expenditure Breakdown'!$R$6:$R$124, 'Expenditure Breakdown'!$W$6:$W$124, "&gt;="&amp;BK1,'Expenditure Breakdown'!$W$6:$W$124, "&lt;"&amp;BL1)</f>
        <v>0</v>
      </c>
      <c r="BL11" s="263">
        <f>SUMIFS('Expenditure Breakdown'!$R$6:$R$124, 'Expenditure Breakdown'!$W$6:$W$124, "&gt;="&amp;BL1,'Expenditure Breakdown'!$W$6:$W$124, "&lt;"&amp;BM1)</f>
        <v>29665.654827612623</v>
      </c>
      <c r="BM11" s="263">
        <f>SUMIFS('Expenditure Breakdown'!$R$6:$R$124, 'Expenditure Breakdown'!$W$6:$W$124, "&gt;="&amp;BM1,'Expenditure Breakdown'!$W$6:$W$124, "&lt;"&amp;BN1)</f>
        <v>0</v>
      </c>
      <c r="BN11" s="263">
        <f>SUMIFS('Expenditure Breakdown'!$R$6:$R$124, 'Expenditure Breakdown'!$W$6:$W$124, "&gt;="&amp;BN1,'Expenditure Breakdown'!$W$6:$W$124, "&lt;"&amp;BO1)</f>
        <v>0</v>
      </c>
      <c r="BO11" s="263">
        <f>SUMIFS('Expenditure Breakdown'!$R$6:$R$124, 'Expenditure Breakdown'!$W$6:$W$124, "&gt;="&amp;BO1,'Expenditure Breakdown'!$W$6:$W$124, "&lt;"&amp;BP1)</f>
        <v>0</v>
      </c>
      <c r="BP11" s="263">
        <f>SUMIFS('Expenditure Breakdown'!$R$6:$R$124, 'Expenditure Breakdown'!$W$6:$W$124, "&gt;="&amp;BP1,'Expenditure Breakdown'!$W$6:$W$124, "&lt;"&amp;BQ1)</f>
        <v>0</v>
      </c>
      <c r="BQ11" s="263">
        <f>SUMIFS('Expenditure Breakdown'!$R$6:$R$124, 'Expenditure Breakdown'!$W$6:$W$124, "&gt;="&amp;BQ1,'Expenditure Breakdown'!$W$6:$W$124, "&lt;"&amp;BR1)</f>
        <v>0</v>
      </c>
      <c r="BR11" s="263">
        <f>SUMIFS('Expenditure Breakdown'!$R$6:$R$124, 'Expenditure Breakdown'!$W$6:$W$124, "&gt;="&amp;BR1,'Expenditure Breakdown'!$W$6:$W$124, "&lt;"&amp;BS1)</f>
        <v>0</v>
      </c>
      <c r="BS11" s="263">
        <f>SUMIFS('Expenditure Breakdown'!$R$6:$R$124, 'Expenditure Breakdown'!$W$6:$W$124, "&gt;="&amp;BS1,'Expenditure Breakdown'!$W$6:$W$124, "&lt;"&amp;BT1)</f>
        <v>0</v>
      </c>
      <c r="BT11" s="263">
        <f>SUMIFS('Expenditure Breakdown'!$R$6:$R$124, 'Expenditure Breakdown'!$W$6:$W$124, "&gt;="&amp;BT1,'Expenditure Breakdown'!$W$6:$W$124, "&lt;"&amp;BU1)</f>
        <v>0</v>
      </c>
      <c r="BU11" s="263">
        <f>SUMIFS('Expenditure Breakdown'!$R$6:$R$124, 'Expenditure Breakdown'!$W$6:$W$124, "&gt;="&amp;BU1,'Expenditure Breakdown'!$W$6:$W$124, "&lt;"&amp;BV1)</f>
        <v>0</v>
      </c>
      <c r="BV11" s="263">
        <f>SUMIFS('Expenditure Breakdown'!$R$6:$R$124, 'Expenditure Breakdown'!$W$6:$W$124, "&gt;="&amp;BV1,'Expenditure Breakdown'!$W$6:$W$124, "&lt;"&amp;BW1)</f>
        <v>0</v>
      </c>
      <c r="BW11" s="263">
        <f>SUMIFS('Expenditure Breakdown'!$R$6:$R$124, 'Expenditure Breakdown'!$W$6:$W$124, "&gt;="&amp;BW1,'Expenditure Breakdown'!$W$6:$W$124, "&lt;"&amp;BX1)</f>
        <v>0</v>
      </c>
      <c r="BX11" s="263">
        <f>SUMIFS('Expenditure Breakdown'!$R$6:$R$124, 'Expenditure Breakdown'!$W$6:$W$124, "&gt;="&amp;BX1,'Expenditure Breakdown'!$W$6:$W$124, "&lt;"&amp;BY1)</f>
        <v>0</v>
      </c>
      <c r="BY11" s="263">
        <f>SUMIFS('Expenditure Breakdown'!$R$6:$R$124, 'Expenditure Breakdown'!$W$6:$W$124, "&gt;="&amp;BY1,'Expenditure Breakdown'!$W$6:$W$124, "&lt;"&amp;BZ1)</f>
        <v>0</v>
      </c>
      <c r="BZ11" s="263">
        <f>SUMIFS('Expenditure Breakdown'!$R$6:$R$124, 'Expenditure Breakdown'!$W$6:$W$124, "&gt;="&amp;BZ1,'Expenditure Breakdown'!$W$6:$W$124, "&lt;"&amp;CA1)</f>
        <v>0</v>
      </c>
      <c r="CA11" s="263">
        <f>SUMIFS('Expenditure Breakdown'!$R$6:$R$124, 'Expenditure Breakdown'!$W$6:$W$124, "&gt;="&amp;CA1,'Expenditure Breakdown'!$W$6:$W$124, "&lt;"&amp;CB1)</f>
        <v>0</v>
      </c>
      <c r="CB11" s="263">
        <f>SUMIFS('Expenditure Breakdown'!$R$6:$R$124, 'Expenditure Breakdown'!$W$6:$W$124, "&gt;="&amp;CB1,'Expenditure Breakdown'!$W$6:$W$124, "&lt;"&amp;CC1)</f>
        <v>0</v>
      </c>
      <c r="CC11" s="263">
        <f>SUMIFS('Expenditure Breakdown'!$R$6:$R$124, 'Expenditure Breakdown'!$W$6:$W$124, "&gt;="&amp;CC1,'Expenditure Breakdown'!$W$6:$W$124, "&lt;"&amp;CD1)</f>
        <v>0</v>
      </c>
      <c r="CD11" s="263">
        <f>SUMIFS('Expenditure Breakdown'!$R$6:$R$124, 'Expenditure Breakdown'!$W$6:$W$124, "&gt;="&amp;CD1,'Expenditure Breakdown'!$W$6:$W$124, "&lt;"&amp;CE1)</f>
        <v>0</v>
      </c>
      <c r="CE11" s="263">
        <f>SUMIFS('Expenditure Breakdown'!$R$6:$R$124, 'Expenditure Breakdown'!$W$6:$W$124, "&gt;="&amp;CE1,'Expenditure Breakdown'!$W$6:$W$124, "&lt;"&amp;CF1)</f>
        <v>0</v>
      </c>
      <c r="CF11" s="263">
        <f>SUMIFS('Expenditure Breakdown'!$R$6:$R$124, 'Expenditure Breakdown'!$W$6:$W$124, "&gt;="&amp;CF1,'Expenditure Breakdown'!$W$6:$W$124, "&lt;"&amp;CG1)</f>
        <v>0</v>
      </c>
      <c r="CG11" s="263">
        <f>SUMIFS('Expenditure Breakdown'!$R$6:$R$124, 'Expenditure Breakdown'!$W$6:$W$124, "&gt;="&amp;CG1,'Expenditure Breakdown'!$W$6:$W$124, "&lt;"&amp;CH1)</f>
        <v>0</v>
      </c>
      <c r="CH11" s="263">
        <f>SUMIFS('Expenditure Breakdown'!$R$6:$R$124, 'Expenditure Breakdown'!$W$6:$W$124, "&gt;="&amp;CH1,'Expenditure Breakdown'!$W$6:$W$124, "&lt;"&amp;CI1)</f>
        <v>0</v>
      </c>
      <c r="CI11" s="263">
        <f>SUMIFS('Expenditure Breakdown'!$R$6:$R$124, 'Expenditure Breakdown'!$W$6:$W$124, "&gt;="&amp;CI1,'Expenditure Breakdown'!$W$6:$W$124, "&lt;"&amp;CJ1)</f>
        <v>0</v>
      </c>
      <c r="CJ11" s="263">
        <f>SUMIFS('Expenditure Breakdown'!$R$6:$R$124, 'Expenditure Breakdown'!$W$6:$W$124, "&gt;="&amp;CJ1,'Expenditure Breakdown'!$W$6:$W$124, "&lt;"&amp;CK1)</f>
        <v>0</v>
      </c>
      <c r="CK11" s="263">
        <f>SUMIFS('Expenditure Breakdown'!$R$6:$R$124, 'Expenditure Breakdown'!$W$6:$W$124, "&gt;="&amp;CK1,'Expenditure Breakdown'!$W$6:$W$124, "&lt;"&amp;CL1)</f>
        <v>0</v>
      </c>
      <c r="CL11" s="263">
        <f>SUMIFS('Expenditure Breakdown'!$R$6:$R$124, 'Expenditure Breakdown'!$W$6:$W$124, "&gt;="&amp;CL1,'Expenditure Breakdown'!$W$6:$W$124, "&lt;"&amp;CM1)</f>
        <v>0</v>
      </c>
      <c r="CM11" s="263">
        <f>SUMIFS('Expenditure Breakdown'!$R$6:$R$124, 'Expenditure Breakdown'!$W$6:$W$124, "&gt;="&amp;CM1,'Expenditure Breakdown'!$W$6:$W$124, "&lt;"&amp;CN1)</f>
        <v>0</v>
      </c>
      <c r="CN11" s="240"/>
      <c r="CO11" s="251"/>
      <c r="CP11" s="251"/>
    </row>
    <row r="12" spans="1:569" s="252" customFormat="1">
      <c r="A12" s="1001"/>
      <c r="B12" s="261" t="s">
        <v>417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" si="337">H12+I11</f>
        <v>0</v>
      </c>
      <c r="J12" s="263">
        <f t="shared" ref="J12" si="338">I12+J11</f>
        <v>0</v>
      </c>
      <c r="K12" s="263">
        <f t="shared" ref="K12" si="339">J12+K11</f>
        <v>0</v>
      </c>
      <c r="L12" s="263">
        <f t="shared" ref="L12" si="340">K12+L11</f>
        <v>0</v>
      </c>
      <c r="M12" s="263">
        <f t="shared" ref="M12" si="341">L12+M11</f>
        <v>25080.76</v>
      </c>
      <c r="N12" s="263">
        <f t="shared" ref="N12" si="342">M12+N11</f>
        <v>25080.76</v>
      </c>
      <c r="O12" s="263">
        <f t="shared" ref="O12" si="343">N12+O11</f>
        <v>25080.76</v>
      </c>
      <c r="P12" s="263">
        <f t="shared" ref="P12" si="344">O12+P11</f>
        <v>320146.76000000007</v>
      </c>
      <c r="Q12" s="263">
        <f t="shared" ref="Q12" si="345">P12+Q11</f>
        <v>346837.74000000005</v>
      </c>
      <c r="R12" s="263">
        <f t="shared" ref="R12" si="346">Q12+R11</f>
        <v>491342.76</v>
      </c>
      <c r="S12" s="263">
        <f t="shared" ref="S12" si="347">R12+S11</f>
        <v>498592.76</v>
      </c>
      <c r="T12" s="263">
        <f t="shared" ref="T12" si="348">S12+T11</f>
        <v>498592.76</v>
      </c>
      <c r="U12" s="263">
        <f t="shared" ref="U12" si="349">T12+U11</f>
        <v>831514.46</v>
      </c>
      <c r="V12" s="263">
        <f t="shared" ref="V12" si="350">U12+V11</f>
        <v>833185.46</v>
      </c>
      <c r="W12" s="263">
        <f t="shared" ref="W12" si="351">V12+W11</f>
        <v>833185.46</v>
      </c>
      <c r="X12" s="263">
        <f t="shared" ref="X12" si="352">W12+X11</f>
        <v>833185.46</v>
      </c>
      <c r="Y12" s="263">
        <f t="shared" ref="Y12" si="353">X12+Y11</f>
        <v>1096037.9551723874</v>
      </c>
      <c r="Z12" s="263">
        <f t="shared" ref="Z12" si="354">Y12+Z11</f>
        <v>1157811.4151723874</v>
      </c>
      <c r="AA12" s="263">
        <f t="shared" ref="AA12" si="355">Z12+AA11</f>
        <v>1179349.3951723874</v>
      </c>
      <c r="AB12" s="263">
        <f t="shared" ref="AB12" si="356">AA12+AB11</f>
        <v>1179349.3951723874</v>
      </c>
      <c r="AC12" s="263">
        <f t="shared" ref="AC12" si="357">AB12+AC11</f>
        <v>1179349.3951723874</v>
      </c>
      <c r="AD12" s="263">
        <f t="shared" ref="AD12" si="358">AC12+AD11</f>
        <v>1179349.3951723874</v>
      </c>
      <c r="AE12" s="263">
        <f t="shared" ref="AE12" si="359">AD12+AE11</f>
        <v>1179349.3951723874</v>
      </c>
      <c r="AF12" s="263">
        <f t="shared" ref="AF12" si="360">AE12+AF11</f>
        <v>1182900.5851723873</v>
      </c>
      <c r="AG12" s="263">
        <f t="shared" ref="AG12" si="361">AF12+AG11</f>
        <v>1182900.5851723873</v>
      </c>
      <c r="AH12" s="263">
        <f t="shared" ref="AH12" si="362">AG12+AH11</f>
        <v>1262948.3351723873</v>
      </c>
      <c r="AI12" s="263">
        <f t="shared" ref="AI12" si="363">AH12+AI11</f>
        <v>1263964.3551723873</v>
      </c>
      <c r="AJ12" s="263">
        <f t="shared" ref="AJ12" si="364">AI12+AJ11</f>
        <v>1284156.5551723873</v>
      </c>
      <c r="AK12" s="263">
        <f t="shared" ref="AK12" si="365">AJ12+AK11</f>
        <v>1284156.5551723873</v>
      </c>
      <c r="AL12" s="263">
        <f t="shared" ref="AL12" si="366">AK12+AL11</f>
        <v>1284156.5551723873</v>
      </c>
      <c r="AM12" s="263">
        <f t="shared" ref="AM12" si="367">AL12+AM11</f>
        <v>1304946.1151723873</v>
      </c>
      <c r="AN12" s="263">
        <f t="shared" ref="AN12" si="368">AM12+AN11</f>
        <v>1304946.1151723873</v>
      </c>
      <c r="AO12" s="263">
        <f t="shared" ref="AO12" si="369">AN12+AO11</f>
        <v>1304946.1151723873</v>
      </c>
      <c r="AP12" s="263">
        <f t="shared" ref="AP12" si="370">AO12+AP11</f>
        <v>1344846.1151723873</v>
      </c>
      <c r="AQ12" s="263">
        <f t="shared" ref="AQ12" si="371">AP12+AQ11</f>
        <v>1344846.1151723873</v>
      </c>
      <c r="AR12" s="263">
        <f t="shared" ref="AR12" si="372">AQ12+AR11</f>
        <v>1344846.1151723873</v>
      </c>
      <c r="AS12" s="263">
        <f t="shared" ref="AS12" si="373">AR12+AS11</f>
        <v>1344846.1151723873</v>
      </c>
      <c r="AT12" s="263">
        <f t="shared" ref="AT12" si="374">AS12+AT11</f>
        <v>1344846.1151723873</v>
      </c>
      <c r="AU12" s="263">
        <f t="shared" ref="AU12" si="375">AT12+AU11</f>
        <v>1344846.1151723873</v>
      </c>
      <c r="AV12" s="263">
        <f t="shared" ref="AV12" si="376">AU12+AV11</f>
        <v>1345934.0951723873</v>
      </c>
      <c r="AW12" s="263">
        <f t="shared" ref="AW12" si="377">AV12+AW11</f>
        <v>1368343.3751723873</v>
      </c>
      <c r="AX12" s="263">
        <f t="shared" ref="AX12" si="378">AW12+AX11</f>
        <v>1368343.3751723873</v>
      </c>
      <c r="AY12" s="263">
        <f t="shared" ref="AY12" si="379">AX12+AY11</f>
        <v>1375196.1351723874</v>
      </c>
      <c r="AZ12" s="263">
        <f t="shared" ref="AZ12" si="380">AY12+AZ11</f>
        <v>1375196.1351723874</v>
      </c>
      <c r="BA12" s="263">
        <f t="shared" ref="BA12" si="381">AZ12+BA11</f>
        <v>1375196.1351723874</v>
      </c>
      <c r="BB12" s="263">
        <f t="shared" ref="BB12" si="382">BA12+BB11</f>
        <v>1375196.1351723874</v>
      </c>
      <c r="BC12" s="263">
        <f t="shared" ref="BC12" si="383">BB12+BC11</f>
        <v>1375196.1351723874</v>
      </c>
      <c r="BD12" s="263">
        <f t="shared" ref="BD12" si="384">BC12+BD11</f>
        <v>1375306.5851723873</v>
      </c>
      <c r="BE12" s="263">
        <f t="shared" ref="BE12" si="385">BD12+BE11</f>
        <v>1375306.5851723873</v>
      </c>
      <c r="BF12" s="263">
        <f t="shared" ref="BF12" si="386">BE12+BF11</f>
        <v>1375306.5851723873</v>
      </c>
      <c r="BG12" s="263">
        <f t="shared" ref="BG12" si="387">BF12+BG11</f>
        <v>1375306.5851723873</v>
      </c>
      <c r="BH12" s="263">
        <f t="shared" ref="BH12" si="388">BG12+BH11</f>
        <v>1394693.7851723873</v>
      </c>
      <c r="BI12" s="263">
        <f t="shared" ref="BI12" si="389">BH12+BI11</f>
        <v>1394693.7851723873</v>
      </c>
      <c r="BJ12" s="263">
        <f t="shared" ref="BJ12" si="390">BI12+BJ11</f>
        <v>1394693.7851723873</v>
      </c>
      <c r="BK12" s="263">
        <f t="shared" ref="BK12" si="391">BJ12+BK11</f>
        <v>1394693.7851723873</v>
      </c>
      <c r="BL12" s="263">
        <f t="shared" ref="BL12" si="392">BK12+BL11</f>
        <v>1424359.44</v>
      </c>
      <c r="BM12" s="263">
        <f t="shared" ref="BM12" si="393">BL12+BM11</f>
        <v>1424359.44</v>
      </c>
      <c r="BN12" s="263">
        <f t="shared" ref="BN12" si="394">BM12+BN11</f>
        <v>1424359.44</v>
      </c>
      <c r="BO12" s="263">
        <f t="shared" ref="BO12" si="395">BN12+BO11</f>
        <v>1424359.44</v>
      </c>
      <c r="BP12" s="263">
        <f t="shared" ref="BP12" si="396">BO12+BP11</f>
        <v>1424359.44</v>
      </c>
      <c r="BQ12" s="263">
        <f t="shared" ref="BQ12" si="397">BP12+BQ11</f>
        <v>1424359.44</v>
      </c>
      <c r="BR12" s="263">
        <f t="shared" ref="BR12" si="398">BQ12+BR11</f>
        <v>1424359.44</v>
      </c>
      <c r="BS12" s="263">
        <f t="shared" ref="BS12" si="399">BR12+BS11</f>
        <v>1424359.44</v>
      </c>
      <c r="BT12" s="263">
        <f t="shared" ref="BT12" si="400">BS12+BT11</f>
        <v>1424359.44</v>
      </c>
      <c r="BU12" s="263">
        <f t="shared" ref="BU12" si="401">BT12+BU11</f>
        <v>1424359.44</v>
      </c>
      <c r="BV12" s="263">
        <f t="shared" ref="BV12" si="402">BU12+BV11</f>
        <v>1424359.44</v>
      </c>
      <c r="BW12" s="263">
        <f t="shared" ref="BW12" si="403">BV12+BW11</f>
        <v>1424359.44</v>
      </c>
      <c r="BX12" s="263">
        <f t="shared" ref="BX12" si="404">BW12+BX11</f>
        <v>1424359.44</v>
      </c>
      <c r="BY12" s="263">
        <f t="shared" ref="BY12" si="405">BX12+BY11</f>
        <v>1424359.44</v>
      </c>
      <c r="BZ12" s="263">
        <f t="shared" ref="BZ12" si="406">BY12+BZ11</f>
        <v>1424359.44</v>
      </c>
      <c r="CA12" s="263">
        <f t="shared" ref="CA12" si="407">BZ12+CA11</f>
        <v>1424359.44</v>
      </c>
      <c r="CB12" s="263">
        <f t="shared" ref="CB12" si="408">CA12+CB11</f>
        <v>1424359.44</v>
      </c>
      <c r="CC12" s="263">
        <f t="shared" ref="CC12" si="409">CB12+CC11</f>
        <v>1424359.44</v>
      </c>
      <c r="CD12" s="263">
        <f t="shared" ref="CD12" si="410">CC12+CD11</f>
        <v>1424359.44</v>
      </c>
      <c r="CE12" s="263">
        <f t="shared" ref="CE12" si="411">CD12+CE11</f>
        <v>1424359.44</v>
      </c>
      <c r="CF12" s="263">
        <f t="shared" ref="CF12" si="412">CE12+CF11</f>
        <v>1424359.44</v>
      </c>
      <c r="CG12" s="263">
        <f t="shared" ref="CG12" si="413">CF12+CG11</f>
        <v>1424359.44</v>
      </c>
      <c r="CH12" s="263">
        <f t="shared" ref="CH12" si="414">CG12+CH11</f>
        <v>1424359.44</v>
      </c>
      <c r="CI12" s="263">
        <f t="shared" ref="CI12" si="415">CH12+CI11</f>
        <v>1424359.44</v>
      </c>
      <c r="CJ12" s="263">
        <f t="shared" ref="CJ12" si="416">CI12+CJ11</f>
        <v>1424359.44</v>
      </c>
      <c r="CK12" s="263">
        <f t="shared" ref="CK12" si="417">CJ12+CK11</f>
        <v>1424359.44</v>
      </c>
      <c r="CL12" s="263">
        <f t="shared" ref="CL12" si="418">CK12+CL11</f>
        <v>1424359.44</v>
      </c>
      <c r="CM12" s="263">
        <f t="shared" ref="CM12" si="419">CL12+CM11</f>
        <v>1424359.44</v>
      </c>
      <c r="CN12" s="240"/>
      <c r="CO12" s="251"/>
    </row>
    <row r="13" spans="1:569" s="240" customFormat="1">
      <c r="A13" s="1001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</row>
    <row r="14" spans="1:569">
      <c r="A14" s="1001"/>
      <c r="B14" s="253" t="s">
        <v>418</v>
      </c>
      <c r="C14" s="254"/>
      <c r="D14" s="254"/>
      <c r="E14" s="255"/>
      <c r="F14" s="256">
        <f t="shared" ref="F14:H14" si="420">F10-F12</f>
        <v>580561.66482684645</v>
      </c>
      <c r="G14" s="256">
        <f t="shared" si="420"/>
        <v>580561.66482684645</v>
      </c>
      <c r="H14" s="256">
        <f t="shared" si="420"/>
        <v>580561.66482684645</v>
      </c>
      <c r="I14" s="256">
        <f t="shared" ref="I14" si="421">I10-I12</f>
        <v>580561.66482684645</v>
      </c>
      <c r="J14" s="256">
        <f t="shared" ref="J14:R14" si="422">J10-J12</f>
        <v>580561.66482684645</v>
      </c>
      <c r="K14" s="256">
        <f t="shared" si="422"/>
        <v>580561.66482684645</v>
      </c>
      <c r="L14" s="256">
        <f t="shared" si="422"/>
        <v>580561.66482684645</v>
      </c>
      <c r="M14" s="256">
        <f t="shared" si="422"/>
        <v>555480.90482684644</v>
      </c>
      <c r="N14" s="256">
        <f t="shared" si="422"/>
        <v>555480.90482684644</v>
      </c>
      <c r="O14" s="256">
        <f t="shared" si="422"/>
        <v>555480.90482684644</v>
      </c>
      <c r="P14" s="256">
        <f t="shared" si="422"/>
        <v>260414.90482684638</v>
      </c>
      <c r="Q14" s="256">
        <f t="shared" si="422"/>
        <v>233723.9248268464</v>
      </c>
      <c r="R14" s="256">
        <f t="shared" si="422"/>
        <v>503905.8082745939</v>
      </c>
      <c r="S14" s="256">
        <f t="shared" ref="S14:CD14" si="423">S10-S12</f>
        <v>496655.8082745939</v>
      </c>
      <c r="T14" s="256">
        <f t="shared" si="423"/>
        <v>496655.8082745939</v>
      </c>
      <c r="U14" s="256">
        <f t="shared" si="423"/>
        <v>163734.10827459395</v>
      </c>
      <c r="V14" s="256">
        <f t="shared" si="423"/>
        <v>162063.10827459395</v>
      </c>
      <c r="W14" s="256">
        <f t="shared" si="423"/>
        <v>162063.10827459395</v>
      </c>
      <c r="X14" s="256">
        <f t="shared" si="423"/>
        <v>162063.10827459395</v>
      </c>
      <c r="Y14" s="256">
        <f t="shared" si="423"/>
        <v>313897.51654995396</v>
      </c>
      <c r="Z14" s="256">
        <f t="shared" si="423"/>
        <v>252124.056549954</v>
      </c>
      <c r="AA14" s="256">
        <f t="shared" si="423"/>
        <v>230586.07654995401</v>
      </c>
      <c r="AB14" s="256">
        <f t="shared" si="423"/>
        <v>230586.07654995401</v>
      </c>
      <c r="AC14" s="256">
        <f t="shared" si="423"/>
        <v>230586.07654995401</v>
      </c>
      <c r="AD14" s="256">
        <f t="shared" si="423"/>
        <v>230586.07654995401</v>
      </c>
      <c r="AE14" s="256">
        <f t="shared" si="423"/>
        <v>230586.07654995401</v>
      </c>
      <c r="AF14" s="256">
        <f t="shared" si="423"/>
        <v>227034.88654995407</v>
      </c>
      <c r="AG14" s="256">
        <f t="shared" si="423"/>
        <v>227034.88654995407</v>
      </c>
      <c r="AH14" s="256">
        <f t="shared" si="423"/>
        <v>398472.11792905303</v>
      </c>
      <c r="AI14" s="256">
        <f t="shared" si="423"/>
        <v>397456.09792905301</v>
      </c>
      <c r="AJ14" s="256">
        <f t="shared" si="423"/>
        <v>377263.89792905306</v>
      </c>
      <c r="AK14" s="256">
        <f t="shared" si="423"/>
        <v>377263.89792905306</v>
      </c>
      <c r="AL14" s="256">
        <f t="shared" si="423"/>
        <v>377263.89792905306</v>
      </c>
      <c r="AM14" s="256">
        <f t="shared" si="423"/>
        <v>356474.337929053</v>
      </c>
      <c r="AN14" s="256">
        <f t="shared" si="423"/>
        <v>356474.337929053</v>
      </c>
      <c r="AO14" s="256">
        <f t="shared" si="423"/>
        <v>356474.337929053</v>
      </c>
      <c r="AP14" s="256">
        <f t="shared" si="423"/>
        <v>316574.337929053</v>
      </c>
      <c r="AQ14" s="256">
        <f t="shared" si="423"/>
        <v>316574.337929053</v>
      </c>
      <c r="AR14" s="256">
        <f t="shared" si="423"/>
        <v>316574.337929053</v>
      </c>
      <c r="AS14" s="256">
        <f t="shared" si="423"/>
        <v>316574.337929053</v>
      </c>
      <c r="AT14" s="256">
        <f t="shared" si="423"/>
        <v>316574.337929053</v>
      </c>
      <c r="AU14" s="256">
        <f t="shared" si="423"/>
        <v>316574.337929053</v>
      </c>
      <c r="AV14" s="256">
        <f t="shared" si="423"/>
        <v>315486.35792905302</v>
      </c>
      <c r="AW14" s="256">
        <f t="shared" si="423"/>
        <v>293077.07792905299</v>
      </c>
      <c r="AX14" s="256">
        <f t="shared" si="423"/>
        <v>293077.07792905299</v>
      </c>
      <c r="AY14" s="256">
        <f t="shared" si="423"/>
        <v>286224.31792905298</v>
      </c>
      <c r="AZ14" s="256">
        <f t="shared" si="423"/>
        <v>286224.31792905298</v>
      </c>
      <c r="BA14" s="256">
        <f t="shared" si="423"/>
        <v>286224.31792905298</v>
      </c>
      <c r="BB14" s="256">
        <f t="shared" si="423"/>
        <v>286224.31792905298</v>
      </c>
      <c r="BC14" s="256">
        <f t="shared" si="423"/>
        <v>286224.31792905298</v>
      </c>
      <c r="BD14" s="256">
        <f t="shared" si="423"/>
        <v>286113.86792905303</v>
      </c>
      <c r="BE14" s="256">
        <f t="shared" si="423"/>
        <v>286113.86792905303</v>
      </c>
      <c r="BF14" s="256">
        <f t="shared" si="423"/>
        <v>286113.86792905303</v>
      </c>
      <c r="BG14" s="256">
        <f t="shared" si="423"/>
        <v>286113.86792905303</v>
      </c>
      <c r="BH14" s="256">
        <f t="shared" si="423"/>
        <v>266726.66792905307</v>
      </c>
      <c r="BI14" s="256">
        <f t="shared" si="423"/>
        <v>266726.66792905307</v>
      </c>
      <c r="BJ14" s="256">
        <f t="shared" si="423"/>
        <v>266726.66792905307</v>
      </c>
      <c r="BK14" s="256">
        <f t="shared" si="423"/>
        <v>266726.66792905307</v>
      </c>
      <c r="BL14" s="256">
        <f t="shared" si="423"/>
        <v>237061.01310144039</v>
      </c>
      <c r="BM14" s="256">
        <f t="shared" si="423"/>
        <v>237061.01310144039</v>
      </c>
      <c r="BN14" s="256">
        <f t="shared" si="423"/>
        <v>237061.01310144039</v>
      </c>
      <c r="BO14" s="256">
        <f t="shared" si="423"/>
        <v>237061.01310144039</v>
      </c>
      <c r="BP14" s="256">
        <f t="shared" si="423"/>
        <v>237061.01310144039</v>
      </c>
      <c r="BQ14" s="256">
        <f t="shared" si="423"/>
        <v>237061.01310144039</v>
      </c>
      <c r="BR14" s="256">
        <f t="shared" si="423"/>
        <v>237061.01310144039</v>
      </c>
      <c r="BS14" s="256">
        <f t="shared" si="423"/>
        <v>319998.39379098988</v>
      </c>
      <c r="BT14" s="256">
        <f t="shared" si="423"/>
        <v>319998.39379098988</v>
      </c>
      <c r="BU14" s="256">
        <f t="shared" si="423"/>
        <v>319998.39379098988</v>
      </c>
      <c r="BV14" s="256">
        <f t="shared" si="423"/>
        <v>319998.39379098988</v>
      </c>
      <c r="BW14" s="256">
        <f t="shared" si="423"/>
        <v>319998.39379098988</v>
      </c>
      <c r="BX14" s="256">
        <f t="shared" si="423"/>
        <v>319998.39379098988</v>
      </c>
      <c r="BY14" s="256">
        <f t="shared" si="423"/>
        <v>319998.39379098988</v>
      </c>
      <c r="BZ14" s="256">
        <f t="shared" si="423"/>
        <v>319998.39379098988</v>
      </c>
      <c r="CA14" s="256">
        <f t="shared" si="423"/>
        <v>319998.39379098988</v>
      </c>
      <c r="CB14" s="256">
        <f t="shared" si="423"/>
        <v>319998.39379098988</v>
      </c>
      <c r="CC14" s="256">
        <f t="shared" si="423"/>
        <v>319998.39379098988</v>
      </c>
      <c r="CD14" s="256">
        <f t="shared" si="423"/>
        <v>319998.39379098988</v>
      </c>
      <c r="CE14" s="256">
        <f t="shared" ref="CE14:CM14" si="424">CE10-CE12</f>
        <v>319998.39379098988</v>
      </c>
      <c r="CF14" s="256">
        <f t="shared" si="424"/>
        <v>319998.39379098988</v>
      </c>
      <c r="CG14" s="256">
        <f t="shared" si="424"/>
        <v>319998.39379098988</v>
      </c>
      <c r="CH14" s="256">
        <f t="shared" si="424"/>
        <v>319998.39379098988</v>
      </c>
      <c r="CI14" s="256">
        <f t="shared" si="424"/>
        <v>319998.39379098988</v>
      </c>
      <c r="CJ14" s="256">
        <f t="shared" si="424"/>
        <v>319998.39379098988</v>
      </c>
      <c r="CK14" s="256">
        <f t="shared" si="424"/>
        <v>319998.39379098988</v>
      </c>
      <c r="CL14" s="256">
        <f t="shared" si="424"/>
        <v>304721.11379098985</v>
      </c>
      <c r="CM14" s="256">
        <f t="shared" si="424"/>
        <v>304721.11379098985</v>
      </c>
    </row>
    <row r="15" spans="1:569" s="240" customFormat="1"/>
    <row r="16" spans="1:569" s="240" customFormat="1">
      <c r="C16" s="242" t="s">
        <v>236</v>
      </c>
      <c r="D16" s="242" t="s">
        <v>236</v>
      </c>
    </row>
    <row r="17" spans="1:91">
      <c r="A17" s="1002"/>
      <c r="B17" s="244" t="s">
        <v>419</v>
      </c>
      <c r="C17" s="539">
        <f>C3-D17</f>
        <v>-85610.214119931916</v>
      </c>
      <c r="D17" s="245">
        <f>SUM(F17:BY17)</f>
        <v>1744357.827910922</v>
      </c>
      <c r="E17" s="255"/>
      <c r="F17" s="263">
        <f>SUMIFS('Expenditure Breakdown'!$U$6:$U$124, 'Expenditure Breakdown'!$T$6:$T$124, "&gt;="&amp;F1,'Expenditure Breakdown'!$T$6:$T$124, "&lt;"&amp;G1)</f>
        <v>0</v>
      </c>
      <c r="G17" s="263">
        <f>SUMIFS('Expenditure Breakdown'!$U$6:$U$124, 'Expenditure Breakdown'!$T$6:$T$124, "&gt;="&amp;G1,'Expenditure Breakdown'!$T$6:$T$124, "&lt;"&amp;H1)</f>
        <v>0</v>
      </c>
      <c r="H17" s="263">
        <f>SUMIFS('Expenditure Breakdown'!$U$6:$U$124, 'Expenditure Breakdown'!$T$6:$T$124, "&gt;="&amp;H1,'Expenditure Breakdown'!$T$6:$T$124, "&lt;"&amp;I1)</f>
        <v>541591.65388054238</v>
      </c>
      <c r="I17" s="263">
        <f>SUMIFS('Expenditure Breakdown'!$U$6:$U$124, 'Expenditure Breakdown'!$T$6:$T$124, "&gt;="&amp;I1,'Expenditure Breakdown'!$T$6:$T$124, "&lt;"&amp;J1)</f>
        <v>0</v>
      </c>
      <c r="J17" s="263">
        <f>SUMIFS('Expenditure Breakdown'!$U$6:$U$124, 'Expenditure Breakdown'!$T$6:$T$124, "&gt;="&amp;J1,'Expenditure Breakdown'!$T$6:$T$124, "&lt;"&amp;K1)</f>
        <v>0</v>
      </c>
      <c r="K17" s="263">
        <f>SUMIFS('Expenditure Breakdown'!$U$6:$U$124, 'Expenditure Breakdown'!$T$6:$T$124, "&gt;="&amp;K1,'Expenditure Breakdown'!$T$6:$T$124, "&lt;"&amp;L1)</f>
        <v>0</v>
      </c>
      <c r="L17" s="263">
        <f>SUMIFS('Expenditure Breakdown'!$U$6:$U$124, 'Expenditure Breakdown'!$T$6:$T$124, "&gt;="&amp;L1,'Expenditure Breakdown'!$T$6:$T$124, "&lt;"&amp;M1)</f>
        <v>32077.674361854428</v>
      </c>
      <c r="M17" s="263">
        <f>SUMIFS('Expenditure Breakdown'!$U$6:$U$124, 'Expenditure Breakdown'!$T$6:$T$124, "&gt;="&amp;M1,'Expenditure Breakdown'!$T$6:$T$124, "&lt;"&amp;N1)</f>
        <v>0</v>
      </c>
      <c r="N17" s="263">
        <f>SUMIFS('Expenditure Breakdown'!$U$6:$U$124, 'Expenditure Breakdown'!$T$6:$T$124, "&gt;="&amp;N1,'Expenditure Breakdown'!$T$6:$T$124, "&lt;"&amp;O1)</f>
        <v>0</v>
      </c>
      <c r="O17" s="263">
        <f>SUMIFS('Expenditure Breakdown'!$U$6:$U$124, 'Expenditure Breakdown'!$T$6:$T$124, "&gt;="&amp;O1,'Expenditure Breakdown'!$T$6:$T$124, "&lt;"&amp;P1)</f>
        <v>0</v>
      </c>
      <c r="P17" s="263">
        <f>SUMIFS('Expenditure Breakdown'!$U$6:$U$124, 'Expenditure Breakdown'!$T$6:$T$124, "&gt;="&amp;P1,'Expenditure Breakdown'!$T$6:$T$124, "&lt;"&amp;Q1)</f>
        <v>0</v>
      </c>
      <c r="Q17" s="263">
        <f>SUMIFS('Expenditure Breakdown'!$U$6:$U$124, 'Expenditure Breakdown'!$T$6:$T$124, "&gt;="&amp;Q1,'Expenditure Breakdown'!$T$6:$T$124, "&lt;"&amp;R1)</f>
        <v>323891.30413857719</v>
      </c>
      <c r="R17" s="263">
        <f>SUMIFS('Expenditure Breakdown'!$U$6:$U$124, 'Expenditure Breakdown'!$T$6:$T$124, "&gt;="&amp;R1,'Expenditure Breakdown'!$T$6:$T$124, "&lt;"&amp;S1)</f>
        <v>0</v>
      </c>
      <c r="S17" s="263">
        <f>SUMIFS('Expenditure Breakdown'!$U$6:$U$124, 'Expenditure Breakdown'!$T$6:$T$124, "&gt;="&amp;S1,'Expenditure Breakdown'!$T$6:$T$124, "&lt;"&amp;T1)</f>
        <v>0</v>
      </c>
      <c r="T17" s="263">
        <f>SUMIFS('Expenditure Breakdown'!$U$6:$U$124, 'Expenditure Breakdown'!$T$6:$T$124, "&gt;="&amp;T1,'Expenditure Breakdown'!$T$6:$T$124, "&lt;"&amp;U1)</f>
        <v>0</v>
      </c>
      <c r="U17" s="263">
        <f>SUMIFS('Expenditure Breakdown'!$U$6:$U$124, 'Expenditure Breakdown'!$T$6:$T$124, "&gt;="&amp;U1,'Expenditure Breakdown'!$T$6:$T$124, "&lt;"&amp;V1)</f>
        <v>523684.64763307991</v>
      </c>
      <c r="V17" s="263">
        <f>SUMIFS('Expenditure Breakdown'!$U$6:$U$124, 'Expenditure Breakdown'!$T$6:$T$124, "&gt;="&amp;V1,'Expenditure Breakdown'!$T$6:$T$124, "&lt;"&amp;W1)</f>
        <v>0</v>
      </c>
      <c r="W17" s="263">
        <f>SUMIFS('Expenditure Breakdown'!$U$6:$U$124, 'Expenditure Breakdown'!$T$6:$T$124, "&gt;="&amp;W1,'Expenditure Breakdown'!$T$6:$T$124, "&lt;"&amp;X1)</f>
        <v>0</v>
      </c>
      <c r="X17" s="263">
        <f>SUMIFS('Expenditure Breakdown'!$U$6:$U$124, 'Expenditure Breakdown'!$T$6:$T$124, "&gt;="&amp;X1,'Expenditure Breakdown'!$T$6:$T$124, "&lt;"&amp;Y1)</f>
        <v>0</v>
      </c>
      <c r="Y17" s="263">
        <f>SUMIFS('Expenditure Breakdown'!$U$6:$U$124, 'Expenditure Breakdown'!$T$6:$T$124, "&gt;="&amp;Y1,'Expenditure Breakdown'!$T$6:$T$124, "&lt;"&amp;Z1)</f>
        <v>273671.59864497109</v>
      </c>
      <c r="Z17" s="263">
        <f>SUMIFS('Expenditure Breakdown'!$U$6:$U$124, 'Expenditure Breakdown'!$T$6:$T$124, "&gt;="&amp;Z1,'Expenditure Breakdown'!$T$6:$T$124, "&lt;"&amp;AA1)</f>
        <v>0</v>
      </c>
      <c r="AA17" s="263">
        <f>SUMIFS('Expenditure Breakdown'!$U$6:$U$124, 'Expenditure Breakdown'!$T$6:$T$124, "&gt;="&amp;AA1,'Expenditure Breakdown'!$T$6:$T$124, "&lt;"&amp;AB1)</f>
        <v>0</v>
      </c>
      <c r="AB17" s="263">
        <f>SUMIFS('Expenditure Breakdown'!$U$6:$U$124, 'Expenditure Breakdown'!$T$6:$T$124, "&gt;="&amp;AB1,'Expenditure Breakdown'!$T$6:$T$124, "&lt;"&amp;AC1)</f>
        <v>0</v>
      </c>
      <c r="AC17" s="263">
        <f>SUMIFS('Expenditure Breakdown'!$U$6:$U$124, 'Expenditure Breakdown'!$T$6:$T$124, "&gt;="&amp;AC1,'Expenditure Breakdown'!$T$6:$T$124, "&lt;"&amp;AD1)</f>
        <v>0</v>
      </c>
      <c r="AD17" s="263">
        <f>SUMIFS('Expenditure Breakdown'!$U$6:$U$124, 'Expenditure Breakdown'!$T$6:$T$124, "&gt;="&amp;AD1,'Expenditure Breakdown'!$T$6:$T$124, "&lt;"&amp;AE1)</f>
        <v>787.83919852664576</v>
      </c>
      <c r="AE17" s="263">
        <f>SUMIFS('Expenditure Breakdown'!$U$6:$U$124, 'Expenditure Breakdown'!$T$6:$T$124, "&gt;="&amp;AE1,'Expenditure Breakdown'!$T$6:$T$124, "&lt;"&amp;AF1)</f>
        <v>0</v>
      </c>
      <c r="AF17" s="263">
        <f>SUMIFS('Expenditure Breakdown'!$U$6:$U$124, 'Expenditure Breakdown'!$T$6:$T$124, "&gt;="&amp;AF1,'Expenditure Breakdown'!$T$6:$T$124, "&lt;"&amp;AG1)</f>
        <v>0</v>
      </c>
      <c r="AG17" s="263">
        <f>SUMIFS('Expenditure Breakdown'!$U$6:$U$124, 'Expenditure Breakdown'!$T$6:$T$124, "&gt;="&amp;AG1,'Expenditure Breakdown'!$T$6:$T$124, "&lt;"&amp;AH1)</f>
        <v>0</v>
      </c>
      <c r="AH17" s="263">
        <f>SUMIFS('Expenditure Breakdown'!$U$6:$U$124, 'Expenditure Breakdown'!$T$6:$T$124, "&gt;="&amp;AH1,'Expenditure Breakdown'!$T$6:$T$124, "&lt;"&amp;AI1)</f>
        <v>48653.110053370328</v>
      </c>
      <c r="AI17" s="263">
        <f>SUMIFS('Expenditure Breakdown'!$U$6:$U$124, 'Expenditure Breakdown'!$T$6:$T$124, "&gt;="&amp;AI1,'Expenditure Breakdown'!$T$6:$T$124, "&lt;"&amp;AJ1)</f>
        <v>0</v>
      </c>
      <c r="AJ17" s="263">
        <f>SUMIFS('Expenditure Breakdown'!$U$6:$U$124, 'Expenditure Breakdown'!$T$6:$T$124, "&gt;="&amp;AJ1,'Expenditure Breakdown'!$T$6:$T$124, "&lt;"&amp;AK1)</f>
        <v>0</v>
      </c>
      <c r="AK17" s="263">
        <f>SUMIFS('Expenditure Breakdown'!$U$6:$U$124, 'Expenditure Breakdown'!$T$6:$T$124, "&gt;="&amp;AK1,'Expenditure Breakdown'!$T$6:$T$124, "&lt;"&amp;AL1)</f>
        <v>0</v>
      </c>
      <c r="AL17" s="263">
        <f>SUMIFS('Expenditure Breakdown'!$U$6:$U$124, 'Expenditure Breakdown'!$T$6:$T$124, "&gt;="&amp;AL1,'Expenditure Breakdown'!$T$6:$T$124, "&lt;"&amp;AM1)</f>
        <v>0</v>
      </c>
      <c r="AM17" s="263">
        <f>SUMIFS('Expenditure Breakdown'!$U$6:$U$124, 'Expenditure Breakdown'!$T$6:$T$124, "&gt;="&amp;AM1,'Expenditure Breakdown'!$T$6:$T$124, "&lt;"&amp;AN1)</f>
        <v>0</v>
      </c>
      <c r="AN17" s="263">
        <f>SUMIFS('Expenditure Breakdown'!$U$6:$U$124, 'Expenditure Breakdown'!$T$6:$T$124, "&gt;="&amp;AN1,'Expenditure Breakdown'!$T$6:$T$124, "&lt;"&amp;AO1)</f>
        <v>0</v>
      </c>
      <c r="AO17" s="263">
        <f>SUMIFS('Expenditure Breakdown'!$U$6:$U$124, 'Expenditure Breakdown'!$T$6:$T$124, "&gt;="&amp;AO1,'Expenditure Breakdown'!$T$6:$T$124, "&lt;"&amp;AP1)</f>
        <v>0</v>
      </c>
      <c r="AP17" s="263">
        <f>SUMIFS('Expenditure Breakdown'!$U$6:$U$124, 'Expenditure Breakdown'!$T$6:$T$124, "&gt;="&amp;AP1,'Expenditure Breakdown'!$T$6:$T$124, "&lt;"&amp;AQ1)</f>
        <v>0</v>
      </c>
      <c r="AQ17" s="263">
        <f>SUMIFS('Expenditure Breakdown'!$U$6:$U$124, 'Expenditure Breakdown'!$T$6:$T$124, "&gt;="&amp;AQ1,'Expenditure Breakdown'!$T$6:$T$124, "&lt;"&amp;AR1)</f>
        <v>0</v>
      </c>
      <c r="AR17" s="263">
        <f>SUMIFS('Expenditure Breakdown'!$U$6:$U$124, 'Expenditure Breakdown'!$T$6:$T$124, "&gt;="&amp;AR1,'Expenditure Breakdown'!$T$6:$T$124, "&lt;"&amp;AS1)</f>
        <v>0</v>
      </c>
      <c r="AS17" s="263">
        <f>SUMIFS('Expenditure Breakdown'!$U$6:$U$124, 'Expenditure Breakdown'!$T$6:$T$124, "&gt;="&amp;AS1,'Expenditure Breakdown'!$T$6:$T$124, "&lt;"&amp;AT1)</f>
        <v>0</v>
      </c>
      <c r="AT17" s="263">
        <f>SUMIFS('Expenditure Breakdown'!$U$6:$U$124, 'Expenditure Breakdown'!$T$6:$T$124, "&gt;="&amp;AT1,'Expenditure Breakdown'!$T$6:$T$124, "&lt;"&amp;AU1)</f>
        <v>0</v>
      </c>
      <c r="AU17" s="263">
        <f>SUMIFS('Expenditure Breakdown'!$U$6:$U$124, 'Expenditure Breakdown'!$T$6:$T$124, "&gt;="&amp;AU1,'Expenditure Breakdown'!$T$6:$T$124, "&lt;"&amp;AV1)</f>
        <v>0</v>
      </c>
      <c r="AV17" s="263">
        <f>SUMIFS('Expenditure Breakdown'!$U$6:$U$124, 'Expenditure Breakdown'!$T$6:$T$124, "&gt;="&amp;AV1,'Expenditure Breakdown'!$T$6:$T$124, "&lt;"&amp;AW1)</f>
        <v>0</v>
      </c>
      <c r="AW17" s="263">
        <f>SUMIFS('Expenditure Breakdown'!$U$6:$U$124, 'Expenditure Breakdown'!$T$6:$T$124, "&gt;="&amp;AW1,'Expenditure Breakdown'!$T$6:$T$124, "&lt;"&amp;AX1)</f>
        <v>0</v>
      </c>
      <c r="AX17" s="263">
        <f>SUMIFS('Expenditure Breakdown'!$U$6:$U$124, 'Expenditure Breakdown'!$T$6:$T$124, "&gt;="&amp;AX1,'Expenditure Breakdown'!$T$6:$T$124, "&lt;"&amp;AY1)</f>
        <v>0</v>
      </c>
      <c r="AY17" s="263">
        <f>SUMIFS('Expenditure Breakdown'!$U$6:$U$124, 'Expenditure Breakdown'!$T$6:$T$124, "&gt;="&amp;AY1,'Expenditure Breakdown'!$T$6:$T$124, "&lt;"&amp;AZ1)</f>
        <v>0</v>
      </c>
      <c r="AZ17" s="263">
        <f>SUMIFS('Expenditure Breakdown'!$U$6:$U$124, 'Expenditure Breakdown'!$T$6:$T$124, "&gt;="&amp;AZ1,'Expenditure Breakdown'!$T$6:$T$124, "&lt;"&amp;BA1)</f>
        <v>0</v>
      </c>
      <c r="BA17" s="263">
        <f>SUMIFS('Expenditure Breakdown'!$U$6:$U$124, 'Expenditure Breakdown'!$T$6:$T$124, "&gt;="&amp;BA1,'Expenditure Breakdown'!$T$6:$T$124, "&lt;"&amp;BB1)</f>
        <v>0</v>
      </c>
      <c r="BB17" s="263">
        <f>SUMIFS('Expenditure Breakdown'!$U$6:$U$124, 'Expenditure Breakdown'!$T$6:$T$124, "&gt;="&amp;BB1,'Expenditure Breakdown'!$T$6:$T$124, "&lt;"&amp;BC1)</f>
        <v>0</v>
      </c>
      <c r="BC17" s="263">
        <f>SUMIFS('Expenditure Breakdown'!$U$6:$U$124, 'Expenditure Breakdown'!$T$6:$T$124, "&gt;="&amp;BC1,'Expenditure Breakdown'!$T$6:$T$124, "&lt;"&amp;BD1)</f>
        <v>0</v>
      </c>
      <c r="BD17" s="263">
        <f>SUMIFS('Expenditure Breakdown'!$U$6:$U$124, 'Expenditure Breakdown'!$T$6:$T$124, "&gt;="&amp;BD1,'Expenditure Breakdown'!$T$6:$T$124, "&lt;"&amp;BE1)</f>
        <v>0</v>
      </c>
      <c r="BE17" s="263">
        <f>SUMIFS('Expenditure Breakdown'!$U$6:$U$124, 'Expenditure Breakdown'!$T$6:$T$124, "&gt;="&amp;BE1,'Expenditure Breakdown'!$T$6:$T$124, "&lt;"&amp;BF1)</f>
        <v>0</v>
      </c>
      <c r="BF17" s="263">
        <f>SUMIFS('Expenditure Breakdown'!$U$6:$U$124, 'Expenditure Breakdown'!$T$6:$T$124, "&gt;="&amp;BF1,'Expenditure Breakdown'!$T$6:$T$124, "&lt;"&amp;BG1)</f>
        <v>0</v>
      </c>
      <c r="BG17" s="263">
        <f>SUMIFS('Expenditure Breakdown'!$U$6:$U$124, 'Expenditure Breakdown'!$T$6:$T$124, "&gt;="&amp;BG1,'Expenditure Breakdown'!$T$6:$T$124, "&lt;"&amp;BH1)</f>
        <v>0</v>
      </c>
      <c r="BH17" s="263">
        <f>SUMIFS('Expenditure Breakdown'!$U$6:$U$124, 'Expenditure Breakdown'!$T$6:$T$124, "&gt;="&amp;BH1,'Expenditure Breakdown'!$T$6:$T$124, "&lt;"&amp;BI1)</f>
        <v>0</v>
      </c>
      <c r="BI17" s="263">
        <f>SUMIFS('Expenditure Breakdown'!$U$6:$U$124, 'Expenditure Breakdown'!$T$6:$T$124, "&gt;="&amp;BI1,'Expenditure Breakdown'!$T$6:$T$124, "&lt;"&amp;BJ1)</f>
        <v>0</v>
      </c>
      <c r="BJ17" s="263">
        <f>SUMIFS('Expenditure Breakdown'!$U$6:$U$124, 'Expenditure Breakdown'!$T$6:$T$124, "&gt;="&amp;BJ1,'Expenditure Breakdown'!$T$6:$T$124, "&lt;"&amp;BK1)</f>
        <v>0</v>
      </c>
      <c r="BK17" s="263">
        <f>SUMIFS('Expenditure Breakdown'!$U$6:$U$124, 'Expenditure Breakdown'!$T$6:$T$124, "&gt;="&amp;BK1,'Expenditure Breakdown'!$T$6:$T$124, "&lt;"&amp;BL1)</f>
        <v>0</v>
      </c>
      <c r="BL17" s="263">
        <f>SUMIFS('Expenditure Breakdown'!$U$6:$U$124, 'Expenditure Breakdown'!$T$6:$T$124, "&gt;="&amp;BL1,'Expenditure Breakdown'!$T$6:$T$124, "&lt;"&amp;BM1)</f>
        <v>0</v>
      </c>
      <c r="BM17" s="263">
        <f>SUMIFS('Expenditure Breakdown'!$U$6:$U$124, 'Expenditure Breakdown'!$T$6:$T$124, "&gt;="&amp;BM1,'Expenditure Breakdown'!$T$6:$T$124, "&lt;"&amp;BN1)</f>
        <v>0</v>
      </c>
      <c r="BN17" s="263">
        <f>SUMIFS('Expenditure Breakdown'!$U$6:$U$124, 'Expenditure Breakdown'!$T$6:$T$124, "&gt;="&amp;BN1,'Expenditure Breakdown'!$T$6:$T$124, "&lt;"&amp;BO1)</f>
        <v>0</v>
      </c>
      <c r="BO17" s="263">
        <f>SUMIFS('Expenditure Breakdown'!$U$6:$U$124, 'Expenditure Breakdown'!$T$6:$T$124, "&gt;="&amp;BO1,'Expenditure Breakdown'!$T$6:$T$124, "&lt;"&amp;BP1)</f>
        <v>0</v>
      </c>
      <c r="BP17" s="263">
        <f>SUMIFS('Expenditure Breakdown'!$U$6:$U$124, 'Expenditure Breakdown'!$T$6:$T$124, "&gt;="&amp;BP1,'Expenditure Breakdown'!$T$6:$T$124, "&lt;"&amp;BQ1)</f>
        <v>0</v>
      </c>
      <c r="BQ17" s="263">
        <f>SUMIFS('Expenditure Breakdown'!$U$6:$U$124, 'Expenditure Breakdown'!$T$6:$T$124, "&gt;="&amp;BQ1,'Expenditure Breakdown'!$T$6:$T$124, "&lt;"&amp;BR1)</f>
        <v>0</v>
      </c>
      <c r="BR17" s="263">
        <f>SUMIFS('Expenditure Breakdown'!$U$6:$U$124, 'Expenditure Breakdown'!$T$6:$T$124, "&gt;="&amp;BR1,'Expenditure Breakdown'!$T$6:$T$124, "&lt;"&amp;BS1)</f>
        <v>0</v>
      </c>
      <c r="BS17" s="263">
        <f>SUMIFS('Expenditure Breakdown'!$U$6:$U$124, 'Expenditure Breakdown'!$T$6:$T$124, "&gt;="&amp;BS1,'Expenditure Breakdown'!$T$6:$T$124, "&lt;"&amp;BT1)</f>
        <v>0</v>
      </c>
      <c r="BT17" s="263">
        <f>SUMIFS('Expenditure Breakdown'!$U$6:$U$124, 'Expenditure Breakdown'!$T$6:$T$124, "&gt;="&amp;BT1,'Expenditure Breakdown'!$T$6:$T$124, "&lt;"&amp;BU1)</f>
        <v>0</v>
      </c>
      <c r="BU17" s="263">
        <f>SUMIFS('Expenditure Breakdown'!$U$6:$U$124, 'Expenditure Breakdown'!$T$6:$T$124, "&gt;="&amp;BU1,'Expenditure Breakdown'!$T$6:$T$124, "&lt;"&amp;BV1)</f>
        <v>0</v>
      </c>
      <c r="BV17" s="263">
        <f>SUMIFS('Expenditure Breakdown'!$U$6:$U$124, 'Expenditure Breakdown'!$T$6:$T$124, "&gt;="&amp;BV1,'Expenditure Breakdown'!$T$6:$T$124, "&lt;"&amp;BW1)</f>
        <v>0</v>
      </c>
      <c r="BW17" s="263">
        <f>SUMIFS('Expenditure Breakdown'!$U$6:$U$124, 'Expenditure Breakdown'!$T$6:$T$124, "&gt;="&amp;BW1,'Expenditure Breakdown'!$T$6:$T$124, "&lt;"&amp;BX1)</f>
        <v>0</v>
      </c>
      <c r="BX17" s="263">
        <f>SUMIFS('Expenditure Breakdown'!$U$6:$U$124, 'Expenditure Breakdown'!$T$6:$T$124, "&gt;="&amp;BX1,'Expenditure Breakdown'!$T$6:$T$124, "&lt;"&amp;BY1)</f>
        <v>0</v>
      </c>
      <c r="BY17" s="263">
        <f>SUMIFS('Expenditure Breakdown'!$U$6:$U$124, 'Expenditure Breakdown'!$T$6:$T$124, "&gt;="&amp;BY1,'Expenditure Breakdown'!$T$6:$T$124, "&lt;"&amp;BZ1)</f>
        <v>0</v>
      </c>
      <c r="BZ17" s="263">
        <f>SUMIFS('Expenditure Breakdown'!$U$6:$U$124, 'Expenditure Breakdown'!$T$6:$T$124, "&gt;="&amp;BZ1,'Expenditure Breakdown'!$T$6:$T$124, "&lt;"&amp;CA1)</f>
        <v>0</v>
      </c>
      <c r="CA17" s="263">
        <f>SUMIFS('Expenditure Breakdown'!$U$6:$U$124, 'Expenditure Breakdown'!$T$6:$T$124, "&gt;="&amp;CA1,'Expenditure Breakdown'!$T$6:$T$124, "&lt;"&amp;CB1)</f>
        <v>0</v>
      </c>
      <c r="CB17" s="263">
        <f>SUMIFS('Expenditure Breakdown'!$U$6:$U$124, 'Expenditure Breakdown'!$T$6:$T$124, "&gt;="&amp;CB1,'Expenditure Breakdown'!$T$6:$T$124, "&lt;"&amp;CC1)</f>
        <v>0</v>
      </c>
      <c r="CC17" s="263">
        <f>SUMIFS('Expenditure Breakdown'!$U$6:$U$124, 'Expenditure Breakdown'!$T$6:$T$124, "&gt;="&amp;CC1,'Expenditure Breakdown'!$T$6:$T$124, "&lt;"&amp;CD1)</f>
        <v>0</v>
      </c>
      <c r="CD17" s="263">
        <f>SUMIFS('Expenditure Breakdown'!$U$6:$U$124, 'Expenditure Breakdown'!$T$6:$T$124, "&gt;="&amp;CD1,'Expenditure Breakdown'!$T$6:$T$124, "&lt;"&amp;CE1)</f>
        <v>0</v>
      </c>
      <c r="CE17" s="263">
        <f>SUMIFS('Expenditure Breakdown'!$U$6:$U$124, 'Expenditure Breakdown'!$T$6:$T$124, "&gt;="&amp;CE1,'Expenditure Breakdown'!$T$6:$T$124, "&lt;"&amp;CF1)</f>
        <v>0</v>
      </c>
      <c r="CF17" s="263">
        <f>SUMIFS('Expenditure Breakdown'!$U$6:$U$124, 'Expenditure Breakdown'!$T$6:$T$124, "&gt;="&amp;CF1,'Expenditure Breakdown'!$T$6:$T$124, "&lt;"&amp;CG1)</f>
        <v>0</v>
      </c>
      <c r="CG17" s="263">
        <f>SUMIFS('Expenditure Breakdown'!$U$6:$U$124, 'Expenditure Breakdown'!$T$6:$T$124, "&gt;="&amp;CG1,'Expenditure Breakdown'!$T$6:$T$124, "&lt;"&amp;CH1)</f>
        <v>0</v>
      </c>
      <c r="CH17" s="263">
        <f>SUMIFS('Expenditure Breakdown'!$U$6:$U$124, 'Expenditure Breakdown'!$T$6:$T$124, "&gt;="&amp;CH1,'Expenditure Breakdown'!$T$6:$T$124, "&lt;"&amp;CI1)</f>
        <v>0</v>
      </c>
      <c r="CI17" s="263">
        <f>SUMIFS('Expenditure Breakdown'!$U$6:$U$124, 'Expenditure Breakdown'!$T$6:$T$124, "&gt;="&amp;CI1,'Expenditure Breakdown'!$T$6:$T$124, "&lt;"&amp;CJ1)</f>
        <v>0</v>
      </c>
      <c r="CJ17" s="263">
        <f>SUMIFS('Expenditure Breakdown'!$U$6:$U$124, 'Expenditure Breakdown'!$T$6:$T$124, "&gt;="&amp;CJ1,'Expenditure Breakdown'!$T$6:$T$124, "&lt;"&amp;CK1)</f>
        <v>0</v>
      </c>
      <c r="CK17" s="263">
        <f>SUMIFS('Expenditure Breakdown'!$U$6:$U$124, 'Expenditure Breakdown'!$T$6:$T$124, "&gt;="&amp;CK1,'Expenditure Breakdown'!$T$6:$T$124, "&lt;"&amp;CL1)</f>
        <v>0</v>
      </c>
      <c r="CL17" s="263">
        <f>SUMIFS('Expenditure Breakdown'!$U$6:$U$124, 'Expenditure Breakdown'!$T$6:$T$124, "&gt;="&amp;CL1,'Expenditure Breakdown'!$T$6:$T$124, "&lt;"&amp;CM1)</f>
        <v>0</v>
      </c>
      <c r="CM17" s="263">
        <f>SUMIFS('Expenditure Breakdown'!$U$6:$U$124, 'Expenditure Breakdown'!$T$6:$T$124, "&gt;="&amp;CM1,'Expenditure Breakdown'!$T$6:$T$124, "&lt;"&amp;CN1)</f>
        <v>0</v>
      </c>
    </row>
    <row r="18" spans="1:91">
      <c r="A18" s="1002"/>
      <c r="B18" s="244" t="s">
        <v>420</v>
      </c>
      <c r="C18" s="539">
        <f>D17-D18</f>
        <v>0</v>
      </c>
      <c r="D18" s="245">
        <f>MAX(F18:BY18)</f>
        <v>1744357.827910922</v>
      </c>
      <c r="E18" s="255"/>
      <c r="F18" s="263">
        <f>F17</f>
        <v>0</v>
      </c>
      <c r="G18" s="263">
        <f>F18+G17</f>
        <v>0</v>
      </c>
      <c r="H18" s="263">
        <f>G18+H17</f>
        <v>541591.65388054238</v>
      </c>
      <c r="I18" s="263">
        <f t="shared" ref="I18" si="425">H18+I17</f>
        <v>541591.65388054238</v>
      </c>
      <c r="J18" s="263">
        <f t="shared" ref="J18" si="426">I18+J17</f>
        <v>541591.65388054238</v>
      </c>
      <c r="K18" s="263">
        <f t="shared" ref="K18" si="427">J18+K17</f>
        <v>541591.65388054238</v>
      </c>
      <c r="L18" s="263">
        <f t="shared" ref="L18" si="428">K18+L17</f>
        <v>573669.32824239682</v>
      </c>
      <c r="M18" s="263">
        <f t="shared" ref="M18" si="429">L18+M17</f>
        <v>573669.32824239682</v>
      </c>
      <c r="N18" s="263">
        <f t="shared" ref="N18" si="430">M18+N17</f>
        <v>573669.32824239682</v>
      </c>
      <c r="O18" s="263">
        <f t="shared" ref="O18" si="431">N18+O17</f>
        <v>573669.32824239682</v>
      </c>
      <c r="P18" s="263">
        <f t="shared" ref="P18" si="432">O18+P17</f>
        <v>573669.32824239682</v>
      </c>
      <c r="Q18" s="263">
        <f t="shared" ref="Q18" si="433">P18+Q17</f>
        <v>897560.63238097401</v>
      </c>
      <c r="R18" s="263">
        <f t="shared" ref="R18" si="434">Q18+R17</f>
        <v>897560.63238097401</v>
      </c>
      <c r="S18" s="263">
        <f t="shared" ref="S18" si="435">R18+S17</f>
        <v>897560.63238097401</v>
      </c>
      <c r="T18" s="263">
        <f t="shared" ref="T18" si="436">S18+T17</f>
        <v>897560.63238097401</v>
      </c>
      <c r="U18" s="263">
        <f t="shared" ref="U18" si="437">T18+U17</f>
        <v>1421245.2800140539</v>
      </c>
      <c r="V18" s="263">
        <f t="shared" ref="V18" si="438">U18+V17</f>
        <v>1421245.2800140539</v>
      </c>
      <c r="W18" s="263">
        <f t="shared" ref="W18" si="439">V18+W17</f>
        <v>1421245.2800140539</v>
      </c>
      <c r="X18" s="263">
        <f t="shared" ref="X18" si="440">W18+X17</f>
        <v>1421245.2800140539</v>
      </c>
      <c r="Y18" s="263">
        <f t="shared" ref="Y18" si="441">X18+Y17</f>
        <v>1694916.8786590251</v>
      </c>
      <c r="Z18" s="263">
        <f t="shared" ref="Z18" si="442">Y18+Z17</f>
        <v>1694916.8786590251</v>
      </c>
      <c r="AA18" s="263">
        <f t="shared" ref="AA18" si="443">Z18+AA17</f>
        <v>1694916.8786590251</v>
      </c>
      <c r="AB18" s="263">
        <f t="shared" ref="AB18" si="444">AA18+AB17</f>
        <v>1694916.8786590251</v>
      </c>
      <c r="AC18" s="263">
        <f t="shared" ref="AC18" si="445">AB18+AC17</f>
        <v>1694916.8786590251</v>
      </c>
      <c r="AD18" s="263">
        <f t="shared" ref="AD18" si="446">AC18+AD17</f>
        <v>1695704.7178575518</v>
      </c>
      <c r="AE18" s="263">
        <f t="shared" ref="AE18" si="447">AD18+AE17</f>
        <v>1695704.7178575518</v>
      </c>
      <c r="AF18" s="263">
        <f t="shared" ref="AF18" si="448">AE18+AF17</f>
        <v>1695704.7178575518</v>
      </c>
      <c r="AG18" s="263">
        <f t="shared" ref="AG18" si="449">AF18+AG17</f>
        <v>1695704.7178575518</v>
      </c>
      <c r="AH18" s="263">
        <f t="shared" ref="AH18" si="450">AG18+AH17</f>
        <v>1744357.827910922</v>
      </c>
      <c r="AI18" s="263">
        <f t="shared" ref="AI18" si="451">AH18+AI17</f>
        <v>1744357.827910922</v>
      </c>
      <c r="AJ18" s="263">
        <f t="shared" ref="AJ18" si="452">AI18+AJ17</f>
        <v>1744357.827910922</v>
      </c>
      <c r="AK18" s="263">
        <f t="shared" ref="AK18" si="453">AJ18+AK17</f>
        <v>1744357.827910922</v>
      </c>
      <c r="AL18" s="263">
        <f t="shared" ref="AL18" si="454">AK18+AL17</f>
        <v>1744357.827910922</v>
      </c>
      <c r="AM18" s="263">
        <f t="shared" ref="AM18" si="455">AL18+AM17</f>
        <v>1744357.827910922</v>
      </c>
      <c r="AN18" s="263">
        <f t="shared" ref="AN18" si="456">AM18+AN17</f>
        <v>1744357.827910922</v>
      </c>
      <c r="AO18" s="263">
        <f t="shared" ref="AO18" si="457">AN18+AO17</f>
        <v>1744357.827910922</v>
      </c>
      <c r="AP18" s="263">
        <f t="shared" ref="AP18" si="458">AO18+AP17</f>
        <v>1744357.827910922</v>
      </c>
      <c r="AQ18" s="263">
        <f t="shared" ref="AQ18" si="459">AP18+AQ17</f>
        <v>1744357.827910922</v>
      </c>
      <c r="AR18" s="263">
        <f t="shared" ref="AR18" si="460">AQ18+AR17</f>
        <v>1744357.827910922</v>
      </c>
      <c r="AS18" s="263">
        <f t="shared" ref="AS18" si="461">AR18+AS17</f>
        <v>1744357.827910922</v>
      </c>
      <c r="AT18" s="263">
        <f t="shared" ref="AT18" si="462">AS18+AT17</f>
        <v>1744357.827910922</v>
      </c>
      <c r="AU18" s="263">
        <f t="shared" ref="AU18" si="463">AT18+AU17</f>
        <v>1744357.827910922</v>
      </c>
      <c r="AV18" s="263">
        <f t="shared" ref="AV18" si="464">AU18+AV17</f>
        <v>1744357.827910922</v>
      </c>
      <c r="AW18" s="263">
        <f t="shared" ref="AW18" si="465">AV18+AW17</f>
        <v>1744357.827910922</v>
      </c>
      <c r="AX18" s="263">
        <f t="shared" ref="AX18" si="466">AW18+AX17</f>
        <v>1744357.827910922</v>
      </c>
      <c r="AY18" s="263">
        <f t="shared" ref="AY18" si="467">AX18+AY17</f>
        <v>1744357.827910922</v>
      </c>
      <c r="AZ18" s="263">
        <f t="shared" ref="AZ18" si="468">AY18+AZ17</f>
        <v>1744357.827910922</v>
      </c>
      <c r="BA18" s="263">
        <f t="shared" ref="BA18" si="469">AZ18+BA17</f>
        <v>1744357.827910922</v>
      </c>
      <c r="BB18" s="263">
        <f t="shared" ref="BB18" si="470">BA18+BB17</f>
        <v>1744357.827910922</v>
      </c>
      <c r="BC18" s="263">
        <f t="shared" ref="BC18" si="471">BB18+BC17</f>
        <v>1744357.827910922</v>
      </c>
      <c r="BD18" s="263">
        <f t="shared" ref="BD18" si="472">BC18+BD17</f>
        <v>1744357.827910922</v>
      </c>
      <c r="BE18" s="263">
        <f t="shared" ref="BE18" si="473">BD18+BE17</f>
        <v>1744357.827910922</v>
      </c>
      <c r="BF18" s="263">
        <f t="shared" ref="BF18" si="474">BE18+BF17</f>
        <v>1744357.827910922</v>
      </c>
      <c r="BG18" s="263">
        <f t="shared" ref="BG18" si="475">BF18+BG17</f>
        <v>1744357.827910922</v>
      </c>
      <c r="BH18" s="263">
        <f t="shared" ref="BH18" si="476">BG18+BH17</f>
        <v>1744357.827910922</v>
      </c>
      <c r="BI18" s="263">
        <f t="shared" ref="BI18" si="477">BH18+BI17</f>
        <v>1744357.827910922</v>
      </c>
      <c r="BJ18" s="263">
        <f t="shared" ref="BJ18" si="478">BI18+BJ17</f>
        <v>1744357.827910922</v>
      </c>
      <c r="BK18" s="263">
        <f t="shared" ref="BK18" si="479">BJ18+BK17</f>
        <v>1744357.827910922</v>
      </c>
      <c r="BL18" s="263">
        <f t="shared" ref="BL18" si="480">BK18+BL17</f>
        <v>1744357.827910922</v>
      </c>
      <c r="BM18" s="263">
        <f t="shared" ref="BM18" si="481">BL18+BM17</f>
        <v>1744357.827910922</v>
      </c>
      <c r="BN18" s="263">
        <f t="shared" ref="BN18" si="482">BM18+BN17</f>
        <v>1744357.827910922</v>
      </c>
      <c r="BO18" s="263">
        <f t="shared" ref="BO18" si="483">BN18+BO17</f>
        <v>1744357.827910922</v>
      </c>
      <c r="BP18" s="263">
        <f t="shared" ref="BP18" si="484">BO18+BP17</f>
        <v>1744357.827910922</v>
      </c>
      <c r="BQ18" s="263">
        <f t="shared" ref="BQ18" si="485">BP18+BQ17</f>
        <v>1744357.827910922</v>
      </c>
      <c r="BR18" s="263">
        <f t="shared" ref="BR18" si="486">BQ18+BR17</f>
        <v>1744357.827910922</v>
      </c>
      <c r="BS18" s="263">
        <f t="shared" ref="BS18" si="487">BR18+BS17</f>
        <v>1744357.827910922</v>
      </c>
      <c r="BT18" s="263">
        <f t="shared" ref="BT18" si="488">BS18+BT17</f>
        <v>1744357.827910922</v>
      </c>
      <c r="BU18" s="263">
        <f t="shared" ref="BU18" si="489">BT18+BU17</f>
        <v>1744357.827910922</v>
      </c>
      <c r="BV18" s="263">
        <f t="shared" ref="BV18" si="490">BU18+BV17</f>
        <v>1744357.827910922</v>
      </c>
      <c r="BW18" s="263">
        <f t="shared" ref="BW18" si="491">BV18+BW17</f>
        <v>1744357.827910922</v>
      </c>
      <c r="BX18" s="263">
        <f t="shared" ref="BX18" si="492">BW18+BX17</f>
        <v>1744357.827910922</v>
      </c>
      <c r="BY18" s="263">
        <f t="shared" ref="BY18" si="493">BX18+BY17</f>
        <v>1744357.827910922</v>
      </c>
      <c r="BZ18" s="263">
        <f t="shared" ref="BZ18" si="494">BY18+BZ17</f>
        <v>1744357.827910922</v>
      </c>
      <c r="CA18" s="263">
        <f t="shared" ref="CA18" si="495">BZ18+CA17</f>
        <v>1744357.827910922</v>
      </c>
      <c r="CB18" s="263">
        <f t="shared" ref="CB18" si="496">CA18+CB17</f>
        <v>1744357.827910922</v>
      </c>
      <c r="CC18" s="263">
        <f t="shared" ref="CC18" si="497">CB18+CC17</f>
        <v>1744357.827910922</v>
      </c>
      <c r="CD18" s="263">
        <f t="shared" ref="CD18" si="498">CC18+CD17</f>
        <v>1744357.827910922</v>
      </c>
      <c r="CE18" s="263">
        <f t="shared" ref="CE18" si="499">CD18+CE17</f>
        <v>1744357.827910922</v>
      </c>
      <c r="CF18" s="263">
        <f t="shared" ref="CF18" si="500">CE18+CF17</f>
        <v>1744357.827910922</v>
      </c>
      <c r="CG18" s="263">
        <f t="shared" ref="CG18" si="501">CF18+CG17</f>
        <v>1744357.827910922</v>
      </c>
      <c r="CH18" s="263">
        <f t="shared" ref="CH18" si="502">CG18+CH17</f>
        <v>1744357.827910922</v>
      </c>
      <c r="CI18" s="263">
        <f t="shared" ref="CI18" si="503">CH18+CI17</f>
        <v>1744357.827910922</v>
      </c>
      <c r="CJ18" s="263">
        <f t="shared" ref="CJ18" si="504">CI18+CJ17</f>
        <v>1744357.827910922</v>
      </c>
      <c r="CK18" s="263">
        <f t="shared" ref="CK18" si="505">CJ18+CK17</f>
        <v>1744357.827910922</v>
      </c>
      <c r="CL18" s="263">
        <f t="shared" ref="CL18" si="506">CK18+CL17</f>
        <v>1744357.827910922</v>
      </c>
      <c r="CM18" s="263">
        <f t="shared" ref="CM18" si="507">CL18+CM17</f>
        <v>1744357.827910922</v>
      </c>
    </row>
    <row r="19" spans="1:91" s="240" customFormat="1"/>
    <row r="20" spans="1:91">
      <c r="B20" t="s">
        <v>421</v>
      </c>
      <c r="D20" s="620">
        <f>SUM(F20:BY20)</f>
        <v>318391</v>
      </c>
      <c r="E20" s="240"/>
      <c r="F20" s="645">
        <f>SUMIFS('Expenditure Breakdown'!$R$26:$R$33, 'Expenditure Breakdown'!$W$26:$W$33, "&gt;="&amp;F1,'Expenditure Breakdown'!$W$26:$W$33, "&lt;"&amp;G1)+SUMIFS('Expenditure Breakdown'!$R$48:$R$55, 'Expenditure Breakdown'!$W$48:$W$55, "&gt;="&amp;F1,'Expenditure Breakdown'!$W$48:$W$55, "&lt;"&amp;G1)+SUMIFS('Expenditure Breakdown'!$R$73:$R$80, 'Expenditure Breakdown'!$W$73:$W$80, "&gt;="&amp;F1,'Expenditure Breakdown'!$W$73:$W$80, "&lt;"&amp;G1)</f>
        <v>0</v>
      </c>
      <c r="G20" s="645">
        <f>SUMIFS('Expenditure Breakdown'!$R$26:$R$33, 'Expenditure Breakdown'!$W$26:$W$33, "&gt;="&amp;G1,'Expenditure Breakdown'!$W$26:$W$33, "&lt;"&amp;H1)+SUMIFS('Expenditure Breakdown'!$R$48:$R$55, 'Expenditure Breakdown'!$W$48:$W$55, "&gt;="&amp;G1,'Expenditure Breakdown'!$W$48:$W$55, "&lt;"&amp;H1)+SUMIFS('Expenditure Breakdown'!$R$73:$R$80, 'Expenditure Breakdown'!$W$73:$W$80, "&gt;="&amp;G1,'Expenditure Breakdown'!$W$73:$W$80, "&lt;"&amp;H1)</f>
        <v>0</v>
      </c>
      <c r="H20" s="645">
        <f>SUMIFS('Expenditure Breakdown'!$R$26:$R$33, 'Expenditure Breakdown'!$W$26:$W$33, "&gt;="&amp;H1,'Expenditure Breakdown'!$W$26:$W$33, "&lt;"&amp;I1)+SUMIFS('Expenditure Breakdown'!$R$48:$R$55, 'Expenditure Breakdown'!$W$48:$W$55, "&gt;="&amp;H1,'Expenditure Breakdown'!$W$48:$W$55, "&lt;"&amp;I1)+SUMIFS('Expenditure Breakdown'!$R$73:$R$80, 'Expenditure Breakdown'!$W$73:$W$80, "&gt;="&amp;H1,'Expenditure Breakdown'!$W$73:$W$80, "&lt;"&amp;I1)</f>
        <v>0</v>
      </c>
      <c r="I20" s="645">
        <f>SUMIFS('Expenditure Breakdown'!$R$26:$R$33, 'Expenditure Breakdown'!$W$26:$W$33, "&gt;="&amp;I1,'Expenditure Breakdown'!$W$26:$W$33, "&lt;"&amp;J1)+SUMIFS('Expenditure Breakdown'!$R$48:$R$55, 'Expenditure Breakdown'!$W$48:$W$55, "&gt;="&amp;I1,'Expenditure Breakdown'!$W$48:$W$55, "&lt;"&amp;J1)+SUMIFS('Expenditure Breakdown'!$R$73:$R$80, 'Expenditure Breakdown'!$W$73:$W$80, "&gt;="&amp;I1,'Expenditure Breakdown'!$W$73:$W$80, "&lt;"&amp;J1)</f>
        <v>0</v>
      </c>
      <c r="J20" s="645">
        <f>SUMIFS('Expenditure Breakdown'!$R$26:$R$33, 'Expenditure Breakdown'!$W$26:$W$33, "&gt;="&amp;J1,'Expenditure Breakdown'!$W$26:$W$33, "&lt;"&amp;K1)+SUMIFS('Expenditure Breakdown'!$R$48:$R$55, 'Expenditure Breakdown'!$W$48:$W$55, "&gt;="&amp;J1,'Expenditure Breakdown'!$W$48:$W$55, "&lt;"&amp;K1)+SUMIFS('Expenditure Breakdown'!$R$73:$R$80, 'Expenditure Breakdown'!$W$73:$W$80, "&gt;="&amp;J1,'Expenditure Breakdown'!$W$73:$W$80, "&lt;"&amp;K1)</f>
        <v>0</v>
      </c>
      <c r="K20" s="645">
        <f>SUMIFS('Expenditure Breakdown'!$R$26:$R$33, 'Expenditure Breakdown'!$W$26:$W$33, "&gt;="&amp;K1,'Expenditure Breakdown'!$W$26:$W$33, "&lt;"&amp;L1)+SUMIFS('Expenditure Breakdown'!$R$48:$R$55, 'Expenditure Breakdown'!$W$48:$W$55, "&gt;="&amp;K1,'Expenditure Breakdown'!$W$48:$W$55, "&lt;"&amp;L1)+SUMIFS('Expenditure Breakdown'!$R$73:$R$80, 'Expenditure Breakdown'!$W$73:$W$80, "&gt;="&amp;K1,'Expenditure Breakdown'!$W$73:$W$80, "&lt;"&amp;L1)</f>
        <v>0</v>
      </c>
      <c r="L20" s="645">
        <f>SUMIFS('Expenditure Breakdown'!$R$26:$R$33, 'Expenditure Breakdown'!$W$26:$W$33, "&gt;="&amp;L1,'Expenditure Breakdown'!$W$26:$W$33, "&lt;"&amp;M1)+SUMIFS('Expenditure Breakdown'!$R$48:$R$55, 'Expenditure Breakdown'!$W$48:$W$55, "&gt;="&amp;L1,'Expenditure Breakdown'!$W$48:$W$55, "&lt;"&amp;M1)+SUMIFS('Expenditure Breakdown'!$R$73:$R$80, 'Expenditure Breakdown'!$W$73:$W$80, "&gt;="&amp;L1,'Expenditure Breakdown'!$W$73:$W$80, "&lt;"&amp;M1)</f>
        <v>0</v>
      </c>
      <c r="M20" s="645">
        <f>SUMIFS('Expenditure Breakdown'!$R$26:$R$33, 'Expenditure Breakdown'!$W$26:$W$33, "&gt;="&amp;M1,'Expenditure Breakdown'!$W$26:$W$33, "&lt;"&amp;N1)+SUMIFS('Expenditure Breakdown'!$R$48:$R$55, 'Expenditure Breakdown'!$W$48:$W$55, "&gt;="&amp;M1,'Expenditure Breakdown'!$W$48:$W$55, "&lt;"&amp;N1)+SUMIFS('Expenditure Breakdown'!$R$73:$R$80, 'Expenditure Breakdown'!$W$73:$W$80, "&gt;="&amp;M1,'Expenditure Breakdown'!$W$73:$W$80, "&lt;"&amp;N1)</f>
        <v>0</v>
      </c>
      <c r="N20" s="645">
        <f>SUMIFS('Expenditure Breakdown'!$R$26:$R$33, 'Expenditure Breakdown'!$W$26:$W$33, "&gt;="&amp;N1,'Expenditure Breakdown'!$W$26:$W$33, "&lt;"&amp;O1)+SUMIFS('Expenditure Breakdown'!$R$48:$R$55, 'Expenditure Breakdown'!$W$48:$W$55, "&gt;="&amp;N1,'Expenditure Breakdown'!$W$48:$W$55, "&lt;"&amp;O1)+SUMIFS('Expenditure Breakdown'!$R$73:$R$80, 'Expenditure Breakdown'!$W$73:$W$80, "&gt;="&amp;N1,'Expenditure Breakdown'!$W$73:$W$80, "&lt;"&amp;O1)</f>
        <v>0</v>
      </c>
      <c r="O20" s="645">
        <f>SUMIFS('Expenditure Breakdown'!$R$26:$R$33, 'Expenditure Breakdown'!$W$26:$W$33, "&gt;="&amp;O1,'Expenditure Breakdown'!$W$26:$W$33, "&lt;"&amp;P1)+SUMIFS('Expenditure Breakdown'!$R$48:$R$55, 'Expenditure Breakdown'!$W$48:$W$55, "&gt;="&amp;O1,'Expenditure Breakdown'!$W$48:$W$55, "&lt;"&amp;P1)+SUMIFS('Expenditure Breakdown'!$R$73:$R$80, 'Expenditure Breakdown'!$W$73:$W$80, "&gt;="&amp;O1,'Expenditure Breakdown'!$W$73:$W$80, "&lt;"&amp;P1)</f>
        <v>0</v>
      </c>
      <c r="P20" s="645">
        <f>SUMIFS('Expenditure Breakdown'!$R$26:$R$33, 'Expenditure Breakdown'!$W$26:$W$33, "&gt;="&amp;P1,'Expenditure Breakdown'!$W$26:$W$33, "&lt;"&amp;Q1)+SUMIFS('Expenditure Breakdown'!$R$48:$R$55, 'Expenditure Breakdown'!$W$48:$W$55, "&gt;="&amp;P1,'Expenditure Breakdown'!$W$48:$W$55, "&lt;"&amp;Q1)+SUMIFS('Expenditure Breakdown'!$R$73:$R$80, 'Expenditure Breakdown'!$W$73:$W$80, "&gt;="&amp;P1,'Expenditure Breakdown'!$W$73:$W$80, "&lt;"&amp;Q1)</f>
        <v>31839.100000000002</v>
      </c>
      <c r="Q20" s="645">
        <f>SUMIFS('Expenditure Breakdown'!$R$26:$R$33, 'Expenditure Breakdown'!$W$26:$W$33, "&gt;="&amp;Q1,'Expenditure Breakdown'!$W$26:$W$33, "&lt;"&amp;R1)+SUMIFS('Expenditure Breakdown'!$R$48:$R$55, 'Expenditure Breakdown'!$W$48:$W$55, "&gt;="&amp;Q1,'Expenditure Breakdown'!$W$48:$W$55, "&lt;"&amp;R1)+SUMIFS('Expenditure Breakdown'!$R$73:$R$80, 'Expenditure Breakdown'!$W$73:$W$80, "&gt;="&amp;Q1,'Expenditure Breakdown'!$W$73:$W$80, "&lt;"&amp;R1)</f>
        <v>0</v>
      </c>
      <c r="R20" s="645">
        <f>SUMIFS('Expenditure Breakdown'!$R$26:$R$33, 'Expenditure Breakdown'!$W$26:$W$33, "&gt;="&amp;R1,'Expenditure Breakdown'!$W$26:$W$33, "&lt;"&amp;S1)+SUMIFS('Expenditure Breakdown'!$R$48:$R$55, 'Expenditure Breakdown'!$W$48:$W$55, "&gt;="&amp;R1,'Expenditure Breakdown'!$W$48:$W$55, "&lt;"&amp;S1)+SUMIFS('Expenditure Breakdown'!$R$73:$R$80, 'Expenditure Breakdown'!$W$73:$W$80, "&gt;="&amp;R1,'Expenditure Breakdown'!$W$73:$W$80, "&lt;"&amp;S1)</f>
        <v>47758.649999999994</v>
      </c>
      <c r="S20" s="645">
        <f>SUMIFS('Expenditure Breakdown'!$R$26:$R$33, 'Expenditure Breakdown'!$W$26:$W$33, "&gt;="&amp;S1,'Expenditure Breakdown'!$W$26:$W$33, "&lt;"&amp;T1)+SUMIFS('Expenditure Breakdown'!$R$48:$R$55, 'Expenditure Breakdown'!$W$48:$W$55, "&gt;="&amp;S1,'Expenditure Breakdown'!$W$48:$W$55, "&lt;"&amp;T1)+SUMIFS('Expenditure Breakdown'!$R$73:$R$80, 'Expenditure Breakdown'!$W$73:$W$80, "&gt;="&amp;S1,'Expenditure Breakdown'!$W$73:$W$80, "&lt;"&amp;T1)</f>
        <v>0</v>
      </c>
      <c r="T20" s="645">
        <f>SUMIFS('Expenditure Breakdown'!$R$26:$R$33, 'Expenditure Breakdown'!$W$26:$W$33, "&gt;="&amp;T1,'Expenditure Breakdown'!$W$26:$W$33, "&lt;"&amp;U1)+SUMIFS('Expenditure Breakdown'!$R$48:$R$55, 'Expenditure Breakdown'!$W$48:$W$55, "&gt;="&amp;T1,'Expenditure Breakdown'!$W$48:$W$55, "&lt;"&amp;U1)+SUMIFS('Expenditure Breakdown'!$R$73:$R$80, 'Expenditure Breakdown'!$W$73:$W$80, "&gt;="&amp;T1,'Expenditure Breakdown'!$W$73:$W$80, "&lt;"&amp;U1)</f>
        <v>0</v>
      </c>
      <c r="U20" s="645">
        <f>SUMIFS('Expenditure Breakdown'!$R$26:$R$33, 'Expenditure Breakdown'!$W$26:$W$33, "&gt;="&amp;U1,'Expenditure Breakdown'!$W$26:$W$33, "&lt;"&amp;V1)+SUMIFS('Expenditure Breakdown'!$R$48:$R$55, 'Expenditure Breakdown'!$W$48:$W$55, "&gt;="&amp;U1,'Expenditure Breakdown'!$W$48:$W$55, "&lt;"&amp;V1)+SUMIFS('Expenditure Breakdown'!$R$73:$R$80, 'Expenditure Breakdown'!$W$73:$W$80, "&gt;="&amp;U1,'Expenditure Breakdown'!$W$73:$W$80, "&lt;"&amp;V1)</f>
        <v>0</v>
      </c>
      <c r="V20" s="645">
        <f>SUMIFS('Expenditure Breakdown'!$R$26:$R$33, 'Expenditure Breakdown'!$W$26:$W$33, "&gt;="&amp;V1,'Expenditure Breakdown'!$W$26:$W$33, "&lt;"&amp;W1)+SUMIFS('Expenditure Breakdown'!$R$48:$R$55, 'Expenditure Breakdown'!$W$48:$W$55, "&gt;="&amp;V1,'Expenditure Breakdown'!$W$48:$W$55, "&lt;"&amp;W1)+SUMIFS('Expenditure Breakdown'!$R$73:$R$80, 'Expenditure Breakdown'!$W$73:$W$80, "&gt;="&amp;V1,'Expenditure Breakdown'!$W$73:$W$80, "&lt;"&amp;W1)</f>
        <v>0</v>
      </c>
      <c r="W20" s="645">
        <f>SUMIFS('Expenditure Breakdown'!$R$26:$R$33, 'Expenditure Breakdown'!$W$26:$W$33, "&gt;="&amp;W1,'Expenditure Breakdown'!$W$26:$W$33, "&lt;"&amp;X1)+SUMIFS('Expenditure Breakdown'!$R$48:$R$55, 'Expenditure Breakdown'!$W$48:$W$55, "&gt;="&amp;W1,'Expenditure Breakdown'!$W$48:$W$55, "&lt;"&amp;X1)+SUMIFS('Expenditure Breakdown'!$R$73:$R$80, 'Expenditure Breakdown'!$W$73:$W$80, "&gt;="&amp;W1,'Expenditure Breakdown'!$W$73:$W$80, "&lt;"&amp;X1)</f>
        <v>0</v>
      </c>
      <c r="X20" s="645">
        <f>SUMIFS('Expenditure Breakdown'!$R$26:$R$33, 'Expenditure Breakdown'!$W$26:$W$33, "&gt;="&amp;X1,'Expenditure Breakdown'!$W$26:$W$33, "&lt;"&amp;Y1)+SUMIFS('Expenditure Breakdown'!$R$48:$R$55, 'Expenditure Breakdown'!$W$48:$W$55, "&gt;="&amp;X1,'Expenditure Breakdown'!$W$48:$W$55, "&lt;"&amp;Y1)+SUMIFS('Expenditure Breakdown'!$R$73:$R$80, 'Expenditure Breakdown'!$W$73:$W$80, "&gt;="&amp;X1,'Expenditure Breakdown'!$W$73:$W$80, "&lt;"&amp;Y1)</f>
        <v>0</v>
      </c>
      <c r="Y20" s="645">
        <f>SUMIFS('Expenditure Breakdown'!$R$26:$R$33, 'Expenditure Breakdown'!$W$26:$W$33, "&gt;="&amp;Y1,'Expenditure Breakdown'!$W$26:$W$33, "&lt;"&amp;Z1)+SUMIFS('Expenditure Breakdown'!$R$48:$R$55, 'Expenditure Breakdown'!$W$48:$W$55, "&gt;="&amp;Y1,'Expenditure Breakdown'!$W$48:$W$55, "&lt;"&amp;Z1)+SUMIFS('Expenditure Breakdown'!$R$73:$R$80, 'Expenditure Breakdown'!$W$73:$W$80, "&gt;="&amp;Y1,'Expenditure Breakdown'!$W$73:$W$80, "&lt;"&amp;Z1)</f>
        <v>95517.3</v>
      </c>
      <c r="Z20" s="645">
        <f>SUMIFS('Expenditure Breakdown'!$R$26:$R$33, 'Expenditure Breakdown'!$W$26:$W$33, "&gt;="&amp;Z1,'Expenditure Breakdown'!$W$26:$W$33, "&lt;"&amp;AA1)+SUMIFS('Expenditure Breakdown'!$R$48:$R$55, 'Expenditure Breakdown'!$W$48:$W$55, "&gt;="&amp;Z1,'Expenditure Breakdown'!$W$48:$W$55, "&lt;"&amp;AA1)+SUMIFS('Expenditure Breakdown'!$R$73:$R$80, 'Expenditure Breakdown'!$W$73:$W$80, "&gt;="&amp;Z1,'Expenditure Breakdown'!$W$73:$W$80, "&lt;"&amp;AA1)</f>
        <v>31839.100000000002</v>
      </c>
      <c r="AA20" s="645">
        <f>SUMIFS('Expenditure Breakdown'!$R$26:$R$33, 'Expenditure Breakdown'!$W$26:$W$33, "&gt;="&amp;AA1,'Expenditure Breakdown'!$W$26:$W$33, "&lt;"&amp;AB1)+SUMIFS('Expenditure Breakdown'!$R$48:$R$55, 'Expenditure Breakdown'!$W$48:$W$55, "&gt;="&amp;AA1,'Expenditure Breakdown'!$W$48:$W$55, "&lt;"&amp;AB1)+SUMIFS('Expenditure Breakdown'!$R$73:$R$80, 'Expenditure Breakdown'!$W$73:$W$80, "&gt;="&amp;AA1,'Expenditure Breakdown'!$W$73:$W$80, "&lt;"&amp;AB1)</f>
        <v>0</v>
      </c>
      <c r="AB20" s="645">
        <f>SUMIFS('Expenditure Breakdown'!$R$26:$R$33, 'Expenditure Breakdown'!$W$26:$W$33, "&gt;="&amp;AB1,'Expenditure Breakdown'!$W$26:$W$33, "&lt;"&amp;AC1)+SUMIFS('Expenditure Breakdown'!$R$48:$R$55, 'Expenditure Breakdown'!$W$48:$W$55, "&gt;="&amp;AB1,'Expenditure Breakdown'!$W$48:$W$55, "&lt;"&amp;AC1)+SUMIFS('Expenditure Breakdown'!$R$73:$R$80, 'Expenditure Breakdown'!$W$73:$W$80, "&gt;="&amp;AB1,'Expenditure Breakdown'!$W$73:$W$80, "&lt;"&amp;AC1)</f>
        <v>0</v>
      </c>
      <c r="AC20" s="645">
        <f>SUMIFS('Expenditure Breakdown'!$R$26:$R$33, 'Expenditure Breakdown'!$W$26:$W$33, "&gt;="&amp;AC1,'Expenditure Breakdown'!$W$26:$W$33, "&lt;"&amp;AD1)+SUMIFS('Expenditure Breakdown'!$R$48:$R$55, 'Expenditure Breakdown'!$W$48:$W$55, "&gt;="&amp;AC1,'Expenditure Breakdown'!$W$48:$W$55, "&lt;"&amp;AD1)+SUMIFS('Expenditure Breakdown'!$R$73:$R$80, 'Expenditure Breakdown'!$W$73:$W$80, "&gt;="&amp;AC1,'Expenditure Breakdown'!$W$73:$W$80, "&lt;"&amp;AD1)</f>
        <v>0</v>
      </c>
      <c r="AD20" s="645">
        <f>SUMIFS('Expenditure Breakdown'!$R$26:$R$33, 'Expenditure Breakdown'!$W$26:$W$33, "&gt;="&amp;AD1,'Expenditure Breakdown'!$W$26:$W$33, "&lt;"&amp;AE1)+SUMIFS('Expenditure Breakdown'!$R$48:$R$55, 'Expenditure Breakdown'!$W$48:$W$55, "&gt;="&amp;AD1,'Expenditure Breakdown'!$W$48:$W$55, "&lt;"&amp;AE1)+SUMIFS('Expenditure Breakdown'!$R$73:$R$80, 'Expenditure Breakdown'!$W$73:$W$80, "&gt;="&amp;AD1,'Expenditure Breakdown'!$W$73:$W$80, "&lt;"&amp;AE1)</f>
        <v>0</v>
      </c>
      <c r="AE20" s="645">
        <f>SUMIFS('Expenditure Breakdown'!$R$26:$R$33, 'Expenditure Breakdown'!$W$26:$W$33, "&gt;="&amp;AE1,'Expenditure Breakdown'!$W$26:$W$33, "&lt;"&amp;AF1)+SUMIFS('Expenditure Breakdown'!$R$48:$R$55, 'Expenditure Breakdown'!$W$48:$W$55, "&gt;="&amp;AE1,'Expenditure Breakdown'!$W$48:$W$55, "&lt;"&amp;AF1)+SUMIFS('Expenditure Breakdown'!$R$73:$R$80, 'Expenditure Breakdown'!$W$73:$W$80, "&gt;="&amp;AE1,'Expenditure Breakdown'!$W$73:$W$80, "&lt;"&amp;AF1)</f>
        <v>0</v>
      </c>
      <c r="AF20" s="645">
        <f>SUMIFS('Expenditure Breakdown'!$R$26:$R$33, 'Expenditure Breakdown'!$W$26:$W$33, "&gt;="&amp;AF1,'Expenditure Breakdown'!$W$26:$W$33, "&lt;"&amp;AG1)+SUMIFS('Expenditure Breakdown'!$R$48:$R$55, 'Expenditure Breakdown'!$W$48:$W$55, "&gt;="&amp;AF1,'Expenditure Breakdown'!$W$48:$W$55, "&lt;"&amp;AG1)+SUMIFS('Expenditure Breakdown'!$R$73:$R$80, 'Expenditure Breakdown'!$W$73:$W$80, "&gt;="&amp;AF1,'Expenditure Breakdown'!$W$73:$W$80, "&lt;"&amp;AG1)</f>
        <v>0</v>
      </c>
      <c r="AG20" s="645">
        <f>SUMIFS('Expenditure Breakdown'!$R$26:$R$33, 'Expenditure Breakdown'!$W$26:$W$33, "&gt;="&amp;AG1,'Expenditure Breakdown'!$W$26:$W$33, "&lt;"&amp;AH1)+SUMIFS('Expenditure Breakdown'!$R$48:$R$55, 'Expenditure Breakdown'!$W$48:$W$55, "&gt;="&amp;AG1,'Expenditure Breakdown'!$W$48:$W$55, "&lt;"&amp;AH1)+SUMIFS('Expenditure Breakdown'!$R$73:$R$80, 'Expenditure Breakdown'!$W$73:$W$80, "&gt;="&amp;AG1,'Expenditure Breakdown'!$W$73:$W$80, "&lt;"&amp;AH1)</f>
        <v>0</v>
      </c>
      <c r="AH20" s="645">
        <f>SUMIFS('Expenditure Breakdown'!$R$26:$R$33, 'Expenditure Breakdown'!$W$26:$W$33, "&gt;="&amp;AH1,'Expenditure Breakdown'!$W$26:$W$33, "&lt;"&amp;AI1)+SUMIFS('Expenditure Breakdown'!$R$48:$R$55, 'Expenditure Breakdown'!$W$48:$W$55, "&gt;="&amp;AH1,'Expenditure Breakdown'!$W$48:$W$55, "&lt;"&amp;AI1)+SUMIFS('Expenditure Breakdown'!$R$73:$R$80, 'Expenditure Breakdown'!$W$73:$W$80, "&gt;="&amp;AH1,'Expenditure Breakdown'!$W$73:$W$80, "&lt;"&amp;AI1)</f>
        <v>79597.75</v>
      </c>
      <c r="AI20" s="645">
        <f>SUMIFS('Expenditure Breakdown'!$R$26:$R$33, 'Expenditure Breakdown'!$W$26:$W$33, "&gt;="&amp;AI1,'Expenditure Breakdown'!$W$26:$W$33, "&lt;"&amp;AJ1)+SUMIFS('Expenditure Breakdown'!$R$48:$R$55, 'Expenditure Breakdown'!$W$48:$W$55, "&gt;="&amp;AI1,'Expenditure Breakdown'!$W$48:$W$55, "&lt;"&amp;AJ1)+SUMIFS('Expenditure Breakdown'!$R$73:$R$80, 'Expenditure Breakdown'!$W$73:$W$80, "&gt;="&amp;AI1,'Expenditure Breakdown'!$W$73:$W$80, "&lt;"&amp;AJ1)</f>
        <v>0</v>
      </c>
      <c r="AJ20" s="645">
        <f>SUMIFS('Expenditure Breakdown'!$R$26:$R$33, 'Expenditure Breakdown'!$W$26:$W$33, "&gt;="&amp;AJ1,'Expenditure Breakdown'!$W$26:$W$33, "&lt;"&amp;AK1)+SUMIFS('Expenditure Breakdown'!$R$48:$R$55, 'Expenditure Breakdown'!$W$48:$W$55, "&gt;="&amp;AJ1,'Expenditure Breakdown'!$W$48:$W$55, "&lt;"&amp;AK1)+SUMIFS('Expenditure Breakdown'!$R$73:$R$80, 'Expenditure Breakdown'!$W$73:$W$80, "&gt;="&amp;AJ1,'Expenditure Breakdown'!$W$73:$W$80, "&lt;"&amp;AK1)</f>
        <v>15919.550000000001</v>
      </c>
      <c r="AK20" s="645">
        <f>SUMIFS('Expenditure Breakdown'!$R$26:$R$33, 'Expenditure Breakdown'!$W$26:$W$33, "&gt;="&amp;AK1,'Expenditure Breakdown'!$W$26:$W$33, "&lt;"&amp;AL1)+SUMIFS('Expenditure Breakdown'!$R$48:$R$55, 'Expenditure Breakdown'!$W$48:$W$55, "&gt;="&amp;AK1,'Expenditure Breakdown'!$W$48:$W$55, "&lt;"&amp;AL1)+SUMIFS('Expenditure Breakdown'!$R$73:$R$80, 'Expenditure Breakdown'!$W$73:$W$80, "&gt;="&amp;AK1,'Expenditure Breakdown'!$W$73:$W$80, "&lt;"&amp;AL1)</f>
        <v>0</v>
      </c>
      <c r="AL20" s="645">
        <f>SUMIFS('Expenditure Breakdown'!$R$26:$R$33, 'Expenditure Breakdown'!$W$26:$W$33, "&gt;="&amp;AL1,'Expenditure Breakdown'!$W$26:$W$33, "&lt;"&amp;AM1)+SUMIFS('Expenditure Breakdown'!$R$48:$R$55, 'Expenditure Breakdown'!$W$48:$W$55, "&gt;="&amp;AL1,'Expenditure Breakdown'!$W$48:$W$55, "&lt;"&amp;AM1)+SUMIFS('Expenditure Breakdown'!$R$73:$R$80, 'Expenditure Breakdown'!$W$73:$W$80, "&gt;="&amp;AL1,'Expenditure Breakdown'!$W$73:$W$80, "&lt;"&amp;AM1)</f>
        <v>0</v>
      </c>
      <c r="AM20" s="645">
        <f>SUMIFS('Expenditure Breakdown'!$R$26:$R$33, 'Expenditure Breakdown'!$W$26:$W$33, "&gt;="&amp;AM1,'Expenditure Breakdown'!$W$26:$W$33, "&lt;"&amp;AN1)+SUMIFS('Expenditure Breakdown'!$R$48:$R$55, 'Expenditure Breakdown'!$W$48:$W$55, "&gt;="&amp;AM1,'Expenditure Breakdown'!$W$48:$W$55, "&lt;"&amp;AN1)+SUMIFS('Expenditure Breakdown'!$R$73:$R$80, 'Expenditure Breakdown'!$W$73:$W$80, "&gt;="&amp;AM1,'Expenditure Breakdown'!$W$73:$W$80, "&lt;"&amp;AN1)</f>
        <v>15919.550000000001</v>
      </c>
      <c r="AN20" s="645">
        <f>SUMIFS('Expenditure Breakdown'!$R$26:$R$33, 'Expenditure Breakdown'!$W$26:$W$33, "&gt;="&amp;AN1,'Expenditure Breakdown'!$W$26:$W$33, "&lt;"&amp;AO1)+SUMIFS('Expenditure Breakdown'!$R$48:$R$55, 'Expenditure Breakdown'!$W$48:$W$55, "&gt;="&amp;AN1,'Expenditure Breakdown'!$W$48:$W$55, "&lt;"&amp;AO1)+SUMIFS('Expenditure Breakdown'!$R$73:$R$80, 'Expenditure Breakdown'!$W$73:$W$80, "&gt;="&amp;AN1,'Expenditure Breakdown'!$W$73:$W$80, "&lt;"&amp;AO1)</f>
        <v>0</v>
      </c>
      <c r="AO20" s="645">
        <f>SUMIFS('Expenditure Breakdown'!$R$26:$R$33, 'Expenditure Breakdown'!$W$26:$W$33, "&gt;="&amp;AO1,'Expenditure Breakdown'!$W$26:$W$33, "&lt;"&amp;AP1)+SUMIFS('Expenditure Breakdown'!$R$48:$R$55, 'Expenditure Breakdown'!$W$48:$W$55, "&gt;="&amp;AO1,'Expenditure Breakdown'!$W$48:$W$55, "&lt;"&amp;AP1)+SUMIFS('Expenditure Breakdown'!$R$73:$R$80, 'Expenditure Breakdown'!$W$73:$W$80, "&gt;="&amp;AO1,'Expenditure Breakdown'!$W$73:$W$80, "&lt;"&amp;AP1)</f>
        <v>0</v>
      </c>
      <c r="AP20" s="645">
        <f>SUMIFS('Expenditure Breakdown'!$R$26:$R$33, 'Expenditure Breakdown'!$W$26:$W$33, "&gt;="&amp;AP1,'Expenditure Breakdown'!$W$26:$W$33, "&lt;"&amp;AQ1)+SUMIFS('Expenditure Breakdown'!$R$48:$R$55, 'Expenditure Breakdown'!$W$48:$W$55, "&gt;="&amp;AP1,'Expenditure Breakdown'!$W$48:$W$55, "&lt;"&amp;AQ1)+SUMIFS('Expenditure Breakdown'!$R$73:$R$80, 'Expenditure Breakdown'!$W$73:$W$80, "&gt;="&amp;AP1,'Expenditure Breakdown'!$W$73:$W$80, "&lt;"&amp;AQ1)</f>
        <v>0</v>
      </c>
      <c r="AQ20" s="645">
        <f>SUMIFS('Expenditure Breakdown'!$R$26:$R$33, 'Expenditure Breakdown'!$W$26:$W$33, "&gt;="&amp;AQ1,'Expenditure Breakdown'!$W$26:$W$33, "&lt;"&amp;AR1)+SUMIFS('Expenditure Breakdown'!$R$48:$R$55, 'Expenditure Breakdown'!$W$48:$W$55, "&gt;="&amp;AQ1,'Expenditure Breakdown'!$W$48:$W$55, "&lt;"&amp;AR1)+SUMIFS('Expenditure Breakdown'!$R$73:$R$80, 'Expenditure Breakdown'!$W$73:$W$80, "&gt;="&amp;AQ1,'Expenditure Breakdown'!$W$73:$W$80, "&lt;"&amp;AR1)</f>
        <v>0</v>
      </c>
      <c r="AR20" s="645">
        <f>SUMIFS('Expenditure Breakdown'!$R$26:$R$33, 'Expenditure Breakdown'!$W$26:$W$33, "&gt;="&amp;AR1,'Expenditure Breakdown'!$W$26:$W$33, "&lt;"&amp;AS1)+SUMIFS('Expenditure Breakdown'!$R$48:$R$55, 'Expenditure Breakdown'!$W$48:$W$55, "&gt;="&amp;AR1,'Expenditure Breakdown'!$W$48:$W$55, "&lt;"&amp;AS1)+SUMIFS('Expenditure Breakdown'!$R$73:$R$80, 'Expenditure Breakdown'!$W$73:$W$80, "&gt;="&amp;AR1,'Expenditure Breakdown'!$W$73:$W$80, "&lt;"&amp;AS1)</f>
        <v>0</v>
      </c>
      <c r="AS20" s="645">
        <f>SUMIFS('Expenditure Breakdown'!$R$26:$R$33, 'Expenditure Breakdown'!$W$26:$W$33, "&gt;="&amp;AS1,'Expenditure Breakdown'!$W$26:$W$33, "&lt;"&amp;AT1)+SUMIFS('Expenditure Breakdown'!$R$48:$R$55, 'Expenditure Breakdown'!$W$48:$W$55, "&gt;="&amp;AS1,'Expenditure Breakdown'!$W$48:$W$55, "&lt;"&amp;AT1)+SUMIFS('Expenditure Breakdown'!$R$73:$R$80, 'Expenditure Breakdown'!$W$73:$W$80, "&gt;="&amp;AS1,'Expenditure Breakdown'!$W$73:$W$80, "&lt;"&amp;AT1)</f>
        <v>0</v>
      </c>
      <c r="AT20" s="645">
        <f>SUMIFS('Expenditure Breakdown'!$R$26:$R$33, 'Expenditure Breakdown'!$W$26:$W$33, "&gt;="&amp;AT1,'Expenditure Breakdown'!$W$26:$W$33, "&lt;"&amp;AU1)+SUMIFS('Expenditure Breakdown'!$R$48:$R$55, 'Expenditure Breakdown'!$W$48:$W$55, "&gt;="&amp;AT1,'Expenditure Breakdown'!$W$48:$W$55, "&lt;"&amp;AU1)+SUMIFS('Expenditure Breakdown'!$R$73:$R$80, 'Expenditure Breakdown'!$W$73:$W$80, "&gt;="&amp;AT1,'Expenditure Breakdown'!$W$73:$W$80, "&lt;"&amp;AU1)</f>
        <v>0</v>
      </c>
      <c r="AU20" s="645">
        <f>SUMIFS('Expenditure Breakdown'!$R$26:$R$33, 'Expenditure Breakdown'!$W$26:$W$33, "&gt;="&amp;AU1,'Expenditure Breakdown'!$W$26:$W$33, "&lt;"&amp;AV1)+SUMIFS('Expenditure Breakdown'!$R$48:$R$55, 'Expenditure Breakdown'!$W$48:$W$55, "&gt;="&amp;AU1,'Expenditure Breakdown'!$W$48:$W$55, "&lt;"&amp;AV1)+SUMIFS('Expenditure Breakdown'!$R$73:$R$80, 'Expenditure Breakdown'!$W$73:$W$80, "&gt;="&amp;AU1,'Expenditure Breakdown'!$W$73:$W$80, "&lt;"&amp;AV1)</f>
        <v>0</v>
      </c>
      <c r="AV20" s="645">
        <f>SUMIFS('Expenditure Breakdown'!$R$26:$R$33, 'Expenditure Breakdown'!$W$26:$W$33, "&gt;="&amp;AV1,'Expenditure Breakdown'!$W$26:$W$33, "&lt;"&amp;AW1)+SUMIFS('Expenditure Breakdown'!$R$48:$R$55, 'Expenditure Breakdown'!$W$48:$W$55, "&gt;="&amp;AV1,'Expenditure Breakdown'!$W$48:$W$55, "&lt;"&amp;AW1)+SUMIFS('Expenditure Breakdown'!$R$73:$R$80, 'Expenditure Breakdown'!$W$73:$W$80, "&gt;="&amp;AV1,'Expenditure Breakdown'!$W$73:$W$80, "&lt;"&amp;AW1)</f>
        <v>0</v>
      </c>
      <c r="AW20" s="645">
        <f>SUMIFS('Expenditure Breakdown'!$R$26:$R$33, 'Expenditure Breakdown'!$W$26:$W$33, "&gt;="&amp;AW1,'Expenditure Breakdown'!$W$26:$W$33, "&lt;"&amp;AX1)+SUMIFS('Expenditure Breakdown'!$R$48:$R$55, 'Expenditure Breakdown'!$W$48:$W$55, "&gt;="&amp;AW1,'Expenditure Breakdown'!$W$48:$W$55, "&lt;"&amp;AX1)+SUMIFS('Expenditure Breakdown'!$R$73:$R$80, 'Expenditure Breakdown'!$W$73:$W$80, "&gt;="&amp;AW1,'Expenditure Breakdown'!$W$73:$W$80, "&lt;"&amp;AX1)</f>
        <v>0</v>
      </c>
      <c r="AX20" s="645">
        <f>SUMIFS('Expenditure Breakdown'!$R$26:$R$33, 'Expenditure Breakdown'!$W$26:$W$33, "&gt;="&amp;AX1,'Expenditure Breakdown'!$W$26:$W$33, "&lt;"&amp;AY1)+SUMIFS('Expenditure Breakdown'!$R$48:$R$55, 'Expenditure Breakdown'!$W$48:$W$55, "&gt;="&amp;AX1,'Expenditure Breakdown'!$W$48:$W$55, "&lt;"&amp;AY1)+SUMIFS('Expenditure Breakdown'!$R$73:$R$80, 'Expenditure Breakdown'!$W$73:$W$80, "&gt;="&amp;AX1,'Expenditure Breakdown'!$W$73:$W$80, "&lt;"&amp;AY1)</f>
        <v>0</v>
      </c>
      <c r="AY20" s="645">
        <f>SUMIFS('Expenditure Breakdown'!$R$26:$R$33, 'Expenditure Breakdown'!$W$26:$W$33, "&gt;="&amp;AY1,'Expenditure Breakdown'!$W$26:$W$33, "&lt;"&amp;AZ1)+SUMIFS('Expenditure Breakdown'!$R$48:$R$55, 'Expenditure Breakdown'!$W$48:$W$55, "&gt;="&amp;AY1,'Expenditure Breakdown'!$W$48:$W$55, "&lt;"&amp;AZ1)+SUMIFS('Expenditure Breakdown'!$R$73:$R$80, 'Expenditure Breakdown'!$W$73:$W$80, "&gt;="&amp;AY1,'Expenditure Breakdown'!$W$73:$W$80, "&lt;"&amp;AZ1)</f>
        <v>0</v>
      </c>
      <c r="AZ20" s="645">
        <f>SUMIFS('Expenditure Breakdown'!$R$26:$R$33, 'Expenditure Breakdown'!$W$26:$W$33, "&gt;="&amp;AZ1,'Expenditure Breakdown'!$W$26:$W$33, "&lt;"&amp;BA1)+SUMIFS('Expenditure Breakdown'!$R$48:$R$55, 'Expenditure Breakdown'!$W$48:$W$55, "&gt;="&amp;AZ1,'Expenditure Breakdown'!$W$48:$W$55, "&lt;"&amp;BA1)+SUMIFS('Expenditure Breakdown'!$R$73:$R$80, 'Expenditure Breakdown'!$W$73:$W$80, "&gt;="&amp;AZ1,'Expenditure Breakdown'!$W$73:$W$80, "&lt;"&amp;BA1)</f>
        <v>0</v>
      </c>
      <c r="BA20" s="645">
        <f>SUMIFS('Expenditure Breakdown'!$R$26:$R$33, 'Expenditure Breakdown'!$W$26:$W$33, "&gt;="&amp;BA1,'Expenditure Breakdown'!$W$26:$W$33, "&lt;"&amp;BB1)+SUMIFS('Expenditure Breakdown'!$R$48:$R$55, 'Expenditure Breakdown'!$W$48:$W$55, "&gt;="&amp;BA1,'Expenditure Breakdown'!$W$48:$W$55, "&lt;"&amp;BB1)+SUMIFS('Expenditure Breakdown'!$R$73:$R$80, 'Expenditure Breakdown'!$W$73:$W$80, "&gt;="&amp;BA1,'Expenditure Breakdown'!$W$73:$W$80, "&lt;"&amp;BB1)</f>
        <v>0</v>
      </c>
      <c r="BB20" s="645">
        <f>SUMIFS('Expenditure Breakdown'!$R$26:$R$33, 'Expenditure Breakdown'!$W$26:$W$33, "&gt;="&amp;BB1,'Expenditure Breakdown'!$W$26:$W$33, "&lt;"&amp;BC1)+SUMIFS('Expenditure Breakdown'!$R$48:$R$55, 'Expenditure Breakdown'!$W$48:$W$55, "&gt;="&amp;BB1,'Expenditure Breakdown'!$W$48:$W$55, "&lt;"&amp;BC1)+SUMIFS('Expenditure Breakdown'!$R$73:$R$80, 'Expenditure Breakdown'!$W$73:$W$80, "&gt;="&amp;BB1,'Expenditure Breakdown'!$W$73:$W$80, "&lt;"&amp;BC1)</f>
        <v>0</v>
      </c>
      <c r="BC20" s="645">
        <f>SUMIFS('Expenditure Breakdown'!$R$26:$R$33, 'Expenditure Breakdown'!$W$26:$W$33, "&gt;="&amp;BC1,'Expenditure Breakdown'!$W$26:$W$33, "&lt;"&amp;BD1)+SUMIFS('Expenditure Breakdown'!$R$48:$R$55, 'Expenditure Breakdown'!$W$48:$W$55, "&gt;="&amp;BC1,'Expenditure Breakdown'!$W$48:$W$55, "&lt;"&amp;BD1)+SUMIFS('Expenditure Breakdown'!$R$73:$R$80, 'Expenditure Breakdown'!$W$73:$W$80, "&gt;="&amp;BC1,'Expenditure Breakdown'!$W$73:$W$80, "&lt;"&amp;BD1)</f>
        <v>0</v>
      </c>
      <c r="BD20" s="645">
        <f>SUMIFS('Expenditure Breakdown'!$R$26:$R$33, 'Expenditure Breakdown'!$W$26:$W$33, "&gt;="&amp;BD1,'Expenditure Breakdown'!$W$26:$W$33, "&lt;"&amp;BE1)+SUMIFS('Expenditure Breakdown'!$R$48:$R$55, 'Expenditure Breakdown'!$W$48:$W$55, "&gt;="&amp;BD1,'Expenditure Breakdown'!$W$48:$W$55, "&lt;"&amp;BE1)+SUMIFS('Expenditure Breakdown'!$R$73:$R$80, 'Expenditure Breakdown'!$W$73:$W$80, "&gt;="&amp;BD1,'Expenditure Breakdown'!$W$73:$W$80, "&lt;"&amp;BE1)</f>
        <v>0</v>
      </c>
      <c r="BE20" s="645">
        <f>SUMIFS('Expenditure Breakdown'!$R$26:$R$33, 'Expenditure Breakdown'!$W$26:$W$33, "&gt;="&amp;BE1,'Expenditure Breakdown'!$W$26:$W$33, "&lt;"&amp;BF1)+SUMIFS('Expenditure Breakdown'!$R$48:$R$55, 'Expenditure Breakdown'!$W$48:$W$55, "&gt;="&amp;BE1,'Expenditure Breakdown'!$W$48:$W$55, "&lt;"&amp;BF1)+SUMIFS('Expenditure Breakdown'!$R$73:$R$80, 'Expenditure Breakdown'!$W$73:$W$80, "&gt;="&amp;BE1,'Expenditure Breakdown'!$W$73:$W$80, "&lt;"&amp;BF1)</f>
        <v>0</v>
      </c>
      <c r="BF20" s="645">
        <f>SUMIFS('Expenditure Breakdown'!$R$26:$R$33, 'Expenditure Breakdown'!$W$26:$W$33, "&gt;="&amp;BF1,'Expenditure Breakdown'!$W$26:$W$33, "&lt;"&amp;BG1)+SUMIFS('Expenditure Breakdown'!$R$48:$R$55, 'Expenditure Breakdown'!$W$48:$W$55, "&gt;="&amp;BF1,'Expenditure Breakdown'!$W$48:$W$55, "&lt;"&amp;BG1)+SUMIFS('Expenditure Breakdown'!$R$73:$R$80, 'Expenditure Breakdown'!$W$73:$W$80, "&gt;="&amp;BF1,'Expenditure Breakdown'!$W$73:$W$80, "&lt;"&amp;BG1)</f>
        <v>0</v>
      </c>
      <c r="BG20" s="645">
        <f>SUMIFS('Expenditure Breakdown'!$R$26:$R$33, 'Expenditure Breakdown'!$W$26:$W$33, "&gt;="&amp;BG1,'Expenditure Breakdown'!$W$26:$W$33, "&lt;"&amp;BH1)+SUMIFS('Expenditure Breakdown'!$R$48:$R$55, 'Expenditure Breakdown'!$W$48:$W$55, "&gt;="&amp;BG1,'Expenditure Breakdown'!$W$48:$W$55, "&lt;"&amp;BH1)+SUMIFS('Expenditure Breakdown'!$R$73:$R$80, 'Expenditure Breakdown'!$W$73:$W$80, "&gt;="&amp;BG1,'Expenditure Breakdown'!$W$73:$W$80, "&lt;"&amp;BH1)</f>
        <v>0</v>
      </c>
      <c r="BH20" s="645">
        <f>SUMIFS('Expenditure Breakdown'!$R$26:$R$33, 'Expenditure Breakdown'!$W$26:$W$33, "&gt;="&amp;BH1,'Expenditure Breakdown'!$W$26:$W$33, "&lt;"&amp;BI1)+SUMIFS('Expenditure Breakdown'!$R$48:$R$55, 'Expenditure Breakdown'!$W$48:$W$55, "&gt;="&amp;BH1,'Expenditure Breakdown'!$W$48:$W$55, "&lt;"&amp;BI1)+SUMIFS('Expenditure Breakdown'!$R$73:$R$80, 'Expenditure Breakdown'!$W$73:$W$80, "&gt;="&amp;BH1,'Expenditure Breakdown'!$W$73:$W$80, "&lt;"&amp;BI1)</f>
        <v>0</v>
      </c>
      <c r="BI20" s="645">
        <f>SUMIFS('Expenditure Breakdown'!$R$26:$R$33, 'Expenditure Breakdown'!$W$26:$W$33, "&gt;="&amp;BI1,'Expenditure Breakdown'!$W$26:$W$33, "&lt;"&amp;BJ1)+SUMIFS('Expenditure Breakdown'!$R$48:$R$55, 'Expenditure Breakdown'!$W$48:$W$55, "&gt;="&amp;BI1,'Expenditure Breakdown'!$W$48:$W$55, "&lt;"&amp;BJ1)+SUMIFS('Expenditure Breakdown'!$R$73:$R$80, 'Expenditure Breakdown'!$W$73:$W$80, "&gt;="&amp;BI1,'Expenditure Breakdown'!$W$73:$W$80, "&lt;"&amp;BJ1)</f>
        <v>0</v>
      </c>
      <c r="BJ20" s="645">
        <f>SUMIFS('Expenditure Breakdown'!$R$26:$R$33, 'Expenditure Breakdown'!$W$26:$W$33, "&gt;="&amp;BJ1,'Expenditure Breakdown'!$W$26:$W$33, "&lt;"&amp;BK1)+SUMIFS('Expenditure Breakdown'!$R$48:$R$55, 'Expenditure Breakdown'!$W$48:$W$55, "&gt;="&amp;BJ1,'Expenditure Breakdown'!$W$48:$W$55, "&lt;"&amp;BK1)+SUMIFS('Expenditure Breakdown'!$R$73:$R$80, 'Expenditure Breakdown'!$W$73:$W$80, "&gt;="&amp;BJ1,'Expenditure Breakdown'!$W$73:$W$80, "&lt;"&amp;BK1)</f>
        <v>0</v>
      </c>
      <c r="BK20" s="645">
        <f>SUMIFS('Expenditure Breakdown'!$R$26:$R$33, 'Expenditure Breakdown'!$W$26:$W$33, "&gt;="&amp;BK1,'Expenditure Breakdown'!$W$26:$W$33, "&lt;"&amp;BL1)+SUMIFS('Expenditure Breakdown'!$R$48:$R$55, 'Expenditure Breakdown'!$W$48:$W$55, "&gt;="&amp;BK1,'Expenditure Breakdown'!$W$48:$W$55, "&lt;"&amp;BL1)+SUMIFS('Expenditure Breakdown'!$R$73:$R$80, 'Expenditure Breakdown'!$W$73:$W$80, "&gt;="&amp;BK1,'Expenditure Breakdown'!$W$73:$W$80, "&lt;"&amp;BL1)</f>
        <v>0</v>
      </c>
      <c r="BL20" s="645">
        <f>SUMIFS('Expenditure Breakdown'!$R$26:$R$33, 'Expenditure Breakdown'!$W$26:$W$33, "&gt;="&amp;BL1,'Expenditure Breakdown'!$W$26:$W$33, "&lt;"&amp;BM1)+SUMIFS('Expenditure Breakdown'!$R$48:$R$55, 'Expenditure Breakdown'!$W$48:$W$55, "&gt;="&amp;BL1,'Expenditure Breakdown'!$W$48:$W$55, "&lt;"&amp;BM1)+SUMIFS('Expenditure Breakdown'!$R$73:$R$80, 'Expenditure Breakdown'!$W$73:$W$80, "&gt;="&amp;BL1,'Expenditure Breakdown'!$W$73:$W$80, "&lt;"&amp;BM1)</f>
        <v>0</v>
      </c>
      <c r="BM20" s="645">
        <f>SUMIFS('Expenditure Breakdown'!$R$26:$R$33, 'Expenditure Breakdown'!$W$26:$W$33, "&gt;="&amp;BM1,'Expenditure Breakdown'!$W$26:$W$33, "&lt;"&amp;BN1)+SUMIFS('Expenditure Breakdown'!$R$48:$R$55, 'Expenditure Breakdown'!$W$48:$W$55, "&gt;="&amp;BM1,'Expenditure Breakdown'!$W$48:$W$55, "&lt;"&amp;BN1)+SUMIFS('Expenditure Breakdown'!$R$73:$R$80, 'Expenditure Breakdown'!$W$73:$W$80, "&gt;="&amp;BM1,'Expenditure Breakdown'!$W$73:$W$80, "&lt;"&amp;BN1)</f>
        <v>0</v>
      </c>
      <c r="BN20" s="645">
        <f>SUMIFS('Expenditure Breakdown'!$R$26:$R$33, 'Expenditure Breakdown'!$W$26:$W$33, "&gt;="&amp;BN1,'Expenditure Breakdown'!$W$26:$W$33, "&lt;"&amp;BO1)+SUMIFS('Expenditure Breakdown'!$R$48:$R$55, 'Expenditure Breakdown'!$W$48:$W$55, "&gt;="&amp;BN1,'Expenditure Breakdown'!$W$48:$W$55, "&lt;"&amp;BO1)+SUMIFS('Expenditure Breakdown'!$R$73:$R$80, 'Expenditure Breakdown'!$W$73:$W$80, "&gt;="&amp;BN1,'Expenditure Breakdown'!$W$73:$W$80, "&lt;"&amp;BO1)</f>
        <v>0</v>
      </c>
      <c r="BO20" s="645">
        <f>SUMIFS('Expenditure Breakdown'!$R$26:$R$33, 'Expenditure Breakdown'!$W$26:$W$33, "&gt;="&amp;BO1,'Expenditure Breakdown'!$W$26:$W$33, "&lt;"&amp;BP1)+SUMIFS('Expenditure Breakdown'!$R$48:$R$55, 'Expenditure Breakdown'!$W$48:$W$55, "&gt;="&amp;BO1,'Expenditure Breakdown'!$W$48:$W$55, "&lt;"&amp;BP1)+SUMIFS('Expenditure Breakdown'!$R$73:$R$80, 'Expenditure Breakdown'!$W$73:$W$80, "&gt;="&amp;BO1,'Expenditure Breakdown'!$W$73:$W$80, "&lt;"&amp;BP1)</f>
        <v>0</v>
      </c>
      <c r="BP20" s="645">
        <f>SUMIFS('Expenditure Breakdown'!$R$26:$R$33, 'Expenditure Breakdown'!$W$26:$W$33, "&gt;="&amp;BP1,'Expenditure Breakdown'!$W$26:$W$33, "&lt;"&amp;BQ1)+SUMIFS('Expenditure Breakdown'!$R$48:$R$55, 'Expenditure Breakdown'!$W$48:$W$55, "&gt;="&amp;BP1,'Expenditure Breakdown'!$W$48:$W$55, "&lt;"&amp;BQ1)+SUMIFS('Expenditure Breakdown'!$R$73:$R$80, 'Expenditure Breakdown'!$W$73:$W$80, "&gt;="&amp;BP1,'Expenditure Breakdown'!$W$73:$W$80, "&lt;"&amp;BQ1)</f>
        <v>0</v>
      </c>
      <c r="BQ20" s="645">
        <f>SUMIFS('Expenditure Breakdown'!$R$26:$R$33, 'Expenditure Breakdown'!$W$26:$W$33, "&gt;="&amp;BQ1,'Expenditure Breakdown'!$W$26:$W$33, "&lt;"&amp;BR1)+SUMIFS('Expenditure Breakdown'!$R$48:$R$55, 'Expenditure Breakdown'!$W$48:$W$55, "&gt;="&amp;BQ1,'Expenditure Breakdown'!$W$48:$W$55, "&lt;"&amp;BR1)+SUMIFS('Expenditure Breakdown'!$R$73:$R$80, 'Expenditure Breakdown'!$W$73:$W$80, "&gt;="&amp;BQ1,'Expenditure Breakdown'!$W$73:$W$80, "&lt;"&amp;BR1)</f>
        <v>0</v>
      </c>
      <c r="BR20" s="645">
        <f>SUMIFS('Expenditure Breakdown'!$R$26:$R$33, 'Expenditure Breakdown'!$W$26:$W$33, "&gt;="&amp;BR1,'Expenditure Breakdown'!$W$26:$W$33, "&lt;"&amp;BS1)+SUMIFS('Expenditure Breakdown'!$R$48:$R$55, 'Expenditure Breakdown'!$W$48:$W$55, "&gt;="&amp;BR1,'Expenditure Breakdown'!$W$48:$W$55, "&lt;"&amp;BS1)+SUMIFS('Expenditure Breakdown'!$R$73:$R$80, 'Expenditure Breakdown'!$W$73:$W$80, "&gt;="&amp;BR1,'Expenditure Breakdown'!$W$73:$W$80, "&lt;"&amp;BS1)</f>
        <v>0</v>
      </c>
      <c r="BS20" s="645">
        <f>SUMIFS('Expenditure Breakdown'!$R$26:$R$33, 'Expenditure Breakdown'!$W$26:$W$33, "&gt;="&amp;BS1,'Expenditure Breakdown'!$W$26:$W$33, "&lt;"&amp;BT1)+SUMIFS('Expenditure Breakdown'!$R$48:$R$55, 'Expenditure Breakdown'!$W$48:$W$55, "&gt;="&amp;BS1,'Expenditure Breakdown'!$W$48:$W$55, "&lt;"&amp;BT1)+SUMIFS('Expenditure Breakdown'!$R$73:$R$80, 'Expenditure Breakdown'!$W$73:$W$80, "&gt;="&amp;BS1,'Expenditure Breakdown'!$W$73:$W$80, "&lt;"&amp;BT1)</f>
        <v>0</v>
      </c>
      <c r="BT20" s="645">
        <f>SUMIFS('Expenditure Breakdown'!$R$26:$R$33, 'Expenditure Breakdown'!$W$26:$W$33, "&gt;="&amp;BT1,'Expenditure Breakdown'!$W$26:$W$33, "&lt;"&amp;BU1)+SUMIFS('Expenditure Breakdown'!$R$48:$R$55, 'Expenditure Breakdown'!$W$48:$W$55, "&gt;="&amp;BT1,'Expenditure Breakdown'!$W$48:$W$55, "&lt;"&amp;BU1)+SUMIFS('Expenditure Breakdown'!$R$73:$R$80, 'Expenditure Breakdown'!$W$73:$W$80, "&gt;="&amp;BT1,'Expenditure Breakdown'!$W$73:$W$80, "&lt;"&amp;BU1)</f>
        <v>0</v>
      </c>
      <c r="BU20" s="645">
        <f>SUMIFS('Expenditure Breakdown'!$R$26:$R$33, 'Expenditure Breakdown'!$W$26:$W$33, "&gt;="&amp;BU1,'Expenditure Breakdown'!$W$26:$W$33, "&lt;"&amp;BV1)+SUMIFS('Expenditure Breakdown'!$R$48:$R$55, 'Expenditure Breakdown'!$W$48:$W$55, "&gt;="&amp;BU1,'Expenditure Breakdown'!$W$48:$W$55, "&lt;"&amp;BV1)+SUMIFS('Expenditure Breakdown'!$R$73:$R$80, 'Expenditure Breakdown'!$W$73:$W$80, "&gt;="&amp;BU1,'Expenditure Breakdown'!$W$73:$W$80, "&lt;"&amp;BV1)</f>
        <v>0</v>
      </c>
      <c r="BV20" s="645">
        <f>SUMIFS('Expenditure Breakdown'!$R$26:$R$33, 'Expenditure Breakdown'!$W$26:$W$33, "&gt;="&amp;BV1,'Expenditure Breakdown'!$W$26:$W$33, "&lt;"&amp;BW1)+SUMIFS('Expenditure Breakdown'!$R$48:$R$55, 'Expenditure Breakdown'!$W$48:$W$55, "&gt;="&amp;BV1,'Expenditure Breakdown'!$W$48:$W$55, "&lt;"&amp;BW1)+SUMIFS('Expenditure Breakdown'!$R$73:$R$80, 'Expenditure Breakdown'!$W$73:$W$80, "&gt;="&amp;BV1,'Expenditure Breakdown'!$W$73:$W$80, "&lt;"&amp;BW1)</f>
        <v>0</v>
      </c>
      <c r="BW20" s="645">
        <f>SUMIFS('Expenditure Breakdown'!$R$26:$R$33, 'Expenditure Breakdown'!$W$26:$W$33, "&gt;="&amp;BW1,'Expenditure Breakdown'!$W$26:$W$33, "&lt;"&amp;BX1)+SUMIFS('Expenditure Breakdown'!$R$48:$R$55, 'Expenditure Breakdown'!$W$48:$W$55, "&gt;="&amp;BW1,'Expenditure Breakdown'!$W$48:$W$55, "&lt;"&amp;BX1)+SUMIFS('Expenditure Breakdown'!$R$73:$R$80, 'Expenditure Breakdown'!$W$73:$W$80, "&gt;="&amp;BW1,'Expenditure Breakdown'!$W$73:$W$80, "&lt;"&amp;BX1)</f>
        <v>0</v>
      </c>
      <c r="BX20" s="645">
        <f>SUMIFS('Expenditure Breakdown'!$R$26:$R$33, 'Expenditure Breakdown'!$W$26:$W$33, "&gt;="&amp;BX1,'Expenditure Breakdown'!$W$26:$W$33, "&lt;"&amp;BY1)+SUMIFS('Expenditure Breakdown'!$R$48:$R$55, 'Expenditure Breakdown'!$W$48:$W$55, "&gt;="&amp;BX1,'Expenditure Breakdown'!$W$48:$W$55, "&lt;"&amp;BY1)+SUMIFS('Expenditure Breakdown'!$R$73:$R$80, 'Expenditure Breakdown'!$W$73:$W$80, "&gt;="&amp;BX1,'Expenditure Breakdown'!$W$73:$W$80, "&lt;"&amp;BY1)</f>
        <v>0</v>
      </c>
      <c r="BY20" s="645">
        <f>SUMIFS('Expenditure Breakdown'!$R$26:$R$33, 'Expenditure Breakdown'!$W$26:$W$33, "&gt;="&amp;BY1,'Expenditure Breakdown'!$W$26:$W$33, "&lt;"&amp;BZ1)+SUMIFS('Expenditure Breakdown'!$R$48:$R$55, 'Expenditure Breakdown'!$W$48:$W$55, "&gt;="&amp;BY1,'Expenditure Breakdown'!$W$48:$W$55, "&lt;"&amp;BZ1)+SUMIFS('Expenditure Breakdown'!$R$73:$R$80, 'Expenditure Breakdown'!$W$73:$W$80, "&gt;="&amp;BY1,'Expenditure Breakdown'!$W$73:$W$80, "&lt;"&amp;BZ1)</f>
        <v>0</v>
      </c>
      <c r="BZ20" s="645">
        <f>SUMIFS('Expenditure Breakdown'!$R$26:$R$33, 'Expenditure Breakdown'!$W$26:$W$33, "&gt;="&amp;BZ1,'Expenditure Breakdown'!$W$26:$W$33, "&lt;"&amp;CA1)+SUMIFS('Expenditure Breakdown'!$R$48:$R$55, 'Expenditure Breakdown'!$W$48:$W$55, "&gt;="&amp;BZ1,'Expenditure Breakdown'!$W$48:$W$55, "&lt;"&amp;CA1)+SUMIFS('Expenditure Breakdown'!$R$73:$R$80, 'Expenditure Breakdown'!$W$73:$W$80, "&gt;="&amp;BZ1,'Expenditure Breakdown'!$W$73:$W$80, "&lt;"&amp;CA1)</f>
        <v>0</v>
      </c>
      <c r="CA20" s="645">
        <f>SUMIFS('Expenditure Breakdown'!$R$26:$R$33, 'Expenditure Breakdown'!$W$26:$W$33, "&gt;="&amp;CA1,'Expenditure Breakdown'!$W$26:$W$33, "&lt;"&amp;CB1)+SUMIFS('Expenditure Breakdown'!$R$48:$R$55, 'Expenditure Breakdown'!$W$48:$W$55, "&gt;="&amp;CA1,'Expenditure Breakdown'!$W$48:$W$55, "&lt;"&amp;CB1)+SUMIFS('Expenditure Breakdown'!$R$73:$R$80, 'Expenditure Breakdown'!$W$73:$W$80, "&gt;="&amp;CA1,'Expenditure Breakdown'!$W$73:$W$80, "&lt;"&amp;CB1)</f>
        <v>0</v>
      </c>
      <c r="CB20" s="645">
        <f>SUMIFS('Expenditure Breakdown'!$R$26:$R$33, 'Expenditure Breakdown'!$W$26:$W$33, "&gt;="&amp;CB1,'Expenditure Breakdown'!$W$26:$W$33, "&lt;"&amp;CC1)+SUMIFS('Expenditure Breakdown'!$R$48:$R$55, 'Expenditure Breakdown'!$W$48:$W$55, "&gt;="&amp;CB1,'Expenditure Breakdown'!$W$48:$W$55, "&lt;"&amp;CC1)+SUMIFS('Expenditure Breakdown'!$R$73:$R$80, 'Expenditure Breakdown'!$W$73:$W$80, "&gt;="&amp;CB1,'Expenditure Breakdown'!$W$73:$W$80, "&lt;"&amp;CC1)</f>
        <v>0</v>
      </c>
      <c r="CC20" s="645">
        <f>SUMIFS('Expenditure Breakdown'!$R$26:$R$33, 'Expenditure Breakdown'!$W$26:$W$33, "&gt;="&amp;CC1,'Expenditure Breakdown'!$W$26:$W$33, "&lt;"&amp;CD1)+SUMIFS('Expenditure Breakdown'!$R$48:$R$55, 'Expenditure Breakdown'!$W$48:$W$55, "&gt;="&amp;CC1,'Expenditure Breakdown'!$W$48:$W$55, "&lt;"&amp;CD1)+SUMIFS('Expenditure Breakdown'!$R$73:$R$80, 'Expenditure Breakdown'!$W$73:$W$80, "&gt;="&amp;CC1,'Expenditure Breakdown'!$W$73:$W$80, "&lt;"&amp;CD1)</f>
        <v>0</v>
      </c>
      <c r="CD20" s="645">
        <f>SUMIFS('Expenditure Breakdown'!$R$26:$R$33, 'Expenditure Breakdown'!$W$26:$W$33, "&gt;="&amp;CD1,'Expenditure Breakdown'!$W$26:$W$33, "&lt;"&amp;CE1)+SUMIFS('Expenditure Breakdown'!$R$48:$R$55, 'Expenditure Breakdown'!$W$48:$W$55, "&gt;="&amp;CD1,'Expenditure Breakdown'!$W$48:$W$55, "&lt;"&amp;CE1)+SUMIFS('Expenditure Breakdown'!$R$73:$R$80, 'Expenditure Breakdown'!$W$73:$W$80, "&gt;="&amp;CD1,'Expenditure Breakdown'!$W$73:$W$80, "&lt;"&amp;CE1)</f>
        <v>0</v>
      </c>
      <c r="CE20" s="645">
        <f>SUMIFS('Expenditure Breakdown'!$R$26:$R$33, 'Expenditure Breakdown'!$W$26:$W$33, "&gt;="&amp;CE1,'Expenditure Breakdown'!$W$26:$W$33, "&lt;"&amp;CF1)+SUMIFS('Expenditure Breakdown'!$R$48:$R$55, 'Expenditure Breakdown'!$W$48:$W$55, "&gt;="&amp;CE1,'Expenditure Breakdown'!$W$48:$W$55, "&lt;"&amp;CF1)+SUMIFS('Expenditure Breakdown'!$R$73:$R$80, 'Expenditure Breakdown'!$W$73:$W$80, "&gt;="&amp;CE1,'Expenditure Breakdown'!$W$73:$W$80, "&lt;"&amp;CF1)</f>
        <v>0</v>
      </c>
      <c r="CF20" s="645">
        <f>SUMIFS('Expenditure Breakdown'!$R$26:$R$33, 'Expenditure Breakdown'!$W$26:$W$33, "&gt;="&amp;CF1,'Expenditure Breakdown'!$W$26:$W$33, "&lt;"&amp;CG1)+SUMIFS('Expenditure Breakdown'!$R$48:$R$55, 'Expenditure Breakdown'!$W$48:$W$55, "&gt;="&amp;CF1,'Expenditure Breakdown'!$W$48:$W$55, "&lt;"&amp;CG1)+SUMIFS('Expenditure Breakdown'!$R$73:$R$80, 'Expenditure Breakdown'!$W$73:$W$80, "&gt;="&amp;CF1,'Expenditure Breakdown'!$W$73:$W$80, "&lt;"&amp;CG1)</f>
        <v>0</v>
      </c>
      <c r="CG20" s="645">
        <f>SUMIFS('Expenditure Breakdown'!$R$26:$R$33, 'Expenditure Breakdown'!$W$26:$W$33, "&gt;="&amp;CG1,'Expenditure Breakdown'!$W$26:$W$33, "&lt;"&amp;CH1)+SUMIFS('Expenditure Breakdown'!$R$48:$R$55, 'Expenditure Breakdown'!$W$48:$W$55, "&gt;="&amp;CG1,'Expenditure Breakdown'!$W$48:$W$55, "&lt;"&amp;CH1)+SUMIFS('Expenditure Breakdown'!$R$73:$R$80, 'Expenditure Breakdown'!$W$73:$W$80, "&gt;="&amp;CG1,'Expenditure Breakdown'!$W$73:$W$80, "&lt;"&amp;CH1)</f>
        <v>0</v>
      </c>
      <c r="CH20" s="645">
        <f>SUMIFS('Expenditure Breakdown'!$R$26:$R$33, 'Expenditure Breakdown'!$W$26:$W$33, "&gt;="&amp;CH1,'Expenditure Breakdown'!$W$26:$W$33, "&lt;"&amp;CI1)+SUMIFS('Expenditure Breakdown'!$R$48:$R$55, 'Expenditure Breakdown'!$W$48:$W$55, "&gt;="&amp;CH1,'Expenditure Breakdown'!$W$48:$W$55, "&lt;"&amp;CI1)+SUMIFS('Expenditure Breakdown'!$R$73:$R$80, 'Expenditure Breakdown'!$W$73:$W$80, "&gt;="&amp;CH1,'Expenditure Breakdown'!$W$73:$W$80, "&lt;"&amp;CI1)</f>
        <v>0</v>
      </c>
      <c r="CI20" s="645">
        <f>SUMIFS('Expenditure Breakdown'!$R$26:$R$33, 'Expenditure Breakdown'!$W$26:$W$33, "&gt;="&amp;CI1,'Expenditure Breakdown'!$W$26:$W$33, "&lt;"&amp;CJ1)+SUMIFS('Expenditure Breakdown'!$R$48:$R$55, 'Expenditure Breakdown'!$W$48:$W$55, "&gt;="&amp;CI1,'Expenditure Breakdown'!$W$48:$W$55, "&lt;"&amp;CJ1)+SUMIFS('Expenditure Breakdown'!$R$73:$R$80, 'Expenditure Breakdown'!$W$73:$W$80, "&gt;="&amp;CI1,'Expenditure Breakdown'!$W$73:$W$80, "&lt;"&amp;CJ1)</f>
        <v>0</v>
      </c>
      <c r="CJ20" s="645">
        <f>SUMIFS('Expenditure Breakdown'!$R$26:$R$33, 'Expenditure Breakdown'!$W$26:$W$33, "&gt;="&amp;CJ1,'Expenditure Breakdown'!$W$26:$W$33, "&lt;"&amp;CK1)+SUMIFS('Expenditure Breakdown'!$R$48:$R$55, 'Expenditure Breakdown'!$W$48:$W$55, "&gt;="&amp;CJ1,'Expenditure Breakdown'!$W$48:$W$55, "&lt;"&amp;CK1)+SUMIFS('Expenditure Breakdown'!$R$73:$R$80, 'Expenditure Breakdown'!$W$73:$W$80, "&gt;="&amp;CJ1,'Expenditure Breakdown'!$W$73:$W$80, "&lt;"&amp;CK1)</f>
        <v>0</v>
      </c>
      <c r="CK20" s="645">
        <f>SUMIFS('Expenditure Breakdown'!$R$26:$R$33, 'Expenditure Breakdown'!$W$26:$W$33, "&gt;="&amp;CK1,'Expenditure Breakdown'!$W$26:$W$33, "&lt;"&amp;CL1)+SUMIFS('Expenditure Breakdown'!$R$48:$R$55, 'Expenditure Breakdown'!$W$48:$W$55, "&gt;="&amp;CK1,'Expenditure Breakdown'!$W$48:$W$55, "&lt;"&amp;CL1)+SUMIFS('Expenditure Breakdown'!$R$73:$R$80, 'Expenditure Breakdown'!$W$73:$W$80, "&gt;="&amp;CK1,'Expenditure Breakdown'!$W$73:$W$80, "&lt;"&amp;CL1)</f>
        <v>0</v>
      </c>
      <c r="CL20" s="645">
        <f>SUMIFS('Expenditure Breakdown'!$R$26:$R$33, 'Expenditure Breakdown'!$W$26:$W$33, "&gt;="&amp;CL1,'Expenditure Breakdown'!$W$26:$W$33, "&lt;"&amp;CM1)+SUMIFS('Expenditure Breakdown'!$R$48:$R$55, 'Expenditure Breakdown'!$W$48:$W$55, "&gt;="&amp;CL1,'Expenditure Breakdown'!$W$48:$W$55, "&lt;"&amp;CM1)+SUMIFS('Expenditure Breakdown'!$R$73:$R$80, 'Expenditure Breakdown'!$W$73:$W$80, "&gt;="&amp;CL1,'Expenditure Breakdown'!$W$73:$W$80, "&lt;"&amp;CM1)</f>
        <v>0</v>
      </c>
      <c r="CM20" s="645">
        <f>SUMIFS('Expenditure Breakdown'!$R$26:$R$33, 'Expenditure Breakdown'!$W$26:$W$33, "&gt;="&amp;CM1,'Expenditure Breakdown'!$W$26:$W$33, "&lt;"&amp;CN1)+SUMIFS('Expenditure Breakdown'!$R$48:$R$55, 'Expenditure Breakdown'!$W$48:$W$55, "&gt;="&amp;CM1,'Expenditure Breakdown'!$W$48:$W$55, "&lt;"&amp;CN1)+SUMIFS('Expenditure Breakdown'!$R$73:$R$80, 'Expenditure Breakdown'!$W$73:$W$80, "&gt;="&amp;CM1,'Expenditure Breakdown'!$W$73:$W$80, "&lt;"&amp;CN1)</f>
        <v>0</v>
      </c>
    </row>
    <row r="21" spans="1:91">
      <c r="B21" t="s">
        <v>422</v>
      </c>
      <c r="E21" s="240"/>
      <c r="F21" s="645">
        <f>F20</f>
        <v>0</v>
      </c>
      <c r="G21" s="645">
        <f>G20+F21</f>
        <v>0</v>
      </c>
      <c r="H21" s="645">
        <f>H20+G21</f>
        <v>0</v>
      </c>
      <c r="I21" s="645">
        <f t="shared" ref="I21" si="508">I20+H21</f>
        <v>0</v>
      </c>
      <c r="J21" s="645">
        <f t="shared" ref="J21" si="509">J20+I21</f>
        <v>0</v>
      </c>
      <c r="K21" s="645">
        <f t="shared" ref="K21" si="510">K20+J21</f>
        <v>0</v>
      </c>
      <c r="L21" s="645">
        <f t="shared" ref="L21" si="511">L20+K21</f>
        <v>0</v>
      </c>
      <c r="M21" s="645">
        <f t="shared" ref="M21" si="512">M20+L21</f>
        <v>0</v>
      </c>
      <c r="N21" s="645">
        <f t="shared" ref="N21" si="513">N20+M21</f>
        <v>0</v>
      </c>
      <c r="O21" s="645">
        <f t="shared" ref="O21" si="514">O20+N21</f>
        <v>0</v>
      </c>
      <c r="P21" s="645">
        <f t="shared" ref="P21" si="515">P20+O21</f>
        <v>31839.100000000002</v>
      </c>
      <c r="Q21" s="645">
        <f t="shared" ref="Q21" si="516">Q20+P21</f>
        <v>31839.100000000002</v>
      </c>
      <c r="R21" s="645">
        <f t="shared" ref="R21" si="517">R20+Q21</f>
        <v>79597.75</v>
      </c>
      <c r="S21" s="645">
        <f t="shared" ref="S21" si="518">S20+R21</f>
        <v>79597.75</v>
      </c>
      <c r="T21" s="645">
        <f t="shared" ref="T21" si="519">T20+S21</f>
        <v>79597.75</v>
      </c>
      <c r="U21" s="645">
        <f t="shared" ref="U21" si="520">U20+T21</f>
        <v>79597.75</v>
      </c>
      <c r="V21" s="645">
        <f t="shared" ref="V21" si="521">V20+U21</f>
        <v>79597.75</v>
      </c>
      <c r="W21" s="645">
        <f t="shared" ref="W21" si="522">W20+V21</f>
        <v>79597.75</v>
      </c>
      <c r="X21" s="645">
        <f t="shared" ref="X21" si="523">X20+W21</f>
        <v>79597.75</v>
      </c>
      <c r="Y21" s="645">
        <f t="shared" ref="Y21" si="524">Y20+X21</f>
        <v>175115.05</v>
      </c>
      <c r="Z21" s="645">
        <f t="shared" ref="Z21" si="525">Z20+Y21</f>
        <v>206954.15</v>
      </c>
      <c r="AA21" s="645">
        <f t="shared" ref="AA21" si="526">AA20+Z21</f>
        <v>206954.15</v>
      </c>
      <c r="AB21" s="645">
        <f t="shared" ref="AB21" si="527">AB20+AA21</f>
        <v>206954.15</v>
      </c>
      <c r="AC21" s="645">
        <f t="shared" ref="AC21" si="528">AC20+AB21</f>
        <v>206954.15</v>
      </c>
      <c r="AD21" s="645">
        <f t="shared" ref="AD21" si="529">AD20+AC21</f>
        <v>206954.15</v>
      </c>
      <c r="AE21" s="645">
        <f t="shared" ref="AE21" si="530">AE20+AD21</f>
        <v>206954.15</v>
      </c>
      <c r="AF21" s="645">
        <f t="shared" ref="AF21" si="531">AF20+AE21</f>
        <v>206954.15</v>
      </c>
      <c r="AG21" s="645">
        <f t="shared" ref="AG21" si="532">AG20+AF21</f>
        <v>206954.15</v>
      </c>
      <c r="AH21" s="645">
        <f t="shared" ref="AH21" si="533">AH20+AG21</f>
        <v>286551.90000000002</v>
      </c>
      <c r="AI21" s="645">
        <f t="shared" ref="AI21" si="534">AI20+AH21</f>
        <v>286551.90000000002</v>
      </c>
      <c r="AJ21" s="645">
        <f t="shared" ref="AJ21" si="535">AJ20+AI21</f>
        <v>302471.45</v>
      </c>
      <c r="AK21" s="645">
        <f t="shared" ref="AK21" si="536">AK20+AJ21</f>
        <v>302471.45</v>
      </c>
      <c r="AL21" s="645">
        <f t="shared" ref="AL21" si="537">AL20+AK21</f>
        <v>302471.45</v>
      </c>
      <c r="AM21" s="645">
        <f t="shared" ref="AM21" si="538">AM20+AL21</f>
        <v>318391</v>
      </c>
      <c r="AN21" s="645">
        <f t="shared" ref="AN21" si="539">AN20+AM21</f>
        <v>318391</v>
      </c>
      <c r="AO21" s="645">
        <f t="shared" ref="AO21" si="540">AO20+AN21</f>
        <v>318391</v>
      </c>
      <c r="AP21" s="645">
        <f t="shared" ref="AP21" si="541">AP20+AO21</f>
        <v>318391</v>
      </c>
      <c r="AQ21" s="645">
        <f t="shared" ref="AQ21" si="542">AQ20+AP21</f>
        <v>318391</v>
      </c>
      <c r="AR21" s="645">
        <f t="shared" ref="AR21" si="543">AR20+AQ21</f>
        <v>318391</v>
      </c>
      <c r="AS21" s="645">
        <f t="shared" ref="AS21" si="544">AS20+AR21</f>
        <v>318391</v>
      </c>
      <c r="AT21" s="645">
        <f t="shared" ref="AT21" si="545">AT20+AS21</f>
        <v>318391</v>
      </c>
      <c r="AU21" s="645">
        <f t="shared" ref="AU21" si="546">AU20+AT21</f>
        <v>318391</v>
      </c>
      <c r="AV21" s="645">
        <f t="shared" ref="AV21" si="547">AV20+AU21</f>
        <v>318391</v>
      </c>
      <c r="AW21" s="645">
        <f t="shared" ref="AW21" si="548">AW20+AV21</f>
        <v>318391</v>
      </c>
      <c r="AX21" s="645">
        <f t="shared" ref="AX21" si="549">AX20+AW21</f>
        <v>318391</v>
      </c>
      <c r="AY21" s="645">
        <f t="shared" ref="AY21" si="550">AY20+AX21</f>
        <v>318391</v>
      </c>
      <c r="AZ21" s="645">
        <f t="shared" ref="AZ21" si="551">AZ20+AY21</f>
        <v>318391</v>
      </c>
      <c r="BA21" s="645">
        <f t="shared" ref="BA21" si="552">BA20+AZ21</f>
        <v>318391</v>
      </c>
      <c r="BB21" s="645">
        <f t="shared" ref="BB21" si="553">BB20+BA21</f>
        <v>318391</v>
      </c>
      <c r="BC21" s="645">
        <f t="shared" ref="BC21" si="554">BC20+BB21</f>
        <v>318391</v>
      </c>
      <c r="BD21" s="645">
        <f t="shared" ref="BD21" si="555">BD20+BC21</f>
        <v>318391</v>
      </c>
      <c r="BE21" s="645">
        <f t="shared" ref="BE21" si="556">BE20+BD21</f>
        <v>318391</v>
      </c>
      <c r="BF21" s="645">
        <f t="shared" ref="BF21" si="557">BF20+BE21</f>
        <v>318391</v>
      </c>
      <c r="BG21" s="645">
        <f t="shared" ref="BG21" si="558">BG20+BF21</f>
        <v>318391</v>
      </c>
      <c r="BH21" s="645">
        <f t="shared" ref="BH21" si="559">BH20+BG21</f>
        <v>318391</v>
      </c>
      <c r="BI21" s="645">
        <f t="shared" ref="BI21" si="560">BI20+BH21</f>
        <v>318391</v>
      </c>
      <c r="BJ21" s="645">
        <f t="shared" ref="BJ21" si="561">BJ20+BI21</f>
        <v>318391</v>
      </c>
      <c r="BK21" s="645">
        <f t="shared" ref="BK21" si="562">BK20+BJ21</f>
        <v>318391</v>
      </c>
      <c r="BL21" s="645">
        <f t="shared" ref="BL21" si="563">BL20+BK21</f>
        <v>318391</v>
      </c>
      <c r="BM21" s="645">
        <f t="shared" ref="BM21" si="564">BM20+BL21</f>
        <v>318391</v>
      </c>
      <c r="BN21" s="645">
        <f t="shared" ref="BN21" si="565">BN20+BM21</f>
        <v>318391</v>
      </c>
      <c r="BO21" s="645">
        <f t="shared" ref="BO21" si="566">BO20+BN21</f>
        <v>318391</v>
      </c>
      <c r="BP21" s="645">
        <f t="shared" ref="BP21" si="567">BP20+BO21</f>
        <v>318391</v>
      </c>
      <c r="BQ21" s="645">
        <f t="shared" ref="BQ21" si="568">BQ20+BP21</f>
        <v>318391</v>
      </c>
      <c r="BR21" s="645">
        <f t="shared" ref="BR21" si="569">BR20+BQ21</f>
        <v>318391</v>
      </c>
      <c r="BS21" s="645">
        <f t="shared" ref="BS21" si="570">BS20+BR21</f>
        <v>318391</v>
      </c>
      <c r="BT21" s="645">
        <f t="shared" ref="BT21" si="571">BT20+BS21</f>
        <v>318391</v>
      </c>
      <c r="BU21" s="645">
        <f t="shared" ref="BU21" si="572">BU20+BT21</f>
        <v>318391</v>
      </c>
      <c r="BV21" s="645">
        <f t="shared" ref="BV21" si="573">BV20+BU21</f>
        <v>318391</v>
      </c>
      <c r="BW21" s="645">
        <f t="shared" ref="BW21" si="574">BW20+BV21</f>
        <v>318391</v>
      </c>
      <c r="BX21" s="645">
        <f t="shared" ref="BX21" si="575">BX20+BW21</f>
        <v>318391</v>
      </c>
      <c r="BY21" s="645">
        <f t="shared" ref="BY21" si="576">BY20+BX21</f>
        <v>318391</v>
      </c>
      <c r="BZ21" s="645">
        <f t="shared" ref="BZ21" si="577">BZ20+BY21</f>
        <v>318391</v>
      </c>
      <c r="CA21" s="645">
        <f t="shared" ref="CA21" si="578">CA20+BZ21</f>
        <v>318391</v>
      </c>
      <c r="CB21" s="645">
        <f t="shared" ref="CB21" si="579">CB20+CA21</f>
        <v>318391</v>
      </c>
      <c r="CC21" s="645">
        <f t="shared" ref="CC21" si="580">CC20+CB21</f>
        <v>318391</v>
      </c>
      <c r="CD21" s="645">
        <f t="shared" ref="CD21" si="581">CD20+CC21</f>
        <v>318391</v>
      </c>
      <c r="CE21" s="645">
        <f t="shared" ref="CE21" si="582">CE20+CD21</f>
        <v>318391</v>
      </c>
      <c r="CF21" s="645">
        <f t="shared" ref="CF21" si="583">CF20+CE21</f>
        <v>318391</v>
      </c>
      <c r="CG21" s="645">
        <f t="shared" ref="CG21" si="584">CG20+CF21</f>
        <v>318391</v>
      </c>
      <c r="CH21" s="645">
        <f t="shared" ref="CH21" si="585">CH20+CG21</f>
        <v>318391</v>
      </c>
      <c r="CI21" s="645">
        <f t="shared" ref="CI21" si="586">CI20+CH21</f>
        <v>318391</v>
      </c>
      <c r="CJ21" s="645">
        <f t="shared" ref="CJ21" si="587">CJ20+CI21</f>
        <v>318391</v>
      </c>
      <c r="CK21" s="645">
        <f t="shared" ref="CK21" si="588">CK20+CJ21</f>
        <v>318391</v>
      </c>
      <c r="CL21" s="645">
        <f t="shared" ref="CL21" si="589">CL20+CK21</f>
        <v>318391</v>
      </c>
      <c r="CM21" s="645">
        <f t="shared" ref="CM21" si="590">CM20+CL21</f>
        <v>318391</v>
      </c>
    </row>
    <row r="22" spans="1:91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30" zoomScaleNormal="130" workbookViewId="0">
      <selection activeCell="O24" sqref="O24"/>
    </sheetView>
  </sheetViews>
  <sheetFormatPr defaultColWidth="12.54296875" defaultRowHeight="14.5"/>
  <cols>
    <col min="1" max="1" width="39.453125" style="503" bestFit="1" customWidth="1"/>
    <col min="2" max="2" width="17.26953125" style="504" bestFit="1" customWidth="1"/>
    <col min="3" max="3" width="7.453125" style="503" bestFit="1" customWidth="1"/>
    <col min="4" max="4" width="13" style="503" bestFit="1" customWidth="1"/>
    <col min="5" max="5" width="12" style="503" bestFit="1" customWidth="1"/>
    <col min="6" max="8" width="13.26953125" style="503" bestFit="1" customWidth="1"/>
    <col min="9" max="9" width="11.7265625" style="503" bestFit="1" customWidth="1"/>
    <col min="10" max="10" width="12" style="503" bestFit="1" customWidth="1"/>
    <col min="11" max="17" width="10.54296875" style="503" bestFit="1" customWidth="1"/>
    <col min="18" max="18" width="14.81640625" style="503" bestFit="1" customWidth="1"/>
    <col min="19" max="19" width="13.81640625" style="503" bestFit="1" customWidth="1"/>
    <col min="20" max="16384" width="12.54296875" style="503"/>
  </cols>
  <sheetData>
    <row r="1" spans="1:20">
      <c r="A1" s="527" t="s">
        <v>235</v>
      </c>
      <c r="B1" t="s">
        <v>423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7" t="s">
        <v>424</v>
      </c>
      <c r="B3" s="527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7" t="s">
        <v>426</v>
      </c>
      <c r="B4"/>
      <c r="C4" t="s">
        <v>427</v>
      </c>
      <c r="D4" s="631">
        <v>45504</v>
      </c>
      <c r="E4" s="631">
        <v>45535</v>
      </c>
      <c r="F4" s="631">
        <v>45565</v>
      </c>
      <c r="G4" s="631">
        <v>45596</v>
      </c>
      <c r="H4" s="631">
        <v>45626</v>
      </c>
      <c r="I4" s="631">
        <v>45657</v>
      </c>
      <c r="J4" s="631">
        <v>45688</v>
      </c>
      <c r="K4" s="631">
        <v>45716</v>
      </c>
      <c r="L4" s="631">
        <v>45322</v>
      </c>
      <c r="M4" s="631">
        <v>45777</v>
      </c>
      <c r="N4" s="631">
        <v>45808</v>
      </c>
      <c r="O4" s="631">
        <v>45869</v>
      </c>
      <c r="P4" s="631">
        <v>45900</v>
      </c>
      <c r="Q4" s="631">
        <v>46053</v>
      </c>
      <c r="R4" t="s">
        <v>428</v>
      </c>
      <c r="S4"/>
      <c r="T4"/>
    </row>
    <row r="5" spans="1:20">
      <c r="A5" s="528" t="s">
        <v>427</v>
      </c>
      <c r="B5" s="529"/>
      <c r="C5" s="529"/>
      <c r="D5" s="529"/>
      <c r="E5" s="529"/>
      <c r="F5" s="529"/>
      <c r="G5" s="529"/>
      <c r="H5" s="529"/>
      <c r="I5" s="529"/>
      <c r="J5" s="529"/>
      <c r="K5" s="529"/>
      <c r="L5" s="529"/>
      <c r="M5" s="529"/>
      <c r="N5" s="529"/>
      <c r="O5" s="529"/>
      <c r="P5" s="529"/>
      <c r="Q5" s="529"/>
      <c r="R5" s="529"/>
      <c r="S5"/>
      <c r="T5"/>
    </row>
    <row r="6" spans="1:20">
      <c r="A6" s="528" t="s">
        <v>348</v>
      </c>
      <c r="B6" s="529"/>
      <c r="C6" s="529"/>
      <c r="D6" s="529"/>
      <c r="E6" s="529"/>
      <c r="F6" s="529"/>
      <c r="G6" s="529"/>
      <c r="H6" s="529"/>
      <c r="I6" s="529"/>
      <c r="J6" s="529"/>
      <c r="K6" s="529"/>
      <c r="L6" s="529"/>
      <c r="M6" s="529"/>
      <c r="N6" s="529"/>
      <c r="O6" s="529"/>
      <c r="P6" s="529"/>
      <c r="Q6" s="529"/>
      <c r="R6" s="529"/>
      <c r="S6"/>
      <c r="T6"/>
    </row>
    <row r="7" spans="1:20">
      <c r="A7" s="528" t="s">
        <v>380</v>
      </c>
      <c r="B7" s="529"/>
      <c r="C7" s="529"/>
      <c r="D7" s="529"/>
      <c r="E7" s="529"/>
      <c r="F7" s="529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/>
      <c r="T7"/>
    </row>
    <row r="8" spans="1:20">
      <c r="A8" s="528" t="s">
        <v>242</v>
      </c>
      <c r="B8" s="529"/>
      <c r="C8" s="529"/>
      <c r="D8" s="529">
        <v>541591.65388054238</v>
      </c>
      <c r="E8" s="529"/>
      <c r="F8" s="529"/>
      <c r="G8" s="529">
        <v>9635.1176771078153</v>
      </c>
      <c r="H8" s="529">
        <v>44263.85</v>
      </c>
      <c r="I8" s="529"/>
      <c r="J8" s="529"/>
      <c r="K8" s="529"/>
      <c r="L8" s="529"/>
      <c r="M8" s="529"/>
      <c r="N8" s="529"/>
      <c r="O8" s="529"/>
      <c r="P8" s="529"/>
      <c r="Q8" s="529"/>
      <c r="R8" s="529">
        <v>595490.62155765016</v>
      </c>
      <c r="S8"/>
      <c r="T8"/>
    </row>
    <row r="9" spans="1:20">
      <c r="A9" s="528" t="s">
        <v>262</v>
      </c>
      <c r="B9" s="529">
        <v>0</v>
      </c>
      <c r="C9" s="529"/>
      <c r="D9" s="529"/>
      <c r="E9" s="529"/>
      <c r="F9" s="529">
        <v>87347.180269694101</v>
      </c>
      <c r="G9" s="529">
        <v>56608.914449823875</v>
      </c>
      <c r="H9" s="529"/>
      <c r="I9" s="529"/>
      <c r="J9" s="529"/>
      <c r="K9" s="529"/>
      <c r="L9" s="529"/>
      <c r="M9" s="529"/>
      <c r="N9" s="529"/>
      <c r="O9" s="529"/>
      <c r="P9" s="529"/>
      <c r="Q9" s="529"/>
      <c r="R9" s="529">
        <v>143956.09471951798</v>
      </c>
      <c r="S9"/>
      <c r="T9"/>
    </row>
    <row r="10" spans="1:20">
      <c r="A10" s="528" t="s">
        <v>271</v>
      </c>
      <c r="B10" s="529">
        <v>0</v>
      </c>
      <c r="C10" s="529"/>
      <c r="D10" s="529"/>
      <c r="E10" s="529"/>
      <c r="F10" s="529">
        <v>70166.780736450368</v>
      </c>
      <c r="G10" s="529">
        <v>16167.37</v>
      </c>
      <c r="H10" s="529"/>
      <c r="I10" s="529"/>
      <c r="J10" s="529"/>
      <c r="K10" s="529"/>
      <c r="L10" s="529"/>
      <c r="M10" s="529"/>
      <c r="N10" s="529"/>
      <c r="O10" s="529"/>
      <c r="P10" s="529"/>
      <c r="Q10" s="529"/>
      <c r="R10" s="529">
        <v>86334.150736450363</v>
      </c>
      <c r="S10"/>
      <c r="T10"/>
    </row>
    <row r="11" spans="1:20">
      <c r="A11" s="528" t="s">
        <v>285</v>
      </c>
      <c r="B11" s="529"/>
      <c r="C11" s="529">
        <v>0</v>
      </c>
      <c r="D11" s="529"/>
      <c r="E11" s="529"/>
      <c r="F11" s="529">
        <v>20412.096299054923</v>
      </c>
      <c r="G11" s="529">
        <v>86102.656442079169</v>
      </c>
      <c r="H11" s="529">
        <v>16329.677039243939</v>
      </c>
      <c r="I11" s="529"/>
      <c r="J11" s="529">
        <v>8164.8429959789755</v>
      </c>
      <c r="K11" s="529"/>
      <c r="L11" s="529"/>
      <c r="M11" s="529"/>
      <c r="N11" s="529"/>
      <c r="O11" s="529"/>
      <c r="P11" s="529"/>
      <c r="Q11" s="529"/>
      <c r="R11" s="529">
        <v>131009.272776357</v>
      </c>
      <c r="S11"/>
      <c r="T11"/>
    </row>
    <row r="12" spans="1:20">
      <c r="A12" s="528" t="s">
        <v>321</v>
      </c>
      <c r="B12" s="529"/>
      <c r="C12" s="529"/>
      <c r="D12" s="529"/>
      <c r="E12" s="529">
        <v>27659.549320722082</v>
      </c>
      <c r="F12" s="529"/>
      <c r="G12" s="529">
        <v>8202.1586464396642</v>
      </c>
      <c r="H12" s="529">
        <v>23106.548907431301</v>
      </c>
      <c r="I12" s="529">
        <v>787.83919852664576</v>
      </c>
      <c r="J12" s="529"/>
      <c r="K12" s="529"/>
      <c r="L12" s="529"/>
      <c r="M12" s="529"/>
      <c r="N12" s="529">
        <v>0</v>
      </c>
      <c r="O12" s="529"/>
      <c r="P12" s="529"/>
      <c r="Q12" s="529"/>
      <c r="R12" s="529">
        <v>59756.09607311969</v>
      </c>
      <c r="S12"/>
      <c r="T12"/>
    </row>
    <row r="13" spans="1:20">
      <c r="A13" s="528" t="s">
        <v>338</v>
      </c>
      <c r="B13" s="529">
        <v>0</v>
      </c>
      <c r="C13" s="529"/>
      <c r="D13" s="529"/>
      <c r="E13" s="529"/>
      <c r="F13" s="529">
        <v>98411.611423785929</v>
      </c>
      <c r="G13" s="529">
        <v>176612.94721609066</v>
      </c>
      <c r="H13" s="529">
        <v>41632.259573415606</v>
      </c>
      <c r="I13" s="529"/>
      <c r="J13" s="529">
        <v>20816.129786707803</v>
      </c>
      <c r="K13" s="529"/>
      <c r="L13" s="529"/>
      <c r="M13" s="529"/>
      <c r="N13" s="529"/>
      <c r="O13" s="529"/>
      <c r="P13" s="529"/>
      <c r="Q13" s="529"/>
      <c r="R13" s="529">
        <v>337472.94800000003</v>
      </c>
      <c r="S13"/>
      <c r="T13"/>
    </row>
    <row r="14" spans="1:20">
      <c r="A14" s="528" t="s">
        <v>350</v>
      </c>
      <c r="B14" s="529"/>
      <c r="C14" s="529"/>
      <c r="D14" s="529"/>
      <c r="E14" s="529"/>
      <c r="F14" s="529"/>
      <c r="G14" s="529">
        <v>85610.22</v>
      </c>
      <c r="H14" s="529"/>
      <c r="I14" s="529"/>
      <c r="J14" s="529">
        <v>0</v>
      </c>
      <c r="K14" s="529"/>
      <c r="L14" s="529"/>
      <c r="M14" s="529"/>
      <c r="N14" s="529"/>
      <c r="O14" s="529"/>
      <c r="P14" s="529"/>
      <c r="Q14" s="529"/>
      <c r="R14" s="529">
        <v>85610.22</v>
      </c>
      <c r="S14"/>
      <c r="T14"/>
    </row>
    <row r="15" spans="1:20">
      <c r="A15" s="528" t="s">
        <v>368</v>
      </c>
      <c r="B15" s="529"/>
      <c r="C15" s="529"/>
      <c r="D15" s="529"/>
      <c r="E15" s="529"/>
      <c r="F15" s="529">
        <v>38558.823525</v>
      </c>
      <c r="G15" s="529">
        <v>69405.882345000005</v>
      </c>
      <c r="H15" s="529">
        <v>30847.058820000002</v>
      </c>
      <c r="I15" s="529"/>
      <c r="J15" s="529">
        <v>15423.529410000001</v>
      </c>
      <c r="K15" s="529"/>
      <c r="L15" s="529"/>
      <c r="M15" s="529"/>
      <c r="N15" s="529"/>
      <c r="O15" s="529"/>
      <c r="P15" s="529"/>
      <c r="Q15" s="529"/>
      <c r="R15" s="529">
        <v>154235.2941</v>
      </c>
      <c r="S15"/>
      <c r="T15"/>
    </row>
    <row r="16" spans="1:20">
      <c r="A16" s="528" t="s">
        <v>369</v>
      </c>
      <c r="B16" s="529">
        <v>0</v>
      </c>
      <c r="C16" s="529">
        <v>0</v>
      </c>
      <c r="D16" s="529"/>
      <c r="E16" s="529"/>
      <c r="F16" s="529">
        <v>8074.048246658127</v>
      </c>
      <c r="G16" s="529">
        <v>14533.318356763057</v>
      </c>
      <c r="H16" s="529">
        <v>11561.40572136712</v>
      </c>
      <c r="I16" s="529"/>
      <c r="J16" s="529">
        <v>3796.5178606835602</v>
      </c>
      <c r="K16" s="529"/>
      <c r="L16" s="529"/>
      <c r="M16" s="529"/>
      <c r="N16" s="529"/>
      <c r="O16" s="529"/>
      <c r="P16" s="529"/>
      <c r="Q16" s="529"/>
      <c r="R16" s="529">
        <v>37965.290185471866</v>
      </c>
      <c r="S16"/>
      <c r="T16"/>
    </row>
    <row r="17" spans="1:20">
      <c r="A17" s="528" t="s">
        <v>374</v>
      </c>
      <c r="B17" s="529">
        <v>0</v>
      </c>
      <c r="C17" s="529"/>
      <c r="D17" s="529"/>
      <c r="E17" s="529">
        <v>3734.8597129105128</v>
      </c>
      <c r="F17" s="529"/>
      <c r="G17" s="529"/>
      <c r="H17" s="529">
        <v>30382.785123513208</v>
      </c>
      <c r="I17" s="529"/>
      <c r="J17" s="529"/>
      <c r="K17" s="529"/>
      <c r="L17" s="529"/>
      <c r="M17" s="529"/>
      <c r="N17" s="529"/>
      <c r="O17" s="529"/>
      <c r="P17" s="529"/>
      <c r="Q17" s="529"/>
      <c r="R17" s="529">
        <v>34117.644836423722</v>
      </c>
      <c r="S17"/>
      <c r="T17"/>
    </row>
    <row r="18" spans="1:20">
      <c r="A18" s="528" t="s">
        <v>386</v>
      </c>
      <c r="B18" s="529"/>
      <c r="C18" s="529">
        <v>0</v>
      </c>
      <c r="D18" s="529"/>
      <c r="E18" s="529"/>
      <c r="F18" s="529"/>
      <c r="G18" s="529"/>
      <c r="H18" s="529">
        <v>75321.963459999999</v>
      </c>
      <c r="I18" s="529"/>
      <c r="J18" s="529"/>
      <c r="K18" s="529"/>
      <c r="L18" s="529"/>
      <c r="M18" s="529"/>
      <c r="N18" s="529"/>
      <c r="O18" s="529"/>
      <c r="P18" s="529">
        <v>0</v>
      </c>
      <c r="Q18" s="529"/>
      <c r="R18" s="529">
        <v>75321.963459999999</v>
      </c>
      <c r="S18"/>
      <c r="T18"/>
    </row>
    <row r="19" spans="1:20">
      <c r="A19" s="528" t="s">
        <v>397</v>
      </c>
      <c r="B19" s="529"/>
      <c r="C19" s="529"/>
      <c r="D19" s="529"/>
      <c r="E19" s="529">
        <v>683.26532822183185</v>
      </c>
      <c r="F19" s="529">
        <v>920.76363793376538</v>
      </c>
      <c r="G19" s="529">
        <v>806.06249977565346</v>
      </c>
      <c r="H19" s="529">
        <v>226.05</v>
      </c>
      <c r="I19" s="529">
        <v>0</v>
      </c>
      <c r="J19" s="529">
        <v>452.09000000000003</v>
      </c>
      <c r="K19" s="529">
        <v>0</v>
      </c>
      <c r="L19" s="529"/>
      <c r="M19" s="529"/>
      <c r="N19" s="529"/>
      <c r="O19" s="529"/>
      <c r="P19" s="529"/>
      <c r="Q19" s="529"/>
      <c r="R19" s="529">
        <v>3088.231465931251</v>
      </c>
      <c r="S19"/>
      <c r="T19"/>
    </row>
    <row r="20" spans="1:20">
      <c r="A20" s="528" t="s">
        <v>401</v>
      </c>
      <c r="B20" s="529"/>
      <c r="C20" s="529"/>
      <c r="D20" s="529"/>
      <c r="E20" s="529"/>
      <c r="F20" s="529"/>
      <c r="G20" s="529"/>
      <c r="H20" s="529"/>
      <c r="I20" s="529"/>
      <c r="J20" s="529"/>
      <c r="K20" s="529"/>
      <c r="L20" s="529"/>
      <c r="M20" s="529"/>
      <c r="N20" s="529"/>
      <c r="O20" s="529"/>
      <c r="P20" s="529"/>
      <c r="Q20" s="529"/>
      <c r="R20" s="529"/>
      <c r="S20"/>
      <c r="T20"/>
    </row>
    <row r="21" spans="1:20">
      <c r="A21" s="528" t="s">
        <v>428</v>
      </c>
      <c r="B21" s="529">
        <v>0</v>
      </c>
      <c r="C21" s="529">
        <v>0</v>
      </c>
      <c r="D21" s="529">
        <v>541591.65388054238</v>
      </c>
      <c r="E21" s="529">
        <v>32077.674361854428</v>
      </c>
      <c r="F21" s="529">
        <v>323891.30413857719</v>
      </c>
      <c r="G21" s="529">
        <v>523684.64763307991</v>
      </c>
      <c r="H21" s="529">
        <v>273671.59864497115</v>
      </c>
      <c r="I21" s="529">
        <v>787.83919852664576</v>
      </c>
      <c r="J21" s="529">
        <v>48653.110053370336</v>
      </c>
      <c r="K21" s="529">
        <v>0</v>
      </c>
      <c r="L21" s="529"/>
      <c r="M21" s="529"/>
      <c r="N21" s="529">
        <v>0</v>
      </c>
      <c r="O21" s="529"/>
      <c r="P21" s="529">
        <v>0</v>
      </c>
      <c r="Q21" s="529"/>
      <c r="R21" s="529">
        <v>1744357.827910922</v>
      </c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29">
        <v>541591.65</v>
      </c>
      <c r="E23">
        <v>32077.67</v>
      </c>
      <c r="F23">
        <v>323891.3</v>
      </c>
      <c r="G23">
        <v>523684.65</v>
      </c>
      <c r="H23">
        <v>270284.01</v>
      </c>
      <c r="I23">
        <v>787.84</v>
      </c>
      <c r="J23">
        <v>48653.11</v>
      </c>
      <c r="K23"/>
      <c r="L23"/>
      <c r="M23" s="529">
        <f>SUM(D23:L23)</f>
        <v>1740970.2300000002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49">
        <f t="shared" ref="D24:J24" si="0">D21-D23</f>
        <v>3.8805423537269235E-3</v>
      </c>
      <c r="E24" s="849">
        <f t="shared" si="0"/>
        <v>4.3618544295895845E-3</v>
      </c>
      <c r="F24" s="849">
        <f t="shared" si="0"/>
        <v>4.138577205594629E-3</v>
      </c>
      <c r="G24" s="849">
        <f t="shared" si="0"/>
        <v>-2.3669201182201505E-3</v>
      </c>
      <c r="H24" s="849">
        <f t="shared" si="0"/>
        <v>3387.5886449711397</v>
      </c>
      <c r="I24" s="849">
        <f t="shared" si="0"/>
        <v>-8.0147335427227517E-4</v>
      </c>
      <c r="J24" s="849">
        <f t="shared" si="0"/>
        <v>5.3370335081126541E-5</v>
      </c>
      <c r="K24"/>
      <c r="L24"/>
      <c r="M24" s="849">
        <f>M21-M23</f>
        <v>-1740970.2300000002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zoomScale="85" zoomScaleNormal="85" workbookViewId="0">
      <selection activeCell="J8" sqref="J8"/>
    </sheetView>
  </sheetViews>
  <sheetFormatPr defaultColWidth="8.453125" defaultRowHeight="14.5"/>
  <cols>
    <col min="1" max="1" width="21.7265625" bestFit="1" customWidth="1"/>
    <col min="2" max="2" width="17.26953125" style="618" bestFit="1" customWidth="1"/>
    <col min="3" max="3" width="12" style="618" bestFit="1" customWidth="1"/>
    <col min="4" max="5" width="13" style="618" bestFit="1" customWidth="1"/>
    <col min="6" max="6" width="12" style="618" bestFit="1" customWidth="1"/>
    <col min="7" max="9" width="13.26953125" style="618" bestFit="1" customWidth="1"/>
    <col min="10" max="10" width="11.7265625" bestFit="1" customWidth="1"/>
    <col min="11" max="11" width="12" bestFit="1" customWidth="1"/>
    <col min="12" max="12" width="10.54296875" bestFit="1" customWidth="1"/>
    <col min="13" max="13" width="11" bestFit="1" customWidth="1"/>
    <col min="14" max="16" width="12" bestFit="1" customWidth="1"/>
    <col min="17" max="17" width="12.1796875" bestFit="1" customWidth="1"/>
    <col min="18" max="18" width="14.81640625" bestFit="1" customWidth="1"/>
    <col min="19" max="19" width="13.453125" bestFit="1" customWidth="1"/>
  </cols>
  <sheetData>
    <row r="3" spans="1:18">
      <c r="A3" s="527" t="s">
        <v>429</v>
      </c>
      <c r="B3" s="527" t="s">
        <v>425</v>
      </c>
      <c r="C3"/>
      <c r="D3"/>
      <c r="E3"/>
      <c r="F3"/>
      <c r="G3"/>
      <c r="H3"/>
      <c r="I3"/>
    </row>
    <row r="4" spans="1:18">
      <c r="A4" s="527" t="s">
        <v>426</v>
      </c>
      <c r="B4" t="s">
        <v>427</v>
      </c>
      <c r="C4" s="631">
        <v>45322</v>
      </c>
      <c r="D4"/>
      <c r="E4" s="631">
        <v>45504</v>
      </c>
      <c r="F4" s="631">
        <v>45535</v>
      </c>
      <c r="G4" s="631">
        <v>45565</v>
      </c>
      <c r="H4" s="631">
        <v>45596</v>
      </c>
      <c r="I4" s="631">
        <v>45626</v>
      </c>
      <c r="J4" s="631">
        <v>45657</v>
      </c>
      <c r="K4" s="631">
        <v>45688</v>
      </c>
      <c r="L4" s="631">
        <v>45716</v>
      </c>
      <c r="M4" s="631">
        <v>45777</v>
      </c>
      <c r="N4" s="631">
        <v>45808</v>
      </c>
      <c r="O4" s="631">
        <v>45869</v>
      </c>
      <c r="P4" s="631">
        <v>45900</v>
      </c>
      <c r="Q4" s="631">
        <v>46053</v>
      </c>
      <c r="R4" t="s">
        <v>428</v>
      </c>
    </row>
    <row r="5" spans="1:18">
      <c r="A5" s="528" t="s">
        <v>348</v>
      </c>
      <c r="B5" s="632"/>
      <c r="C5" s="632"/>
      <c r="D5" s="632"/>
      <c r="E5" s="632"/>
      <c r="F5" s="632"/>
      <c r="G5" s="632"/>
      <c r="H5" s="632"/>
      <c r="I5" s="632"/>
      <c r="J5" s="632"/>
      <c r="K5" s="632"/>
      <c r="L5" s="632"/>
      <c r="M5" s="632"/>
      <c r="N5" s="632"/>
      <c r="O5" s="632"/>
      <c r="P5" s="632"/>
      <c r="Q5" s="632"/>
      <c r="R5" s="632"/>
    </row>
    <row r="6" spans="1:18">
      <c r="A6" s="528" t="s">
        <v>380</v>
      </c>
      <c r="B6" s="632"/>
      <c r="C6" s="632"/>
      <c r="D6" s="632"/>
      <c r="E6" s="632"/>
      <c r="F6" s="632">
        <v>21537.98</v>
      </c>
      <c r="G6" s="632"/>
      <c r="H6" s="632"/>
      <c r="I6" s="632">
        <v>21537.98</v>
      </c>
      <c r="J6" s="632"/>
      <c r="K6" s="632"/>
      <c r="L6" s="632"/>
      <c r="M6" s="632"/>
      <c r="N6" s="632"/>
      <c r="O6" s="632"/>
      <c r="P6" s="632"/>
      <c r="Q6" s="632"/>
      <c r="R6" s="632">
        <v>43075.96</v>
      </c>
    </row>
    <row r="7" spans="1:18">
      <c r="A7" s="528" t="s">
        <v>427</v>
      </c>
      <c r="B7" s="632"/>
      <c r="C7" s="632"/>
      <c r="D7" s="632"/>
      <c r="E7" s="632"/>
      <c r="F7" s="632"/>
      <c r="G7" s="632"/>
      <c r="H7" s="632"/>
      <c r="I7" s="632"/>
      <c r="J7" s="632"/>
      <c r="K7" s="632"/>
      <c r="L7" s="632"/>
      <c r="M7" s="632"/>
      <c r="N7" s="632"/>
      <c r="O7" s="632"/>
      <c r="P7" s="632"/>
      <c r="Q7" s="632"/>
      <c r="R7" s="632"/>
    </row>
    <row r="8" spans="1:18">
      <c r="A8" s="528" t="s">
        <v>242</v>
      </c>
      <c r="B8" s="632"/>
      <c r="C8" s="632"/>
      <c r="D8" s="632"/>
      <c r="E8" s="632">
        <v>401931</v>
      </c>
      <c r="F8" s="632"/>
      <c r="G8" s="632"/>
      <c r="H8" s="632">
        <v>7422</v>
      </c>
      <c r="I8" s="632"/>
      <c r="J8" s="632"/>
      <c r="K8" s="632"/>
      <c r="L8" s="632"/>
      <c r="M8" s="632"/>
      <c r="N8" s="632"/>
      <c r="O8" s="632"/>
      <c r="P8" s="632"/>
      <c r="Q8" s="632"/>
      <c r="R8" s="632">
        <v>409353</v>
      </c>
    </row>
    <row r="9" spans="1:18">
      <c r="A9" s="528" t="s">
        <v>262</v>
      </c>
      <c r="B9" s="632"/>
      <c r="C9" s="632"/>
      <c r="D9" s="632"/>
      <c r="E9" s="632"/>
      <c r="F9" s="632"/>
      <c r="G9" s="632">
        <v>69975.240000000005</v>
      </c>
      <c r="H9" s="632">
        <v>38000</v>
      </c>
      <c r="I9" s="632"/>
      <c r="J9" s="632"/>
      <c r="K9" s="632"/>
      <c r="L9" s="632"/>
      <c r="M9" s="632"/>
      <c r="N9" s="632"/>
      <c r="O9" s="632"/>
      <c r="P9" s="632"/>
      <c r="Q9" s="632"/>
      <c r="R9" s="632">
        <v>107975.24</v>
      </c>
    </row>
    <row r="10" spans="1:18">
      <c r="A10" s="528" t="s">
        <v>271</v>
      </c>
      <c r="B10" s="632"/>
      <c r="C10" s="632"/>
      <c r="D10" s="632"/>
      <c r="E10" s="632"/>
      <c r="F10" s="632"/>
      <c r="G10" s="632">
        <v>33895.599999999999</v>
      </c>
      <c r="H10" s="632">
        <v>0</v>
      </c>
      <c r="I10" s="632"/>
      <c r="J10" s="632"/>
      <c r="K10" s="632"/>
      <c r="L10" s="632"/>
      <c r="M10" s="632"/>
      <c r="N10" s="632"/>
      <c r="O10" s="632"/>
      <c r="P10" s="632"/>
      <c r="Q10" s="632"/>
      <c r="R10" s="632">
        <v>33895.599999999999</v>
      </c>
    </row>
    <row r="11" spans="1:18">
      <c r="A11" s="528" t="s">
        <v>285</v>
      </c>
      <c r="B11" s="632">
        <v>0</v>
      </c>
      <c r="C11" s="632">
        <v>39900</v>
      </c>
      <c r="D11" s="632"/>
      <c r="E11" s="632"/>
      <c r="F11" s="632"/>
      <c r="G11" s="632">
        <v>22330.5</v>
      </c>
      <c r="H11" s="632">
        <v>94194.9</v>
      </c>
      <c r="I11" s="632">
        <v>17864.400000000001</v>
      </c>
      <c r="J11" s="632"/>
      <c r="K11" s="632">
        <v>8932.2000000000007</v>
      </c>
      <c r="L11" s="632"/>
      <c r="M11" s="632"/>
      <c r="N11" s="632"/>
      <c r="O11" s="632"/>
      <c r="P11" s="632"/>
      <c r="Q11" s="632"/>
      <c r="R11" s="632">
        <v>183222</v>
      </c>
    </row>
    <row r="12" spans="1:18">
      <c r="A12" s="528" t="s">
        <v>321</v>
      </c>
      <c r="B12" s="632"/>
      <c r="C12" s="632"/>
      <c r="D12" s="632"/>
      <c r="E12" s="632"/>
      <c r="F12" s="632">
        <v>19820.5</v>
      </c>
      <c r="G12" s="632"/>
      <c r="H12" s="632">
        <v>2692.14</v>
      </c>
      <c r="I12" s="632">
        <v>11169</v>
      </c>
      <c r="J12" s="632">
        <v>450</v>
      </c>
      <c r="K12" s="632"/>
      <c r="L12" s="632"/>
      <c r="M12" s="632"/>
      <c r="N12" s="632">
        <v>110.45</v>
      </c>
      <c r="O12" s="632"/>
      <c r="P12" s="632"/>
      <c r="Q12" s="632"/>
      <c r="R12" s="632">
        <v>34242.089999999997</v>
      </c>
    </row>
    <row r="13" spans="1:18">
      <c r="A13" s="528" t="s">
        <v>338</v>
      </c>
      <c r="B13" s="632"/>
      <c r="C13" s="632"/>
      <c r="D13" s="632"/>
      <c r="E13" s="632"/>
      <c r="F13" s="632"/>
      <c r="G13" s="632">
        <v>53311</v>
      </c>
      <c r="H13" s="632">
        <v>95673.8</v>
      </c>
      <c r="I13" s="632">
        <v>22552.800000000003</v>
      </c>
      <c r="J13" s="632"/>
      <c r="K13" s="632">
        <v>11276.400000000001</v>
      </c>
      <c r="L13" s="632"/>
      <c r="M13" s="632"/>
      <c r="N13" s="632"/>
      <c r="O13" s="632"/>
      <c r="P13" s="632"/>
      <c r="Q13" s="632"/>
      <c r="R13" s="632">
        <v>182813.99999999997</v>
      </c>
    </row>
    <row r="14" spans="1:18">
      <c r="A14" s="528" t="s">
        <v>350</v>
      </c>
      <c r="B14" s="632"/>
      <c r="C14" s="632"/>
      <c r="D14" s="632"/>
      <c r="E14" s="632"/>
      <c r="F14" s="632"/>
      <c r="G14" s="632"/>
      <c r="H14" s="632">
        <v>109911.18</v>
      </c>
      <c r="I14" s="632"/>
      <c r="J14" s="632"/>
      <c r="K14" s="632">
        <v>19387.2</v>
      </c>
      <c r="L14" s="632"/>
      <c r="M14" s="632">
        <v>6852.76</v>
      </c>
      <c r="N14" s="632"/>
      <c r="O14" s="632"/>
      <c r="P14" s="632"/>
      <c r="Q14" s="632"/>
      <c r="R14" s="632">
        <v>136151.13999999998</v>
      </c>
    </row>
    <row r="15" spans="1:18">
      <c r="A15" s="528" t="s">
        <v>368</v>
      </c>
      <c r="B15" s="632"/>
      <c r="C15" s="632"/>
      <c r="D15" s="632"/>
      <c r="E15" s="632"/>
      <c r="F15" s="632"/>
      <c r="G15" s="632">
        <v>29076.25</v>
      </c>
      <c r="H15" s="632">
        <v>52337.25</v>
      </c>
      <c r="I15" s="632">
        <v>23261</v>
      </c>
      <c r="J15" s="632"/>
      <c r="K15" s="632">
        <v>11630.5</v>
      </c>
      <c r="L15" s="632"/>
      <c r="M15" s="632"/>
      <c r="N15" s="632"/>
      <c r="O15" s="632"/>
      <c r="P15" s="632"/>
      <c r="Q15" s="632"/>
      <c r="R15" s="632">
        <v>116305</v>
      </c>
    </row>
    <row r="16" spans="1:18">
      <c r="A16" s="528" t="s">
        <v>369</v>
      </c>
      <c r="B16" s="632"/>
      <c r="C16" s="632"/>
      <c r="D16" s="632"/>
      <c r="E16" s="632"/>
      <c r="F16" s="632"/>
      <c r="G16" s="632">
        <v>21363.260000000002</v>
      </c>
      <c r="H16" s="632">
        <v>38454.100000000006</v>
      </c>
      <c r="I16" s="632">
        <v>17090.600000000002</v>
      </c>
      <c r="J16" s="632"/>
      <c r="K16" s="632">
        <v>8545.3000000000011</v>
      </c>
      <c r="L16" s="632"/>
      <c r="M16" s="632"/>
      <c r="N16" s="632"/>
      <c r="O16" s="632"/>
      <c r="P16" s="632"/>
      <c r="Q16" s="632"/>
      <c r="R16" s="632">
        <v>85453.260000000009</v>
      </c>
    </row>
    <row r="17" spans="1:18">
      <c r="A17" s="528" t="s">
        <v>374</v>
      </c>
      <c r="B17" s="632"/>
      <c r="C17" s="632"/>
      <c r="D17" s="632"/>
      <c r="E17" s="632"/>
      <c r="F17" s="632">
        <v>2520</v>
      </c>
      <c r="G17" s="632"/>
      <c r="H17" s="632"/>
      <c r="I17" s="632">
        <v>9551.19</v>
      </c>
      <c r="J17" s="632"/>
      <c r="K17" s="632"/>
      <c r="L17" s="632"/>
      <c r="M17" s="632"/>
      <c r="N17" s="632"/>
      <c r="O17" s="632"/>
      <c r="P17" s="632"/>
      <c r="Q17" s="632"/>
      <c r="R17" s="632">
        <v>12071.19</v>
      </c>
    </row>
    <row r="18" spans="1:18">
      <c r="A18" s="528" t="s">
        <v>386</v>
      </c>
      <c r="B18" s="632">
        <v>0</v>
      </c>
      <c r="C18" s="632"/>
      <c r="D18" s="632"/>
      <c r="E18" s="632"/>
      <c r="F18" s="632"/>
      <c r="G18" s="632"/>
      <c r="H18" s="632"/>
      <c r="I18" s="632">
        <v>20734.345172387377</v>
      </c>
      <c r="J18" s="632"/>
      <c r="K18" s="632"/>
      <c r="L18" s="632"/>
      <c r="M18" s="632"/>
      <c r="N18" s="632"/>
      <c r="O18" s="632"/>
      <c r="P18" s="632">
        <v>29665.654827612623</v>
      </c>
      <c r="Q18" s="632"/>
      <c r="R18" s="632">
        <v>50400</v>
      </c>
    </row>
    <row r="19" spans="1:18">
      <c r="A19" s="528" t="s">
        <v>397</v>
      </c>
      <c r="B19" s="632"/>
      <c r="C19" s="632"/>
      <c r="D19" s="632"/>
      <c r="E19" s="632"/>
      <c r="F19" s="632">
        <v>1022.78</v>
      </c>
      <c r="G19" s="632">
        <v>1570.98</v>
      </c>
      <c r="H19" s="632">
        <v>1671</v>
      </c>
      <c r="I19" s="632">
        <v>25.56</v>
      </c>
      <c r="J19" s="632">
        <v>0</v>
      </c>
      <c r="K19" s="632">
        <v>1016.02</v>
      </c>
      <c r="L19" s="632">
        <v>597.36</v>
      </c>
      <c r="M19" s="632">
        <v>1087.98</v>
      </c>
      <c r="N19" s="632"/>
      <c r="O19" s="632"/>
      <c r="P19" s="632"/>
      <c r="Q19" s="632"/>
      <c r="R19" s="632">
        <v>6991.68</v>
      </c>
    </row>
    <row r="20" spans="1:18">
      <c r="A20" s="528" t="s">
        <v>401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>
        <v>22409.279999999999</v>
      </c>
      <c r="O20" s="632">
        <v>19463.419999999998</v>
      </c>
      <c r="P20" s="632"/>
      <c r="Q20" s="632">
        <v>-19463.419999999998</v>
      </c>
      <c r="R20" s="632">
        <v>22409.279999999999</v>
      </c>
    </row>
    <row r="21" spans="1:18">
      <c r="A21" s="528" t="s">
        <v>428</v>
      </c>
      <c r="B21" s="632">
        <v>0</v>
      </c>
      <c r="C21" s="632">
        <v>39900</v>
      </c>
      <c r="D21" s="632"/>
      <c r="E21" s="632">
        <v>401931</v>
      </c>
      <c r="F21" s="632">
        <v>44901.259999999995</v>
      </c>
      <c r="G21" s="632">
        <v>231522.83000000002</v>
      </c>
      <c r="H21" s="632">
        <v>440356.37</v>
      </c>
      <c r="I21" s="632">
        <v>143786.8751723874</v>
      </c>
      <c r="J21" s="632">
        <v>450</v>
      </c>
      <c r="K21" s="632">
        <v>60787.62</v>
      </c>
      <c r="L21" s="632">
        <v>597.36</v>
      </c>
      <c r="M21" s="632">
        <v>7940.74</v>
      </c>
      <c r="N21" s="632">
        <v>22519.73</v>
      </c>
      <c r="O21" s="632">
        <v>19463.419999999998</v>
      </c>
      <c r="P21" s="632">
        <v>29665.654827612623</v>
      </c>
      <c r="Q21" s="632">
        <v>-19463.419999999998</v>
      </c>
      <c r="R21" s="632">
        <v>1424359.44</v>
      </c>
    </row>
    <row r="22" spans="1:18">
      <c r="B22"/>
      <c r="C22"/>
      <c r="D22"/>
      <c r="E22"/>
      <c r="F22"/>
      <c r="G22"/>
      <c r="H22"/>
      <c r="I22"/>
    </row>
    <row r="23" spans="1:18">
      <c r="B23"/>
      <c r="C23"/>
      <c r="D23"/>
      <c r="E23"/>
      <c r="F23"/>
      <c r="G23"/>
      <c r="H23"/>
      <c r="I23"/>
    </row>
    <row r="24" spans="1:18">
      <c r="B24"/>
      <c r="C24"/>
      <c r="D24"/>
      <c r="E24"/>
      <c r="F24"/>
      <c r="G24"/>
      <c r="H24"/>
      <c r="I24"/>
    </row>
    <row r="25" spans="1:18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6604-8FD5-4E1E-8F4B-3AF31BF1BE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1005" t="s">
        <v>430</v>
      </c>
      <c r="C2" s="1005"/>
      <c r="D2" s="1005"/>
      <c r="E2" s="1005"/>
      <c r="H2" s="1006" t="s">
        <v>431</v>
      </c>
      <c r="I2" s="1007"/>
      <c r="J2" s="1007"/>
      <c r="K2" s="1007"/>
      <c r="L2" s="1007"/>
      <c r="M2" s="1007"/>
      <c r="N2" s="1007"/>
      <c r="O2" s="1008"/>
    </row>
    <row r="3" spans="2:15">
      <c r="B3" s="880"/>
      <c r="H3" s="1009"/>
      <c r="I3" s="1010"/>
      <c r="J3" s="1010"/>
      <c r="K3" s="1010"/>
      <c r="L3" s="1010"/>
      <c r="M3" s="1010"/>
      <c r="N3" s="1010"/>
      <c r="O3" s="1011"/>
    </row>
    <row r="4" spans="2:15">
      <c r="B4" s="881" t="s">
        <v>432</v>
      </c>
      <c r="C4" s="882" t="str">
        <f>'Project Plan'!E2</f>
        <v>SA Metal - 14 Christiaan_B</v>
      </c>
      <c r="H4" s="1009"/>
      <c r="I4" s="1010"/>
      <c r="J4" s="1010"/>
      <c r="K4" s="1010"/>
      <c r="L4" s="1010"/>
      <c r="M4" s="1010"/>
      <c r="N4" s="1010"/>
      <c r="O4" s="1011"/>
    </row>
    <row r="5" spans="2:15">
      <c r="B5" s="881" t="s">
        <v>433</v>
      </c>
      <c r="C5" s="882" t="s">
        <v>434</v>
      </c>
      <c r="H5" s="1009"/>
      <c r="I5" s="1010"/>
      <c r="J5" s="1010"/>
      <c r="K5" s="1010"/>
      <c r="L5" s="1010"/>
      <c r="M5" s="1010"/>
      <c r="N5" s="1010"/>
      <c r="O5" s="1011"/>
    </row>
    <row r="6" spans="2:15">
      <c r="B6" s="881" t="s">
        <v>435</v>
      </c>
      <c r="C6" s="882" t="s">
        <v>436</v>
      </c>
      <c r="H6" s="1009"/>
      <c r="I6" s="1010"/>
      <c r="J6" s="1010"/>
      <c r="K6" s="1010"/>
      <c r="L6" s="1010"/>
      <c r="M6" s="1010"/>
      <c r="N6" s="1010"/>
      <c r="O6" s="1011"/>
    </row>
    <row r="7" spans="2:15">
      <c r="B7" s="881" t="s">
        <v>437</v>
      </c>
      <c r="C7" s="882" t="s">
        <v>438</v>
      </c>
      <c r="H7" s="1009"/>
      <c r="I7" s="1010"/>
      <c r="J7" s="1010"/>
      <c r="K7" s="1010"/>
      <c r="L7" s="1010"/>
      <c r="M7" s="1010"/>
      <c r="N7" s="1010"/>
      <c r="O7" s="1011"/>
    </row>
    <row r="8" spans="2:15">
      <c r="B8" s="880"/>
      <c r="H8" s="1009"/>
      <c r="I8" s="1010"/>
      <c r="J8" s="1010"/>
      <c r="K8" s="1010"/>
      <c r="L8" s="1010"/>
      <c r="M8" s="1010"/>
      <c r="N8" s="1010"/>
      <c r="O8" s="1011"/>
    </row>
    <row r="9" spans="2:15">
      <c r="B9" s="1015" t="s">
        <v>439</v>
      </c>
      <c r="C9" s="1015"/>
      <c r="D9" s="1015"/>
      <c r="E9" s="101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1009"/>
      <c r="I9" s="1010"/>
      <c r="J9" s="1010"/>
      <c r="K9" s="1010"/>
      <c r="L9" s="1010"/>
      <c r="M9" s="1010"/>
      <c r="N9" s="1010"/>
      <c r="O9" s="1011"/>
    </row>
    <row r="10" spans="2:15" ht="15" thickBot="1">
      <c r="B10" s="1015" t="s">
        <v>440</v>
      </c>
      <c r="C10" s="1015"/>
      <c r="D10" s="1015"/>
      <c r="E10" s="1015"/>
      <c r="H10" s="1012"/>
      <c r="I10" s="1013"/>
      <c r="J10" s="1013"/>
      <c r="K10" s="1013"/>
      <c r="L10" s="1013"/>
      <c r="M10" s="1013"/>
      <c r="N10" s="1013"/>
      <c r="O10" s="1014"/>
    </row>
    <row r="11" spans="2:15">
      <c r="B11" s="883" t="s">
        <v>441</v>
      </c>
      <c r="C11" s="1003" t="s">
        <v>442</v>
      </c>
      <c r="D11" s="1003"/>
      <c r="E11" s="1003"/>
    </row>
    <row r="12" spans="2:15">
      <c r="B12" s="883" t="s">
        <v>443</v>
      </c>
      <c r="C12" s="1003" t="s">
        <v>442</v>
      </c>
      <c r="D12" s="1003"/>
      <c r="E12" s="1003"/>
    </row>
    <row r="13" spans="2:15">
      <c r="B13" s="883" t="s">
        <v>444</v>
      </c>
      <c r="C13" s="1003" t="s">
        <v>442</v>
      </c>
      <c r="D13" s="1003"/>
      <c r="E13" s="1003"/>
    </row>
    <row r="14" spans="2:15">
      <c r="B14" s="883" t="s">
        <v>445</v>
      </c>
      <c r="C14" s="1003" t="s">
        <v>446</v>
      </c>
      <c r="D14" s="1003"/>
      <c r="E14" s="1003"/>
    </row>
    <row r="15" spans="2:15">
      <c r="B15" s="883" t="s">
        <v>447</v>
      </c>
      <c r="C15" s="1003" t="s">
        <v>448</v>
      </c>
      <c r="D15" s="1003"/>
      <c r="E15" s="1003"/>
    </row>
    <row r="16" spans="2:15" ht="15" customHeight="1">
      <c r="B16" s="883" t="s">
        <v>449</v>
      </c>
      <c r="C16" s="1003" t="s">
        <v>450</v>
      </c>
      <c r="D16" s="1003"/>
      <c r="E16" s="1003"/>
    </row>
    <row r="17" spans="2:5">
      <c r="B17" s="880"/>
    </row>
    <row r="18" spans="2:5">
      <c r="B18" s="1004" t="s">
        <v>451</v>
      </c>
      <c r="C18" s="1004"/>
      <c r="D18" s="1004"/>
      <c r="E18" s="1004"/>
    </row>
    <row r="19" spans="2:5">
      <c r="B19" s="883" t="s">
        <v>452</v>
      </c>
      <c r="C19" s="883" t="s">
        <v>453</v>
      </c>
      <c r="D19" s="883" t="s">
        <v>454</v>
      </c>
      <c r="E19" s="883" t="s">
        <v>62</v>
      </c>
    </row>
    <row r="20" spans="2:5" ht="15" customHeight="1">
      <c r="B20" s="883" t="s">
        <v>455</v>
      </c>
      <c r="C20" s="883" t="s">
        <v>456</v>
      </c>
      <c r="D20" s="884" t="s">
        <v>457</v>
      </c>
      <c r="E20" s="885">
        <v>45953</v>
      </c>
    </row>
    <row r="21" spans="2:5">
      <c r="B21" s="883"/>
      <c r="C21" s="883"/>
      <c r="D21" s="883"/>
      <c r="E21" s="883"/>
    </row>
    <row r="22" spans="2:5">
      <c r="B22" s="883"/>
      <c r="C22" s="883"/>
      <c r="D22" s="883"/>
      <c r="E22" s="883"/>
    </row>
    <row r="23" spans="2:5">
      <c r="B23" s="883"/>
      <c r="C23" s="883"/>
      <c r="D23" s="883"/>
      <c r="E23" s="883"/>
    </row>
    <row r="24" spans="2:5">
      <c r="B24" s="883"/>
      <c r="C24" s="883"/>
      <c r="D24" s="883"/>
      <c r="E24" s="883"/>
    </row>
    <row r="25" spans="2:5">
      <c r="B25" s="883"/>
      <c r="C25" s="883"/>
      <c r="D25" s="883"/>
      <c r="E25" s="883"/>
    </row>
    <row r="26" spans="2:5">
      <c r="B26" s="88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1" t="s">
        <v>458</v>
      </c>
    </row>
    <row r="2" spans="1:4">
      <c r="A2" s="1017"/>
      <c r="B2" s="1017"/>
      <c r="C2" s="1017"/>
      <c r="D2" s="71"/>
    </row>
    <row r="3" spans="1:4">
      <c r="A3" s="1016" t="s">
        <v>459</v>
      </c>
      <c r="B3" s="1016"/>
      <c r="C3" s="1016"/>
      <c r="D3" s="112">
        <v>0.32</v>
      </c>
    </row>
    <row r="4" spans="1:4">
      <c r="A4" s="1016" t="s">
        <v>460</v>
      </c>
      <c r="B4" s="1016"/>
      <c r="C4" s="1016"/>
      <c r="D4" s="112">
        <v>0.5</v>
      </c>
    </row>
    <row r="5" spans="1:4">
      <c r="A5" s="1016" t="s">
        <v>461</v>
      </c>
      <c r="B5" s="1016"/>
      <c r="C5" s="1016"/>
      <c r="D5" s="112">
        <v>0.15</v>
      </c>
    </row>
    <row r="6" spans="1:4">
      <c r="A6" s="1016" t="s">
        <v>462</v>
      </c>
      <c r="B6" s="1016"/>
      <c r="C6" s="1016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1018" t="s">
        <v>463</v>
      </c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</row>
    <row r="4" spans="2:14" ht="13">
      <c r="B4" s="92" t="s">
        <v>464</v>
      </c>
      <c r="C4" s="86"/>
      <c r="D4" s="90" t="s">
        <v>465</v>
      </c>
      <c r="E4" s="95"/>
      <c r="F4" s="90" t="s">
        <v>466</v>
      </c>
      <c r="H4" s="90" t="s">
        <v>467</v>
      </c>
      <c r="I4" s="95"/>
      <c r="J4" s="90" t="s">
        <v>468</v>
      </c>
      <c r="L4" s="90" t="s">
        <v>467</v>
      </c>
      <c r="M4" s="90"/>
      <c r="N4" s="90" t="s">
        <v>469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470</v>
      </c>
      <c r="H7" s="99"/>
      <c r="I7" s="95"/>
      <c r="J7" s="107" t="s">
        <v>470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260</v>
      </c>
      <c r="C9" s="92"/>
      <c r="D9" s="90">
        <f>SUM(D10:D11)</f>
        <v>118044</v>
      </c>
      <c r="E9" s="95"/>
      <c r="F9" s="90">
        <f>SUM(F10:F13)</f>
        <v>0</v>
      </c>
      <c r="H9" s="106">
        <f>$D$9-F9</f>
        <v>118044</v>
      </c>
      <c r="I9" s="95"/>
      <c r="J9" s="90">
        <f>SUM(J10:J13)</f>
        <v>0</v>
      </c>
      <c r="L9" s="106">
        <f>$D$9-J9</f>
        <v>118044</v>
      </c>
      <c r="M9" s="106"/>
    </row>
    <row r="10" spans="2:14" ht="13">
      <c r="B10" s="108" t="s">
        <v>260</v>
      </c>
      <c r="C10" s="86"/>
      <c r="D10" s="89">
        <f>'Expenditure Breakdown'!G13</f>
        <v>78898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471</v>
      </c>
      <c r="C11" s="86"/>
      <c r="D11" s="89">
        <f>'Expenditure Breakdown'!G14</f>
        <v>39146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470</v>
      </c>
      <c r="H15" s="99"/>
      <c r="I15" s="95"/>
      <c r="J15" s="107" t="s">
        <v>470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474</v>
      </c>
      <c r="C17" s="92"/>
      <c r="D17" s="90">
        <f>SUM(D18:D19)</f>
        <v>70794</v>
      </c>
      <c r="E17" s="95"/>
      <c r="F17" s="90">
        <f>SUM(F18:F20)</f>
        <v>0</v>
      </c>
      <c r="H17" s="106">
        <f>$D$17- F17</f>
        <v>70794</v>
      </c>
      <c r="I17" s="95"/>
      <c r="J17" s="90">
        <f>SUM(J18:J20)</f>
        <v>0</v>
      </c>
      <c r="L17" s="106">
        <f>$D$17- J17</f>
        <v>70794</v>
      </c>
      <c r="M17" s="106"/>
    </row>
    <row r="18" spans="2:13">
      <c r="B18" s="108" t="s">
        <v>474</v>
      </c>
      <c r="C18" s="86"/>
      <c r="D18" s="89">
        <f>'Expenditure Breakdown'!G18</f>
        <v>70794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470</v>
      </c>
      <c r="H21" s="99"/>
      <c r="I21" s="95"/>
      <c r="J21" s="107" t="s">
        <v>470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475</v>
      </c>
      <c r="C23" s="92"/>
      <c r="D23" s="90">
        <f>SUM(D24:D25)</f>
        <v>36928</v>
      </c>
      <c r="E23" s="95"/>
      <c r="F23" s="90">
        <f>SUM(F24:F25)</f>
        <v>0</v>
      </c>
      <c r="H23" s="106">
        <f>$D$23- F23</f>
        <v>36928</v>
      </c>
      <c r="I23" s="95"/>
      <c r="J23" s="90">
        <f>SUM(J24:J25)</f>
        <v>0</v>
      </c>
      <c r="L23" s="106">
        <f>$D$23- J23</f>
        <v>36928</v>
      </c>
      <c r="M23" s="106"/>
    </row>
    <row r="24" spans="2:13">
      <c r="B24" s="108" t="s">
        <v>475</v>
      </c>
      <c r="C24" s="86"/>
      <c r="D24" s="89">
        <f>'Expenditure Breakdown'!G23</f>
        <v>36928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470</v>
      </c>
      <c r="H27" s="99"/>
      <c r="I27" s="95"/>
      <c r="J27" s="107" t="s">
        <v>470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470</v>
      </c>
      <c r="H34" s="99"/>
      <c r="I34" s="95"/>
      <c r="J34" s="107" t="s">
        <v>470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477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1018" t="s">
        <v>485</v>
      </c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</row>
    <row r="4" spans="2:15" ht="13">
      <c r="B4" s="92" t="s">
        <v>464</v>
      </c>
      <c r="C4" s="86"/>
      <c r="D4" s="90" t="s">
        <v>465</v>
      </c>
      <c r="E4" s="95"/>
      <c r="F4" s="95"/>
      <c r="G4" s="90" t="s">
        <v>486</v>
      </c>
      <c r="H4" s="96"/>
      <c r="J4" s="90" t="s">
        <v>467</v>
      </c>
      <c r="L4" s="90" t="s">
        <v>487</v>
      </c>
      <c r="M4" s="96"/>
      <c r="O4" s="90" t="s">
        <v>467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251</v>
      </c>
      <c r="C6" s="86"/>
      <c r="D6" s="89">
        <f>'Expenditure Breakdown'!AB8</f>
        <v>276727.82</v>
      </c>
      <c r="E6" s="95">
        <f>D6/(1000*'Project Plan'!$E$3)</f>
        <v>1.7625975796178344</v>
      </c>
      <c r="F6" s="95"/>
      <c r="G6" s="89">
        <v>277892.90999999997</v>
      </c>
      <c r="H6" s="96">
        <f>G6/('Project Plan'!$E$3*1000)</f>
        <v>1.7700185350318469</v>
      </c>
      <c r="J6" s="99">
        <f>D6-G6</f>
        <v>-1165.0899999999674</v>
      </c>
      <c r="L6" s="89"/>
      <c r="M6" s="96">
        <f>L6/('Project Plan'!$E$3*1000)</f>
        <v>0</v>
      </c>
      <c r="O6" s="99">
        <f>D6-L6</f>
        <v>276727.82</v>
      </c>
    </row>
    <row r="7" spans="2:15" ht="13">
      <c r="B7" s="86" t="s">
        <v>254</v>
      </c>
      <c r="C7" s="86"/>
      <c r="D7" s="89">
        <f>'Expenditure Breakdown'!AB9</f>
        <v>48499.6</v>
      </c>
      <c r="E7" s="95">
        <f>D7/(1000*'Project Plan'!$E$3)</f>
        <v>0.30891464968152865</v>
      </c>
      <c r="F7" s="95"/>
      <c r="G7" s="89">
        <v>142158.25</v>
      </c>
      <c r="H7" s="96">
        <f>G7/('Project Plan'!$E$3*1000)</f>
        <v>0.9054665605095541</v>
      </c>
      <c r="J7" s="99">
        <f t="shared" ref="J7:J12" si="0">D7-G7</f>
        <v>-93658.65</v>
      </c>
      <c r="L7" s="89"/>
      <c r="M7" s="96">
        <f>L7/('Project Plan'!$E$3*1000)</f>
        <v>0</v>
      </c>
      <c r="O7" s="99">
        <f t="shared" ref="O7:O12" si="1">D7-L7</f>
        <v>48499.6</v>
      </c>
    </row>
    <row r="8" spans="2:15" ht="13">
      <c r="B8" s="86" t="s">
        <v>256</v>
      </c>
      <c r="C8" s="86"/>
      <c r="D8" s="89">
        <f>'Expenditure Breakdown'!AB10</f>
        <v>91770</v>
      </c>
      <c r="E8" s="95">
        <f>D8/(1000*'Project Plan'!$E$3)</f>
        <v>0.58452229299363057</v>
      </c>
      <c r="F8" s="95"/>
      <c r="G8" s="89">
        <v>96174</v>
      </c>
      <c r="H8" s="96">
        <f>G8/('Project Plan'!$E$3*1000)</f>
        <v>0.61257324840764327</v>
      </c>
      <c r="J8" s="99">
        <f t="shared" si="0"/>
        <v>-4404</v>
      </c>
      <c r="L8" s="89"/>
      <c r="M8" s="96">
        <f>L8/('Project Plan'!$E$3*1000)</f>
        <v>0</v>
      </c>
      <c r="O8" s="99">
        <f t="shared" si="1"/>
        <v>91770</v>
      </c>
    </row>
    <row r="9" spans="2:15" ht="13">
      <c r="B9" s="86" t="s">
        <v>257</v>
      </c>
      <c r="C9" s="86"/>
      <c r="D9" s="89">
        <f>'Expenditure Breakdown'!AB11</f>
        <v>39330</v>
      </c>
      <c r="E9" s="95">
        <f>D9/(1000*'Project Plan'!$E$3)</f>
        <v>0.25050955414012738</v>
      </c>
      <c r="F9" s="95"/>
      <c r="G9" s="89">
        <v>230160</v>
      </c>
      <c r="H9" s="96">
        <f>G9/('Project Plan'!$E$3*1000)</f>
        <v>1.4659872611464968</v>
      </c>
      <c r="J9" s="99">
        <f t="shared" si="0"/>
        <v>-190830</v>
      </c>
      <c r="L9" s="89"/>
      <c r="M9" s="96">
        <f>L9/('Project Plan'!$E$3*1000)</f>
        <v>0</v>
      </c>
      <c r="O9" s="99">
        <f t="shared" si="1"/>
        <v>39330</v>
      </c>
    </row>
    <row r="10" spans="2:15">
      <c r="B10" s="86" t="s">
        <v>259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488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255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265</v>
      </c>
      <c r="C13" s="86"/>
      <c r="D13" s="89">
        <f>'Expenditure Breakdown'!AB15</f>
        <v>23770.5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483</v>
      </c>
      <c r="C15" s="92"/>
      <c r="D15" s="90">
        <f>SUM(D6:D13)</f>
        <v>488597.92</v>
      </c>
      <c r="E15" s="95"/>
      <c r="F15" s="95"/>
      <c r="G15" s="90">
        <f>SUM(G6:G13)</f>
        <v>775642.7699999999</v>
      </c>
      <c r="H15" s="96"/>
      <c r="J15" s="101">
        <f>SUM(J6:J14)</f>
        <v>-310815.34999999998</v>
      </c>
      <c r="L15" s="90">
        <f>SUM(L6:L13)</f>
        <v>0</v>
      </c>
      <c r="M15" s="96"/>
      <c r="O15" s="101">
        <f>SUM(O6:O14)</f>
        <v>464827.42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464</v>
      </c>
      <c r="C18" s="86"/>
      <c r="D18" s="90" t="s">
        <v>465</v>
      </c>
      <c r="E18" s="95"/>
      <c r="F18" s="95"/>
      <c r="G18" s="90" t="s">
        <v>489</v>
      </c>
      <c r="H18" s="96"/>
      <c r="J18" s="90" t="s">
        <v>467</v>
      </c>
      <c r="L18" s="90" t="s">
        <v>490</v>
      </c>
      <c r="M18" s="96"/>
      <c r="O18" s="90" t="s">
        <v>467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491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276727.82</v>
      </c>
    </row>
    <row r="21" spans="2:15" ht="13">
      <c r="B21" s="86" t="s">
        <v>492</v>
      </c>
      <c r="C21" s="86"/>
      <c r="D21" s="89">
        <f>'Expenditure Breakdown'!C55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48499.6</v>
      </c>
    </row>
    <row r="22" spans="2:15" ht="13">
      <c r="B22" s="86" t="s">
        <v>493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91770</v>
      </c>
    </row>
    <row r="23" spans="2:15" ht="13">
      <c r="B23" s="86" t="s">
        <v>494</v>
      </c>
      <c r="C23" s="86"/>
      <c r="D23" s="89">
        <f>SUM('Expenditure Breakdown'!G31:G32)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39330</v>
      </c>
    </row>
    <row r="24" spans="2:15">
      <c r="B24" s="86" t="s">
        <v>255</v>
      </c>
      <c r="C24" s="86"/>
      <c r="D24" s="89">
        <f>'Expenditure Breakdown'!G97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495</v>
      </c>
      <c r="C25" s="86"/>
      <c r="D25" s="89">
        <f>SUM('Expenditure Breakdown'!G82:G89)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259</v>
      </c>
      <c r="C26" s="86"/>
      <c r="D26" s="89">
        <f>'Expenditure Breakdown'!G91</f>
        <v>23770.5</v>
      </c>
      <c r="E26" s="98"/>
      <c r="F26" s="98"/>
      <c r="G26" s="89"/>
      <c r="H26" s="91"/>
      <c r="J26" s="99">
        <f t="shared" si="2"/>
        <v>23770.5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464827.42</v>
      </c>
    </row>
    <row r="32" spans="2:15" ht="13.5" thickBot="1">
      <c r="B32" s="102" t="s">
        <v>496</v>
      </c>
      <c r="C32" s="103"/>
      <c r="D32" s="103"/>
    </row>
    <row r="33" spans="2:4" ht="13" thickTop="1"/>
    <row r="34" spans="2:4">
      <c r="B34" s="88" t="s">
        <v>465</v>
      </c>
      <c r="D34" s="99">
        <f>D15</f>
        <v>488597.92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488597.92</v>
      </c>
    </row>
    <row r="41" spans="2:4" ht="13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1020" t="str">
        <f>D15</f>
        <v>SA Metal - 14 Christiaan_B</v>
      </c>
      <c r="C1" s="1020"/>
      <c r="D1" s="1020"/>
      <c r="E1" s="1019" t="s">
        <v>498</v>
      </c>
      <c r="F1" s="1019"/>
      <c r="G1" s="1019"/>
      <c r="H1" s="1019"/>
      <c r="I1" s="1019"/>
      <c r="J1" s="1019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- 14 Christiaan_B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1022F73-EB5A-4CA5-AEC5-946AF5B5E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18EE42-1DB5-4CB4-B51E-30B5B7CF60AA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Expenditure Tracking</vt:lpstr>
      <vt:lpstr>Data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