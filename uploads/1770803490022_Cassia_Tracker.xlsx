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3" documentId="13_ncr:1_{A2D2D105-4BAE-44B9-A8C1-68D3262F8D2D}" xr6:coauthVersionLast="47" xr6:coauthVersionMax="47" xr10:uidLastSave="{C8170914-E6B4-403F-BBB8-BC01BD0ADE44}"/>
  <bookViews>
    <workbookView xWindow="-28920" yWindow="855" windowWidth="29040" windowHeight="15720" tabRatio="710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10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4" i="6" s="1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L18" i="6" l="1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N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6" i="6" l="1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<sst xmlns="http://schemas.openxmlformats.org/spreadsheetml/2006/main" count="659" uniqueCount="363">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</sst>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13335.467500000028</c:v>
                </c:pt>
                <c:pt idx="56">
                  <c:v>13335.467500000028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4" t="s">
        <v>57</v>
      </c>
      <c r="E47" s="664"/>
      <c r="F47" s="665"/>
      <c r="G47" s="67"/>
      <c r="I47" s="68"/>
      <c r="J47" s="68"/>
    </row>
    <row r="48" spans="1:49" ht="14.45" thickBot="1">
      <c r="C48" s="69">
        <v>44014</v>
      </c>
      <c r="D48" s="666"/>
      <c r="E48" s="666"/>
      <c r="F48" s="66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8" t="s">
        <v>58</v>
      </c>
      <c r="C2" s="669"/>
      <c r="D2" s="669"/>
      <c r="E2" s="669"/>
      <c r="F2" s="67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68" t="s">
        <v>69</v>
      </c>
      <c r="C16" s="669"/>
      <c r="D16" s="669"/>
      <c r="E16" s="669"/>
      <c r="F16" s="67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abSelected="1" zoomScale="85" zoomScaleNormal="85" workbookViewId="0">
      <selection activeCell="J36" sqref="J36"/>
    </sheetView>
  </sheetViews>
  <sheetFormatPr defaultColWidth="8.5703125" defaultRowHeight="14.1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46063</v>
      </c>
      <c r="O1" s="404">
        <f ca="1">TODAY()</f>
        <v>46063</v>
      </c>
      <c r="Q1" s="3"/>
    </row>
    <row r="2" spans="2:28">
      <c r="B2" s="173"/>
      <c r="C2" s="174" t="s">
        <v>0</v>
      </c>
      <c r="D2" s="175"/>
      <c r="E2" s="671" t="s">
        <v>73</v>
      </c>
      <c r="F2" s="672"/>
      <c r="G2" s="672"/>
      <c r="H2" s="673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4" t="s">
        <v>76</v>
      </c>
      <c r="F4" s="675"/>
      <c r="G4" s="675"/>
      <c r="H4" s="676"/>
      <c r="J4" s="113"/>
      <c r="Q4" s="3"/>
    </row>
    <row r="5" spans="2:28" s="112" customFormat="1">
      <c r="B5" s="176"/>
      <c r="C5" s="177" t="s">
        <v>77</v>
      </c>
      <c r="D5" s="175"/>
      <c r="E5" s="674" t="s">
        <v>78</v>
      </c>
      <c r="F5" s="675"/>
      <c r="G5" s="675"/>
      <c r="H5" s="676"/>
      <c r="J5" s="113"/>
      <c r="Q5" s="3"/>
    </row>
    <row r="6" spans="2:28">
      <c r="B6" s="181"/>
      <c r="C6" s="182" t="s">
        <v>79</v>
      </c>
      <c r="D6" s="175"/>
      <c r="E6" s="677">
        <v>261790.45</v>
      </c>
      <c r="F6" s="678"/>
      <c r="G6" s="678"/>
      <c r="H6" s="679"/>
    </row>
    <row r="7" spans="2:28" s="112" customFormat="1">
      <c r="B7" s="164"/>
      <c r="C7" s="661" t="s">
        <v>80</v>
      </c>
      <c r="D7" s="662"/>
      <c r="E7" s="663" t="s">
        <v>54</v>
      </c>
      <c r="F7" s="165"/>
      <c r="G7" s="183"/>
      <c r="J7" s="113"/>
      <c r="Q7" s="3"/>
    </row>
    <row r="8" spans="2:28" ht="30" customHeight="1">
      <c r="B8" s="683" t="s">
        <v>81</v>
      </c>
      <c r="C8" s="684" t="s">
        <v>82</v>
      </c>
      <c r="D8" s="212"/>
      <c r="E8" s="682" t="s">
        <v>83</v>
      </c>
      <c r="F8" s="234" t="s">
        <v>84</v>
      </c>
      <c r="G8" s="682" t="s">
        <v>85</v>
      </c>
      <c r="H8" s="235"/>
      <c r="I8" s="682" t="s">
        <v>86</v>
      </c>
      <c r="J8" s="234" t="s">
        <v>84</v>
      </c>
      <c r="K8" s="682" t="s">
        <v>87</v>
      </c>
      <c r="M8" s="411" t="s">
        <v>60</v>
      </c>
      <c r="O8" s="680" t="s">
        <v>88</v>
      </c>
      <c r="Z8" s="112"/>
      <c r="AA8" s="112"/>
      <c r="AB8" s="112"/>
    </row>
    <row r="9" spans="2:28">
      <c r="B9" s="683"/>
      <c r="C9" s="684"/>
      <c r="D9" s="212"/>
      <c r="E9" s="682"/>
      <c r="F9" s="122"/>
      <c r="G9" s="682"/>
      <c r="H9" s="235"/>
      <c r="I9" s="682"/>
      <c r="J9" s="123"/>
      <c r="K9" s="682"/>
      <c r="M9" s="357">
        <f>AVERAGE(M11)</f>
        <v>1</v>
      </c>
      <c r="N9" s="371"/>
      <c r="O9" s="681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89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90</v>
      </c>
      <c r="C12" s="246" t="s">
        <v>91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92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93</v>
      </c>
      <c r="C14" s="246" t="s">
        <v>94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95</v>
      </c>
      <c r="C15" s="246" t="s">
        <v>96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97</v>
      </c>
      <c r="C16" s="246" t="s">
        <v>98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99</v>
      </c>
      <c r="C17" s="246" t="s">
        <v>100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101</v>
      </c>
      <c r="C18" s="246" t="s">
        <v>102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103</v>
      </c>
      <c r="C19" s="246" t="s">
        <v>104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105</v>
      </c>
      <c r="C20" s="246" t="s">
        <v>106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107</v>
      </c>
      <c r="C21" s="246" t="s">
        <v>108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109</v>
      </c>
      <c r="C22" s="246" t="s">
        <v>110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111</v>
      </c>
      <c r="C23" s="246" t="s">
        <v>112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113</v>
      </c>
      <c r="C24" s="246" t="s">
        <v>114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115</v>
      </c>
      <c r="C25" s="246" t="s">
        <v>116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zoomScaleNormal="100" workbookViewId="0">
      <selection activeCell="R6" sqref="R6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117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2.95">
      <c r="B3" s="117"/>
      <c r="D3" s="121" t="s">
        <v>118</v>
      </c>
      <c r="F3" s="121" t="s">
        <v>119</v>
      </c>
      <c r="J3" s="138"/>
      <c r="L3" s="409" t="s">
        <v>120</v>
      </c>
      <c r="N3" s="409" t="s">
        <v>121</v>
      </c>
      <c r="S3" s="138"/>
    </row>
    <row r="4" spans="1:21" s="93" customFormat="1" ht="12.95">
      <c r="B4" s="347">
        <v>1</v>
      </c>
      <c r="C4" s="348" t="s">
        <v>122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123</v>
      </c>
      <c r="Q4" s="126"/>
      <c r="S4" s="138"/>
    </row>
    <row r="5" spans="1:21" s="93" customFormat="1" ht="15" customHeight="1">
      <c r="B5" s="347">
        <v>2</v>
      </c>
      <c r="C5" s="348" t="s">
        <v>124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125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126</v>
      </c>
      <c r="S6" s="138"/>
    </row>
    <row r="7" spans="1:21" s="93" customFormat="1" ht="15" customHeight="1" thickBot="1">
      <c r="B7" s="347">
        <v>4</v>
      </c>
      <c r="C7" s="348" t="s">
        <v>127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2.95">
      <c r="B10" s="124" t="s">
        <v>128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1">
      <c r="B12" s="128" t="s">
        <v>81</v>
      </c>
      <c r="C12" s="129" t="s">
        <v>129</v>
      </c>
      <c r="D12" s="130"/>
      <c r="E12" s="128" t="s">
        <v>130</v>
      </c>
      <c r="F12" s="128" t="s">
        <v>131</v>
      </c>
      <c r="H12" s="352" t="s">
        <v>132</v>
      </c>
      <c r="J12" s="138"/>
      <c r="L12" s="163" t="s">
        <v>133</v>
      </c>
      <c r="M12" s="131"/>
      <c r="N12" s="163" t="s">
        <v>134</v>
      </c>
      <c r="O12" s="125"/>
      <c r="P12" s="163" t="s">
        <v>135</v>
      </c>
      <c r="R12" s="378" t="s">
        <v>136</v>
      </c>
      <c r="S12" s="138"/>
    </row>
    <row r="13" spans="1:21" s="93" customFormat="1" ht="12.95">
      <c r="B13" s="347">
        <v>1</v>
      </c>
      <c r="C13" s="685" t="s">
        <v>137</v>
      </c>
      <c r="D13" s="686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138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6">
      <c r="B14" s="151">
        <v>2</v>
      </c>
      <c r="C14" s="685" t="s">
        <v>139</v>
      </c>
      <c r="D14" s="686"/>
      <c r="E14" s="132"/>
      <c r="F14" s="133">
        <v>21815.870833333334</v>
      </c>
      <c r="G14" s="350"/>
      <c r="H14" s="135">
        <v>45852</v>
      </c>
      <c r="J14" s="138"/>
      <c r="L14" s="364" t="s">
        <v>138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6">
      <c r="B15" s="347">
        <v>3</v>
      </c>
      <c r="C15" s="685" t="s">
        <v>140</v>
      </c>
      <c r="D15" s="686"/>
      <c r="E15" s="132"/>
      <c r="F15" s="133">
        <v>21815.870833333334</v>
      </c>
      <c r="G15" s="350"/>
      <c r="H15" s="135">
        <v>45887</v>
      </c>
      <c r="J15" s="138"/>
      <c r="L15" s="364" t="s">
        <v>138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6">
      <c r="B16" s="347">
        <v>4</v>
      </c>
      <c r="C16" s="685" t="s">
        <v>140</v>
      </c>
      <c r="D16" s="686"/>
      <c r="E16" s="132"/>
      <c r="F16" s="133">
        <v>21815.870833333334</v>
      </c>
      <c r="G16" s="350"/>
      <c r="H16" s="135">
        <v>45916</v>
      </c>
      <c r="J16" s="138"/>
      <c r="L16" s="364" t="s">
        <v>138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6">
      <c r="B17" s="347">
        <v>5</v>
      </c>
      <c r="C17" s="687" t="s">
        <v>140</v>
      </c>
      <c r="D17" s="688"/>
      <c r="E17" s="132"/>
      <c r="F17" s="133">
        <v>21815.870833333334</v>
      </c>
      <c r="G17" s="350"/>
      <c r="H17" s="135">
        <v>45945</v>
      </c>
      <c r="J17" s="138"/>
      <c r="L17" s="364" t="s">
        <v>138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6">
      <c r="B18" s="347">
        <v>6</v>
      </c>
      <c r="C18" s="687" t="s">
        <v>140</v>
      </c>
      <c r="D18" s="688"/>
      <c r="E18" s="132"/>
      <c r="F18" s="133">
        <v>21815.870833333334</v>
      </c>
      <c r="G18" s="350"/>
      <c r="H18" s="135">
        <v>45976</v>
      </c>
      <c r="J18" s="138"/>
      <c r="L18" s="364" t="s">
        <v>138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6">
      <c r="B19" s="347">
        <v>7</v>
      </c>
      <c r="C19" s="687" t="s">
        <v>140</v>
      </c>
      <c r="D19" s="688"/>
      <c r="E19" s="132"/>
      <c r="F19" s="133">
        <v>21815.870833333334</v>
      </c>
      <c r="G19" s="350"/>
      <c r="H19" s="135">
        <v>46006</v>
      </c>
      <c r="J19" s="138"/>
      <c r="L19" s="364" t="s">
        <v>138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6">
      <c r="B20" s="347">
        <v>8</v>
      </c>
      <c r="C20" s="687" t="s">
        <v>140</v>
      </c>
      <c r="D20" s="688"/>
      <c r="E20" s="132"/>
      <c r="F20" s="133">
        <v>21815.870833333334</v>
      </c>
      <c r="G20" s="350"/>
      <c r="H20" s="135">
        <v>46037</v>
      </c>
      <c r="J20" s="138"/>
      <c r="L20" s="364" t="s">
        <v>138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6">
      <c r="B21" s="347">
        <v>9</v>
      </c>
      <c r="C21" s="687" t="s">
        <v>140</v>
      </c>
      <c r="D21" s="688"/>
      <c r="E21" s="132"/>
      <c r="F21" s="133">
        <v>21815.870833333334</v>
      </c>
      <c r="G21" s="350"/>
      <c r="H21" s="135">
        <v>46068</v>
      </c>
      <c r="J21" s="138"/>
      <c r="L21" s="364" t="s">
        <v>138</v>
      </c>
      <c r="N21" s="135">
        <v>45796</v>
      </c>
      <c r="O21" s="125"/>
      <c r="P21" s="135">
        <v>46068</v>
      </c>
      <c r="R21" s="379"/>
      <c r="S21" s="138"/>
    </row>
    <row r="22" spans="2:19" s="93" customFormat="1" ht="12.6">
      <c r="B22" s="347">
        <v>10</v>
      </c>
      <c r="C22" s="687" t="s">
        <v>140</v>
      </c>
      <c r="D22" s="688"/>
      <c r="E22" s="132"/>
      <c r="F22" s="133">
        <v>21815.870833333334</v>
      </c>
      <c r="G22" s="350"/>
      <c r="H22" s="135">
        <v>46096</v>
      </c>
      <c r="J22" s="138"/>
      <c r="L22" s="364" t="s">
        <v>138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6">
      <c r="B23" s="347">
        <v>11</v>
      </c>
      <c r="C23" s="687" t="s">
        <v>140</v>
      </c>
      <c r="D23" s="688"/>
      <c r="E23" s="132"/>
      <c r="F23" s="133">
        <v>21815.870833333334</v>
      </c>
      <c r="G23" s="350"/>
      <c r="H23" s="135">
        <v>46127</v>
      </c>
      <c r="J23" s="138"/>
      <c r="L23" s="364" t="s">
        <v>138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6">
      <c r="B24" s="347">
        <v>12</v>
      </c>
      <c r="C24" s="685" t="s">
        <v>140</v>
      </c>
      <c r="D24" s="686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138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2.9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141</v>
      </c>
      <c r="C28" s="142" t="s">
        <v>142</v>
      </c>
      <c r="D28" s="142"/>
      <c r="F28" s="143"/>
    </row>
    <row r="29" spans="2:19" s="93" customFormat="1" ht="12.6">
      <c r="C29" s="144" t="s">
        <v>143</v>
      </c>
      <c r="D29" s="145"/>
      <c r="F29" s="146"/>
    </row>
    <row r="30" spans="2:19" s="93" customFormat="1" ht="12.6">
      <c r="C30" s="144" t="s">
        <v>144</v>
      </c>
      <c r="D30" s="145"/>
    </row>
    <row r="31" spans="2:19" s="93" customFormat="1" ht="12.6">
      <c r="C31" s="147" t="s">
        <v>145</v>
      </c>
      <c r="D31" s="148"/>
    </row>
    <row r="32" spans="2:19" s="93" customFormat="1" ht="12.6">
      <c r="C32" s="149" t="s">
        <v>146</v>
      </c>
      <c r="D32" s="145"/>
    </row>
    <row r="33" spans="2:6" s="93" customFormat="1" ht="12.6">
      <c r="B33" s="117"/>
      <c r="C33" s="149" t="s">
        <v>147</v>
      </c>
      <c r="D33" s="145"/>
    </row>
    <row r="34" spans="2:6" s="93" customFormat="1" ht="12.6">
      <c r="B34" s="117"/>
      <c r="C34" s="93" t="s">
        <v>148</v>
      </c>
    </row>
    <row r="35" spans="2:6" s="93" customFormat="1" ht="27.75" customHeight="1">
      <c r="B35" s="117"/>
      <c r="C35" s="150" t="s">
        <v>149</v>
      </c>
      <c r="D35" s="150"/>
      <c r="F35" s="146"/>
    </row>
    <row r="36" spans="2:6" s="93" customFormat="1" ht="12.6">
      <c r="B36" s="117"/>
      <c r="F36" s="143"/>
    </row>
    <row r="37" spans="2:6" s="93" customFormat="1" ht="12.6">
      <c r="B37" s="117"/>
      <c r="F37" s="143"/>
    </row>
    <row r="38" spans="2:6" s="93" customFormat="1" ht="12.6">
      <c r="B38" s="117"/>
      <c r="F38" s="143"/>
    </row>
    <row r="39" spans="2:6" s="93" customFormat="1" ht="12.6">
      <c r="B39" s="117"/>
      <c r="F39" s="143"/>
    </row>
    <row r="40" spans="2:6" s="93" customFormat="1" ht="12.6">
      <c r="B40" s="117"/>
    </row>
    <row r="41" spans="2:6" s="93" customFormat="1" ht="12.6">
      <c r="B41" s="117"/>
    </row>
    <row r="42" spans="2:6" s="93" customFormat="1" ht="12.6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81</v>
      </c>
      <c r="C45" s="129" t="s">
        <v>129</v>
      </c>
      <c r="D45" s="130"/>
      <c r="E45" s="128" t="s">
        <v>130</v>
      </c>
      <c r="F45" s="128" t="s">
        <v>131</v>
      </c>
    </row>
    <row r="46" spans="2:6" s="93" customFormat="1" ht="12.75" hidden="1" customHeight="1">
      <c r="B46" s="151">
        <v>1</v>
      </c>
      <c r="C46" s="152" t="s">
        <v>150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151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152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153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154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6">
      <c r="B54" s="117"/>
    </row>
    <row r="55" spans="2:6" s="93" customFormat="1" ht="12.6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  <row r="221" spans="2:2" s="93" customFormat="1" ht="12.6">
      <c r="B221" s="117"/>
    </row>
    <row r="222" spans="2:2" s="93" customFormat="1" ht="12.6">
      <c r="B222" s="117"/>
    </row>
    <row r="223" spans="2:2" s="93" customFormat="1" ht="12.6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155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45" thickBot="1">
      <c r="A4" s="212"/>
      <c r="B4" s="689"/>
      <c r="C4" s="689"/>
      <c r="D4" s="689"/>
      <c r="E4" s="413"/>
      <c r="F4" s="217" t="s">
        <v>118</v>
      </c>
      <c r="G4" s="212"/>
      <c r="H4" s="217" t="s">
        <v>119</v>
      </c>
      <c r="I4" s="212"/>
      <c r="J4" s="218" t="s">
        <v>156</v>
      </c>
      <c r="K4" s="112"/>
      <c r="L4" s="112"/>
    </row>
    <row r="5" spans="1:12" ht="14.45" thickBot="1">
      <c r="A5" s="212"/>
      <c r="B5" s="690" t="s">
        <v>157</v>
      </c>
      <c r="C5" s="690"/>
      <c r="D5" s="690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45" thickBot="1">
      <c r="A7" s="212"/>
      <c r="B7" s="222" t="s">
        <v>81</v>
      </c>
      <c r="C7" s="223"/>
      <c r="D7" s="222" t="s">
        <v>158</v>
      </c>
      <c r="E7" s="223"/>
      <c r="F7" s="224" t="s">
        <v>159</v>
      </c>
      <c r="G7" s="225"/>
      <c r="H7" s="224" t="s">
        <v>160</v>
      </c>
      <c r="I7" s="225"/>
      <c r="J7" s="224" t="s">
        <v>161</v>
      </c>
      <c r="K7" s="169"/>
      <c r="L7" s="115" t="s">
        <v>162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163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164</v>
      </c>
      <c r="F2" s="83" t="s">
        <v>165</v>
      </c>
    </row>
    <row r="3" spans="3:8">
      <c r="C3" s="79">
        <v>45658</v>
      </c>
      <c r="D3" s="73" t="s">
        <v>166</v>
      </c>
      <c r="F3" s="81" t="s">
        <v>167</v>
      </c>
    </row>
    <row r="4" spans="3:8">
      <c r="C4" s="79">
        <v>45737</v>
      </c>
      <c r="D4" s="73" t="s">
        <v>168</v>
      </c>
      <c r="F4" s="81" t="s">
        <v>169</v>
      </c>
    </row>
    <row r="5" spans="3:8">
      <c r="C5" s="79">
        <v>45765</v>
      </c>
      <c r="D5" s="73" t="s">
        <v>170</v>
      </c>
      <c r="F5" s="81" t="s">
        <v>171</v>
      </c>
    </row>
    <row r="6" spans="3:8" ht="12.95" thickBot="1">
      <c r="C6" s="79">
        <v>45768</v>
      </c>
      <c r="D6" s="73" t="s">
        <v>172</v>
      </c>
      <c r="F6" s="82" t="s">
        <v>173</v>
      </c>
    </row>
    <row r="7" spans="3:8">
      <c r="C7" s="79">
        <v>45774</v>
      </c>
      <c r="D7" s="73" t="s">
        <v>174</v>
      </c>
    </row>
    <row r="8" spans="3:8">
      <c r="C8" s="79">
        <v>45765</v>
      </c>
      <c r="D8" s="73" t="s">
        <v>175</v>
      </c>
    </row>
    <row r="9" spans="3:8">
      <c r="C9" s="79">
        <v>45778</v>
      </c>
      <c r="D9" s="73" t="s">
        <v>176</v>
      </c>
    </row>
    <row r="10" spans="3:8">
      <c r="C10" s="79">
        <v>45824</v>
      </c>
      <c r="D10" s="73" t="s">
        <v>177</v>
      </c>
    </row>
    <row r="11" spans="3:8">
      <c r="C11" s="79">
        <v>45878</v>
      </c>
      <c r="D11" s="73" t="s">
        <v>178</v>
      </c>
    </row>
    <row r="12" spans="3:8">
      <c r="C12" s="79">
        <v>45924</v>
      </c>
      <c r="D12" s="73" t="s">
        <v>179</v>
      </c>
    </row>
    <row r="13" spans="3:8">
      <c r="C13" s="79">
        <v>46007</v>
      </c>
      <c r="D13" s="73" t="s">
        <v>180</v>
      </c>
      <c r="F13" s="85"/>
      <c r="H13" s="73" t="s">
        <v>181</v>
      </c>
    </row>
    <row r="14" spans="3:8">
      <c r="C14" s="79">
        <v>46016</v>
      </c>
      <c r="D14" s="73" t="s">
        <v>182</v>
      </c>
    </row>
    <row r="15" spans="3:8" ht="12.95" thickBot="1">
      <c r="C15" s="80">
        <v>46017</v>
      </c>
      <c r="D15" s="73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5" activePane="bottomLeft" state="frozen"/>
      <selection pane="bottomLeft" activeCell="V6" sqref="V6:V11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38" t="s">
        <v>184</v>
      </c>
      <c r="C2" s="739"/>
      <c r="D2" s="739"/>
      <c r="E2" s="739"/>
      <c r="F2" s="739"/>
      <c r="G2" s="739"/>
      <c r="H2" s="502"/>
      <c r="I2" s="253">
        <f>SUM(I6:I155)</f>
        <v>210304.07</v>
      </c>
      <c r="J2" s="253">
        <f>SUM(J6:J155)</f>
        <v>261790.44999999998</v>
      </c>
      <c r="L2" s="740" t="s">
        <v>185</v>
      </c>
      <c r="M2" s="741"/>
      <c r="N2" s="741"/>
      <c r="O2" s="741"/>
      <c r="P2" s="741"/>
      <c r="Q2" s="741"/>
      <c r="R2" s="742" t="s">
        <v>186</v>
      </c>
      <c r="S2" s="743"/>
      <c r="T2" s="743"/>
      <c r="U2" s="743"/>
      <c r="V2" s="743"/>
      <c r="W2" s="744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.6" thickBot="1">
      <c r="A4" s="162"/>
      <c r="B4" s="254" t="s">
        <v>187</v>
      </c>
      <c r="C4" s="255" t="s">
        <v>188</v>
      </c>
      <c r="D4" s="255" t="s">
        <v>189</v>
      </c>
      <c r="E4" s="255" t="s">
        <v>190</v>
      </c>
      <c r="F4" s="464" t="s">
        <v>191</v>
      </c>
      <c r="G4" s="256" t="s">
        <v>192</v>
      </c>
      <c r="H4" s="367" t="s">
        <v>193</v>
      </c>
      <c r="I4" s="257" t="s">
        <v>194</v>
      </c>
      <c r="J4" s="257" t="str">
        <f>IF(J2-'Revenue Tracking'!D4&gt;=0, "Total Revenue", "ERROR on REV" )</f>
        <v>ERROR on REV</v>
      </c>
      <c r="K4" s="162"/>
      <c r="L4" s="254" t="s">
        <v>187</v>
      </c>
      <c r="M4" s="255" t="s">
        <v>195</v>
      </c>
      <c r="N4" s="255" t="s">
        <v>189</v>
      </c>
      <c r="O4" s="255" t="s">
        <v>190</v>
      </c>
      <c r="P4" s="464" t="s">
        <v>191</v>
      </c>
      <c r="Q4" s="369" t="s">
        <v>196</v>
      </c>
      <c r="R4" s="489" t="s">
        <v>197</v>
      </c>
      <c r="S4" s="368" t="s">
        <v>133</v>
      </c>
      <c r="T4" s="367" t="s">
        <v>134</v>
      </c>
      <c r="U4" s="368" t="s">
        <v>198</v>
      </c>
      <c r="V4" s="369" t="s">
        <v>199</v>
      </c>
      <c r="W4" s="367" t="s">
        <v>193</v>
      </c>
      <c r="X4" s="479" t="s">
        <v>194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200</v>
      </c>
      <c r="D6" s="277"/>
      <c r="E6" s="278"/>
      <c r="F6" s="436"/>
      <c r="G6" s="391"/>
      <c r="H6" s="571"/>
      <c r="I6" s="691">
        <f>SUM(G6:G11)</f>
        <v>0</v>
      </c>
      <c r="J6" s="691"/>
      <c r="K6" s="388"/>
      <c r="L6" s="276">
        <v>1</v>
      </c>
      <c r="M6" s="416" t="s">
        <v>201</v>
      </c>
      <c r="N6" s="277"/>
      <c r="O6" s="549"/>
      <c r="P6" s="436"/>
      <c r="Q6" s="391"/>
      <c r="R6" s="587"/>
      <c r="S6" s="622"/>
      <c r="T6" s="503"/>
      <c r="U6" s="504"/>
      <c r="V6" s="703"/>
      <c r="W6" s="571"/>
      <c r="X6" s="694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2"/>
      <c r="J7" s="692"/>
      <c r="K7" s="283"/>
      <c r="L7" s="306">
        <v>1</v>
      </c>
      <c r="M7" s="308" t="s">
        <v>201</v>
      </c>
      <c r="N7" s="389"/>
      <c r="O7" s="550"/>
      <c r="P7" s="443"/>
      <c r="Q7" s="310"/>
      <c r="R7" s="588"/>
      <c r="S7" s="623"/>
      <c r="T7" s="521"/>
      <c r="U7" s="505"/>
      <c r="V7" s="704"/>
      <c r="W7" s="572"/>
      <c r="X7" s="695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2"/>
      <c r="J8" s="692"/>
      <c r="K8" s="283"/>
      <c r="L8" s="306">
        <v>1</v>
      </c>
      <c r="M8" s="308" t="s">
        <v>201</v>
      </c>
      <c r="N8" s="484"/>
      <c r="O8" s="551"/>
      <c r="P8" s="443"/>
      <c r="Q8" s="310"/>
      <c r="R8" s="588"/>
      <c r="S8" s="623"/>
      <c r="T8" s="521"/>
      <c r="U8" s="505"/>
      <c r="V8" s="704"/>
      <c r="W8" s="572"/>
      <c r="X8" s="695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2"/>
      <c r="J9" s="692"/>
      <c r="K9" s="283"/>
      <c r="L9" s="306">
        <v>1</v>
      </c>
      <c r="M9" s="308" t="s">
        <v>201</v>
      </c>
      <c r="N9" s="484"/>
      <c r="O9" s="551"/>
      <c r="P9" s="443"/>
      <c r="Q9" s="386"/>
      <c r="R9" s="589"/>
      <c r="S9" s="624"/>
      <c r="T9" s="522"/>
      <c r="U9" s="506"/>
      <c r="V9" s="704"/>
      <c r="W9" s="573"/>
      <c r="X9" s="695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2"/>
      <c r="J10" s="692"/>
      <c r="K10" s="283"/>
      <c r="L10" s="306">
        <v>1</v>
      </c>
      <c r="M10" s="308" t="s">
        <v>201</v>
      </c>
      <c r="N10" s="484"/>
      <c r="O10" s="551"/>
      <c r="P10" s="443"/>
      <c r="Q10" s="386"/>
      <c r="R10" s="589"/>
      <c r="S10" s="624"/>
      <c r="T10" s="522"/>
      <c r="U10" s="506"/>
      <c r="V10" s="704"/>
      <c r="W10" s="573"/>
      <c r="X10" s="695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3"/>
      <c r="J11" s="693"/>
      <c r="K11" s="284"/>
      <c r="L11" s="311">
        <v>1</v>
      </c>
      <c r="M11" s="418" t="s">
        <v>201</v>
      </c>
      <c r="N11" s="392"/>
      <c r="O11" s="552"/>
      <c r="P11" s="459"/>
      <c r="Q11" s="325"/>
      <c r="R11" s="590"/>
      <c r="S11" s="625"/>
      <c r="T11" s="523"/>
      <c r="U11" s="507"/>
      <c r="V11" s="705"/>
      <c r="W11" s="574"/>
      <c r="X11" s="696"/>
      <c r="Y11" s="605" t="s">
        <v>202</v>
      </c>
      <c r="Z11" s="606" t="s">
        <v>203</v>
      </c>
    </row>
    <row r="12" spans="1:76" ht="14.4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204</v>
      </c>
      <c r="Z12" s="608">
        <f>G52</f>
        <v>23485.1</v>
      </c>
    </row>
    <row r="13" spans="1:76" ht="14.25" customHeight="1">
      <c r="B13" s="288">
        <v>2</v>
      </c>
      <c r="C13" s="314" t="s">
        <v>205</v>
      </c>
      <c r="D13" s="314"/>
      <c r="E13" s="360"/>
      <c r="F13" s="456"/>
      <c r="G13" s="291"/>
      <c r="H13" s="576"/>
      <c r="I13" s="711">
        <f>SUM(G13:G19)</f>
        <v>0</v>
      </c>
      <c r="J13" s="711"/>
      <c r="K13" s="292"/>
      <c r="L13" s="288">
        <v>2</v>
      </c>
      <c r="M13" s="419" t="s">
        <v>206</v>
      </c>
      <c r="N13" s="314"/>
      <c r="O13" s="554"/>
      <c r="P13" s="456"/>
      <c r="Q13" s="291"/>
      <c r="R13" s="592"/>
      <c r="S13" s="627"/>
      <c r="T13" s="641"/>
      <c r="U13" s="509"/>
      <c r="V13" s="735">
        <f>J13-SUM(U13:U19)</f>
        <v>0</v>
      </c>
      <c r="W13" s="576"/>
      <c r="X13" s="714">
        <f>SUM(Q13:Q19)</f>
        <v>0</v>
      </c>
      <c r="Y13" s="607" t="s">
        <v>207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712"/>
      <c r="J14" s="712"/>
      <c r="K14" s="296"/>
      <c r="L14" s="293">
        <v>2</v>
      </c>
      <c r="M14" s="425" t="s">
        <v>206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36"/>
      <c r="W14" s="577"/>
      <c r="X14" s="715"/>
      <c r="Y14" s="607" t="s">
        <v>208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712"/>
      <c r="J15" s="712"/>
      <c r="K15" s="296"/>
      <c r="L15" s="293">
        <v>2</v>
      </c>
      <c r="M15" s="425" t="s">
        <v>206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36"/>
      <c r="W15" s="577"/>
      <c r="X15" s="715"/>
      <c r="Y15" s="607" t="s">
        <v>209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712"/>
      <c r="J16" s="712"/>
      <c r="K16" s="296"/>
      <c r="L16" s="293">
        <v>2</v>
      </c>
      <c r="M16" s="425" t="s">
        <v>206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36"/>
      <c r="W16" s="577"/>
      <c r="X16" s="715"/>
      <c r="Y16" s="607" t="s">
        <v>210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712"/>
      <c r="J17" s="712"/>
      <c r="K17" s="296"/>
      <c r="L17" s="293">
        <v>2</v>
      </c>
      <c r="M17" s="425" t="s">
        <v>206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36"/>
      <c r="W17" s="577"/>
      <c r="X17" s="715"/>
      <c r="Y17" s="607" t="s">
        <v>211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712"/>
      <c r="J18" s="712"/>
      <c r="K18" s="296"/>
      <c r="L18" s="293">
        <v>2</v>
      </c>
      <c r="M18" s="425" t="s">
        <v>206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36"/>
      <c r="W18" s="577"/>
      <c r="X18" s="715"/>
      <c r="Y18" s="607" t="s">
        <v>212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713"/>
      <c r="J19" s="713"/>
      <c r="K19" s="301"/>
      <c r="L19" s="395">
        <v>2</v>
      </c>
      <c r="M19" s="420" t="s">
        <v>206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37"/>
      <c r="W19" s="578"/>
      <c r="X19" s="716"/>
      <c r="Y19" s="607" t="s">
        <v>213</v>
      </c>
      <c r="Z19" s="608">
        <v>0</v>
      </c>
    </row>
    <row r="20" spans="1:26" ht="14.4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214</v>
      </c>
      <c r="D21" s="322"/>
      <c r="E21" s="278"/>
      <c r="F21" s="436"/>
      <c r="G21" s="279"/>
      <c r="H21" s="579"/>
      <c r="I21" s="691">
        <f>SUM(G21:G26)</f>
        <v>0</v>
      </c>
      <c r="J21" s="691"/>
      <c r="K21" s="280"/>
      <c r="L21" s="276">
        <v>3</v>
      </c>
      <c r="M21" s="421" t="s">
        <v>215</v>
      </c>
      <c r="N21" s="322"/>
      <c r="O21" s="549"/>
      <c r="P21" s="436"/>
      <c r="Q21" s="279"/>
      <c r="R21" s="595"/>
      <c r="S21" s="630"/>
      <c r="T21" s="528"/>
      <c r="U21" s="513"/>
      <c r="V21" s="703">
        <f>J21-SUM(U21:U26)</f>
        <v>0</v>
      </c>
      <c r="W21" s="579"/>
      <c r="X21" s="694">
        <f>SUM(Q21:Q26)</f>
        <v>0</v>
      </c>
      <c r="Y21" s="607" t="s">
        <v>216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2"/>
      <c r="J22" s="692"/>
      <c r="K22" s="283"/>
      <c r="L22" s="306">
        <v>3</v>
      </c>
      <c r="M22" s="422" t="s">
        <v>215</v>
      </c>
      <c r="N22" s="323"/>
      <c r="O22" s="550"/>
      <c r="P22" s="458"/>
      <c r="Q22" s="310"/>
      <c r="R22" s="588"/>
      <c r="S22" s="623"/>
      <c r="T22" s="521"/>
      <c r="U22" s="505"/>
      <c r="V22" s="704"/>
      <c r="W22" s="572"/>
      <c r="X22" s="695"/>
      <c r="Y22" s="607" t="s">
        <v>154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2"/>
      <c r="J23" s="692"/>
      <c r="K23" s="283"/>
      <c r="L23" s="306">
        <v>3</v>
      </c>
      <c r="M23" s="422" t="s">
        <v>215</v>
      </c>
      <c r="N23" s="323"/>
      <c r="O23" s="550"/>
      <c r="P23" s="458"/>
      <c r="Q23" s="310"/>
      <c r="R23" s="588"/>
      <c r="S23" s="623"/>
      <c r="T23" s="521"/>
      <c r="U23" s="505"/>
      <c r="V23" s="704"/>
      <c r="W23" s="572"/>
      <c r="X23" s="695"/>
      <c r="Y23" s="607" t="s">
        <v>217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2"/>
      <c r="J24" s="692"/>
      <c r="K24" s="283"/>
      <c r="L24" s="306">
        <v>3</v>
      </c>
      <c r="M24" s="422" t="s">
        <v>215</v>
      </c>
      <c r="N24" s="385"/>
      <c r="O24" s="551"/>
      <c r="P24" s="443"/>
      <c r="Q24" s="386"/>
      <c r="R24" s="589"/>
      <c r="S24" s="624"/>
      <c r="T24" s="522"/>
      <c r="U24" s="506"/>
      <c r="V24" s="704"/>
      <c r="W24" s="573"/>
      <c r="X24" s="695"/>
      <c r="Y24" s="612" t="s">
        <v>218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2"/>
      <c r="J25" s="692"/>
      <c r="K25" s="283"/>
      <c r="L25" s="306">
        <v>3</v>
      </c>
      <c r="M25" s="422" t="s">
        <v>215</v>
      </c>
      <c r="N25" s="385"/>
      <c r="O25" s="551"/>
      <c r="P25" s="443"/>
      <c r="Q25" s="386"/>
      <c r="R25" s="589"/>
      <c r="S25" s="624"/>
      <c r="T25" s="522"/>
      <c r="U25" s="506"/>
      <c r="V25" s="704"/>
      <c r="W25" s="573"/>
      <c r="X25" s="695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3"/>
      <c r="J26" s="693"/>
      <c r="K26" s="284"/>
      <c r="L26" s="311">
        <v>3</v>
      </c>
      <c r="M26" s="423" t="s">
        <v>215</v>
      </c>
      <c r="N26" s="324"/>
      <c r="O26" s="552"/>
      <c r="P26" s="459"/>
      <c r="Q26" s="325"/>
      <c r="R26" s="590"/>
      <c r="S26" s="625"/>
      <c r="T26" s="523"/>
      <c r="U26" s="507"/>
      <c r="V26" s="705"/>
      <c r="W26" s="574"/>
      <c r="X26" s="696"/>
      <c r="Y26" s="613" t="s">
        <v>119</v>
      </c>
      <c r="Z26" s="614" t="s">
        <v>219</v>
      </c>
    </row>
    <row r="27" spans="1:26" ht="14.4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207</v>
      </c>
      <c r="D28" s="289"/>
      <c r="E28" s="360"/>
      <c r="F28" s="456"/>
      <c r="G28" s="291"/>
      <c r="H28" s="576"/>
      <c r="I28" s="711">
        <f>SUM(G28:G42)</f>
        <v>0</v>
      </c>
      <c r="J28" s="711"/>
      <c r="K28" s="292"/>
      <c r="L28" s="288">
        <v>4</v>
      </c>
      <c r="M28" s="424" t="s">
        <v>220</v>
      </c>
      <c r="N28" s="289"/>
      <c r="O28" s="545"/>
      <c r="P28" s="456"/>
      <c r="Q28" s="291"/>
      <c r="R28" s="592"/>
      <c r="S28" s="627"/>
      <c r="T28" s="525"/>
      <c r="U28" s="509"/>
      <c r="V28" s="735">
        <f>J28-SUM(U28:U42)</f>
        <v>0</v>
      </c>
      <c r="W28" s="576"/>
      <c r="X28" s="714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712"/>
      <c r="J29" s="712"/>
      <c r="K29" s="296"/>
      <c r="L29" s="293">
        <v>4</v>
      </c>
      <c r="M29" s="425" t="s">
        <v>220</v>
      </c>
      <c r="N29" s="408"/>
      <c r="O29" s="546"/>
      <c r="P29" s="452"/>
      <c r="Q29" s="295"/>
      <c r="R29" s="593"/>
      <c r="S29" s="628"/>
      <c r="T29" s="526"/>
      <c r="U29" s="510"/>
      <c r="V29" s="736"/>
      <c r="W29" s="577"/>
      <c r="X29" s="715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712"/>
      <c r="J30" s="712"/>
      <c r="K30" s="296"/>
      <c r="L30" s="293">
        <v>4</v>
      </c>
      <c r="M30" s="425" t="s">
        <v>220</v>
      </c>
      <c r="N30" s="408"/>
      <c r="O30" s="546"/>
      <c r="P30" s="452"/>
      <c r="Q30" s="295"/>
      <c r="R30" s="593"/>
      <c r="S30" s="628"/>
      <c r="T30" s="526"/>
      <c r="U30" s="510"/>
      <c r="V30" s="736"/>
      <c r="W30" s="577"/>
      <c r="X30" s="715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712"/>
      <c r="J31" s="712"/>
      <c r="K31" s="296"/>
      <c r="L31" s="293">
        <v>4</v>
      </c>
      <c r="M31" s="425" t="s">
        <v>220</v>
      </c>
      <c r="N31" s="408"/>
      <c r="O31" s="555"/>
      <c r="P31" s="452"/>
      <c r="Q31" s="295"/>
      <c r="R31" s="593"/>
      <c r="S31" s="628"/>
      <c r="T31" s="526"/>
      <c r="U31" s="510"/>
      <c r="V31" s="736"/>
      <c r="W31" s="577"/>
      <c r="X31" s="715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712"/>
      <c r="J32" s="712"/>
      <c r="K32" s="296"/>
      <c r="L32" s="293">
        <v>4</v>
      </c>
      <c r="M32" s="425" t="s">
        <v>220</v>
      </c>
      <c r="N32" s="408"/>
      <c r="O32" s="565"/>
      <c r="P32" s="566"/>
      <c r="Q32" s="295"/>
      <c r="R32" s="593"/>
      <c r="S32" s="628"/>
      <c r="T32" s="526"/>
      <c r="U32" s="510"/>
      <c r="V32" s="736"/>
      <c r="W32" s="577"/>
      <c r="X32" s="715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712"/>
      <c r="J33" s="712"/>
      <c r="K33" s="296"/>
      <c r="L33" s="293">
        <v>4</v>
      </c>
      <c r="M33" s="425" t="s">
        <v>220</v>
      </c>
      <c r="N33" s="408"/>
      <c r="O33" s="555"/>
      <c r="P33" s="566"/>
      <c r="Q33" s="295"/>
      <c r="R33" s="593"/>
      <c r="S33" s="628"/>
      <c r="T33" s="526"/>
      <c r="U33" s="510"/>
      <c r="V33" s="736"/>
      <c r="W33" s="577"/>
      <c r="X33" s="715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712"/>
      <c r="J34" s="712"/>
      <c r="K34" s="296"/>
      <c r="L34" s="293">
        <v>4</v>
      </c>
      <c r="M34" s="425" t="s">
        <v>220</v>
      </c>
      <c r="N34" s="408"/>
      <c r="O34" s="555"/>
      <c r="P34" s="566"/>
      <c r="Q34" s="295"/>
      <c r="R34" s="593"/>
      <c r="S34" s="628"/>
      <c r="T34" s="526"/>
      <c r="U34" s="510"/>
      <c r="V34" s="736"/>
      <c r="W34" s="577"/>
      <c r="X34" s="715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712"/>
      <c r="J35" s="712"/>
      <c r="K35" s="296"/>
      <c r="L35" s="293">
        <v>4</v>
      </c>
      <c r="M35" s="425" t="s">
        <v>220</v>
      </c>
      <c r="N35" s="408"/>
      <c r="O35" s="555"/>
      <c r="P35" s="566"/>
      <c r="Q35" s="295"/>
      <c r="R35" s="593"/>
      <c r="S35" s="628"/>
      <c r="T35" s="526"/>
      <c r="U35" s="510"/>
      <c r="V35" s="736"/>
      <c r="W35" s="577"/>
      <c r="X35" s="715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712"/>
      <c r="J36" s="712"/>
      <c r="K36" s="296"/>
      <c r="L36" s="293">
        <v>4</v>
      </c>
      <c r="M36" s="425" t="s">
        <v>220</v>
      </c>
      <c r="N36" s="408"/>
      <c r="O36" s="555"/>
      <c r="P36" s="566"/>
      <c r="Q36" s="295"/>
      <c r="R36" s="593"/>
      <c r="S36" s="628"/>
      <c r="T36" s="526"/>
      <c r="U36" s="510"/>
      <c r="V36" s="736"/>
      <c r="W36" s="577"/>
      <c r="X36" s="715"/>
      <c r="Y36" s="615" t="s">
        <v>216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712"/>
      <c r="J37" s="712"/>
      <c r="K37" s="296"/>
      <c r="L37" s="293">
        <v>4</v>
      </c>
      <c r="M37" s="425" t="s">
        <v>220</v>
      </c>
      <c r="N37" s="408"/>
      <c r="O37" s="555"/>
      <c r="P37" s="566"/>
      <c r="Q37" s="295"/>
      <c r="R37" s="593"/>
      <c r="S37" s="628"/>
      <c r="T37" s="526"/>
      <c r="U37" s="510"/>
      <c r="V37" s="736"/>
      <c r="W37" s="577"/>
      <c r="X37" s="715"/>
      <c r="Y37" s="615" t="s">
        <v>216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712"/>
      <c r="J38" s="712"/>
      <c r="K38" s="296"/>
      <c r="L38" s="293">
        <v>4</v>
      </c>
      <c r="M38" s="425" t="s">
        <v>220</v>
      </c>
      <c r="N38" s="408"/>
      <c r="O38" s="555"/>
      <c r="P38" s="566"/>
      <c r="Q38" s="295"/>
      <c r="R38" s="593"/>
      <c r="S38" s="628"/>
      <c r="T38" s="526"/>
      <c r="U38" s="510"/>
      <c r="V38" s="736"/>
      <c r="W38" s="577"/>
      <c r="X38" s="715"/>
      <c r="Y38" s="615" t="s">
        <v>154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712"/>
      <c r="J39" s="712"/>
      <c r="K39" s="296"/>
      <c r="L39" s="293">
        <v>4</v>
      </c>
      <c r="M39" s="425" t="s">
        <v>220</v>
      </c>
      <c r="N39" s="408"/>
      <c r="O39" s="555"/>
      <c r="P39" s="566"/>
      <c r="Q39" s="295"/>
      <c r="R39" s="593"/>
      <c r="S39" s="628"/>
      <c r="T39" s="526"/>
      <c r="U39" s="510"/>
      <c r="V39" s="736"/>
      <c r="W39" s="577"/>
      <c r="X39" s="715"/>
      <c r="Y39" s="618" t="s">
        <v>218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712"/>
      <c r="J40" s="712"/>
      <c r="K40" s="296"/>
      <c r="L40" s="293">
        <v>4</v>
      </c>
      <c r="M40" s="425" t="s">
        <v>220</v>
      </c>
      <c r="N40" s="408"/>
      <c r="O40" s="555"/>
      <c r="P40" s="452"/>
      <c r="Q40" s="295"/>
      <c r="R40" s="593"/>
      <c r="S40" s="628"/>
      <c r="T40" s="526"/>
      <c r="U40" s="510"/>
      <c r="V40" s="736"/>
      <c r="W40" s="577"/>
      <c r="X40" s="715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712"/>
      <c r="J41" s="712"/>
      <c r="K41" s="296"/>
      <c r="L41" s="293">
        <v>4</v>
      </c>
      <c r="M41" s="425" t="s">
        <v>220</v>
      </c>
      <c r="N41" s="408"/>
      <c r="O41" s="555"/>
      <c r="P41" s="452"/>
      <c r="Q41" s="295"/>
      <c r="R41" s="593"/>
      <c r="S41" s="628"/>
      <c r="T41" s="526"/>
      <c r="U41" s="510"/>
      <c r="V41" s="736"/>
      <c r="W41" s="577"/>
      <c r="X41" s="715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713"/>
      <c r="J42" s="713"/>
      <c r="K42" s="301"/>
      <c r="L42" s="297">
        <v>4</v>
      </c>
      <c r="M42" s="426" t="s">
        <v>220</v>
      </c>
      <c r="N42" s="320"/>
      <c r="O42" s="556"/>
      <c r="P42" s="454"/>
      <c r="Q42" s="300"/>
      <c r="R42" s="594"/>
      <c r="S42" s="629"/>
      <c r="T42" s="527"/>
      <c r="U42" s="511"/>
      <c r="V42" s="737"/>
      <c r="W42" s="578"/>
      <c r="X42" s="716"/>
      <c r="Y42" s="481"/>
    </row>
    <row r="43" spans="1:26" ht="14.4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221</v>
      </c>
      <c r="D44" s="322"/>
      <c r="E44" s="278"/>
      <c r="F44" s="436"/>
      <c r="G44" s="279"/>
      <c r="H44" s="579"/>
      <c r="I44" s="691">
        <f>SUM(G44:G50)</f>
        <v>0</v>
      </c>
      <c r="J44" s="691"/>
      <c r="K44" s="280"/>
      <c r="L44" s="276">
        <v>5</v>
      </c>
      <c r="M44" s="421" t="s">
        <v>222</v>
      </c>
      <c r="N44" s="322"/>
      <c r="O44" s="549"/>
      <c r="P44" s="436"/>
      <c r="Q44" s="279"/>
      <c r="R44" s="595"/>
      <c r="S44" s="630"/>
      <c r="T44" s="642"/>
      <c r="U44" s="513"/>
      <c r="V44" s="703">
        <f>J44-SUM(U44:U50)</f>
        <v>0</v>
      </c>
      <c r="W44" s="579"/>
      <c r="X44" s="694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2"/>
      <c r="J45" s="692"/>
      <c r="K45" s="283"/>
      <c r="L45" s="281">
        <v>5</v>
      </c>
      <c r="M45" s="427" t="s">
        <v>222</v>
      </c>
      <c r="N45" s="282"/>
      <c r="O45" s="557"/>
      <c r="P45" s="451"/>
      <c r="Q45" s="310"/>
      <c r="R45" s="588"/>
      <c r="S45" s="623"/>
      <c r="T45" s="639"/>
      <c r="U45" s="505"/>
      <c r="V45" s="704"/>
      <c r="W45" s="537"/>
      <c r="X45" s="695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2"/>
      <c r="J46" s="692"/>
      <c r="K46" s="283"/>
      <c r="L46" s="281">
        <v>5</v>
      </c>
      <c r="M46" s="427" t="s">
        <v>222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04"/>
      <c r="W46" s="572"/>
      <c r="X46" s="695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2"/>
      <c r="J47" s="692"/>
      <c r="K47" s="283"/>
      <c r="L47" s="306">
        <v>5</v>
      </c>
      <c r="M47" s="427" t="s">
        <v>222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04"/>
      <c r="W47" s="572"/>
      <c r="X47" s="695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2"/>
      <c r="J48" s="692"/>
      <c r="K48" s="283"/>
      <c r="L48" s="306">
        <v>5</v>
      </c>
      <c r="M48" s="427" t="s">
        <v>222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04"/>
      <c r="W48" s="573"/>
      <c r="X48" s="695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2"/>
      <c r="J49" s="692"/>
      <c r="K49" s="283"/>
      <c r="L49" s="306">
        <v>5</v>
      </c>
      <c r="M49" s="427" t="s">
        <v>222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04"/>
      <c r="W49" s="573"/>
      <c r="X49" s="695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3"/>
      <c r="J50" s="693"/>
      <c r="K50" s="284"/>
      <c r="L50" s="311">
        <v>5</v>
      </c>
      <c r="M50" s="423" t="s">
        <v>222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05"/>
      <c r="W50" s="574"/>
      <c r="X50" s="696"/>
      <c r="Y50" s="481"/>
    </row>
    <row r="51" spans="1:25" ht="14.4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204</v>
      </c>
      <c r="D52" s="290" t="s">
        <v>223</v>
      </c>
      <c r="E52" s="474"/>
      <c r="F52" s="456"/>
      <c r="G52" s="291">
        <v>23485.1</v>
      </c>
      <c r="H52" s="539">
        <f>H86</f>
        <v>45750</v>
      </c>
      <c r="I52" s="711">
        <f>SUM(G52:G64)</f>
        <v>23485.1</v>
      </c>
      <c r="J52" s="711">
        <v>29356.37</v>
      </c>
      <c r="K52" s="292"/>
      <c r="L52" s="288">
        <v>6</v>
      </c>
      <c r="M52" s="430" t="s">
        <v>224</v>
      </c>
      <c r="N52" s="290" t="s">
        <v>225</v>
      </c>
      <c r="O52" s="645">
        <v>44635.5</v>
      </c>
      <c r="P52" s="648">
        <v>0.5</v>
      </c>
      <c r="Q52" s="291">
        <f>$O$52*P52</f>
        <v>22317.75</v>
      </c>
      <c r="R52" s="729" t="s">
        <v>226</v>
      </c>
      <c r="S52" s="627" t="s">
        <v>227</v>
      </c>
      <c r="T52" s="641">
        <v>45777</v>
      </c>
      <c r="U52" s="650">
        <v>14678.184999999999</v>
      </c>
      <c r="V52" s="735">
        <f>J52-SUM(U52:U64)</f>
        <v>0</v>
      </c>
      <c r="W52" s="539">
        <f>W86</f>
        <v>45750</v>
      </c>
      <c r="X52" s="714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712"/>
      <c r="J53" s="712"/>
      <c r="K53" s="296"/>
      <c r="L53" s="293">
        <v>6</v>
      </c>
      <c r="M53" s="428" t="s">
        <v>224</v>
      </c>
      <c r="N53" s="442" t="s">
        <v>228</v>
      </c>
      <c r="O53" s="555"/>
      <c r="P53" s="566">
        <v>0.25</v>
      </c>
      <c r="Q53" s="316">
        <f t="shared" ref="Q53:Q55" si="2">$O$52*P53</f>
        <v>11158.875</v>
      </c>
      <c r="R53" s="730"/>
      <c r="S53" s="628" t="s">
        <v>229</v>
      </c>
      <c r="T53" s="649">
        <v>45777</v>
      </c>
      <c r="U53" s="651">
        <v>7339.0924999999997</v>
      </c>
      <c r="V53" s="736"/>
      <c r="W53" s="540">
        <f>W87</f>
        <v>45764</v>
      </c>
      <c r="X53" s="715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712"/>
      <c r="J54" s="712"/>
      <c r="K54" s="296"/>
      <c r="L54" s="293">
        <v>6</v>
      </c>
      <c r="M54" s="428" t="s">
        <v>224</v>
      </c>
      <c r="N54" s="408" t="s">
        <v>230</v>
      </c>
      <c r="O54" s="565"/>
      <c r="P54" s="566">
        <v>0.2</v>
      </c>
      <c r="Q54" s="295">
        <f t="shared" si="2"/>
        <v>8927.1</v>
      </c>
      <c r="R54" s="730"/>
      <c r="S54" s="628" t="s">
        <v>231</v>
      </c>
      <c r="T54" s="649">
        <v>45777</v>
      </c>
      <c r="U54" s="651">
        <v>5871.2740000000003</v>
      </c>
      <c r="V54" s="736"/>
      <c r="W54" s="540">
        <f t="shared" ref="W54:W55" si="4">W88</f>
        <v>45764</v>
      </c>
      <c r="X54" s="715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712"/>
      <c r="J55" s="712"/>
      <c r="K55" s="296"/>
      <c r="L55" s="293">
        <v>6</v>
      </c>
      <c r="M55" s="429" t="s">
        <v>224</v>
      </c>
      <c r="N55" s="408" t="s">
        <v>232</v>
      </c>
      <c r="O55" s="555"/>
      <c r="P55" s="566">
        <v>0.05</v>
      </c>
      <c r="Q55" s="295">
        <f t="shared" si="2"/>
        <v>2231.7750000000001</v>
      </c>
      <c r="R55" s="731"/>
      <c r="S55" s="628" t="s">
        <v>233</v>
      </c>
      <c r="T55" s="649">
        <v>45808</v>
      </c>
      <c r="U55" s="657">
        <v>1467.8185000000001</v>
      </c>
      <c r="V55" s="736"/>
      <c r="W55" s="540">
        <f t="shared" si="4"/>
        <v>45813</v>
      </c>
      <c r="X55" s="715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712"/>
      <c r="J56" s="712"/>
      <c r="K56" s="296"/>
      <c r="L56" s="293">
        <v>6</v>
      </c>
      <c r="M56" s="429" t="s">
        <v>224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36"/>
      <c r="W56" s="577"/>
      <c r="X56" s="715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712"/>
      <c r="J57" s="712"/>
      <c r="K57" s="296"/>
      <c r="L57" s="293">
        <v>6</v>
      </c>
      <c r="M57" s="429" t="s">
        <v>224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36"/>
      <c r="W57" s="577"/>
      <c r="X57" s="715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712"/>
      <c r="J58" s="712"/>
      <c r="K58" s="296"/>
      <c r="L58" s="293">
        <v>6</v>
      </c>
      <c r="M58" s="429" t="s">
        <v>224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36"/>
      <c r="W58" s="577"/>
      <c r="X58" s="715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712"/>
      <c r="J59" s="712"/>
      <c r="K59" s="296"/>
      <c r="L59" s="293">
        <v>6</v>
      </c>
      <c r="M59" s="429" t="s">
        <v>224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36"/>
      <c r="W59" s="577"/>
      <c r="X59" s="715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712"/>
      <c r="J60" s="712"/>
      <c r="K60" s="296"/>
      <c r="L60" s="293">
        <v>6</v>
      </c>
      <c r="M60" s="429" t="s">
        <v>224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36"/>
      <c r="W60" s="577"/>
      <c r="X60" s="715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712"/>
      <c r="J61" s="712"/>
      <c r="K61" s="296"/>
      <c r="L61" s="293">
        <v>6</v>
      </c>
      <c r="M61" s="429" t="s">
        <v>224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36"/>
      <c r="W61" s="577"/>
      <c r="X61" s="715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712"/>
      <c r="J62" s="712"/>
      <c r="K62" s="296"/>
      <c r="L62" s="293">
        <v>6</v>
      </c>
      <c r="M62" s="429" t="s">
        <v>224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36"/>
      <c r="W62" s="580"/>
      <c r="X62" s="715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712"/>
      <c r="J63" s="712"/>
      <c r="K63" s="296"/>
      <c r="L63" s="293">
        <v>6</v>
      </c>
      <c r="M63" s="429" t="s">
        <v>224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36"/>
      <c r="W63" s="580"/>
      <c r="X63" s="715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713"/>
      <c r="J64" s="713"/>
      <c r="K64" s="301"/>
      <c r="L64" s="297">
        <v>6</v>
      </c>
      <c r="M64" s="431" t="s">
        <v>224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37"/>
      <c r="W64" s="578"/>
      <c r="X64" s="716"/>
      <c r="Y64" s="481"/>
    </row>
    <row r="65" spans="1:25" ht="14.4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234</v>
      </c>
      <c r="D66" s="381"/>
      <c r="E66" s="461"/>
      <c r="F66" s="467"/>
      <c r="G66" s="382"/>
      <c r="H66" s="582"/>
      <c r="I66" s="691">
        <f>SUM(G66:G73)</f>
        <v>0</v>
      </c>
      <c r="J66" s="691"/>
      <c r="K66" s="280"/>
      <c r="L66" s="380">
        <v>7</v>
      </c>
      <c r="M66" s="304" t="s">
        <v>235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32">
        <f>J66-SUM(U66:U73)</f>
        <v>0</v>
      </c>
      <c r="W66" s="582"/>
      <c r="X66" s="694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2"/>
      <c r="J67" s="692"/>
      <c r="K67" s="283"/>
      <c r="L67" s="383">
        <v>7</v>
      </c>
      <c r="M67" s="384" t="s">
        <v>235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33"/>
      <c r="W67" s="573"/>
      <c r="X67" s="695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2"/>
      <c r="J68" s="692"/>
      <c r="K68" s="283"/>
      <c r="L68" s="383">
        <v>7</v>
      </c>
      <c r="M68" s="384" t="s">
        <v>235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33"/>
      <c r="W68" s="573"/>
      <c r="X68" s="695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2"/>
      <c r="J69" s="692"/>
      <c r="K69" s="283"/>
      <c r="L69" s="383">
        <v>7</v>
      </c>
      <c r="M69" s="384" t="s">
        <v>235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33"/>
      <c r="W69" s="573"/>
      <c r="X69" s="695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2"/>
      <c r="J70" s="692"/>
      <c r="K70" s="283"/>
      <c r="L70" s="383">
        <v>7</v>
      </c>
      <c r="M70" s="384" t="s">
        <v>235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33"/>
      <c r="W70" s="573"/>
      <c r="X70" s="695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2"/>
      <c r="J71" s="692"/>
      <c r="K71" s="283"/>
      <c r="L71" s="383">
        <v>7</v>
      </c>
      <c r="M71" s="384" t="s">
        <v>235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33"/>
      <c r="W71" s="573"/>
      <c r="X71" s="695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2"/>
      <c r="J72" s="692"/>
      <c r="K72" s="283"/>
      <c r="L72" s="383">
        <v>7</v>
      </c>
      <c r="M72" s="384" t="s">
        <v>235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33"/>
      <c r="W72" s="573"/>
      <c r="X72" s="695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3"/>
      <c r="J73" s="693"/>
      <c r="K73" s="284"/>
      <c r="L73" s="311">
        <v>7</v>
      </c>
      <c r="M73" s="332" t="s">
        <v>235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34"/>
      <c r="W73" s="574"/>
      <c r="X73" s="696"/>
      <c r="Y73" s="481"/>
    </row>
    <row r="74" spans="1:25" ht="14.4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236</v>
      </c>
      <c r="D75" s="328" t="s">
        <v>237</v>
      </c>
      <c r="E75" s="462"/>
      <c r="F75" s="415"/>
      <c r="G75" s="329">
        <v>150000</v>
      </c>
      <c r="H75" s="539">
        <f>H86</f>
        <v>45750</v>
      </c>
      <c r="I75" s="711">
        <f>SUM(G75:G83)</f>
        <v>172000</v>
      </c>
      <c r="J75" s="711">
        <f>215000</f>
        <v>215000</v>
      </c>
      <c r="K75" s="292"/>
      <c r="L75" s="327">
        <v>8</v>
      </c>
      <c r="M75" s="424" t="s">
        <v>238</v>
      </c>
      <c r="N75" s="328" t="s">
        <v>225</v>
      </c>
      <c r="O75" s="415">
        <v>19440.5</v>
      </c>
      <c r="P75" s="646">
        <v>0.5</v>
      </c>
      <c r="Q75" s="329">
        <f>$O$75*P75</f>
        <v>9720.25</v>
      </c>
      <c r="R75" s="729" t="s">
        <v>226</v>
      </c>
      <c r="S75" s="627" t="s">
        <v>227</v>
      </c>
      <c r="T75" s="641">
        <v>45777</v>
      </c>
      <c r="U75" s="650">
        <v>28241.411915358483</v>
      </c>
      <c r="V75" s="723">
        <f>J75-SUM(U75:U83)</f>
        <v>0</v>
      </c>
      <c r="W75" s="539">
        <f>W86</f>
        <v>45750</v>
      </c>
      <c r="X75" s="714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239</v>
      </c>
      <c r="E76" s="414"/>
      <c r="F76" s="460"/>
      <c r="G76" s="319">
        <v>22000</v>
      </c>
      <c r="H76" s="540">
        <f>H87</f>
        <v>45764</v>
      </c>
      <c r="I76" s="712"/>
      <c r="J76" s="712"/>
      <c r="K76" s="296"/>
      <c r="L76" s="317">
        <v>8</v>
      </c>
      <c r="M76" s="432" t="s">
        <v>238</v>
      </c>
      <c r="N76" s="330" t="s">
        <v>228</v>
      </c>
      <c r="O76" s="558"/>
      <c r="P76" s="647">
        <v>0.25</v>
      </c>
      <c r="Q76" s="319">
        <f t="shared" ref="Q76:Q78" si="7">$O$75*P76</f>
        <v>4860.125</v>
      </c>
      <c r="R76" s="730"/>
      <c r="S76" s="628" t="s">
        <v>229</v>
      </c>
      <c r="T76" s="649">
        <v>45777</v>
      </c>
      <c r="U76" s="651">
        <v>14120.705957679242</v>
      </c>
      <c r="V76" s="724"/>
      <c r="W76" s="540">
        <f>W87</f>
        <v>45764</v>
      </c>
      <c r="X76" s="715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712"/>
      <c r="J77" s="712"/>
      <c r="K77" s="296"/>
      <c r="L77" s="317">
        <v>8</v>
      </c>
      <c r="M77" s="432" t="s">
        <v>238</v>
      </c>
      <c r="N77" s="330" t="s">
        <v>230</v>
      </c>
      <c r="O77" s="558"/>
      <c r="P77" s="647">
        <v>0.2</v>
      </c>
      <c r="Q77" s="319">
        <f t="shared" si="7"/>
        <v>3888.1000000000004</v>
      </c>
      <c r="R77" s="730"/>
      <c r="S77" s="628" t="s">
        <v>231</v>
      </c>
      <c r="T77" s="649">
        <v>45777</v>
      </c>
      <c r="U77" s="651">
        <v>11296.564766143396</v>
      </c>
      <c r="V77" s="724"/>
      <c r="W77" s="540">
        <f t="shared" ref="W77:W78" si="9">W88</f>
        <v>45764</v>
      </c>
      <c r="X77" s="715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712"/>
      <c r="J78" s="712"/>
      <c r="K78" s="296"/>
      <c r="L78" s="317">
        <v>8</v>
      </c>
      <c r="M78" s="432" t="s">
        <v>238</v>
      </c>
      <c r="N78" s="330" t="s">
        <v>232</v>
      </c>
      <c r="O78" s="558"/>
      <c r="P78" s="647">
        <v>0.05</v>
      </c>
      <c r="Q78" s="319">
        <f t="shared" si="7"/>
        <v>972.02500000000009</v>
      </c>
      <c r="R78" s="731"/>
      <c r="S78" s="628" t="s">
        <v>233</v>
      </c>
      <c r="T78" s="649">
        <v>45808</v>
      </c>
      <c r="U78" s="657">
        <v>2824.141191535849</v>
      </c>
      <c r="V78" s="724"/>
      <c r="W78" s="540">
        <f t="shared" si="9"/>
        <v>45813</v>
      </c>
      <c r="X78" s="715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712"/>
      <c r="J79" s="712"/>
      <c r="K79" s="296"/>
      <c r="L79" s="317">
        <v>8</v>
      </c>
      <c r="M79" s="432" t="s">
        <v>238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24"/>
      <c r="W79" s="577"/>
      <c r="X79" s="715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712"/>
      <c r="J80" s="712"/>
      <c r="K80" s="296"/>
      <c r="L80" s="317">
        <v>8</v>
      </c>
      <c r="M80" s="432" t="s">
        <v>238</v>
      </c>
      <c r="N80" s="330" t="s">
        <v>240</v>
      </c>
      <c r="O80" s="558"/>
      <c r="P80" s="460"/>
      <c r="Q80" s="319">
        <v>43190.78</v>
      </c>
      <c r="R80" s="593" t="s">
        <v>241</v>
      </c>
      <c r="S80" s="628" t="s">
        <v>242</v>
      </c>
      <c r="T80" s="649">
        <v>45777</v>
      </c>
      <c r="U80" s="651">
        <v>125487.37007027875</v>
      </c>
      <c r="V80" s="724"/>
      <c r="W80" s="540">
        <v>45806</v>
      </c>
      <c r="X80" s="715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712"/>
      <c r="J81" s="712"/>
      <c r="K81" s="296"/>
      <c r="L81" s="317">
        <v>8</v>
      </c>
      <c r="M81" s="432" t="s">
        <v>238</v>
      </c>
      <c r="N81" s="330" t="s">
        <v>243</v>
      </c>
      <c r="O81" s="558"/>
      <c r="P81" s="460"/>
      <c r="Q81" s="319">
        <v>8598.34</v>
      </c>
      <c r="R81" s="593" t="s">
        <v>241</v>
      </c>
      <c r="S81" s="628" t="s">
        <v>242</v>
      </c>
      <c r="T81" s="652">
        <v>45777</v>
      </c>
      <c r="U81" s="651">
        <v>24981.791798390321</v>
      </c>
      <c r="V81" s="724"/>
      <c r="W81" s="540">
        <f>W80</f>
        <v>45806</v>
      </c>
      <c r="X81" s="715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712"/>
      <c r="J82" s="712"/>
      <c r="K82" s="296"/>
      <c r="L82" s="317">
        <v>8</v>
      </c>
      <c r="M82" s="432" t="s">
        <v>238</v>
      </c>
      <c r="N82" s="330" t="s">
        <v>244</v>
      </c>
      <c r="O82" s="558"/>
      <c r="P82" s="460"/>
      <c r="Q82" s="319">
        <v>2770</v>
      </c>
      <c r="R82" s="597" t="s">
        <v>245</v>
      </c>
      <c r="S82" s="632" t="s">
        <v>246</v>
      </c>
      <c r="T82" s="653">
        <v>45777</v>
      </c>
      <c r="U82" s="654">
        <v>8048.014300613977</v>
      </c>
      <c r="V82" s="724"/>
      <c r="W82" s="541">
        <v>45777</v>
      </c>
      <c r="X82" s="715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713"/>
      <c r="J83" s="713"/>
      <c r="K83" s="301"/>
      <c r="L83" s="297">
        <v>8</v>
      </c>
      <c r="M83" s="431" t="s">
        <v>238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25"/>
      <c r="W83" s="578"/>
      <c r="X83" s="716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247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248</v>
      </c>
      <c r="D85" s="322" t="s">
        <v>249</v>
      </c>
      <c r="E85" s="309"/>
      <c r="F85" s="436"/>
      <c r="G85" s="620">
        <v>4500</v>
      </c>
      <c r="H85" s="579">
        <v>45764</v>
      </c>
      <c r="I85" s="717">
        <f>SUM(G85:G96)</f>
        <v>14818.97</v>
      </c>
      <c r="J85" s="691">
        <f>5294.12+12139.96</f>
        <v>17434.079999999998</v>
      </c>
      <c r="K85" s="283"/>
      <c r="L85" s="306">
        <v>9</v>
      </c>
      <c r="M85" s="422" t="s">
        <v>250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03">
        <f>J85-SUM(U85:U96)</f>
        <v>0</v>
      </c>
      <c r="W85" s="579"/>
      <c r="X85" s="720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251</v>
      </c>
      <c r="E86" s="309"/>
      <c r="F86" s="458"/>
      <c r="G86" s="310">
        <v>10318.969999999999</v>
      </c>
      <c r="H86" s="537">
        <v>45750</v>
      </c>
      <c r="I86" s="718"/>
      <c r="J86" s="692"/>
      <c r="K86" s="283"/>
      <c r="L86" s="306">
        <v>9</v>
      </c>
      <c r="M86" s="422" t="s">
        <v>250</v>
      </c>
      <c r="N86" s="323" t="s">
        <v>225</v>
      </c>
      <c r="O86" s="568">
        <f>128091.5-O52-O75</f>
        <v>64015.5</v>
      </c>
      <c r="P86" s="569">
        <v>0.5</v>
      </c>
      <c r="Q86" s="310">
        <f>64045.5-Q52-Q75</f>
        <v>32007.5</v>
      </c>
      <c r="R86" s="726" t="s">
        <v>226</v>
      </c>
      <c r="S86" s="623" t="s">
        <v>227</v>
      </c>
      <c r="T86" s="640">
        <v>45777</v>
      </c>
      <c r="U86" s="655">
        <v>8717.0059571742659</v>
      </c>
      <c r="V86" s="704"/>
      <c r="W86" s="537">
        <v>45750</v>
      </c>
      <c r="X86" s="721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18"/>
      <c r="J87" s="692"/>
      <c r="K87" s="283"/>
      <c r="L87" s="383">
        <v>9</v>
      </c>
      <c r="M87" s="501" t="s">
        <v>250</v>
      </c>
      <c r="N87" s="323" t="s">
        <v>228</v>
      </c>
      <c r="O87" s="551"/>
      <c r="P87" s="567">
        <v>0.25</v>
      </c>
      <c r="Q87" s="310">
        <f>$O$86*P87</f>
        <v>16003.875</v>
      </c>
      <c r="R87" s="727"/>
      <c r="S87" s="623" t="s">
        <v>229</v>
      </c>
      <c r="T87" s="640">
        <v>45777</v>
      </c>
      <c r="U87" s="656">
        <v>4358.5370214128661</v>
      </c>
      <c r="V87" s="704"/>
      <c r="W87" s="538">
        <v>45764</v>
      </c>
      <c r="X87" s="721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18"/>
      <c r="J88" s="692"/>
      <c r="K88" s="283"/>
      <c r="L88" s="383">
        <v>9</v>
      </c>
      <c r="M88" s="501" t="s">
        <v>250</v>
      </c>
      <c r="N88" s="385" t="s">
        <v>230</v>
      </c>
      <c r="O88" s="551"/>
      <c r="P88" s="567">
        <v>0.2</v>
      </c>
      <c r="Q88" s="310">
        <f>P88*O86</f>
        <v>12803.1</v>
      </c>
      <c r="R88" s="727"/>
      <c r="S88" s="623" t="s">
        <v>231</v>
      </c>
      <c r="T88" s="640">
        <v>45777</v>
      </c>
      <c r="U88" s="656">
        <v>3486.8296171302932</v>
      </c>
      <c r="V88" s="704"/>
      <c r="W88" s="538">
        <v>45764</v>
      </c>
      <c r="X88" s="721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18"/>
      <c r="J89" s="692"/>
      <c r="K89" s="283"/>
      <c r="L89" s="383">
        <v>9</v>
      </c>
      <c r="M89" s="501" t="s">
        <v>250</v>
      </c>
      <c r="N89" s="385" t="s">
        <v>232</v>
      </c>
      <c r="O89" s="551"/>
      <c r="P89" s="567">
        <v>0.05</v>
      </c>
      <c r="Q89" s="310">
        <f>P89*O86</f>
        <v>3200.7750000000001</v>
      </c>
      <c r="R89" s="728"/>
      <c r="S89" s="624" t="s">
        <v>233</v>
      </c>
      <c r="T89" s="640">
        <v>45808</v>
      </c>
      <c r="U89" s="658">
        <v>871.70740428257329</v>
      </c>
      <c r="V89" s="704"/>
      <c r="W89" s="538">
        <v>45813</v>
      </c>
      <c r="X89" s="721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18"/>
      <c r="J90" s="692"/>
      <c r="K90" s="283"/>
      <c r="L90" s="383">
        <v>9</v>
      </c>
      <c r="M90" s="501" t="s">
        <v>250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04"/>
      <c r="W90" s="573"/>
      <c r="X90" s="721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18"/>
      <c r="J91" s="692"/>
      <c r="K91" s="283"/>
      <c r="L91" s="383">
        <v>9</v>
      </c>
      <c r="M91" s="501" t="s">
        <v>250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04"/>
      <c r="W91" s="573"/>
      <c r="X91" s="721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18"/>
      <c r="J92" s="692"/>
      <c r="K92" s="283"/>
      <c r="L92" s="383">
        <v>9</v>
      </c>
      <c r="M92" s="501" t="s">
        <v>250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04"/>
      <c r="W92" s="573"/>
      <c r="X92" s="721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18"/>
      <c r="J93" s="692"/>
      <c r="K93" s="283"/>
      <c r="L93" s="383">
        <v>9</v>
      </c>
      <c r="M93" s="501" t="s">
        <v>250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04"/>
      <c r="W93" s="573"/>
      <c r="X93" s="721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18"/>
      <c r="J94" s="692"/>
      <c r="K94" s="283"/>
      <c r="L94" s="383">
        <v>9</v>
      </c>
      <c r="M94" s="501" t="s">
        <v>250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04"/>
      <c r="W94" s="573"/>
      <c r="X94" s="721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18"/>
      <c r="J95" s="692"/>
      <c r="K95" s="283"/>
      <c r="L95" s="383">
        <v>9</v>
      </c>
      <c r="M95" s="501" t="s">
        <v>250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04"/>
      <c r="W95" s="573"/>
      <c r="X95" s="721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19"/>
      <c r="J96" s="693"/>
      <c r="K96" s="359"/>
      <c r="L96" s="311">
        <v>9</v>
      </c>
      <c r="M96" s="440" t="s">
        <v>250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05"/>
      <c r="W96" s="574"/>
      <c r="X96" s="722"/>
      <c r="Y96" s="481"/>
    </row>
    <row r="97" spans="1:25" ht="14.4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252</v>
      </c>
      <c r="D98" s="265"/>
      <c r="E98" s="266"/>
      <c r="F98" s="469"/>
      <c r="G98" s="333"/>
      <c r="H98" s="583"/>
      <c r="I98" s="697">
        <f>SUM(G98:G112)</f>
        <v>0</v>
      </c>
      <c r="J98" s="697"/>
      <c r="K98" s="334"/>
      <c r="L98" s="264">
        <v>10</v>
      </c>
      <c r="M98" s="433" t="s">
        <v>253</v>
      </c>
      <c r="N98" s="265"/>
      <c r="O98" s="562"/>
      <c r="P98" s="469"/>
      <c r="Q98" s="333"/>
      <c r="R98" s="601"/>
      <c r="S98" s="635"/>
      <c r="T98" s="533"/>
      <c r="U98" s="517"/>
      <c r="V98" s="706">
        <f>J98-SUM(U98:U112)</f>
        <v>0</v>
      </c>
      <c r="W98" s="583"/>
      <c r="X98" s="700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698"/>
      <c r="J99" s="698"/>
      <c r="K99" s="267"/>
      <c r="L99" s="335">
        <v>10</v>
      </c>
      <c r="M99" s="434" t="s">
        <v>253</v>
      </c>
      <c r="N99" s="336"/>
      <c r="O99" s="563"/>
      <c r="P99" s="470"/>
      <c r="Q99" s="338"/>
      <c r="R99" s="602"/>
      <c r="S99" s="636"/>
      <c r="T99" s="534"/>
      <c r="U99" s="518"/>
      <c r="V99" s="707"/>
      <c r="W99" s="584"/>
      <c r="X99" s="701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698"/>
      <c r="J100" s="698"/>
      <c r="K100" s="267"/>
      <c r="L100" s="335">
        <v>10</v>
      </c>
      <c r="M100" s="434" t="s">
        <v>253</v>
      </c>
      <c r="N100" s="336"/>
      <c r="O100" s="563"/>
      <c r="P100" s="470"/>
      <c r="Q100" s="338"/>
      <c r="R100" s="602"/>
      <c r="S100" s="636"/>
      <c r="T100" s="534"/>
      <c r="U100" s="518"/>
      <c r="V100" s="707"/>
      <c r="W100" s="584"/>
      <c r="X100" s="701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698"/>
      <c r="J101" s="698"/>
      <c r="K101" s="267"/>
      <c r="L101" s="335">
        <v>10</v>
      </c>
      <c r="M101" s="434" t="s">
        <v>253</v>
      </c>
      <c r="N101" s="336"/>
      <c r="O101" s="563"/>
      <c r="P101" s="470"/>
      <c r="Q101" s="338"/>
      <c r="R101" s="602"/>
      <c r="S101" s="636"/>
      <c r="T101" s="534"/>
      <c r="U101" s="518"/>
      <c r="V101" s="707"/>
      <c r="W101" s="584"/>
      <c r="X101" s="701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698"/>
      <c r="J102" s="698"/>
      <c r="K102" s="267"/>
      <c r="L102" s="335">
        <v>10</v>
      </c>
      <c r="M102" s="434" t="s">
        <v>253</v>
      </c>
      <c r="N102" s="336"/>
      <c r="O102" s="619"/>
      <c r="P102" s="570"/>
      <c r="Q102" s="338"/>
      <c r="R102" s="603"/>
      <c r="S102" s="637"/>
      <c r="T102" s="535"/>
      <c r="U102" s="519"/>
      <c r="V102" s="707"/>
      <c r="W102" s="585"/>
      <c r="X102" s="701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698"/>
      <c r="J103" s="698"/>
      <c r="K103" s="267"/>
      <c r="L103" s="335">
        <v>10</v>
      </c>
      <c r="M103" s="434" t="s">
        <v>253</v>
      </c>
      <c r="N103" s="336"/>
      <c r="O103" s="563"/>
      <c r="P103" s="570"/>
      <c r="Q103" s="338"/>
      <c r="R103" s="603"/>
      <c r="S103" s="637"/>
      <c r="T103" s="535"/>
      <c r="U103" s="519"/>
      <c r="V103" s="707"/>
      <c r="W103" s="585"/>
      <c r="X103" s="701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698"/>
      <c r="J104" s="698"/>
      <c r="K104" s="267"/>
      <c r="L104" s="335">
        <v>10</v>
      </c>
      <c r="M104" s="434" t="s">
        <v>253</v>
      </c>
      <c r="N104" s="336"/>
      <c r="O104" s="563"/>
      <c r="P104" s="570"/>
      <c r="Q104" s="338"/>
      <c r="R104" s="603"/>
      <c r="S104" s="637"/>
      <c r="T104" s="535"/>
      <c r="U104" s="519"/>
      <c r="V104" s="707"/>
      <c r="W104" s="585"/>
      <c r="X104" s="701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698"/>
      <c r="J105" s="698"/>
      <c r="K105" s="267"/>
      <c r="L105" s="335">
        <v>10</v>
      </c>
      <c r="M105" s="434" t="s">
        <v>253</v>
      </c>
      <c r="N105" s="336"/>
      <c r="O105" s="563"/>
      <c r="P105" s="570"/>
      <c r="Q105" s="338"/>
      <c r="R105" s="603"/>
      <c r="S105" s="637"/>
      <c r="T105" s="535"/>
      <c r="U105" s="519"/>
      <c r="V105" s="707"/>
      <c r="W105" s="585"/>
      <c r="X105" s="701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698"/>
      <c r="J106" s="698"/>
      <c r="K106" s="267"/>
      <c r="L106" s="335">
        <v>10</v>
      </c>
      <c r="M106" s="434" t="s">
        <v>253</v>
      </c>
      <c r="N106" s="336"/>
      <c r="O106" s="563"/>
      <c r="P106" s="570"/>
      <c r="Q106" s="338"/>
      <c r="R106" s="603"/>
      <c r="S106" s="637"/>
      <c r="T106" s="535"/>
      <c r="U106" s="519"/>
      <c r="V106" s="707"/>
      <c r="W106" s="585"/>
      <c r="X106" s="701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698"/>
      <c r="J107" s="698"/>
      <c r="K107" s="267"/>
      <c r="L107" s="335">
        <v>10</v>
      </c>
      <c r="M107" s="434" t="s">
        <v>253</v>
      </c>
      <c r="N107" s="336"/>
      <c r="O107" s="563"/>
      <c r="P107" s="570"/>
      <c r="Q107" s="338"/>
      <c r="R107" s="603"/>
      <c r="S107" s="637"/>
      <c r="T107" s="535"/>
      <c r="U107" s="519"/>
      <c r="V107" s="707"/>
      <c r="W107" s="585"/>
      <c r="X107" s="701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698"/>
      <c r="J108" s="698"/>
      <c r="K108" s="267"/>
      <c r="L108" s="335">
        <v>10</v>
      </c>
      <c r="M108" s="434" t="s">
        <v>253</v>
      </c>
      <c r="N108" s="336"/>
      <c r="O108" s="563"/>
      <c r="P108" s="570"/>
      <c r="Q108" s="338"/>
      <c r="R108" s="603"/>
      <c r="S108" s="637"/>
      <c r="T108" s="535"/>
      <c r="U108" s="519"/>
      <c r="V108" s="707"/>
      <c r="W108" s="585"/>
      <c r="X108" s="701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698"/>
      <c r="J109" s="698"/>
      <c r="K109" s="267"/>
      <c r="L109" s="335">
        <v>10</v>
      </c>
      <c r="M109" s="434" t="s">
        <v>253</v>
      </c>
      <c r="N109" s="336"/>
      <c r="O109" s="563"/>
      <c r="P109" s="570"/>
      <c r="Q109" s="338"/>
      <c r="R109" s="603"/>
      <c r="S109" s="637"/>
      <c r="T109" s="535"/>
      <c r="U109" s="519"/>
      <c r="V109" s="707"/>
      <c r="W109" s="585"/>
      <c r="X109" s="701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698"/>
      <c r="J110" s="698"/>
      <c r="K110" s="267"/>
      <c r="L110" s="335">
        <v>10</v>
      </c>
      <c r="M110" s="434" t="s">
        <v>253</v>
      </c>
      <c r="N110" s="336"/>
      <c r="O110" s="563"/>
      <c r="P110" s="470"/>
      <c r="Q110" s="338"/>
      <c r="R110" s="603"/>
      <c r="S110" s="637"/>
      <c r="T110" s="535"/>
      <c r="U110" s="519"/>
      <c r="V110" s="707"/>
      <c r="W110" s="585"/>
      <c r="X110" s="701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698"/>
      <c r="J111" s="698"/>
      <c r="K111" s="267"/>
      <c r="L111" s="335">
        <v>10</v>
      </c>
      <c r="M111" s="434" t="s">
        <v>253</v>
      </c>
      <c r="N111" s="336"/>
      <c r="O111" s="563"/>
      <c r="P111" s="470"/>
      <c r="Q111" s="338"/>
      <c r="R111" s="603"/>
      <c r="S111" s="637"/>
      <c r="T111" s="535"/>
      <c r="U111" s="519"/>
      <c r="V111" s="707"/>
      <c r="W111" s="585"/>
      <c r="X111" s="701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699"/>
      <c r="J112" s="699"/>
      <c r="K112" s="270"/>
      <c r="L112" s="268">
        <v>10</v>
      </c>
      <c r="M112" s="435" t="s">
        <v>253</v>
      </c>
      <c r="N112" s="339"/>
      <c r="O112" s="564"/>
      <c r="P112" s="471"/>
      <c r="Q112" s="269"/>
      <c r="R112" s="604"/>
      <c r="S112" s="638"/>
      <c r="T112" s="536"/>
      <c r="U112" s="520"/>
      <c r="V112" s="708"/>
      <c r="W112" s="586"/>
      <c r="X112" s="702"/>
      <c r="Y112" s="481"/>
    </row>
    <row r="113" spans="1:25" ht="14.4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254</v>
      </c>
      <c r="D114" s="346"/>
      <c r="E114" s="278"/>
      <c r="F114" s="436"/>
      <c r="G114" s="279"/>
      <c r="H114" s="579"/>
      <c r="I114" s="691">
        <f>SUM(G114:G118)</f>
        <v>0</v>
      </c>
      <c r="J114" s="691"/>
      <c r="K114" s="280"/>
      <c r="L114" s="276">
        <v>11</v>
      </c>
      <c r="M114" s="346" t="s">
        <v>255</v>
      </c>
      <c r="N114" s="346" t="s">
        <v>256</v>
      </c>
      <c r="O114" s="549"/>
      <c r="P114" s="436"/>
      <c r="Q114" s="279">
        <v>0</v>
      </c>
      <c r="R114" s="595" t="s">
        <v>257</v>
      </c>
      <c r="S114" s="630"/>
      <c r="T114" s="528"/>
      <c r="U114" s="513"/>
      <c r="V114" s="703"/>
      <c r="W114" s="579"/>
      <c r="X114" s="694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2"/>
      <c r="J115" s="692"/>
      <c r="K115" s="283"/>
      <c r="L115" s="306">
        <v>11</v>
      </c>
      <c r="M115" s="389" t="s">
        <v>255</v>
      </c>
      <c r="N115" s="308"/>
      <c r="O115" s="550"/>
      <c r="P115" s="458"/>
      <c r="Q115" s="310"/>
      <c r="R115" s="588"/>
      <c r="S115" s="623"/>
      <c r="T115" s="521"/>
      <c r="U115" s="505"/>
      <c r="V115" s="704"/>
      <c r="W115" s="572"/>
      <c r="X115" s="695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2"/>
      <c r="J116" s="692"/>
      <c r="K116" s="283"/>
      <c r="L116" s="306">
        <v>11</v>
      </c>
      <c r="M116" s="389" t="s">
        <v>255</v>
      </c>
      <c r="N116" s="308"/>
      <c r="O116" s="550"/>
      <c r="P116" s="458"/>
      <c r="Q116" s="310"/>
      <c r="R116" s="588"/>
      <c r="S116" s="623"/>
      <c r="T116" s="521"/>
      <c r="U116" s="505"/>
      <c r="V116" s="704"/>
      <c r="W116" s="572"/>
      <c r="X116" s="695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2"/>
      <c r="J117" s="692"/>
      <c r="K117" s="283"/>
      <c r="L117" s="306">
        <v>11</v>
      </c>
      <c r="M117" s="389" t="s">
        <v>255</v>
      </c>
      <c r="N117" s="387"/>
      <c r="O117" s="551"/>
      <c r="P117" s="443"/>
      <c r="Q117" s="386"/>
      <c r="R117" s="589"/>
      <c r="S117" s="624"/>
      <c r="T117" s="522"/>
      <c r="U117" s="506"/>
      <c r="V117" s="704"/>
      <c r="W117" s="573"/>
      <c r="X117" s="695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3"/>
      <c r="J118" s="693"/>
      <c r="K118" s="284"/>
      <c r="L118" s="311">
        <v>11</v>
      </c>
      <c r="M118" s="418" t="s">
        <v>255</v>
      </c>
      <c r="N118" s="312"/>
      <c r="O118" s="552"/>
      <c r="P118" s="459"/>
      <c r="Q118" s="325"/>
      <c r="R118" s="590"/>
      <c r="S118" s="625"/>
      <c r="T118" s="523"/>
      <c r="U118" s="507"/>
      <c r="V118" s="705"/>
      <c r="W118" s="574"/>
      <c r="X118" s="696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258</v>
      </c>
      <c r="D120" s="265"/>
      <c r="E120" s="266"/>
      <c r="F120" s="469"/>
      <c r="G120" s="333"/>
      <c r="H120" s="583"/>
      <c r="I120" s="697">
        <v>0</v>
      </c>
      <c r="J120" s="697"/>
      <c r="K120" s="709"/>
      <c r="L120" s="264">
        <v>12</v>
      </c>
      <c r="M120" s="265" t="s">
        <v>259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00">
        <f>SUM(Q120:Q121)</f>
        <v>0</v>
      </c>
      <c r="Y120" s="481"/>
    </row>
    <row r="121" spans="1:25" ht="15" customHeight="1" thickBot="1">
      <c r="B121" s="268">
        <v>12</v>
      </c>
      <c r="C121" s="339" t="s">
        <v>258</v>
      </c>
      <c r="D121" s="339"/>
      <c r="E121" s="340"/>
      <c r="F121" s="471"/>
      <c r="G121" s="269"/>
      <c r="H121" s="586"/>
      <c r="I121" s="699"/>
      <c r="J121" s="699"/>
      <c r="K121" s="710"/>
      <c r="L121" s="268">
        <v>12</v>
      </c>
      <c r="M121" s="339" t="s">
        <v>259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02"/>
      <c r="Y121" s="481"/>
    </row>
    <row r="122" spans="1:25" ht="14.4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260</v>
      </c>
      <c r="D123" s="346"/>
      <c r="E123" s="278"/>
      <c r="F123" s="436"/>
      <c r="G123" s="279"/>
      <c r="H123" s="579"/>
      <c r="I123" s="691">
        <v>0</v>
      </c>
      <c r="J123" s="691"/>
      <c r="K123" s="280"/>
      <c r="L123" s="276">
        <v>13</v>
      </c>
      <c r="M123" s="346" t="s">
        <v>261</v>
      </c>
      <c r="N123" s="346"/>
      <c r="O123" s="549"/>
      <c r="P123" s="436"/>
      <c r="Q123" s="279"/>
      <c r="R123" s="595"/>
      <c r="S123" s="630"/>
      <c r="T123" s="528"/>
      <c r="U123" s="513"/>
      <c r="V123" s="703">
        <f>J123-SUM(U123:U128)</f>
        <v>0</v>
      </c>
      <c r="W123" s="579"/>
      <c r="X123" s="694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2"/>
      <c r="J124" s="692"/>
      <c r="K124" s="283"/>
      <c r="L124" s="306">
        <v>13</v>
      </c>
      <c r="M124" s="389" t="s">
        <v>261</v>
      </c>
      <c r="N124" s="308"/>
      <c r="O124" s="550"/>
      <c r="P124" s="458"/>
      <c r="Q124" s="310"/>
      <c r="R124" s="588"/>
      <c r="S124" s="623"/>
      <c r="T124" s="521"/>
      <c r="U124" s="505"/>
      <c r="V124" s="704"/>
      <c r="W124" s="572"/>
      <c r="X124" s="695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2"/>
      <c r="J125" s="692"/>
      <c r="K125" s="283"/>
      <c r="L125" s="306">
        <v>13</v>
      </c>
      <c r="M125" s="389" t="s">
        <v>261</v>
      </c>
      <c r="N125" s="308"/>
      <c r="O125" s="550"/>
      <c r="P125" s="458"/>
      <c r="Q125" s="310"/>
      <c r="R125" s="588"/>
      <c r="S125" s="623"/>
      <c r="T125" s="521"/>
      <c r="U125" s="505"/>
      <c r="V125" s="704"/>
      <c r="W125" s="572"/>
      <c r="X125" s="695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2"/>
      <c r="J126" s="692"/>
      <c r="K126" s="283"/>
      <c r="L126" s="306">
        <v>13</v>
      </c>
      <c r="M126" s="389" t="s">
        <v>261</v>
      </c>
      <c r="N126" s="308"/>
      <c r="O126" s="550"/>
      <c r="P126" s="458"/>
      <c r="Q126" s="310"/>
      <c r="R126" s="588"/>
      <c r="S126" s="623"/>
      <c r="T126" s="521"/>
      <c r="U126" s="505"/>
      <c r="V126" s="704"/>
      <c r="W126" s="572"/>
      <c r="X126" s="695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2"/>
      <c r="J127" s="692"/>
      <c r="K127" s="283"/>
      <c r="L127" s="306">
        <v>13</v>
      </c>
      <c r="M127" s="389" t="s">
        <v>261</v>
      </c>
      <c r="N127" s="308"/>
      <c r="O127" s="550"/>
      <c r="P127" s="458"/>
      <c r="Q127" s="310"/>
      <c r="R127" s="588"/>
      <c r="S127" s="623"/>
      <c r="T127" s="521"/>
      <c r="U127" s="505"/>
      <c r="V127" s="704"/>
      <c r="W127" s="572"/>
      <c r="X127" s="695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3"/>
      <c r="J128" s="693"/>
      <c r="K128" s="359"/>
      <c r="L128" s="311">
        <v>13</v>
      </c>
      <c r="M128" s="418" t="s">
        <v>261</v>
      </c>
      <c r="N128" s="312"/>
      <c r="O128" s="552"/>
      <c r="P128" s="459"/>
      <c r="Q128" s="325"/>
      <c r="R128" s="590"/>
      <c r="S128" s="625"/>
      <c r="T128" s="523"/>
      <c r="U128" s="507"/>
      <c r="V128" s="705"/>
      <c r="W128" s="574"/>
      <c r="X128" s="696"/>
      <c r="Y128" s="481"/>
    </row>
    <row r="129" spans="1:25" ht="14.4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262</v>
      </c>
      <c r="D130" s="265"/>
      <c r="E130" s="266"/>
      <c r="F130" s="469"/>
      <c r="G130" s="333"/>
      <c r="H130" s="644"/>
      <c r="I130" s="697">
        <f>SUM(G130:G141)</f>
        <v>0</v>
      </c>
      <c r="J130" s="697"/>
      <c r="K130" s="334"/>
      <c r="L130" s="264">
        <v>14</v>
      </c>
      <c r="M130" s="433" t="s">
        <v>263</v>
      </c>
      <c r="N130" s="265" t="s">
        <v>264</v>
      </c>
      <c r="O130" s="562"/>
      <c r="P130" s="469"/>
      <c r="Q130" s="333">
        <v>357</v>
      </c>
      <c r="R130" s="601"/>
      <c r="S130" s="635" t="s">
        <v>265</v>
      </c>
      <c r="T130" s="643">
        <v>45777</v>
      </c>
      <c r="U130" s="517"/>
      <c r="V130" s="706">
        <f>J130-SUM(U130:U141)</f>
        <v>0</v>
      </c>
      <c r="W130" s="644">
        <v>45785</v>
      </c>
      <c r="X130" s="700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698"/>
      <c r="J131" s="698"/>
      <c r="K131" s="267"/>
      <c r="L131" s="335">
        <v>14</v>
      </c>
      <c r="M131" s="434" t="s">
        <v>263</v>
      </c>
      <c r="N131" s="336" t="s">
        <v>264</v>
      </c>
      <c r="O131" s="563"/>
      <c r="P131" s="470"/>
      <c r="Q131" s="338">
        <v>0</v>
      </c>
      <c r="R131" s="603"/>
      <c r="S131" s="635" t="s">
        <v>265</v>
      </c>
      <c r="T131" s="659">
        <v>45808</v>
      </c>
      <c r="U131" s="519"/>
      <c r="V131" s="707"/>
      <c r="W131" s="543">
        <f>T131+7</f>
        <v>45815</v>
      </c>
      <c r="X131" s="701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698"/>
      <c r="J132" s="698"/>
      <c r="K132" s="267"/>
      <c r="L132" s="335">
        <v>14</v>
      </c>
      <c r="M132" s="434" t="s">
        <v>263</v>
      </c>
      <c r="N132" s="336" t="s">
        <v>264</v>
      </c>
      <c r="O132" s="563"/>
      <c r="P132" s="470"/>
      <c r="Q132" s="338">
        <v>0</v>
      </c>
      <c r="R132" s="603"/>
      <c r="S132" s="635" t="s">
        <v>265</v>
      </c>
      <c r="T132" s="659">
        <v>45838</v>
      </c>
      <c r="U132" s="519"/>
      <c r="V132" s="707"/>
      <c r="W132" s="543">
        <f>T132+7</f>
        <v>45845</v>
      </c>
      <c r="X132" s="701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698"/>
      <c r="J133" s="698"/>
      <c r="K133" s="267"/>
      <c r="L133" s="335">
        <v>14</v>
      </c>
      <c r="M133" s="434" t="s">
        <v>263</v>
      </c>
      <c r="N133" s="336"/>
      <c r="O133" s="563"/>
      <c r="P133" s="470"/>
      <c r="Q133" s="338"/>
      <c r="R133" s="603"/>
      <c r="S133" s="637"/>
      <c r="T133" s="535"/>
      <c r="U133" s="519"/>
      <c r="V133" s="707"/>
      <c r="W133" s="585"/>
      <c r="X133" s="701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698"/>
      <c r="J134" s="698"/>
      <c r="K134" s="267"/>
      <c r="L134" s="335">
        <v>14</v>
      </c>
      <c r="M134" s="434" t="s">
        <v>263</v>
      </c>
      <c r="N134" s="336"/>
      <c r="O134" s="563"/>
      <c r="P134" s="470"/>
      <c r="Q134" s="338"/>
      <c r="R134" s="603"/>
      <c r="S134" s="637"/>
      <c r="T134" s="535"/>
      <c r="U134" s="519"/>
      <c r="V134" s="707"/>
      <c r="W134" s="585"/>
      <c r="X134" s="701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698"/>
      <c r="J135" s="698"/>
      <c r="K135" s="267"/>
      <c r="L135" s="335">
        <v>14</v>
      </c>
      <c r="M135" s="434" t="s">
        <v>263</v>
      </c>
      <c r="N135" s="336"/>
      <c r="O135" s="563"/>
      <c r="P135" s="470"/>
      <c r="Q135" s="338"/>
      <c r="R135" s="603"/>
      <c r="S135" s="637"/>
      <c r="T135" s="535"/>
      <c r="U135" s="519"/>
      <c r="V135" s="707"/>
      <c r="W135" s="585"/>
      <c r="X135" s="701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698"/>
      <c r="J136" s="698"/>
      <c r="K136" s="267"/>
      <c r="L136" s="335">
        <v>14</v>
      </c>
      <c r="M136" s="434" t="s">
        <v>263</v>
      </c>
      <c r="N136" s="336"/>
      <c r="O136" s="563"/>
      <c r="P136" s="470"/>
      <c r="Q136" s="338"/>
      <c r="R136" s="603"/>
      <c r="S136" s="637"/>
      <c r="T136" s="535"/>
      <c r="U136" s="519"/>
      <c r="V136" s="707"/>
      <c r="W136" s="585"/>
      <c r="X136" s="701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698"/>
      <c r="J137" s="698"/>
      <c r="K137" s="267"/>
      <c r="L137" s="335">
        <v>14</v>
      </c>
      <c r="M137" s="434" t="s">
        <v>263</v>
      </c>
      <c r="N137" s="336"/>
      <c r="O137" s="563"/>
      <c r="P137" s="470"/>
      <c r="Q137" s="338"/>
      <c r="R137" s="603"/>
      <c r="S137" s="637"/>
      <c r="T137" s="535"/>
      <c r="U137" s="519"/>
      <c r="V137" s="707"/>
      <c r="W137" s="585"/>
      <c r="X137" s="701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698"/>
      <c r="J138" s="698"/>
      <c r="K138" s="267"/>
      <c r="L138" s="335">
        <v>14</v>
      </c>
      <c r="M138" s="434" t="s">
        <v>263</v>
      </c>
      <c r="N138" s="336"/>
      <c r="O138" s="563"/>
      <c r="P138" s="470"/>
      <c r="Q138" s="338"/>
      <c r="R138" s="603"/>
      <c r="S138" s="637"/>
      <c r="T138" s="535"/>
      <c r="U138" s="519"/>
      <c r="V138" s="707"/>
      <c r="W138" s="585"/>
      <c r="X138" s="701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698"/>
      <c r="J139" s="698"/>
      <c r="K139" s="267"/>
      <c r="L139" s="335">
        <v>14</v>
      </c>
      <c r="M139" s="434" t="s">
        <v>263</v>
      </c>
      <c r="N139" s="336"/>
      <c r="O139" s="563"/>
      <c r="P139" s="470"/>
      <c r="Q139" s="338"/>
      <c r="R139" s="603"/>
      <c r="S139" s="637"/>
      <c r="T139" s="535"/>
      <c r="U139" s="519"/>
      <c r="V139" s="707"/>
      <c r="W139" s="585"/>
      <c r="X139" s="701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698"/>
      <c r="J140" s="698"/>
      <c r="K140" s="267"/>
      <c r="L140" s="335">
        <v>14</v>
      </c>
      <c r="M140" s="434" t="s">
        <v>263</v>
      </c>
      <c r="N140" s="336"/>
      <c r="O140" s="563"/>
      <c r="P140" s="470"/>
      <c r="Q140" s="338"/>
      <c r="R140" s="603"/>
      <c r="S140" s="637"/>
      <c r="T140" s="535"/>
      <c r="U140" s="519"/>
      <c r="V140" s="707"/>
      <c r="W140" s="585"/>
      <c r="X140" s="701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699"/>
      <c r="J141" s="699"/>
      <c r="K141" s="270"/>
      <c r="L141" s="268">
        <v>14</v>
      </c>
      <c r="M141" s="435" t="s">
        <v>263</v>
      </c>
      <c r="N141" s="339"/>
      <c r="O141" s="564"/>
      <c r="P141" s="471"/>
      <c r="Q141" s="269"/>
      <c r="R141" s="604"/>
      <c r="S141" s="638"/>
      <c r="T141" s="536"/>
      <c r="U141" s="520"/>
      <c r="V141" s="708"/>
      <c r="W141" s="586"/>
      <c r="X141" s="702"/>
      <c r="Y141" s="481"/>
    </row>
    <row r="142" spans="1:25" ht="14.4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266</v>
      </c>
      <c r="D143" s="277"/>
      <c r="E143" s="278"/>
      <c r="F143" s="436"/>
      <c r="G143" s="279"/>
      <c r="H143" s="579"/>
      <c r="I143" s="691">
        <f>SUM(G143:G154)</f>
        <v>0</v>
      </c>
      <c r="J143" s="691"/>
      <c r="K143" s="280"/>
      <c r="L143" s="276">
        <v>15</v>
      </c>
      <c r="M143" s="346" t="s">
        <v>267</v>
      </c>
      <c r="N143" s="277"/>
      <c r="O143" s="549"/>
      <c r="P143" s="436"/>
      <c r="Q143" s="279"/>
      <c r="R143" s="595"/>
      <c r="S143" s="630"/>
      <c r="T143" s="528"/>
      <c r="U143" s="513"/>
      <c r="V143" s="703">
        <v>0</v>
      </c>
      <c r="W143" s="579"/>
      <c r="X143" s="694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2"/>
      <c r="J144" s="692"/>
      <c r="K144" s="283"/>
      <c r="L144" s="306">
        <v>15</v>
      </c>
      <c r="M144" s="389" t="s">
        <v>267</v>
      </c>
      <c r="N144" s="308"/>
      <c r="O144" s="550"/>
      <c r="P144" s="458"/>
      <c r="Q144" s="310"/>
      <c r="R144" s="588"/>
      <c r="S144" s="623"/>
      <c r="T144" s="521"/>
      <c r="U144" s="505"/>
      <c r="V144" s="704"/>
      <c r="W144" s="572"/>
      <c r="X144" s="695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2"/>
      <c r="J145" s="692"/>
      <c r="K145" s="283"/>
      <c r="L145" s="306">
        <v>15</v>
      </c>
      <c r="M145" s="389" t="s">
        <v>267</v>
      </c>
      <c r="N145" s="308"/>
      <c r="O145" s="550"/>
      <c r="P145" s="458"/>
      <c r="Q145" s="310"/>
      <c r="R145" s="588"/>
      <c r="S145" s="623"/>
      <c r="T145" s="521"/>
      <c r="U145" s="505"/>
      <c r="V145" s="704"/>
      <c r="W145" s="572"/>
      <c r="X145" s="695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2"/>
      <c r="J146" s="692"/>
      <c r="K146" s="283"/>
      <c r="L146" s="306">
        <v>15</v>
      </c>
      <c r="M146" s="389" t="s">
        <v>267</v>
      </c>
      <c r="N146" s="308"/>
      <c r="O146" s="550"/>
      <c r="P146" s="458"/>
      <c r="Q146" s="310"/>
      <c r="R146" s="588"/>
      <c r="S146" s="623"/>
      <c r="T146" s="521"/>
      <c r="U146" s="505"/>
      <c r="V146" s="704"/>
      <c r="W146" s="572"/>
      <c r="X146" s="695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2"/>
      <c r="J147" s="692"/>
      <c r="K147" s="283"/>
      <c r="L147" s="306">
        <v>15</v>
      </c>
      <c r="M147" s="389" t="s">
        <v>267</v>
      </c>
      <c r="N147" s="308"/>
      <c r="O147" s="550"/>
      <c r="P147" s="458"/>
      <c r="Q147" s="310"/>
      <c r="R147" s="588"/>
      <c r="S147" s="623"/>
      <c r="T147" s="521"/>
      <c r="U147" s="505"/>
      <c r="V147" s="704"/>
      <c r="W147" s="572"/>
      <c r="X147" s="695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2"/>
      <c r="J148" s="692"/>
      <c r="K148" s="283"/>
      <c r="L148" s="306">
        <v>15</v>
      </c>
      <c r="M148" s="389" t="s">
        <v>267</v>
      </c>
      <c r="N148" s="308"/>
      <c r="O148" s="550"/>
      <c r="P148" s="458"/>
      <c r="Q148" s="310"/>
      <c r="R148" s="588"/>
      <c r="S148" s="623"/>
      <c r="T148" s="521"/>
      <c r="U148" s="505"/>
      <c r="V148" s="704"/>
      <c r="W148" s="572"/>
      <c r="X148" s="695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2"/>
      <c r="J149" s="692"/>
      <c r="K149" s="283"/>
      <c r="L149" s="306">
        <v>15</v>
      </c>
      <c r="M149" s="389" t="s">
        <v>267</v>
      </c>
      <c r="N149" s="308"/>
      <c r="O149" s="550"/>
      <c r="P149" s="458"/>
      <c r="Q149" s="310"/>
      <c r="R149" s="588"/>
      <c r="S149" s="623"/>
      <c r="T149" s="521"/>
      <c r="U149" s="505"/>
      <c r="V149" s="704"/>
      <c r="W149" s="572"/>
      <c r="X149" s="695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2"/>
      <c r="J150" s="692"/>
      <c r="K150" s="283"/>
      <c r="L150" s="306">
        <v>15</v>
      </c>
      <c r="M150" s="389" t="s">
        <v>267</v>
      </c>
      <c r="N150" s="308"/>
      <c r="O150" s="550"/>
      <c r="P150" s="458"/>
      <c r="Q150" s="310"/>
      <c r="R150" s="588"/>
      <c r="S150" s="623"/>
      <c r="T150" s="521"/>
      <c r="U150" s="505"/>
      <c r="V150" s="704"/>
      <c r="W150" s="572"/>
      <c r="X150" s="695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2"/>
      <c r="J151" s="692"/>
      <c r="K151" s="283"/>
      <c r="L151" s="306">
        <v>15</v>
      </c>
      <c r="M151" s="389" t="s">
        <v>267</v>
      </c>
      <c r="N151" s="308"/>
      <c r="O151" s="550"/>
      <c r="P151" s="458"/>
      <c r="Q151" s="310"/>
      <c r="R151" s="588"/>
      <c r="S151" s="623"/>
      <c r="T151" s="521"/>
      <c r="U151" s="505"/>
      <c r="V151" s="704"/>
      <c r="W151" s="572"/>
      <c r="X151" s="695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2"/>
      <c r="J152" s="692"/>
      <c r="K152" s="283"/>
      <c r="L152" s="306">
        <v>15</v>
      </c>
      <c r="M152" s="389" t="s">
        <v>267</v>
      </c>
      <c r="N152" s="308"/>
      <c r="O152" s="550"/>
      <c r="P152" s="458"/>
      <c r="Q152" s="310"/>
      <c r="R152" s="588"/>
      <c r="S152" s="623"/>
      <c r="T152" s="521"/>
      <c r="U152" s="505"/>
      <c r="V152" s="704"/>
      <c r="W152" s="572"/>
      <c r="X152" s="695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2"/>
      <c r="J153" s="692"/>
      <c r="K153" s="283"/>
      <c r="L153" s="306">
        <v>15</v>
      </c>
      <c r="M153" s="389" t="s">
        <v>267</v>
      </c>
      <c r="N153" s="308"/>
      <c r="O153" s="550"/>
      <c r="P153" s="458"/>
      <c r="Q153" s="310"/>
      <c r="R153" s="588"/>
      <c r="S153" s="623"/>
      <c r="T153" s="521"/>
      <c r="U153" s="505"/>
      <c r="V153" s="704"/>
      <c r="W153" s="572"/>
      <c r="X153" s="695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3"/>
      <c r="J154" s="693"/>
      <c r="K154" s="284"/>
      <c r="L154" s="311">
        <v>15</v>
      </c>
      <c r="M154" s="418" t="s">
        <v>267</v>
      </c>
      <c r="N154" s="312"/>
      <c r="O154" s="552"/>
      <c r="P154" s="459"/>
      <c r="Q154" s="325"/>
      <c r="R154" s="590"/>
      <c r="S154" s="625"/>
      <c r="T154" s="523"/>
      <c r="U154" s="507"/>
      <c r="V154" s="705"/>
      <c r="W154" s="574"/>
      <c r="X154" s="696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268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269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270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271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223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272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273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274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275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276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277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278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279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280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281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282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283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284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285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286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287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288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275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289</v>
      </c>
      <c r="D181" s="175"/>
      <c r="E181" s="162"/>
      <c r="F181" s="463"/>
      <c r="I181" s="251"/>
      <c r="J181" s="251"/>
    </row>
    <row r="182" spans="3:10" s="112" customFormat="1">
      <c r="C182" s="175" t="s">
        <v>290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291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5" t="s">
        <v>292</v>
      </c>
      <c r="B2" s="189"/>
      <c r="C2" s="190" t="s">
        <v>199</v>
      </c>
      <c r="D2" s="190" t="s">
        <v>199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6"/>
      <c r="B3" s="192" t="s">
        <v>122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6"/>
      <c r="B4" s="192" t="s">
        <v>293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6"/>
      <c r="B5" s="196" t="s">
        <v>124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6"/>
      <c r="B6" s="196" t="s">
        <v>294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6"/>
      <c r="B7" s="201" t="s">
        <v>295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5" t="s">
        <v>119</v>
      </c>
      <c r="B8" s="189"/>
      <c r="C8" s="190" t="s">
        <v>199</v>
      </c>
      <c r="D8" s="190" t="s">
        <v>199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6"/>
      <c r="B9" s="206" t="s">
        <v>296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21815.870833333334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0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6"/>
      <c r="B10" s="206" t="s">
        <v>297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196342.83750000002</v>
      </c>
      <c r="BJ10" s="208">
        <f t="shared" si="21"/>
        <v>196342.83750000002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6"/>
      <c r="B11" s="209" t="s">
        <v>298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6"/>
      <c r="B12" s="209" t="s">
        <v>299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6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6"/>
      <c r="B14" s="201" t="s">
        <v>300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13335.467500000028</v>
      </c>
      <c r="BJ14" s="204">
        <f t="shared" si="32"/>
        <v>13335.467500000028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199</v>
      </c>
      <c r="D16" s="190" t="s">
        <v>199</v>
      </c>
    </row>
    <row r="17" spans="1:316">
      <c r="A17" s="747"/>
      <c r="B17" s="192" t="s">
        <v>301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7"/>
      <c r="B18" s="192" t="s">
        <v>302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4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303</v>
      </c>
      <c r="B3" s="445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305</v>
      </c>
      <c r="B4" t="s">
        <v>306</v>
      </c>
      <c r="C4" s="447">
        <v>45838</v>
      </c>
      <c r="D4"/>
      <c r="E4" s="447">
        <v>45777</v>
      </c>
      <c r="F4" s="447">
        <v>45808</v>
      </c>
      <c r="G4" t="s">
        <v>307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306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201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206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215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220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222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224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238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250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253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255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261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263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267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259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235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307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4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308</v>
      </c>
      <c r="B3" s="445" t="s">
        <v>304</v>
      </c>
      <c r="C3"/>
      <c r="D3"/>
      <c r="E3"/>
      <c r="F3"/>
      <c r="G3"/>
      <c r="H3"/>
      <c r="I3"/>
    </row>
    <row r="4" spans="1:9">
      <c r="A4" s="445" t="s">
        <v>305</v>
      </c>
      <c r="B4" t="s">
        <v>306</v>
      </c>
      <c r="C4"/>
      <c r="D4" s="447">
        <v>45777</v>
      </c>
      <c r="E4" s="447">
        <v>45808</v>
      </c>
      <c r="F4" s="447">
        <v>45838</v>
      </c>
      <c r="G4" t="s">
        <v>307</v>
      </c>
      <c r="H4"/>
      <c r="I4"/>
    </row>
    <row r="5" spans="1:9">
      <c r="A5" s="446" t="s">
        <v>306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201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206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215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220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222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224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238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250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253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255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261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263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267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259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235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307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309</v>
      </c>
    </row>
    <row r="2" spans="1:4">
      <c r="A2" s="749"/>
      <c r="B2" s="749"/>
      <c r="C2" s="749"/>
      <c r="D2" s="71"/>
    </row>
    <row r="3" spans="1:4">
      <c r="A3" s="748" t="s">
        <v>310</v>
      </c>
      <c r="B3" s="748"/>
      <c r="C3" s="748"/>
      <c r="D3" s="111">
        <v>0.32</v>
      </c>
    </row>
    <row r="4" spans="1:4">
      <c r="A4" s="748" t="s">
        <v>278</v>
      </c>
      <c r="B4" s="748"/>
      <c r="C4" s="748"/>
      <c r="D4" s="111">
        <v>0.5</v>
      </c>
    </row>
    <row r="5" spans="1:4">
      <c r="A5" s="748" t="s">
        <v>289</v>
      </c>
      <c r="B5" s="748"/>
      <c r="C5" s="748"/>
      <c r="D5" s="111">
        <v>0.15</v>
      </c>
    </row>
    <row r="6" spans="1:4">
      <c r="A6" s="748" t="s">
        <v>311</v>
      </c>
      <c r="B6" s="748"/>
      <c r="C6" s="7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750" t="s">
        <v>312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</row>
    <row r="4" spans="2:14" ht="12.95">
      <c r="B4" s="92" t="s">
        <v>313</v>
      </c>
      <c r="C4" s="86"/>
      <c r="D4" s="90" t="s">
        <v>314</v>
      </c>
      <c r="E4" s="95"/>
      <c r="F4" s="90" t="s">
        <v>315</v>
      </c>
      <c r="H4" s="90" t="s">
        <v>316</v>
      </c>
      <c r="I4" s="95"/>
      <c r="J4" s="90" t="s">
        <v>317</v>
      </c>
      <c r="L4" s="90" t="s">
        <v>316</v>
      </c>
      <c r="M4" s="90"/>
      <c r="N4" s="90" t="s">
        <v>318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319</v>
      </c>
      <c r="H7" s="99"/>
      <c r="I7" s="95"/>
      <c r="J7" s="107" t="s">
        <v>319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205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205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320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321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322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319</v>
      </c>
      <c r="H15" s="99"/>
      <c r="I15" s="95"/>
      <c r="J15" s="107" t="s">
        <v>319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323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319</v>
      </c>
      <c r="H21" s="99"/>
      <c r="I21" s="95"/>
      <c r="J21" s="107" t="s">
        <v>319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324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322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319</v>
      </c>
      <c r="H27" s="99"/>
      <c r="I27" s="95"/>
      <c r="J27" s="107" t="s">
        <v>319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325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319</v>
      </c>
      <c r="H34" s="99"/>
      <c r="I34" s="95"/>
      <c r="J34" s="107" t="s">
        <v>319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326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332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750" t="s">
        <v>334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</row>
    <row r="4" spans="2:15" ht="12.95">
      <c r="B4" s="92" t="s">
        <v>313</v>
      </c>
      <c r="C4" s="86"/>
      <c r="D4" s="90" t="s">
        <v>314</v>
      </c>
      <c r="E4" s="95"/>
      <c r="F4" s="95"/>
      <c r="G4" s="90" t="s">
        <v>335</v>
      </c>
      <c r="H4" s="96"/>
      <c r="J4" s="90" t="s">
        <v>316</v>
      </c>
      <c r="L4" s="90" t="s">
        <v>336</v>
      </c>
      <c r="M4" s="96"/>
      <c r="O4" s="90" t="s">
        <v>316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204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207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208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209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332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313</v>
      </c>
      <c r="C18" s="86"/>
      <c r="D18" s="90" t="s">
        <v>314</v>
      </c>
      <c r="E18" s="95"/>
      <c r="F18" s="95"/>
      <c r="G18" s="90" t="s">
        <v>338</v>
      </c>
      <c r="H18" s="96"/>
      <c r="J18" s="90" t="s">
        <v>316</v>
      </c>
      <c r="L18" s="90" t="s">
        <v>339</v>
      </c>
      <c r="M18" s="96"/>
      <c r="O18" s="90" t="s">
        <v>316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340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341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342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343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332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345</v>
      </c>
      <c r="C32" s="103"/>
      <c r="D32" s="103"/>
    </row>
    <row r="33" spans="2:4" ht="12.95" thickTop="1"/>
    <row r="34" spans="2:4">
      <c r="B34" s="88" t="s">
        <v>314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346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2" t="str">
        <f>D15</f>
        <v>Cassia</v>
      </c>
      <c r="C1" s="752"/>
      <c r="D1" s="752"/>
      <c r="E1" s="751" t="s">
        <v>347</v>
      </c>
      <c r="F1" s="751"/>
      <c r="G1" s="751"/>
      <c r="H1" s="751"/>
      <c r="I1" s="751"/>
      <c r="J1" s="751"/>
      <c r="K1" s="77"/>
      <c r="L1" s="77"/>
      <c r="M1" s="77"/>
      <c r="N1" s="77"/>
    </row>
    <row r="2" spans="2:14" ht="6.75" customHeight="1"/>
    <row r="3" spans="2:14">
      <c r="B3" s="72" t="s">
        <v>348</v>
      </c>
      <c r="C3" s="72" t="s">
        <v>349</v>
      </c>
      <c r="D3" s="72" t="s">
        <v>350</v>
      </c>
      <c r="E3" s="78" t="s">
        <v>351</v>
      </c>
      <c r="F3" s="78" t="s">
        <v>352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359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6E4DD4E2-F7EF-4673-88C4-B5EB742BF31E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