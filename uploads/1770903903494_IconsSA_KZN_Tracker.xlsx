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1" documentId="13_ncr:1_{8DFAE76A-997B-4D69-8F5D-2B7AE148B28B}" xr6:coauthVersionLast="47" xr6:coauthVersionMax="47" xr10:uidLastSave="{4B7E0783-56EE-BA48-9493-B7E1717BBFBB}"/>
  <bookViews>
    <workbookView minimized="1" xWindow="-23505" yWindow="3750" windowWidth="16125" windowHeight="8715" tabRatio="731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7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8" i="2" l="1"/>
  <c r="G9" i="20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 s="1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 s="1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 s="1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1" i="18"/>
  <c r="I71" i="18"/>
  <c r="F15" i="3"/>
  <c r="I80" i="18"/>
  <c r="I128" i="18"/>
  <c r="F21" i="3"/>
  <c r="J21" i="3"/>
  <c r="X44" i="18"/>
  <c r="H13" i="3"/>
  <c r="M43" i="2"/>
  <c r="W15" i="2"/>
  <c r="M39" i="2"/>
  <c r="W14" i="2"/>
  <c r="G12" i="2"/>
  <c r="M46" i="2"/>
  <c r="W16" i="2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/>
  <c r="Z12" i="18"/>
  <c r="Z22" i="18"/>
  <c r="Z23" i="18"/>
  <c r="Z24" i="18"/>
  <c r="I6" i="18"/>
  <c r="F9" i="3"/>
  <c r="J9" i="3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/>
  <c r="X128" i="18"/>
  <c r="F17" i="5"/>
  <c r="F16" i="5"/>
  <c r="F15" i="5"/>
  <c r="Q34" i="18"/>
  <c r="Q32" i="18"/>
  <c r="Q35" i="18"/>
  <c r="H15" i="3"/>
  <c r="J15" i="3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I11" i="6" s="1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FL11" i="6" s="1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/>
  <c r="BG17" i="6"/>
  <c r="U121" i="18"/>
  <c r="U120" i="18"/>
  <c r="V119" i="18"/>
  <c r="K50" i="2"/>
  <c r="U142" i="18"/>
  <c r="U135" i="18"/>
  <c r="U144" i="18"/>
  <c r="J23" i="3"/>
  <c r="U136" i="18"/>
  <c r="U145" i="18"/>
  <c r="U137" i="18"/>
  <c r="V4" i="5"/>
  <c r="J10" i="3"/>
  <c r="F5" i="3"/>
  <c r="G6" i="6"/>
  <c r="H6" i="6"/>
  <c r="N52" i="2"/>
  <c r="I6" i="6"/>
  <c r="H7" i="6"/>
  <c r="D5" i="5"/>
  <c r="F25" i="3"/>
  <c r="D5" i="6"/>
  <c r="J19" i="3"/>
  <c r="G7" i="6"/>
  <c r="H5" i="3"/>
  <c r="F5" i="5"/>
  <c r="J13" i="3"/>
  <c r="U50" i="18"/>
  <c r="V44" i="18"/>
  <c r="Y4" i="5"/>
  <c r="W4" i="5"/>
  <c r="U4" i="5"/>
  <c r="T4" i="5"/>
  <c r="X2" i="18"/>
  <c r="AT17" i="6"/>
  <c r="X4" i="5"/>
  <c r="AP17" i="6"/>
  <c r="G18" i="6"/>
  <c r="N39" i="2"/>
  <c r="N50" i="2"/>
  <c r="I46" i="2"/>
  <c r="T16" i="2"/>
  <c r="K51" i="2"/>
  <c r="K46" i="2"/>
  <c r="H25" i="3"/>
  <c r="V135" i="18"/>
  <c r="AK17" i="6"/>
  <c r="D17" i="6"/>
  <c r="C17" i="6"/>
  <c r="J5" i="3"/>
  <c r="D6" i="5"/>
  <c r="D7" i="5"/>
  <c r="C5" i="6"/>
  <c r="I7" i="6"/>
  <c r="J6" i="6"/>
  <c r="C11" i="6"/>
  <c r="F6" i="5"/>
  <c r="F7" i="5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V16" i="2"/>
  <c r="J46" i="2"/>
  <c r="U16" i="2"/>
  <c r="N51" i="2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K6" i="6"/>
  <c r="J7" i="6"/>
  <c r="D18" i="6"/>
  <c r="C18" i="6"/>
  <c r="L6" i="6"/>
  <c r="K7" i="6"/>
  <c r="M6" i="6"/>
  <c r="L7" i="6"/>
  <c r="N6" i="6"/>
  <c r="M7" i="6"/>
  <c r="N7" i="6"/>
  <c r="O6" i="6"/>
  <c r="P6" i="6"/>
  <c r="O7" i="6"/>
  <c r="P7" i="6"/>
  <c r="Q6" i="6"/>
  <c r="Q7" i="6"/>
  <c r="R6" i="6"/>
  <c r="S6" i="6"/>
  <c r="R7" i="6"/>
  <c r="T6" i="6"/>
  <c r="S7" i="6"/>
  <c r="U6" i="6"/>
  <c r="T7" i="6"/>
  <c r="U7" i="6"/>
  <c r="V6" i="6"/>
  <c r="W6" i="6"/>
  <c r="V7" i="6"/>
  <c r="W7" i="6"/>
  <c r="X6" i="6"/>
  <c r="X7" i="6"/>
  <c r="Y6" i="6"/>
  <c r="Z6" i="6"/>
  <c r="Y7" i="6"/>
  <c r="Z7" i="6"/>
  <c r="AA6" i="6"/>
  <c r="AA7" i="6"/>
  <c r="AB6" i="6"/>
  <c r="AC6" i="6"/>
  <c r="AB7" i="6"/>
  <c r="AC7" i="6"/>
  <c r="AD6" i="6"/>
  <c r="AD7" i="6"/>
  <c r="AE6" i="6"/>
  <c r="AF6" i="6"/>
  <c r="AE7" i="6"/>
  <c r="AF7" i="6"/>
  <c r="AG6" i="6"/>
  <c r="AH6" i="6"/>
  <c r="AG7" i="6"/>
  <c r="AI6" i="6"/>
  <c r="AH7" i="6"/>
  <c r="AI7" i="6"/>
  <c r="AJ6" i="6"/>
  <c r="AJ7" i="6"/>
  <c r="AK6" i="6"/>
  <c r="AL6" i="6"/>
  <c r="AK7" i="6"/>
  <c r="AL7" i="6"/>
  <c r="AM6" i="6"/>
  <c r="AN6" i="6"/>
  <c r="AM7" i="6"/>
  <c r="AO6" i="6"/>
  <c r="AN7" i="6"/>
  <c r="AO7" i="6"/>
  <c r="AP6" i="6"/>
  <c r="AP7" i="6"/>
  <c r="AQ6" i="6"/>
  <c r="AR6" i="6"/>
  <c r="AQ7" i="6"/>
  <c r="AR7" i="6"/>
  <c r="AS6" i="6"/>
  <c r="AS7" i="6"/>
  <c r="AT6" i="6"/>
  <c r="AU6" i="6"/>
  <c r="AT7" i="6"/>
  <c r="AU7" i="6"/>
  <c r="AV6" i="6"/>
  <c r="AV7" i="6"/>
  <c r="AW6" i="6"/>
  <c r="AX6" i="6"/>
  <c r="AW7" i="6"/>
  <c r="AX7" i="6"/>
  <c r="AY6" i="6"/>
  <c r="AY7" i="6"/>
  <c r="AZ6" i="6"/>
  <c r="AZ7" i="6"/>
  <c r="BA6" i="6"/>
  <c r="BA7" i="6"/>
  <c r="BB6" i="6"/>
  <c r="BB7" i="6"/>
  <c r="BC6" i="6"/>
  <c r="BD6" i="6"/>
  <c r="BC7" i="6"/>
  <c r="BD7" i="6"/>
  <c r="BE6" i="6"/>
  <c r="BE7" i="6"/>
  <c r="BF6" i="6"/>
  <c r="BG6" i="6"/>
  <c r="BF7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N7" i="6"/>
  <c r="BO6" i="6"/>
  <c r="BO7" i="6"/>
  <c r="BP6" i="6"/>
  <c r="BP7" i="6"/>
  <c r="BQ6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C6" i="6"/>
  <c r="CB7" i="6"/>
  <c r="CD6" i="6"/>
  <c r="CC7" i="6"/>
  <c r="CD7" i="6"/>
  <c r="CE6" i="6"/>
  <c r="CE7" i="6"/>
  <c r="CF6" i="6"/>
  <c r="CF7" i="6"/>
  <c r="CG6" i="6"/>
  <c r="CG7" i="6"/>
  <c r="CH6" i="6"/>
  <c r="CH7" i="6"/>
  <c r="CI6" i="6"/>
  <c r="CI7" i="6"/>
  <c r="CJ6" i="6"/>
  <c r="CJ7" i="6"/>
  <c r="CK6" i="6"/>
  <c r="CK7" i="6"/>
  <c r="CL6" i="6"/>
  <c r="CL7" i="6"/>
  <c r="CM6" i="6"/>
  <c r="CM7" i="6"/>
  <c r="CN6" i="6"/>
  <c r="CN7" i="6"/>
  <c r="CO6" i="6"/>
  <c r="CO7" i="6"/>
  <c r="CP6" i="6"/>
  <c r="CP7" i="6"/>
  <c r="CQ6" i="6"/>
  <c r="CQ7" i="6"/>
  <c r="CR6" i="6"/>
  <c r="CR7" i="6"/>
  <c r="CS6" i="6"/>
  <c r="CT6" i="6"/>
  <c r="CS7" i="6"/>
  <c r="CT7" i="6"/>
  <c r="CU6" i="6"/>
  <c r="CU7" i="6"/>
  <c r="CV6" i="6"/>
  <c r="CV7" i="6"/>
  <c r="CW6" i="6"/>
  <c r="CW7" i="6"/>
  <c r="CX6" i="6"/>
  <c r="CY6" i="6"/>
  <c r="CX7" i="6"/>
  <c r="CY7" i="6"/>
  <c r="CZ6" i="6"/>
  <c r="CZ7" i="6"/>
  <c r="DA6" i="6"/>
  <c r="DB6" i="6"/>
  <c r="DA7" i="6"/>
  <c r="DB7" i="6"/>
  <c r="DC6" i="6"/>
  <c r="DC7" i="6"/>
  <c r="DD6" i="6"/>
  <c r="DD7" i="6"/>
  <c r="DE6" i="6"/>
  <c r="DE7" i="6"/>
  <c r="DF6" i="6"/>
  <c r="DF7" i="6"/>
  <c r="DG6" i="6"/>
  <c r="DG7" i="6"/>
  <c r="DH6" i="6"/>
  <c r="DH7" i="6"/>
  <c r="DI6" i="6"/>
  <c r="DI7" i="6"/>
  <c r="DJ6" i="6"/>
  <c r="DJ7" i="6"/>
  <c r="DK6" i="6"/>
  <c r="DL6" i="6"/>
  <c r="DK7" i="6"/>
  <c r="DL7" i="6"/>
  <c r="DM6" i="6"/>
  <c r="DN6" i="6"/>
  <c r="DM7" i="6"/>
  <c r="DN7" i="6"/>
  <c r="DO6" i="6"/>
  <c r="DO7" i="6"/>
  <c r="DP6" i="6"/>
  <c r="DP7" i="6"/>
  <c r="DQ6" i="6"/>
  <c r="DQ7" i="6"/>
  <c r="DR6" i="6"/>
  <c r="DR7" i="6"/>
  <c r="DS6" i="6"/>
  <c r="DS7" i="6"/>
  <c r="DT6" i="6"/>
  <c r="DU6" i="6"/>
  <c r="DT7" i="6"/>
  <c r="DU7" i="6"/>
  <c r="DV6" i="6"/>
  <c r="DV7" i="6"/>
  <c r="DW6" i="6"/>
  <c r="DW7" i="6"/>
  <c r="DX6" i="6"/>
  <c r="DY6" i="6"/>
  <c r="DX7" i="6"/>
  <c r="DZ6" i="6"/>
  <c r="DY7" i="6"/>
  <c r="DZ7" i="6"/>
  <c r="EA6" i="6"/>
  <c r="EA7" i="6"/>
  <c r="EB6" i="6"/>
  <c r="EB7" i="6"/>
  <c r="EC6" i="6"/>
  <c r="EC7" i="6"/>
  <c r="ED6" i="6"/>
  <c r="ED7" i="6"/>
  <c r="EE6" i="6"/>
  <c r="EF6" i="6"/>
  <c r="EE7" i="6"/>
  <c r="EF7" i="6"/>
  <c r="EG6" i="6"/>
  <c r="EG7" i="6"/>
  <c r="EH6" i="6"/>
  <c r="EI6" i="6"/>
  <c r="EH7" i="6"/>
  <c r="EJ6" i="6"/>
  <c r="EI7" i="6"/>
  <c r="EJ7" i="6"/>
  <c r="EK6" i="6"/>
  <c r="EK7" i="6"/>
  <c r="EL6" i="6"/>
  <c r="EL7" i="6"/>
  <c r="EM6" i="6"/>
  <c r="EM7" i="6"/>
  <c r="EN6" i="6"/>
  <c r="EO6" i="6"/>
  <c r="EN7" i="6"/>
  <c r="EO7" i="6"/>
  <c r="EP6" i="6"/>
  <c r="EP7" i="6"/>
  <c r="EQ6" i="6"/>
  <c r="EQ7" i="6"/>
  <c r="ER6" i="6"/>
  <c r="ER7" i="6"/>
  <c r="ES6" i="6"/>
  <c r="ES7" i="6"/>
  <c r="ET6" i="6"/>
  <c r="EU6" i="6"/>
  <c r="ET7" i="6"/>
  <c r="EV6" i="6"/>
  <c r="EU7" i="6"/>
  <c r="EV7" i="6"/>
  <c r="EW6" i="6"/>
  <c r="EX6" i="6"/>
  <c r="EW7" i="6"/>
  <c r="EY6" i="6"/>
  <c r="EX7" i="6"/>
  <c r="EY7" i="6"/>
  <c r="EZ6" i="6"/>
  <c r="FA6" i="6"/>
  <c r="EZ7" i="6"/>
  <c r="FB6" i="6"/>
  <c r="FA7" i="6"/>
  <c r="FB7" i="6"/>
  <c r="FC6" i="6"/>
  <c r="FD6" i="6"/>
  <c r="FC7" i="6"/>
  <c r="FD7" i="6"/>
  <c r="FE6" i="6"/>
  <c r="FE7" i="6"/>
  <c r="FF6" i="6"/>
  <c r="FG6" i="6"/>
  <c r="FF7" i="6"/>
  <c r="FG7" i="6"/>
  <c r="FH6" i="6"/>
  <c r="FH7" i="6"/>
  <c r="FI6" i="6"/>
  <c r="FJ6" i="6"/>
  <c r="FI7" i="6"/>
  <c r="FJ7" i="6"/>
  <c r="FK6" i="6"/>
  <c r="FL6" i="6"/>
  <c r="FK7" i="6"/>
  <c r="FM6" i="6"/>
  <c r="FL7" i="6"/>
  <c r="FN6" i="6"/>
  <c r="FM7" i="6"/>
  <c r="FN7" i="6"/>
  <c r="FO6" i="6"/>
  <c r="FP6" i="6"/>
  <c r="FO7" i="6"/>
  <c r="FP7" i="6"/>
  <c r="FQ6" i="6"/>
  <c r="FQ7" i="6"/>
  <c r="FR6" i="6"/>
  <c r="FS6" i="6"/>
  <c r="FR7" i="6"/>
  <c r="FT6" i="6"/>
  <c r="FS7" i="6"/>
  <c r="FT7" i="6"/>
  <c r="FU6" i="6"/>
  <c r="FV6" i="6"/>
  <c r="FU7" i="6"/>
  <c r="FW6" i="6"/>
  <c r="FV7" i="6"/>
  <c r="FW7" i="6"/>
  <c r="FX6" i="6"/>
  <c r="FY6" i="6"/>
  <c r="FX7" i="6"/>
  <c r="FY7" i="6"/>
  <c r="FZ6" i="6"/>
  <c r="FZ7" i="6"/>
  <c r="GA6" i="6"/>
  <c r="GB6" i="6"/>
  <c r="GA7" i="6"/>
  <c r="GB7" i="6"/>
  <c r="GC6" i="6"/>
  <c r="GD6" i="6"/>
  <c r="GC7" i="6"/>
  <c r="GE6" i="6"/>
  <c r="GD7" i="6"/>
  <c r="GE7" i="6"/>
  <c r="GF6" i="6"/>
  <c r="GG6" i="6"/>
  <c r="GF7" i="6"/>
  <c r="GH6" i="6"/>
  <c r="GG7" i="6"/>
  <c r="GI6" i="6"/>
  <c r="GH7" i="6"/>
  <c r="GJ6" i="6"/>
  <c r="GI7" i="6"/>
  <c r="GJ7" i="6"/>
  <c r="GK6" i="6"/>
  <c r="GK7" i="6"/>
  <c r="GL6" i="6"/>
  <c r="GM6" i="6"/>
  <c r="GL7" i="6"/>
  <c r="GN6" i="6"/>
  <c r="GM7" i="6"/>
  <c r="GO6" i="6"/>
  <c r="GN7" i="6"/>
  <c r="GP6" i="6"/>
  <c r="GO7" i="6"/>
  <c r="GQ6" i="6"/>
  <c r="GP7" i="6"/>
  <c r="GQ7" i="6"/>
  <c r="GR6" i="6"/>
  <c r="GS6" i="6"/>
  <c r="GR7" i="6"/>
  <c r="GT6" i="6"/>
  <c r="GS7" i="6"/>
  <c r="GU6" i="6"/>
  <c r="GT7" i="6"/>
  <c r="GU7" i="6"/>
  <c r="GV6" i="6"/>
  <c r="GW6" i="6"/>
  <c r="GV7" i="6"/>
  <c r="GW7" i="6"/>
  <c r="GX6" i="6"/>
  <c r="GY6" i="6"/>
  <c r="GX7" i="6"/>
  <c r="GZ6" i="6"/>
  <c r="GY7" i="6"/>
  <c r="HA6" i="6"/>
  <c r="GZ7" i="6"/>
  <c r="HB6" i="6"/>
  <c r="HA7" i="6"/>
  <c r="HC6" i="6"/>
  <c r="HB7" i="6"/>
  <c r="HD6" i="6"/>
  <c r="HC7" i="6"/>
  <c r="HE6" i="6"/>
  <c r="HD7" i="6"/>
  <c r="HF6" i="6"/>
  <c r="HE7" i="6"/>
  <c r="HG6" i="6"/>
  <c r="HF7" i="6"/>
  <c r="HG7" i="6"/>
  <c r="HH6" i="6"/>
  <c r="HI6" i="6"/>
  <c r="HH7" i="6"/>
  <c r="HJ6" i="6"/>
  <c r="HI7" i="6"/>
  <c r="HK6" i="6"/>
  <c r="HJ7" i="6"/>
  <c r="HK7" i="6"/>
  <c r="HL6" i="6"/>
  <c r="HL7" i="6"/>
  <c r="HM6" i="6"/>
  <c r="HN6" i="6"/>
  <c r="HM7" i="6"/>
  <c r="HO6" i="6"/>
  <c r="HN7" i="6"/>
  <c r="HP6" i="6"/>
  <c r="HO7" i="6"/>
  <c r="HP7" i="6"/>
  <c r="HQ6" i="6"/>
  <c r="HR6" i="6"/>
  <c r="HQ7" i="6"/>
  <c r="HS6" i="6"/>
  <c r="HR7" i="6"/>
  <c r="HS7" i="6"/>
  <c r="HT6" i="6"/>
  <c r="HU6" i="6"/>
  <c r="HT7" i="6"/>
  <c r="HV6" i="6"/>
  <c r="HU7" i="6"/>
  <c r="HV7" i="6"/>
  <c r="HW6" i="6"/>
  <c r="HX6" i="6"/>
  <c r="HW7" i="6"/>
  <c r="HY6" i="6"/>
  <c r="HX7" i="6"/>
  <c r="HY7" i="6"/>
  <c r="HZ6" i="6"/>
  <c r="IA6" i="6"/>
  <c r="HZ7" i="6"/>
  <c r="IB6" i="6"/>
  <c r="IA7" i="6"/>
  <c r="IC6" i="6"/>
  <c r="IB7" i="6"/>
  <c r="ID6" i="6"/>
  <c r="IC7" i="6"/>
  <c r="IE6" i="6"/>
  <c r="ID7" i="6"/>
  <c r="IF6" i="6"/>
  <c r="IE7" i="6"/>
  <c r="IG6" i="6"/>
  <c r="IF7" i="6"/>
  <c r="IH6" i="6"/>
  <c r="IG7" i="6"/>
  <c r="II6" i="6"/>
  <c r="IH7" i="6"/>
  <c r="IJ6" i="6"/>
  <c r="II7" i="6"/>
  <c r="IK6" i="6"/>
  <c r="IJ7" i="6"/>
  <c r="IL6" i="6"/>
  <c r="IK7" i="6"/>
  <c r="IM6" i="6"/>
  <c r="IL7" i="6"/>
  <c r="IN6" i="6"/>
  <c r="IM7" i="6"/>
  <c r="IO6" i="6"/>
  <c r="IN7" i="6"/>
  <c r="IP6" i="6"/>
  <c r="IO7" i="6"/>
  <c r="IQ6" i="6"/>
  <c r="IP7" i="6"/>
  <c r="IR6" i="6"/>
  <c r="IQ7" i="6"/>
  <c r="IS6" i="6"/>
  <c r="IR7" i="6"/>
  <c r="IS7" i="6"/>
  <c r="IT6" i="6"/>
  <c r="IT7" i="6"/>
  <c r="IU6" i="6"/>
  <c r="IV6" i="6"/>
  <c r="IU7" i="6"/>
  <c r="IW6" i="6"/>
  <c r="IV7" i="6"/>
  <c r="IW7" i="6"/>
  <c r="IX6" i="6"/>
  <c r="IY6" i="6"/>
  <c r="IX7" i="6"/>
  <c r="IZ6" i="6"/>
  <c r="IY7" i="6"/>
  <c r="IZ7" i="6"/>
  <c r="JA6" i="6"/>
  <c r="JB6" i="6"/>
  <c r="JA7" i="6"/>
  <c r="JC6" i="6"/>
  <c r="JB7" i="6"/>
  <c r="JC7" i="6"/>
  <c r="JD6" i="6"/>
  <c r="JE6" i="6"/>
  <c r="JD7" i="6"/>
  <c r="JF6" i="6"/>
  <c r="JE7" i="6"/>
  <c r="JF7" i="6"/>
  <c r="JG6" i="6"/>
  <c r="JH6" i="6"/>
  <c r="JG7" i="6"/>
  <c r="JI6" i="6"/>
  <c r="JH7" i="6"/>
  <c r="JJ6" i="6"/>
  <c r="JI7" i="6"/>
  <c r="JK6" i="6"/>
  <c r="JJ7" i="6"/>
  <c r="JK7" i="6"/>
  <c r="JL6" i="6"/>
  <c r="JL7" i="6"/>
  <c r="JM6" i="6"/>
  <c r="JN6" i="6"/>
  <c r="JM7" i="6"/>
  <c r="JO6" i="6"/>
  <c r="JN7" i="6"/>
  <c r="JO7" i="6"/>
  <c r="JP6" i="6"/>
  <c r="JQ6" i="6"/>
  <c r="JP7" i="6"/>
  <c r="JR6" i="6"/>
  <c r="JQ7" i="6"/>
  <c r="JR7" i="6"/>
  <c r="JS6" i="6"/>
  <c r="JT6" i="6"/>
  <c r="JS7" i="6"/>
  <c r="JU6" i="6"/>
  <c r="JT7" i="6"/>
  <c r="JV6" i="6"/>
  <c r="JU7" i="6"/>
  <c r="JV7" i="6"/>
  <c r="JW6" i="6"/>
  <c r="JX6" i="6"/>
  <c r="JW7" i="6"/>
  <c r="JY6" i="6"/>
  <c r="JX7" i="6"/>
  <c r="JZ6" i="6"/>
  <c r="JY7" i="6"/>
  <c r="KA6" i="6"/>
  <c r="JZ7" i="6"/>
  <c r="KB6" i="6"/>
  <c r="KA7" i="6"/>
  <c r="KC6" i="6"/>
  <c r="KB7" i="6"/>
  <c r="KD6" i="6"/>
  <c r="KC7" i="6"/>
  <c r="KD7" i="6"/>
  <c r="KE6" i="6"/>
  <c r="KF6" i="6"/>
  <c r="KE7" i="6"/>
  <c r="KG6" i="6"/>
  <c r="KF7" i="6"/>
  <c r="KG7" i="6"/>
  <c r="KH6" i="6"/>
  <c r="KI6" i="6"/>
  <c r="KH7" i="6"/>
  <c r="KJ6" i="6"/>
  <c r="KI7" i="6"/>
  <c r="KK6" i="6"/>
  <c r="KJ7" i="6"/>
  <c r="KL6" i="6"/>
  <c r="KK7" i="6"/>
  <c r="KM6" i="6"/>
  <c r="KL7" i="6"/>
  <c r="KM7" i="6"/>
  <c r="KN6" i="6"/>
  <c r="KO6" i="6"/>
  <c r="KN7" i="6"/>
  <c r="KP6" i="6"/>
  <c r="KO7" i="6"/>
  <c r="KQ6" i="6"/>
  <c r="KP7" i="6"/>
  <c r="KR6" i="6"/>
  <c r="KQ7" i="6"/>
  <c r="KR7" i="6"/>
  <c r="KS6" i="6"/>
  <c r="KT6" i="6"/>
  <c r="KS7" i="6"/>
  <c r="KT7" i="6"/>
  <c r="KU6" i="6"/>
  <c r="KU7" i="6"/>
  <c r="KV6" i="6"/>
  <c r="KW6" i="6"/>
  <c r="KV7" i="6"/>
  <c r="KW7" i="6"/>
  <c r="KX6" i="6"/>
  <c r="KY6" i="6"/>
  <c r="KX7" i="6"/>
  <c r="KY7" i="6"/>
  <c r="KZ6" i="6"/>
  <c r="KZ7" i="6"/>
  <c r="LA6" i="6"/>
  <c r="LA7" i="6"/>
  <c r="LB6" i="6"/>
  <c r="LC6" i="6"/>
  <c r="LB7" i="6"/>
  <c r="LD6" i="6"/>
  <c r="LD7" i="6"/>
  <c r="LC7" i="6"/>
  <c r="JU11" i="6" l="1"/>
  <c r="FI11" i="6"/>
  <c r="EW11" i="6"/>
  <c r="F11" i="6"/>
  <c r="F12" i="6" s="1"/>
  <c r="HO11" i="6"/>
  <c r="BN11" i="6"/>
  <c r="JT11" i="6"/>
  <c r="KD11" i="6"/>
  <c r="IW11" i="6"/>
  <c r="ET11" i="6"/>
  <c r="JF11" i="6"/>
  <c r="GT11" i="6"/>
  <c r="R11" i="6"/>
  <c r="JZ11" i="6"/>
  <c r="IY11" i="6"/>
  <c r="EG11" i="6"/>
  <c r="AQ11" i="6"/>
  <c r="ED11" i="6"/>
  <c r="IS11" i="6"/>
  <c r="V11" i="6"/>
  <c r="KN11" i="6"/>
  <c r="Y11" i="6"/>
  <c r="HZ11" i="6"/>
  <c r="DZ11" i="6"/>
  <c r="LC11" i="6"/>
  <c r="CR11" i="6"/>
  <c r="GY11" i="6"/>
  <c r="GL11" i="6"/>
  <c r="BI11" i="6"/>
  <c r="GG11" i="6"/>
  <c r="DQ11" i="6"/>
  <c r="IL11" i="6"/>
  <c r="FV11" i="6"/>
  <c r="IC11" i="6"/>
  <c r="S11" i="6"/>
  <c r="BH11" i="6"/>
  <c r="AN11" i="6"/>
  <c r="FJ11" i="6"/>
  <c r="HQ11" i="6"/>
  <c r="KL11" i="6"/>
  <c r="FA11" i="6"/>
  <c r="G11" i="6"/>
  <c r="G12" i="6" s="1"/>
  <c r="DD11" i="6"/>
  <c r="DH11" i="6"/>
  <c r="GR11" i="6"/>
  <c r="FR11" i="6"/>
  <c r="FK11" i="6"/>
  <c r="EK11" i="6"/>
  <c r="FU11" i="6"/>
  <c r="FZ11" i="6"/>
  <c r="EP11" i="6"/>
  <c r="KB11" i="6"/>
  <c r="GO11" i="6"/>
  <c r="GD11" i="6"/>
  <c r="DO11" i="6"/>
  <c r="DU11" i="6"/>
  <c r="KU11" i="6"/>
  <c r="JP11" i="6"/>
  <c r="JE11" i="6"/>
  <c r="DE11" i="6"/>
  <c r="H11" i="6"/>
  <c r="EF11" i="6"/>
  <c r="AO11" i="6"/>
  <c r="AE11" i="6"/>
  <c r="CL11" i="6"/>
  <c r="DP11" i="6"/>
  <c r="DA11" i="6"/>
  <c r="KH11" i="6"/>
  <c r="IJ11" i="6"/>
  <c r="CH11" i="6"/>
  <c r="FC11" i="6"/>
  <c r="KM11" i="6"/>
  <c r="IH11" i="6"/>
  <c r="GS11" i="6"/>
  <c r="DR11" i="6"/>
  <c r="X11" i="6"/>
  <c r="DL11" i="6"/>
  <c r="AR11" i="6"/>
  <c r="AG11" i="6"/>
  <c r="CX11" i="6"/>
  <c r="HS11" i="6"/>
  <c r="AW11" i="6"/>
  <c r="JB11" i="6"/>
  <c r="IX11" i="6"/>
  <c r="CS11" i="6"/>
  <c r="IP11" i="6"/>
  <c r="ID11" i="6"/>
  <c r="O11" i="6"/>
  <c r="KW11" i="6"/>
  <c r="EU11" i="6"/>
  <c r="KR11" i="6"/>
  <c r="KC11" i="6"/>
  <c r="BB11" i="6"/>
  <c r="FG11" i="6"/>
  <c r="FE11" i="6"/>
  <c r="KQ11" i="6"/>
  <c r="CW11" i="6"/>
  <c r="LA11" i="6"/>
  <c r="DX11" i="6"/>
  <c r="DF11" i="6"/>
  <c r="P11" i="6"/>
  <c r="FN11" i="6"/>
  <c r="DC11" i="6"/>
  <c r="AD11" i="6"/>
  <c r="KG11" i="6"/>
  <c r="JA11" i="6"/>
  <c r="FS11" i="6"/>
  <c r="CM11" i="6"/>
  <c r="CQ11" i="6"/>
  <c r="CA11" i="6"/>
  <c r="DJ11" i="6"/>
  <c r="KJ11" i="6"/>
  <c r="HM11" i="6"/>
  <c r="EX11" i="6"/>
  <c r="KE11" i="6"/>
  <c r="IA11" i="6"/>
  <c r="GB11" i="6"/>
  <c r="BF11" i="6"/>
  <c r="AP11" i="6"/>
  <c r="EA11" i="6"/>
  <c r="AH11" i="6"/>
  <c r="IZ11" i="6"/>
  <c r="GU11" i="6"/>
  <c r="BY11" i="6"/>
  <c r="BS11" i="6"/>
  <c r="AX11" i="6"/>
  <c r="FQ11" i="6"/>
  <c r="IG11" i="6"/>
  <c r="BW11" i="6"/>
  <c r="HI11" i="6"/>
  <c r="CV11" i="6"/>
  <c r="HF11" i="6"/>
  <c r="CT11" i="6"/>
  <c r="AU11" i="6"/>
  <c r="JD11" i="6"/>
  <c r="JY11" i="6"/>
  <c r="DS11" i="6"/>
  <c r="GC11" i="6"/>
  <c r="CZ11" i="6"/>
  <c r="HY11" i="6"/>
  <c r="EE11" i="6"/>
  <c r="GW11" i="6"/>
  <c r="FX11" i="6"/>
  <c r="HH11" i="6"/>
  <c r="CY11" i="6"/>
  <c r="GP11" i="6"/>
  <c r="EY11" i="6"/>
  <c r="JG11" i="6"/>
  <c r="KK11" i="6"/>
  <c r="IE11" i="6"/>
  <c r="FT11" i="6"/>
  <c r="AC11" i="6"/>
  <c r="EC11" i="6"/>
  <c r="IU11" i="6"/>
  <c r="CN11" i="6"/>
  <c r="BC11" i="6"/>
  <c r="BA11" i="6"/>
  <c r="CB11" i="6"/>
  <c r="CJ11" i="6"/>
  <c r="BG11" i="6"/>
  <c r="EO11" i="6"/>
  <c r="GK11" i="6"/>
  <c r="BO11" i="6"/>
  <c r="KI11" i="6"/>
  <c r="JV11" i="6"/>
  <c r="KX11" i="6"/>
  <c r="AS11" i="6"/>
  <c r="HP11" i="6"/>
  <c r="BV11" i="6"/>
  <c r="EN11" i="6"/>
  <c r="JI11" i="6"/>
  <c r="Z11" i="6"/>
  <c r="JK11" i="6"/>
  <c r="AJ11" i="6"/>
  <c r="EJ11" i="6"/>
  <c r="JO11" i="6"/>
  <c r="HA11" i="6"/>
  <c r="GA11" i="6"/>
  <c r="HT11" i="6"/>
  <c r="AV11" i="6"/>
  <c r="HV11" i="6"/>
  <c r="GZ11" i="6"/>
  <c r="DY11" i="6"/>
  <c r="GX11" i="6"/>
  <c r="M11" i="6"/>
  <c r="KY11" i="6"/>
  <c r="HU11" i="6"/>
  <c r="LD11" i="6"/>
  <c r="EH11" i="6"/>
  <c r="IQ11" i="6"/>
  <c r="CU11" i="6"/>
  <c r="GJ11" i="6"/>
  <c r="U11" i="6"/>
  <c r="DT11" i="6"/>
  <c r="CD11" i="6"/>
  <c r="ER11" i="6"/>
  <c r="KV11" i="6"/>
  <c r="JJ11" i="6"/>
  <c r="HK11" i="6"/>
  <c r="BJ11" i="6"/>
  <c r="Q11" i="6"/>
  <c r="ES11" i="6"/>
  <c r="FD11" i="6"/>
  <c r="CI11" i="6"/>
  <c r="KA11" i="6"/>
  <c r="CC11" i="6"/>
  <c r="K11" i="6"/>
  <c r="BD11" i="6"/>
  <c r="IK11" i="6"/>
  <c r="N11" i="6"/>
  <c r="JC11" i="6"/>
  <c r="LB11" i="6"/>
  <c r="FP11" i="6"/>
  <c r="BE11" i="6"/>
  <c r="FM11" i="6"/>
  <c r="GF11" i="6"/>
  <c r="JN11" i="6"/>
  <c r="T11" i="6"/>
  <c r="CE11" i="6"/>
  <c r="KS11" i="6"/>
  <c r="FO11" i="6"/>
  <c r="FY11" i="6"/>
  <c r="W11" i="6"/>
  <c r="CP11" i="6"/>
  <c r="DI11" i="6"/>
  <c r="JM11" i="6"/>
  <c r="HE11" i="6"/>
  <c r="DK11" i="6"/>
  <c r="FB11" i="6"/>
  <c r="II11" i="6"/>
  <c r="DB11" i="6"/>
  <c r="HJ11" i="6"/>
  <c r="BL11" i="6"/>
  <c r="GH11" i="6"/>
  <c r="BZ11" i="6"/>
  <c r="AA11" i="6"/>
  <c r="AM11" i="6"/>
  <c r="EZ11" i="6"/>
  <c r="KZ11" i="6"/>
  <c r="EV11" i="6"/>
  <c r="HC11" i="6"/>
  <c r="JS11" i="6"/>
  <c r="HG11" i="6"/>
  <c r="I11" i="6"/>
  <c r="GQ11" i="6"/>
  <c r="BK11" i="6"/>
  <c r="HR11" i="6"/>
  <c r="IN11" i="6"/>
  <c r="AB11" i="6"/>
  <c r="GN11" i="6"/>
  <c r="IB11" i="6"/>
  <c r="JR11" i="6"/>
  <c r="AT11" i="6"/>
  <c r="AY11" i="6"/>
  <c r="DV11" i="6"/>
  <c r="BX11" i="6"/>
  <c r="GE11" i="6"/>
  <c r="IO11" i="6"/>
  <c r="FW11" i="6"/>
  <c r="JW11" i="6"/>
  <c r="JX11" i="6"/>
  <c r="HB11" i="6"/>
  <c r="JQ11" i="6"/>
  <c r="DM11" i="6"/>
  <c r="GI11" i="6"/>
  <c r="GM11" i="6"/>
  <c r="L11" i="6"/>
  <c r="DG11" i="6"/>
  <c r="CO11" i="6"/>
  <c r="JL11" i="6"/>
  <c r="GV11" i="6"/>
  <c r="CG11" i="6"/>
  <c r="AL11" i="6"/>
  <c r="EL11" i="6"/>
  <c r="HD11" i="6"/>
  <c r="IF11" i="6"/>
  <c r="AK11" i="6"/>
  <c r="KT11" i="6"/>
  <c r="EM11" i="6"/>
  <c r="BT11" i="6"/>
  <c r="EQ11" i="6"/>
  <c r="HN11" i="6"/>
  <c r="AF11" i="6"/>
  <c r="CK11" i="6"/>
  <c r="DW11" i="6"/>
  <c r="J11" i="6"/>
  <c r="HX11" i="6"/>
  <c r="KP11" i="6"/>
  <c r="AI11" i="6"/>
  <c r="HL11" i="6"/>
  <c r="BQ11" i="6"/>
  <c r="BM11" i="6"/>
  <c r="AZ11" i="6"/>
  <c r="CF11" i="6"/>
  <c r="BR11" i="6"/>
  <c r="F14" i="6"/>
  <c r="KO11" i="6"/>
  <c r="EB11" i="6"/>
  <c r="FH11" i="6"/>
  <c r="BU11" i="6"/>
  <c r="IR11" i="6"/>
  <c r="IV11" i="6"/>
  <c r="FF11" i="6"/>
  <c r="BP11" i="6"/>
  <c r="JH11" i="6"/>
  <c r="DN11" i="6"/>
  <c r="KF11" i="6"/>
  <c r="IT11" i="6"/>
  <c r="HW11" i="6"/>
  <c r="IM11" i="6"/>
  <c r="N21" i="2"/>
  <c r="N35" i="2"/>
  <c r="N46" i="2"/>
  <c r="N11" i="2"/>
  <c r="M21" i="2"/>
  <c r="M9" i="2" s="1"/>
  <c r="D11" i="6" l="1"/>
  <c r="W11" i="2"/>
  <c r="H12" i="6"/>
  <c r="G14" i="6"/>
  <c r="N9" i="2"/>
  <c r="I12" i="6" l="1"/>
  <c r="H14" i="6"/>
  <c r="I14" i="6" l="1"/>
  <c r="J12" i="6"/>
  <c r="K12" i="6" l="1"/>
  <c r="J14" i="6"/>
  <c r="K14" i="6" l="1"/>
  <c r="L12" i="6"/>
  <c r="L14" i="6" l="1"/>
  <c r="M12" i="6"/>
  <c r="M14" i="6" l="1"/>
  <c r="N12" i="6"/>
  <c r="N14" i="6" l="1"/>
  <c r="O12" i="6"/>
  <c r="O14" i="6" l="1"/>
  <c r="P12" i="6"/>
  <c r="Q12" i="6" l="1"/>
  <c r="P14" i="6"/>
  <c r="Q14" i="6" l="1"/>
  <c r="R12" i="6"/>
  <c r="S12" i="6" l="1"/>
  <c r="R14" i="6"/>
  <c r="S14" i="6" l="1"/>
  <c r="T12" i="6"/>
  <c r="T14" i="6" l="1"/>
  <c r="U12" i="6"/>
  <c r="V12" i="6" l="1"/>
  <c r="U14" i="6"/>
  <c r="V14" i="6" l="1"/>
  <c r="W12" i="6"/>
  <c r="W14" i="6" l="1"/>
  <c r="X12" i="6"/>
  <c r="X14" i="6" l="1"/>
  <c r="Y12" i="6"/>
  <c r="Z12" i="6" l="1"/>
  <c r="Y14" i="6"/>
  <c r="AA12" i="6" l="1"/>
  <c r="Z14" i="6"/>
  <c r="AA14" i="6" l="1"/>
  <c r="AB12" i="6"/>
  <c r="AC12" i="6" l="1"/>
  <c r="AB14" i="6"/>
  <c r="AD12" i="6" l="1"/>
  <c r="AC14" i="6"/>
  <c r="AE12" i="6" l="1"/>
  <c r="AD14" i="6"/>
  <c r="AF12" i="6" l="1"/>
  <c r="AE14" i="6"/>
  <c r="AF14" i="6" l="1"/>
  <c r="AG12" i="6"/>
  <c r="AG14" i="6" l="1"/>
  <c r="AH12" i="6"/>
  <c r="AI12" i="6" l="1"/>
  <c r="AH14" i="6"/>
  <c r="AI14" i="6" l="1"/>
  <c r="AJ12" i="6"/>
  <c r="AJ14" i="6" l="1"/>
  <c r="AK12" i="6"/>
  <c r="AK14" i="6" l="1"/>
  <c r="AL12" i="6"/>
  <c r="AL14" i="6" l="1"/>
  <c r="AM12" i="6"/>
  <c r="AM14" i="6" l="1"/>
  <c r="AN12" i="6"/>
  <c r="AN14" i="6" l="1"/>
  <c r="AO12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U14" i="6" l="1"/>
  <c r="AV12" i="6"/>
  <c r="AV14" i="6" l="1"/>
  <c r="AW12" i="6"/>
  <c r="AW14" i="6" l="1"/>
  <c r="AX12" i="6"/>
  <c r="AY12" i="6" l="1"/>
  <c r="AX14" i="6"/>
  <c r="AZ12" i="6" l="1"/>
  <c r="AY14" i="6"/>
  <c r="AZ14" i="6" l="1"/>
  <c r="BA12" i="6"/>
  <c r="BA14" i="6" l="1"/>
  <c r="BB12" i="6"/>
  <c r="BB14" i="6" l="1"/>
  <c r="BC12" i="6"/>
  <c r="BC14" i="6" l="1"/>
  <c r="BD12" i="6"/>
  <c r="BD14" i="6" l="1"/>
  <c r="BE12" i="6"/>
  <c r="BE14" i="6" l="1"/>
  <c r="BF12" i="6"/>
  <c r="BG12" i="6" l="1"/>
  <c r="BF14" i="6"/>
  <c r="BG14" i="6" l="1"/>
  <c r="BH12" i="6"/>
  <c r="BI12" i="6" l="1"/>
  <c r="BH14" i="6"/>
  <c r="BI14" i="6" l="1"/>
  <c r="BJ12" i="6"/>
  <c r="BK12" i="6" l="1"/>
  <c r="BJ14" i="6"/>
  <c r="BK14" i="6" l="1"/>
  <c r="BL12" i="6"/>
  <c r="BL14" i="6" l="1"/>
  <c r="BM12" i="6"/>
  <c r="BN12" i="6" l="1"/>
  <c r="BM14" i="6"/>
  <c r="BN14" i="6" l="1"/>
  <c r="BO12" i="6"/>
  <c r="BP12" i="6" l="1"/>
  <c r="BO14" i="6"/>
  <c r="BQ12" i="6" l="1"/>
  <c r="BP14" i="6"/>
  <c r="BR12" i="6" l="1"/>
  <c r="BQ14" i="6"/>
  <c r="BS12" i="6" l="1"/>
  <c r="BR14" i="6"/>
  <c r="BS14" i="6" l="1"/>
  <c r="BT12" i="6"/>
  <c r="BU12" i="6" l="1"/>
  <c r="BT14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A14" i="6" l="1"/>
  <c r="CB12" i="6"/>
  <c r="CB14" i="6" l="1"/>
  <c r="CC12" i="6"/>
  <c r="CC14" i="6" l="1"/>
  <c r="CD12" i="6"/>
  <c r="CE12" i="6" l="1"/>
  <c r="CD14" i="6"/>
  <c r="CF12" i="6" l="1"/>
  <c r="CE14" i="6"/>
  <c r="CG12" i="6" l="1"/>
  <c r="CF14" i="6"/>
  <c r="CG14" i="6" l="1"/>
  <c r="CH12" i="6"/>
  <c r="CH14" i="6" l="1"/>
  <c r="CI12" i="6"/>
  <c r="CI14" i="6" l="1"/>
  <c r="CJ12" i="6"/>
  <c r="CJ14" i="6" l="1"/>
  <c r="CK12" i="6"/>
  <c r="CL12" i="6" l="1"/>
  <c r="CK14" i="6"/>
  <c r="CM12" i="6" l="1"/>
  <c r="CL14" i="6"/>
  <c r="CN12" i="6" l="1"/>
  <c r="CM14" i="6"/>
  <c r="CN14" i="6" l="1"/>
  <c r="CO12" i="6"/>
  <c r="CO14" i="6" l="1"/>
  <c r="CP12" i="6"/>
  <c r="CQ12" i="6" l="1"/>
  <c r="CP14" i="6"/>
  <c r="CQ14" i="6" l="1"/>
  <c r="CR12" i="6"/>
  <c r="CS12" i="6" l="1"/>
  <c r="CR14" i="6"/>
  <c r="CS14" i="6" l="1"/>
  <c r="CT12" i="6"/>
  <c r="CU12" i="6" l="1"/>
  <c r="CT14" i="6"/>
  <c r="CU14" i="6" l="1"/>
  <c r="CV12" i="6"/>
  <c r="CV14" i="6" l="1"/>
  <c r="CW12" i="6"/>
  <c r="CW14" i="6" l="1"/>
  <c r="CX12" i="6"/>
  <c r="CY12" i="6" l="1"/>
  <c r="CX14" i="6"/>
  <c r="CY14" i="6" l="1"/>
  <c r="CZ12" i="6"/>
  <c r="DA12" i="6" l="1"/>
  <c r="CZ14" i="6"/>
  <c r="DB12" i="6" l="1"/>
  <c r="DA14" i="6"/>
  <c r="DC12" i="6" l="1"/>
  <c r="DB14" i="6"/>
  <c r="DD12" i="6" l="1"/>
  <c r="DC14" i="6"/>
  <c r="DE12" i="6" l="1"/>
  <c r="DD14" i="6"/>
  <c r="DE14" i="6" l="1"/>
  <c r="DF12" i="6"/>
  <c r="DF14" i="6" l="1"/>
  <c r="DG12" i="6"/>
  <c r="DH12" i="6" l="1"/>
  <c r="DG14" i="6"/>
  <c r="DI12" i="6" l="1"/>
  <c r="DH14" i="6"/>
  <c r="DJ12" i="6" l="1"/>
  <c r="DI14" i="6"/>
  <c r="DK12" i="6" l="1"/>
  <c r="DJ14" i="6"/>
  <c r="DK14" i="6" l="1"/>
  <c r="DL12" i="6"/>
  <c r="DM12" i="6" l="1"/>
  <c r="DL14" i="6"/>
  <c r="DN12" i="6" l="1"/>
  <c r="DM14" i="6"/>
  <c r="DN14" i="6" l="1"/>
  <c r="DO12" i="6"/>
  <c r="DP12" i="6" l="1"/>
  <c r="DO14" i="6"/>
  <c r="DP14" i="6" l="1"/>
  <c r="DQ12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Y14" i="6" l="1"/>
  <c r="DZ12" i="6"/>
  <c r="DZ14" i="6" l="1"/>
  <c r="EA12" i="6"/>
  <c r="EA14" i="6" l="1"/>
  <c r="EB12" i="6"/>
  <c r="EC12" i="6" l="1"/>
  <c r="EB14" i="6"/>
  <c r="ED12" i="6" l="1"/>
  <c r="EC14" i="6"/>
  <c r="ED14" i="6" l="1"/>
  <c r="EE12" i="6"/>
  <c r="EE14" i="6" l="1"/>
  <c r="EF12" i="6"/>
  <c r="EF14" i="6" l="1"/>
  <c r="EG12" i="6"/>
  <c r="EG14" i="6" l="1"/>
  <c r="EH12" i="6"/>
  <c r="EI12" i="6" l="1"/>
  <c r="EH14" i="6"/>
  <c r="EI14" i="6" l="1"/>
  <c r="EJ12" i="6"/>
  <c r="EK12" i="6" l="1"/>
  <c r="EJ14" i="6"/>
  <c r="EL12" i="6" l="1"/>
  <c r="EK14" i="6"/>
  <c r="EL14" i="6" l="1"/>
  <c r="EM12" i="6"/>
  <c r="EM14" i="6" l="1"/>
  <c r="EN12" i="6"/>
  <c r="EO12" i="6" l="1"/>
  <c r="EN14" i="6"/>
  <c r="EO14" i="6" l="1"/>
  <c r="EP12" i="6"/>
  <c r="EQ12" i="6" l="1"/>
  <c r="EP14" i="6"/>
  <c r="EQ14" i="6" l="1"/>
  <c r="ER12" i="6"/>
  <c r="ER14" i="6" l="1"/>
  <c r="ES12" i="6"/>
  <c r="ET12" i="6" l="1"/>
  <c r="ES14" i="6"/>
  <c r="ET14" i="6" l="1"/>
  <c r="EU12" i="6"/>
  <c r="EV12" i="6" l="1"/>
  <c r="EU14" i="6"/>
  <c r="EV14" i="6" l="1"/>
  <c r="EW12" i="6"/>
  <c r="EX12" i="6" l="1"/>
  <c r="EW14" i="6"/>
  <c r="EY12" i="6" l="1"/>
  <c r="EX14" i="6"/>
  <c r="EY14" i="6" l="1"/>
  <c r="EZ12" i="6"/>
  <c r="FA12" i="6" l="1"/>
  <c r="EZ14" i="6"/>
  <c r="FA14" i="6" l="1"/>
  <c r="FB12" i="6"/>
  <c r="FB14" i="6" l="1"/>
  <c r="FC12" i="6"/>
  <c r="FC14" i="6" l="1"/>
  <c r="FD12" i="6"/>
  <c r="FD14" i="6" l="1"/>
  <c r="FE12" i="6"/>
  <c r="FE14" i="6" l="1"/>
  <c r="FF12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O12" i="6" l="1"/>
  <c r="FN14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X12" i="6" l="1"/>
  <c r="FW14" i="6"/>
  <c r="FY12" i="6" l="1"/>
  <c r="FX14" i="6"/>
  <c r="FY14" i="6" l="1"/>
  <c r="FZ12" i="6"/>
  <c r="FZ14" i="6" l="1"/>
  <c r="GA12" i="6"/>
  <c r="GB12" i="6" l="1"/>
  <c r="GA14" i="6"/>
  <c r="GC12" i="6" l="1"/>
  <c r="GB14" i="6"/>
  <c r="GC14" i="6" l="1"/>
  <c r="GD12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P14" i="6" l="1"/>
  <c r="GQ12" i="6"/>
  <c r="GQ14" i="6" l="1"/>
  <c r="GR12" i="6"/>
  <c r="GS12" i="6" l="1"/>
  <c r="GR14" i="6"/>
  <c r="GT12" i="6" l="1"/>
  <c r="GS14" i="6"/>
  <c r="GT14" i="6" l="1"/>
  <c r="GU12" i="6"/>
  <c r="GU14" i="6" l="1"/>
  <c r="GV12" i="6"/>
  <c r="GW12" i="6" l="1"/>
  <c r="GV14" i="6"/>
  <c r="GW14" i="6" l="1"/>
  <c r="GX12" i="6"/>
  <c r="GX14" i="6" l="1"/>
  <c r="GY12" i="6"/>
  <c r="GY14" i="6" l="1"/>
  <c r="GZ12" i="6"/>
  <c r="GZ14" i="6" l="1"/>
  <c r="HA12" i="6"/>
  <c r="HB12" i="6" l="1"/>
  <c r="HA14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I12" i="6" l="1"/>
  <c r="HH14" i="6"/>
  <c r="HJ12" i="6" l="1"/>
  <c r="HI14" i="6"/>
  <c r="HJ14" i="6" l="1"/>
  <c r="HK12" i="6"/>
  <c r="HK14" i="6" l="1"/>
  <c r="HL12" i="6"/>
  <c r="HL14" i="6" l="1"/>
  <c r="HM12" i="6"/>
  <c r="HN12" i="6" l="1"/>
  <c r="HM14" i="6"/>
  <c r="HN14" i="6" l="1"/>
  <c r="HO12" i="6"/>
  <c r="HP12" i="6" l="1"/>
  <c r="HO14" i="6"/>
  <c r="HP14" i="6" l="1"/>
  <c r="HQ12" i="6"/>
  <c r="HQ14" i="6" l="1"/>
  <c r="HR12" i="6"/>
  <c r="HS12" i="6" l="1"/>
  <c r="HR14" i="6"/>
  <c r="HT12" i="6" l="1"/>
  <c r="HS14" i="6"/>
  <c r="HT14" i="6" l="1"/>
  <c r="HU12" i="6"/>
  <c r="HU14" i="6" l="1"/>
  <c r="HV12" i="6"/>
  <c r="HV14" i="6" l="1"/>
  <c r="HW12" i="6"/>
  <c r="HW14" i="6" l="1"/>
  <c r="HX12" i="6"/>
  <c r="HY12" i="6" l="1"/>
  <c r="HX14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K12" i="6" l="1"/>
  <c r="IJ14" i="6"/>
  <c r="IK14" i="6" l="1"/>
  <c r="IL12" i="6"/>
  <c r="IL14" i="6" l="1"/>
  <c r="IM12" i="6"/>
  <c r="IM14" i="6" l="1"/>
  <c r="IN12" i="6"/>
  <c r="IO12" i="6" l="1"/>
  <c r="IN14" i="6"/>
  <c r="IP12" i="6" l="1"/>
  <c r="IO14" i="6"/>
  <c r="IP14" i="6" l="1"/>
  <c r="IQ12" i="6"/>
  <c r="IR12" i="6" l="1"/>
  <c r="IQ14" i="6"/>
  <c r="IR14" i="6" l="1"/>
  <c r="IS12" i="6"/>
  <c r="IT12" i="6" l="1"/>
  <c r="IS14" i="6"/>
  <c r="IU12" i="6" l="1"/>
  <c r="IT14" i="6"/>
  <c r="IV12" i="6" l="1"/>
  <c r="IU14" i="6"/>
  <c r="IW12" i="6" l="1"/>
  <c r="IV14" i="6"/>
  <c r="IW14" i="6" l="1"/>
  <c r="IX12" i="6"/>
  <c r="IY12" i="6" l="1"/>
  <c r="IX14" i="6"/>
  <c r="IZ12" i="6" l="1"/>
  <c r="IY14" i="6"/>
  <c r="IZ14" i="6" l="1"/>
  <c r="JA12" i="6"/>
  <c r="JA14" i="6" l="1"/>
  <c r="JB12" i="6"/>
  <c r="JC12" i="6" l="1"/>
  <c r="JB14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J12" i="6" l="1"/>
  <c r="JI14" i="6"/>
  <c r="JK12" i="6" l="1"/>
  <c r="JJ14" i="6"/>
  <c r="JL12" i="6" l="1"/>
  <c r="JK14" i="6"/>
  <c r="JM12" i="6" l="1"/>
  <c r="JL14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D12" i="6" l="1"/>
  <c r="KC14" i="6"/>
  <c r="KE12" i="6" l="1"/>
  <c r="KD14" i="6"/>
  <c r="KE14" i="6" l="1"/>
  <c r="KF12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L14" i="6" l="1"/>
  <c r="KM12" i="6"/>
  <c r="KM14" i="6" l="1"/>
  <c r="KN12" i="6"/>
  <c r="KN14" i="6" l="1"/>
  <c r="KO12" i="6"/>
  <c r="KO14" i="6" l="1"/>
  <c r="KP12" i="6"/>
  <c r="KP14" i="6" l="1"/>
  <c r="KQ12" i="6"/>
  <c r="KR12" i="6" l="1"/>
  <c r="KQ14" i="6"/>
  <c r="KR14" i="6" l="1"/>
  <c r="KS12" i="6"/>
  <c r="KS14" i="6" l="1"/>
  <c r="KT12" i="6"/>
  <c r="KU12" i="6" l="1"/>
  <c r="KT14" i="6"/>
  <c r="KU14" i="6" l="1"/>
  <c r="KV12" i="6"/>
  <c r="KW12" i="6" l="1"/>
  <c r="KV14" i="6"/>
  <c r="KW14" i="6" l="1"/>
  <c r="KX12" i="6"/>
  <c r="KX14" i="6" l="1"/>
  <c r="KY12" i="6"/>
  <c r="KZ12" i="6" l="1"/>
  <c r="KY14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<sst xmlns="http://schemas.openxmlformats.org/spreadsheetml/2006/main" count="826" uniqueCount="484">
  <si>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</si>
  <si>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</si>
  <si>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</si>
  <si>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</si>
  <si>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</si>
  <si>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</si>
  <si>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</si>
  <si>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</si>
  <si>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</si>
  <si>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</si>
  <si>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</si>
  <si>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</si>
  <si>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</si>
  <si>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</si>
  <si>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</si>
  <si>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</si>
  <si>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</si>
  <si>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</si>
  <si>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</si>
  <si>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</si>
  <si>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</si>
  <si>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</si>
  <si>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</si>
  <si>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</si>
  <si>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</si>
  <si>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</si>
  <si>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</si>
  <si>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</si>
  <si>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</si>
  <si>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</si>
  <si>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</si>
  <si>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</si>
  <si>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</si>
  <si>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</si>
  <si>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</si>
  <si>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</si>
  <si>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</si>
  <si>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</si>
  <si>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</si>
  <si>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</si>
  <si>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</si>
  <si>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</si>
  <si>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</si>
  <si>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</si>
  <si>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</si>
  <si>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</si>
  <si>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</si>
  <si>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</si>
  <si>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</si>
  <si>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</si>
  <si>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</si>
  <si>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</si>
  <si>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</si>
  <si>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</si>
  <si>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</si>
  <si>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</si>
  <si>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</si>
  <si>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</si>
  <si>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</si>
  <si>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</si>
  <si>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</si>
  <si>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</si>
  <si>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</si>
  <si>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</si>
  <si>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</si>
  <si>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</si>
  <si>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</si>
  <si>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</si>
  <si>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</si>
  <si>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</si>
  <si>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</si>
  <si>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</si>
  <si>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</si>
  <si>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</si>
  <si>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</si>
  <si>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</si>
  <si>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Verreynne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</si>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</sst>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7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6" fontId="6" fillId="7" borderId="0" xfId="0" applyNumberFormat="1" applyFont="1" applyFill="1" applyProtection="1">
      <protection locked="0"/>
    </xf>
    <xf numFmtId="166" fontId="6" fillId="0" borderId="0" xfId="3" applyFont="1" applyProtection="1">
      <protection locked="0"/>
    </xf>
    <xf numFmtId="166" fontId="6" fillId="7" borderId="0" xfId="3" applyFont="1" applyFill="1" applyProtection="1">
      <protection locked="0"/>
    </xf>
    <xf numFmtId="166" fontId="13" fillId="7" borderId="0" xfId="3" applyFont="1" applyFill="1" applyProtection="1">
      <protection locked="0"/>
    </xf>
    <xf numFmtId="166" fontId="6" fillId="10" borderId="78" xfId="3" applyFont="1" applyFill="1" applyBorder="1" applyAlignment="1" applyProtection="1">
      <alignment horizontal="center"/>
      <protection locked="0"/>
    </xf>
    <xf numFmtId="166" fontId="6" fillId="10" borderId="24" xfId="3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6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4" fontId="7" fillId="6" borderId="0" xfId="0" applyNumberFormat="1" applyFont="1" applyFill="1" applyProtection="1">
      <protection locked="0"/>
    </xf>
    <xf numFmtId="166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66" fontId="6" fillId="0" borderId="0" xfId="0" applyNumberFormat="1" applyFont="1" applyAlignment="1">
      <alignment horizontal="center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General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714478.45000000007</c:v>
                </c:pt>
                <c:pt idx="54">
                  <c:v>714478.45000000007</c:v>
                </c:pt>
                <c:pt idx="55">
                  <c:v>714478.45000000007</c:v>
                </c:pt>
                <c:pt idx="56">
                  <c:v>770507.27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312657.54999999993</c:v>
                </c:pt>
                <c:pt idx="54">
                  <c:v>312657.54999999993</c:v>
                </c:pt>
                <c:pt idx="55">
                  <c:v>312657.54999999993</c:v>
                </c:pt>
                <c:pt idx="56">
                  <c:v>256628.72999999998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1027122.8351519429</c:v>
                </c:pt>
                <c:pt idx="54">
                  <c:v>1027122.8351519429</c:v>
                </c:pt>
                <c:pt idx="55">
                  <c:v>1027122.8351519429</c:v>
                </c:pt>
                <c:pt idx="56">
                  <c:v>1027122.8351519429</c:v>
                </c:pt>
                <c:pt idx="57">
                  <c:v>1027122.8351519429</c:v>
                </c:pt>
                <c:pt idx="58">
                  <c:v>1027122.8351519429</c:v>
                </c:pt>
                <c:pt idx="59">
                  <c:v>1027122.8351519429</c:v>
                </c:pt>
                <c:pt idx="60">
                  <c:v>1027122.8351519429</c:v>
                </c:pt>
                <c:pt idx="61">
                  <c:v>1027122.8351519429</c:v>
                </c:pt>
                <c:pt idx="62">
                  <c:v>1027122.8351519429</c:v>
                </c:pt>
                <c:pt idx="63">
                  <c:v>1027122.8351519429</c:v>
                </c:pt>
                <c:pt idx="64">
                  <c:v>1027122.8351519429</c:v>
                </c:pt>
                <c:pt idx="65">
                  <c:v>1027122.8351519429</c:v>
                </c:pt>
                <c:pt idx="66">
                  <c:v>1027122.8351519429</c:v>
                </c:pt>
                <c:pt idx="67">
                  <c:v>1027122.8351519429</c:v>
                </c:pt>
                <c:pt idx="68">
                  <c:v>1027122.8351519429</c:v>
                </c:pt>
                <c:pt idx="69">
                  <c:v>1027122.8351519429</c:v>
                </c:pt>
                <c:pt idx="70">
                  <c:v>1027122.8351519429</c:v>
                </c:pt>
                <c:pt idx="71">
                  <c:v>1027122.8351519429</c:v>
                </c:pt>
                <c:pt idx="72">
                  <c:v>1027122.8351519429</c:v>
                </c:pt>
                <c:pt idx="73">
                  <c:v>1027122.8351519429</c:v>
                </c:pt>
                <c:pt idx="74">
                  <c:v>1027122.8351519429</c:v>
                </c:pt>
                <c:pt idx="75">
                  <c:v>1027122.8351519429</c:v>
                </c:pt>
                <c:pt idx="76">
                  <c:v>1027122.8351519429</c:v>
                </c:pt>
                <c:pt idx="77">
                  <c:v>1027122.8351519429</c:v>
                </c:pt>
                <c:pt idx="78">
                  <c:v>1027122.8351519429</c:v>
                </c:pt>
                <c:pt idx="79">
                  <c:v>1027122.8351519429</c:v>
                </c:pt>
                <c:pt idx="80">
                  <c:v>1027122.8351519429</c:v>
                </c:pt>
                <c:pt idx="81">
                  <c:v>1027122.8351519429</c:v>
                </c:pt>
                <c:pt idx="82">
                  <c:v>1027122.8351519429</c:v>
                </c:pt>
                <c:pt idx="83">
                  <c:v>1027122.8351519429</c:v>
                </c:pt>
                <c:pt idx="84">
                  <c:v>1027122.8351519429</c:v>
                </c:pt>
                <c:pt idx="85">
                  <c:v>1027122.8351519429</c:v>
                </c:pt>
                <c:pt idx="86">
                  <c:v>1027122.8351519429</c:v>
                </c:pt>
                <c:pt idx="87">
                  <c:v>1027122.8351519429</c:v>
                </c:pt>
                <c:pt idx="88">
                  <c:v>1027122.8351519429</c:v>
                </c:pt>
                <c:pt idx="89">
                  <c:v>1027122.8351519429</c:v>
                </c:pt>
                <c:pt idx="90">
                  <c:v>1027122.8351519429</c:v>
                </c:pt>
                <c:pt idx="91">
                  <c:v>1027122.8351519429</c:v>
                </c:pt>
                <c:pt idx="92">
                  <c:v>1027122.8351519429</c:v>
                </c:pt>
                <c:pt idx="93">
                  <c:v>1027122.8351519429</c:v>
                </c:pt>
                <c:pt idx="94">
                  <c:v>1027122.8351519429</c:v>
                </c:pt>
                <c:pt idx="95">
                  <c:v>1027122.8351519429</c:v>
                </c:pt>
                <c:pt idx="96">
                  <c:v>1027122.8351519429</c:v>
                </c:pt>
                <c:pt idx="97">
                  <c:v>1027122.8351519429</c:v>
                </c:pt>
                <c:pt idx="98">
                  <c:v>1027122.8351519429</c:v>
                </c:pt>
                <c:pt idx="99">
                  <c:v>1027122.8351519429</c:v>
                </c:pt>
                <c:pt idx="100">
                  <c:v>1027122.8351519429</c:v>
                </c:pt>
                <c:pt idx="101">
                  <c:v>1027122.8351519429</c:v>
                </c:pt>
                <c:pt idx="102">
                  <c:v>1027122.8351519429</c:v>
                </c:pt>
                <c:pt idx="103">
                  <c:v>1027122.8351519429</c:v>
                </c:pt>
                <c:pt idx="104">
                  <c:v>1027122.8351519429</c:v>
                </c:pt>
                <c:pt idx="105">
                  <c:v>1027122.8351519429</c:v>
                </c:pt>
                <c:pt idx="106">
                  <c:v>1027122.8351519429</c:v>
                </c:pt>
                <c:pt idx="107">
                  <c:v>1027122.8351519429</c:v>
                </c:pt>
                <c:pt idx="108">
                  <c:v>1027122.8351519429</c:v>
                </c:pt>
                <c:pt idx="109">
                  <c:v>1027122.8351519429</c:v>
                </c:pt>
                <c:pt idx="110">
                  <c:v>1027122.8351519429</c:v>
                </c:pt>
                <c:pt idx="111">
                  <c:v>1027122.8351519429</c:v>
                </c:pt>
                <c:pt idx="112">
                  <c:v>1027122.8351519429</c:v>
                </c:pt>
                <c:pt idx="113">
                  <c:v>1027122.8351519429</c:v>
                </c:pt>
                <c:pt idx="114">
                  <c:v>1027122.8351519429</c:v>
                </c:pt>
                <c:pt idx="115">
                  <c:v>1027122.8351519429</c:v>
                </c:pt>
                <c:pt idx="116">
                  <c:v>1027122.8351519429</c:v>
                </c:pt>
                <c:pt idx="117">
                  <c:v>1027122.8351519429</c:v>
                </c:pt>
                <c:pt idx="118">
                  <c:v>1027122.8351519429</c:v>
                </c:pt>
                <c:pt idx="119">
                  <c:v>1027122.8351519429</c:v>
                </c:pt>
                <c:pt idx="120">
                  <c:v>1027122.8351519429</c:v>
                </c:pt>
                <c:pt idx="121">
                  <c:v>1027122.8351519429</c:v>
                </c:pt>
                <c:pt idx="122">
                  <c:v>1027122.8351519429</c:v>
                </c:pt>
                <c:pt idx="123">
                  <c:v>1027122.8351519429</c:v>
                </c:pt>
                <c:pt idx="124">
                  <c:v>1027122.8351519429</c:v>
                </c:pt>
                <c:pt idx="125">
                  <c:v>1027122.8351519429</c:v>
                </c:pt>
                <c:pt idx="126">
                  <c:v>1027122.8351519429</c:v>
                </c:pt>
                <c:pt idx="127">
                  <c:v>1027122.8351519429</c:v>
                </c:pt>
                <c:pt idx="128">
                  <c:v>1027122.8351519429</c:v>
                </c:pt>
                <c:pt idx="129">
                  <c:v>1027122.8351519429</c:v>
                </c:pt>
                <c:pt idx="130">
                  <c:v>1027122.8351519429</c:v>
                </c:pt>
                <c:pt idx="131">
                  <c:v>1027122.8351519429</c:v>
                </c:pt>
                <c:pt idx="132">
                  <c:v>1027122.8351519429</c:v>
                </c:pt>
                <c:pt idx="133">
                  <c:v>1027122.8351519429</c:v>
                </c:pt>
                <c:pt idx="134">
                  <c:v>1027122.8351519429</c:v>
                </c:pt>
                <c:pt idx="135">
                  <c:v>1027122.8351519429</c:v>
                </c:pt>
                <c:pt idx="136">
                  <c:v>1027122.8351519429</c:v>
                </c:pt>
                <c:pt idx="137">
                  <c:v>1027122.8351519429</c:v>
                </c:pt>
                <c:pt idx="138">
                  <c:v>1027122.8351519429</c:v>
                </c:pt>
                <c:pt idx="139">
                  <c:v>1027122.8351519429</c:v>
                </c:pt>
                <c:pt idx="140">
                  <c:v>1027122.8351519429</c:v>
                </c:pt>
                <c:pt idx="141">
                  <c:v>1027122.8351519429</c:v>
                </c:pt>
                <c:pt idx="142">
                  <c:v>1027122.8351519429</c:v>
                </c:pt>
                <c:pt idx="143">
                  <c:v>1027122.8351519429</c:v>
                </c:pt>
                <c:pt idx="144">
                  <c:v>1027122.8351519429</c:v>
                </c:pt>
                <c:pt idx="145">
                  <c:v>1027122.8351519429</c:v>
                </c:pt>
                <c:pt idx="146">
                  <c:v>1027122.8351519429</c:v>
                </c:pt>
                <c:pt idx="147">
                  <c:v>1027122.8351519429</c:v>
                </c:pt>
                <c:pt idx="148">
                  <c:v>1027122.8351519429</c:v>
                </c:pt>
                <c:pt idx="149">
                  <c:v>1027122.8351519429</c:v>
                </c:pt>
                <c:pt idx="150">
                  <c:v>1027122.8351519429</c:v>
                </c:pt>
                <c:pt idx="151">
                  <c:v>1027122.8351519429</c:v>
                </c:pt>
                <c:pt idx="152">
                  <c:v>1027122.8351519429</c:v>
                </c:pt>
                <c:pt idx="153">
                  <c:v>1027122.8351519429</c:v>
                </c:pt>
                <c:pt idx="154">
                  <c:v>1027122.8351519429</c:v>
                </c:pt>
                <c:pt idx="155">
                  <c:v>1027122.8351519429</c:v>
                </c:pt>
                <c:pt idx="156">
                  <c:v>1027122.8351519429</c:v>
                </c:pt>
                <c:pt idx="157">
                  <c:v>1027122.8351519429</c:v>
                </c:pt>
                <c:pt idx="158">
                  <c:v>1027122.8351519429</c:v>
                </c:pt>
                <c:pt idx="159">
                  <c:v>1027122.8351519429</c:v>
                </c:pt>
                <c:pt idx="160">
                  <c:v>1027122.8351519429</c:v>
                </c:pt>
                <c:pt idx="161">
                  <c:v>1027122.8351519429</c:v>
                </c:pt>
                <c:pt idx="162">
                  <c:v>1027122.8351519429</c:v>
                </c:pt>
                <c:pt idx="163">
                  <c:v>1027122.8351519429</c:v>
                </c:pt>
                <c:pt idx="164">
                  <c:v>1027122.8351519429</c:v>
                </c:pt>
                <c:pt idx="165">
                  <c:v>1027122.8351519429</c:v>
                </c:pt>
                <c:pt idx="166">
                  <c:v>1027122.8351519429</c:v>
                </c:pt>
                <c:pt idx="167">
                  <c:v>1027122.8351519429</c:v>
                </c:pt>
                <c:pt idx="168">
                  <c:v>1027122.8351519429</c:v>
                </c:pt>
                <c:pt idx="169">
                  <c:v>1027122.8351519429</c:v>
                </c:pt>
                <c:pt idx="170">
                  <c:v>1027122.8351519429</c:v>
                </c:pt>
                <c:pt idx="171">
                  <c:v>1027122.8351519429</c:v>
                </c:pt>
                <c:pt idx="172">
                  <c:v>1027122.8351519429</c:v>
                </c:pt>
                <c:pt idx="173">
                  <c:v>1027122.8351519429</c:v>
                </c:pt>
                <c:pt idx="174">
                  <c:v>1027122.8351519429</c:v>
                </c:pt>
                <c:pt idx="175">
                  <c:v>1027122.8351519429</c:v>
                </c:pt>
                <c:pt idx="176">
                  <c:v>1027122.8351519429</c:v>
                </c:pt>
                <c:pt idx="177">
                  <c:v>1027122.8351519429</c:v>
                </c:pt>
                <c:pt idx="178">
                  <c:v>1027122.8351519429</c:v>
                </c:pt>
                <c:pt idx="179">
                  <c:v>1027122.8351519429</c:v>
                </c:pt>
                <c:pt idx="180">
                  <c:v>1027122.8351519429</c:v>
                </c:pt>
                <c:pt idx="181">
                  <c:v>1027122.8351519429</c:v>
                </c:pt>
                <c:pt idx="182">
                  <c:v>1027122.8351519429</c:v>
                </c:pt>
                <c:pt idx="183">
                  <c:v>1027122.8351519429</c:v>
                </c:pt>
                <c:pt idx="184">
                  <c:v>1027122.8351519429</c:v>
                </c:pt>
                <c:pt idx="185">
                  <c:v>1027122.8351519429</c:v>
                </c:pt>
                <c:pt idx="186">
                  <c:v>1027122.8351519429</c:v>
                </c:pt>
                <c:pt idx="187">
                  <c:v>1027122.8351519429</c:v>
                </c:pt>
                <c:pt idx="188">
                  <c:v>1027122.8351519429</c:v>
                </c:pt>
                <c:pt idx="189">
                  <c:v>1027122.8351519429</c:v>
                </c:pt>
                <c:pt idx="190">
                  <c:v>1027122.8351519429</c:v>
                </c:pt>
                <c:pt idx="191">
                  <c:v>1027122.8351519429</c:v>
                </c:pt>
                <c:pt idx="192">
                  <c:v>1027122.8351519429</c:v>
                </c:pt>
                <c:pt idx="193">
                  <c:v>1027122.8351519429</c:v>
                </c:pt>
                <c:pt idx="194">
                  <c:v>1027122.8351519429</c:v>
                </c:pt>
                <c:pt idx="195">
                  <c:v>1027122.8351519429</c:v>
                </c:pt>
                <c:pt idx="196">
                  <c:v>1027122.8351519429</c:v>
                </c:pt>
                <c:pt idx="197">
                  <c:v>1027122.8351519429</c:v>
                </c:pt>
                <c:pt idx="198">
                  <c:v>1027122.8351519429</c:v>
                </c:pt>
                <c:pt idx="199">
                  <c:v>1027122.8351519429</c:v>
                </c:pt>
                <c:pt idx="200">
                  <c:v>1027122.8351519429</c:v>
                </c:pt>
                <c:pt idx="201">
                  <c:v>1027122.8351519429</c:v>
                </c:pt>
                <c:pt idx="202">
                  <c:v>1027122.8351519429</c:v>
                </c:pt>
                <c:pt idx="203">
                  <c:v>1027122.8351519429</c:v>
                </c:pt>
                <c:pt idx="204">
                  <c:v>1027122.8351519429</c:v>
                </c:pt>
                <c:pt idx="205">
                  <c:v>1027122.8351519429</c:v>
                </c:pt>
                <c:pt idx="206">
                  <c:v>1027122.8351519429</c:v>
                </c:pt>
                <c:pt idx="207">
                  <c:v>1027122.8351519429</c:v>
                </c:pt>
                <c:pt idx="208">
                  <c:v>1027122.8351519429</c:v>
                </c:pt>
                <c:pt idx="209">
                  <c:v>1027122.8351519429</c:v>
                </c:pt>
                <c:pt idx="210">
                  <c:v>1027122.8351519429</c:v>
                </c:pt>
                <c:pt idx="211">
                  <c:v>1027122.8351519429</c:v>
                </c:pt>
                <c:pt idx="212">
                  <c:v>1027122.8351519429</c:v>
                </c:pt>
                <c:pt idx="213">
                  <c:v>1027122.8351519429</c:v>
                </c:pt>
                <c:pt idx="214">
                  <c:v>1027122.8351519429</c:v>
                </c:pt>
                <c:pt idx="215">
                  <c:v>1027122.8351519429</c:v>
                </c:pt>
                <c:pt idx="216">
                  <c:v>1027122.8351519429</c:v>
                </c:pt>
                <c:pt idx="217">
                  <c:v>1027122.8351519429</c:v>
                </c:pt>
                <c:pt idx="218">
                  <c:v>1027122.8351519429</c:v>
                </c:pt>
                <c:pt idx="219">
                  <c:v>1027122.8351519429</c:v>
                </c:pt>
                <c:pt idx="220">
                  <c:v>1027122.8351519429</c:v>
                </c:pt>
                <c:pt idx="221">
                  <c:v>1027122.8351519429</c:v>
                </c:pt>
                <c:pt idx="222">
                  <c:v>1027122.8351519429</c:v>
                </c:pt>
                <c:pt idx="223">
                  <c:v>1027122.8351519429</c:v>
                </c:pt>
                <c:pt idx="224">
                  <c:v>1027122.8351519429</c:v>
                </c:pt>
                <c:pt idx="225">
                  <c:v>1027122.8351519429</c:v>
                </c:pt>
                <c:pt idx="226">
                  <c:v>1027122.8351519429</c:v>
                </c:pt>
                <c:pt idx="227">
                  <c:v>1027122.8351519429</c:v>
                </c:pt>
                <c:pt idx="228">
                  <c:v>1027122.8351519429</c:v>
                </c:pt>
                <c:pt idx="229">
                  <c:v>1027122.8351519429</c:v>
                </c:pt>
                <c:pt idx="230">
                  <c:v>1027122.8351519429</c:v>
                </c:pt>
                <c:pt idx="231">
                  <c:v>1027122.8351519429</c:v>
                </c:pt>
                <c:pt idx="232">
                  <c:v>1027122.8351519429</c:v>
                </c:pt>
                <c:pt idx="233">
                  <c:v>1027122.8351519429</c:v>
                </c:pt>
                <c:pt idx="234">
                  <c:v>1027122.8351519429</c:v>
                </c:pt>
                <c:pt idx="235">
                  <c:v>1027122.8351519429</c:v>
                </c:pt>
                <c:pt idx="236">
                  <c:v>1027122.8351519429</c:v>
                </c:pt>
                <c:pt idx="237">
                  <c:v>1027122.8351519429</c:v>
                </c:pt>
                <c:pt idx="238">
                  <c:v>1027122.8351519429</c:v>
                </c:pt>
                <c:pt idx="239">
                  <c:v>1027122.8351519429</c:v>
                </c:pt>
                <c:pt idx="240">
                  <c:v>1027122.8351519429</c:v>
                </c:pt>
                <c:pt idx="241">
                  <c:v>1027122.8351519429</c:v>
                </c:pt>
                <c:pt idx="242">
                  <c:v>1027122.8351519429</c:v>
                </c:pt>
                <c:pt idx="243">
                  <c:v>1027122.8351519429</c:v>
                </c:pt>
                <c:pt idx="244">
                  <c:v>1027122.8351519429</c:v>
                </c:pt>
                <c:pt idx="245">
                  <c:v>1027122.8351519429</c:v>
                </c:pt>
                <c:pt idx="246">
                  <c:v>1027122.8351519429</c:v>
                </c:pt>
                <c:pt idx="247">
                  <c:v>1027122.8351519429</c:v>
                </c:pt>
                <c:pt idx="248">
                  <c:v>1027122.8351519429</c:v>
                </c:pt>
                <c:pt idx="249">
                  <c:v>1027122.8351519429</c:v>
                </c:pt>
                <c:pt idx="250">
                  <c:v>1027122.8351519429</c:v>
                </c:pt>
                <c:pt idx="251">
                  <c:v>1027122.8351519429</c:v>
                </c:pt>
                <c:pt idx="252">
                  <c:v>1027122.8351519429</c:v>
                </c:pt>
                <c:pt idx="253">
                  <c:v>1027122.8351519429</c:v>
                </c:pt>
                <c:pt idx="254">
                  <c:v>1027122.8351519429</c:v>
                </c:pt>
                <c:pt idx="255">
                  <c:v>1027122.8351519429</c:v>
                </c:pt>
                <c:pt idx="256">
                  <c:v>1027122.8351519429</c:v>
                </c:pt>
                <c:pt idx="257">
                  <c:v>1027122.8351519429</c:v>
                </c:pt>
                <c:pt idx="258">
                  <c:v>1027122.8351519429</c:v>
                </c:pt>
                <c:pt idx="259">
                  <c:v>1027122.8351519429</c:v>
                </c:pt>
                <c:pt idx="260">
                  <c:v>1027122.8351519429</c:v>
                </c:pt>
                <c:pt idx="261">
                  <c:v>1027122.8351519429</c:v>
                </c:pt>
                <c:pt idx="262">
                  <c:v>1027122.8351519429</c:v>
                </c:pt>
                <c:pt idx="263">
                  <c:v>1027122.8351519429</c:v>
                </c:pt>
                <c:pt idx="264">
                  <c:v>1027122.8351519429</c:v>
                </c:pt>
                <c:pt idx="265">
                  <c:v>1027122.8351519429</c:v>
                </c:pt>
                <c:pt idx="266">
                  <c:v>1027122.8351519429</c:v>
                </c:pt>
                <c:pt idx="267">
                  <c:v>1027122.8351519429</c:v>
                </c:pt>
                <c:pt idx="268">
                  <c:v>1027122.8351519429</c:v>
                </c:pt>
                <c:pt idx="269">
                  <c:v>1027122.8351519429</c:v>
                </c:pt>
                <c:pt idx="270">
                  <c:v>1027122.8351519429</c:v>
                </c:pt>
                <c:pt idx="271">
                  <c:v>1027122.8351519429</c:v>
                </c:pt>
                <c:pt idx="272">
                  <c:v>1027122.8351519429</c:v>
                </c:pt>
                <c:pt idx="273">
                  <c:v>1027122.8351519429</c:v>
                </c:pt>
                <c:pt idx="274">
                  <c:v>1027122.8351519429</c:v>
                </c:pt>
                <c:pt idx="275">
                  <c:v>1027122.8351519429</c:v>
                </c:pt>
                <c:pt idx="276">
                  <c:v>1027122.8351519429</c:v>
                </c:pt>
                <c:pt idx="277">
                  <c:v>1027122.8351519429</c:v>
                </c:pt>
                <c:pt idx="278">
                  <c:v>1027122.8351519429</c:v>
                </c:pt>
                <c:pt idx="279">
                  <c:v>1027122.8351519429</c:v>
                </c:pt>
                <c:pt idx="280">
                  <c:v>1027122.8351519429</c:v>
                </c:pt>
                <c:pt idx="281">
                  <c:v>1027122.8351519429</c:v>
                </c:pt>
                <c:pt idx="282">
                  <c:v>1027122.8351519429</c:v>
                </c:pt>
                <c:pt idx="283">
                  <c:v>1027122.8351519429</c:v>
                </c:pt>
                <c:pt idx="284">
                  <c:v>1027122.8351519429</c:v>
                </c:pt>
                <c:pt idx="285">
                  <c:v>1027122.8351519429</c:v>
                </c:pt>
                <c:pt idx="286">
                  <c:v>1027122.8351519429</c:v>
                </c:pt>
                <c:pt idx="287">
                  <c:v>1027122.8351519429</c:v>
                </c:pt>
                <c:pt idx="288">
                  <c:v>1027122.8351519429</c:v>
                </c:pt>
                <c:pt idx="289">
                  <c:v>1027122.8351519429</c:v>
                </c:pt>
                <c:pt idx="290">
                  <c:v>1027122.8351519429</c:v>
                </c:pt>
                <c:pt idx="291">
                  <c:v>1027122.8351519429</c:v>
                </c:pt>
                <c:pt idx="292">
                  <c:v>1027122.8351519429</c:v>
                </c:pt>
                <c:pt idx="293">
                  <c:v>1027122.8351519429</c:v>
                </c:pt>
                <c:pt idx="294">
                  <c:v>1027122.8351519429</c:v>
                </c:pt>
                <c:pt idx="295">
                  <c:v>1027122.8351519429</c:v>
                </c:pt>
                <c:pt idx="296">
                  <c:v>1027122.8351519429</c:v>
                </c:pt>
                <c:pt idx="297">
                  <c:v>1027122.8351519429</c:v>
                </c:pt>
                <c:pt idx="298">
                  <c:v>1027122.8351519429</c:v>
                </c:pt>
                <c:pt idx="299">
                  <c:v>1027122.8351519429</c:v>
                </c:pt>
                <c:pt idx="300">
                  <c:v>1027122.8351519429</c:v>
                </c:pt>
                <c:pt idx="301">
                  <c:v>1027122.8351519429</c:v>
                </c:pt>
                <c:pt idx="302">
                  <c:v>1027122.8351519429</c:v>
                </c:pt>
                <c:pt idx="303">
                  <c:v>1027122.8351519429</c:v>
                </c:pt>
                <c:pt idx="304">
                  <c:v>1027122.8351519429</c:v>
                </c:pt>
                <c:pt idx="305">
                  <c:v>1027122.8351519429</c:v>
                </c:pt>
                <c:pt idx="306">
                  <c:v>1027122.8351519429</c:v>
                </c:pt>
                <c:pt idx="307">
                  <c:v>1027122.8351519429</c:v>
                </c:pt>
                <c:pt idx="308">
                  <c:v>1027122.8351519429</c:v>
                </c:pt>
                <c:pt idx="309">
                  <c:v>1027122.8351519429</c:v>
                </c:pt>
                <c:pt idx="310">
                  <c:v>1027122.8351519429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7519675924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-3041.2802514242358" maxValue="12.165099481266225"/>
    </cacheField>
    <cacheField name="FINANCE PAYMENT DATE" numFmtId="0">
      <sharedItems containsNonDate="0" containsDate="1" containsString="0" containsBlank="1" minDate="2025-08-29T00:00:00" maxDate="2026-01-30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6-01-29T00:00:00"/>
    <m/>
  </r>
  <r>
    <n v="4"/>
    <x v="4"/>
    <s v="Site De-establisment"/>
    <m/>
    <n v="0.1"/>
    <n v="4636.7"/>
    <m/>
    <s v="Thula Moya IN04868"/>
    <x v="1"/>
    <n v="3660.3167814122171"/>
    <m/>
    <d v="2026-01-29T00:00:00"/>
    <m/>
  </r>
  <r>
    <n v="4"/>
    <x v="4"/>
    <s v="Handover Document Complete"/>
    <m/>
    <n v="0.05"/>
    <n v="2318.35"/>
    <m/>
    <s v="Thula Moya IN04869"/>
    <x v="1"/>
    <n v="1830.1583907061085"/>
    <m/>
    <d v="2026-01-15T00:00:00"/>
    <m/>
  </r>
  <r>
    <n v="4"/>
    <x v="4"/>
    <s v="End of Defects Period"/>
    <m/>
    <n v="0.05"/>
    <n v="2318.35"/>
    <m/>
    <s v="Thula Moya IN04870"/>
    <x v="1"/>
    <n v="1830.1583907061085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6-01-29T00:00:00"/>
    <m/>
  </r>
  <r>
    <n v="6"/>
    <x v="6"/>
    <s v="Site De-establisment"/>
    <m/>
    <n v="0.1"/>
    <n v="12681.21"/>
    <m/>
    <s v="Thula Moya IN04868"/>
    <x v="1"/>
    <n v="17429.597251114483"/>
    <m/>
    <d v="2026-01-29T00:00:00"/>
    <m/>
  </r>
  <r>
    <n v="6"/>
    <x v="6"/>
    <s v="Handover Document Complete"/>
    <m/>
    <n v="0.05"/>
    <n v="6340.61"/>
    <m/>
    <s v="Thula Moya IN04869"/>
    <x v="1"/>
    <n v="8714.8054977710326"/>
    <m/>
    <d v="2026-01-15T00:00:00"/>
    <m/>
  </r>
  <r>
    <n v="6"/>
    <x v="6"/>
    <s v="End of Defects Period"/>
    <m/>
    <n v="0.05"/>
    <n v="6340.61"/>
    <m/>
    <s v="Thula Moya IN04870"/>
    <x v="1"/>
    <n v="8714.8054977710326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6-01-29T00:00:00"/>
    <m/>
  </r>
  <r>
    <n v="9"/>
    <x v="9"/>
    <s v="Site De-establisment"/>
    <m/>
    <n v="0.1"/>
    <n v="5931"/>
    <m/>
    <s v="Thula Moya IN04921"/>
    <x v="4"/>
    <n v="6025.6"/>
    <m/>
    <d v="2026-01-29T00:00:00"/>
    <m/>
  </r>
  <r>
    <n v="9"/>
    <x v="9"/>
    <s v="Handover Document Complete"/>
    <m/>
    <n v="0.05"/>
    <n v="2965.5"/>
    <m/>
    <s v="Thula Moya IN04921"/>
    <x v="4"/>
    <n v="3012.8"/>
    <m/>
    <d v="2026-01-29T00:00:00"/>
    <m/>
  </r>
  <r>
    <n v="9"/>
    <x v="9"/>
    <s v="End of Defects Period"/>
    <m/>
    <n v="0.05"/>
    <n v="2965.5"/>
    <m/>
    <s v="Thula Moya IN04921"/>
    <x v="4"/>
    <n v="3012.8"/>
    <m/>
    <d v="2026-01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6-01-29T00:00:00"/>
    <m/>
  </r>
  <r>
    <n v="10"/>
    <x v="10"/>
    <s v="Site De-establisment"/>
    <m/>
    <n v="0.1"/>
    <n v="1200"/>
    <m/>
    <s v="Thula Moya IN04868"/>
    <x v="1"/>
    <n v="1000.6783168544493"/>
    <m/>
    <d v="2026-01-29T00:00:00"/>
    <m/>
  </r>
  <r>
    <n v="10"/>
    <x v="10"/>
    <s v="Handover Document Complete"/>
    <m/>
    <n v="0.05"/>
    <n v="600"/>
    <m/>
    <s v="Thula Moya IN04869"/>
    <x v="1"/>
    <n v="500.33915842722467"/>
    <m/>
    <d v="2026-01-29T00:00:00"/>
    <m/>
  </r>
  <r>
    <n v="10"/>
    <x v="10"/>
    <s v="End of Defects Period"/>
    <m/>
    <n v="0.05"/>
    <n v="600"/>
    <m/>
    <s v="Thula Moya IN04870"/>
    <x v="1"/>
    <n v="500.33915842722467"/>
    <m/>
    <d v="2026-01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5"/>
    <m/>
    <s v="SunSpot - E039"/>
    <x v="6"/>
    <n v="21813.816958277253"/>
    <n v="-3041.2802514242358"/>
    <d v="2026-01-29T00:00:00"/>
    <n v="1857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s v="Expense Claim"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08984375" style="24" bestFit="1" customWidth="1"/>
    <col min="8" max="8" width="20.453125" style="24" bestFit="1" customWidth="1"/>
    <col min="9" max="9" width="3.36328125" style="24" customWidth="1"/>
    <col min="10" max="10" width="47.453125" style="24" bestFit="1" customWidth="1"/>
    <col min="11" max="11" width="6.453125" style="3" customWidth="1"/>
    <col min="12" max="12" width="14.36328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0" t="s">
        <v>57</v>
      </c>
      <c r="E47" s="780"/>
      <c r="F47" s="781"/>
      <c r="G47" s="67"/>
      <c r="I47" s="68"/>
      <c r="J47" s="68"/>
    </row>
    <row r="48" spans="1:49" ht="14.5" thickBot="1">
      <c r="C48" s="69">
        <v>44014</v>
      </c>
      <c r="D48" s="782"/>
      <c r="E48" s="782"/>
      <c r="F48" s="78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53125" defaultRowHeight="14.5"/>
  <cols>
    <col min="1" max="1" width="7.36328125" customWidth="1"/>
    <col min="2" max="2" width="37.81640625" customWidth="1"/>
    <col min="3" max="3" width="9.453125" bestFit="1" customWidth="1"/>
    <col min="4" max="4" width="12.08984375" bestFit="1" customWidth="1"/>
    <col min="5" max="5" width="10.36328125" customWidth="1"/>
    <col min="6" max="6" width="33.90625" customWidth="1"/>
  </cols>
  <sheetData>
    <row r="1" spans="2:10" ht="15" thickBot="1"/>
    <row r="2" spans="2:10" ht="15.5" thickTop="1" thickBot="1">
      <c r="B2" s="784" t="s">
        <v>58</v>
      </c>
      <c r="C2" s="785"/>
      <c r="D2" s="785"/>
      <c r="E2" s="785"/>
      <c r="F2" s="78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84" t="s">
        <v>69</v>
      </c>
      <c r="C16" s="785"/>
      <c r="D16" s="785"/>
      <c r="E16" s="785"/>
      <c r="F16" s="78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Normal="100" workbookViewId="0">
      <selection activeCell="E8" sqref="E8:E9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bestFit="1" customWidth="1"/>
    <col min="4" max="4" width="3.36328125" style="112" customWidth="1"/>
    <col min="5" max="5" width="14.54296875" style="24" customWidth="1"/>
    <col min="6" max="6" width="10.36328125" style="169" customWidth="1"/>
    <col min="7" max="7" width="13.54296875" style="64" customWidth="1"/>
    <col min="8" max="8" width="2.8164062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08984375" style="112" customWidth="1"/>
    <col min="14" max="14" width="12.08984375" style="667" customWidth="1"/>
    <col min="15" max="15" width="39.453125" style="112" bestFit="1" customWidth="1"/>
    <col min="16" max="16" width="1.453125" style="112" customWidth="1"/>
    <col min="17" max="17" width="5.08984375" style="3" customWidth="1"/>
    <col min="18" max="18" width="8.453125" style="112"/>
    <col min="19" max="19" width="18.1796875" style="112" bestFit="1" customWidth="1"/>
    <col min="20" max="20" width="11.453125" style="112" bestFit="1" customWidth="1"/>
    <col min="21" max="21" width="14.08984375" style="112" bestFit="1" customWidth="1"/>
    <col min="22" max="22" width="11.453125" style="112" bestFit="1" customWidth="1"/>
    <col min="23" max="23" width="21.81640625" style="112" bestFit="1" customWidth="1"/>
    <col min="24" max="25" width="11" style="112" bestFit="1" customWidth="1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46065</v>
      </c>
      <c r="O1" s="404">
        <f ca="1">TODAY()</f>
        <v>46065</v>
      </c>
      <c r="Q1" s="3"/>
    </row>
    <row r="2" spans="2:28">
      <c r="B2" s="177"/>
      <c r="C2" s="178" t="s">
        <v>0</v>
      </c>
      <c r="D2" s="179"/>
      <c r="E2" s="790" t="s">
        <v>73</v>
      </c>
      <c r="F2" s="791"/>
      <c r="G2" s="791"/>
      <c r="H2" s="792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93" t="s">
        <v>76</v>
      </c>
      <c r="F4" s="794"/>
      <c r="G4" s="794"/>
      <c r="H4" s="795"/>
      <c r="J4" s="623"/>
      <c r="K4" s="624"/>
      <c r="M4" s="121"/>
      <c r="N4" s="668"/>
      <c r="Q4" s="3"/>
    </row>
    <row r="5" spans="2:28" s="112" customFormat="1">
      <c r="B5" s="180"/>
      <c r="C5" s="181" t="s">
        <v>77</v>
      </c>
      <c r="D5" s="179"/>
      <c r="E5" s="793" t="s">
        <v>78</v>
      </c>
      <c r="F5" s="794"/>
      <c r="G5" s="794"/>
      <c r="H5" s="795"/>
      <c r="J5" s="113"/>
      <c r="M5" s="682"/>
      <c r="N5" s="666"/>
      <c r="Q5" s="3"/>
    </row>
    <row r="6" spans="2:28">
      <c r="B6" s="185"/>
      <c r="C6" s="186" t="s">
        <v>79</v>
      </c>
      <c r="D6" s="179"/>
      <c r="E6" s="796">
        <v>1027136</v>
      </c>
      <c r="F6" s="797"/>
      <c r="G6" s="797"/>
      <c r="H6" s="798"/>
    </row>
    <row r="7" spans="2:28" s="112" customFormat="1">
      <c r="B7" s="168"/>
      <c r="C7" s="716" t="s">
        <v>80</v>
      </c>
      <c r="D7" s="713"/>
      <c r="E7" s="714" t="s">
        <v>81</v>
      </c>
      <c r="F7" s="715"/>
      <c r="G7" s="187"/>
      <c r="J7" s="113"/>
      <c r="N7" s="667"/>
      <c r="Q7" s="3"/>
    </row>
    <row r="8" spans="2:28" ht="30" customHeight="1">
      <c r="B8" s="787" t="s">
        <v>82</v>
      </c>
      <c r="C8" s="788" t="s">
        <v>83</v>
      </c>
      <c r="D8" s="216"/>
      <c r="E8" s="789" t="s">
        <v>84</v>
      </c>
      <c r="F8" s="238" t="s">
        <v>85</v>
      </c>
      <c r="G8" s="789" t="s">
        <v>86</v>
      </c>
      <c r="H8" s="239"/>
      <c r="I8" s="789" t="s">
        <v>87</v>
      </c>
      <c r="J8" s="238" t="s">
        <v>85</v>
      </c>
      <c r="K8" s="789" t="s">
        <v>88</v>
      </c>
      <c r="M8" s="411" t="s">
        <v>60</v>
      </c>
      <c r="N8" s="683" t="s">
        <v>89</v>
      </c>
      <c r="O8" s="799" t="s">
        <v>90</v>
      </c>
      <c r="S8" s="669" t="s">
        <v>91</v>
      </c>
      <c r="T8" s="669" t="s">
        <v>92</v>
      </c>
      <c r="U8" s="669" t="s">
        <v>93</v>
      </c>
      <c r="V8" s="669" t="s">
        <v>94</v>
      </c>
      <c r="W8" s="669" t="s">
        <v>95</v>
      </c>
      <c r="Z8" s="112"/>
      <c r="AA8" s="112"/>
      <c r="AB8" s="112"/>
    </row>
    <row r="9" spans="2:28">
      <c r="B9" s="787"/>
      <c r="C9" s="788"/>
      <c r="D9" s="216"/>
      <c r="E9" s="789"/>
      <c r="F9" s="126">
        <f>G41-E19</f>
        <v>26</v>
      </c>
      <c r="G9" s="789"/>
      <c r="H9" s="239"/>
      <c r="I9" s="789"/>
      <c r="J9" s="127">
        <f>K41-I19</f>
        <v>34</v>
      </c>
      <c r="K9" s="789"/>
      <c r="M9" s="363">
        <f ca="1">AVERAGE(M11,M18,M21,M28,M35,M39,M46,M43)</f>
        <v>1</v>
      </c>
      <c r="N9" s="363">
        <f ca="1">AVERAGE(N11,N18,N21,N28,N35,N39,N46,N43)</f>
        <v>1</v>
      </c>
      <c r="O9" s="800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46065</v>
      </c>
      <c r="Y10" s="664">
        <f ca="1">X10</f>
        <v>46065</v>
      </c>
    </row>
    <row r="11" spans="2:28" s="114" customFormat="1">
      <c r="B11" s="245">
        <v>1</v>
      </c>
      <c r="C11" s="246" t="s">
        <v>96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97</v>
      </c>
      <c r="C12" s="250" t="s">
        <v>98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99</v>
      </c>
      <c r="C13" s="250" t="s">
        <v>100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101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102</v>
      </c>
      <c r="C15" s="250" t="s">
        <v>103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104</v>
      </c>
      <c r="C16" s="250" t="s">
        <v>105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106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107</v>
      </c>
      <c r="C19" s="250" t="s">
        <v>108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109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110</v>
      </c>
      <c r="C22" s="250" t="s">
        <v>111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112</v>
      </c>
      <c r="C23" s="250" t="s">
        <v>113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114</v>
      </c>
      <c r="C24" s="250" t="s">
        <v>115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116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117</v>
      </c>
      <c r="C26" s="250" t="s">
        <v>118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119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120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5">
      <c r="B33" s="249" t="s">
        <v>125</v>
      </c>
      <c r="C33" s="244" t="s">
        <v>126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127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128</v>
      </c>
      <c r="C36" s="250" t="s">
        <v>129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130</v>
      </c>
      <c r="C37" s="250" t="s">
        <v>131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132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133</v>
      </c>
      <c r="C40" s="244" t="s">
        <v>132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134</v>
      </c>
      <c r="C41" s="244" t="s">
        <v>135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136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137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138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139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720" t="s">
        <v>140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20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0" zoomScaleNormal="80" workbookViewId="0">
      <selection activeCell="N36" sqref="N36"/>
    </sheetView>
  </sheetViews>
  <sheetFormatPr defaultColWidth="8.453125" defaultRowHeight="14.5"/>
  <cols>
    <col min="1" max="1" width="5.08984375" style="93" customWidth="1"/>
    <col min="2" max="2" width="5.08984375" style="131" customWidth="1"/>
    <col min="3" max="4" width="23.36328125" style="129" customWidth="1"/>
    <col min="5" max="5" width="6.54296875" style="129" customWidth="1"/>
    <col min="6" max="6" width="16.36328125" style="129" customWidth="1"/>
    <col min="7" max="7" width="4.453125" style="129" customWidth="1"/>
    <col min="8" max="8" width="15.453125" style="129" customWidth="1"/>
    <col min="9" max="9" width="1.90625" style="129" customWidth="1"/>
    <col min="10" max="10" width="3.36328125" style="93" customWidth="1"/>
    <col min="11" max="11" width="1.90625" style="176" customWidth="1"/>
    <col min="12" max="12" width="29.453125" style="93" customWidth="1"/>
    <col min="13" max="13" width="1.90625" style="129" customWidth="1"/>
    <col min="14" max="14" width="29.453125" style="129" customWidth="1"/>
    <col min="15" max="15" width="1.453125" style="93" customWidth="1"/>
    <col min="16" max="16" width="16.81640625" style="129" customWidth="1"/>
    <col min="17" max="17" width="5.08984375" style="129" customWidth="1"/>
    <col min="18" max="18" width="112.1796875" style="129" bestFit="1" customWidth="1"/>
    <col min="19" max="19" width="4.453125" style="129" customWidth="1"/>
    <col min="20" max="20" width="20.54296875" style="129" bestFit="1" customWidth="1"/>
    <col min="21" max="21" width="16.81640625" style="93" bestFit="1" customWidth="1"/>
    <col min="22" max="22" width="21.36328125" style="93" bestFit="1" customWidth="1"/>
    <col min="23" max="23" width="17.90625" style="93" bestFit="1" customWidth="1"/>
    <col min="24" max="24" width="20.54296875" style="93" bestFit="1" customWidth="1"/>
    <col min="25" max="25" width="16.81640625" style="93" bestFit="1" customWidth="1"/>
    <col min="26" max="26" width="8.453125" style="93"/>
    <col min="27" max="27" width="14.36328125" style="93" bestFit="1" customWidth="1"/>
    <col min="28" max="28" width="8.453125" style="129"/>
    <col min="29" max="29" width="12.089843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0" t="s">
        <v>150</v>
      </c>
      <c r="U3" s="690" t="s">
        <v>151</v>
      </c>
      <c r="V3" s="690" t="s">
        <v>152</v>
      </c>
      <c r="W3" s="690" t="s">
        <v>153</v>
      </c>
      <c r="X3" s="690" t="s">
        <v>154</v>
      </c>
      <c r="Y3" s="690" t="s">
        <v>155</v>
      </c>
    </row>
    <row r="4" spans="1:41" s="93" customFormat="1" ht="13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92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361550.45776932529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361550.45776932529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161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82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3">
      <c r="B13" s="353">
        <v>1</v>
      </c>
      <c r="C13" s="803" t="s">
        <v>170</v>
      </c>
      <c r="D13" s="804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2.5">
      <c r="B14" s="155">
        <v>2</v>
      </c>
      <c r="C14" s="803" t="s">
        <v>172</v>
      </c>
      <c r="D14" s="804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2.5">
      <c r="B15" s="353">
        <v>3</v>
      </c>
      <c r="C15" s="803" t="s">
        <v>174</v>
      </c>
      <c r="D15" s="804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2.5">
      <c r="B16" s="353">
        <v>4</v>
      </c>
      <c r="C16" s="801" t="s">
        <v>135</v>
      </c>
      <c r="D16" s="802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2.5">
      <c r="B17" s="353">
        <v>5</v>
      </c>
      <c r="C17" s="801" t="s">
        <v>54</v>
      </c>
      <c r="D17" s="802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2.5">
      <c r="B18" s="353">
        <v>6</v>
      </c>
      <c r="C18" s="801" t="s">
        <v>177</v>
      </c>
      <c r="D18" s="802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5">
      <c r="B19" s="353">
        <v>7</v>
      </c>
      <c r="C19" s="803" t="s">
        <v>177</v>
      </c>
      <c r="D19" s="804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178</v>
      </c>
      <c r="C23" s="146" t="s">
        <v>179</v>
      </c>
      <c r="D23" s="146"/>
      <c r="F23" s="147"/>
      <c r="H23" s="116"/>
    </row>
    <row r="24" spans="2:19" s="93" customFormat="1" ht="12.5">
      <c r="C24" s="148" t="s">
        <v>180</v>
      </c>
      <c r="D24" s="149"/>
      <c r="F24" s="150"/>
    </row>
    <row r="25" spans="2:19" s="93" customFormat="1" ht="12.5">
      <c r="C25" s="148" t="s">
        <v>181</v>
      </c>
      <c r="D25" s="149"/>
    </row>
    <row r="26" spans="2:19" s="93" customFormat="1" ht="12.5">
      <c r="C26" s="151" t="s">
        <v>182</v>
      </c>
      <c r="D26" s="152"/>
    </row>
    <row r="27" spans="2:19" s="93" customFormat="1" ht="12.5">
      <c r="C27" s="153" t="s">
        <v>183</v>
      </c>
      <c r="D27" s="149"/>
    </row>
    <row r="28" spans="2:19" s="93" customFormat="1" ht="12.5">
      <c r="B28" s="117"/>
      <c r="C28" s="153" t="s">
        <v>184</v>
      </c>
      <c r="D28" s="149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4" t="s">
        <v>186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089843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7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089843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36328125" style="24" customWidth="1"/>
    <col min="10" max="10" width="21.54296875" style="24" customWidth="1"/>
    <col min="11" max="11" width="2" style="24" customWidth="1"/>
    <col min="12" max="12" width="53.36328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805"/>
      <c r="C4" s="805"/>
      <c r="D4" s="805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4.5" thickBot="1">
      <c r="A5" s="216"/>
      <c r="B5" s="806" t="s">
        <v>212</v>
      </c>
      <c r="C5" s="806"/>
      <c r="D5" s="806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82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opLeftCell="J1" zoomScale="82" zoomScaleNormal="80" workbookViewId="0">
      <pane ySplit="4" topLeftCell="A5" activePane="bottomLeft" state="frozen"/>
      <selection activeCell="X33" sqref="X33"/>
      <selection pane="bottomLeft" activeCell="X28" sqref="X28:X4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7" width="17.453125" style="24" hidden="1" customWidth="1"/>
    <col min="8" max="8" width="17.453125" style="542" hidden="1" customWidth="1"/>
    <col min="9" max="9" width="22.453125" style="351" hidden="1" customWidth="1"/>
    <col min="10" max="10" width="22.453125" style="351" bestFit="1" customWidth="1"/>
    <col min="11" max="12" width="5.08984375" style="112" customWidth="1"/>
    <col min="13" max="13" width="25.54296875" style="112" customWidth="1"/>
    <col min="14" max="14" width="48.453125" style="112" customWidth="1"/>
    <col min="15" max="15" width="15.6328125" style="112" customWidth="1"/>
    <col min="16" max="17" width="17.453125" style="112" customWidth="1"/>
    <col min="18" max="18" width="38.90625" style="166" bestFit="1" customWidth="1"/>
    <col min="19" max="19" width="25.453125" style="112" customWidth="1"/>
    <col min="20" max="21" width="17.453125" style="542" customWidth="1"/>
    <col min="22" max="22" width="17.453125" style="112" customWidth="1"/>
    <col min="23" max="23" width="17.453125" style="542" customWidth="1"/>
    <col min="24" max="24" width="21.08984375" style="112" customWidth="1"/>
    <col min="25" max="25" width="34.453125" style="112" customWidth="1"/>
    <col min="26" max="26" width="24.9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32" t="s">
        <v>219</v>
      </c>
      <c r="C2" s="733"/>
      <c r="D2" s="733"/>
      <c r="E2" s="733"/>
      <c r="F2" s="733"/>
      <c r="G2" s="733"/>
      <c r="H2" s="681"/>
      <c r="I2" s="259">
        <f>SUM(I6:I160)</f>
        <v>817052.62</v>
      </c>
      <c r="J2" s="259">
        <f>SUM(J6:J160)</f>
        <v>1027135</v>
      </c>
      <c r="L2" s="734" t="s">
        <v>220</v>
      </c>
      <c r="M2" s="735"/>
      <c r="N2" s="735"/>
      <c r="O2" s="735"/>
      <c r="P2" s="735"/>
      <c r="Q2" s="735"/>
      <c r="R2" s="736" t="s">
        <v>221</v>
      </c>
      <c r="S2" s="737"/>
      <c r="T2" s="737"/>
      <c r="U2" s="737"/>
      <c r="V2" s="737"/>
      <c r="W2" s="738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2.5" thickBot="1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29">
        <f>SUM(G6:G11)</f>
        <v>160883.16</v>
      </c>
      <c r="J6" s="729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42">
        <f>J6-SUM(U6:U11)</f>
        <v>0</v>
      </c>
      <c r="W6" s="697">
        <v>45954</v>
      </c>
      <c r="X6" s="739">
        <f>SUM(Q6:Q11)</f>
        <v>149174</v>
      </c>
      <c r="Y6" s="482"/>
    </row>
    <row r="7" spans="1:76" ht="15" customHeight="1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30"/>
      <c r="J7" s="730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43"/>
      <c r="W7" s="533">
        <v>45954</v>
      </c>
      <c r="X7" s="740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30"/>
      <c r="J8" s="730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43"/>
      <c r="W8" s="565"/>
      <c r="X8" s="740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30"/>
      <c r="J9" s="730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43"/>
      <c r="W9" s="566"/>
      <c r="X9" s="740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30"/>
      <c r="J10" s="730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43"/>
      <c r="W10" s="566"/>
      <c r="X10" s="740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31"/>
      <c r="J11" s="731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44"/>
      <c r="W11" s="567"/>
      <c r="X11" s="741"/>
      <c r="Y11" s="581" t="s">
        <v>243</v>
      </c>
      <c r="Z11" s="582" t="s">
        <v>244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23">
        <f>SUM(G13:G19)</f>
        <v>74130</v>
      </c>
      <c r="J13" s="723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45">
        <f>J13-SUM(U13:U19)</f>
        <v>0</v>
      </c>
      <c r="W13" s="698">
        <f>W6</f>
        <v>45954</v>
      </c>
      <c r="X13" s="726">
        <f>SUM(Q13:Q19)</f>
        <v>74130.34</v>
      </c>
      <c r="Y13" s="583" t="s">
        <v>251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24"/>
      <c r="J14" s="724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46"/>
      <c r="W14" s="628"/>
      <c r="X14" s="727"/>
      <c r="Y14" s="583" t="s">
        <v>252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24"/>
      <c r="J15" s="724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46"/>
      <c r="W15" s="570"/>
      <c r="X15" s="727"/>
      <c r="Y15" s="583" t="s">
        <v>253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24"/>
      <c r="J16" s="724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46"/>
      <c r="W16" s="570"/>
      <c r="X16" s="727"/>
      <c r="Y16" s="583" t="s">
        <v>254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24"/>
      <c r="J17" s="724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46"/>
      <c r="W17" s="570"/>
      <c r="X17" s="727"/>
      <c r="Y17" s="583" t="s">
        <v>255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24"/>
      <c r="J18" s="724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46"/>
      <c r="W18" s="570"/>
      <c r="X18" s="727"/>
      <c r="Y18" s="583" t="s">
        <v>256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25"/>
      <c r="J19" s="725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47"/>
      <c r="W19" s="571"/>
      <c r="X19" s="728"/>
      <c r="Y19" s="583" t="s">
        <v>257</v>
      </c>
      <c r="Z19" s="584">
        <v>0</v>
      </c>
    </row>
    <row r="20" spans="1:27" ht="14.5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29">
        <f>SUM(G21:G26)</f>
        <v>97648.8</v>
      </c>
      <c r="J21" s="729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42">
        <f>J21-SUM(U21:U26)</f>
        <v>0</v>
      </c>
      <c r="W21" s="701">
        <f>T21+30</f>
        <v>45960</v>
      </c>
      <c r="X21" s="739">
        <f>SUM(Q21:Q26)</f>
        <v>101652.61</v>
      </c>
      <c r="Y21" s="583" t="s">
        <v>264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30"/>
      <c r="J22" s="730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43"/>
      <c r="W22" s="533">
        <v>45911</v>
      </c>
      <c r="X22" s="740"/>
      <c r="Y22" s="583" t="s">
        <v>189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30"/>
      <c r="J23" s="730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43"/>
      <c r="W23" s="565"/>
      <c r="X23" s="740"/>
      <c r="Y23" s="583" t="s">
        <v>268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30"/>
      <c r="J24" s="730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43"/>
      <c r="W24" s="566"/>
      <c r="X24" s="740"/>
      <c r="Y24" s="588" t="s">
        <v>269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30"/>
      <c r="J25" s="730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43"/>
      <c r="W25" s="566"/>
      <c r="X25" s="740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31"/>
      <c r="J26" s="731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44"/>
      <c r="W26" s="567"/>
      <c r="X26" s="741"/>
      <c r="Y26" s="589" t="s">
        <v>270</v>
      </c>
      <c r="Z26" s="590" t="s">
        <v>271</v>
      </c>
    </row>
    <row r="27" spans="1:27" ht="14.5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23">
        <f>SUM(G28:G42)</f>
        <v>61800.6</v>
      </c>
      <c r="J28" s="723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45">
        <f>J28-SUM(U28:U42)</f>
        <v>0</v>
      </c>
      <c r="W28" s="687">
        <v>45930</v>
      </c>
      <c r="X28" s="726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24"/>
      <c r="J29" s="724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46"/>
      <c r="W29" s="570"/>
      <c r="X29" s="727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24"/>
      <c r="J30" s="724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46"/>
      <c r="W30" s="570"/>
      <c r="X30" s="727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24"/>
      <c r="J31" s="724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46"/>
      <c r="W31" s="570"/>
      <c r="X31" s="727"/>
      <c r="Y31" s="591" t="s">
        <v>277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24"/>
      <c r="J32" s="724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57" t="s">
        <v>279</v>
      </c>
      <c r="S32" s="606" t="s">
        <v>280</v>
      </c>
      <c r="T32" s="658">
        <v>45900</v>
      </c>
      <c r="U32" s="675">
        <v>3660.3167814122171</v>
      </c>
      <c r="V32" s="746"/>
      <c r="W32" s="535">
        <f>W91</f>
        <v>45904</v>
      </c>
      <c r="X32" s="727"/>
      <c r="Y32" s="591" t="s">
        <v>281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24"/>
      <c r="J33" s="724"/>
      <c r="K33" s="302"/>
      <c r="L33" s="299">
        <v>4</v>
      </c>
      <c r="M33" s="426" t="s">
        <v>273</v>
      </c>
      <c r="N33" s="408" t="s">
        <v>106</v>
      </c>
      <c r="O33" s="549"/>
      <c r="P33" s="559">
        <v>0.15</v>
      </c>
      <c r="Q33" s="301">
        <f t="shared" ref="Q33:Q39" si="4">$O$32*P33</f>
        <v>6955.05</v>
      </c>
      <c r="R33" s="758"/>
      <c r="S33" s="606" t="s">
        <v>282</v>
      </c>
      <c r="T33" s="658">
        <v>45900</v>
      </c>
      <c r="U33" s="675">
        <v>5490.4751721183256</v>
      </c>
      <c r="V33" s="746"/>
      <c r="W33" s="535">
        <f t="shared" ref="W33:W37" si="5">W92</f>
        <v>45911</v>
      </c>
      <c r="X33" s="727"/>
      <c r="Y33" s="591" t="s">
        <v>283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24"/>
      <c r="J34" s="724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58"/>
      <c r="S34" s="606" t="s">
        <v>285</v>
      </c>
      <c r="T34" s="658">
        <v>45900</v>
      </c>
      <c r="U34" s="675">
        <v>7320.6335628244342</v>
      </c>
      <c r="V34" s="746"/>
      <c r="W34" s="535">
        <f t="shared" si="5"/>
        <v>45946</v>
      </c>
      <c r="X34" s="727"/>
      <c r="Y34" s="591" t="s">
        <v>286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24"/>
      <c r="J35" s="724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58"/>
      <c r="S35" s="606" t="s">
        <v>288</v>
      </c>
      <c r="T35" s="658">
        <v>45900</v>
      </c>
      <c r="U35" s="675">
        <v>9150.7919535305427</v>
      </c>
      <c r="V35" s="746"/>
      <c r="W35" s="535">
        <f t="shared" si="5"/>
        <v>45946</v>
      </c>
      <c r="X35" s="727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24"/>
      <c r="J36" s="724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58"/>
      <c r="S36" s="606" t="s">
        <v>290</v>
      </c>
      <c r="T36" s="658">
        <v>45900</v>
      </c>
      <c r="U36" s="675">
        <v>3660.3167814122171</v>
      </c>
      <c r="V36" s="746"/>
      <c r="W36" s="708">
        <f t="shared" si="5"/>
        <v>46072</v>
      </c>
      <c r="X36" s="727"/>
      <c r="Y36" s="591" t="s">
        <v>264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24"/>
      <c r="J37" s="724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58"/>
      <c r="S37" s="606" t="s">
        <v>292</v>
      </c>
      <c r="T37" s="658">
        <v>45900</v>
      </c>
      <c r="U37" s="675">
        <v>3660.3167814122171</v>
      </c>
      <c r="V37" s="746"/>
      <c r="W37" s="708">
        <f t="shared" si="5"/>
        <v>46072</v>
      </c>
      <c r="X37" s="727"/>
      <c r="Y37" s="591" t="s">
        <v>264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24"/>
      <c r="J38" s="724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58"/>
      <c r="S38" s="606" t="s">
        <v>294</v>
      </c>
      <c r="T38" s="658">
        <v>45900</v>
      </c>
      <c r="U38" s="675">
        <v>1830.1583907061085</v>
      </c>
      <c r="V38" s="746"/>
      <c r="W38" s="708">
        <v>46037</v>
      </c>
      <c r="X38" s="727"/>
      <c r="Y38" s="591" t="s">
        <v>189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24"/>
      <c r="J39" s="724"/>
      <c r="K39" s="302"/>
      <c r="L39" s="299">
        <v>4</v>
      </c>
      <c r="M39" s="426" t="s">
        <v>273</v>
      </c>
      <c r="N39" s="408" t="s">
        <v>295</v>
      </c>
      <c r="O39" s="549"/>
      <c r="P39" s="559">
        <v>0.05</v>
      </c>
      <c r="Q39" s="301">
        <f t="shared" si="4"/>
        <v>2318.35</v>
      </c>
      <c r="R39" s="759"/>
      <c r="S39" s="606" t="s">
        <v>296</v>
      </c>
      <c r="T39" s="658">
        <v>45900</v>
      </c>
      <c r="U39" s="675">
        <v>1830.1583907061085</v>
      </c>
      <c r="V39" s="746"/>
      <c r="W39" s="708">
        <v>46037</v>
      </c>
      <c r="X39" s="727"/>
      <c r="Y39" s="594" t="s">
        <v>269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24"/>
      <c r="J40" s="724"/>
      <c r="K40" s="302"/>
      <c r="L40" s="299">
        <v>4</v>
      </c>
      <c r="M40" s="426" t="s">
        <v>273</v>
      </c>
      <c r="N40" s="408"/>
      <c r="O40" s="549"/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46"/>
      <c r="W40" s="570"/>
      <c r="X40" s="727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24"/>
      <c r="J41" s="724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46"/>
      <c r="W41" s="570"/>
      <c r="X41" s="727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25"/>
      <c r="J42" s="725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47"/>
      <c r="W42" s="571"/>
      <c r="X42" s="728"/>
      <c r="Y42" s="482"/>
    </row>
    <row r="43" spans="1:26" ht="14.5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29">
        <f>SUM(G44:G51)</f>
        <v>166000</v>
      </c>
      <c r="J44" s="729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42">
        <f>J44-SUM(U44:U51)</f>
        <v>12.165099481266225</v>
      </c>
      <c r="W44" s="699">
        <f>W13</f>
        <v>45954</v>
      </c>
      <c r="X44" s="739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30"/>
      <c r="J45" s="730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43"/>
      <c r="W45" s="700">
        <f>T45+30</f>
        <v>45930</v>
      </c>
      <c r="X45" s="740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30"/>
      <c r="J46" s="730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43"/>
      <c r="W46" s="533">
        <v>45900</v>
      </c>
      <c r="X46" s="740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30"/>
      <c r="J47" s="730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3">
        <v>45961</v>
      </c>
      <c r="U47" s="704">
        <v>139319.34685811546</v>
      </c>
      <c r="V47" s="743"/>
      <c r="W47" s="700">
        <v>45961</v>
      </c>
      <c r="X47" s="740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30"/>
      <c r="J48" s="730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4">
        <v>1379.8946741022314</v>
      </c>
      <c r="V48" s="743"/>
      <c r="W48" s="702">
        <v>45991</v>
      </c>
      <c r="X48" s="740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30"/>
      <c r="J49" s="730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4">
        <v>2345.4241839694523</v>
      </c>
      <c r="V49" s="743"/>
      <c r="W49" s="702">
        <v>45939</v>
      </c>
      <c r="X49" s="740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30"/>
      <c r="J50" s="730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43"/>
      <c r="W50" s="702">
        <f>T50</f>
        <v>45961</v>
      </c>
      <c r="X50" s="740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31"/>
      <c r="J51" s="731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07">
        <v>45991</v>
      </c>
      <c r="U51" s="504"/>
      <c r="V51" s="744"/>
      <c r="W51" s="712">
        <v>46029</v>
      </c>
      <c r="X51" s="741"/>
      <c r="Y51" s="482"/>
    </row>
    <row r="52" spans="1:25" ht="14.5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23">
        <f>SUM(G53:G69)</f>
        <v>135950.84</v>
      </c>
      <c r="J53" s="723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45">
        <f>J53-SUM(U53:U69)</f>
        <v>0</v>
      </c>
      <c r="W53" s="569"/>
      <c r="X53" s="726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24"/>
      <c r="J54" s="724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46"/>
      <c r="W54" s="570"/>
      <c r="X54" s="727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24"/>
      <c r="J55" s="724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46"/>
      <c r="W55" s="570"/>
      <c r="X55" s="727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24"/>
      <c r="J56" s="724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46"/>
      <c r="W56" s="570"/>
      <c r="X56" s="727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24"/>
      <c r="J57" s="724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46"/>
      <c r="W57" s="570"/>
      <c r="X57" s="727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24"/>
      <c r="J58" s="724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46"/>
      <c r="W58" s="570"/>
      <c r="X58" s="727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24"/>
      <c r="J59" s="724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57" t="s">
        <v>279</v>
      </c>
      <c r="S59" s="606" t="s">
        <v>280</v>
      </c>
      <c r="T59" s="658">
        <v>45900</v>
      </c>
      <c r="U59" s="675">
        <v>17429.597251114483</v>
      </c>
      <c r="V59" s="746"/>
      <c r="W59" s="535">
        <f>W91</f>
        <v>45904</v>
      </c>
      <c r="X59" s="727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24"/>
      <c r="J60" s="724"/>
      <c r="K60" s="302"/>
      <c r="L60" s="299">
        <v>6</v>
      </c>
      <c r="M60" s="430" t="s">
        <v>319</v>
      </c>
      <c r="N60" s="408" t="s">
        <v>106</v>
      </c>
      <c r="O60" s="549"/>
      <c r="P60" s="559">
        <v>0.15</v>
      </c>
      <c r="Q60" s="301">
        <v>19021.82</v>
      </c>
      <c r="R60" s="758"/>
      <c r="S60" s="606" t="s">
        <v>282</v>
      </c>
      <c r="T60" s="658">
        <v>45900</v>
      </c>
      <c r="U60" s="675">
        <v>26144.402748885517</v>
      </c>
      <c r="V60" s="746"/>
      <c r="W60" s="535">
        <f t="shared" ref="W60:W64" si="8">W92</f>
        <v>45911</v>
      </c>
      <c r="X60" s="727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24"/>
      <c r="J61" s="724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58"/>
      <c r="S61" s="606" t="s">
        <v>285</v>
      </c>
      <c r="T61" s="658">
        <v>45900</v>
      </c>
      <c r="U61" s="675">
        <v>34859.194502228966</v>
      </c>
      <c r="V61" s="746"/>
      <c r="W61" s="535">
        <f t="shared" si="8"/>
        <v>45946</v>
      </c>
      <c r="X61" s="727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24"/>
      <c r="J62" s="724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58"/>
      <c r="S62" s="606" t="s">
        <v>288</v>
      </c>
      <c r="T62" s="658">
        <v>45900</v>
      </c>
      <c r="U62" s="675">
        <v>43574</v>
      </c>
      <c r="V62" s="746"/>
      <c r="W62" s="535">
        <f t="shared" si="8"/>
        <v>45946</v>
      </c>
      <c r="X62" s="727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24"/>
      <c r="J63" s="724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58"/>
      <c r="S63" s="606" t="s">
        <v>290</v>
      </c>
      <c r="T63" s="658">
        <v>45900</v>
      </c>
      <c r="U63" s="675">
        <v>17429.597251114483</v>
      </c>
      <c r="V63" s="746"/>
      <c r="W63" s="708">
        <f t="shared" si="8"/>
        <v>46072</v>
      </c>
      <c r="X63" s="727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24"/>
      <c r="J64" s="724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58"/>
      <c r="S64" s="610" t="s">
        <v>292</v>
      </c>
      <c r="T64" s="658">
        <v>45900</v>
      </c>
      <c r="U64" s="677">
        <v>17429.597251114483</v>
      </c>
      <c r="V64" s="746"/>
      <c r="W64" s="708">
        <f t="shared" si="8"/>
        <v>46072</v>
      </c>
      <c r="X64" s="727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24"/>
      <c r="J65" s="724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58"/>
      <c r="S65" s="610" t="s">
        <v>294</v>
      </c>
      <c r="T65" s="658">
        <v>45900</v>
      </c>
      <c r="U65" s="677">
        <v>8714.8054977710326</v>
      </c>
      <c r="V65" s="746"/>
      <c r="W65" s="708">
        <v>46037</v>
      </c>
      <c r="X65" s="727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24"/>
      <c r="J66" s="724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59"/>
      <c r="S66" s="610" t="s">
        <v>296</v>
      </c>
      <c r="T66" s="658">
        <v>45900</v>
      </c>
      <c r="U66" s="677">
        <v>8714.8054977710326</v>
      </c>
      <c r="V66" s="746"/>
      <c r="W66" s="708">
        <v>46037</v>
      </c>
      <c r="X66" s="727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24"/>
      <c r="J67" s="724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46"/>
      <c r="W67" s="719"/>
      <c r="X67" s="727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24"/>
      <c r="J68" s="724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46"/>
      <c r="W68" s="573"/>
      <c r="X68" s="727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25"/>
      <c r="J69" s="725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47"/>
      <c r="W69" s="571"/>
      <c r="X69" s="728"/>
      <c r="Y69" s="482"/>
    </row>
    <row r="70" spans="1:25" ht="14.5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320</v>
      </c>
      <c r="D71" s="381"/>
      <c r="E71" s="462"/>
      <c r="F71" s="468"/>
      <c r="G71" s="382"/>
      <c r="H71" s="575"/>
      <c r="I71" s="729">
        <f>SUM(G71:G78)</f>
        <v>0</v>
      </c>
      <c r="J71" s="729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748">
        <f>J71-SUM(U71:U78)</f>
        <v>0</v>
      </c>
      <c r="W71" s="575"/>
      <c r="X71" s="739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30"/>
      <c r="J72" s="730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749"/>
      <c r="W72" s="566"/>
      <c r="X72" s="740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30"/>
      <c r="J73" s="730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749"/>
      <c r="W73" s="566"/>
      <c r="X73" s="740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30"/>
      <c r="J74" s="730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749"/>
      <c r="W74" s="566"/>
      <c r="X74" s="740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30"/>
      <c r="J75" s="730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749"/>
      <c r="W75" s="566"/>
      <c r="X75" s="740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30"/>
      <c r="J76" s="730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749"/>
      <c r="W76" s="566"/>
      <c r="X76" s="740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30"/>
      <c r="J77" s="730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749"/>
      <c r="W77" s="566"/>
      <c r="X77" s="740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31"/>
      <c r="J78" s="731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750"/>
      <c r="W78" s="567"/>
      <c r="X78" s="741"/>
      <c r="Y78" s="482"/>
    </row>
    <row r="79" spans="1:25" ht="14.5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322</v>
      </c>
      <c r="D80" s="334"/>
      <c r="E80" s="463"/>
      <c r="F80" s="416"/>
      <c r="G80" s="335"/>
      <c r="H80" s="569"/>
      <c r="I80" s="723">
        <f>SUM(G80:G88)</f>
        <v>0</v>
      </c>
      <c r="J80" s="723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772">
        <f>J80-SUM(U80:U88)</f>
        <v>0</v>
      </c>
      <c r="W80" s="569"/>
      <c r="X80" s="726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24"/>
      <c r="J81" s="724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773"/>
      <c r="W81" s="570"/>
      <c r="X81" s="727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24"/>
      <c r="J82" s="724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773"/>
      <c r="W82" s="570"/>
      <c r="X82" s="727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24"/>
      <c r="J83" s="724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773"/>
      <c r="W83" s="570"/>
      <c r="X83" s="727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24"/>
      <c r="J84" s="724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773"/>
      <c r="W84" s="570"/>
      <c r="X84" s="727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24"/>
      <c r="J85" s="724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773"/>
      <c r="W85" s="570"/>
      <c r="X85" s="727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24"/>
      <c r="J86" s="724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773"/>
      <c r="W86" s="570"/>
      <c r="X86" s="727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24"/>
      <c r="J87" s="724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773"/>
      <c r="W87" s="573"/>
      <c r="X87" s="727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25"/>
      <c r="J88" s="725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774"/>
      <c r="W88" s="571"/>
      <c r="X88" s="728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63">
        <f>SUM(G90:G101)</f>
        <v>54230</v>
      </c>
      <c r="J90" s="729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42">
        <f>J90-SUM(U90:U101)</f>
        <v>0</v>
      </c>
      <c r="W90" s="572"/>
      <c r="X90" s="766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64"/>
      <c r="J91" s="730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54" t="s">
        <v>279</v>
      </c>
      <c r="S91" s="601" t="s">
        <v>280</v>
      </c>
      <c r="T91" s="660">
        <v>45900</v>
      </c>
      <c r="U91" s="674">
        <v>6025.6</v>
      </c>
      <c r="V91" s="743"/>
      <c r="W91" s="533">
        <v>45904</v>
      </c>
      <c r="X91" s="767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64"/>
      <c r="J92" s="730"/>
      <c r="K92" s="289"/>
      <c r="L92" s="383">
        <v>9</v>
      </c>
      <c r="M92" s="501" t="s">
        <v>327</v>
      </c>
      <c r="N92" s="385" t="s">
        <v>106</v>
      </c>
      <c r="O92" s="545"/>
      <c r="P92" s="560">
        <v>0.15</v>
      </c>
      <c r="Q92" s="316">
        <f t="shared" ref="Q92:Q98" si="10">$O$91*P92</f>
        <v>8896.5</v>
      </c>
      <c r="R92" s="755"/>
      <c r="S92" s="602" t="s">
        <v>282</v>
      </c>
      <c r="T92" s="660">
        <v>45900</v>
      </c>
      <c r="U92" s="674">
        <v>9038.4</v>
      </c>
      <c r="V92" s="743"/>
      <c r="W92" s="534">
        <v>45911</v>
      </c>
      <c r="X92" s="767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64"/>
      <c r="J93" s="730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55"/>
      <c r="S93" s="602" t="s">
        <v>329</v>
      </c>
      <c r="T93" s="680">
        <v>45961</v>
      </c>
      <c r="U93" s="686">
        <v>12051.2</v>
      </c>
      <c r="V93" s="743"/>
      <c r="W93" s="534">
        <v>45946</v>
      </c>
      <c r="X93" s="767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64"/>
      <c r="J94" s="730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55"/>
      <c r="S94" s="602" t="s">
        <v>329</v>
      </c>
      <c r="T94" s="680">
        <v>45961</v>
      </c>
      <c r="U94" s="686">
        <v>15064</v>
      </c>
      <c r="V94" s="743"/>
      <c r="W94" s="534">
        <v>45946</v>
      </c>
      <c r="X94" s="767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64"/>
      <c r="J95" s="730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55"/>
      <c r="S95" s="602" t="s">
        <v>329</v>
      </c>
      <c r="T95" s="680">
        <v>45961</v>
      </c>
      <c r="U95" s="686">
        <v>6025.6</v>
      </c>
      <c r="V95" s="743"/>
      <c r="W95" s="566">
        <v>46072</v>
      </c>
      <c r="X95" s="767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64"/>
      <c r="J96" s="730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55"/>
      <c r="S96" s="602" t="s">
        <v>329</v>
      </c>
      <c r="T96" s="680">
        <v>45961</v>
      </c>
      <c r="U96" s="686">
        <v>6025.6</v>
      </c>
      <c r="V96" s="743"/>
      <c r="W96" s="566">
        <v>46072</v>
      </c>
      <c r="X96" s="767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64"/>
      <c r="J97" s="730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55"/>
      <c r="S97" s="602" t="s">
        <v>329</v>
      </c>
      <c r="T97" s="680">
        <v>45961</v>
      </c>
      <c r="U97" s="686">
        <v>3012.8</v>
      </c>
      <c r="V97" s="743"/>
      <c r="W97" s="566">
        <v>46071</v>
      </c>
      <c r="X97" s="767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64"/>
      <c r="J98" s="730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56"/>
      <c r="S98" s="602" t="s">
        <v>329</v>
      </c>
      <c r="T98" s="680">
        <v>45961</v>
      </c>
      <c r="U98" s="686">
        <v>3012.8</v>
      </c>
      <c r="V98" s="743"/>
      <c r="W98" s="566">
        <v>46072</v>
      </c>
      <c r="X98" s="767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64"/>
      <c r="J99" s="730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43"/>
      <c r="W99" s="566"/>
      <c r="X99" s="767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64"/>
      <c r="J100" s="730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43"/>
      <c r="W100" s="566"/>
      <c r="X100" s="767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65"/>
      <c r="J101" s="731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44"/>
      <c r="W101" s="567"/>
      <c r="X101" s="768"/>
      <c r="Y101" s="482"/>
    </row>
    <row r="102" spans="1:25" ht="14.5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51">
        <f>SUM(G103:G117)</f>
        <v>26112.27</v>
      </c>
      <c r="J103" s="751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69">
        <f>J103-SUM(U103:U117)</f>
        <v>0</v>
      </c>
      <c r="W103" s="576"/>
      <c r="X103" s="760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52"/>
      <c r="J104" s="752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70"/>
      <c r="W104" s="537">
        <v>45898</v>
      </c>
      <c r="X104" s="761"/>
      <c r="Y104" s="482"/>
    </row>
    <row r="105" spans="1:25" ht="14.25" customHeight="1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52"/>
      <c r="J105" s="752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70"/>
      <c r="W105" s="577"/>
      <c r="X105" s="761"/>
      <c r="Y105" s="482"/>
    </row>
    <row r="106" spans="1:25" ht="14.25" customHeight="1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52"/>
      <c r="J106" s="752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70"/>
      <c r="W106" s="577"/>
      <c r="X106" s="761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52"/>
      <c r="J107" s="752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775" t="s">
        <v>279</v>
      </c>
      <c r="S107" s="615" t="s">
        <v>280</v>
      </c>
      <c r="T107" s="659">
        <v>45900</v>
      </c>
      <c r="U107" s="679">
        <v>1000.6783168544493</v>
      </c>
      <c r="V107" s="770"/>
      <c r="W107" s="538">
        <f>W91</f>
        <v>45904</v>
      </c>
      <c r="X107" s="761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52"/>
      <c r="J108" s="752"/>
      <c r="K108" s="273"/>
      <c r="L108" s="341">
        <v>10</v>
      </c>
      <c r="M108" s="435" t="s">
        <v>331</v>
      </c>
      <c r="N108" s="342" t="s">
        <v>106</v>
      </c>
      <c r="O108" s="556"/>
      <c r="P108" s="563">
        <v>0.15</v>
      </c>
      <c r="Q108" s="344">
        <f t="shared" ref="Q108:Q114" si="12">$O$107*P108</f>
        <v>1800</v>
      </c>
      <c r="R108" s="776"/>
      <c r="S108" s="619" t="s">
        <v>282</v>
      </c>
      <c r="T108" s="659">
        <v>45900</v>
      </c>
      <c r="U108" s="679">
        <v>1501.017475281674</v>
      </c>
      <c r="V108" s="770"/>
      <c r="W108" s="538">
        <f t="shared" ref="W108:W114" si="13">W92</f>
        <v>45911</v>
      </c>
      <c r="X108" s="761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52"/>
      <c r="J109" s="752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776"/>
      <c r="S109" s="615" t="s">
        <v>285</v>
      </c>
      <c r="T109" s="659">
        <v>45900</v>
      </c>
      <c r="U109" s="679">
        <v>2001.3566337088987</v>
      </c>
      <c r="V109" s="770"/>
      <c r="W109" s="538">
        <f t="shared" si="13"/>
        <v>45946</v>
      </c>
      <c r="X109" s="761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52"/>
      <c r="J110" s="752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776"/>
      <c r="S110" s="615" t="s">
        <v>288</v>
      </c>
      <c r="T110" s="659">
        <v>45900</v>
      </c>
      <c r="U110" s="679">
        <v>2501.6957921361231</v>
      </c>
      <c r="V110" s="770"/>
      <c r="W110" s="538">
        <f t="shared" si="13"/>
        <v>45946</v>
      </c>
      <c r="X110" s="761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52"/>
      <c r="J111" s="752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776"/>
      <c r="S111" s="615" t="s">
        <v>290</v>
      </c>
      <c r="T111" s="659">
        <v>45900</v>
      </c>
      <c r="U111" s="679">
        <v>1000.6783168544493</v>
      </c>
      <c r="V111" s="770"/>
      <c r="W111" s="685">
        <f t="shared" si="13"/>
        <v>46072</v>
      </c>
      <c r="X111" s="761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52"/>
      <c r="J112" s="752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776"/>
      <c r="S112" s="615" t="s">
        <v>292</v>
      </c>
      <c r="T112" s="659">
        <v>45900</v>
      </c>
      <c r="U112" s="679">
        <v>1000.6783168544493</v>
      </c>
      <c r="V112" s="770"/>
      <c r="W112" s="685">
        <f t="shared" si="13"/>
        <v>46072</v>
      </c>
      <c r="X112" s="761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52"/>
      <c r="J113" s="752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776"/>
      <c r="S113" s="615" t="s">
        <v>294</v>
      </c>
      <c r="T113" s="659">
        <v>45900</v>
      </c>
      <c r="U113" s="679">
        <v>500.33915842722467</v>
      </c>
      <c r="V113" s="770"/>
      <c r="W113" s="685">
        <f t="shared" si="13"/>
        <v>46071</v>
      </c>
      <c r="X113" s="761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52"/>
      <c r="J114" s="752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777"/>
      <c r="S114" s="615" t="s">
        <v>296</v>
      </c>
      <c r="T114" s="659">
        <v>45900</v>
      </c>
      <c r="U114" s="679">
        <v>500.33915842722467</v>
      </c>
      <c r="V114" s="770"/>
      <c r="W114" s="685">
        <f t="shared" si="13"/>
        <v>46072</v>
      </c>
      <c r="X114" s="761"/>
      <c r="Y114" s="482"/>
    </row>
    <row r="115" spans="1:25" ht="14.15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52"/>
      <c r="J115" s="752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70"/>
      <c r="W115" s="685"/>
      <c r="X115" s="761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52"/>
      <c r="J116" s="752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70"/>
      <c r="W116" s="578"/>
      <c r="X116" s="761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53"/>
      <c r="J117" s="753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71"/>
      <c r="W117" s="579"/>
      <c r="X117" s="762"/>
      <c r="Y117" s="482"/>
    </row>
    <row r="118" spans="1:25" ht="14.5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29">
        <f>SUM(G119:G123)</f>
        <v>29000</v>
      </c>
      <c r="J119" s="729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686">
        <v>18772.536958277255</v>
      </c>
      <c r="V119" s="742">
        <f>J119-SUM(U119:U123)</f>
        <v>-2.5142424055957235E-4</v>
      </c>
      <c r="W119" s="699">
        <v>46051</v>
      </c>
      <c r="X119" s="739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30"/>
      <c r="J120" s="730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43"/>
      <c r="W120" s="565"/>
      <c r="X120" s="740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30"/>
      <c r="J121" s="730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43"/>
      <c r="W121" s="565"/>
      <c r="X121" s="740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30"/>
      <c r="J122" s="730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43"/>
      <c r="W122" s="702">
        <f>T122+30</f>
        <v>45991</v>
      </c>
      <c r="X122" s="740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31"/>
      <c r="J123" s="731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44"/>
      <c r="W123" s="567"/>
      <c r="X123" s="741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51">
        <f>SUM(G125:G126)</f>
        <v>0</v>
      </c>
      <c r="J125" s="751">
        <v>0</v>
      </c>
      <c r="K125" s="778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60">
        <f>SUM(Q125:Q126)</f>
        <v>0</v>
      </c>
      <c r="Y125" s="482"/>
    </row>
    <row r="126" spans="1:25" ht="15" customHeight="1" thickBot="1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53"/>
      <c r="J126" s="753"/>
      <c r="K126" s="779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62"/>
      <c r="Y126" s="482"/>
    </row>
    <row r="127" spans="1:25" ht="14.5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29">
        <f>SUM(G128:G132)</f>
        <v>10071.950000000001</v>
      </c>
      <c r="J128" s="729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05">
        <v>11445</v>
      </c>
      <c r="V128" s="742">
        <f>J128-SUM(U128:U133)</f>
        <v>0</v>
      </c>
      <c r="W128" s="709">
        <f>T128+30</f>
        <v>45991</v>
      </c>
      <c r="X128" s="739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30"/>
      <c r="J129" s="730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4">
        <v>0</v>
      </c>
      <c r="V129" s="743"/>
      <c r="W129" s="565"/>
      <c r="X129" s="740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30"/>
      <c r="J130" s="730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43"/>
      <c r="W130" s="565"/>
      <c r="X130" s="740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30"/>
      <c r="J131" s="730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43"/>
      <c r="W131" s="565"/>
      <c r="X131" s="740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30"/>
      <c r="J132" s="730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43"/>
      <c r="W132" s="565"/>
      <c r="X132" s="740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31"/>
      <c r="J133" s="731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44"/>
      <c r="W133" s="567"/>
      <c r="X133" s="741"/>
      <c r="Y133" s="482"/>
    </row>
    <row r="134" spans="1:25" ht="14.5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51">
        <f>SUM(G135:G146)</f>
        <v>1225</v>
      </c>
      <c r="J135" s="751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69">
        <f>J135-SUM(U135:U146)</f>
        <v>0</v>
      </c>
      <c r="W135" s="538">
        <v>45900</v>
      </c>
      <c r="X135" s="760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52"/>
      <c r="J136" s="752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70"/>
      <c r="W136" s="685">
        <v>45930</v>
      </c>
      <c r="X136" s="761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52"/>
      <c r="J137" s="752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70"/>
      <c r="W137" s="685">
        <v>45961</v>
      </c>
      <c r="X137" s="761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52"/>
      <c r="J138" s="752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1">
        <v>1361</v>
      </c>
      <c r="V138" s="770"/>
      <c r="W138" s="685">
        <v>45996</v>
      </c>
      <c r="X138" s="761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52"/>
      <c r="J139" s="752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70"/>
      <c r="W139" s="578"/>
      <c r="X139" s="761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52"/>
      <c r="J140" s="752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70"/>
      <c r="W140" s="578"/>
      <c r="X140" s="761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52"/>
      <c r="J141" s="752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70"/>
      <c r="W141" s="578"/>
      <c r="X141" s="761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52"/>
      <c r="J142" s="752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70"/>
      <c r="W142" s="578"/>
      <c r="X142" s="761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52"/>
      <c r="J143" s="752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70"/>
      <c r="W143" s="578"/>
      <c r="X143" s="761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52"/>
      <c r="J144" s="752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70"/>
      <c r="W144" s="578"/>
      <c r="X144" s="761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52"/>
      <c r="J145" s="752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70"/>
      <c r="W145" s="578"/>
      <c r="X145" s="761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53"/>
      <c r="J146" s="753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71"/>
      <c r="W146" s="579"/>
      <c r="X146" s="762"/>
      <c r="Y146" s="482"/>
    </row>
    <row r="147" spans="1:25" ht="14.5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29">
        <f>SUM(G148:G159)</f>
        <v>0</v>
      </c>
      <c r="J148" s="729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0">
        <v>45991</v>
      </c>
      <c r="U148" s="510"/>
      <c r="V148" s="742">
        <v>0</v>
      </c>
      <c r="W148" s="699">
        <v>46022</v>
      </c>
      <c r="X148" s="739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30"/>
      <c r="J149" s="730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43"/>
      <c r="W149" s="565"/>
      <c r="X149" s="740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30"/>
      <c r="J150" s="730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43"/>
      <c r="W150" s="565"/>
      <c r="X150" s="740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30"/>
      <c r="J151" s="730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43"/>
      <c r="W151" s="565"/>
      <c r="X151" s="740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30"/>
      <c r="J152" s="730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43"/>
      <c r="W152" s="565"/>
      <c r="X152" s="740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30"/>
      <c r="J153" s="730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43"/>
      <c r="W153" s="565"/>
      <c r="X153" s="740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30"/>
      <c r="J154" s="730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43"/>
      <c r="W154" s="565"/>
      <c r="X154" s="740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30"/>
      <c r="J155" s="730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43"/>
      <c r="W155" s="565"/>
      <c r="X155" s="740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30"/>
      <c r="J156" s="730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43"/>
      <c r="W156" s="565"/>
      <c r="X156" s="740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30"/>
      <c r="J157" s="730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43"/>
      <c r="W157" s="565"/>
      <c r="X157" s="740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30"/>
      <c r="J158" s="730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43"/>
      <c r="W158" s="565"/>
      <c r="X158" s="740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31"/>
      <c r="J159" s="731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44"/>
      <c r="W159" s="567"/>
      <c r="X159" s="741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I125:I126"/>
    <mergeCell ref="J125:J126"/>
    <mergeCell ref="K125:K126"/>
    <mergeCell ref="X125:X126"/>
    <mergeCell ref="V119:V123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R91:R98"/>
    <mergeCell ref="V44:V51"/>
    <mergeCell ref="V53:V69"/>
    <mergeCell ref="R59:R66"/>
    <mergeCell ref="R32:R39"/>
    <mergeCell ref="I103:I117"/>
    <mergeCell ref="J103:J117"/>
    <mergeCell ref="I44:I51"/>
    <mergeCell ref="J44:J51"/>
    <mergeCell ref="J53:J69"/>
    <mergeCell ref="X53:X69"/>
    <mergeCell ref="I71:I78"/>
    <mergeCell ref="J71:J78"/>
    <mergeCell ref="V71:V78"/>
    <mergeCell ref="X71:X78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08984375" customWidth="1"/>
    <col min="5" max="5" width="4.453125" customWidth="1"/>
    <col min="6" max="6" width="16.36328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7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8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08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08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08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08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07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8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08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08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12575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0</v>
      </c>
      <c r="BJ11" s="215">
        <f>SUMIFS('Expenditure Breakdown'!$Q$6:$Q$167, 'Expenditure Breakdown'!$W$6:$W$167, "&gt;="&amp;BJ1,'Expenditure Breakdown'!$W$6:$W$167, "&lt;"&amp;BK1)</f>
        <v>56028.82</v>
      </c>
      <c r="BK11" s="215">
        <f>SUMIFS('Expenditure Breakdown'!$Q$6:$Q$167, 'Expenditure Breakdown'!$W$6:$W$167, "&gt;="&amp;BK1,'Expenditure Breakdown'!$W$6:$W$167, "&lt;"&amp;BL1)</f>
        <v>0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08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714478.45000000007</v>
      </c>
      <c r="BH12" s="215">
        <f t="shared" si="26"/>
        <v>714478.45000000007</v>
      </c>
      <c r="BI12" s="215">
        <f t="shared" si="26"/>
        <v>714478.45000000007</v>
      </c>
      <c r="BJ12" s="215">
        <f t="shared" si="26"/>
        <v>770507.27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08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8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312657.54999999993</v>
      </c>
      <c r="BH14" s="208">
        <f t="shared" si="32"/>
        <v>312657.54999999993</v>
      </c>
      <c r="BI14" s="208">
        <f t="shared" si="32"/>
        <v>312657.54999999993</v>
      </c>
      <c r="BJ14" s="208">
        <f t="shared" si="32"/>
        <v>256628.72999999998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234</v>
      </c>
      <c r="D16" s="194" t="s">
        <v>234</v>
      </c>
    </row>
    <row r="17" spans="1:316">
      <c r="A17" s="809"/>
      <c r="B17" s="196" t="s">
        <v>394</v>
      </c>
      <c r="C17" s="374">
        <f>C3-D17</f>
        <v>13.164848057087511</v>
      </c>
      <c r="D17" s="197">
        <f>SUM(F17:LD17)</f>
        <v>1027122.8351519429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18772.536958277255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09"/>
      <c r="B18" s="196" t="s">
        <v>395</v>
      </c>
      <c r="C18" s="374">
        <f>D17-D18</f>
        <v>0</v>
      </c>
      <c r="D18" s="197">
        <f>MAX(F18:LD18)</f>
        <v>1027122.8351519429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1027122.8351519429</v>
      </c>
      <c r="BH18" s="215">
        <f t="shared" si="37"/>
        <v>1027122.8351519429</v>
      </c>
      <c r="BI18" s="215">
        <f t="shared" si="37"/>
        <v>1027122.8351519429</v>
      </c>
      <c r="BJ18" s="215">
        <f t="shared" si="37"/>
        <v>1027122.8351519429</v>
      </c>
      <c r="BK18" s="215">
        <f t="shared" si="37"/>
        <v>1027122.8351519429</v>
      </c>
      <c r="BL18" s="215">
        <f t="shared" si="37"/>
        <v>1027122.8351519429</v>
      </c>
      <c r="BM18" s="215">
        <f t="shared" si="37"/>
        <v>1027122.8351519429</v>
      </c>
      <c r="BN18" s="215">
        <f t="shared" si="37"/>
        <v>1027122.8351519429</v>
      </c>
      <c r="BO18" s="215">
        <f t="shared" si="37"/>
        <v>1027122.8351519429</v>
      </c>
      <c r="BP18" s="215">
        <f t="shared" si="37"/>
        <v>1027122.8351519429</v>
      </c>
      <c r="BQ18" s="215">
        <f t="shared" si="37"/>
        <v>1027122.8351519429</v>
      </c>
      <c r="BR18" s="215">
        <f t="shared" si="37"/>
        <v>1027122.8351519429</v>
      </c>
      <c r="BS18" s="215">
        <f t="shared" si="37"/>
        <v>1027122.8351519429</v>
      </c>
      <c r="BT18" s="215">
        <f t="shared" si="37"/>
        <v>1027122.8351519429</v>
      </c>
      <c r="BU18" s="215">
        <f t="shared" ref="BU18:EF18" si="38">BT18+BU17</f>
        <v>1027122.8351519429</v>
      </c>
      <c r="BV18" s="215">
        <f t="shared" si="38"/>
        <v>1027122.8351519429</v>
      </c>
      <c r="BW18" s="215">
        <f t="shared" si="38"/>
        <v>1027122.8351519429</v>
      </c>
      <c r="BX18" s="215">
        <f t="shared" si="38"/>
        <v>1027122.8351519429</v>
      </c>
      <c r="BY18" s="215">
        <f t="shared" si="38"/>
        <v>1027122.8351519429</v>
      </c>
      <c r="BZ18" s="215">
        <f t="shared" si="38"/>
        <v>1027122.8351519429</v>
      </c>
      <c r="CA18" s="215">
        <f t="shared" si="38"/>
        <v>1027122.8351519429</v>
      </c>
      <c r="CB18" s="215">
        <f t="shared" si="38"/>
        <v>1027122.8351519429</v>
      </c>
      <c r="CC18" s="215">
        <f t="shared" si="38"/>
        <v>1027122.8351519429</v>
      </c>
      <c r="CD18" s="215">
        <f t="shared" si="38"/>
        <v>1027122.8351519429</v>
      </c>
      <c r="CE18" s="215">
        <f t="shared" si="38"/>
        <v>1027122.8351519429</v>
      </c>
      <c r="CF18" s="215">
        <f t="shared" si="38"/>
        <v>1027122.8351519429</v>
      </c>
      <c r="CG18" s="215">
        <f t="shared" si="38"/>
        <v>1027122.8351519429</v>
      </c>
      <c r="CH18" s="215">
        <f t="shared" si="38"/>
        <v>1027122.8351519429</v>
      </c>
      <c r="CI18" s="215">
        <f t="shared" si="38"/>
        <v>1027122.8351519429</v>
      </c>
      <c r="CJ18" s="215">
        <f t="shared" si="38"/>
        <v>1027122.8351519429</v>
      </c>
      <c r="CK18" s="215">
        <f t="shared" si="38"/>
        <v>1027122.8351519429</v>
      </c>
      <c r="CL18" s="215">
        <f t="shared" si="38"/>
        <v>1027122.8351519429</v>
      </c>
      <c r="CM18" s="215">
        <f t="shared" si="38"/>
        <v>1027122.8351519429</v>
      </c>
      <c r="CN18" s="215">
        <f t="shared" si="38"/>
        <v>1027122.8351519429</v>
      </c>
      <c r="CO18" s="215">
        <f t="shared" si="38"/>
        <v>1027122.8351519429</v>
      </c>
      <c r="CP18" s="215">
        <f t="shared" si="38"/>
        <v>1027122.8351519429</v>
      </c>
      <c r="CQ18" s="215">
        <f t="shared" si="38"/>
        <v>1027122.8351519429</v>
      </c>
      <c r="CR18" s="215">
        <f t="shared" si="38"/>
        <v>1027122.8351519429</v>
      </c>
      <c r="CS18" s="215">
        <f t="shared" si="38"/>
        <v>1027122.8351519429</v>
      </c>
      <c r="CT18" s="215">
        <f t="shared" si="38"/>
        <v>1027122.8351519429</v>
      </c>
      <c r="CU18" s="215">
        <f t="shared" si="38"/>
        <v>1027122.8351519429</v>
      </c>
      <c r="CV18" s="215">
        <f t="shared" si="38"/>
        <v>1027122.8351519429</v>
      </c>
      <c r="CW18" s="215">
        <f t="shared" si="38"/>
        <v>1027122.8351519429</v>
      </c>
      <c r="CX18" s="215">
        <f t="shared" si="38"/>
        <v>1027122.8351519429</v>
      </c>
      <c r="CY18" s="215">
        <f t="shared" si="38"/>
        <v>1027122.8351519429</v>
      </c>
      <c r="CZ18" s="215">
        <f t="shared" si="38"/>
        <v>1027122.8351519429</v>
      </c>
      <c r="DA18" s="215">
        <f t="shared" si="38"/>
        <v>1027122.8351519429</v>
      </c>
      <c r="DB18" s="215">
        <f t="shared" si="38"/>
        <v>1027122.8351519429</v>
      </c>
      <c r="DC18" s="215">
        <f t="shared" si="38"/>
        <v>1027122.8351519429</v>
      </c>
      <c r="DD18" s="215">
        <f t="shared" si="38"/>
        <v>1027122.8351519429</v>
      </c>
      <c r="DE18" s="215">
        <f t="shared" si="38"/>
        <v>1027122.8351519429</v>
      </c>
      <c r="DF18" s="215">
        <f t="shared" si="38"/>
        <v>1027122.8351519429</v>
      </c>
      <c r="DG18" s="215">
        <f t="shared" si="38"/>
        <v>1027122.8351519429</v>
      </c>
      <c r="DH18" s="215">
        <f t="shared" si="38"/>
        <v>1027122.8351519429</v>
      </c>
      <c r="DI18" s="215">
        <f t="shared" si="38"/>
        <v>1027122.8351519429</v>
      </c>
      <c r="DJ18" s="215">
        <f t="shared" si="38"/>
        <v>1027122.8351519429</v>
      </c>
      <c r="DK18" s="215">
        <f t="shared" si="38"/>
        <v>1027122.8351519429</v>
      </c>
      <c r="DL18" s="215">
        <f t="shared" si="38"/>
        <v>1027122.8351519429</v>
      </c>
      <c r="DM18" s="215">
        <f t="shared" si="38"/>
        <v>1027122.8351519429</v>
      </c>
      <c r="DN18" s="215">
        <f t="shared" si="38"/>
        <v>1027122.8351519429</v>
      </c>
      <c r="DO18" s="215">
        <f t="shared" si="38"/>
        <v>1027122.8351519429</v>
      </c>
      <c r="DP18" s="215">
        <f t="shared" si="38"/>
        <v>1027122.8351519429</v>
      </c>
      <c r="DQ18" s="215">
        <f t="shared" si="38"/>
        <v>1027122.8351519429</v>
      </c>
      <c r="DR18" s="215">
        <f t="shared" si="38"/>
        <v>1027122.8351519429</v>
      </c>
      <c r="DS18" s="215">
        <f t="shared" si="38"/>
        <v>1027122.8351519429</v>
      </c>
      <c r="DT18" s="215">
        <f t="shared" si="38"/>
        <v>1027122.8351519429</v>
      </c>
      <c r="DU18" s="215">
        <f t="shared" si="38"/>
        <v>1027122.8351519429</v>
      </c>
      <c r="DV18" s="215">
        <f t="shared" si="38"/>
        <v>1027122.8351519429</v>
      </c>
      <c r="DW18" s="215">
        <f t="shared" si="38"/>
        <v>1027122.8351519429</v>
      </c>
      <c r="DX18" s="215">
        <f t="shared" si="38"/>
        <v>1027122.8351519429</v>
      </c>
      <c r="DY18" s="215">
        <f t="shared" si="38"/>
        <v>1027122.8351519429</v>
      </c>
      <c r="DZ18" s="215">
        <f t="shared" si="38"/>
        <v>1027122.8351519429</v>
      </c>
      <c r="EA18" s="215">
        <f t="shared" si="38"/>
        <v>1027122.8351519429</v>
      </c>
      <c r="EB18" s="215">
        <f t="shared" si="38"/>
        <v>1027122.8351519429</v>
      </c>
      <c r="EC18" s="215">
        <f t="shared" si="38"/>
        <v>1027122.8351519429</v>
      </c>
      <c r="ED18" s="215">
        <f t="shared" si="38"/>
        <v>1027122.8351519429</v>
      </c>
      <c r="EE18" s="215">
        <f t="shared" si="38"/>
        <v>1027122.8351519429</v>
      </c>
      <c r="EF18" s="215">
        <f t="shared" si="38"/>
        <v>1027122.8351519429</v>
      </c>
      <c r="EG18" s="215">
        <f t="shared" ref="EG18:GR18" si="39">EF18+EG17</f>
        <v>1027122.8351519429</v>
      </c>
      <c r="EH18" s="215">
        <f t="shared" si="39"/>
        <v>1027122.8351519429</v>
      </c>
      <c r="EI18" s="215">
        <f t="shared" si="39"/>
        <v>1027122.8351519429</v>
      </c>
      <c r="EJ18" s="215">
        <f t="shared" si="39"/>
        <v>1027122.8351519429</v>
      </c>
      <c r="EK18" s="215">
        <f t="shared" si="39"/>
        <v>1027122.8351519429</v>
      </c>
      <c r="EL18" s="215">
        <f t="shared" si="39"/>
        <v>1027122.8351519429</v>
      </c>
      <c r="EM18" s="215">
        <f t="shared" si="39"/>
        <v>1027122.8351519429</v>
      </c>
      <c r="EN18" s="215">
        <f t="shared" si="39"/>
        <v>1027122.8351519429</v>
      </c>
      <c r="EO18" s="215">
        <f t="shared" si="39"/>
        <v>1027122.8351519429</v>
      </c>
      <c r="EP18" s="215">
        <f t="shared" si="39"/>
        <v>1027122.8351519429</v>
      </c>
      <c r="EQ18" s="215">
        <f t="shared" si="39"/>
        <v>1027122.8351519429</v>
      </c>
      <c r="ER18" s="215">
        <f t="shared" si="39"/>
        <v>1027122.8351519429</v>
      </c>
      <c r="ES18" s="215">
        <f t="shared" si="39"/>
        <v>1027122.8351519429</v>
      </c>
      <c r="ET18" s="215">
        <f t="shared" si="39"/>
        <v>1027122.8351519429</v>
      </c>
      <c r="EU18" s="215">
        <f t="shared" si="39"/>
        <v>1027122.8351519429</v>
      </c>
      <c r="EV18" s="215">
        <f t="shared" si="39"/>
        <v>1027122.8351519429</v>
      </c>
      <c r="EW18" s="215">
        <f t="shared" si="39"/>
        <v>1027122.8351519429</v>
      </c>
      <c r="EX18" s="215">
        <f t="shared" si="39"/>
        <v>1027122.8351519429</v>
      </c>
      <c r="EY18" s="215">
        <f t="shared" si="39"/>
        <v>1027122.8351519429</v>
      </c>
      <c r="EZ18" s="215">
        <f t="shared" si="39"/>
        <v>1027122.8351519429</v>
      </c>
      <c r="FA18" s="215">
        <f t="shared" si="39"/>
        <v>1027122.8351519429</v>
      </c>
      <c r="FB18" s="215">
        <f t="shared" si="39"/>
        <v>1027122.8351519429</v>
      </c>
      <c r="FC18" s="215">
        <f t="shared" si="39"/>
        <v>1027122.8351519429</v>
      </c>
      <c r="FD18" s="215">
        <f t="shared" si="39"/>
        <v>1027122.8351519429</v>
      </c>
      <c r="FE18" s="215">
        <f t="shared" si="39"/>
        <v>1027122.8351519429</v>
      </c>
      <c r="FF18" s="215">
        <f t="shared" si="39"/>
        <v>1027122.8351519429</v>
      </c>
      <c r="FG18" s="215">
        <f t="shared" si="39"/>
        <v>1027122.8351519429</v>
      </c>
      <c r="FH18" s="215">
        <f t="shared" si="39"/>
        <v>1027122.8351519429</v>
      </c>
      <c r="FI18" s="215">
        <f t="shared" si="39"/>
        <v>1027122.8351519429</v>
      </c>
      <c r="FJ18" s="215">
        <f t="shared" si="39"/>
        <v>1027122.8351519429</v>
      </c>
      <c r="FK18" s="215">
        <f t="shared" si="39"/>
        <v>1027122.8351519429</v>
      </c>
      <c r="FL18" s="215">
        <f t="shared" si="39"/>
        <v>1027122.8351519429</v>
      </c>
      <c r="FM18" s="215">
        <f t="shared" si="39"/>
        <v>1027122.8351519429</v>
      </c>
      <c r="FN18" s="215">
        <f t="shared" si="39"/>
        <v>1027122.8351519429</v>
      </c>
      <c r="FO18" s="215">
        <f t="shared" si="39"/>
        <v>1027122.8351519429</v>
      </c>
      <c r="FP18" s="215">
        <f t="shared" si="39"/>
        <v>1027122.8351519429</v>
      </c>
      <c r="FQ18" s="215">
        <f t="shared" si="39"/>
        <v>1027122.8351519429</v>
      </c>
      <c r="FR18" s="215">
        <f t="shared" si="39"/>
        <v>1027122.8351519429</v>
      </c>
      <c r="FS18" s="215">
        <f t="shared" si="39"/>
        <v>1027122.8351519429</v>
      </c>
      <c r="FT18" s="215">
        <f t="shared" si="39"/>
        <v>1027122.8351519429</v>
      </c>
      <c r="FU18" s="215">
        <f t="shared" si="39"/>
        <v>1027122.8351519429</v>
      </c>
      <c r="FV18" s="215">
        <f t="shared" si="39"/>
        <v>1027122.8351519429</v>
      </c>
      <c r="FW18" s="215">
        <f t="shared" si="39"/>
        <v>1027122.8351519429</v>
      </c>
      <c r="FX18" s="215">
        <f t="shared" si="39"/>
        <v>1027122.8351519429</v>
      </c>
      <c r="FY18" s="215">
        <f t="shared" si="39"/>
        <v>1027122.8351519429</v>
      </c>
      <c r="FZ18" s="215">
        <f t="shared" si="39"/>
        <v>1027122.8351519429</v>
      </c>
      <c r="GA18" s="215">
        <f t="shared" si="39"/>
        <v>1027122.8351519429</v>
      </c>
      <c r="GB18" s="215">
        <f t="shared" si="39"/>
        <v>1027122.8351519429</v>
      </c>
      <c r="GC18" s="215">
        <f t="shared" si="39"/>
        <v>1027122.8351519429</v>
      </c>
      <c r="GD18" s="215">
        <f t="shared" si="39"/>
        <v>1027122.8351519429</v>
      </c>
      <c r="GE18" s="215">
        <f t="shared" si="39"/>
        <v>1027122.8351519429</v>
      </c>
      <c r="GF18" s="215">
        <f t="shared" si="39"/>
        <v>1027122.8351519429</v>
      </c>
      <c r="GG18" s="215">
        <f t="shared" si="39"/>
        <v>1027122.8351519429</v>
      </c>
      <c r="GH18" s="215">
        <f t="shared" si="39"/>
        <v>1027122.8351519429</v>
      </c>
      <c r="GI18" s="215">
        <f t="shared" si="39"/>
        <v>1027122.8351519429</v>
      </c>
      <c r="GJ18" s="215">
        <f t="shared" si="39"/>
        <v>1027122.8351519429</v>
      </c>
      <c r="GK18" s="215">
        <f t="shared" si="39"/>
        <v>1027122.8351519429</v>
      </c>
      <c r="GL18" s="215">
        <f t="shared" si="39"/>
        <v>1027122.8351519429</v>
      </c>
      <c r="GM18" s="215">
        <f t="shared" si="39"/>
        <v>1027122.8351519429</v>
      </c>
      <c r="GN18" s="215">
        <f t="shared" si="39"/>
        <v>1027122.8351519429</v>
      </c>
      <c r="GO18" s="215">
        <f t="shared" si="39"/>
        <v>1027122.8351519429</v>
      </c>
      <c r="GP18" s="215">
        <f t="shared" si="39"/>
        <v>1027122.8351519429</v>
      </c>
      <c r="GQ18" s="215">
        <f t="shared" si="39"/>
        <v>1027122.8351519429</v>
      </c>
      <c r="GR18" s="215">
        <f t="shared" si="39"/>
        <v>1027122.8351519429</v>
      </c>
      <c r="GS18" s="215">
        <f t="shared" ref="GS18:JD18" si="40">GR18+GS17</f>
        <v>1027122.8351519429</v>
      </c>
      <c r="GT18" s="215">
        <f t="shared" si="40"/>
        <v>1027122.8351519429</v>
      </c>
      <c r="GU18" s="215">
        <f t="shared" si="40"/>
        <v>1027122.8351519429</v>
      </c>
      <c r="GV18" s="215">
        <f t="shared" si="40"/>
        <v>1027122.8351519429</v>
      </c>
      <c r="GW18" s="215">
        <f t="shared" si="40"/>
        <v>1027122.8351519429</v>
      </c>
      <c r="GX18" s="215">
        <f t="shared" si="40"/>
        <v>1027122.8351519429</v>
      </c>
      <c r="GY18" s="215">
        <f t="shared" si="40"/>
        <v>1027122.8351519429</v>
      </c>
      <c r="GZ18" s="215">
        <f t="shared" si="40"/>
        <v>1027122.8351519429</v>
      </c>
      <c r="HA18" s="215">
        <f t="shared" si="40"/>
        <v>1027122.8351519429</v>
      </c>
      <c r="HB18" s="215">
        <f t="shared" si="40"/>
        <v>1027122.8351519429</v>
      </c>
      <c r="HC18" s="215">
        <f t="shared" si="40"/>
        <v>1027122.8351519429</v>
      </c>
      <c r="HD18" s="215">
        <f t="shared" si="40"/>
        <v>1027122.8351519429</v>
      </c>
      <c r="HE18" s="215">
        <f t="shared" si="40"/>
        <v>1027122.8351519429</v>
      </c>
      <c r="HF18" s="215">
        <f t="shared" si="40"/>
        <v>1027122.8351519429</v>
      </c>
      <c r="HG18" s="215">
        <f t="shared" si="40"/>
        <v>1027122.8351519429</v>
      </c>
      <c r="HH18" s="215">
        <f t="shared" si="40"/>
        <v>1027122.8351519429</v>
      </c>
      <c r="HI18" s="215">
        <f t="shared" si="40"/>
        <v>1027122.8351519429</v>
      </c>
      <c r="HJ18" s="215">
        <f t="shared" si="40"/>
        <v>1027122.8351519429</v>
      </c>
      <c r="HK18" s="215">
        <f t="shared" si="40"/>
        <v>1027122.8351519429</v>
      </c>
      <c r="HL18" s="215">
        <f t="shared" si="40"/>
        <v>1027122.8351519429</v>
      </c>
      <c r="HM18" s="215">
        <f t="shared" si="40"/>
        <v>1027122.8351519429</v>
      </c>
      <c r="HN18" s="215">
        <f t="shared" si="40"/>
        <v>1027122.8351519429</v>
      </c>
      <c r="HO18" s="215">
        <f t="shared" si="40"/>
        <v>1027122.8351519429</v>
      </c>
      <c r="HP18" s="215">
        <f t="shared" si="40"/>
        <v>1027122.8351519429</v>
      </c>
      <c r="HQ18" s="215">
        <f t="shared" si="40"/>
        <v>1027122.8351519429</v>
      </c>
      <c r="HR18" s="215">
        <f t="shared" si="40"/>
        <v>1027122.8351519429</v>
      </c>
      <c r="HS18" s="215">
        <f t="shared" si="40"/>
        <v>1027122.8351519429</v>
      </c>
      <c r="HT18" s="215">
        <f t="shared" si="40"/>
        <v>1027122.8351519429</v>
      </c>
      <c r="HU18" s="215">
        <f t="shared" si="40"/>
        <v>1027122.8351519429</v>
      </c>
      <c r="HV18" s="215">
        <f t="shared" si="40"/>
        <v>1027122.8351519429</v>
      </c>
      <c r="HW18" s="215">
        <f t="shared" si="40"/>
        <v>1027122.8351519429</v>
      </c>
      <c r="HX18" s="215">
        <f t="shared" si="40"/>
        <v>1027122.8351519429</v>
      </c>
      <c r="HY18" s="215">
        <f t="shared" si="40"/>
        <v>1027122.8351519429</v>
      </c>
      <c r="HZ18" s="215">
        <f t="shared" si="40"/>
        <v>1027122.8351519429</v>
      </c>
      <c r="IA18" s="215">
        <f t="shared" si="40"/>
        <v>1027122.8351519429</v>
      </c>
      <c r="IB18" s="215">
        <f t="shared" si="40"/>
        <v>1027122.8351519429</v>
      </c>
      <c r="IC18" s="215">
        <f t="shared" si="40"/>
        <v>1027122.8351519429</v>
      </c>
      <c r="ID18" s="215">
        <f t="shared" si="40"/>
        <v>1027122.8351519429</v>
      </c>
      <c r="IE18" s="215">
        <f t="shared" si="40"/>
        <v>1027122.8351519429</v>
      </c>
      <c r="IF18" s="215">
        <f t="shared" si="40"/>
        <v>1027122.8351519429</v>
      </c>
      <c r="IG18" s="215">
        <f t="shared" si="40"/>
        <v>1027122.8351519429</v>
      </c>
      <c r="IH18" s="215">
        <f t="shared" si="40"/>
        <v>1027122.8351519429</v>
      </c>
      <c r="II18" s="215">
        <f t="shared" si="40"/>
        <v>1027122.8351519429</v>
      </c>
      <c r="IJ18" s="215">
        <f t="shared" si="40"/>
        <v>1027122.8351519429</v>
      </c>
      <c r="IK18" s="215">
        <f t="shared" si="40"/>
        <v>1027122.8351519429</v>
      </c>
      <c r="IL18" s="215">
        <f t="shared" si="40"/>
        <v>1027122.8351519429</v>
      </c>
      <c r="IM18" s="215">
        <f t="shared" si="40"/>
        <v>1027122.8351519429</v>
      </c>
      <c r="IN18" s="215">
        <f t="shared" si="40"/>
        <v>1027122.8351519429</v>
      </c>
      <c r="IO18" s="215">
        <f t="shared" si="40"/>
        <v>1027122.8351519429</v>
      </c>
      <c r="IP18" s="215">
        <f t="shared" si="40"/>
        <v>1027122.8351519429</v>
      </c>
      <c r="IQ18" s="215">
        <f t="shared" si="40"/>
        <v>1027122.8351519429</v>
      </c>
      <c r="IR18" s="215">
        <f t="shared" si="40"/>
        <v>1027122.8351519429</v>
      </c>
      <c r="IS18" s="215">
        <f t="shared" si="40"/>
        <v>1027122.8351519429</v>
      </c>
      <c r="IT18" s="215">
        <f t="shared" si="40"/>
        <v>1027122.8351519429</v>
      </c>
      <c r="IU18" s="215">
        <f t="shared" si="40"/>
        <v>1027122.8351519429</v>
      </c>
      <c r="IV18" s="215">
        <f t="shared" si="40"/>
        <v>1027122.8351519429</v>
      </c>
      <c r="IW18" s="215">
        <f t="shared" si="40"/>
        <v>1027122.8351519429</v>
      </c>
      <c r="IX18" s="215">
        <f t="shared" si="40"/>
        <v>1027122.8351519429</v>
      </c>
      <c r="IY18" s="215">
        <f t="shared" si="40"/>
        <v>1027122.8351519429</v>
      </c>
      <c r="IZ18" s="215">
        <f t="shared" si="40"/>
        <v>1027122.8351519429</v>
      </c>
      <c r="JA18" s="215">
        <f t="shared" si="40"/>
        <v>1027122.8351519429</v>
      </c>
      <c r="JB18" s="215">
        <f t="shared" si="40"/>
        <v>1027122.8351519429</v>
      </c>
      <c r="JC18" s="215">
        <f t="shared" si="40"/>
        <v>1027122.8351519429</v>
      </c>
      <c r="JD18" s="215">
        <f t="shared" si="40"/>
        <v>1027122.8351519429</v>
      </c>
      <c r="JE18" s="215">
        <f t="shared" ref="JE18:LD18" si="41">JD18+JE17</f>
        <v>1027122.8351519429</v>
      </c>
      <c r="JF18" s="215">
        <f t="shared" si="41"/>
        <v>1027122.8351519429</v>
      </c>
      <c r="JG18" s="215">
        <f t="shared" si="41"/>
        <v>1027122.8351519429</v>
      </c>
      <c r="JH18" s="215">
        <f t="shared" si="41"/>
        <v>1027122.8351519429</v>
      </c>
      <c r="JI18" s="215">
        <f t="shared" si="41"/>
        <v>1027122.8351519429</v>
      </c>
      <c r="JJ18" s="215">
        <f t="shared" si="41"/>
        <v>1027122.8351519429</v>
      </c>
      <c r="JK18" s="215">
        <f t="shared" si="41"/>
        <v>1027122.8351519429</v>
      </c>
      <c r="JL18" s="215">
        <f t="shared" si="41"/>
        <v>1027122.8351519429</v>
      </c>
      <c r="JM18" s="215">
        <f t="shared" si="41"/>
        <v>1027122.8351519429</v>
      </c>
      <c r="JN18" s="215">
        <f t="shared" si="41"/>
        <v>1027122.8351519429</v>
      </c>
      <c r="JO18" s="215">
        <f t="shared" si="41"/>
        <v>1027122.8351519429</v>
      </c>
      <c r="JP18" s="215">
        <f t="shared" si="41"/>
        <v>1027122.8351519429</v>
      </c>
      <c r="JQ18" s="215">
        <f t="shared" si="41"/>
        <v>1027122.8351519429</v>
      </c>
      <c r="JR18" s="215">
        <f t="shared" si="41"/>
        <v>1027122.8351519429</v>
      </c>
      <c r="JS18" s="215">
        <f t="shared" si="41"/>
        <v>1027122.8351519429</v>
      </c>
      <c r="JT18" s="215">
        <f t="shared" si="41"/>
        <v>1027122.8351519429</v>
      </c>
      <c r="JU18" s="215">
        <f t="shared" si="41"/>
        <v>1027122.8351519429</v>
      </c>
      <c r="JV18" s="215">
        <f t="shared" si="41"/>
        <v>1027122.8351519429</v>
      </c>
      <c r="JW18" s="215">
        <f t="shared" si="41"/>
        <v>1027122.8351519429</v>
      </c>
      <c r="JX18" s="215">
        <f t="shared" si="41"/>
        <v>1027122.8351519429</v>
      </c>
      <c r="JY18" s="215">
        <f t="shared" si="41"/>
        <v>1027122.8351519429</v>
      </c>
      <c r="JZ18" s="215">
        <f t="shared" si="41"/>
        <v>1027122.8351519429</v>
      </c>
      <c r="KA18" s="215">
        <f t="shared" si="41"/>
        <v>1027122.8351519429</v>
      </c>
      <c r="KB18" s="215">
        <f t="shared" si="41"/>
        <v>1027122.8351519429</v>
      </c>
      <c r="KC18" s="215">
        <f t="shared" si="41"/>
        <v>1027122.8351519429</v>
      </c>
      <c r="KD18" s="215">
        <f t="shared" si="41"/>
        <v>1027122.8351519429</v>
      </c>
      <c r="KE18" s="215">
        <f t="shared" si="41"/>
        <v>1027122.8351519429</v>
      </c>
      <c r="KF18" s="215">
        <f t="shared" si="41"/>
        <v>1027122.8351519429</v>
      </c>
      <c r="KG18" s="215">
        <f t="shared" si="41"/>
        <v>1027122.8351519429</v>
      </c>
      <c r="KH18" s="215">
        <f t="shared" si="41"/>
        <v>1027122.8351519429</v>
      </c>
      <c r="KI18" s="215">
        <f t="shared" si="41"/>
        <v>1027122.8351519429</v>
      </c>
      <c r="KJ18" s="215">
        <f t="shared" si="41"/>
        <v>1027122.8351519429</v>
      </c>
      <c r="KK18" s="215">
        <f t="shared" si="41"/>
        <v>1027122.8351519429</v>
      </c>
      <c r="KL18" s="215">
        <f t="shared" si="41"/>
        <v>1027122.8351519429</v>
      </c>
      <c r="KM18" s="215">
        <f t="shared" si="41"/>
        <v>1027122.8351519429</v>
      </c>
      <c r="KN18" s="215">
        <f t="shared" si="41"/>
        <v>1027122.8351519429</v>
      </c>
      <c r="KO18" s="215">
        <f t="shared" si="41"/>
        <v>1027122.8351519429</v>
      </c>
      <c r="KP18" s="215">
        <f t="shared" si="41"/>
        <v>1027122.8351519429</v>
      </c>
      <c r="KQ18" s="215">
        <f t="shared" si="41"/>
        <v>1027122.8351519429</v>
      </c>
      <c r="KR18" s="215">
        <f t="shared" si="41"/>
        <v>1027122.8351519429</v>
      </c>
      <c r="KS18" s="215">
        <f t="shared" si="41"/>
        <v>1027122.8351519429</v>
      </c>
      <c r="KT18" s="215">
        <f t="shared" si="41"/>
        <v>1027122.8351519429</v>
      </c>
      <c r="KU18" s="215">
        <f t="shared" si="41"/>
        <v>1027122.8351519429</v>
      </c>
      <c r="KV18" s="215">
        <f t="shared" si="41"/>
        <v>1027122.8351519429</v>
      </c>
      <c r="KW18" s="215">
        <f t="shared" si="41"/>
        <v>1027122.8351519429</v>
      </c>
      <c r="KX18" s="215">
        <f t="shared" si="41"/>
        <v>1027122.8351519429</v>
      </c>
      <c r="KY18" s="215">
        <f t="shared" si="41"/>
        <v>1027122.8351519429</v>
      </c>
      <c r="KZ18" s="215">
        <f t="shared" si="41"/>
        <v>1027122.8351519429</v>
      </c>
      <c r="LA18" s="215">
        <f t="shared" si="41"/>
        <v>1027122.8351519429</v>
      </c>
      <c r="LB18" s="215">
        <f t="shared" si="41"/>
        <v>1027122.8351519429</v>
      </c>
      <c r="LC18" s="215">
        <f t="shared" si="41"/>
        <v>1027122.8351519429</v>
      </c>
      <c r="LD18" s="215">
        <f t="shared" si="41"/>
        <v>1027122.8351519429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08984375" defaultRowHeight="14.5"/>
  <cols>
    <col min="1" max="1" width="39.453125" style="367" bestFit="1" customWidth="1"/>
    <col min="2" max="2" width="17.1796875" style="368" bestFit="1" customWidth="1"/>
    <col min="3" max="5" width="13.26953125" style="367" bestFit="1" customWidth="1"/>
    <col min="6" max="6" width="11.7265625" style="367" bestFit="1" customWidth="1"/>
    <col min="7" max="7" width="4.81640625" style="367" bestFit="1" customWidth="1"/>
    <col min="8" max="8" width="12" style="367" bestFit="1" customWidth="1"/>
    <col min="9" max="9" width="14.81640625" style="367" bestFit="1" customWidth="1"/>
    <col min="10" max="12" width="10.90625" style="367" bestFit="1" customWidth="1"/>
    <col min="13" max="13" width="14.8164062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089843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21813.816958277253</v>
      </c>
      <c r="I15" s="372">
        <v>35263.280251424236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21813.816958277253</v>
      </c>
      <c r="I21" s="372">
        <v>1030164.1151519429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H21" sqref="H21"/>
    </sheetView>
  </sheetViews>
  <sheetFormatPr defaultColWidth="8.453125" defaultRowHeight="14.5"/>
  <cols>
    <col min="1" max="1" width="21.6328125" bestFit="1" customWidth="1"/>
    <col min="2" max="2" width="17.1796875" style="407" bestFit="1" customWidth="1"/>
    <col min="3" max="5" width="13.26953125" style="407" bestFit="1" customWidth="1"/>
    <col min="6" max="6" width="11.7265625" style="407" bestFit="1" customWidth="1"/>
    <col min="7" max="7" width="10.36328125" style="407" bestFit="1" customWidth="1"/>
    <col min="8" max="8" width="12" style="407" bestFit="1" customWidth="1"/>
    <col min="9" max="9" width="13.26953125" style="407" bestFit="1" customWidth="1"/>
    <col min="10" max="12" width="10.90625" bestFit="1" customWidth="1"/>
    <col min="13" max="13" width="13.1796875" bestFit="1" customWidth="1"/>
    <col min="14" max="14" width="13.54296875" bestFit="1" customWidth="1"/>
    <col min="15" max="15" width="11.54296875" bestFit="1" customWidth="1"/>
    <col min="16" max="16" width="10.36328125" bestFit="1" customWidth="1"/>
    <col min="17" max="18" width="11.54296875" bestFit="1" customWidth="1"/>
    <col min="19" max="19" width="13.453125" bestFit="1" customWidth="1"/>
  </cols>
  <sheetData>
    <row r="3" spans="1:9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12575</v>
      </c>
      <c r="I15" s="449">
        <v>18575</v>
      </c>
    </row>
    <row r="16" spans="1:9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12575</v>
      </c>
      <c r="I21" s="449">
        <v>770507.27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08984375" customWidth="1"/>
    <col min="2" max="2" width="21.08984375" customWidth="1"/>
    <col min="3" max="3" width="28.81640625" customWidth="1"/>
    <col min="4" max="4" width="15.453125" customWidth="1"/>
    <col min="5" max="5" width="16.54296875" customWidth="1"/>
    <col min="6" max="6" width="5.90625" customWidth="1"/>
  </cols>
  <sheetData>
    <row r="1" spans="2:15" ht="15" thickBot="1"/>
    <row r="2" spans="2:15" ht="18.5">
      <c r="B2" s="812" t="s">
        <v>402</v>
      </c>
      <c r="C2" s="812"/>
      <c r="D2" s="812"/>
      <c r="E2" s="812"/>
      <c r="H2" s="813" t="s">
        <v>403</v>
      </c>
      <c r="I2" s="814"/>
      <c r="J2" s="814"/>
      <c r="K2" s="814"/>
      <c r="L2" s="814"/>
      <c r="M2" s="814"/>
      <c r="N2" s="814"/>
      <c r="O2" s="815"/>
    </row>
    <row r="3" spans="2:15">
      <c r="B3" s="691"/>
      <c r="H3" s="816"/>
      <c r="I3" s="817"/>
      <c r="J3" s="817"/>
      <c r="K3" s="817"/>
      <c r="L3" s="817"/>
      <c r="M3" s="817"/>
      <c r="N3" s="817"/>
      <c r="O3" s="818"/>
    </row>
    <row r="4" spans="2:15">
      <c r="B4" s="692" t="s">
        <v>404</v>
      </c>
      <c r="C4" s="693" t="str">
        <f>'Project Plan'!E2</f>
        <v>IconSA_KZN</v>
      </c>
      <c r="H4" s="816"/>
      <c r="I4" s="817"/>
      <c r="J4" s="817"/>
      <c r="K4" s="817"/>
      <c r="L4" s="817"/>
      <c r="M4" s="817"/>
      <c r="N4" s="817"/>
      <c r="O4" s="818"/>
    </row>
    <row r="5" spans="2:15">
      <c r="B5" s="692" t="s">
        <v>405</v>
      </c>
      <c r="C5" s="693" t="s">
        <v>406</v>
      </c>
      <c r="H5" s="816"/>
      <c r="I5" s="817"/>
      <c r="J5" s="817"/>
      <c r="K5" s="817"/>
      <c r="L5" s="817"/>
      <c r="M5" s="817"/>
      <c r="N5" s="817"/>
      <c r="O5" s="818"/>
    </row>
    <row r="6" spans="2:15">
      <c r="B6" s="692" t="s">
        <v>407</v>
      </c>
      <c r="C6" s="693" t="s">
        <v>408</v>
      </c>
      <c r="H6" s="816"/>
      <c r="I6" s="817"/>
      <c r="J6" s="817"/>
      <c r="K6" s="817"/>
      <c r="L6" s="817"/>
      <c r="M6" s="817"/>
      <c r="N6" s="817"/>
      <c r="O6" s="818"/>
    </row>
    <row r="7" spans="2:15">
      <c r="B7" s="692" t="s">
        <v>409</v>
      </c>
      <c r="C7" s="693" t="s">
        <v>410</v>
      </c>
      <c r="H7" s="816"/>
      <c r="I7" s="817"/>
      <c r="J7" s="817"/>
      <c r="K7" s="817"/>
      <c r="L7" s="817"/>
      <c r="M7" s="817"/>
      <c r="N7" s="817"/>
      <c r="O7" s="818"/>
    </row>
    <row r="8" spans="2:15">
      <c r="B8" s="691"/>
      <c r="H8" s="816"/>
      <c r="I8" s="817"/>
      <c r="J8" s="817"/>
      <c r="K8" s="817"/>
      <c r="L8" s="817"/>
      <c r="M8" s="817"/>
      <c r="N8" s="817"/>
      <c r="O8" s="818"/>
    </row>
    <row r="9" spans="2:15">
      <c r="B9" s="822" t="s">
        <v>411</v>
      </c>
      <c r="C9" s="822"/>
      <c r="D9" s="822"/>
      <c r="E9" s="82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6"/>
      <c r="I9" s="817"/>
      <c r="J9" s="817"/>
      <c r="K9" s="817"/>
      <c r="L9" s="817"/>
      <c r="M9" s="817"/>
      <c r="N9" s="817"/>
      <c r="O9" s="818"/>
    </row>
    <row r="10" spans="2:15" ht="15" thickBot="1">
      <c r="B10" s="822" t="s">
        <v>412</v>
      </c>
      <c r="C10" s="822"/>
      <c r="D10" s="822"/>
      <c r="E10" s="822"/>
      <c r="H10" s="819"/>
      <c r="I10" s="820"/>
      <c r="J10" s="820"/>
      <c r="K10" s="820"/>
      <c r="L10" s="820"/>
      <c r="M10" s="820"/>
      <c r="N10" s="820"/>
      <c r="O10" s="821"/>
    </row>
    <row r="11" spans="2:15">
      <c r="B11" s="694" t="s">
        <v>413</v>
      </c>
      <c r="C11" s="810" t="s">
        <v>414</v>
      </c>
      <c r="D11" s="810"/>
      <c r="E11" s="810"/>
    </row>
    <row r="12" spans="2:15">
      <c r="B12" s="694" t="s">
        <v>415</v>
      </c>
      <c r="C12" s="810" t="s">
        <v>414</v>
      </c>
      <c r="D12" s="810"/>
      <c r="E12" s="810"/>
    </row>
    <row r="13" spans="2:15">
      <c r="B13" s="694" t="s">
        <v>416</v>
      </c>
      <c r="C13" s="810" t="s">
        <v>414</v>
      </c>
      <c r="D13" s="810"/>
      <c r="E13" s="810"/>
    </row>
    <row r="14" spans="2:15">
      <c r="B14" s="694" t="s">
        <v>417</v>
      </c>
      <c r="C14" s="810" t="s">
        <v>418</v>
      </c>
      <c r="D14" s="810"/>
      <c r="E14" s="810"/>
    </row>
    <row r="15" spans="2:15">
      <c r="B15" s="694" t="s">
        <v>419</v>
      </c>
      <c r="C15" s="810" t="s">
        <v>420</v>
      </c>
      <c r="D15" s="810"/>
      <c r="E15" s="810"/>
    </row>
    <row r="16" spans="2:15" ht="15" customHeight="1">
      <c r="B16" s="694" t="s">
        <v>421</v>
      </c>
      <c r="C16" s="810" t="s">
        <v>422</v>
      </c>
      <c r="D16" s="810"/>
      <c r="E16" s="810"/>
    </row>
    <row r="17" spans="2:5">
      <c r="B17" s="691"/>
    </row>
    <row r="18" spans="2:5">
      <c r="B18" s="811" t="s">
        <v>423</v>
      </c>
      <c r="C18" s="811"/>
      <c r="D18" s="811"/>
      <c r="E18" s="811"/>
    </row>
    <row r="19" spans="2:5">
      <c r="B19" s="694" t="s">
        <v>424</v>
      </c>
      <c r="C19" s="694" t="s">
        <v>425</v>
      </c>
      <c r="D19" s="694" t="s">
        <v>426</v>
      </c>
      <c r="E19" s="694" t="s">
        <v>62</v>
      </c>
    </row>
    <row r="20" spans="2:5" ht="15" customHeight="1">
      <c r="B20" s="694" t="s">
        <v>427</v>
      </c>
      <c r="C20" s="694" t="s">
        <v>428</v>
      </c>
      <c r="D20" s="695" t="s">
        <v>429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430</v>
      </c>
    </row>
    <row r="2" spans="1:4">
      <c r="A2" s="824"/>
      <c r="B2" s="824"/>
      <c r="C2" s="824"/>
      <c r="D2" s="71"/>
    </row>
    <row r="3" spans="1:4">
      <c r="A3" s="823" t="s">
        <v>431</v>
      </c>
      <c r="B3" s="823"/>
      <c r="C3" s="823"/>
      <c r="D3" s="111">
        <v>0.32</v>
      </c>
    </row>
    <row r="4" spans="1:4">
      <c r="A4" s="823" t="s">
        <v>371</v>
      </c>
      <c r="B4" s="823"/>
      <c r="C4" s="823"/>
      <c r="D4" s="111">
        <v>0.5</v>
      </c>
    </row>
    <row r="5" spans="1:4">
      <c r="A5" s="823" t="s">
        <v>382</v>
      </c>
      <c r="B5" s="823"/>
      <c r="C5" s="823"/>
      <c r="D5" s="111">
        <v>0.15</v>
      </c>
    </row>
    <row r="6" spans="1:4">
      <c r="A6" s="823" t="s">
        <v>432</v>
      </c>
      <c r="B6" s="823"/>
      <c r="C6" s="82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36328125" style="88" bestFit="1" customWidth="1"/>
    <col min="5" max="5" width="3.36328125" style="88" customWidth="1"/>
    <col min="6" max="6" width="15.453125" style="88" customWidth="1"/>
    <col min="7" max="7" width="2.453125" style="88" customWidth="1"/>
    <col min="8" max="8" width="16.36328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36328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5" t="s">
        <v>433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</row>
    <row r="4" spans="2:14" ht="13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36328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36328125" style="88" bestFit="1" customWidth="1"/>
    <col min="16" max="16384" width="9.453125" style="88"/>
  </cols>
  <sheetData>
    <row r="2" spans="2:15" s="94" customFormat="1" ht="18">
      <c r="B2" s="825" t="s">
        <v>455</v>
      </c>
      <c r="C2" s="825"/>
      <c r="D2" s="825"/>
      <c r="E2" s="825"/>
      <c r="F2" s="825"/>
      <c r="G2" s="825"/>
      <c r="H2" s="825"/>
      <c r="I2" s="825"/>
      <c r="J2" s="825"/>
      <c r="K2" s="825"/>
      <c r="L2" s="825"/>
      <c r="M2" s="825"/>
      <c r="N2" s="825"/>
      <c r="O2" s="825"/>
    </row>
    <row r="4" spans="2:15" ht="13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466</v>
      </c>
      <c r="C32" s="103"/>
      <c r="D32" s="103"/>
    </row>
    <row r="33" spans="2:4" ht="13" thickTop="1"/>
    <row r="34" spans="2:4">
      <c r="B34" s="88" t="s">
        <v>435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089843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08984375" bestFit="1" customWidth="1"/>
    <col min="9" max="9" width="10.36328125" customWidth="1"/>
    <col min="10" max="10" width="19.54296875" bestFit="1" customWidth="1"/>
  </cols>
  <sheetData>
    <row r="1" spans="2:14">
      <c r="B1" s="827" t="str">
        <f>D15</f>
        <v>IconSA_KZN</v>
      </c>
      <c r="C1" s="827"/>
      <c r="D1" s="827"/>
      <c r="E1" s="826" t="s">
        <v>468</v>
      </c>
      <c r="F1" s="826"/>
      <c r="G1" s="826"/>
      <c r="H1" s="826"/>
      <c r="I1" s="826"/>
      <c r="J1" s="826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2FB38B-1A79-4F30-A992-9DBEF0E42EF2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2026-02-12T13:19:07Z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