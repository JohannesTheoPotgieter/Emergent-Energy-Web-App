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64" documentId="13_ncr:1_{A481FF61-8E47-4696-BBCA-E420C118E860}" xr6:coauthVersionLast="47" xr6:coauthVersionMax="47" xr10:uidLastSave="{0E0E41A0-B447-422E-9151-C3FB2CE6E06C}"/>
  <bookViews>
    <workbookView xWindow="28680" yWindow="-120" windowWidth="29040" windowHeight="15720" tabRatio="878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Plan'!$B$55:$G$60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Completed="0"/>
  <pivotCaches>
    <pivotCache cacheId="1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Q92" i="18"/>
  <c r="Q91" i="18"/>
  <c r="W54" i="18"/>
  <c r="W53" i="18"/>
  <c r="Q53" i="18"/>
  <c r="Q173" i="18"/>
  <c r="Q172" i="18"/>
  <c r="W130" i="18"/>
  <c r="W131" i="18"/>
  <c r="H131" i="18"/>
  <c r="H130" i="18"/>
  <c r="H127" i="18"/>
  <c r="H124" i="18"/>
  <c r="H123" i="18"/>
  <c r="H122" i="18"/>
  <c r="H119" i="18"/>
  <c r="H115" i="18"/>
  <c r="H91" i="18"/>
  <c r="H73" i="18"/>
  <c r="H72" i="18"/>
  <c r="H71" i="18"/>
  <c r="H70" i="18"/>
  <c r="H69" i="18"/>
  <c r="H68" i="18"/>
  <c r="H67" i="18"/>
  <c r="H65" i="18"/>
  <c r="H60" i="18"/>
  <c r="H50" i="18"/>
  <c r="H40" i="18"/>
  <c r="H39" i="18"/>
  <c r="H38" i="18"/>
  <c r="H37" i="18"/>
  <c r="H36" i="18"/>
  <c r="H35" i="18"/>
  <c r="H34" i="18"/>
  <c r="H32" i="18"/>
  <c r="CR5" i="6"/>
  <c r="U52" i="18"/>
  <c r="U122" i="18"/>
  <c r="I44" i="2"/>
  <c r="W60" i="18"/>
  <c r="I33" i="2"/>
  <c r="W122" i="18"/>
  <c r="W50" i="18"/>
  <c r="O98" i="18"/>
  <c r="Q105" i="18"/>
  <c r="K19" i="2"/>
  <c r="N19" i="2"/>
  <c r="I22" i="2"/>
  <c r="I32" i="2"/>
  <c r="I16" i="2"/>
  <c r="I18" i="2"/>
  <c r="I36" i="2"/>
  <c r="K22" i="2"/>
  <c r="I15" i="2"/>
  <c r="K15" i="2"/>
  <c r="I13" i="2"/>
  <c r="I11" i="2"/>
  <c r="I14" i="2"/>
  <c r="I30" i="2"/>
  <c r="K30" i="2"/>
  <c r="I31" i="2"/>
  <c r="N31" i="2"/>
  <c r="I24" i="2"/>
  <c r="Q28" i="18"/>
  <c r="X13" i="18"/>
  <c r="H10" i="3"/>
  <c r="P6" i="18"/>
  <c r="Q6" i="18"/>
  <c r="X6" i="18"/>
  <c r="Q166" i="18"/>
  <c r="Q165" i="18"/>
  <c r="X165" i="18"/>
  <c r="E13" i="2"/>
  <c r="K12" i="2"/>
  <c r="E28" i="18"/>
  <c r="T61" i="18"/>
  <c r="T62" i="18"/>
  <c r="T63" i="18"/>
  <c r="T64" i="18"/>
  <c r="I142" i="18"/>
  <c r="F20" i="3"/>
  <c r="J87" i="18"/>
  <c r="I87" i="18"/>
  <c r="F16" i="3"/>
  <c r="J165" i="18"/>
  <c r="G165" i="18"/>
  <c r="I165" i="18"/>
  <c r="F23" i="3"/>
  <c r="G114" i="18"/>
  <c r="Z18" i="18"/>
  <c r="G113" i="18"/>
  <c r="G112" i="18"/>
  <c r="Z17" i="18"/>
  <c r="G111" i="18"/>
  <c r="Z16" i="18"/>
  <c r="I111" i="18"/>
  <c r="F18" i="3"/>
  <c r="G98" i="18"/>
  <c r="Z15" i="18"/>
  <c r="G97" i="18"/>
  <c r="Z14" i="18"/>
  <c r="G59" i="18"/>
  <c r="I59" i="18"/>
  <c r="F14" i="3"/>
  <c r="Z12" i="18"/>
  <c r="G45" i="18"/>
  <c r="I45" i="18"/>
  <c r="F13" i="3"/>
  <c r="G29" i="18"/>
  <c r="G21" i="18"/>
  <c r="I21" i="18"/>
  <c r="F11" i="3"/>
  <c r="G13" i="18"/>
  <c r="I13" i="18"/>
  <c r="F10" i="3"/>
  <c r="G6" i="18"/>
  <c r="I6" i="18"/>
  <c r="F9" i="3"/>
  <c r="Q145" i="18"/>
  <c r="X145" i="18"/>
  <c r="J111" i="18"/>
  <c r="Z35" i="18"/>
  <c r="Z39" i="18"/>
  <c r="Z40" i="18"/>
  <c r="Y35" i="18"/>
  <c r="Y34" i="18"/>
  <c r="Y32" i="18"/>
  <c r="Y30" i="18"/>
  <c r="Y29" i="18"/>
  <c r="Y28" i="18"/>
  <c r="Y27" i="18"/>
  <c r="T167" i="18"/>
  <c r="T162" i="18"/>
  <c r="T156" i="18"/>
  <c r="T74" i="18"/>
  <c r="T75" i="18"/>
  <c r="T176" i="18"/>
  <c r="T164" i="18"/>
  <c r="T163" i="18"/>
  <c r="T151" i="18"/>
  <c r="T150" i="18"/>
  <c r="T144" i="18"/>
  <c r="T143" i="18"/>
  <c r="T142" i="18"/>
  <c r="T141" i="18"/>
  <c r="T140" i="18"/>
  <c r="T139" i="18"/>
  <c r="T135" i="18"/>
  <c r="T134" i="18"/>
  <c r="T114" i="18"/>
  <c r="T113" i="18"/>
  <c r="T110" i="18"/>
  <c r="T109" i="18"/>
  <c r="T108" i="18"/>
  <c r="T107" i="18"/>
  <c r="T97" i="18"/>
  <c r="T96" i="18"/>
  <c r="T95" i="18"/>
  <c r="T94" i="18"/>
  <c r="T88" i="18"/>
  <c r="T87" i="18"/>
  <c r="T86" i="18"/>
  <c r="T85" i="18"/>
  <c r="T84" i="18"/>
  <c r="T83" i="18"/>
  <c r="T82" i="18"/>
  <c r="T81" i="18"/>
  <c r="T80" i="18"/>
  <c r="T79" i="18"/>
  <c r="T78" i="18"/>
  <c r="T77" i="18"/>
  <c r="T76" i="18"/>
  <c r="T59" i="18"/>
  <c r="T58" i="18"/>
  <c r="T44" i="18"/>
  <c r="T43" i="18"/>
  <c r="T42" i="18"/>
  <c r="T41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T9" i="18"/>
  <c r="CC17" i="6"/>
  <c r="T7" i="18"/>
  <c r="T174" i="18"/>
  <c r="T171" i="18"/>
  <c r="T169" i="18"/>
  <c r="T175" i="18"/>
  <c r="J152" i="18"/>
  <c r="J145" i="18"/>
  <c r="U150" i="18"/>
  <c r="V145" i="18"/>
  <c r="J136" i="18"/>
  <c r="J97" i="18"/>
  <c r="J59" i="18"/>
  <c r="J45" i="18"/>
  <c r="J28" i="18"/>
  <c r="J2" i="18"/>
  <c r="J4" i="18"/>
  <c r="J21" i="18"/>
  <c r="V21" i="18"/>
  <c r="J13" i="18"/>
  <c r="J6" i="18"/>
  <c r="V6" i="18"/>
  <c r="V78" i="18"/>
  <c r="I1" i="6"/>
  <c r="J1" i="6"/>
  <c r="K1" i="6"/>
  <c r="L1" i="6"/>
  <c r="M1" i="6"/>
  <c r="N1" i="6"/>
  <c r="O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I152" i="18"/>
  <c r="F22" i="3"/>
  <c r="J22" i="3"/>
  <c r="X142" i="18"/>
  <c r="H20" i="3"/>
  <c r="I136" i="18"/>
  <c r="F19" i="3"/>
  <c r="X87" i="18"/>
  <c r="U94" i="18"/>
  <c r="X78" i="18"/>
  <c r="H15" i="3"/>
  <c r="I78" i="18"/>
  <c r="F15" i="3"/>
  <c r="X21" i="18"/>
  <c r="H11" i="3"/>
  <c r="I145" i="18"/>
  <c r="F21" i="3"/>
  <c r="X45" i="18"/>
  <c r="U57" i="18"/>
  <c r="V45" i="18"/>
  <c r="H13" i="3"/>
  <c r="M43" i="2"/>
  <c r="M39" i="2"/>
  <c r="W65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123" i="18"/>
  <c r="Q131" i="18"/>
  <c r="Q70" i="18"/>
  <c r="Q73" i="18"/>
  <c r="Q68" i="18"/>
  <c r="Q71" i="18"/>
  <c r="Q72" i="18"/>
  <c r="Q67" i="18"/>
  <c r="Q69" i="18"/>
  <c r="Q124" i="18"/>
  <c r="Q122" i="18"/>
  <c r="Q127" i="18"/>
  <c r="Q130" i="18"/>
  <c r="X111" i="18"/>
  <c r="U111" i="18"/>
  <c r="X136" i="18"/>
  <c r="H19" i="3"/>
  <c r="W119" i="18"/>
  <c r="K16" i="2"/>
  <c r="K24" i="2"/>
  <c r="I25" i="2"/>
  <c r="W115" i="18"/>
  <c r="W32" i="18"/>
  <c r="K18" i="2"/>
  <c r="J18" i="2"/>
  <c r="W34" i="18"/>
  <c r="W67" i="18"/>
  <c r="Q40" i="18"/>
  <c r="Q37" i="18"/>
  <c r="Q36" i="18"/>
  <c r="Q34" i="18"/>
  <c r="Q39" i="18"/>
  <c r="K14" i="2"/>
  <c r="W35" i="18"/>
  <c r="W68" i="18"/>
  <c r="Q35" i="18"/>
  <c r="Q38" i="18"/>
  <c r="V13" i="18"/>
  <c r="W123" i="18"/>
  <c r="W36" i="18"/>
  <c r="W69" i="18"/>
  <c r="W70" i="18"/>
  <c r="W37" i="18"/>
  <c r="W124" i="18"/>
  <c r="W127" i="18"/>
  <c r="W71" i="18"/>
  <c r="W38" i="18"/>
  <c r="K32" i="2"/>
  <c r="N32" i="2"/>
  <c r="F18" i="5"/>
  <c r="N24" i="2"/>
  <c r="F16" i="5"/>
  <c r="F14" i="5"/>
  <c r="F13" i="5"/>
  <c r="C3" i="6"/>
  <c r="K23" i="2"/>
  <c r="N23" i="2"/>
  <c r="N25" i="2"/>
  <c r="N30" i="2"/>
  <c r="N14" i="2"/>
  <c r="F17" i="5"/>
  <c r="N15" i="2"/>
  <c r="F15" i="5"/>
  <c r="N22" i="2"/>
  <c r="K13" i="2"/>
  <c r="K11" i="2"/>
  <c r="J11" i="2"/>
  <c r="N16" i="2"/>
  <c r="K36" i="2"/>
  <c r="N12" i="2"/>
  <c r="P1" i="6"/>
  <c r="K25" i="2"/>
  <c r="I26" i="2"/>
  <c r="E24" i="2"/>
  <c r="G24" i="2"/>
  <c r="E25" i="2"/>
  <c r="E26" i="2"/>
  <c r="G26" i="2"/>
  <c r="E30" i="2"/>
  <c r="G30" i="2"/>
  <c r="E31" i="2"/>
  <c r="G31" i="2"/>
  <c r="E36" i="2"/>
  <c r="H14" i="5"/>
  <c r="E18" i="2"/>
  <c r="E15" i="2"/>
  <c r="G15" i="2"/>
  <c r="G19" i="2"/>
  <c r="G18" i="2"/>
  <c r="E16" i="2"/>
  <c r="G16" i="2"/>
  <c r="G13" i="2"/>
  <c r="E14" i="2"/>
  <c r="G14" i="2"/>
  <c r="I21" i="2"/>
  <c r="F21" i="5"/>
  <c r="N36" i="2"/>
  <c r="N13" i="2"/>
  <c r="Q1" i="6"/>
  <c r="K26" i="2"/>
  <c r="K21" i="2"/>
  <c r="J21" i="2"/>
  <c r="E32" i="2"/>
  <c r="G32" i="2"/>
  <c r="F18" i="2"/>
  <c r="G25" i="2"/>
  <c r="E22" i="2"/>
  <c r="H15" i="5"/>
  <c r="G36" i="2"/>
  <c r="E37" i="2"/>
  <c r="E11" i="2"/>
  <c r="G11" i="2"/>
  <c r="F4" i="5"/>
  <c r="C9" i="6"/>
  <c r="F47" i="5"/>
  <c r="N26" i="2"/>
  <c r="R1" i="6"/>
  <c r="G22" i="2"/>
  <c r="E23" i="2"/>
  <c r="G23" i="2"/>
  <c r="G21" i="2"/>
  <c r="F11" i="2"/>
  <c r="G37" i="2"/>
  <c r="E35" i="2"/>
  <c r="F42" i="5"/>
  <c r="F43" i="5"/>
  <c r="F44" i="5"/>
  <c r="F45" i="5"/>
  <c r="F41" i="5"/>
  <c r="S1" i="6"/>
  <c r="E21" i="2"/>
  <c r="F21" i="2"/>
  <c r="E33" i="2"/>
  <c r="G35" i="2"/>
  <c r="F35" i="2"/>
  <c r="F46" i="5"/>
  <c r="T1" i="6"/>
  <c r="G33" i="2"/>
  <c r="G28" i="2"/>
  <c r="E28" i="2"/>
  <c r="U1" i="6"/>
  <c r="F28" i="2"/>
  <c r="E40" i="2"/>
  <c r="V1" i="6"/>
  <c r="G40" i="2"/>
  <c r="W1" i="6"/>
  <c r="E41" i="2"/>
  <c r="X1" i="6"/>
  <c r="G41" i="2"/>
  <c r="E39" i="2"/>
  <c r="Y1" i="6"/>
  <c r="F9" i="2"/>
  <c r="E44" i="2"/>
  <c r="G39" i="2"/>
  <c r="Z1" i="6"/>
  <c r="H16" i="5"/>
  <c r="F39" i="2"/>
  <c r="E43" i="2"/>
  <c r="G44" i="2"/>
  <c r="AA1" i="6"/>
  <c r="E47" i="2"/>
  <c r="G43" i="2"/>
  <c r="F43" i="2"/>
  <c r="E48" i="2"/>
  <c r="AB1" i="6"/>
  <c r="E52" i="2"/>
  <c r="G52" i="2"/>
  <c r="E50" i="2"/>
  <c r="G48" i="2"/>
  <c r="E49" i="2"/>
  <c r="G49" i="2"/>
  <c r="G47" i="2"/>
  <c r="AC1" i="6"/>
  <c r="H17" i="5"/>
  <c r="G50" i="2"/>
  <c r="E51" i="2"/>
  <c r="G51" i="2"/>
  <c r="G46" i="2"/>
  <c r="AD1" i="6"/>
  <c r="E46" i="2"/>
  <c r="F46" i="2"/>
  <c r="AE1" i="6"/>
  <c r="I28" i="2"/>
  <c r="K33" i="2"/>
  <c r="I37" i="2"/>
  <c r="N33" i="2"/>
  <c r="AF1" i="6"/>
  <c r="K28" i="2"/>
  <c r="J28" i="2"/>
  <c r="AG1" i="6"/>
  <c r="K37" i="2"/>
  <c r="I35" i="2"/>
  <c r="K35" i="2"/>
  <c r="N37" i="2"/>
  <c r="AH1" i="6"/>
  <c r="J35" i="2"/>
  <c r="AI1" i="6"/>
  <c r="K40" i="2"/>
  <c r="I41" i="2"/>
  <c r="N40" i="2"/>
  <c r="AJ1" i="6"/>
  <c r="K41" i="2"/>
  <c r="I39" i="2"/>
  <c r="I43" i="2"/>
  <c r="K44" i="2"/>
  <c r="I48" i="2"/>
  <c r="N44" i="2"/>
  <c r="N43" i="2" s="1"/>
  <c r="N41" i="2"/>
  <c r="AK1" i="6"/>
  <c r="K43" i="2"/>
  <c r="J43" i="2"/>
  <c r="I47" i="2"/>
  <c r="S19" i="2"/>
  <c r="S21" i="2"/>
  <c r="S22" i="2"/>
  <c r="J9" i="2"/>
  <c r="K39" i="2"/>
  <c r="K47" i="2"/>
  <c r="N47" i="2"/>
  <c r="AL1" i="6"/>
  <c r="J39" i="2"/>
  <c r="I50" i="2"/>
  <c r="K52" i="2"/>
  <c r="N52" i="2"/>
  <c r="K48" i="2"/>
  <c r="N48" i="2"/>
  <c r="AM1" i="6"/>
  <c r="I49" i="2"/>
  <c r="K50" i="2"/>
  <c r="K51" i="2"/>
  <c r="K46" i="2" s="1"/>
  <c r="N50" i="2"/>
  <c r="AN1" i="6"/>
  <c r="K49" i="2"/>
  <c r="I46" i="2"/>
  <c r="N49" i="2"/>
  <c r="AO1" i="6"/>
  <c r="AA9" i="6"/>
  <c r="AI9" i="6"/>
  <c r="X9" i="6"/>
  <c r="AD9" i="6"/>
  <c r="AF9" i="6"/>
  <c r="R9" i="6"/>
  <c r="H9" i="6"/>
  <c r="AN9" i="6"/>
  <c r="AE9" i="6"/>
  <c r="K9" i="6"/>
  <c r="AC9" i="6"/>
  <c r="AM9" i="6"/>
  <c r="AH9" i="6"/>
  <c r="N9" i="6"/>
  <c r="L9" i="6"/>
  <c r="S9" i="6"/>
  <c r="P9" i="6"/>
  <c r="AB9" i="6"/>
  <c r="O9" i="6"/>
  <c r="AL9" i="6"/>
  <c r="Z9" i="6"/>
  <c r="I9" i="6"/>
  <c r="AJ9" i="6"/>
  <c r="AG9" i="6"/>
  <c r="U9" i="6"/>
  <c r="V9" i="6"/>
  <c r="W9" i="6"/>
  <c r="T9" i="6"/>
  <c r="AK9" i="6"/>
  <c r="M9" i="6"/>
  <c r="F9" i="6"/>
  <c r="Q9" i="6"/>
  <c r="G9" i="6"/>
  <c r="Y9" i="6"/>
  <c r="J9" i="6"/>
  <c r="AP1" i="6"/>
  <c r="F10" i="6"/>
  <c r="AQ1" i="6"/>
  <c r="AP9" i="6"/>
  <c r="AO9" i="6"/>
  <c r="G10" i="6"/>
  <c r="AR1" i="6"/>
  <c r="H10" i="6"/>
  <c r="AS1" i="6"/>
  <c r="AR9" i="6"/>
  <c r="AQ9" i="6"/>
  <c r="I10" i="6"/>
  <c r="AT1" i="6"/>
  <c r="AS9" i="6"/>
  <c r="J10" i="6"/>
  <c r="AU1" i="6"/>
  <c r="AT9" i="6"/>
  <c r="K10" i="6"/>
  <c r="AV1" i="6"/>
  <c r="AU9" i="6"/>
  <c r="L10" i="6"/>
  <c r="AW1" i="6"/>
  <c r="AV9" i="6"/>
  <c r="M10" i="6"/>
  <c r="AX1" i="6"/>
  <c r="AW9" i="6"/>
  <c r="N10" i="6"/>
  <c r="AY1" i="6"/>
  <c r="AX9" i="6"/>
  <c r="O10" i="6"/>
  <c r="AZ1" i="6"/>
  <c r="AY9" i="6"/>
  <c r="P10" i="6"/>
  <c r="BA1" i="6"/>
  <c r="AZ9" i="6"/>
  <c r="Q10" i="6"/>
  <c r="BB1" i="6"/>
  <c r="BA9" i="6"/>
  <c r="R10" i="6"/>
  <c r="BC1" i="6"/>
  <c r="BB9" i="6"/>
  <c r="S10" i="6"/>
  <c r="BD1" i="6"/>
  <c r="BC9" i="6"/>
  <c r="T10" i="6"/>
  <c r="BE1" i="6"/>
  <c r="BD9" i="6"/>
  <c r="U10" i="6"/>
  <c r="BF1" i="6"/>
  <c r="BE9" i="6"/>
  <c r="V10" i="6"/>
  <c r="BG1" i="6"/>
  <c r="BF9" i="6"/>
  <c r="W10" i="6"/>
  <c r="BH1" i="6"/>
  <c r="BG9" i="6"/>
  <c r="X10" i="6"/>
  <c r="BI1" i="6"/>
  <c r="BH9" i="6"/>
  <c r="Y10" i="6"/>
  <c r="BJ1" i="6"/>
  <c r="BI9" i="6"/>
  <c r="Z10" i="6"/>
  <c r="BK1" i="6"/>
  <c r="BJ9" i="6"/>
  <c r="AA10" i="6"/>
  <c r="BL1" i="6"/>
  <c r="BK9" i="6"/>
  <c r="AB10" i="6"/>
  <c r="BM1" i="6"/>
  <c r="BL9" i="6"/>
  <c r="AC10" i="6"/>
  <c r="BN1" i="6"/>
  <c r="BM9" i="6"/>
  <c r="AD10" i="6"/>
  <c r="BO1" i="6"/>
  <c r="BN9" i="6"/>
  <c r="AE10" i="6"/>
  <c r="BP1" i="6"/>
  <c r="BO9" i="6"/>
  <c r="AF10" i="6"/>
  <c r="BQ1" i="6"/>
  <c r="BP9" i="6"/>
  <c r="AG10" i="6"/>
  <c r="BR1" i="6"/>
  <c r="BQ9" i="6"/>
  <c r="AH10" i="6"/>
  <c r="BS1" i="6"/>
  <c r="BR9" i="6"/>
  <c r="AI10" i="6"/>
  <c r="BT1" i="6"/>
  <c r="BS9" i="6"/>
  <c r="AJ10" i="6"/>
  <c r="BU1" i="6"/>
  <c r="BT9" i="6"/>
  <c r="AK10" i="6"/>
  <c r="BV1" i="6"/>
  <c r="BU9" i="6"/>
  <c r="AL10" i="6"/>
  <c r="BW1" i="6"/>
  <c r="BV9" i="6"/>
  <c r="AM10" i="6"/>
  <c r="BX1" i="6"/>
  <c r="BW9" i="6"/>
  <c r="AN10" i="6"/>
  <c r="BY1" i="6"/>
  <c r="BX9" i="6"/>
  <c r="AO10" i="6"/>
  <c r="BZ1" i="6"/>
  <c r="BY9" i="6"/>
  <c r="AP10" i="6"/>
  <c r="CA1" i="6"/>
  <c r="BZ9" i="6"/>
  <c r="AQ10" i="6"/>
  <c r="CB1" i="6"/>
  <c r="CA9" i="6"/>
  <c r="AR10" i="6"/>
  <c r="CC1" i="6"/>
  <c r="CB9" i="6"/>
  <c r="AS10" i="6"/>
  <c r="CD1" i="6"/>
  <c r="CC9" i="6"/>
  <c r="AT10" i="6"/>
  <c r="CE1" i="6"/>
  <c r="CD9" i="6"/>
  <c r="AU10" i="6"/>
  <c r="CF1" i="6"/>
  <c r="CE9" i="6"/>
  <c r="AV10" i="6"/>
  <c r="CG1" i="6"/>
  <c r="CF9" i="6"/>
  <c r="AW10" i="6"/>
  <c r="CH1" i="6"/>
  <c r="CG9" i="6"/>
  <c r="AX10" i="6"/>
  <c r="CI1" i="6"/>
  <c r="CH9" i="6"/>
  <c r="AY10" i="6"/>
  <c r="CJ1" i="6"/>
  <c r="CI9" i="6"/>
  <c r="AZ10" i="6"/>
  <c r="CK1" i="6"/>
  <c r="CJ9" i="6"/>
  <c r="BA10" i="6"/>
  <c r="CL1" i="6"/>
  <c r="CK9" i="6"/>
  <c r="BB10" i="6"/>
  <c r="CM1" i="6"/>
  <c r="CL9" i="6"/>
  <c r="BC10" i="6"/>
  <c r="CN1" i="6"/>
  <c r="CM9" i="6"/>
  <c r="BD10" i="6"/>
  <c r="CO1" i="6"/>
  <c r="CN9" i="6"/>
  <c r="BE10" i="6"/>
  <c r="CP1" i="6"/>
  <c r="CO9" i="6"/>
  <c r="BF10" i="6"/>
  <c r="CQ1" i="6"/>
  <c r="CP9" i="6"/>
  <c r="BG10" i="6"/>
  <c r="CR1" i="6"/>
  <c r="CQ9" i="6"/>
  <c r="BH10" i="6"/>
  <c r="CS1" i="6"/>
  <c r="CR9" i="6"/>
  <c r="BI10" i="6"/>
  <c r="CT1" i="6"/>
  <c r="CS9" i="6"/>
  <c r="BJ10" i="6"/>
  <c r="CU1" i="6"/>
  <c r="CT9" i="6"/>
  <c r="BK10" i="6"/>
  <c r="CV1" i="6"/>
  <c r="CU9" i="6"/>
  <c r="BL10" i="6"/>
  <c r="CW1" i="6"/>
  <c r="CV9" i="6"/>
  <c r="BM10" i="6"/>
  <c r="CX1" i="6"/>
  <c r="CW9" i="6"/>
  <c r="BN10" i="6"/>
  <c r="CY1" i="6"/>
  <c r="CX9" i="6"/>
  <c r="BO10" i="6"/>
  <c r="CZ1" i="6"/>
  <c r="CY9" i="6"/>
  <c r="BP10" i="6"/>
  <c r="DA1" i="6"/>
  <c r="CZ9" i="6"/>
  <c r="BQ10" i="6"/>
  <c r="DB1" i="6"/>
  <c r="DA9" i="6"/>
  <c r="BR10" i="6"/>
  <c r="DC1" i="6"/>
  <c r="DB9" i="6"/>
  <c r="BS10" i="6"/>
  <c r="DD1" i="6"/>
  <c r="DC9" i="6"/>
  <c r="BT10" i="6"/>
  <c r="DE1" i="6"/>
  <c r="DD9" i="6"/>
  <c r="BU10" i="6"/>
  <c r="DF1" i="6"/>
  <c r="DE9" i="6"/>
  <c r="BV10" i="6"/>
  <c r="DG1" i="6"/>
  <c r="DF9" i="6"/>
  <c r="BW10" i="6"/>
  <c r="DH1" i="6"/>
  <c r="DG9" i="6"/>
  <c r="BX10" i="6"/>
  <c r="DI1" i="6"/>
  <c r="DH9" i="6"/>
  <c r="BY10" i="6"/>
  <c r="DJ1" i="6"/>
  <c r="DI9" i="6"/>
  <c r="BZ10" i="6"/>
  <c r="DK1" i="6"/>
  <c r="DJ9" i="6"/>
  <c r="CA10" i="6"/>
  <c r="DL1" i="6"/>
  <c r="DK9" i="6"/>
  <c r="CB10" i="6"/>
  <c r="DM1" i="6"/>
  <c r="DL9" i="6"/>
  <c r="CC10" i="6"/>
  <c r="DN1" i="6"/>
  <c r="DM9" i="6"/>
  <c r="CD10" i="6"/>
  <c r="DO1" i="6"/>
  <c r="DN9" i="6"/>
  <c r="CE10" i="6"/>
  <c r="DP1" i="6"/>
  <c r="DO9" i="6"/>
  <c r="CF10" i="6"/>
  <c r="DQ1" i="6"/>
  <c r="DP9" i="6"/>
  <c r="CG10" i="6"/>
  <c r="DR1" i="6"/>
  <c r="DQ9" i="6"/>
  <c r="CH10" i="6"/>
  <c r="DS1" i="6"/>
  <c r="DR9" i="6"/>
  <c r="CI10" i="6"/>
  <c r="DT1" i="6"/>
  <c r="DS9" i="6"/>
  <c r="CJ10" i="6"/>
  <c r="DU1" i="6"/>
  <c r="DT9" i="6"/>
  <c r="CK10" i="6"/>
  <c r="DV1" i="6"/>
  <c r="DU9" i="6"/>
  <c r="CL10" i="6"/>
  <c r="DW1" i="6"/>
  <c r="DV9" i="6"/>
  <c r="CM10" i="6"/>
  <c r="DX1" i="6"/>
  <c r="DW9" i="6"/>
  <c r="CN10" i="6"/>
  <c r="DY1" i="6"/>
  <c r="DX9" i="6"/>
  <c r="CO10" i="6"/>
  <c r="DZ1" i="6"/>
  <c r="DY9" i="6"/>
  <c r="CP10" i="6"/>
  <c r="EA1" i="6"/>
  <c r="DZ9" i="6"/>
  <c r="CQ10" i="6"/>
  <c r="EB1" i="6"/>
  <c r="EA9" i="6"/>
  <c r="CR10" i="6"/>
  <c r="EC1" i="6"/>
  <c r="EB9" i="6"/>
  <c r="CS10" i="6"/>
  <c r="ED1" i="6"/>
  <c r="EC9" i="6"/>
  <c r="CT10" i="6"/>
  <c r="EE1" i="6"/>
  <c r="ED9" i="6"/>
  <c r="CU10" i="6"/>
  <c r="EF1" i="6"/>
  <c r="EE9" i="6"/>
  <c r="CV10" i="6"/>
  <c r="EG1" i="6"/>
  <c r="EF9" i="6"/>
  <c r="CW10" i="6"/>
  <c r="EH1" i="6"/>
  <c r="EG9" i="6"/>
  <c r="CX10" i="6"/>
  <c r="EI1" i="6"/>
  <c r="EH9" i="6"/>
  <c r="CY10" i="6"/>
  <c r="EJ1" i="6"/>
  <c r="EI9" i="6"/>
  <c r="CZ10" i="6"/>
  <c r="EK1" i="6"/>
  <c r="EJ9" i="6"/>
  <c r="DA10" i="6"/>
  <c r="EL1" i="6"/>
  <c r="EK9" i="6"/>
  <c r="DB10" i="6"/>
  <c r="EM1" i="6"/>
  <c r="EL9" i="6"/>
  <c r="DC10" i="6"/>
  <c r="EN1" i="6"/>
  <c r="EM9" i="6"/>
  <c r="DD10" i="6"/>
  <c r="EO1" i="6"/>
  <c r="EN9" i="6"/>
  <c r="DE10" i="6"/>
  <c r="EP1" i="6"/>
  <c r="EO9" i="6"/>
  <c r="DF10" i="6"/>
  <c r="EQ1" i="6"/>
  <c r="EP9" i="6"/>
  <c r="DG10" i="6"/>
  <c r="ER1" i="6"/>
  <c r="EQ9" i="6"/>
  <c r="DH10" i="6"/>
  <c r="ES1" i="6"/>
  <c r="ER9" i="6"/>
  <c r="DI10" i="6"/>
  <c r="ET1" i="6"/>
  <c r="ES9" i="6"/>
  <c r="DJ10" i="6"/>
  <c r="EU1" i="6"/>
  <c r="DK10" i="6"/>
  <c r="EV1" i="6"/>
  <c r="ET9" i="6"/>
  <c r="DL10" i="6"/>
  <c r="EW1" i="6"/>
  <c r="EU9" i="6"/>
  <c r="DM10" i="6"/>
  <c r="EX1" i="6"/>
  <c r="EW9" i="6"/>
  <c r="EV9" i="6"/>
  <c r="DN10" i="6"/>
  <c r="EY1" i="6"/>
  <c r="DO10" i="6"/>
  <c r="EZ1" i="6"/>
  <c r="EY9" i="6"/>
  <c r="EX9" i="6"/>
  <c r="DP10" i="6"/>
  <c r="FA1" i="6"/>
  <c r="EZ9" i="6"/>
  <c r="DQ10" i="6"/>
  <c r="FB1" i="6"/>
  <c r="FA9" i="6"/>
  <c r="DR10" i="6"/>
  <c r="FC1" i="6"/>
  <c r="FB9" i="6"/>
  <c r="DS10" i="6"/>
  <c r="FD1" i="6"/>
  <c r="FC9" i="6"/>
  <c r="DT10" i="6"/>
  <c r="FE1" i="6"/>
  <c r="FD9" i="6"/>
  <c r="DU10" i="6"/>
  <c r="FF1" i="6"/>
  <c r="FE9" i="6"/>
  <c r="DV10" i="6"/>
  <c r="FG1" i="6"/>
  <c r="FF9" i="6"/>
  <c r="DW10" i="6"/>
  <c r="FH1" i="6"/>
  <c r="FG9" i="6"/>
  <c r="DX10" i="6"/>
  <c r="FI1" i="6"/>
  <c r="FH9" i="6"/>
  <c r="DY10" i="6"/>
  <c r="FJ1" i="6"/>
  <c r="FI9" i="6"/>
  <c r="DZ10" i="6"/>
  <c r="FK1" i="6"/>
  <c r="FJ9" i="6"/>
  <c r="EA10" i="6"/>
  <c r="FL1" i="6"/>
  <c r="FK9" i="6"/>
  <c r="EB10" i="6"/>
  <c r="FM1" i="6"/>
  <c r="FL9" i="6"/>
  <c r="EC10" i="6"/>
  <c r="FN1" i="6"/>
  <c r="FM9" i="6"/>
  <c r="ED10" i="6"/>
  <c r="FO1" i="6"/>
  <c r="FN9" i="6"/>
  <c r="EE10" i="6"/>
  <c r="FP1" i="6"/>
  <c r="FO9" i="6"/>
  <c r="EF10" i="6"/>
  <c r="FQ1" i="6"/>
  <c r="FP9" i="6"/>
  <c r="EG10" i="6"/>
  <c r="FR1" i="6"/>
  <c r="FQ9" i="6"/>
  <c r="EH10" i="6"/>
  <c r="FS1" i="6"/>
  <c r="FR9" i="6"/>
  <c r="EI10" i="6"/>
  <c r="FT1" i="6"/>
  <c r="FS9" i="6"/>
  <c r="EJ10" i="6"/>
  <c r="FU1" i="6"/>
  <c r="FT9" i="6"/>
  <c r="EK10" i="6"/>
  <c r="FV1" i="6"/>
  <c r="FU9" i="6"/>
  <c r="EL10" i="6"/>
  <c r="FW1" i="6"/>
  <c r="FV9" i="6"/>
  <c r="EM10" i="6"/>
  <c r="FX1" i="6"/>
  <c r="FW9" i="6"/>
  <c r="EN10" i="6"/>
  <c r="FY1" i="6"/>
  <c r="FX9" i="6"/>
  <c r="EO10" i="6"/>
  <c r="FZ1" i="6"/>
  <c r="FY9" i="6"/>
  <c r="EP10" i="6"/>
  <c r="GA1" i="6"/>
  <c r="FZ9" i="6"/>
  <c r="EQ10" i="6"/>
  <c r="GB1" i="6"/>
  <c r="GA9" i="6"/>
  <c r="ER10" i="6"/>
  <c r="GC1" i="6"/>
  <c r="GB9" i="6"/>
  <c r="ES10" i="6"/>
  <c r="GD1" i="6"/>
  <c r="GC9" i="6"/>
  <c r="ET10" i="6"/>
  <c r="GE1" i="6"/>
  <c r="GD9" i="6"/>
  <c r="EU10" i="6"/>
  <c r="GF1" i="6"/>
  <c r="GE9" i="6"/>
  <c r="EV10" i="6"/>
  <c r="GG1" i="6"/>
  <c r="GF9" i="6"/>
  <c r="EW10" i="6"/>
  <c r="GH1" i="6"/>
  <c r="GG9" i="6"/>
  <c r="EX10" i="6"/>
  <c r="GI1" i="6"/>
  <c r="GH9" i="6"/>
  <c r="EY10" i="6"/>
  <c r="GJ1" i="6"/>
  <c r="GI9" i="6"/>
  <c r="EZ10" i="6"/>
  <c r="GK1" i="6"/>
  <c r="GJ9" i="6"/>
  <c r="FA10" i="6"/>
  <c r="GL1" i="6"/>
  <c r="GK9" i="6"/>
  <c r="FB10" i="6"/>
  <c r="GM1" i="6"/>
  <c r="FC10" i="6"/>
  <c r="GN1" i="6"/>
  <c r="GM9" i="6"/>
  <c r="GL9" i="6"/>
  <c r="FD10" i="6"/>
  <c r="GO1" i="6"/>
  <c r="GN9" i="6"/>
  <c r="FE10" i="6"/>
  <c r="GP1" i="6"/>
  <c r="GO9" i="6"/>
  <c r="FF10" i="6"/>
  <c r="GQ1" i="6"/>
  <c r="GP9" i="6"/>
  <c r="FG10" i="6"/>
  <c r="GR1" i="6"/>
  <c r="GQ9" i="6"/>
  <c r="FH10" i="6"/>
  <c r="GS1" i="6"/>
  <c r="GR9" i="6"/>
  <c r="FI10" i="6"/>
  <c r="GT1" i="6"/>
  <c r="FJ10" i="6"/>
  <c r="GU1" i="6"/>
  <c r="GT9" i="6"/>
  <c r="GS9" i="6"/>
  <c r="FK10" i="6"/>
  <c r="GV1" i="6"/>
  <c r="GU9" i="6"/>
  <c r="FL10" i="6"/>
  <c r="GW1" i="6"/>
  <c r="GV9" i="6"/>
  <c r="FM10" i="6"/>
  <c r="GX1" i="6"/>
  <c r="GW9" i="6"/>
  <c r="FN10" i="6"/>
  <c r="GY1" i="6"/>
  <c r="GX9" i="6"/>
  <c r="FO10" i="6"/>
  <c r="GZ1" i="6"/>
  <c r="GY9" i="6"/>
  <c r="FP10" i="6"/>
  <c r="HA1" i="6"/>
  <c r="GZ9" i="6"/>
  <c r="FQ10" i="6"/>
  <c r="HB1" i="6"/>
  <c r="HA9" i="6"/>
  <c r="FR10" i="6"/>
  <c r="HC1" i="6"/>
  <c r="HB9" i="6"/>
  <c r="FS10" i="6"/>
  <c r="HD1" i="6"/>
  <c r="HC9" i="6"/>
  <c r="FT10" i="6"/>
  <c r="HE1" i="6"/>
  <c r="HD9" i="6"/>
  <c r="FU10" i="6"/>
  <c r="HF1" i="6"/>
  <c r="HE9" i="6"/>
  <c r="FV10" i="6"/>
  <c r="HG1" i="6"/>
  <c r="HF9" i="6"/>
  <c r="FW10" i="6"/>
  <c r="HH1" i="6"/>
  <c r="HG9" i="6"/>
  <c r="FX10" i="6"/>
  <c r="HI1" i="6"/>
  <c r="HH9" i="6"/>
  <c r="FY10" i="6"/>
  <c r="HJ1" i="6"/>
  <c r="HI9" i="6"/>
  <c r="FZ10" i="6"/>
  <c r="HK1" i="6"/>
  <c r="HJ9" i="6"/>
  <c r="GA10" i="6"/>
  <c r="HL1" i="6"/>
  <c r="HK9" i="6"/>
  <c r="GB10" i="6"/>
  <c r="HM1" i="6"/>
  <c r="HL9" i="6"/>
  <c r="GC10" i="6"/>
  <c r="HN1" i="6"/>
  <c r="HM9" i="6"/>
  <c r="GD10" i="6"/>
  <c r="HO1" i="6"/>
  <c r="HN9" i="6"/>
  <c r="GE10" i="6"/>
  <c r="HP1" i="6"/>
  <c r="HO9" i="6"/>
  <c r="GF10" i="6"/>
  <c r="HQ1" i="6"/>
  <c r="HP9" i="6"/>
  <c r="GG10" i="6"/>
  <c r="HR1" i="6"/>
  <c r="HQ9" i="6"/>
  <c r="GH10" i="6"/>
  <c r="HS1" i="6"/>
  <c r="HR9" i="6"/>
  <c r="GI10" i="6"/>
  <c r="HT1" i="6"/>
  <c r="HS9" i="6"/>
  <c r="GJ10" i="6"/>
  <c r="HU1" i="6"/>
  <c r="HT9" i="6"/>
  <c r="GK10" i="6"/>
  <c r="HV1" i="6"/>
  <c r="HU9" i="6"/>
  <c r="GL10" i="6"/>
  <c r="HW1" i="6"/>
  <c r="HV9" i="6"/>
  <c r="GM10" i="6"/>
  <c r="HX1" i="6"/>
  <c r="HW9" i="6"/>
  <c r="GN10" i="6"/>
  <c r="HY1" i="6"/>
  <c r="HX9" i="6"/>
  <c r="GO10" i="6"/>
  <c r="HZ1" i="6"/>
  <c r="HY9" i="6"/>
  <c r="GP10" i="6"/>
  <c r="IA1" i="6"/>
  <c r="HZ9" i="6"/>
  <c r="GQ10" i="6"/>
  <c r="IB1" i="6"/>
  <c r="IA9" i="6"/>
  <c r="GR10" i="6"/>
  <c r="IC1" i="6"/>
  <c r="IB9" i="6"/>
  <c r="GS10" i="6"/>
  <c r="ID1" i="6"/>
  <c r="IC9" i="6"/>
  <c r="GT10" i="6"/>
  <c r="IE1" i="6"/>
  <c r="ID9" i="6"/>
  <c r="GU10" i="6"/>
  <c r="IF1" i="6"/>
  <c r="IE9" i="6"/>
  <c r="GV10" i="6"/>
  <c r="IG1" i="6"/>
  <c r="IF9" i="6"/>
  <c r="GW10" i="6"/>
  <c r="IH1" i="6"/>
  <c r="IG9" i="6"/>
  <c r="GX10" i="6"/>
  <c r="II1" i="6"/>
  <c r="IH9" i="6"/>
  <c r="GY10" i="6"/>
  <c r="IJ1" i="6"/>
  <c r="II9" i="6"/>
  <c r="GZ10" i="6"/>
  <c r="IK1" i="6"/>
  <c r="IJ9" i="6"/>
  <c r="HA10" i="6"/>
  <c r="IL1" i="6"/>
  <c r="IK9" i="6"/>
  <c r="HB10" i="6"/>
  <c r="IM1" i="6"/>
  <c r="IL9" i="6"/>
  <c r="HC10" i="6"/>
  <c r="IN1" i="6"/>
  <c r="IM9" i="6"/>
  <c r="HD10" i="6"/>
  <c r="IO1" i="6"/>
  <c r="IN9" i="6"/>
  <c r="HE10" i="6"/>
  <c r="IP1" i="6"/>
  <c r="IO9" i="6"/>
  <c r="HF10" i="6"/>
  <c r="IQ1" i="6"/>
  <c r="IP9" i="6"/>
  <c r="HG10" i="6"/>
  <c r="IR1" i="6"/>
  <c r="IQ9" i="6"/>
  <c r="HH10" i="6"/>
  <c r="IS1" i="6"/>
  <c r="IR9" i="6"/>
  <c r="HI10" i="6"/>
  <c r="IT1" i="6"/>
  <c r="IS9" i="6"/>
  <c r="HJ10" i="6"/>
  <c r="IU1" i="6"/>
  <c r="IT9" i="6"/>
  <c r="HK10" i="6"/>
  <c r="IV1" i="6"/>
  <c r="IU9" i="6"/>
  <c r="HL10" i="6"/>
  <c r="IW1" i="6"/>
  <c r="IV9" i="6"/>
  <c r="HM10" i="6"/>
  <c r="IX1" i="6"/>
  <c r="IW9" i="6"/>
  <c r="HN10" i="6"/>
  <c r="IY1" i="6"/>
  <c r="IX9" i="6"/>
  <c r="HO10" i="6"/>
  <c r="IZ1" i="6"/>
  <c r="IY9" i="6"/>
  <c r="HP10" i="6"/>
  <c r="JA1" i="6"/>
  <c r="IZ9" i="6"/>
  <c r="HQ10" i="6"/>
  <c r="JB1" i="6"/>
  <c r="JA9" i="6"/>
  <c r="HR10" i="6"/>
  <c r="JC1" i="6"/>
  <c r="JB9" i="6"/>
  <c r="HS10" i="6"/>
  <c r="JD1" i="6"/>
  <c r="JC9" i="6"/>
  <c r="HT10" i="6"/>
  <c r="JE1" i="6"/>
  <c r="JD9" i="6"/>
  <c r="HU10" i="6"/>
  <c r="JF1" i="6"/>
  <c r="JE9" i="6"/>
  <c r="HV10" i="6"/>
  <c r="JG1" i="6"/>
  <c r="JF9" i="6"/>
  <c r="HW10" i="6"/>
  <c r="JH1" i="6"/>
  <c r="JG9" i="6"/>
  <c r="HX10" i="6"/>
  <c r="JI1" i="6"/>
  <c r="JH9" i="6"/>
  <c r="HY10" i="6"/>
  <c r="JJ1" i="6"/>
  <c r="JI9" i="6"/>
  <c r="HZ10" i="6"/>
  <c r="JK1" i="6"/>
  <c r="JJ9" i="6"/>
  <c r="IA10" i="6"/>
  <c r="JL1" i="6"/>
  <c r="JK9" i="6"/>
  <c r="IB10" i="6"/>
  <c r="JM1" i="6"/>
  <c r="JL9" i="6"/>
  <c r="IC10" i="6"/>
  <c r="JN1" i="6"/>
  <c r="JM9" i="6"/>
  <c r="ID10" i="6"/>
  <c r="JO1" i="6"/>
  <c r="JN9" i="6"/>
  <c r="IE10" i="6"/>
  <c r="JP1" i="6"/>
  <c r="JO9" i="6"/>
  <c r="IF10" i="6"/>
  <c r="JQ1" i="6"/>
  <c r="JP9" i="6"/>
  <c r="IG10" i="6"/>
  <c r="JR1" i="6"/>
  <c r="JQ9" i="6"/>
  <c r="IH10" i="6"/>
  <c r="JS1" i="6"/>
  <c r="JR9" i="6"/>
  <c r="II10" i="6"/>
  <c r="JT1" i="6"/>
  <c r="JS9" i="6"/>
  <c r="IJ10" i="6"/>
  <c r="JU1" i="6"/>
  <c r="JT9" i="6"/>
  <c r="IK10" i="6"/>
  <c r="JV1" i="6"/>
  <c r="JU9" i="6"/>
  <c r="IL10" i="6"/>
  <c r="JW1" i="6"/>
  <c r="JV9" i="6"/>
  <c r="IM10" i="6"/>
  <c r="JX1" i="6"/>
  <c r="JW9" i="6"/>
  <c r="IN10" i="6"/>
  <c r="JY1" i="6"/>
  <c r="JX9" i="6"/>
  <c r="IO10" i="6"/>
  <c r="JZ1" i="6"/>
  <c r="JY9" i="6"/>
  <c r="IP10" i="6"/>
  <c r="KA1" i="6"/>
  <c r="JZ9" i="6"/>
  <c r="IQ10" i="6"/>
  <c r="KB1" i="6"/>
  <c r="KA9" i="6"/>
  <c r="IR10" i="6"/>
  <c r="KC1" i="6"/>
  <c r="KB9" i="6"/>
  <c r="IS10" i="6"/>
  <c r="KD1" i="6"/>
  <c r="KC9" i="6"/>
  <c r="IT10" i="6"/>
  <c r="KE1" i="6"/>
  <c r="KD9" i="6"/>
  <c r="IU10" i="6"/>
  <c r="KF1" i="6"/>
  <c r="KE9" i="6"/>
  <c r="IV10" i="6"/>
  <c r="KG1" i="6"/>
  <c r="KF9" i="6"/>
  <c r="IW10" i="6"/>
  <c r="KH1" i="6"/>
  <c r="KG9" i="6"/>
  <c r="IX10" i="6"/>
  <c r="KI1" i="6"/>
  <c r="KH9" i="6"/>
  <c r="IY10" i="6"/>
  <c r="KJ1" i="6"/>
  <c r="KI9" i="6"/>
  <c r="IZ10" i="6"/>
  <c r="KK1" i="6"/>
  <c r="KJ9" i="6"/>
  <c r="JA10" i="6"/>
  <c r="KL1" i="6"/>
  <c r="KK9" i="6"/>
  <c r="JB10" i="6"/>
  <c r="KM1" i="6"/>
  <c r="KL9" i="6"/>
  <c r="JC10" i="6"/>
  <c r="KN1" i="6"/>
  <c r="KM9" i="6"/>
  <c r="JD10" i="6"/>
  <c r="KO1" i="6"/>
  <c r="KN9" i="6"/>
  <c r="JE10" i="6"/>
  <c r="KP1" i="6"/>
  <c r="KO9" i="6"/>
  <c r="JF10" i="6"/>
  <c r="KQ1" i="6"/>
  <c r="KP9" i="6"/>
  <c r="JG10" i="6"/>
  <c r="KR1" i="6"/>
  <c r="KQ9" i="6"/>
  <c r="JH10" i="6"/>
  <c r="KS1" i="6"/>
  <c r="KR9" i="6"/>
  <c r="JI10" i="6"/>
  <c r="KT1" i="6"/>
  <c r="KS9" i="6"/>
  <c r="JJ10" i="6"/>
  <c r="KU1" i="6"/>
  <c r="KT9" i="6"/>
  <c r="JK10" i="6"/>
  <c r="KV1" i="6"/>
  <c r="KU9" i="6"/>
  <c r="JL10" i="6"/>
  <c r="KW1" i="6"/>
  <c r="KV9" i="6"/>
  <c r="JM10" i="6"/>
  <c r="KX1" i="6"/>
  <c r="KW9" i="6"/>
  <c r="JN10" i="6"/>
  <c r="KY1" i="6"/>
  <c r="KX9" i="6"/>
  <c r="JO10" i="6"/>
  <c r="KZ1" i="6"/>
  <c r="KY9" i="6"/>
  <c r="JP10" i="6"/>
  <c r="LA1" i="6"/>
  <c r="KZ9" i="6"/>
  <c r="JQ10" i="6"/>
  <c r="LB1" i="6"/>
  <c r="LA9" i="6"/>
  <c r="JR10" i="6"/>
  <c r="LC1" i="6"/>
  <c r="LB9" i="6"/>
  <c r="JS10" i="6"/>
  <c r="LD1" i="6"/>
  <c r="LC9" i="6"/>
  <c r="JT10" i="6"/>
  <c r="LD9" i="6"/>
  <c r="D9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X28" i="18"/>
  <c r="F5" i="6"/>
  <c r="EL5" i="6"/>
  <c r="GV5" i="6"/>
  <c r="I5" i="6"/>
  <c r="DT5" i="6"/>
  <c r="KX5" i="6"/>
  <c r="FT5" i="6"/>
  <c r="AI5" i="6"/>
  <c r="U88" i="18"/>
  <c r="H16" i="3"/>
  <c r="J16" i="3"/>
  <c r="H21" i="3"/>
  <c r="J21" i="3"/>
  <c r="U134" i="18"/>
  <c r="H18" i="3"/>
  <c r="EE17" i="6"/>
  <c r="BF5" i="6"/>
  <c r="FR5" i="6"/>
  <c r="DZ5" i="6"/>
  <c r="IS5" i="6"/>
  <c r="HW5" i="6"/>
  <c r="DP5" i="6"/>
  <c r="CF5" i="6"/>
  <c r="ET5" i="6"/>
  <c r="DI5" i="6"/>
  <c r="IR5" i="6"/>
  <c r="HJ5" i="6"/>
  <c r="Q104" i="18"/>
  <c r="Q100" i="18"/>
  <c r="Q106" i="18"/>
  <c r="Q102" i="18"/>
  <c r="Q101" i="18"/>
  <c r="Q103" i="18"/>
  <c r="ED5" i="6"/>
  <c r="EP5" i="6"/>
  <c r="IA5" i="6"/>
  <c r="DR5" i="6"/>
  <c r="KW5" i="6"/>
  <c r="HS5" i="6"/>
  <c r="KO5" i="6"/>
  <c r="EJ5" i="6"/>
  <c r="IM5" i="6"/>
  <c r="X17" i="6"/>
  <c r="DM17" i="6"/>
  <c r="CA17" i="6"/>
  <c r="HR17" i="6"/>
  <c r="JK17" i="6"/>
  <c r="DJ17" i="6"/>
  <c r="HK17" i="6"/>
  <c r="JS17" i="6"/>
  <c r="JI5" i="6"/>
  <c r="DZ11" i="6"/>
  <c r="H12" i="3"/>
  <c r="U139" i="18"/>
  <c r="GW5" i="6"/>
  <c r="U175" i="18"/>
  <c r="GY5" i="6"/>
  <c r="U174" i="18"/>
  <c r="GC5" i="6"/>
  <c r="IU5" i="6"/>
  <c r="AW11" i="6"/>
  <c r="HI5" i="6"/>
  <c r="IK5" i="6"/>
  <c r="KJ5" i="6"/>
  <c r="H22" i="3"/>
  <c r="AB5" i="6"/>
  <c r="BQ5" i="6"/>
  <c r="DJ5" i="6"/>
  <c r="JG5" i="6"/>
  <c r="JS5" i="6"/>
  <c r="U90" i="18"/>
  <c r="KT5" i="6"/>
  <c r="BT5" i="6"/>
  <c r="CJ5" i="6"/>
  <c r="BB11" i="6"/>
  <c r="FH11" i="6"/>
  <c r="Z13" i="18"/>
  <c r="I28" i="18"/>
  <c r="F12" i="3"/>
  <c r="J12" i="3"/>
  <c r="AG5" i="6"/>
  <c r="FD5" i="6"/>
  <c r="JR5" i="6"/>
  <c r="JF5" i="6"/>
  <c r="L5" i="6"/>
  <c r="HR5" i="6"/>
  <c r="CB5" i="6"/>
  <c r="CS5" i="6"/>
  <c r="GT5" i="6"/>
  <c r="JH5" i="6"/>
  <c r="BD5" i="6"/>
  <c r="HP5" i="6"/>
  <c r="T5" i="6"/>
  <c r="AW5" i="6"/>
  <c r="J5" i="6"/>
  <c r="Y5" i="6"/>
  <c r="GO5" i="6"/>
  <c r="KB5" i="6"/>
  <c r="EH5" i="6"/>
  <c r="AT5" i="6"/>
  <c r="BI5" i="6"/>
  <c r="KN5" i="6"/>
  <c r="IO5" i="6"/>
  <c r="FQ5" i="6"/>
  <c r="JQ5" i="6"/>
  <c r="GP5" i="6"/>
  <c r="Z5" i="6"/>
  <c r="IZ5" i="6"/>
  <c r="JV5" i="6"/>
  <c r="HM5" i="6"/>
  <c r="IN5" i="6"/>
  <c r="KG5" i="6"/>
  <c r="HD5" i="6"/>
  <c r="LC5" i="6"/>
  <c r="IH5" i="6"/>
  <c r="BC5" i="6"/>
  <c r="JT5" i="6"/>
  <c r="FL5" i="6"/>
  <c r="KF5" i="6"/>
  <c r="JB5" i="6"/>
  <c r="EE5" i="6"/>
  <c r="DA5" i="6"/>
  <c r="EM5" i="6"/>
  <c r="AU5" i="6"/>
  <c r="JU5" i="6"/>
  <c r="CZ5" i="6"/>
  <c r="KR5" i="6"/>
  <c r="FH5" i="6"/>
  <c r="BW5" i="6"/>
  <c r="DD5" i="6"/>
  <c r="FF5" i="6"/>
  <c r="LB5" i="6"/>
  <c r="AQ5" i="6"/>
  <c r="GK5" i="6"/>
  <c r="JW5" i="6"/>
  <c r="CH5" i="6"/>
  <c r="CN5" i="6"/>
  <c r="H5" i="6"/>
  <c r="HH5" i="6"/>
  <c r="IL5" i="6"/>
  <c r="BJ5" i="6"/>
  <c r="FV5" i="6"/>
  <c r="GE5" i="6"/>
  <c r="GL5" i="6"/>
  <c r="KP5" i="6"/>
  <c r="EZ5" i="6"/>
  <c r="IG5" i="6"/>
  <c r="R5" i="6"/>
  <c r="GH5" i="6"/>
  <c r="FG5" i="6"/>
  <c r="BE5" i="6"/>
  <c r="DX5" i="6"/>
  <c r="GJ5" i="6"/>
  <c r="EQ5" i="6"/>
  <c r="FY5" i="6"/>
  <c r="BS5" i="6"/>
  <c r="FB5" i="6"/>
  <c r="Q11" i="6"/>
  <c r="GE11" i="6"/>
  <c r="DL5" i="6"/>
  <c r="KK5" i="6"/>
  <c r="KI5" i="6"/>
  <c r="HY5" i="6"/>
  <c r="KC5" i="6"/>
  <c r="BM5" i="6"/>
  <c r="GS5" i="6"/>
  <c r="EY11" i="6"/>
  <c r="KH11" i="6"/>
  <c r="FW5" i="6"/>
  <c r="HO5" i="6"/>
  <c r="FO5" i="6"/>
  <c r="IS11" i="6"/>
  <c r="AM11" i="6"/>
  <c r="EM11" i="6"/>
  <c r="EI11" i="6"/>
  <c r="BK11" i="6"/>
  <c r="KT11" i="6"/>
  <c r="JG11" i="6"/>
  <c r="CB11" i="6"/>
  <c r="X97" i="18"/>
  <c r="H17" i="3"/>
  <c r="U97" i="18"/>
  <c r="U108" i="18"/>
  <c r="U109" i="18"/>
  <c r="H9" i="3"/>
  <c r="FW11" i="6"/>
  <c r="HJ11" i="6"/>
  <c r="L11" i="6"/>
  <c r="BF11" i="6"/>
  <c r="CP11" i="6"/>
  <c r="HE11" i="6"/>
  <c r="ET11" i="6"/>
  <c r="AO11" i="6"/>
  <c r="HB11" i="6"/>
  <c r="GN11" i="6"/>
  <c r="KA11" i="6"/>
  <c r="KR11" i="6"/>
  <c r="IT11" i="6"/>
  <c r="GR11" i="6"/>
  <c r="FP11" i="6"/>
  <c r="IG11" i="6"/>
  <c r="AA11" i="6"/>
  <c r="KD11" i="6"/>
  <c r="FK11" i="6"/>
  <c r="II11" i="6"/>
  <c r="IQ11" i="6"/>
  <c r="KI11" i="6"/>
  <c r="CF11" i="6"/>
  <c r="DG11" i="6"/>
  <c r="IL11" i="6"/>
  <c r="DT11" i="6"/>
  <c r="JC11" i="6"/>
  <c r="JI11" i="6"/>
  <c r="W11" i="6"/>
  <c r="JZ11" i="6"/>
  <c r="AQ11" i="6"/>
  <c r="BU11" i="6"/>
  <c r="Y11" i="6"/>
  <c r="DD11" i="6"/>
  <c r="IJ11" i="6"/>
  <c r="KF11" i="6"/>
  <c r="IR11" i="6"/>
  <c r="BX11" i="6"/>
  <c r="ER11" i="6"/>
  <c r="DY11" i="6"/>
  <c r="DV11" i="6"/>
  <c r="FN11" i="6"/>
  <c r="KP11" i="6"/>
  <c r="HH11" i="6"/>
  <c r="AF11" i="6"/>
  <c r="ID11" i="6"/>
  <c r="AJ11" i="6"/>
  <c r="BD11" i="6"/>
  <c r="GI11" i="6"/>
  <c r="DJ11" i="6"/>
  <c r="EV11" i="6"/>
  <c r="AD11" i="6"/>
  <c r="EJ11" i="6"/>
  <c r="R11" i="6"/>
  <c r="HZ11" i="6"/>
  <c r="FQ11" i="6"/>
  <c r="EF11" i="6"/>
  <c r="DW11" i="6"/>
  <c r="FO17" i="6"/>
  <c r="FB17" i="6"/>
  <c r="AF17" i="6"/>
  <c r="KR17" i="6"/>
  <c r="FH17" i="6"/>
  <c r="GY17" i="6"/>
  <c r="EB17" i="6"/>
  <c r="S17" i="6"/>
  <c r="IL17" i="6"/>
  <c r="F6" i="6"/>
  <c r="J13" i="3"/>
  <c r="AE17" i="6"/>
  <c r="FQ17" i="6"/>
  <c r="CO17" i="6"/>
  <c r="DF17" i="6"/>
  <c r="JC17" i="6"/>
  <c r="HH17" i="6"/>
  <c r="CW17" i="6"/>
  <c r="KA17" i="6"/>
  <c r="O17" i="6"/>
  <c r="FA17" i="6"/>
  <c r="IJ17" i="6"/>
  <c r="U43" i="18"/>
  <c r="EU11" i="6"/>
  <c r="FG11" i="6"/>
  <c r="AS11" i="6"/>
  <c r="CX11" i="6"/>
  <c r="IE11" i="6"/>
  <c r="EH11" i="6"/>
  <c r="I11" i="6"/>
  <c r="IF11" i="6"/>
  <c r="BG11" i="6"/>
  <c r="N11" i="6"/>
  <c r="CL11" i="6"/>
  <c r="U171" i="18"/>
  <c r="U167" i="18"/>
  <c r="T4" i="5"/>
  <c r="CX17" i="6"/>
  <c r="JP17" i="6"/>
  <c r="KO17" i="6"/>
  <c r="K17" i="6"/>
  <c r="JV17" i="6"/>
  <c r="GN17" i="6"/>
  <c r="HL17" i="6"/>
  <c r="EZ17" i="6"/>
  <c r="DA17" i="6"/>
  <c r="GJ17" i="6"/>
  <c r="EG11" i="6"/>
  <c r="U169" i="18"/>
  <c r="FF11" i="6"/>
  <c r="AT17" i="6"/>
  <c r="AX17" i="6"/>
  <c r="AT11" i="6"/>
  <c r="GH17" i="6"/>
  <c r="GS11" i="6"/>
  <c r="BF17" i="6"/>
  <c r="AD17" i="6"/>
  <c r="IX17" i="6"/>
  <c r="DP17" i="6"/>
  <c r="ED17" i="6"/>
  <c r="IY17" i="6"/>
  <c r="KJ17" i="6"/>
  <c r="DU11" i="6"/>
  <c r="AH17" i="6"/>
  <c r="I97" i="18"/>
  <c r="IP17" i="6"/>
  <c r="U41" i="18"/>
  <c r="V28" i="18"/>
  <c r="HQ17" i="6"/>
  <c r="HD17" i="6"/>
  <c r="BV17" i="6"/>
  <c r="H17" i="6"/>
  <c r="JI17" i="6"/>
  <c r="AL17" i="6"/>
  <c r="HV17" i="6"/>
  <c r="KC17" i="6"/>
  <c r="HY17" i="6"/>
  <c r="X59" i="18"/>
  <c r="KU17" i="6"/>
  <c r="JO17" i="6"/>
  <c r="GE17" i="6"/>
  <c r="GC17" i="6"/>
  <c r="Z17" i="6"/>
  <c r="DW17" i="6"/>
  <c r="KS17" i="6"/>
  <c r="BM17" i="6"/>
  <c r="LD17" i="6"/>
  <c r="DZ17" i="6"/>
  <c r="U114" i="18"/>
  <c r="U112" i="18"/>
  <c r="V111" i="18"/>
  <c r="U113" i="18"/>
  <c r="J20" i="3"/>
  <c r="IP11" i="6"/>
  <c r="KN11" i="6"/>
  <c r="CE17" i="6"/>
  <c r="H23" i="3"/>
  <c r="J23" i="3"/>
  <c r="U42" i="18"/>
  <c r="EN17" i="6"/>
  <c r="CH17" i="6"/>
  <c r="CI17" i="6"/>
  <c r="KN17" i="6"/>
  <c r="HZ17" i="6"/>
  <c r="BP17" i="6"/>
  <c r="IO17" i="6"/>
  <c r="BY17" i="6"/>
  <c r="J18" i="3"/>
  <c r="FM17" i="6"/>
  <c r="CL17" i="6"/>
  <c r="AO17" i="6"/>
  <c r="JU17" i="6"/>
  <c r="LC17" i="6"/>
  <c r="HA17" i="6"/>
  <c r="FX17" i="6"/>
  <c r="GS17" i="6"/>
  <c r="JA17" i="6"/>
  <c r="DR17" i="6"/>
  <c r="DE17" i="6"/>
  <c r="EI17" i="6"/>
  <c r="DQ17" i="6"/>
  <c r="BL17" i="6"/>
  <c r="EO17" i="6"/>
  <c r="CV17" i="6"/>
  <c r="HP17" i="6"/>
  <c r="CQ17" i="6"/>
  <c r="DV17" i="6"/>
  <c r="EP17" i="6"/>
  <c r="IV17" i="6"/>
  <c r="Y17" i="6"/>
  <c r="KK17" i="6"/>
  <c r="IC17" i="6"/>
  <c r="HM17" i="6"/>
  <c r="FW17" i="6"/>
  <c r="GM17" i="6"/>
  <c r="AJ17" i="6"/>
  <c r="FV17" i="6"/>
  <c r="GL17" i="6"/>
  <c r="HG17" i="6"/>
  <c r="CK17" i="6"/>
  <c r="HS17" i="6"/>
  <c r="BU17" i="6"/>
  <c r="AK17" i="6"/>
  <c r="DL17" i="6"/>
  <c r="DG17" i="6"/>
  <c r="KY17" i="6"/>
  <c r="ES17" i="6"/>
  <c r="LB17" i="6"/>
  <c r="BB17" i="6"/>
  <c r="IG17" i="6"/>
  <c r="EG17" i="6"/>
  <c r="JM17" i="6"/>
  <c r="AS17" i="6"/>
  <c r="GA17" i="6"/>
  <c r="JL17" i="6"/>
  <c r="GV17" i="6"/>
  <c r="KW17" i="6"/>
  <c r="GG17" i="6"/>
  <c r="II17" i="6"/>
  <c r="BS17" i="6"/>
  <c r="EH17" i="6"/>
  <c r="JW17" i="6"/>
  <c r="DI17" i="6"/>
  <c r="JH17" i="6"/>
  <c r="KX17" i="6"/>
  <c r="CN17" i="6"/>
  <c r="FS17" i="6"/>
  <c r="KD17" i="6"/>
  <c r="AZ17" i="6"/>
  <c r="AA17" i="6"/>
  <c r="DY17" i="6"/>
  <c r="KG17" i="6"/>
  <c r="GO17" i="6"/>
  <c r="HO17" i="6"/>
  <c r="JD17" i="6"/>
  <c r="KV17" i="6"/>
  <c r="BN17" i="6"/>
  <c r="JX17" i="6"/>
  <c r="FD17" i="6"/>
  <c r="EQ17" i="6"/>
  <c r="EF17" i="6"/>
  <c r="L17" i="6"/>
  <c r="FU17" i="6"/>
  <c r="DU17" i="6"/>
  <c r="AR17" i="6"/>
  <c r="JZ17" i="6"/>
  <c r="IW17" i="6"/>
  <c r="AQ17" i="6"/>
  <c r="F17" i="6"/>
  <c r="F18" i="6"/>
  <c r="AW17" i="6"/>
  <c r="BE17" i="6"/>
  <c r="DX17" i="6"/>
  <c r="JB17" i="6"/>
  <c r="AY17" i="6"/>
  <c r="KQ17" i="6"/>
  <c r="DD17" i="6"/>
  <c r="FK17" i="6"/>
  <c r="EC17" i="6"/>
  <c r="GK17" i="6"/>
  <c r="CG17" i="6"/>
  <c r="KF17" i="6"/>
  <c r="Q4" i="5"/>
  <c r="U107" i="18"/>
  <c r="V97" i="18"/>
  <c r="EE11" i="6"/>
  <c r="CN11" i="6"/>
  <c r="AL11" i="6"/>
  <c r="ES11" i="6"/>
  <c r="FC17" i="6"/>
  <c r="CT11" i="6"/>
  <c r="KL17" i="6"/>
  <c r="IR17" i="6"/>
  <c r="J17" i="6"/>
  <c r="ER17" i="6"/>
  <c r="IS17" i="6"/>
  <c r="AC17" i="6"/>
  <c r="HI17" i="6"/>
  <c r="KV11" i="6"/>
  <c r="J9" i="3"/>
  <c r="EP11" i="6"/>
  <c r="DT17" i="6"/>
  <c r="U176" i="18"/>
  <c r="HJ17" i="6"/>
  <c r="CP17" i="6"/>
  <c r="HU17" i="6"/>
  <c r="FI17" i="6"/>
  <c r="BO17" i="6"/>
  <c r="N17" i="6"/>
  <c r="GW17" i="6"/>
  <c r="GQ17" i="6"/>
  <c r="M17" i="6"/>
  <c r="BK17" i="6"/>
  <c r="CM17" i="6"/>
  <c r="FE17" i="6"/>
  <c r="HF17" i="6"/>
  <c r="KP17" i="6"/>
  <c r="T17" i="6"/>
  <c r="DB17" i="6"/>
  <c r="EZ11" i="6"/>
  <c r="JT17" i="6"/>
  <c r="FY11" i="6"/>
  <c r="DK17" i="6"/>
  <c r="GZ17" i="6"/>
  <c r="BZ17" i="6"/>
  <c r="R17" i="6"/>
  <c r="GT17" i="6"/>
  <c r="EU17" i="6"/>
  <c r="GP17" i="6"/>
  <c r="JY17" i="6"/>
  <c r="KE17" i="6"/>
  <c r="GB17" i="6"/>
  <c r="J11" i="3"/>
  <c r="HO11" i="6"/>
  <c r="HD11" i="6"/>
  <c r="K11" i="6"/>
  <c r="LA11" i="6"/>
  <c r="HN11" i="6"/>
  <c r="DU5" i="6"/>
  <c r="EV5" i="6"/>
  <c r="CL5" i="6"/>
  <c r="EY5" i="6"/>
  <c r="K5" i="6"/>
  <c r="DQ5" i="6"/>
  <c r="KH5" i="6"/>
  <c r="HG5" i="6"/>
  <c r="HF5" i="6"/>
  <c r="DK5" i="6"/>
  <c r="DV5" i="6"/>
  <c r="CC5" i="6"/>
  <c r="BL11" i="6"/>
  <c r="J11" i="6"/>
  <c r="CZ11" i="6"/>
  <c r="FO11" i="6"/>
  <c r="GB11" i="6"/>
  <c r="FL11" i="6"/>
  <c r="AJ5" i="6"/>
  <c r="KO11" i="6"/>
  <c r="U140" i="18"/>
  <c r="V136" i="18"/>
  <c r="AN5" i="6"/>
  <c r="FR11" i="6"/>
  <c r="KD5" i="6"/>
  <c r="J10" i="3"/>
  <c r="V11" i="6"/>
  <c r="IW11" i="6"/>
  <c r="JX5" i="6"/>
  <c r="ES5" i="6"/>
  <c r="GM5" i="6"/>
  <c r="BO5" i="6"/>
  <c r="FM5" i="6"/>
  <c r="II5" i="6"/>
  <c r="HE5" i="6"/>
  <c r="M5" i="6"/>
  <c r="CA5" i="6"/>
  <c r="FS5" i="6"/>
  <c r="FC5" i="6"/>
  <c r="DS5" i="6"/>
  <c r="GZ5" i="6"/>
  <c r="EW11" i="6"/>
  <c r="JN11" i="6"/>
  <c r="JP5" i="6"/>
  <c r="EF5" i="6"/>
  <c r="HB5" i="6"/>
  <c r="AR5" i="6"/>
  <c r="FN5" i="6"/>
  <c r="J15" i="3"/>
  <c r="U162" i="18"/>
  <c r="U163" i="18"/>
  <c r="BN5" i="6"/>
  <c r="HA5" i="6"/>
  <c r="CH11" i="6"/>
  <c r="HL11" i="6"/>
  <c r="ED11" i="6"/>
  <c r="KM11" i="6"/>
  <c r="JR11" i="6"/>
  <c r="AH11" i="6"/>
  <c r="EX11" i="6"/>
  <c r="JX11" i="6"/>
  <c r="CW11" i="6"/>
  <c r="GG11" i="6"/>
  <c r="FX11" i="6"/>
  <c r="KW11" i="6"/>
  <c r="GX11" i="6"/>
  <c r="X11" i="6"/>
  <c r="JY11" i="6"/>
  <c r="BT11" i="6"/>
  <c r="CM11" i="6"/>
  <c r="U11" i="6"/>
  <c r="KY11" i="6"/>
  <c r="FJ11" i="6"/>
  <c r="JF11" i="6"/>
  <c r="BW11" i="6"/>
  <c r="GC11" i="6"/>
  <c r="EC11" i="6"/>
  <c r="H11" i="6"/>
  <c r="FS11" i="6"/>
  <c r="JK11" i="6"/>
  <c r="FI11" i="6"/>
  <c r="DX11" i="6"/>
  <c r="CE11" i="6"/>
  <c r="FU11" i="6"/>
  <c r="HK11" i="6"/>
  <c r="GH11" i="6"/>
  <c r="AB11" i="6"/>
  <c r="GM11" i="6"/>
  <c r="HM11" i="6"/>
  <c r="CG11" i="6"/>
  <c r="CR11" i="6"/>
  <c r="KC11" i="6"/>
  <c r="GL11" i="6"/>
  <c r="JN5" i="6"/>
  <c r="F11" i="6"/>
  <c r="F12" i="6" s="1"/>
  <c r="F14" i="6" s="1"/>
  <c r="EC5" i="6"/>
  <c r="IC5" i="6"/>
  <c r="FZ5" i="6"/>
  <c r="CV5" i="6"/>
  <c r="JL5" i="6"/>
  <c r="CK5" i="6"/>
  <c r="CP5" i="6"/>
  <c r="KZ5" i="6"/>
  <c r="BR5" i="6"/>
  <c r="AL5" i="6"/>
  <c r="AD5" i="6"/>
  <c r="CS11" i="6"/>
  <c r="BA5" i="6"/>
  <c r="CO5" i="6"/>
  <c r="EX5" i="6"/>
  <c r="FK5" i="6"/>
  <c r="X5" i="6"/>
  <c r="IW5" i="6"/>
  <c r="DC5" i="6"/>
  <c r="Z22" i="18"/>
  <c r="Z23" i="18"/>
  <c r="Z24" i="18"/>
  <c r="EI5" i="6"/>
  <c r="KS5" i="6"/>
  <c r="AV5" i="6"/>
  <c r="CT5" i="6"/>
  <c r="GN5" i="6"/>
  <c r="FI5" i="6"/>
  <c r="EB5" i="6"/>
  <c r="JK5" i="6"/>
  <c r="CW5" i="6"/>
  <c r="ID5" i="6"/>
  <c r="GB5" i="6"/>
  <c r="AK5" i="6"/>
  <c r="DF5" i="6"/>
  <c r="JM5" i="6"/>
  <c r="BX5" i="6"/>
  <c r="Q5" i="6"/>
  <c r="DM5" i="6"/>
  <c r="IY5" i="6"/>
  <c r="AP5" i="6"/>
  <c r="DW5" i="6"/>
  <c r="FE5" i="6"/>
  <c r="KU5" i="6"/>
  <c r="BP5" i="6"/>
  <c r="JA5" i="6"/>
  <c r="IV5" i="6"/>
  <c r="KM5" i="6"/>
  <c r="EO5" i="6"/>
  <c r="BB5" i="6"/>
  <c r="G5" i="6"/>
  <c r="D5" i="6"/>
  <c r="LD5" i="6"/>
  <c r="FX5" i="6"/>
  <c r="AY5" i="6"/>
  <c r="AO5" i="6"/>
  <c r="HX5" i="6"/>
  <c r="KE5" i="6"/>
  <c r="EN5" i="6"/>
  <c r="AM5" i="6"/>
  <c r="CG5" i="6"/>
  <c r="JZ5" i="6"/>
  <c r="HT5" i="6"/>
  <c r="V5" i="6"/>
  <c r="EK5" i="6"/>
  <c r="DE5" i="6"/>
  <c r="DN5" i="6"/>
  <c r="N5" i="6"/>
  <c r="FJ5" i="6"/>
  <c r="IT5" i="6"/>
  <c r="BY5" i="6"/>
  <c r="EW5" i="6"/>
  <c r="FU5" i="6"/>
  <c r="CM5" i="6"/>
  <c r="KY5" i="6"/>
  <c r="DO5" i="6"/>
  <c r="P5" i="6"/>
  <c r="KQ5" i="6"/>
  <c r="IF5" i="6"/>
  <c r="IE5" i="6"/>
  <c r="KA5" i="6"/>
  <c r="EU5" i="6"/>
  <c r="HL5" i="6"/>
  <c r="AS5" i="6"/>
  <c r="HN5" i="6"/>
  <c r="HZ5" i="6"/>
  <c r="IJ5" i="6"/>
  <c r="JD5" i="6"/>
  <c r="BZ5" i="6"/>
  <c r="JE5" i="6"/>
  <c r="BG5" i="6"/>
  <c r="HQ5" i="6"/>
  <c r="CX5" i="6"/>
  <c r="IX5" i="6"/>
  <c r="O5" i="6"/>
  <c r="GQ5" i="6"/>
  <c r="EG5" i="6"/>
  <c r="GD5" i="6"/>
  <c r="GF5" i="6"/>
  <c r="LA5" i="6"/>
  <c r="KL5" i="6"/>
  <c r="AE5" i="6"/>
  <c r="CE5" i="6"/>
  <c r="DB5" i="6"/>
  <c r="DH5" i="6"/>
  <c r="BK5" i="6"/>
  <c r="CQ5" i="6"/>
  <c r="FA5" i="6"/>
  <c r="EA5" i="6"/>
  <c r="AA5" i="6"/>
  <c r="AZ5" i="6"/>
  <c r="DY5" i="6"/>
  <c r="AF5" i="6"/>
  <c r="BV5" i="6"/>
  <c r="GX5" i="6"/>
  <c r="BH5" i="6"/>
  <c r="HY11" i="6"/>
  <c r="GT11" i="6"/>
  <c r="JQ11" i="6"/>
  <c r="AH5" i="6"/>
  <c r="ER5" i="6"/>
  <c r="HG11" i="6"/>
  <c r="JC5" i="6"/>
  <c r="EK11" i="6"/>
  <c r="KQ11" i="6"/>
  <c r="BN11" i="6"/>
  <c r="CI5" i="6"/>
  <c r="GA5" i="6"/>
  <c r="CY5" i="6"/>
  <c r="BU5" i="6"/>
  <c r="AX5" i="6"/>
  <c r="U95" i="18"/>
  <c r="BC17" i="6"/>
  <c r="BL5" i="6"/>
  <c r="JJ5" i="6"/>
  <c r="GU5" i="6"/>
  <c r="CD5" i="6"/>
  <c r="AC5" i="6"/>
  <c r="HK5" i="6"/>
  <c r="W5" i="6"/>
  <c r="CU5" i="6"/>
  <c r="JY5" i="6"/>
  <c r="IQ5" i="6"/>
  <c r="IP5" i="6"/>
  <c r="KV5" i="6"/>
  <c r="HV5" i="6"/>
  <c r="GA11" i="6"/>
  <c r="CK11" i="6"/>
  <c r="LC11" i="6"/>
  <c r="S5" i="6"/>
  <c r="DG5" i="6"/>
  <c r="GR5" i="6"/>
  <c r="IH11" i="6"/>
  <c r="HU5" i="6"/>
  <c r="GG5" i="6"/>
  <c r="JO5" i="6"/>
  <c r="HC5" i="6"/>
  <c r="GI5" i="6"/>
  <c r="IB5" i="6"/>
  <c r="FP5" i="6"/>
  <c r="U5" i="6"/>
  <c r="J19" i="3"/>
  <c r="BQ17" i="6"/>
  <c r="IT17" i="6"/>
  <c r="EW17" i="6"/>
  <c r="DC17" i="6"/>
  <c r="EK17" i="6"/>
  <c r="V17" i="6"/>
  <c r="GU17" i="6"/>
  <c r="U17" i="6"/>
  <c r="BJ17" i="6"/>
  <c r="IN17" i="6"/>
  <c r="ID17" i="6"/>
  <c r="P17" i="6"/>
  <c r="ET17" i="6"/>
  <c r="HW17" i="6"/>
  <c r="CB17" i="6"/>
  <c r="KM17" i="6"/>
  <c r="BH17" i="6"/>
  <c r="DH17" i="6"/>
  <c r="DO17" i="6"/>
  <c r="LA17" i="6"/>
  <c r="BT17" i="6"/>
  <c r="CU17" i="6"/>
  <c r="JQ17" i="6"/>
  <c r="IH17" i="6"/>
  <c r="IQ17" i="6"/>
  <c r="BG17" i="6"/>
  <c r="R4" i="5"/>
  <c r="BI17" i="6"/>
  <c r="FY17" i="6"/>
  <c r="JG17" i="6"/>
  <c r="BA17" i="6"/>
  <c r="IA17" i="6"/>
  <c r="IZ17" i="6"/>
  <c r="JF17" i="6"/>
  <c r="BW17" i="6"/>
  <c r="CD17" i="6"/>
  <c r="U4" i="5"/>
  <c r="HX17" i="6"/>
  <c r="EM17" i="6"/>
  <c r="EA17" i="6"/>
  <c r="DS17" i="6"/>
  <c r="IM17" i="6"/>
  <c r="AU17" i="6"/>
  <c r="JN17" i="6"/>
  <c r="CZ17" i="6"/>
  <c r="GR17" i="6"/>
  <c r="BD17" i="6"/>
  <c r="IF17" i="6"/>
  <c r="Q17" i="6"/>
  <c r="P4" i="5"/>
  <c r="JE17" i="6"/>
  <c r="IE17" i="6"/>
  <c r="HE17" i="6"/>
  <c r="CR17" i="6"/>
  <c r="AG17" i="6"/>
  <c r="GF17" i="6"/>
  <c r="HB17" i="6"/>
  <c r="FG17" i="6"/>
  <c r="AN17" i="6"/>
  <c r="IU17" i="6"/>
  <c r="CY17" i="6"/>
  <c r="AB17" i="6"/>
  <c r="EX17" i="6"/>
  <c r="AM17" i="6"/>
  <c r="EY17" i="6"/>
  <c r="FP17" i="6"/>
  <c r="CT17" i="6"/>
  <c r="JR17" i="6"/>
  <c r="FJ17" i="6"/>
  <c r="EL17" i="6"/>
  <c r="CS17" i="6"/>
  <c r="GD17" i="6"/>
  <c r="CJ17" i="6"/>
  <c r="AV17" i="6"/>
  <c r="I17" i="6"/>
  <c r="CF17" i="6"/>
  <c r="FF17" i="6"/>
  <c r="DN17" i="6"/>
  <c r="HC17" i="6"/>
  <c r="FZ17" i="6"/>
  <c r="KI17" i="6"/>
  <c r="G17" i="6"/>
  <c r="BX17" i="6"/>
  <c r="FT17" i="6"/>
  <c r="AP17" i="6"/>
  <c r="IK17" i="6"/>
  <c r="EV17" i="6"/>
  <c r="BR17" i="6"/>
  <c r="GX17" i="6"/>
  <c r="KZ17" i="6"/>
  <c r="S4" i="5"/>
  <c r="AI17" i="6"/>
  <c r="GI17" i="6"/>
  <c r="W17" i="6"/>
  <c r="FL17" i="6"/>
  <c r="FN17" i="6"/>
  <c r="JJ17" i="6"/>
  <c r="IB17" i="6"/>
  <c r="KH17" i="6"/>
  <c r="EJ17" i="6"/>
  <c r="HT17" i="6"/>
  <c r="KT17" i="6"/>
  <c r="KB17" i="6"/>
  <c r="HN17" i="6"/>
  <c r="FR17" i="6"/>
  <c r="U87" i="18"/>
  <c r="V87" i="18"/>
  <c r="AN11" i="6"/>
  <c r="IV11" i="6"/>
  <c r="EA11" i="6"/>
  <c r="BV11" i="6"/>
  <c r="GF11" i="6"/>
  <c r="AZ11" i="6"/>
  <c r="BQ11" i="6"/>
  <c r="DR11" i="6"/>
  <c r="FM11" i="6"/>
  <c r="P11" i="6"/>
  <c r="KB11" i="6"/>
  <c r="HQ11" i="6"/>
  <c r="EB11" i="6"/>
  <c r="DL11" i="6"/>
  <c r="LB11" i="6"/>
  <c r="BP11" i="6"/>
  <c r="CI11" i="6"/>
  <c r="JD11" i="6"/>
  <c r="IX11" i="6"/>
  <c r="DB11" i="6"/>
  <c r="CJ11" i="6"/>
  <c r="CQ11" i="6"/>
  <c r="LD11" i="6"/>
  <c r="BJ11" i="6"/>
  <c r="KG11" i="6"/>
  <c r="DS11" i="6"/>
  <c r="BA11" i="6"/>
  <c r="FT11" i="6"/>
  <c r="DK11" i="6"/>
  <c r="CO11" i="6"/>
  <c r="HA11" i="6"/>
  <c r="EL11" i="6"/>
  <c r="DQ11" i="6"/>
  <c r="DP11" i="6"/>
  <c r="HT11" i="6"/>
  <c r="BC11" i="6"/>
  <c r="JJ11" i="6"/>
  <c r="IM11" i="6"/>
  <c r="KS11" i="6"/>
  <c r="IN11" i="6"/>
  <c r="GK11" i="6"/>
  <c r="AX11" i="6"/>
  <c r="GU11" i="6"/>
  <c r="HF11" i="6"/>
  <c r="JP11" i="6"/>
  <c r="DA11" i="6"/>
  <c r="GO11" i="6"/>
  <c r="JV11" i="6"/>
  <c r="IK11" i="6"/>
  <c r="JA11" i="6"/>
  <c r="JM11" i="6"/>
  <c r="HI11" i="6"/>
  <c r="GP11" i="6"/>
  <c r="GY11" i="6"/>
  <c r="IB11" i="6"/>
  <c r="AR11" i="6"/>
  <c r="DH11" i="6"/>
  <c r="JB11" i="6"/>
  <c r="DN11" i="6"/>
  <c r="JW11" i="6"/>
  <c r="GV11" i="6"/>
  <c r="HC11" i="6"/>
  <c r="KU11" i="6"/>
  <c r="JE11" i="6"/>
  <c r="JS11" i="6"/>
  <c r="HR11" i="6"/>
  <c r="IY11" i="6"/>
  <c r="HP11" i="6"/>
  <c r="EO11" i="6"/>
  <c r="DC11" i="6"/>
  <c r="FE11" i="6"/>
  <c r="Z11" i="6"/>
  <c r="S11" i="6"/>
  <c r="JU11" i="6"/>
  <c r="BZ11" i="6"/>
  <c r="FD11" i="6"/>
  <c r="AK11" i="6"/>
  <c r="FA11" i="6"/>
  <c r="KX11" i="6"/>
  <c r="FZ11" i="6"/>
  <c r="KZ11" i="6"/>
  <c r="GD11" i="6"/>
  <c r="GZ11" i="6"/>
  <c r="IO11" i="6"/>
  <c r="KK11" i="6"/>
  <c r="AI11" i="6"/>
  <c r="HW11" i="6"/>
  <c r="FB11" i="6"/>
  <c r="AP11" i="6"/>
  <c r="GJ11" i="6"/>
  <c r="AU11" i="6"/>
  <c r="EQ11" i="6"/>
  <c r="IA11" i="6"/>
  <c r="T11" i="6"/>
  <c r="CD11" i="6"/>
  <c r="BH11" i="6"/>
  <c r="BY11" i="6"/>
  <c r="CU11" i="6"/>
  <c r="AE11" i="6"/>
  <c r="DE11" i="6"/>
  <c r="KE11" i="6"/>
  <c r="KL11" i="6"/>
  <c r="FV11" i="6"/>
  <c r="DM11" i="6"/>
  <c r="O11" i="6"/>
  <c r="HX11" i="6"/>
  <c r="M11" i="6"/>
  <c r="BE11" i="6"/>
  <c r="HV11" i="6"/>
  <c r="BR11" i="6"/>
  <c r="BS11" i="6"/>
  <c r="JO11" i="6"/>
  <c r="GQ11" i="6"/>
  <c r="JL11" i="6"/>
  <c r="IU11" i="6"/>
  <c r="DO11" i="6"/>
  <c r="CY11" i="6"/>
  <c r="BM11" i="6"/>
  <c r="FC11" i="6"/>
  <c r="AG11" i="6"/>
  <c r="AY11" i="6"/>
  <c r="KJ11" i="6"/>
  <c r="AC11" i="6"/>
  <c r="IC11" i="6"/>
  <c r="CC11" i="6"/>
  <c r="G11" i="6"/>
  <c r="BO11" i="6"/>
  <c r="IZ11" i="6"/>
  <c r="DI11" i="6"/>
  <c r="AV11" i="6"/>
  <c r="JT11" i="6"/>
  <c r="JH11" i="6"/>
  <c r="DF11" i="6"/>
  <c r="CA11" i="6"/>
  <c r="CV11" i="6"/>
  <c r="EN11" i="6"/>
  <c r="BI11" i="6"/>
  <c r="U63" i="18"/>
  <c r="U61" i="18"/>
  <c r="H14" i="3"/>
  <c r="U62" i="18"/>
  <c r="U59" i="18"/>
  <c r="U76" i="18"/>
  <c r="U64" i="18"/>
  <c r="X2" i="18"/>
  <c r="U75" i="18"/>
  <c r="U74" i="18"/>
  <c r="F17" i="3"/>
  <c r="I2" i="18"/>
  <c r="V152" i="18"/>
  <c r="V165" i="18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G12" i="6"/>
  <c r="H12" i="6" s="1"/>
  <c r="J17" i="3"/>
  <c r="F5" i="3"/>
  <c r="D5" i="5"/>
  <c r="F25" i="3"/>
  <c r="V59" i="18"/>
  <c r="J14" i="3"/>
  <c r="J5" i="3"/>
  <c r="H5" i="3"/>
  <c r="F5" i="5"/>
  <c r="C11" i="6"/>
  <c r="F6" i="5"/>
  <c r="F7" i="5"/>
  <c r="G14" i="6"/>
  <c r="D6" i="5"/>
  <c r="D7" i="5"/>
  <c r="C5" i="6"/>
  <c r="H25" i="3"/>
  <c r="J46" i="2" l="1"/>
  <c r="H18" i="5"/>
  <c r="N51" i="2"/>
  <c r="N46" i="2" s="1"/>
  <c r="I12" i="6"/>
  <c r="H14" i="6"/>
  <c r="HU11" i="6"/>
  <c r="HS11" i="6"/>
  <c r="GW11" i="6"/>
  <c r="N39" i="2"/>
  <c r="N21" i="2"/>
  <c r="N11" i="2"/>
  <c r="N35" i="2"/>
  <c r="G18" i="6"/>
  <c r="D17" i="6"/>
  <c r="CO3" i="6" l="1"/>
  <c r="AE3" i="6"/>
  <c r="BF3" i="6"/>
  <c r="FW3" i="6"/>
  <c r="KZ3" i="6"/>
  <c r="DP3" i="6"/>
  <c r="HT3" i="6"/>
  <c r="ED3" i="6"/>
  <c r="BD3" i="6"/>
  <c r="JL3" i="6"/>
  <c r="IO3" i="6"/>
  <c r="AS3" i="6"/>
  <c r="IZ3" i="6"/>
  <c r="GU3" i="6"/>
  <c r="CU3" i="6"/>
  <c r="EP3" i="6"/>
  <c r="HY3" i="6"/>
  <c r="DJ3" i="6"/>
  <c r="EU3" i="6"/>
  <c r="T3" i="6"/>
  <c r="EM3" i="6"/>
  <c r="BM3" i="6"/>
  <c r="JZ3" i="6"/>
  <c r="JQ3" i="6"/>
  <c r="N3" i="6"/>
  <c r="IU3" i="6"/>
  <c r="GP3" i="6"/>
  <c r="EI3" i="6"/>
  <c r="FJ3" i="6"/>
  <c r="AK3" i="6"/>
  <c r="BT3" i="6"/>
  <c r="AB3" i="6"/>
  <c r="P3" i="6"/>
  <c r="CA3" i="6"/>
  <c r="S3" i="6"/>
  <c r="KA3" i="6"/>
  <c r="BQ3" i="6"/>
  <c r="KK3" i="6"/>
  <c r="DU3" i="6"/>
  <c r="GR3" i="6"/>
  <c r="EA3" i="6"/>
  <c r="BR3" i="6"/>
  <c r="AQ3" i="6"/>
  <c r="KY3" i="6"/>
  <c r="HP3" i="6"/>
  <c r="CR3" i="6"/>
  <c r="GL3" i="6"/>
  <c r="GS3" i="6"/>
  <c r="JN3" i="6"/>
  <c r="KU3" i="6"/>
  <c r="LA3" i="6"/>
  <c r="W3" i="6"/>
  <c r="JR3" i="6"/>
  <c r="EQ3" i="6"/>
  <c r="IS3" i="6"/>
  <c r="EJ3" i="6"/>
  <c r="DM3" i="6"/>
  <c r="AZ3" i="6"/>
  <c r="KJ3" i="6"/>
  <c r="HK3" i="6"/>
  <c r="CM3" i="6"/>
  <c r="EX3" i="6"/>
  <c r="JH3" i="6"/>
  <c r="L3" i="6"/>
  <c r="BA3" i="6"/>
  <c r="M3" i="6"/>
  <c r="BU3" i="6"/>
  <c r="AG3" i="6"/>
  <c r="BO3" i="6"/>
  <c r="DX3" i="6"/>
  <c r="FE3" i="6"/>
  <c r="GH3" i="6"/>
  <c r="EN3" i="6"/>
  <c r="GI3" i="6"/>
  <c r="AH3" i="6"/>
  <c r="GE3" i="6"/>
  <c r="EF3" i="6"/>
  <c r="BW3" i="6"/>
  <c r="HA3" i="6"/>
  <c r="EB3" i="6"/>
  <c r="AW3" i="6"/>
  <c r="ER3" i="6"/>
  <c r="FS3" i="6"/>
  <c r="FY3" i="6"/>
  <c r="KH3" i="6"/>
  <c r="F3" i="6"/>
  <c r="CV3" i="6"/>
  <c r="GV3" i="6"/>
  <c r="BG3" i="6"/>
  <c r="HZ3" i="6"/>
  <c r="ET3" i="6"/>
  <c r="CB3" i="6"/>
  <c r="FL3" i="6"/>
  <c r="DB3" i="6"/>
  <c r="AF3" i="6"/>
  <c r="AI3" i="6"/>
  <c r="AD3" i="6"/>
  <c r="J3" i="6"/>
  <c r="DK3" i="6"/>
  <c r="IH3" i="6"/>
  <c r="JV3" i="6"/>
  <c r="BV3" i="6"/>
  <c r="HR3" i="6"/>
  <c r="DH3" i="6"/>
  <c r="KI3" i="6"/>
  <c r="FH3" i="6"/>
  <c r="DW3" i="6"/>
  <c r="BC3" i="6"/>
  <c r="CH3" i="6"/>
  <c r="FU3" i="6"/>
  <c r="KO3" i="6"/>
  <c r="JY3" i="6"/>
  <c r="GF3" i="6"/>
  <c r="CX3" i="6"/>
  <c r="DY3" i="6"/>
  <c r="EE3" i="6"/>
  <c r="FT3" i="6"/>
  <c r="JI3" i="6"/>
  <c r="KP3" i="6"/>
  <c r="KL3" i="6"/>
  <c r="KQ3" i="6"/>
  <c r="IN3" i="6"/>
  <c r="EZ3" i="6"/>
  <c r="KR3" i="6"/>
  <c r="GA3" i="6"/>
  <c r="FR3" i="6"/>
  <c r="AX3" i="6"/>
  <c r="K3" i="6"/>
  <c r="FP3" i="6"/>
  <c r="DS3" i="6"/>
  <c r="II3" i="6"/>
  <c r="GB3" i="6"/>
  <c r="IA3" i="6"/>
  <c r="KT3" i="6"/>
  <c r="FA3" i="6"/>
  <c r="AV3" i="6"/>
  <c r="U3" i="6"/>
  <c r="EK3" i="6"/>
  <c r="HO3" i="6"/>
  <c r="IV3" i="6"/>
  <c r="JM3" i="6"/>
  <c r="IY3" i="6"/>
  <c r="JS3" i="6"/>
  <c r="FV3" i="6"/>
  <c r="AM3" i="6"/>
  <c r="JC3" i="6"/>
  <c r="HH3" i="6"/>
  <c r="Y3" i="6"/>
  <c r="LC3" i="6"/>
  <c r="FK3" i="6"/>
  <c r="IC3" i="6"/>
  <c r="JW3" i="6"/>
  <c r="HG3" i="6"/>
  <c r="CT3" i="6"/>
  <c r="IK3" i="6"/>
  <c r="BJ3" i="6"/>
  <c r="LB3" i="6"/>
  <c r="EO3" i="6"/>
  <c r="IB3" i="6"/>
  <c r="JJ3" i="6"/>
  <c r="DE3" i="6"/>
  <c r="ES3" i="6"/>
  <c r="HI3" i="6"/>
  <c r="JP3" i="6"/>
  <c r="KC3" i="6"/>
  <c r="IT3" i="6"/>
  <c r="HM3" i="6"/>
  <c r="KF3" i="6"/>
  <c r="HN3" i="6"/>
  <c r="AU3" i="6"/>
  <c r="KN3" i="6"/>
  <c r="HV3" i="6"/>
  <c r="AC3" i="6"/>
  <c r="KS3" i="6"/>
  <c r="FF3" i="6"/>
  <c r="KW3" i="6"/>
  <c r="CD3" i="6"/>
  <c r="DZ3" i="6"/>
  <c r="HW3" i="6"/>
  <c r="IQ3" i="6"/>
  <c r="JD3" i="6"/>
  <c r="R3" i="6"/>
  <c r="JX3" i="6"/>
  <c r="Z3" i="6"/>
  <c r="IW3" i="6"/>
  <c r="FC3" i="6"/>
  <c r="CK3" i="6"/>
  <c r="GQ3" i="6"/>
  <c r="EW3" i="6"/>
  <c r="JE3" i="6"/>
  <c r="AR3" i="6"/>
  <c r="DD3" i="6"/>
  <c r="CZ3" i="6"/>
  <c r="GM3" i="6"/>
  <c r="KX3" i="6"/>
  <c r="GO3" i="6"/>
  <c r="EG3" i="6"/>
  <c r="CG3" i="6"/>
  <c r="BK3" i="6"/>
  <c r="DF3" i="6"/>
  <c r="IG3" i="6"/>
  <c r="IL3" i="6"/>
  <c r="AO3" i="6"/>
  <c r="JF3" i="6"/>
  <c r="GJ3" i="6"/>
  <c r="FG3" i="6"/>
  <c r="EL3" i="6"/>
  <c r="HF3" i="6"/>
  <c r="AL3" i="6"/>
  <c r="CE3" i="6"/>
  <c r="HJ3" i="6"/>
  <c r="ID3" i="6"/>
  <c r="JK3" i="6"/>
  <c r="GN3" i="6"/>
  <c r="BP3" i="6"/>
  <c r="GW3" i="6"/>
  <c r="FB3" i="6"/>
  <c r="DG3" i="6"/>
  <c r="BE3" i="6"/>
  <c r="AA3" i="6"/>
  <c r="I3" i="6"/>
  <c r="AY3" i="6"/>
  <c r="DO3" i="6"/>
  <c r="DT3" i="6"/>
  <c r="CL3" i="6"/>
  <c r="X3" i="6"/>
  <c r="IE3" i="6"/>
  <c r="HC3" i="6"/>
  <c r="CN3" i="6"/>
  <c r="AJ3" i="6"/>
  <c r="JT3" i="6"/>
  <c r="G3" i="6"/>
  <c r="Q3" i="6"/>
  <c r="BZ3" i="6"/>
  <c r="DA3" i="6"/>
  <c r="GC3" i="6"/>
  <c r="GX3" i="6"/>
  <c r="IR3" i="6"/>
  <c r="JA3" i="6"/>
  <c r="IM3" i="6"/>
  <c r="DN3" i="6"/>
  <c r="DQ3" i="6"/>
  <c r="AP3" i="6"/>
  <c r="IX3" i="6"/>
  <c r="HQ3" i="6"/>
  <c r="BS3" i="6"/>
  <c r="KD3" i="6"/>
  <c r="HU3" i="6"/>
  <c r="FD3" i="6"/>
  <c r="IJ3" i="6"/>
  <c r="IP3" i="6"/>
  <c r="AT3" i="6"/>
  <c r="IF3" i="6"/>
  <c r="KM3" i="6"/>
  <c r="HX3" i="6"/>
  <c r="CF3" i="6"/>
  <c r="GK3" i="6"/>
  <c r="FO3" i="6"/>
  <c r="KV3" i="6"/>
  <c r="FX3" i="6"/>
  <c r="CQ3" i="6"/>
  <c r="DC3" i="6"/>
  <c r="CW3" i="6"/>
  <c r="BX3" i="6"/>
  <c r="CJ3" i="6"/>
  <c r="FQ3" i="6"/>
  <c r="H3" i="6"/>
  <c r="AN3" i="6"/>
  <c r="HE3" i="6"/>
  <c r="HB3" i="6"/>
  <c r="JG3" i="6"/>
  <c r="FZ3" i="6"/>
  <c r="O3" i="6"/>
  <c r="DL3" i="6"/>
  <c r="CP3" i="6"/>
  <c r="BY3" i="6"/>
  <c r="LD3" i="6"/>
  <c r="FI3" i="6"/>
  <c r="CY3" i="6"/>
  <c r="EC3" i="6"/>
  <c r="HD3" i="6"/>
  <c r="JB3" i="6"/>
  <c r="HL3" i="6"/>
  <c r="DV3" i="6"/>
  <c r="BB3" i="6"/>
  <c r="CC3" i="6"/>
  <c r="BN3" i="6"/>
  <c r="FM3" i="6"/>
  <c r="CS3" i="6"/>
  <c r="V3" i="6"/>
  <c r="EV3" i="6"/>
  <c r="KB3" i="6"/>
  <c r="JU3" i="6"/>
  <c r="JO3" i="6"/>
  <c r="BH3" i="6"/>
  <c r="GD3" i="6"/>
  <c r="EH3" i="6"/>
  <c r="BI3" i="6"/>
  <c r="GZ3" i="6"/>
  <c r="EY3" i="6"/>
  <c r="HS3" i="6"/>
  <c r="DI3" i="6"/>
  <c r="DR3" i="6"/>
  <c r="BL3" i="6"/>
  <c r="GG3" i="6"/>
  <c r="KE3" i="6"/>
  <c r="CI3" i="6"/>
  <c r="GT3" i="6"/>
  <c r="GY3" i="6"/>
  <c r="KG3" i="6"/>
  <c r="FN3" i="6"/>
  <c r="I14" i="6"/>
  <c r="J12" i="6"/>
  <c r="D11" i="6"/>
  <c r="N9" i="2"/>
  <c r="C17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D3" i="6" l="1"/>
  <c r="F4" i="6"/>
  <c r="K12" i="6"/>
  <c r="J14" i="6"/>
  <c r="G4" i="6" l="1"/>
  <c r="F7" i="6"/>
  <c r="L12" i="6"/>
  <c r="K14" i="6"/>
  <c r="G7" i="6" l="1"/>
  <c r="H4" i="6"/>
  <c r="L14" i="6"/>
  <c r="M12" i="6"/>
  <c r="I4" i="6" l="1"/>
  <c r="H7" i="6"/>
  <c r="M14" i="6"/>
  <c r="N12" i="6"/>
  <c r="J4" i="6" l="1"/>
  <c r="I7" i="6"/>
  <c r="O12" i="6"/>
  <c r="N14" i="6"/>
  <c r="J7" i="6" l="1"/>
  <c r="K4" i="6"/>
  <c r="P12" i="6"/>
  <c r="O14" i="6"/>
  <c r="K7" i="6" l="1"/>
  <c r="L4" i="6"/>
  <c r="P14" i="6"/>
  <c r="Q12" i="6"/>
  <c r="L7" i="6" l="1"/>
  <c r="M4" i="6"/>
  <c r="Q14" i="6"/>
  <c r="R12" i="6"/>
  <c r="M7" i="6" l="1"/>
  <c r="N4" i="6"/>
  <c r="R14" i="6"/>
  <c r="S12" i="6"/>
  <c r="O4" i="6" l="1"/>
  <c r="N7" i="6"/>
  <c r="S14" i="6"/>
  <c r="T12" i="6"/>
  <c r="P4" i="6" l="1"/>
  <c r="O7" i="6"/>
  <c r="U12" i="6"/>
  <c r="T14" i="6"/>
  <c r="Q4" i="6" l="1"/>
  <c r="P7" i="6"/>
  <c r="V12" i="6"/>
  <c r="U14" i="6"/>
  <c r="Q7" i="6" l="1"/>
  <c r="R4" i="6"/>
  <c r="W12" i="6"/>
  <c r="V14" i="6"/>
  <c r="R7" i="6" l="1"/>
  <c r="S4" i="6"/>
  <c r="X12" i="6"/>
  <c r="W14" i="6"/>
  <c r="S7" i="6" l="1"/>
  <c r="T4" i="6"/>
  <c r="X14" i="6"/>
  <c r="Y12" i="6"/>
  <c r="U4" i="6" l="1"/>
  <c r="T7" i="6"/>
  <c r="Z12" i="6"/>
  <c r="Y14" i="6"/>
  <c r="U7" i="6" l="1"/>
  <c r="V4" i="6"/>
  <c r="Z14" i="6"/>
  <c r="AA12" i="6"/>
  <c r="W4" i="6" l="1"/>
  <c r="V7" i="6"/>
  <c r="AB12" i="6"/>
  <c r="AA14" i="6"/>
  <c r="X4" i="6" l="1"/>
  <c r="W7" i="6"/>
  <c r="AB14" i="6"/>
  <c r="AC12" i="6"/>
  <c r="X7" i="6" l="1"/>
  <c r="Y4" i="6"/>
  <c r="AD12" i="6"/>
  <c r="AC14" i="6"/>
  <c r="Y7" i="6" l="1"/>
  <c r="Z4" i="6"/>
  <c r="AE12" i="6"/>
  <c r="AD14" i="6"/>
  <c r="Z7" i="6" l="1"/>
  <c r="AA4" i="6"/>
  <c r="AF12" i="6"/>
  <c r="AE14" i="6"/>
  <c r="AA7" i="6" l="1"/>
  <c r="AB4" i="6"/>
  <c r="AF14" i="6"/>
  <c r="AG12" i="6"/>
  <c r="AC4" i="6" l="1"/>
  <c r="AB7" i="6"/>
  <c r="AH12" i="6"/>
  <c r="AG14" i="6"/>
  <c r="AC7" i="6" l="1"/>
  <c r="AD4" i="6"/>
  <c r="AH14" i="6"/>
  <c r="AI12" i="6"/>
  <c r="AE4" i="6" l="1"/>
  <c r="AD7" i="6"/>
  <c r="AJ12" i="6"/>
  <c r="AI14" i="6"/>
  <c r="AE7" i="6" l="1"/>
  <c r="AF4" i="6"/>
  <c r="AK12" i="6"/>
  <c r="AJ14" i="6"/>
  <c r="AF7" i="6" l="1"/>
  <c r="AG4" i="6"/>
  <c r="AL12" i="6"/>
  <c r="AK14" i="6"/>
  <c r="AG7" i="6" l="1"/>
  <c r="AH4" i="6"/>
  <c r="AM12" i="6"/>
  <c r="AL14" i="6"/>
  <c r="AI4" i="6" l="1"/>
  <c r="AH7" i="6"/>
  <c r="AM14" i="6"/>
  <c r="AN12" i="6"/>
  <c r="AJ4" i="6" l="1"/>
  <c r="AI7" i="6"/>
  <c r="AO12" i="6"/>
  <c r="AN14" i="6"/>
  <c r="AJ7" i="6" l="1"/>
  <c r="AK4" i="6"/>
  <c r="AO14" i="6"/>
  <c r="AP12" i="6"/>
  <c r="AK7" i="6" l="1"/>
  <c r="AL4" i="6"/>
  <c r="AP14" i="6"/>
  <c r="AQ12" i="6"/>
  <c r="AL7" i="6" l="1"/>
  <c r="AM4" i="6"/>
  <c r="AR12" i="6"/>
  <c r="AQ14" i="6"/>
  <c r="AN4" i="6" l="1"/>
  <c r="AM7" i="6"/>
  <c r="AS12" i="6"/>
  <c r="AR14" i="6"/>
  <c r="AO4" i="6" l="1"/>
  <c r="AN7" i="6"/>
  <c r="AS14" i="6"/>
  <c r="AT12" i="6"/>
  <c r="AP4" i="6" l="1"/>
  <c r="AO7" i="6"/>
  <c r="AU12" i="6"/>
  <c r="AT14" i="6"/>
  <c r="AQ4" i="6" l="1"/>
  <c r="AP7" i="6"/>
  <c r="AU14" i="6"/>
  <c r="AV12" i="6"/>
  <c r="AQ7" i="6" l="1"/>
  <c r="AR4" i="6"/>
  <c r="AV14" i="6"/>
  <c r="AW12" i="6"/>
  <c r="AR7" i="6" l="1"/>
  <c r="AS4" i="6"/>
  <c r="AX12" i="6"/>
  <c r="AW14" i="6"/>
  <c r="AT4" i="6" l="1"/>
  <c r="AS7" i="6"/>
  <c r="AX14" i="6"/>
  <c r="AY12" i="6"/>
  <c r="AU4" i="6" l="1"/>
  <c r="AT7" i="6"/>
  <c r="AZ12" i="6"/>
  <c r="AY14" i="6"/>
  <c r="AU7" i="6" l="1"/>
  <c r="AV4" i="6"/>
  <c r="BA12" i="6"/>
  <c r="AZ14" i="6"/>
  <c r="AV7" i="6" l="1"/>
  <c r="AW4" i="6"/>
  <c r="BA14" i="6"/>
  <c r="BB12" i="6"/>
  <c r="AW7" i="6" l="1"/>
  <c r="AX4" i="6"/>
  <c r="BC12" i="6"/>
  <c r="BB14" i="6"/>
  <c r="AY4" i="6" l="1"/>
  <c r="AX7" i="6"/>
  <c r="BC14" i="6"/>
  <c r="BD12" i="6"/>
  <c r="AY7" i="6" l="1"/>
  <c r="AZ4" i="6"/>
  <c r="BD14" i="6"/>
  <c r="BE12" i="6"/>
  <c r="AZ7" i="6" l="1"/>
  <c r="BA4" i="6"/>
  <c r="BE14" i="6"/>
  <c r="BF12" i="6"/>
  <c r="BA7" i="6" l="1"/>
  <c r="BB4" i="6"/>
  <c r="BG12" i="6"/>
  <c r="BF14" i="6"/>
  <c r="BC4" i="6" l="1"/>
  <c r="BB7" i="6"/>
  <c r="BG14" i="6"/>
  <c r="BH12" i="6"/>
  <c r="BC7" i="6" l="1"/>
  <c r="BD4" i="6"/>
  <c r="BH14" i="6"/>
  <c r="BI12" i="6"/>
  <c r="BE4" i="6" l="1"/>
  <c r="BD7" i="6"/>
  <c r="BJ12" i="6"/>
  <c r="BI14" i="6"/>
  <c r="BE7" i="6" l="1"/>
  <c r="BF4" i="6"/>
  <c r="BK12" i="6"/>
  <c r="BJ14" i="6"/>
  <c r="BG4" i="6" l="1"/>
  <c r="BF7" i="6"/>
  <c r="BL12" i="6"/>
  <c r="BK14" i="6"/>
  <c r="BG7" i="6" l="1"/>
  <c r="BH4" i="6"/>
  <c r="BM12" i="6"/>
  <c r="BL14" i="6"/>
  <c r="BI4" i="6" l="1"/>
  <c r="BH7" i="6"/>
  <c r="BM14" i="6"/>
  <c r="BN12" i="6"/>
  <c r="BJ4" i="6" l="1"/>
  <c r="BI7" i="6"/>
  <c r="BO12" i="6"/>
  <c r="BN14" i="6"/>
  <c r="BJ7" i="6" l="1"/>
  <c r="BK4" i="6"/>
  <c r="BO14" i="6"/>
  <c r="BP12" i="6"/>
  <c r="BL4" i="6" l="1"/>
  <c r="BK7" i="6"/>
  <c r="BP14" i="6"/>
  <c r="BQ12" i="6"/>
  <c r="BL7" i="6" l="1"/>
  <c r="BM4" i="6"/>
  <c r="BR12" i="6"/>
  <c r="BQ14" i="6"/>
  <c r="BN4" i="6" l="1"/>
  <c r="BM7" i="6"/>
  <c r="BS12" i="6"/>
  <c r="BR14" i="6"/>
  <c r="BN7" i="6" l="1"/>
  <c r="BO4" i="6"/>
  <c r="BT12" i="6"/>
  <c r="BS14" i="6"/>
  <c r="BP4" i="6" l="1"/>
  <c r="BO7" i="6"/>
  <c r="BU12" i="6"/>
  <c r="BT14" i="6"/>
  <c r="BQ4" i="6" l="1"/>
  <c r="BP7" i="6"/>
  <c r="BV12" i="6"/>
  <c r="BU14" i="6"/>
  <c r="BQ7" i="6" l="1"/>
  <c r="BR4" i="6"/>
  <c r="BV14" i="6"/>
  <c r="BW12" i="6"/>
  <c r="BR7" i="6" l="1"/>
  <c r="BS4" i="6"/>
  <c r="BX12" i="6"/>
  <c r="BW14" i="6"/>
  <c r="BS7" i="6" l="1"/>
  <c r="BT4" i="6"/>
  <c r="BX14" i="6"/>
  <c r="BY12" i="6"/>
  <c r="BT7" i="6" l="1"/>
  <c r="BU4" i="6"/>
  <c r="BY14" i="6"/>
  <c r="BZ12" i="6"/>
  <c r="BV4" i="6" l="1"/>
  <c r="BU7" i="6"/>
  <c r="CA12" i="6"/>
  <c r="BZ14" i="6"/>
  <c r="BV7" i="6" l="1"/>
  <c r="BW4" i="6"/>
  <c r="CB12" i="6"/>
  <c r="CA14" i="6"/>
  <c r="BX4" i="6" l="1"/>
  <c r="BW7" i="6"/>
  <c r="CB14" i="6"/>
  <c r="CC12" i="6"/>
  <c r="BX7" i="6" l="1"/>
  <c r="BY4" i="6"/>
  <c r="CD12" i="6"/>
  <c r="CC14" i="6"/>
  <c r="BZ4" i="6" l="1"/>
  <c r="BY7" i="6"/>
  <c r="CE12" i="6"/>
  <c r="CD14" i="6"/>
  <c r="BZ7" i="6" l="1"/>
  <c r="CA4" i="6"/>
  <c r="CF12" i="6"/>
  <c r="CE14" i="6"/>
  <c r="CA7" i="6" l="1"/>
  <c r="CB4" i="6"/>
  <c r="CG12" i="6"/>
  <c r="CF14" i="6"/>
  <c r="CB7" i="6" l="1"/>
  <c r="CC4" i="6"/>
  <c r="CG14" i="6"/>
  <c r="CH12" i="6"/>
  <c r="CD4" i="6" l="1"/>
  <c r="CC7" i="6"/>
  <c r="CI12" i="6"/>
  <c r="CH14" i="6"/>
  <c r="CE4" i="6" l="1"/>
  <c r="CD7" i="6"/>
  <c r="CI14" i="6"/>
  <c r="CJ12" i="6"/>
  <c r="CE7" i="6" l="1"/>
  <c r="CF4" i="6"/>
  <c r="CK12" i="6"/>
  <c r="CJ14" i="6"/>
  <c r="CF7" i="6" l="1"/>
  <c r="CG4" i="6"/>
  <c r="CL12" i="6"/>
  <c r="CK14" i="6"/>
  <c r="CH4" i="6" l="1"/>
  <c r="CG7" i="6"/>
  <c r="CL14" i="6"/>
  <c r="CM12" i="6"/>
  <c r="CI4" i="6" l="1"/>
  <c r="CH7" i="6"/>
  <c r="CN12" i="6"/>
  <c r="CM14" i="6"/>
  <c r="CI7" i="6" l="1"/>
  <c r="CJ4" i="6"/>
  <c r="CO12" i="6"/>
  <c r="CN14" i="6"/>
  <c r="CK4" i="6" l="1"/>
  <c r="CJ7" i="6"/>
  <c r="CP12" i="6"/>
  <c r="CO14" i="6"/>
  <c r="CL4" i="6" l="1"/>
  <c r="CK7" i="6"/>
  <c r="CQ12" i="6"/>
  <c r="CP14" i="6"/>
  <c r="CL7" i="6" l="1"/>
  <c r="CM4" i="6"/>
  <c r="CR12" i="6"/>
  <c r="CQ14" i="6"/>
  <c r="CM7" i="6" l="1"/>
  <c r="CN4" i="6"/>
  <c r="CR14" i="6"/>
  <c r="CS12" i="6"/>
  <c r="CO4" i="6" l="1"/>
  <c r="CN7" i="6"/>
  <c r="CT12" i="6"/>
  <c r="CS14" i="6"/>
  <c r="CO7" i="6" l="1"/>
  <c r="CP4" i="6"/>
  <c r="CT14" i="6"/>
  <c r="CU12" i="6"/>
  <c r="CP7" i="6" l="1"/>
  <c r="CQ4" i="6"/>
  <c r="CV12" i="6"/>
  <c r="CU14" i="6"/>
  <c r="CQ7" i="6" l="1"/>
  <c r="CR4" i="6"/>
  <c r="CW12" i="6"/>
  <c r="CV14" i="6"/>
  <c r="CR7" i="6" l="1"/>
  <c r="CS4" i="6"/>
  <c r="CW14" i="6"/>
  <c r="CX12" i="6"/>
  <c r="CT4" i="6" l="1"/>
  <c r="CS7" i="6"/>
  <c r="CY12" i="6"/>
  <c r="CX14" i="6"/>
  <c r="CT7" i="6" l="1"/>
  <c r="CU4" i="6"/>
  <c r="CZ12" i="6"/>
  <c r="CY14" i="6"/>
  <c r="CV4" i="6" l="1"/>
  <c r="CU7" i="6"/>
  <c r="CZ14" i="6"/>
  <c r="DA12" i="6"/>
  <c r="CV7" i="6" l="1"/>
  <c r="CW4" i="6"/>
  <c r="DA14" i="6"/>
  <c r="DB12" i="6"/>
  <c r="CW7" i="6" l="1"/>
  <c r="CX4" i="6"/>
  <c r="DC12" i="6"/>
  <c r="DB14" i="6"/>
  <c r="CX7" i="6" l="1"/>
  <c r="CY4" i="6"/>
  <c r="DC14" i="6"/>
  <c r="DD12" i="6"/>
  <c r="CZ4" i="6" l="1"/>
  <c r="CY7" i="6"/>
  <c r="DD14" i="6"/>
  <c r="DE12" i="6"/>
  <c r="CZ7" i="6" l="1"/>
  <c r="DA4" i="6"/>
  <c r="DE14" i="6"/>
  <c r="DF12" i="6"/>
  <c r="DA7" i="6" l="1"/>
  <c r="DB4" i="6"/>
  <c r="DG12" i="6"/>
  <c r="DF14" i="6"/>
  <c r="DB7" i="6" l="1"/>
  <c r="DC4" i="6"/>
  <c r="DG14" i="6"/>
  <c r="DH12" i="6"/>
  <c r="DD4" i="6" l="1"/>
  <c r="DC7" i="6"/>
  <c r="DH14" i="6"/>
  <c r="DI12" i="6"/>
  <c r="DD7" i="6" l="1"/>
  <c r="DE4" i="6"/>
  <c r="DJ12" i="6"/>
  <c r="DI14" i="6"/>
  <c r="DE7" i="6" l="1"/>
  <c r="DF4" i="6"/>
  <c r="DJ14" i="6"/>
  <c r="DK12" i="6"/>
  <c r="DF7" i="6" l="1"/>
  <c r="DG4" i="6"/>
  <c r="DL12" i="6"/>
  <c r="DK14" i="6"/>
  <c r="DG7" i="6" l="1"/>
  <c r="DH4" i="6"/>
  <c r="DM12" i="6"/>
  <c r="DL14" i="6"/>
  <c r="DI4" i="6" l="1"/>
  <c r="DH7" i="6"/>
  <c r="DM14" i="6"/>
  <c r="DN12" i="6"/>
  <c r="DI7" i="6" l="1"/>
  <c r="DJ4" i="6"/>
  <c r="DO12" i="6"/>
  <c r="DN14" i="6"/>
  <c r="DK4" i="6" l="1"/>
  <c r="DJ7" i="6"/>
  <c r="DO14" i="6"/>
  <c r="DP12" i="6"/>
  <c r="DK7" i="6" l="1"/>
  <c r="DL4" i="6"/>
  <c r="DQ12" i="6"/>
  <c r="DP14" i="6"/>
  <c r="DL7" i="6" l="1"/>
  <c r="DM4" i="6"/>
  <c r="DQ14" i="6"/>
  <c r="DR12" i="6"/>
  <c r="DM7" i="6" l="1"/>
  <c r="DN4" i="6"/>
  <c r="DS12" i="6"/>
  <c r="DR14" i="6"/>
  <c r="DN7" i="6" l="1"/>
  <c r="DO4" i="6"/>
  <c r="DS14" i="6"/>
  <c r="DT12" i="6"/>
  <c r="DO7" i="6" l="1"/>
  <c r="DP4" i="6"/>
  <c r="DU12" i="6"/>
  <c r="DT14" i="6"/>
  <c r="DQ4" i="6" l="1"/>
  <c r="DP7" i="6"/>
  <c r="DV12" i="6"/>
  <c r="DU14" i="6"/>
  <c r="DQ7" i="6" l="1"/>
  <c r="DR4" i="6"/>
  <c r="DW12" i="6"/>
  <c r="DV14" i="6"/>
  <c r="DR7" i="6" l="1"/>
  <c r="DS4" i="6"/>
  <c r="DW14" i="6"/>
  <c r="DX12" i="6"/>
  <c r="DS7" i="6" l="1"/>
  <c r="DT4" i="6"/>
  <c r="DX14" i="6"/>
  <c r="DY12" i="6"/>
  <c r="DU4" i="6" l="1"/>
  <c r="DT7" i="6"/>
  <c r="DZ12" i="6"/>
  <c r="DY14" i="6"/>
  <c r="DU7" i="6" l="1"/>
  <c r="DV4" i="6"/>
  <c r="DZ14" i="6"/>
  <c r="EA12" i="6"/>
  <c r="DV7" i="6" l="1"/>
  <c r="DW4" i="6"/>
  <c r="EA14" i="6"/>
  <c r="EB12" i="6"/>
  <c r="DX4" i="6" l="1"/>
  <c r="DW7" i="6"/>
  <c r="EC12" i="6"/>
  <c r="EB14" i="6"/>
  <c r="DX7" i="6" l="1"/>
  <c r="DY4" i="6"/>
  <c r="ED12" i="6"/>
  <c r="EC14" i="6"/>
  <c r="DZ4" i="6" l="1"/>
  <c r="DY7" i="6"/>
  <c r="ED14" i="6"/>
  <c r="EE12" i="6"/>
  <c r="DZ7" i="6" l="1"/>
  <c r="EA4" i="6"/>
  <c r="EF12" i="6"/>
  <c r="EE14" i="6"/>
  <c r="EA7" i="6" l="1"/>
  <c r="EB4" i="6"/>
  <c r="EF14" i="6"/>
  <c r="EG12" i="6"/>
  <c r="EB7" i="6" l="1"/>
  <c r="EC4" i="6"/>
  <c r="EH12" i="6"/>
  <c r="EG14" i="6"/>
  <c r="ED4" i="6" l="1"/>
  <c r="EC7" i="6"/>
  <c r="EI12" i="6"/>
  <c r="EH14" i="6"/>
  <c r="ED7" i="6" l="1"/>
  <c r="EE4" i="6"/>
  <c r="EI14" i="6"/>
  <c r="EJ12" i="6"/>
  <c r="EE7" i="6" l="1"/>
  <c r="EF4" i="6"/>
  <c r="EK12" i="6"/>
  <c r="EJ14" i="6"/>
  <c r="EG4" i="6" l="1"/>
  <c r="EF7" i="6"/>
  <c r="EK14" i="6"/>
  <c r="EL12" i="6"/>
  <c r="EG7" i="6" l="1"/>
  <c r="EH4" i="6"/>
  <c r="EL14" i="6"/>
  <c r="EM12" i="6"/>
  <c r="EI4" i="6" l="1"/>
  <c r="EH7" i="6"/>
  <c r="EM14" i="6"/>
  <c r="EN12" i="6"/>
  <c r="EJ4" i="6" l="1"/>
  <c r="EI7" i="6"/>
  <c r="EN14" i="6"/>
  <c r="EO12" i="6"/>
  <c r="EJ7" i="6" l="1"/>
  <c r="EK4" i="6"/>
  <c r="EO14" i="6"/>
  <c r="EP12" i="6"/>
  <c r="EK7" i="6" l="1"/>
  <c r="EL4" i="6"/>
  <c r="EP14" i="6"/>
  <c r="EQ12" i="6"/>
  <c r="EL7" i="6" l="1"/>
  <c r="EM4" i="6"/>
  <c r="ER12" i="6"/>
  <c r="EQ14" i="6"/>
  <c r="EN4" i="6" l="1"/>
  <c r="EM7" i="6"/>
  <c r="ES12" i="6"/>
  <c r="ER14" i="6"/>
  <c r="EN7" i="6" l="1"/>
  <c r="EO4" i="6"/>
  <c r="ET12" i="6"/>
  <c r="ES14" i="6"/>
  <c r="EO7" i="6" l="1"/>
  <c r="EP4" i="6"/>
  <c r="EU12" i="6"/>
  <c r="ET14" i="6"/>
  <c r="EQ4" i="6" l="1"/>
  <c r="EP7" i="6"/>
  <c r="EV12" i="6"/>
  <c r="EU14" i="6"/>
  <c r="ER4" i="6" l="1"/>
  <c r="EQ7" i="6"/>
  <c r="EV14" i="6"/>
  <c r="EW12" i="6"/>
  <c r="ES4" i="6" l="1"/>
  <c r="ER7" i="6"/>
  <c r="EX12" i="6"/>
  <c r="EW14" i="6"/>
  <c r="ES7" i="6" l="1"/>
  <c r="ET4" i="6"/>
  <c r="EX14" i="6"/>
  <c r="EY12" i="6"/>
  <c r="ET7" i="6" l="1"/>
  <c r="EU4" i="6"/>
  <c r="EY14" i="6"/>
  <c r="EZ12" i="6"/>
  <c r="EU7" i="6" l="1"/>
  <c r="EV4" i="6"/>
  <c r="EZ14" i="6"/>
  <c r="FA12" i="6"/>
  <c r="EW4" i="6" l="1"/>
  <c r="EV7" i="6"/>
  <c r="FB12" i="6"/>
  <c r="FA14" i="6"/>
  <c r="EX4" i="6" l="1"/>
  <c r="EW7" i="6"/>
  <c r="FB14" i="6"/>
  <c r="FC12" i="6"/>
  <c r="EY4" i="6" l="1"/>
  <c r="EX7" i="6"/>
  <c r="FD12" i="6"/>
  <c r="FC14" i="6"/>
  <c r="EZ4" i="6" l="1"/>
  <c r="EY7" i="6"/>
  <c r="FE12" i="6"/>
  <c r="FD14" i="6"/>
  <c r="EZ7" i="6" l="1"/>
  <c r="FA4" i="6"/>
  <c r="FF12" i="6"/>
  <c r="FE14" i="6"/>
  <c r="FA7" i="6" l="1"/>
  <c r="FB4" i="6"/>
  <c r="FG12" i="6"/>
  <c r="FF14" i="6"/>
  <c r="FC4" i="6" l="1"/>
  <c r="FB7" i="6"/>
  <c r="FH12" i="6"/>
  <c r="FG14" i="6"/>
  <c r="FC7" i="6" l="1"/>
  <c r="FD4" i="6"/>
  <c r="FI12" i="6"/>
  <c r="FH14" i="6"/>
  <c r="FE4" i="6" l="1"/>
  <c r="FD7" i="6"/>
  <c r="FJ12" i="6"/>
  <c r="FI14" i="6"/>
  <c r="FE7" i="6" l="1"/>
  <c r="FF4" i="6"/>
  <c r="FJ14" i="6"/>
  <c r="FK12" i="6"/>
  <c r="FF7" i="6" l="1"/>
  <c r="FG4" i="6"/>
  <c r="FL12" i="6"/>
  <c r="FK14" i="6"/>
  <c r="FH4" i="6" l="1"/>
  <c r="FG7" i="6"/>
  <c r="FL14" i="6"/>
  <c r="FM12" i="6"/>
  <c r="FI4" i="6" l="1"/>
  <c r="FH7" i="6"/>
  <c r="FM14" i="6"/>
  <c r="FN12" i="6"/>
  <c r="FI7" i="6" l="1"/>
  <c r="FJ4" i="6"/>
  <c r="FO12" i="6"/>
  <c r="FN14" i="6"/>
  <c r="FK4" i="6" l="1"/>
  <c r="FJ7" i="6"/>
  <c r="FP12" i="6"/>
  <c r="FO14" i="6"/>
  <c r="FL4" i="6" l="1"/>
  <c r="FK7" i="6"/>
  <c r="FQ12" i="6"/>
  <c r="FP14" i="6"/>
  <c r="FM4" i="6" l="1"/>
  <c r="FL7" i="6"/>
  <c r="FQ14" i="6"/>
  <c r="FR12" i="6"/>
  <c r="FN4" i="6" l="1"/>
  <c r="FM7" i="6"/>
  <c r="FS12" i="6"/>
  <c r="FR14" i="6"/>
  <c r="FN7" i="6" l="1"/>
  <c r="FO4" i="6"/>
  <c r="FT12" i="6"/>
  <c r="FS14" i="6"/>
  <c r="FO7" i="6" l="1"/>
  <c r="FP4" i="6"/>
  <c r="FU12" i="6"/>
  <c r="FT14" i="6"/>
  <c r="FP7" i="6" l="1"/>
  <c r="FQ4" i="6"/>
  <c r="FV12" i="6"/>
  <c r="FU14" i="6"/>
  <c r="FQ7" i="6" l="1"/>
  <c r="FR4" i="6"/>
  <c r="FV14" i="6"/>
  <c r="FW12" i="6"/>
  <c r="FS4" i="6" l="1"/>
  <c r="FR7" i="6"/>
  <c r="FW14" i="6"/>
  <c r="FX12" i="6"/>
  <c r="FS7" i="6" l="1"/>
  <c r="FT4" i="6"/>
  <c r="FY12" i="6"/>
  <c r="FX14" i="6"/>
  <c r="FU4" i="6" l="1"/>
  <c r="FT7" i="6"/>
  <c r="FY14" i="6"/>
  <c r="FZ12" i="6"/>
  <c r="FV4" i="6" l="1"/>
  <c r="FU7" i="6"/>
  <c r="GA12" i="6"/>
  <c r="FZ14" i="6"/>
  <c r="FW4" i="6" l="1"/>
  <c r="FV7" i="6"/>
  <c r="GB12" i="6"/>
  <c r="GA14" i="6"/>
  <c r="FW7" i="6" l="1"/>
  <c r="FX4" i="6"/>
  <c r="GC12" i="6"/>
  <c r="GB14" i="6"/>
  <c r="FY4" i="6" l="1"/>
  <c r="FX7" i="6"/>
  <c r="GD12" i="6"/>
  <c r="GC14" i="6"/>
  <c r="FY7" i="6" l="1"/>
  <c r="FZ4" i="6"/>
  <c r="GD14" i="6"/>
  <c r="GE12" i="6"/>
  <c r="GA4" i="6" l="1"/>
  <c r="FZ7" i="6"/>
  <c r="GF12" i="6"/>
  <c r="GE14" i="6"/>
  <c r="GA7" i="6" l="1"/>
  <c r="GB4" i="6"/>
  <c r="GF14" i="6"/>
  <c r="GG12" i="6"/>
  <c r="GB7" i="6" l="1"/>
  <c r="GC4" i="6"/>
  <c r="GH12" i="6"/>
  <c r="GG14" i="6"/>
  <c r="GC7" i="6" l="1"/>
  <c r="GD4" i="6"/>
  <c r="GI12" i="6"/>
  <c r="GH14" i="6"/>
  <c r="GD7" i="6" l="1"/>
  <c r="GE4" i="6"/>
  <c r="GJ12" i="6"/>
  <c r="GI14" i="6"/>
  <c r="GE7" i="6" l="1"/>
  <c r="GF4" i="6"/>
  <c r="GJ14" i="6"/>
  <c r="GK12" i="6"/>
  <c r="GG4" i="6" l="1"/>
  <c r="GF7" i="6"/>
  <c r="GL12" i="6"/>
  <c r="GK14" i="6"/>
  <c r="GH4" i="6" l="1"/>
  <c r="GG7" i="6"/>
  <c r="GL14" i="6"/>
  <c r="GM12" i="6"/>
  <c r="GI4" i="6" l="1"/>
  <c r="GH7" i="6"/>
  <c r="GM14" i="6"/>
  <c r="GN12" i="6"/>
  <c r="GI7" i="6" l="1"/>
  <c r="GJ4" i="6"/>
  <c r="GO12" i="6"/>
  <c r="GN14" i="6"/>
  <c r="GJ7" i="6" l="1"/>
  <c r="GK4" i="6"/>
  <c r="GO14" i="6"/>
  <c r="GP12" i="6"/>
  <c r="GL4" i="6" l="1"/>
  <c r="GK7" i="6"/>
  <c r="GQ12" i="6"/>
  <c r="GP14" i="6"/>
  <c r="GM4" i="6" l="1"/>
  <c r="GL7" i="6"/>
  <c r="GQ14" i="6"/>
  <c r="GR12" i="6"/>
  <c r="GN4" i="6" l="1"/>
  <c r="GM7" i="6"/>
  <c r="GS12" i="6"/>
  <c r="GR14" i="6"/>
  <c r="GN7" i="6" l="1"/>
  <c r="GO4" i="6"/>
  <c r="GT12" i="6"/>
  <c r="GS14" i="6"/>
  <c r="GO7" i="6" l="1"/>
  <c r="GP4" i="6"/>
  <c r="GU12" i="6"/>
  <c r="GT14" i="6"/>
  <c r="GP7" i="6" l="1"/>
  <c r="GQ4" i="6"/>
  <c r="GU14" i="6"/>
  <c r="GV12" i="6"/>
  <c r="GR4" i="6" l="1"/>
  <c r="GQ7" i="6"/>
  <c r="GV14" i="6"/>
  <c r="GW12" i="6"/>
  <c r="GS4" i="6" l="1"/>
  <c r="GR7" i="6"/>
  <c r="GX12" i="6"/>
  <c r="GW14" i="6"/>
  <c r="GS7" i="6" l="1"/>
  <c r="GT4" i="6"/>
  <c r="GY12" i="6"/>
  <c r="GX14" i="6"/>
  <c r="GT7" i="6" l="1"/>
  <c r="GU4" i="6"/>
  <c r="GY14" i="6"/>
  <c r="GZ12" i="6"/>
  <c r="GU7" i="6" l="1"/>
  <c r="GV4" i="6"/>
  <c r="HA12" i="6"/>
  <c r="GZ14" i="6"/>
  <c r="GW4" i="6" l="1"/>
  <c r="GV7" i="6"/>
  <c r="HB12" i="6"/>
  <c r="HA14" i="6"/>
  <c r="GX4" i="6" l="1"/>
  <c r="GW7" i="6"/>
  <c r="HB14" i="6"/>
  <c r="HC12" i="6"/>
  <c r="GY4" i="6" l="1"/>
  <c r="GX7" i="6"/>
  <c r="HC14" i="6"/>
  <c r="HD12" i="6"/>
  <c r="GZ4" i="6" l="1"/>
  <c r="GY7" i="6"/>
  <c r="HD14" i="6"/>
  <c r="HE12" i="6"/>
  <c r="GZ7" i="6" l="1"/>
  <c r="HA4" i="6"/>
  <c r="HE14" i="6"/>
  <c r="HF12" i="6"/>
  <c r="HA7" i="6" l="1"/>
  <c r="HB4" i="6"/>
  <c r="HF14" i="6"/>
  <c r="HG12" i="6"/>
  <c r="HC4" i="6" l="1"/>
  <c r="HB7" i="6"/>
  <c r="HH12" i="6"/>
  <c r="HG14" i="6"/>
  <c r="HD4" i="6" l="1"/>
  <c r="HC7" i="6"/>
  <c r="HI12" i="6"/>
  <c r="HH14" i="6"/>
  <c r="HE4" i="6" l="1"/>
  <c r="HD7" i="6"/>
  <c r="HI14" i="6"/>
  <c r="HJ12" i="6"/>
  <c r="HF4" i="6" l="1"/>
  <c r="HE7" i="6"/>
  <c r="HJ14" i="6"/>
  <c r="HK12" i="6"/>
  <c r="HF7" i="6" l="1"/>
  <c r="HG4" i="6"/>
  <c r="HL12" i="6"/>
  <c r="HK14" i="6"/>
  <c r="HH4" i="6" l="1"/>
  <c r="HG7" i="6"/>
  <c r="HM12" i="6"/>
  <c r="HL14" i="6"/>
  <c r="HH7" i="6" l="1"/>
  <c r="HI4" i="6"/>
  <c r="HM14" i="6"/>
  <c r="HN12" i="6"/>
  <c r="HI7" i="6" l="1"/>
  <c r="HJ4" i="6"/>
  <c r="HO12" i="6"/>
  <c r="HN14" i="6"/>
  <c r="HK4" i="6" l="1"/>
  <c r="HJ7" i="6"/>
  <c r="HP12" i="6"/>
  <c r="HO14" i="6"/>
  <c r="HK7" i="6" l="1"/>
  <c r="HL4" i="6"/>
  <c r="HQ12" i="6"/>
  <c r="HP14" i="6"/>
  <c r="HL7" i="6" l="1"/>
  <c r="HM4" i="6"/>
  <c r="HQ14" i="6"/>
  <c r="HR12" i="6"/>
  <c r="HN4" i="6" l="1"/>
  <c r="HM7" i="6"/>
  <c r="HS12" i="6"/>
  <c r="HR14" i="6"/>
  <c r="HN7" i="6" l="1"/>
  <c r="HO4" i="6"/>
  <c r="HT12" i="6"/>
  <c r="HS14" i="6"/>
  <c r="HO7" i="6" l="1"/>
  <c r="HP4" i="6"/>
  <c r="HT14" i="6"/>
  <c r="HU12" i="6"/>
  <c r="HQ4" i="6" l="1"/>
  <c r="HP7" i="6"/>
  <c r="HU14" i="6"/>
  <c r="HV12" i="6"/>
  <c r="HQ7" i="6" l="1"/>
  <c r="HR4" i="6"/>
  <c r="HV14" i="6"/>
  <c r="HW12" i="6"/>
  <c r="HS4" i="6" l="1"/>
  <c r="HR7" i="6"/>
  <c r="HX12" i="6"/>
  <c r="HW14" i="6"/>
  <c r="HT4" i="6" l="1"/>
  <c r="HS7" i="6"/>
  <c r="HY12" i="6"/>
  <c r="HX14" i="6"/>
  <c r="HU4" i="6" l="1"/>
  <c r="HT7" i="6"/>
  <c r="HY14" i="6"/>
  <c r="HZ12" i="6"/>
  <c r="HU7" i="6" l="1"/>
  <c r="HV4" i="6"/>
  <c r="HZ14" i="6"/>
  <c r="IA12" i="6"/>
  <c r="HW4" i="6" l="1"/>
  <c r="HV7" i="6"/>
  <c r="IB12" i="6"/>
  <c r="IA14" i="6"/>
  <c r="HW7" i="6" l="1"/>
  <c r="HX4" i="6"/>
  <c r="IB14" i="6"/>
  <c r="IC12" i="6"/>
  <c r="HY4" i="6" l="1"/>
  <c r="HX7" i="6"/>
  <c r="IC14" i="6"/>
  <c r="ID12" i="6"/>
  <c r="HY7" i="6" l="1"/>
  <c r="HZ4" i="6"/>
  <c r="ID14" i="6"/>
  <c r="IE12" i="6"/>
  <c r="IA4" i="6" l="1"/>
  <c r="HZ7" i="6"/>
  <c r="IF12" i="6"/>
  <c r="IE14" i="6"/>
  <c r="IA7" i="6" l="1"/>
  <c r="IB4" i="6"/>
  <c r="IF14" i="6"/>
  <c r="IG12" i="6"/>
  <c r="IC4" i="6" l="1"/>
  <c r="IB7" i="6"/>
  <c r="IH12" i="6"/>
  <c r="IG14" i="6"/>
  <c r="IC7" i="6" l="1"/>
  <c r="ID4" i="6"/>
  <c r="II12" i="6"/>
  <c r="IH14" i="6"/>
  <c r="ID7" i="6" l="1"/>
  <c r="IE4" i="6"/>
  <c r="II14" i="6"/>
  <c r="IJ12" i="6"/>
  <c r="IE7" i="6" l="1"/>
  <c r="IF4" i="6"/>
  <c r="IK12" i="6"/>
  <c r="IJ14" i="6"/>
  <c r="IG4" i="6" l="1"/>
  <c r="IF7" i="6"/>
  <c r="IK14" i="6"/>
  <c r="IL12" i="6"/>
  <c r="IH4" i="6" l="1"/>
  <c r="IG7" i="6"/>
  <c r="IM12" i="6"/>
  <c r="IL14" i="6"/>
  <c r="II4" i="6" l="1"/>
  <c r="IH7" i="6"/>
  <c r="IM14" i="6"/>
  <c r="IN12" i="6"/>
  <c r="IJ4" i="6" l="1"/>
  <c r="II7" i="6"/>
  <c r="IO12" i="6"/>
  <c r="IN14" i="6"/>
  <c r="IJ7" i="6" l="1"/>
  <c r="IK4" i="6"/>
  <c r="IO14" i="6"/>
  <c r="IP12" i="6"/>
  <c r="IK7" i="6" l="1"/>
  <c r="IL4" i="6"/>
  <c r="IP14" i="6"/>
  <c r="IQ12" i="6"/>
  <c r="IL7" i="6" l="1"/>
  <c r="IM4" i="6"/>
  <c r="IQ14" i="6"/>
  <c r="IR12" i="6"/>
  <c r="IM7" i="6" l="1"/>
  <c r="IN4" i="6"/>
  <c r="IR14" i="6"/>
  <c r="IS12" i="6"/>
  <c r="IO4" i="6" l="1"/>
  <c r="IN7" i="6"/>
  <c r="IS14" i="6"/>
  <c r="IT12" i="6"/>
  <c r="IO7" i="6" l="1"/>
  <c r="IP4" i="6"/>
  <c r="IU12" i="6"/>
  <c r="IT14" i="6"/>
  <c r="IP7" i="6" l="1"/>
  <c r="IQ4" i="6"/>
  <c r="IV12" i="6"/>
  <c r="IU14" i="6"/>
  <c r="IQ7" i="6" l="1"/>
  <c r="IR4" i="6"/>
  <c r="IV14" i="6"/>
  <c r="IW12" i="6"/>
  <c r="IS4" i="6" l="1"/>
  <c r="IR7" i="6"/>
  <c r="IW14" i="6"/>
  <c r="IX12" i="6"/>
  <c r="IS7" i="6" l="1"/>
  <c r="IT4" i="6"/>
  <c r="IX14" i="6"/>
  <c r="IY12" i="6"/>
  <c r="IU4" i="6" l="1"/>
  <c r="IT7" i="6"/>
  <c r="IZ12" i="6"/>
  <c r="IY14" i="6"/>
  <c r="IU7" i="6" l="1"/>
  <c r="IV4" i="6"/>
  <c r="JA12" i="6"/>
  <c r="IZ14" i="6"/>
  <c r="IV7" i="6" l="1"/>
  <c r="IW4" i="6"/>
  <c r="JA14" i="6"/>
  <c r="JB12" i="6"/>
  <c r="IW7" i="6" l="1"/>
  <c r="IX4" i="6"/>
  <c r="JC12" i="6"/>
  <c r="JB14" i="6"/>
  <c r="IX7" i="6" l="1"/>
  <c r="IY4" i="6"/>
  <c r="JD12" i="6"/>
  <c r="JC14" i="6"/>
  <c r="IZ4" i="6" l="1"/>
  <c r="IY7" i="6"/>
  <c r="JE12" i="6"/>
  <c r="JD14" i="6"/>
  <c r="IZ7" i="6" l="1"/>
  <c r="JA4" i="6"/>
  <c r="JE14" i="6"/>
  <c r="JF12" i="6"/>
  <c r="JA7" i="6" l="1"/>
  <c r="JB4" i="6"/>
  <c r="JG12" i="6"/>
  <c r="JF14" i="6"/>
  <c r="JB7" i="6" l="1"/>
  <c r="JC4" i="6"/>
  <c r="JH12" i="6"/>
  <c r="JG14" i="6"/>
  <c r="JC7" i="6" l="1"/>
  <c r="JD4" i="6"/>
  <c r="JH14" i="6"/>
  <c r="JI12" i="6"/>
  <c r="JE4" i="6" l="1"/>
  <c r="JD7" i="6"/>
  <c r="JI14" i="6"/>
  <c r="JJ12" i="6"/>
  <c r="JE7" i="6" l="1"/>
  <c r="JF4" i="6"/>
  <c r="JK12" i="6"/>
  <c r="JJ14" i="6"/>
  <c r="JG4" i="6" l="1"/>
  <c r="JF7" i="6"/>
  <c r="JL12" i="6"/>
  <c r="JK14" i="6"/>
  <c r="JG7" i="6" l="1"/>
  <c r="JH4" i="6"/>
  <c r="JL14" i="6"/>
  <c r="JM12" i="6"/>
  <c r="JI4" i="6" l="1"/>
  <c r="JH7" i="6"/>
  <c r="JN12" i="6"/>
  <c r="JM14" i="6"/>
  <c r="JI7" i="6" l="1"/>
  <c r="JJ4" i="6"/>
  <c r="JO12" i="6"/>
  <c r="JN14" i="6"/>
  <c r="JJ7" i="6" l="1"/>
  <c r="JK4" i="6"/>
  <c r="JO14" i="6"/>
  <c r="JP12" i="6"/>
  <c r="JL4" i="6" l="1"/>
  <c r="JK7" i="6"/>
  <c r="JP14" i="6"/>
  <c r="JQ12" i="6"/>
  <c r="JM4" i="6" l="1"/>
  <c r="JL7" i="6"/>
  <c r="JQ14" i="6"/>
  <c r="JR12" i="6"/>
  <c r="JN4" i="6" l="1"/>
  <c r="JM7" i="6"/>
  <c r="JS12" i="6"/>
  <c r="JR14" i="6"/>
  <c r="JN7" i="6" l="1"/>
  <c r="JO4" i="6"/>
  <c r="JS14" i="6"/>
  <c r="JT12" i="6"/>
  <c r="JO7" i="6" l="1"/>
  <c r="JP4" i="6"/>
  <c r="JU12" i="6"/>
  <c r="JT14" i="6"/>
  <c r="JP7" i="6" l="1"/>
  <c r="JQ4" i="6"/>
  <c r="JV12" i="6"/>
  <c r="JU14" i="6"/>
  <c r="JQ7" i="6" l="1"/>
  <c r="JR4" i="6"/>
  <c r="JV14" i="6"/>
  <c r="JW12" i="6"/>
  <c r="JS4" i="6" l="1"/>
  <c r="JR7" i="6"/>
  <c r="JW14" i="6"/>
  <c r="JX12" i="6"/>
  <c r="JS7" i="6" l="1"/>
  <c r="JT4" i="6"/>
  <c r="JX14" i="6"/>
  <c r="JY12" i="6"/>
  <c r="JT7" i="6" l="1"/>
  <c r="JU4" i="6"/>
  <c r="JZ12" i="6"/>
  <c r="JY14" i="6"/>
  <c r="JU7" i="6" l="1"/>
  <c r="JV4" i="6"/>
  <c r="JZ14" i="6"/>
  <c r="KA12" i="6"/>
  <c r="JW4" i="6" l="1"/>
  <c r="JV7" i="6"/>
  <c r="KA14" i="6"/>
  <c r="KB12" i="6"/>
  <c r="JX4" i="6" l="1"/>
  <c r="JW7" i="6"/>
  <c r="KB14" i="6"/>
  <c r="KC12" i="6"/>
  <c r="JX7" i="6" l="1"/>
  <c r="JY4" i="6"/>
  <c r="KC14" i="6"/>
  <c r="KD12" i="6"/>
  <c r="JY7" i="6" l="1"/>
  <c r="JZ4" i="6"/>
  <c r="KE12" i="6"/>
  <c r="KD14" i="6"/>
  <c r="JZ7" i="6" l="1"/>
  <c r="KA4" i="6"/>
  <c r="KF12" i="6"/>
  <c r="KE14" i="6"/>
  <c r="KB4" i="6" l="1"/>
  <c r="KA7" i="6"/>
  <c r="KF14" i="6"/>
  <c r="KG12" i="6"/>
  <c r="KB7" i="6" l="1"/>
  <c r="KC4" i="6"/>
  <c r="KG14" i="6"/>
  <c r="KH12" i="6"/>
  <c r="KC7" i="6" l="1"/>
  <c r="KD4" i="6"/>
  <c r="KI12" i="6"/>
  <c r="KH14" i="6"/>
  <c r="KD7" i="6" l="1"/>
  <c r="KE4" i="6"/>
  <c r="KI14" i="6"/>
  <c r="KJ12" i="6"/>
  <c r="KF4" i="6" l="1"/>
  <c r="KE7" i="6"/>
  <c r="KJ14" i="6"/>
  <c r="KK12" i="6"/>
  <c r="KG4" i="6" l="1"/>
  <c r="KF7" i="6"/>
  <c r="KK14" i="6"/>
  <c r="KL12" i="6"/>
  <c r="KH4" i="6" l="1"/>
  <c r="KG7" i="6"/>
  <c r="KL14" i="6"/>
  <c r="KM12" i="6"/>
  <c r="KI4" i="6" l="1"/>
  <c r="KH7" i="6"/>
  <c r="KM14" i="6"/>
  <c r="KN12" i="6"/>
  <c r="KJ4" i="6" l="1"/>
  <c r="KI7" i="6"/>
  <c r="KN14" i="6"/>
  <c r="KO12" i="6"/>
  <c r="KJ7" i="6" l="1"/>
  <c r="KK4" i="6"/>
  <c r="KP12" i="6"/>
  <c r="KO14" i="6"/>
  <c r="KK7" i="6" l="1"/>
  <c r="KL4" i="6"/>
  <c r="KP14" i="6"/>
  <c r="KQ12" i="6"/>
  <c r="KL7" i="6" l="1"/>
  <c r="KM4" i="6"/>
  <c r="KQ14" i="6"/>
  <c r="KR12" i="6"/>
  <c r="KN4" i="6" l="1"/>
  <c r="KM7" i="6"/>
  <c r="KS12" i="6"/>
  <c r="KR14" i="6"/>
  <c r="KN7" i="6" l="1"/>
  <c r="KO4" i="6"/>
  <c r="KS14" i="6"/>
  <c r="KT12" i="6"/>
  <c r="KP4" i="6" l="1"/>
  <c r="KO7" i="6"/>
  <c r="KT14" i="6"/>
  <c r="KU12" i="6"/>
  <c r="KP7" i="6" l="1"/>
  <c r="KQ4" i="6"/>
  <c r="KU14" i="6"/>
  <c r="KV12" i="6"/>
  <c r="KR4" i="6" l="1"/>
  <c r="KQ7" i="6"/>
  <c r="KW12" i="6"/>
  <c r="KV14" i="6"/>
  <c r="KR7" i="6" l="1"/>
  <c r="KS4" i="6"/>
  <c r="KW14" i="6"/>
  <c r="KX12" i="6"/>
  <c r="KT4" i="6" l="1"/>
  <c r="KS7" i="6"/>
  <c r="KX14" i="6"/>
  <c r="KY12" i="6"/>
  <c r="KU4" i="6" l="1"/>
  <c r="KT7" i="6"/>
  <c r="KZ12" i="6"/>
  <c r="KY14" i="6"/>
  <c r="KU7" i="6" l="1"/>
  <c r="KV4" i="6"/>
  <c r="KZ14" i="6"/>
  <c r="LA12" i="6"/>
  <c r="KW4" i="6" l="1"/>
  <c r="KV7" i="6"/>
  <c r="LA14" i="6"/>
  <c r="LB12" i="6"/>
  <c r="KW7" i="6" l="1"/>
  <c r="KX4" i="6"/>
  <c r="LC12" i="6"/>
  <c r="LB14" i="6"/>
  <c r="KY4" i="6" l="1"/>
  <c r="KX7" i="6"/>
  <c r="LD12" i="6"/>
  <c r="LD14" i="6" s="1"/>
  <c r="LC14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tc={FAD5E94A-949C-454E-B9A3-A41EDC9FE6DB}</author>
    <author>tc={DA595B55-1E49-413C-AC23-F5E1DFBD684B}</author>
  </authors>
  <commentList>
    <comment ref="W170" authorId="0" shapeId="0" xr:uid="{FAD5E94A-949C-454E-B9A3-A41EDC9FE6D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a payment date</t>
      </text>
    </comment>
    <comment ref="W172" authorId="1" shapeId="0" xr:uid="{DA595B55-1E49-413C-AC23-F5E1DFBD684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<sst xmlns="http://schemas.openxmlformats.org/spreadsheetml/2006/main" count="867" uniqueCount="472">
  <si>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</si>
  <si>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</si>
  <si>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</si>
  <si>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</si>
  <si>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</si>
  <si>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</si>
  <si>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</si>
  <si>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</si>
  <si>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</si>
  <si>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</si>
  <si>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</si>
  <si>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</si>
  <si>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</si>
  <si>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</si>
  <si>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</si>
  <si>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</si>
  <si>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</si>
  <si>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</si>
  <si>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</si>
  <si>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</si>
  <si>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</si>
  <si>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</si>
  <si>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</si>
  <si>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</si>
  <si>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</si>
  <si>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</si>
  <si>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</si>
  <si>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</si>
  <si>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</si>
  <si>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</si>
  <si>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</si>
  <si>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</si>
  <si>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</si>
  <si>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</si>
  <si>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</si>
  <si>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</si>
  <si>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</si>
  <si>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</si>
  <si>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</si>
  <si>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</si>
  <si>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</si>
  <si>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</si>
  <si>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</si>
  <si>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</si>
  <si>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</si>
  <si>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</si>
  <si>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</si>
  <si>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</si>
  <si>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</si>
  <si>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</si>
  <si>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</si>
  <si>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</si>
  <si>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</si>
  <si>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</si>
  <si>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</si>
  <si>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</si>
  <si>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</si>
  <si>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</si>
  <si>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</si>
  <si>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</si>
  <si>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</si>
  <si>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</si>
  <si>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</si>
  <si>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</si>
  <si>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</si>
  <si>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</si>
  <si>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</si>
  <si>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</si>
  <si>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</si>
  <si>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</si>
  <si>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</si>
  <si>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</si>
  <si>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</si>
  <si>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Corporate Park</t>
  </si>
  <si>
    <t>PROJECT SIZE (kWp)</t>
  </si>
  <si>
    <t>PROJECT DEVELOPER</t>
  </si>
  <si>
    <t>Natasha Watkins-Baker</t>
  </si>
  <si>
    <t>PROJECT MANAGERS</t>
  </si>
  <si>
    <t>Eon Van Rensberg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</si>
  <si>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</si>
  <si>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</si>
  <si>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</si>
  <si>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</si>
  <si>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</si>
  <si>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</si>
  <si>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</si>
  <si>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</si>
  <si>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</si>
  <si>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</si>
  <si>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</si>
  <si>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</si>
  <si>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</si>
  <si>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</si>
  <si>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</si>
  <si>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</si>
  <si>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</si>
  <si>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</si>
  <si>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</si>
  <si>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</si>
  <si>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</si>
  <si>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</si>
  <si>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</si>
  <si>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</si>
  <si>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</si>
  <si>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</si>
  <si>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</si>
  <si>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</si>
  <si>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</si>
  <si>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</si>
  <si>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</si>
  <si>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</si>
  <si>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</si>
  <si>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</si>
  <si>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</si>
  <si>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</si>
  <si>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</si>
  <si>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</si>
  <si>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</si>
  <si>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</si>
  <si>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</si>
  <si>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</si>
  <si>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</si>
  <si>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</si>
  <si>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</si>
  <si>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</si>
  <si>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</si>
  <si>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</si>
  <si>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</si>
  <si>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</si>
  <si>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</si>
  <si>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</si>
  <si>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</si>
  <si>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</si>
  <si>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</si>
  <si>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</si>
  <si>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</si>
  <si>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</si>
  <si>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</si>
  <si>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</si>
  <si>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</si>
  <si>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</si>
  <si>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</si>
  <si>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</si>
  <si>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</si>
  <si>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</si>
  <si>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</si>
  <si>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</si>
  <si>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</si>
  <si>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</si>
  <si>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</si>
  <si>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</si>
  <si>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</si>
  <si>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</si>
  <si>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</si>
  <si>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</si>
  <si>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</si>
  <si>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</si>
  <si>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</si>
  <si>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</si>
  <si>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</si>
  <si>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</si>
  <si>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</si>
  <si>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</si>
  <si>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</si>
  <si>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</si>
  <si>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</si>
  <si>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</si>
  <si>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</si>
  <si>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</si>
  <si>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</si>
  <si>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</si>
  <si>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</si>
  <si>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</si>
  <si>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</si>
  <si>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</si>
  <si>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</si>
  <si>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</si>
  <si>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</si>
  <si>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</si>
  <si>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</si>
  <si>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</si>
  <si>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</si>
  <si>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</si>
  <si>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</si>
  <si>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</si>
  <si>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</si>
  <si>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</si>
  <si>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</si>
  <si>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</si>
  <si>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</si>
  <si>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</si>
  <si>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</si>
  <si>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</si>
  <si>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</si>
  <si>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</si>
  <si>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</si>
  <si>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</si>
  <si>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</si>
  <si>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</si>
  <si>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</si>
  <si>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</si>
  <si>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</si>
  <si>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</si>
  <si>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</si>
  <si>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</si>
  <si>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</si>
  <si>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</si>
  <si>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</si>
  <si>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</si>
  <si>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</si>
  <si>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</si>
  <si>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</si>
  <si>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</si>
  <si>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</si>
  <si>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</si>
  <si>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</si>
  <si>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</si>
  <si>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</si>
  <si>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</si>
  <si>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</si>
  <si>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</si>
  <si>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</si>
  <si>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</si>
  <si>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</si>
  <si>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</si>
  <si>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</si>
  <si>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</si>
  <si>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</si>
  <si>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</si>
  <si>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</si>
  <si>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</si>
  <si>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</si>
  <si>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</si>
  <si>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</si>
  <si>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</si>
  <si>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</si>
  <si>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</si>
  <si>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</si>
  <si>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PO3909-DIP-PH2-CORP-20250514</t>
  </si>
  <si>
    <t>Menlo INV0003028</t>
  </si>
  <si>
    <t>Delivery Budget</t>
  </si>
  <si>
    <t>Menlo - INV0003230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</si>
  <si>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</si>
  <si>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</si>
  <si>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</si>
  <si>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</si>
  <si>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</si>
  <si>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</si>
  <si>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</si>
  <si>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</si>
  <si>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</si>
  <si>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</si>
  <si>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</si>
  <si>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</si>
  <si>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</si>
  <si>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</si>
  <si>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</si>
  <si>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</si>
  <si>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</si>
  <si>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</si>
  <si>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PO3902-DSS-20250603 - RV Approved</t>
  </si>
  <si>
    <t>Schletter - INV1883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</si>
  <si>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</si>
  <si>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</si>
  <si>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</si>
  <si>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</si>
  <si>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</si>
  <si>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</si>
  <si>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</si>
  <si>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</si>
  <si>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Logistics</t>
  </si>
  <si>
    <t>Project Kick Off</t>
  </si>
  <si>
    <t>The Greenway - INV0001397</t>
  </si>
  <si>
    <t xml:space="preserve">4. DC Equipment </t>
  </si>
  <si>
    <t>Project Kick Off (top up)</t>
  </si>
  <si>
    <t>The Greenway - INV0001403</t>
  </si>
  <si>
    <t>The Greenway - INV0001404</t>
  </si>
  <si>
    <t>AC Installation Complete</t>
  </si>
  <si>
    <t>The Greenway- INV0001426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</si>
  <si>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</si>
  <si>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</si>
  <si>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</si>
  <si>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</si>
  <si>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</si>
  <si>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</si>
  <si>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</si>
  <si>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</si>
  <si>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INV0002936</t>
  </si>
  <si>
    <t>Menlo INV0003243</t>
  </si>
  <si>
    <t xml:space="preserve">Smartlogger - Menlo RMA replacement </t>
  </si>
  <si>
    <t>Revenue Metering</t>
  </si>
  <si>
    <t>CTs &amp; Meters</t>
  </si>
  <si>
    <t>PO3839-DIP-Ph2-Corp-20250429 - RV Approved</t>
  </si>
  <si>
    <t>Accuenergy Inv: ASAI-005365</t>
  </si>
  <si>
    <t>Accenergy - INV ASAI-005800</t>
  </si>
  <si>
    <t>Techsitter</t>
  </si>
  <si>
    <t>Matriarch - INV-4999</t>
  </si>
  <si>
    <t>UPS</t>
  </si>
  <si>
    <t>Frontline INV725690</t>
  </si>
  <si>
    <t>Apex Device and License - Allocated to IconSA KZN</t>
  </si>
  <si>
    <t>PO4176-DCP-20250728 - RV Approved</t>
  </si>
  <si>
    <t>Rubicon INVWCRE-0069677</t>
  </si>
  <si>
    <t>Allocated to Icon SA - KZN</t>
  </si>
  <si>
    <t>Apex Device allocated from Seshego Circle</t>
  </si>
  <si>
    <t>PO4077-DSHC-20250630 - RV Approved</t>
  </si>
  <si>
    <t>Allocated from Seshego Circle</t>
  </si>
  <si>
    <t>Delivery of Apex</t>
  </si>
  <si>
    <t>DSV Inv: 180144979</t>
  </si>
  <si>
    <t>GivEnergy - Transceiver Kit</t>
  </si>
  <si>
    <t>PO3972-DIP-Ph2-Corp P-20250530 - RV Approved</t>
  </si>
  <si>
    <t>GivEnergy: INV000009</t>
  </si>
  <si>
    <t>AC Equipment Budget</t>
  </si>
  <si>
    <t>6. AC Equipment</t>
  </si>
  <si>
    <t>PVDB</t>
  </si>
  <si>
    <t>PO3930-DIP-Ph2-Corp P-20250519 - RV Approved</t>
  </si>
  <si>
    <t>Switchboard 2-SOI002242</t>
  </si>
  <si>
    <t>BESS</t>
  </si>
  <si>
    <t>7.BESS</t>
  </si>
  <si>
    <t xml:space="preserve">Product Add On </t>
  </si>
  <si>
    <t xml:space="preserve">8. Product Add On </t>
  </si>
  <si>
    <t>MV Metering</t>
  </si>
  <si>
    <t>E-Stop</t>
  </si>
  <si>
    <t>PO4383-DCP-20251020 - RV Approved</t>
  </si>
  <si>
    <t>The Greenway - INV0001510</t>
  </si>
  <si>
    <t>Inverter Cage with roof - Deposit</t>
  </si>
  <si>
    <t>PO4483-DCP-20251124 - RV Approved</t>
  </si>
  <si>
    <t>Van Staden Three - Inv3075</t>
  </si>
  <si>
    <t>Inverter Cage with roof - Balance</t>
  </si>
  <si>
    <t>Van Staden Three - Inv3110</t>
  </si>
  <si>
    <t>Waterpoints</t>
  </si>
  <si>
    <t>Toys 4Boys - 12392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</si>
  <si>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</si>
  <si>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</si>
  <si>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</si>
  <si>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</si>
  <si>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</si>
  <si>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</si>
  <si>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</si>
  <si>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</si>
  <si>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Contingency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</si>
  <si>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</si>
  <si>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</si>
  <si>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</si>
  <si>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</si>
  <si>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</si>
  <si>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</si>
  <si>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</si>
  <si>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</si>
  <si>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</si>
  <si>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</si>
  <si>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</si>
  <si>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</si>
  <si>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</si>
  <si>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</si>
  <si>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</si>
  <si>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</si>
  <si>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</si>
  <si>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</si>
  <si>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</si>
  <si>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</si>
  <si>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</si>
  <si>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</si>
  <si>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</si>
  <si>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</si>
  <si>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</si>
  <si>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</si>
  <si>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</si>
  <si>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Claims</t>
  </si>
  <si>
    <t>Service Add On</t>
  </si>
  <si>
    <t>Welcome Bonus</t>
  </si>
  <si>
    <t>15. Service Add On</t>
  </si>
  <si>
    <t>Welcome Bonus - Site Establishment</t>
  </si>
  <si>
    <t>Luxanio Trading - 23407/202506/274904/I</t>
  </si>
  <si>
    <t>Welcome Bonus - Commissioning</t>
  </si>
  <si>
    <t>Courier of EE Sonel Meter for Curve Testing</t>
  </si>
  <si>
    <t>DSV Inv:180147748</t>
  </si>
  <si>
    <t>Standing time and delay - VO</t>
  </si>
  <si>
    <t>Greenway Solar INV0001515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</si>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</sst>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-[$R-1C09]* #,##0.00_-;\-[$R-1C09]* #,##0.00_-;_-[$R-1C09]* &quot;-&quot;??_-;_-@_-"/>
    <numFmt numFmtId="165" formatCode="[$-409]d\-mmm\-yyyy;@"/>
    <numFmt numFmtId="166" formatCode="&quot;R&quot;#,##0.00"/>
    <numFmt numFmtId="167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8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4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5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5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5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5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5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5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5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5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5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5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5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5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6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6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4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4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4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4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4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4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4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4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4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4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4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4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4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4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4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4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4" fontId="13" fillId="2" borderId="0" xfId="0" applyNumberFormat="1" applyFont="1" applyFill="1" applyAlignment="1" applyProtection="1">
      <alignment horizontal="center" vertical="center"/>
      <protection locked="0"/>
    </xf>
    <xf numFmtId="164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4" fontId="11" fillId="0" borderId="39" xfId="0" applyNumberFormat="1" applyFont="1" applyBorder="1" applyAlignment="1" applyProtection="1">
      <alignment horizontal="center" vertical="center" wrapText="1"/>
      <protection locked="0"/>
    </xf>
    <xf numFmtId="164" fontId="11" fillId="0" borderId="17" xfId="0" applyNumberFormat="1" applyFont="1" applyBorder="1" applyAlignment="1" applyProtection="1">
      <alignment horizontal="center" vertical="center" wrapText="1"/>
      <protection locked="0"/>
    </xf>
    <xf numFmtId="164" fontId="11" fillId="0" borderId="47" xfId="0" applyNumberFormat="1" applyFont="1" applyBorder="1" applyAlignment="1" applyProtection="1">
      <alignment horizontal="center" vertical="center" wrapText="1"/>
      <protection locked="0"/>
    </xf>
    <xf numFmtId="166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4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4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4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4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4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4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4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4" fontId="5" fillId="13" borderId="10" xfId="0" applyNumberFormat="1" applyFont="1" applyFill="1" applyBorder="1" applyAlignment="1" applyProtection="1">
      <alignment horizontal="center"/>
      <protection locked="0"/>
    </xf>
    <xf numFmtId="164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4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4" fontId="5" fillId="0" borderId="18" xfId="0" applyNumberFormat="1" applyFont="1" applyBorder="1" applyAlignment="1" applyProtection="1">
      <alignment horizontal="center"/>
      <protection locked="0"/>
    </xf>
    <xf numFmtId="164" fontId="7" fillId="0" borderId="8" xfId="0" applyNumberFormat="1" applyFont="1" applyBorder="1" applyAlignment="1" applyProtection="1">
      <alignment horizontal="center" vertical="center"/>
      <protection locked="0"/>
    </xf>
    <xf numFmtId="164" fontId="5" fillId="10" borderId="52" xfId="0" applyNumberFormat="1" applyFont="1" applyFill="1" applyBorder="1" applyAlignment="1" applyProtection="1">
      <alignment horizontal="center"/>
      <protection locked="0"/>
    </xf>
    <xf numFmtId="164" fontId="5" fillId="10" borderId="53" xfId="0" applyNumberFormat="1" applyFont="1" applyFill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4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4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4" fontId="13" fillId="11" borderId="51" xfId="0" applyNumberFormat="1" applyFont="1" applyFill="1" applyBorder="1" applyAlignment="1" applyProtection="1">
      <alignment horizontal="center"/>
      <protection locked="0"/>
    </xf>
    <xf numFmtId="164" fontId="13" fillId="11" borderId="55" xfId="0" applyNumberFormat="1" applyFont="1" applyFill="1" applyBorder="1" applyAlignment="1" applyProtection="1">
      <alignment horizontal="center"/>
      <protection locked="0"/>
    </xf>
    <xf numFmtId="164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4" fontId="13" fillId="13" borderId="53" xfId="0" applyNumberFormat="1" applyFont="1" applyFill="1" applyBorder="1" applyAlignment="1" applyProtection="1">
      <alignment horizontal="center"/>
      <protection locked="0"/>
    </xf>
    <xf numFmtId="164" fontId="13" fillId="13" borderId="51" xfId="0" applyNumberFormat="1" applyFont="1" applyFill="1" applyBorder="1" applyAlignment="1" applyProtection="1">
      <alignment horizontal="center"/>
      <protection locked="0"/>
    </xf>
    <xf numFmtId="164" fontId="13" fillId="13" borderId="52" xfId="0" applyNumberFormat="1" applyFont="1" applyFill="1" applyBorder="1" applyAlignment="1" applyProtection="1">
      <alignment horizontal="center"/>
      <protection locked="0"/>
    </xf>
    <xf numFmtId="164" fontId="13" fillId="0" borderId="12" xfId="0" applyNumberFormat="1" applyFont="1" applyBorder="1" applyAlignment="1" applyProtection="1">
      <alignment horizontal="center"/>
      <protection locked="0"/>
    </xf>
    <xf numFmtId="164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4" fontId="13" fillId="13" borderId="55" xfId="0" applyNumberFormat="1" applyFont="1" applyFill="1" applyBorder="1" applyAlignment="1" applyProtection="1">
      <alignment horizontal="center"/>
      <protection locked="0"/>
    </xf>
    <xf numFmtId="164" fontId="13" fillId="0" borderId="18" xfId="0" applyNumberFormat="1" applyFont="1" applyBorder="1" applyAlignment="1" applyProtection="1">
      <alignment horizontal="center"/>
      <protection locked="0"/>
    </xf>
    <xf numFmtId="164" fontId="13" fillId="10" borderId="53" xfId="0" applyNumberFormat="1" applyFont="1" applyFill="1" applyBorder="1" applyAlignment="1" applyProtection="1">
      <alignment horizontal="center"/>
      <protection locked="0"/>
    </xf>
    <xf numFmtId="164" fontId="13" fillId="10" borderId="51" xfId="0" applyNumberFormat="1" applyFont="1" applyFill="1" applyBorder="1" applyAlignment="1" applyProtection="1">
      <alignment horizontal="center"/>
      <protection locked="0"/>
    </xf>
    <xf numFmtId="164" fontId="13" fillId="10" borderId="55" xfId="0" applyNumberFormat="1" applyFont="1" applyFill="1" applyBorder="1" applyAlignment="1" applyProtection="1">
      <alignment horizontal="center"/>
      <protection locked="0"/>
    </xf>
    <xf numFmtId="164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4" fontId="11" fillId="0" borderId="64" xfId="0" applyNumberFormat="1" applyFont="1" applyBorder="1" applyAlignment="1" applyProtection="1">
      <alignment horizontal="center" vertical="center" wrapText="1"/>
      <protection locked="0"/>
    </xf>
    <xf numFmtId="164" fontId="11" fillId="0" borderId="12" xfId="0" applyNumberFormat="1" applyFont="1" applyBorder="1" applyAlignment="1" applyProtection="1">
      <alignment horizontal="center" vertical="center" wrapText="1"/>
      <protection locked="0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4" fontId="5" fillId="13" borderId="2" xfId="3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4" fontId="52" fillId="11" borderId="51" xfId="0" applyNumberFormat="1" applyFont="1" applyFill="1" applyBorder="1" applyAlignment="1" applyProtection="1">
      <alignment horizontal="center"/>
      <protection locked="0"/>
    </xf>
    <xf numFmtId="164" fontId="52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/>
      <protection locked="0"/>
    </xf>
    <xf numFmtId="164" fontId="5" fillId="11" borderId="51" xfId="0" applyNumberFormat="1" applyFont="1" applyFill="1" applyBorder="1" applyAlignment="1" applyProtection="1">
      <alignment horizontal="center"/>
      <protection locked="0"/>
    </xf>
    <xf numFmtId="16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5" fillId="13" borderId="57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8" fontId="5" fillId="11" borderId="1" xfId="0" applyNumberFormat="1" applyFont="1" applyFill="1" applyBorder="1" applyAlignment="1" applyProtection="1">
      <alignment horizontal="center" vertical="center"/>
      <protection locked="0"/>
    </xf>
    <xf numFmtId="44" fontId="5" fillId="11" borderId="1" xfId="3" applyFont="1" applyFill="1" applyBorder="1" applyAlignment="1" applyProtection="1">
      <alignment horizontal="center"/>
      <protection locked="0"/>
    </xf>
    <xf numFmtId="44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4" fontId="5" fillId="11" borderId="68" xfId="0" applyNumberFormat="1" applyFont="1" applyFill="1" applyBorder="1" applyAlignment="1" applyProtection="1">
      <alignment horizontal="center"/>
      <protection locked="0"/>
    </xf>
    <xf numFmtId="164" fontId="5" fillId="10" borderId="68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5" fillId="11" borderId="55" xfId="0" applyNumberFormat="1" applyFont="1" applyFill="1" applyBorder="1" applyAlignment="1" applyProtection="1">
      <alignment horizontal="center"/>
      <protection locked="0"/>
    </xf>
    <xf numFmtId="164" fontId="5" fillId="11" borderId="52" xfId="0" applyNumberFormat="1" applyFont="1" applyFill="1" applyBorder="1" applyAlignment="1" applyProtection="1">
      <alignment horizontal="center"/>
      <protection locked="0"/>
    </xf>
    <xf numFmtId="164" fontId="5" fillId="13" borderId="53" xfId="0" applyNumberFormat="1" applyFont="1" applyFill="1" applyBorder="1" applyAlignment="1" applyProtection="1">
      <alignment horizontal="center"/>
      <protection locked="0"/>
    </xf>
    <xf numFmtId="164" fontId="5" fillId="13" borderId="51" xfId="0" applyNumberFormat="1" applyFont="1" applyFill="1" applyBorder="1" applyAlignment="1" applyProtection="1">
      <alignment horizontal="center"/>
      <protection locked="0"/>
    </xf>
    <xf numFmtId="164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4" fontId="5" fillId="13" borderId="55" xfId="0" applyNumberFormat="1" applyFont="1" applyFill="1" applyBorder="1" applyAlignment="1" applyProtection="1">
      <alignment horizontal="center"/>
      <protection locked="0"/>
    </xf>
    <xf numFmtId="164" fontId="13" fillId="10" borderId="27" xfId="0" applyNumberFormat="1" applyFont="1" applyFill="1" applyBorder="1" applyAlignment="1" applyProtection="1">
      <alignment horizontal="center"/>
      <protection locked="0"/>
    </xf>
    <xf numFmtId="44" fontId="5" fillId="13" borderId="27" xfId="0" applyNumberFormat="1" applyFont="1" applyFill="1" applyBorder="1" applyAlignment="1" applyProtection="1">
      <alignment horizontal="center" vertical="center"/>
      <protection locked="0"/>
    </xf>
    <xf numFmtId="164" fontId="49" fillId="0" borderId="0" xfId="0" applyNumberFormat="1" applyFont="1"/>
    <xf numFmtId="9" fontId="6" fillId="11" borderId="27" xfId="0" applyNumberFormat="1" applyFont="1" applyFill="1" applyBorder="1" applyProtection="1">
      <protection locked="0"/>
    </xf>
    <xf numFmtId="164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4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21" fillId="11" borderId="78" xfId="0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4" fontId="52" fillId="13" borderId="51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26" fillId="7" borderId="0" xfId="3" applyFont="1" applyFill="1" applyProtection="1"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6" fontId="43" fillId="9" borderId="24" xfId="0" applyNumberFormat="1" applyFont="1" applyFill="1" applyBorder="1" applyAlignment="1" applyProtection="1">
      <alignment horizontal="left" vertical="center"/>
      <protection locked="0"/>
    </xf>
    <xf numFmtId="166" fontId="43" fillId="9" borderId="25" xfId="0" applyNumberFormat="1" applyFont="1" applyFill="1" applyBorder="1" applyAlignment="1" applyProtection="1">
      <alignment horizontal="left" vertical="center"/>
      <protection locked="0"/>
    </xf>
    <xf numFmtId="166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4" xfId="0" applyFont="1" applyFill="1" applyBorder="1" applyAlignment="1">
      <alignment horizontal="center"/>
    </xf>
    <xf numFmtId="0" fontId="3" fillId="7" borderId="75" xfId="0" applyFont="1" applyFill="1" applyBorder="1" applyAlignment="1">
      <alignment horizontal="center"/>
    </xf>
    <xf numFmtId="0" fontId="3" fillId="7" borderId="76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4" fontId="7" fillId="11" borderId="5" xfId="0" applyNumberFormat="1" applyFont="1" applyFill="1" applyBorder="1" applyAlignment="1" applyProtection="1">
      <alignment horizontal="center" vertical="center"/>
      <protection locked="0"/>
    </xf>
    <xf numFmtId="164" fontId="7" fillId="11" borderId="0" xfId="0" applyNumberFormat="1" applyFont="1" applyFill="1" applyAlignment="1" applyProtection="1">
      <alignment horizontal="center" vertical="center"/>
      <protection locked="0"/>
    </xf>
    <xf numFmtId="164" fontId="7" fillId="11" borderId="8" xfId="0" applyNumberFormat="1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center" vertical="center"/>
      <protection locked="0"/>
    </xf>
    <xf numFmtId="164" fontId="5" fillId="11" borderId="18" xfId="0" applyNumberFormat="1" applyFont="1" applyFill="1" applyBorder="1" applyAlignment="1" applyProtection="1">
      <alignment horizontal="center" vertical="center"/>
      <protection locked="0"/>
    </xf>
    <xf numFmtId="164" fontId="5" fillId="11" borderId="14" xfId="0" applyNumberFormat="1" applyFont="1" applyFill="1" applyBorder="1" applyAlignment="1" applyProtection="1">
      <alignment horizontal="center" vertical="center"/>
      <protection locked="0"/>
    </xf>
    <xf numFmtId="164" fontId="5" fillId="13" borderId="13" xfId="0" applyNumberFormat="1" applyFont="1" applyFill="1" applyBorder="1" applyAlignment="1" applyProtection="1">
      <alignment horizontal="center" vertical="center"/>
      <protection locked="0"/>
    </xf>
    <xf numFmtId="164" fontId="5" fillId="13" borderId="18" xfId="0" applyNumberFormat="1" applyFont="1" applyFill="1" applyBorder="1" applyAlignment="1" applyProtection="1">
      <alignment horizontal="center" vertical="center"/>
      <protection locked="0"/>
    </xf>
    <xf numFmtId="164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4" fontId="7" fillId="11" borderId="13" xfId="0" applyNumberFormat="1" applyFont="1" applyFill="1" applyBorder="1" applyAlignment="1" applyProtection="1">
      <alignment horizontal="center" vertical="center"/>
      <protection locked="0"/>
    </xf>
    <xf numFmtId="164" fontId="7" fillId="11" borderId="18" xfId="0" applyNumberFormat="1" applyFont="1" applyFill="1" applyBorder="1" applyAlignment="1" applyProtection="1">
      <alignment horizontal="center" vertical="center"/>
      <protection locked="0"/>
    </xf>
    <xf numFmtId="164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4" fontId="7" fillId="13" borderId="13" xfId="0" applyNumberFormat="1" applyFont="1" applyFill="1" applyBorder="1" applyAlignment="1" applyProtection="1">
      <alignment horizontal="center" vertical="center"/>
      <protection locked="0"/>
    </xf>
    <xf numFmtId="164" fontId="7" fillId="13" borderId="18" xfId="0" applyNumberFormat="1" applyFont="1" applyFill="1" applyBorder="1" applyAlignment="1" applyProtection="1">
      <alignment horizontal="center" vertical="center"/>
      <protection locked="0"/>
    </xf>
    <xf numFmtId="164" fontId="7" fillId="13" borderId="14" xfId="0" applyNumberFormat="1" applyFont="1" applyFill="1" applyBorder="1" applyAlignment="1" applyProtection="1">
      <alignment horizontal="center" vertical="center"/>
      <protection locked="0"/>
    </xf>
    <xf numFmtId="164" fontId="7" fillId="13" borderId="5" xfId="0" applyNumberFormat="1" applyFont="1" applyFill="1" applyBorder="1" applyAlignment="1" applyProtection="1">
      <alignment horizontal="center" vertical="center"/>
      <protection locked="0"/>
    </xf>
    <xf numFmtId="164" fontId="7" fillId="13" borderId="0" xfId="0" applyNumberFormat="1" applyFont="1" applyFill="1" applyAlignment="1" applyProtection="1">
      <alignment horizontal="center" vertical="center"/>
      <protection locked="0"/>
    </xf>
    <xf numFmtId="164" fontId="7" fillId="13" borderId="8" xfId="0" applyNumberFormat="1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left" vertical="center"/>
      <protection locked="0"/>
    </xf>
    <xf numFmtId="164" fontId="5" fillId="11" borderId="18" xfId="0" applyNumberFormat="1" applyFont="1" applyFill="1" applyBorder="1" applyAlignment="1" applyProtection="1">
      <alignment horizontal="left" vertical="center"/>
      <protection locked="0"/>
    </xf>
    <xf numFmtId="164" fontId="5" fillId="11" borderId="14" xfId="0" applyNumberFormat="1" applyFont="1" applyFill="1" applyBorder="1" applyAlignment="1" applyProtection="1">
      <alignment horizontal="left" vertical="center"/>
      <protection locked="0"/>
    </xf>
    <xf numFmtId="164" fontId="7" fillId="10" borderId="13" xfId="0" applyNumberFormat="1" applyFont="1" applyFill="1" applyBorder="1" applyAlignment="1" applyProtection="1">
      <alignment horizontal="center" vertical="center"/>
      <protection locked="0"/>
    </xf>
    <xf numFmtId="164" fontId="7" fillId="10" borderId="18" xfId="0" applyNumberFormat="1" applyFont="1" applyFill="1" applyBorder="1" applyAlignment="1" applyProtection="1">
      <alignment horizontal="center" vertical="center"/>
      <protection locked="0"/>
    </xf>
    <xf numFmtId="164" fontId="7" fillId="10" borderId="14" xfId="0" applyNumberFormat="1" applyFont="1" applyFill="1" applyBorder="1" applyAlignment="1" applyProtection="1">
      <alignment horizontal="center" vertical="center"/>
      <protection locked="0"/>
    </xf>
    <xf numFmtId="164" fontId="7" fillId="10" borderId="5" xfId="0" applyNumberFormat="1" applyFont="1" applyFill="1" applyBorder="1" applyAlignment="1" applyProtection="1">
      <alignment horizontal="center" vertical="center"/>
      <protection locked="0"/>
    </xf>
    <xf numFmtId="164" fontId="7" fillId="10" borderId="0" xfId="0" applyNumberFormat="1" applyFont="1" applyFill="1" applyAlignment="1" applyProtection="1">
      <alignment horizontal="center" vertical="center"/>
      <protection locked="0"/>
    </xf>
    <xf numFmtId="164" fontId="7" fillId="10" borderId="8" xfId="0" applyNumberFormat="1" applyFont="1" applyFill="1" applyBorder="1" applyAlignment="1" applyProtection="1">
      <alignment horizontal="center" vertical="center"/>
      <protection locked="0"/>
    </xf>
    <xf numFmtId="164" fontId="7" fillId="11" borderId="4" xfId="0" applyNumberFormat="1" applyFont="1" applyFill="1" applyBorder="1" applyAlignment="1" applyProtection="1">
      <alignment horizontal="center" vertical="center"/>
      <protection locked="0"/>
    </xf>
    <xf numFmtId="164" fontId="7" fillId="11" borderId="44" xfId="0" applyNumberFormat="1" applyFont="1" applyFill="1" applyBorder="1" applyAlignment="1" applyProtection="1">
      <alignment horizontal="center" vertical="center"/>
      <protection locked="0"/>
    </xf>
    <xf numFmtId="164" fontId="7" fillId="11" borderId="7" xfId="0" applyNumberFormat="1" applyFont="1" applyFill="1" applyBorder="1" applyAlignment="1" applyProtection="1">
      <alignment horizontal="center" vertical="center"/>
      <protection locked="0"/>
    </xf>
    <xf numFmtId="164" fontId="7" fillId="11" borderId="6" xfId="0" applyNumberFormat="1" applyFont="1" applyFill="1" applyBorder="1" applyAlignment="1" applyProtection="1">
      <alignment horizontal="center" vertical="center"/>
      <protection locked="0"/>
    </xf>
    <xf numFmtId="164" fontId="7" fillId="11" borderId="50" xfId="0" applyNumberFormat="1" applyFont="1" applyFill="1" applyBorder="1" applyAlignment="1" applyProtection="1">
      <alignment horizontal="center" vertical="center"/>
      <protection locked="0"/>
    </xf>
    <xf numFmtId="164" fontId="7" fillId="11" borderId="9" xfId="0" applyNumberFormat="1" applyFont="1" applyFill="1" applyBorder="1" applyAlignment="1" applyProtection="1">
      <alignment horizontal="center" vertical="center"/>
      <protection locked="0"/>
    </xf>
    <xf numFmtId="164" fontId="5" fillId="10" borderId="13" xfId="0" applyNumberFormat="1" applyFont="1" applyFill="1" applyBorder="1" applyAlignment="1" applyProtection="1">
      <alignment horizontal="center" vertical="center"/>
      <protection locked="0"/>
    </xf>
    <xf numFmtId="164" fontId="5" fillId="10" borderId="18" xfId="0" applyNumberFormat="1" applyFont="1" applyFill="1" applyBorder="1" applyAlignment="1" applyProtection="1">
      <alignment horizontal="center" vertical="center"/>
      <protection locked="0"/>
    </xf>
    <xf numFmtId="164" fontId="5" fillId="10" borderId="14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9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font>
        <color auto="1"/>
      </font>
    </dxf>
    <dxf>
      <numFmt numFmtId="164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929567.2052320675</c:v>
                </c:pt>
                <c:pt idx="24">
                  <c:v>929567.2052320675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2523110.9856298976</c:v>
                </c:pt>
                <c:pt idx="28">
                  <c:v>2523110.9856298976</c:v>
                </c:pt>
                <c:pt idx="29">
                  <c:v>2523110.9856298976</c:v>
                </c:pt>
                <c:pt idx="30">
                  <c:v>2523110.9856298976</c:v>
                </c:pt>
                <c:pt idx="31">
                  <c:v>2523110.9856298976</c:v>
                </c:pt>
                <c:pt idx="32">
                  <c:v>2523110.9856298976</c:v>
                </c:pt>
                <c:pt idx="33">
                  <c:v>2523110.9856298976</c:v>
                </c:pt>
                <c:pt idx="34">
                  <c:v>2523110.9856298976</c:v>
                </c:pt>
                <c:pt idx="35">
                  <c:v>2523110.9856298976</c:v>
                </c:pt>
                <c:pt idx="36">
                  <c:v>2523110.9856298976</c:v>
                </c:pt>
                <c:pt idx="37">
                  <c:v>2523110.9856298976</c:v>
                </c:pt>
                <c:pt idx="38">
                  <c:v>2523110.9856298976</c:v>
                </c:pt>
                <c:pt idx="39">
                  <c:v>2523110.9856298976</c:v>
                </c:pt>
                <c:pt idx="40">
                  <c:v>2523110.9856298976</c:v>
                </c:pt>
                <c:pt idx="41">
                  <c:v>2523110.9856298976</c:v>
                </c:pt>
                <c:pt idx="42">
                  <c:v>2523110.9856298976</c:v>
                </c:pt>
                <c:pt idx="43">
                  <c:v>2523110.9856298976</c:v>
                </c:pt>
                <c:pt idx="44">
                  <c:v>2523110.9856298976</c:v>
                </c:pt>
                <c:pt idx="45">
                  <c:v>2523110.9856298976</c:v>
                </c:pt>
                <c:pt idx="46">
                  <c:v>2523110.9856298976</c:v>
                </c:pt>
                <c:pt idx="47">
                  <c:v>2523110.9856298976</c:v>
                </c:pt>
                <c:pt idx="48">
                  <c:v>2523110.9856298976</c:v>
                </c:pt>
                <c:pt idx="49">
                  <c:v>2523110.9856298976</c:v>
                </c:pt>
                <c:pt idx="50">
                  <c:v>2523110.9856298976</c:v>
                </c:pt>
                <c:pt idx="51">
                  <c:v>2523110.9856298976</c:v>
                </c:pt>
                <c:pt idx="52">
                  <c:v>2523110.9856298976</c:v>
                </c:pt>
                <c:pt idx="53">
                  <c:v>2523110.9856298976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18000</c:v>
                </c:pt>
                <c:pt idx="12">
                  <c:v>18000</c:v>
                </c:pt>
                <c:pt idx="13">
                  <c:v>18000</c:v>
                </c:pt>
                <c:pt idx="14">
                  <c:v>18000</c:v>
                </c:pt>
                <c:pt idx="15">
                  <c:v>22375</c:v>
                </c:pt>
                <c:pt idx="16">
                  <c:v>22375</c:v>
                </c:pt>
                <c:pt idx="17">
                  <c:v>22375</c:v>
                </c:pt>
                <c:pt idx="18">
                  <c:v>37375</c:v>
                </c:pt>
                <c:pt idx="19">
                  <c:v>344126.81739130436</c:v>
                </c:pt>
                <c:pt idx="20">
                  <c:v>344126.81739130436</c:v>
                </c:pt>
                <c:pt idx="21">
                  <c:v>490426.81739130436</c:v>
                </c:pt>
                <c:pt idx="22">
                  <c:v>490426.81739130436</c:v>
                </c:pt>
                <c:pt idx="23">
                  <c:v>490426.81739130436</c:v>
                </c:pt>
                <c:pt idx="24">
                  <c:v>790426.8173913043</c:v>
                </c:pt>
                <c:pt idx="25">
                  <c:v>824426.8173913043</c:v>
                </c:pt>
                <c:pt idx="26">
                  <c:v>824426.8173913043</c:v>
                </c:pt>
                <c:pt idx="27">
                  <c:v>1864598.2173913042</c:v>
                </c:pt>
                <c:pt idx="28">
                  <c:v>1864598.2173913042</c:v>
                </c:pt>
                <c:pt idx="29">
                  <c:v>1864598.2173913042</c:v>
                </c:pt>
                <c:pt idx="30">
                  <c:v>1864598.2173913042</c:v>
                </c:pt>
                <c:pt idx="31">
                  <c:v>2029528.1328346701</c:v>
                </c:pt>
                <c:pt idx="32">
                  <c:v>2029528.1328346701</c:v>
                </c:pt>
                <c:pt idx="33">
                  <c:v>2029528.1328346701</c:v>
                </c:pt>
                <c:pt idx="34">
                  <c:v>2040528.1328346701</c:v>
                </c:pt>
                <c:pt idx="35">
                  <c:v>2040528.1328346701</c:v>
                </c:pt>
                <c:pt idx="36">
                  <c:v>2415274.7995013366</c:v>
                </c:pt>
                <c:pt idx="37">
                  <c:v>2415274.7995013366</c:v>
                </c:pt>
                <c:pt idx="38">
                  <c:v>2415274.7995013366</c:v>
                </c:pt>
                <c:pt idx="39">
                  <c:v>2415274.7995013366</c:v>
                </c:pt>
                <c:pt idx="40">
                  <c:v>2415274.7995013366</c:v>
                </c:pt>
                <c:pt idx="41">
                  <c:v>2415274.7995013366</c:v>
                </c:pt>
                <c:pt idx="42">
                  <c:v>2415274.7995013366</c:v>
                </c:pt>
                <c:pt idx="43">
                  <c:v>2415274.7995013366</c:v>
                </c:pt>
                <c:pt idx="44">
                  <c:v>2415274.7995013366</c:v>
                </c:pt>
                <c:pt idx="45">
                  <c:v>2415274.7995013366</c:v>
                </c:pt>
                <c:pt idx="46">
                  <c:v>2415274.7995013366</c:v>
                </c:pt>
                <c:pt idx="47">
                  <c:v>2415274.7995013366</c:v>
                </c:pt>
                <c:pt idx="48">
                  <c:v>2415274.7995013366</c:v>
                </c:pt>
                <c:pt idx="49">
                  <c:v>2415274.7995013366</c:v>
                </c:pt>
                <c:pt idx="50">
                  <c:v>2415274.7995013366</c:v>
                </c:pt>
                <c:pt idx="51">
                  <c:v>2415274.7995013366</c:v>
                </c:pt>
                <c:pt idx="52">
                  <c:v>2415274.7995013366</c:v>
                </c:pt>
                <c:pt idx="53">
                  <c:v>2415274.7995013366</c:v>
                </c:pt>
                <c:pt idx="54">
                  <c:v>2415274.7995013366</c:v>
                </c:pt>
                <c:pt idx="55">
                  <c:v>2415274.7995013366</c:v>
                </c:pt>
                <c:pt idx="56">
                  <c:v>2415274.7995013366</c:v>
                </c:pt>
                <c:pt idx="57">
                  <c:v>2415274.7995013366</c:v>
                </c:pt>
                <c:pt idx="58">
                  <c:v>2415274.7995013366</c:v>
                </c:pt>
                <c:pt idx="59">
                  <c:v>2415274.7995013366</c:v>
                </c:pt>
                <c:pt idx="60">
                  <c:v>2415274.7995013366</c:v>
                </c:pt>
                <c:pt idx="61">
                  <c:v>2415274.7995013366</c:v>
                </c:pt>
                <c:pt idx="62">
                  <c:v>2415274.7995013366</c:v>
                </c:pt>
                <c:pt idx="63">
                  <c:v>2415274.7995013366</c:v>
                </c:pt>
                <c:pt idx="64">
                  <c:v>2415274.7995013366</c:v>
                </c:pt>
                <c:pt idx="65">
                  <c:v>2415274.7995013366</c:v>
                </c:pt>
                <c:pt idx="66">
                  <c:v>2415274.7995013366</c:v>
                </c:pt>
                <c:pt idx="67">
                  <c:v>2415274.7995013366</c:v>
                </c:pt>
                <c:pt idx="68">
                  <c:v>2415274.7995013366</c:v>
                </c:pt>
                <c:pt idx="69">
                  <c:v>2415274.7995013366</c:v>
                </c:pt>
                <c:pt idx="70">
                  <c:v>2415274.7995013366</c:v>
                </c:pt>
                <c:pt idx="71">
                  <c:v>2415274.7995013366</c:v>
                </c:pt>
                <c:pt idx="72">
                  <c:v>2415274.7995013366</c:v>
                </c:pt>
                <c:pt idx="73">
                  <c:v>2415274.7995013366</c:v>
                </c:pt>
                <c:pt idx="74">
                  <c:v>2415274.7995013366</c:v>
                </c:pt>
                <c:pt idx="75">
                  <c:v>2415274.7995013366</c:v>
                </c:pt>
                <c:pt idx="76">
                  <c:v>2415274.7995013366</c:v>
                </c:pt>
                <c:pt idx="77">
                  <c:v>2415274.7995013366</c:v>
                </c:pt>
                <c:pt idx="78">
                  <c:v>2415274.7995013366</c:v>
                </c:pt>
                <c:pt idx="79">
                  <c:v>2415274.7995013366</c:v>
                </c:pt>
                <c:pt idx="80">
                  <c:v>2415274.7995013366</c:v>
                </c:pt>
                <c:pt idx="81">
                  <c:v>2415274.7995013366</c:v>
                </c:pt>
                <c:pt idx="82">
                  <c:v>2415274.7995013366</c:v>
                </c:pt>
                <c:pt idx="83">
                  <c:v>2415274.7995013366</c:v>
                </c:pt>
                <c:pt idx="84">
                  <c:v>2415274.7995013366</c:v>
                </c:pt>
                <c:pt idx="85">
                  <c:v>2415274.7995013366</c:v>
                </c:pt>
                <c:pt idx="86">
                  <c:v>2415274.7995013366</c:v>
                </c:pt>
                <c:pt idx="87">
                  <c:v>2415274.7995013366</c:v>
                </c:pt>
                <c:pt idx="88">
                  <c:v>2415274.7995013366</c:v>
                </c:pt>
                <c:pt idx="89">
                  <c:v>2415274.7995013366</c:v>
                </c:pt>
                <c:pt idx="90">
                  <c:v>2415274.7995013366</c:v>
                </c:pt>
                <c:pt idx="91">
                  <c:v>2415274.7995013366</c:v>
                </c:pt>
                <c:pt idx="92">
                  <c:v>2415274.7995013366</c:v>
                </c:pt>
                <c:pt idx="93">
                  <c:v>2415274.7995013366</c:v>
                </c:pt>
                <c:pt idx="94">
                  <c:v>2415274.7995013366</c:v>
                </c:pt>
                <c:pt idx="95">
                  <c:v>2415274.7995013366</c:v>
                </c:pt>
                <c:pt idx="96">
                  <c:v>2415274.7995013366</c:v>
                </c:pt>
                <c:pt idx="97">
                  <c:v>2415274.7995013366</c:v>
                </c:pt>
                <c:pt idx="98">
                  <c:v>2415274.7995013366</c:v>
                </c:pt>
                <c:pt idx="99">
                  <c:v>2415274.7995013366</c:v>
                </c:pt>
                <c:pt idx="100">
                  <c:v>2415274.7995013366</c:v>
                </c:pt>
                <c:pt idx="101">
                  <c:v>2415274.7995013366</c:v>
                </c:pt>
                <c:pt idx="102">
                  <c:v>2415274.7995013366</c:v>
                </c:pt>
                <c:pt idx="103">
                  <c:v>2415274.7995013366</c:v>
                </c:pt>
                <c:pt idx="104">
                  <c:v>2415274.7995013366</c:v>
                </c:pt>
                <c:pt idx="105">
                  <c:v>2415274.7995013366</c:v>
                </c:pt>
                <c:pt idx="106">
                  <c:v>2415274.7995013366</c:v>
                </c:pt>
                <c:pt idx="107">
                  <c:v>2415274.7995013366</c:v>
                </c:pt>
                <c:pt idx="108">
                  <c:v>2415274.7995013366</c:v>
                </c:pt>
                <c:pt idx="109">
                  <c:v>2415274.7995013366</c:v>
                </c:pt>
                <c:pt idx="110">
                  <c:v>2415274.7995013366</c:v>
                </c:pt>
                <c:pt idx="111">
                  <c:v>2415274.7995013366</c:v>
                </c:pt>
                <c:pt idx="112">
                  <c:v>2415274.7995013366</c:v>
                </c:pt>
                <c:pt idx="113">
                  <c:v>2415274.7995013366</c:v>
                </c:pt>
                <c:pt idx="114">
                  <c:v>2415274.7995013366</c:v>
                </c:pt>
                <c:pt idx="115">
                  <c:v>2415274.7995013366</c:v>
                </c:pt>
                <c:pt idx="116">
                  <c:v>2415274.7995013366</c:v>
                </c:pt>
                <c:pt idx="117">
                  <c:v>2415274.7995013366</c:v>
                </c:pt>
                <c:pt idx="118">
                  <c:v>2415274.7995013366</c:v>
                </c:pt>
                <c:pt idx="119">
                  <c:v>2415274.7995013366</c:v>
                </c:pt>
                <c:pt idx="120">
                  <c:v>2415274.7995013366</c:v>
                </c:pt>
                <c:pt idx="121">
                  <c:v>2415274.7995013366</c:v>
                </c:pt>
                <c:pt idx="122">
                  <c:v>2415274.7995013366</c:v>
                </c:pt>
                <c:pt idx="123">
                  <c:v>2415274.7995013366</c:v>
                </c:pt>
                <c:pt idx="124">
                  <c:v>2415274.7995013366</c:v>
                </c:pt>
                <c:pt idx="125">
                  <c:v>2415274.7995013366</c:v>
                </c:pt>
                <c:pt idx="126">
                  <c:v>2415274.7995013366</c:v>
                </c:pt>
                <c:pt idx="127">
                  <c:v>2415274.7995013366</c:v>
                </c:pt>
                <c:pt idx="128">
                  <c:v>2415274.7995013366</c:v>
                </c:pt>
                <c:pt idx="129">
                  <c:v>2415274.7995013366</c:v>
                </c:pt>
                <c:pt idx="130">
                  <c:v>2415274.7995013366</c:v>
                </c:pt>
                <c:pt idx="131">
                  <c:v>2415274.7995013366</c:v>
                </c:pt>
                <c:pt idx="132">
                  <c:v>2415274.7995013366</c:v>
                </c:pt>
                <c:pt idx="133">
                  <c:v>2415274.7995013366</c:v>
                </c:pt>
                <c:pt idx="134">
                  <c:v>2415274.7995013366</c:v>
                </c:pt>
                <c:pt idx="135">
                  <c:v>2415274.7995013366</c:v>
                </c:pt>
                <c:pt idx="136">
                  <c:v>2415274.7995013366</c:v>
                </c:pt>
                <c:pt idx="137">
                  <c:v>2415274.7995013366</c:v>
                </c:pt>
                <c:pt idx="138">
                  <c:v>2415274.7995013366</c:v>
                </c:pt>
                <c:pt idx="139">
                  <c:v>2415274.7995013366</c:v>
                </c:pt>
                <c:pt idx="140">
                  <c:v>2415274.7995013366</c:v>
                </c:pt>
                <c:pt idx="141">
                  <c:v>2415274.7995013366</c:v>
                </c:pt>
                <c:pt idx="142">
                  <c:v>2415274.7995013366</c:v>
                </c:pt>
                <c:pt idx="143">
                  <c:v>2415274.7995013366</c:v>
                </c:pt>
                <c:pt idx="144">
                  <c:v>2415274.7995013366</c:v>
                </c:pt>
                <c:pt idx="145">
                  <c:v>2415274.7995013366</c:v>
                </c:pt>
                <c:pt idx="146">
                  <c:v>2415274.7995013366</c:v>
                </c:pt>
                <c:pt idx="147">
                  <c:v>2415274.7995013366</c:v>
                </c:pt>
                <c:pt idx="148">
                  <c:v>2415274.7995013366</c:v>
                </c:pt>
                <c:pt idx="149">
                  <c:v>2415274.7995013366</c:v>
                </c:pt>
                <c:pt idx="150">
                  <c:v>2415274.7995013366</c:v>
                </c:pt>
                <c:pt idx="151">
                  <c:v>2415274.7995013366</c:v>
                </c:pt>
                <c:pt idx="152">
                  <c:v>2415274.7995013366</c:v>
                </c:pt>
                <c:pt idx="153">
                  <c:v>2415274.7995013366</c:v>
                </c:pt>
                <c:pt idx="154">
                  <c:v>2415274.7995013366</c:v>
                </c:pt>
                <c:pt idx="155">
                  <c:v>2415274.7995013366</c:v>
                </c:pt>
                <c:pt idx="156">
                  <c:v>2415274.7995013366</c:v>
                </c:pt>
                <c:pt idx="157">
                  <c:v>2415274.7995013366</c:v>
                </c:pt>
                <c:pt idx="158">
                  <c:v>2415274.7995013366</c:v>
                </c:pt>
                <c:pt idx="159">
                  <c:v>2415274.7995013366</c:v>
                </c:pt>
                <c:pt idx="160">
                  <c:v>2415274.7995013366</c:v>
                </c:pt>
                <c:pt idx="161">
                  <c:v>2415274.7995013366</c:v>
                </c:pt>
                <c:pt idx="162">
                  <c:v>2415274.7995013366</c:v>
                </c:pt>
                <c:pt idx="163">
                  <c:v>2415274.7995013366</c:v>
                </c:pt>
                <c:pt idx="164">
                  <c:v>2415274.7995013366</c:v>
                </c:pt>
                <c:pt idx="165">
                  <c:v>2415274.7995013366</c:v>
                </c:pt>
                <c:pt idx="166">
                  <c:v>2415274.7995013366</c:v>
                </c:pt>
                <c:pt idx="167">
                  <c:v>2415274.7995013366</c:v>
                </c:pt>
                <c:pt idx="168">
                  <c:v>2415274.7995013366</c:v>
                </c:pt>
                <c:pt idx="169">
                  <c:v>2415274.7995013366</c:v>
                </c:pt>
                <c:pt idx="170">
                  <c:v>2415274.7995013366</c:v>
                </c:pt>
                <c:pt idx="171">
                  <c:v>2415274.7995013366</c:v>
                </c:pt>
                <c:pt idx="172">
                  <c:v>2415274.7995013366</c:v>
                </c:pt>
                <c:pt idx="173">
                  <c:v>2415274.7995013366</c:v>
                </c:pt>
                <c:pt idx="174">
                  <c:v>2415274.7995013366</c:v>
                </c:pt>
                <c:pt idx="175">
                  <c:v>2415274.7995013366</c:v>
                </c:pt>
                <c:pt idx="176">
                  <c:v>2415274.7995013366</c:v>
                </c:pt>
                <c:pt idx="177">
                  <c:v>2415274.7995013366</c:v>
                </c:pt>
                <c:pt idx="178">
                  <c:v>2415274.7995013366</c:v>
                </c:pt>
                <c:pt idx="179">
                  <c:v>2415274.7995013366</c:v>
                </c:pt>
                <c:pt idx="180">
                  <c:v>2415274.7995013366</c:v>
                </c:pt>
                <c:pt idx="181">
                  <c:v>2415274.7995013366</c:v>
                </c:pt>
                <c:pt idx="182">
                  <c:v>2415274.7995013366</c:v>
                </c:pt>
                <c:pt idx="183">
                  <c:v>2415274.7995013366</c:v>
                </c:pt>
                <c:pt idx="184">
                  <c:v>2415274.7995013366</c:v>
                </c:pt>
                <c:pt idx="185">
                  <c:v>2415274.7995013366</c:v>
                </c:pt>
                <c:pt idx="186">
                  <c:v>2415274.7995013366</c:v>
                </c:pt>
                <c:pt idx="187">
                  <c:v>2415274.7995013366</c:v>
                </c:pt>
                <c:pt idx="188">
                  <c:v>2415274.7995013366</c:v>
                </c:pt>
                <c:pt idx="189">
                  <c:v>2415274.7995013366</c:v>
                </c:pt>
                <c:pt idx="190">
                  <c:v>2415274.7995013366</c:v>
                </c:pt>
                <c:pt idx="191">
                  <c:v>2415274.7995013366</c:v>
                </c:pt>
                <c:pt idx="192">
                  <c:v>2415274.7995013366</c:v>
                </c:pt>
                <c:pt idx="193">
                  <c:v>2415274.7995013366</c:v>
                </c:pt>
                <c:pt idx="194">
                  <c:v>2415274.7995013366</c:v>
                </c:pt>
                <c:pt idx="195">
                  <c:v>2415274.7995013366</c:v>
                </c:pt>
                <c:pt idx="196">
                  <c:v>2415274.7995013366</c:v>
                </c:pt>
                <c:pt idx="197">
                  <c:v>2415274.7995013366</c:v>
                </c:pt>
                <c:pt idx="198">
                  <c:v>2415274.7995013366</c:v>
                </c:pt>
                <c:pt idx="199">
                  <c:v>2415274.7995013366</c:v>
                </c:pt>
                <c:pt idx="200">
                  <c:v>2415274.7995013366</c:v>
                </c:pt>
                <c:pt idx="201">
                  <c:v>2415274.7995013366</c:v>
                </c:pt>
                <c:pt idx="202">
                  <c:v>2415274.7995013366</c:v>
                </c:pt>
                <c:pt idx="203">
                  <c:v>2415274.7995013366</c:v>
                </c:pt>
                <c:pt idx="204">
                  <c:v>2415274.7995013366</c:v>
                </c:pt>
                <c:pt idx="205">
                  <c:v>2415274.7995013366</c:v>
                </c:pt>
                <c:pt idx="206">
                  <c:v>2415274.7995013366</c:v>
                </c:pt>
                <c:pt idx="207">
                  <c:v>2415274.7995013366</c:v>
                </c:pt>
                <c:pt idx="208">
                  <c:v>2415274.7995013366</c:v>
                </c:pt>
                <c:pt idx="209">
                  <c:v>2415274.7995013366</c:v>
                </c:pt>
                <c:pt idx="210">
                  <c:v>2415274.7995013366</c:v>
                </c:pt>
                <c:pt idx="211">
                  <c:v>2415274.7995013366</c:v>
                </c:pt>
                <c:pt idx="212">
                  <c:v>2415274.7995013366</c:v>
                </c:pt>
                <c:pt idx="213">
                  <c:v>2415274.7995013366</c:v>
                </c:pt>
                <c:pt idx="214">
                  <c:v>2415274.7995013366</c:v>
                </c:pt>
                <c:pt idx="215">
                  <c:v>2415274.7995013366</c:v>
                </c:pt>
                <c:pt idx="216">
                  <c:v>2415274.7995013366</c:v>
                </c:pt>
                <c:pt idx="217">
                  <c:v>2415274.7995013366</c:v>
                </c:pt>
                <c:pt idx="218">
                  <c:v>2415274.7995013366</c:v>
                </c:pt>
                <c:pt idx="219">
                  <c:v>2415274.7995013366</c:v>
                </c:pt>
                <c:pt idx="220">
                  <c:v>2415274.7995013366</c:v>
                </c:pt>
                <c:pt idx="221">
                  <c:v>2415274.7995013366</c:v>
                </c:pt>
                <c:pt idx="222">
                  <c:v>2415274.7995013366</c:v>
                </c:pt>
                <c:pt idx="223">
                  <c:v>2415274.7995013366</c:v>
                </c:pt>
                <c:pt idx="224">
                  <c:v>2415274.7995013366</c:v>
                </c:pt>
                <c:pt idx="225">
                  <c:v>2415274.7995013366</c:v>
                </c:pt>
                <c:pt idx="226">
                  <c:v>2415274.7995013366</c:v>
                </c:pt>
                <c:pt idx="227">
                  <c:v>2415274.7995013366</c:v>
                </c:pt>
                <c:pt idx="228">
                  <c:v>2415274.7995013366</c:v>
                </c:pt>
                <c:pt idx="229">
                  <c:v>2415274.7995013366</c:v>
                </c:pt>
                <c:pt idx="230">
                  <c:v>2415274.7995013366</c:v>
                </c:pt>
                <c:pt idx="231">
                  <c:v>2415274.7995013366</c:v>
                </c:pt>
                <c:pt idx="232">
                  <c:v>2415274.7995013366</c:v>
                </c:pt>
                <c:pt idx="233">
                  <c:v>2415274.7995013366</c:v>
                </c:pt>
                <c:pt idx="234">
                  <c:v>2415274.7995013366</c:v>
                </c:pt>
                <c:pt idx="235">
                  <c:v>2415274.7995013366</c:v>
                </c:pt>
                <c:pt idx="236">
                  <c:v>2415274.7995013366</c:v>
                </c:pt>
                <c:pt idx="237">
                  <c:v>2415274.7995013366</c:v>
                </c:pt>
                <c:pt idx="238">
                  <c:v>2415274.7995013366</c:v>
                </c:pt>
                <c:pt idx="239">
                  <c:v>2415274.7995013366</c:v>
                </c:pt>
                <c:pt idx="240">
                  <c:v>2415274.7995013366</c:v>
                </c:pt>
                <c:pt idx="241">
                  <c:v>2415274.7995013366</c:v>
                </c:pt>
                <c:pt idx="242">
                  <c:v>2415274.7995013366</c:v>
                </c:pt>
                <c:pt idx="243">
                  <c:v>2415274.7995013366</c:v>
                </c:pt>
                <c:pt idx="244">
                  <c:v>2415274.7995013366</c:v>
                </c:pt>
                <c:pt idx="245">
                  <c:v>2415274.7995013366</c:v>
                </c:pt>
                <c:pt idx="246">
                  <c:v>2415274.7995013366</c:v>
                </c:pt>
                <c:pt idx="247">
                  <c:v>2415274.7995013366</c:v>
                </c:pt>
                <c:pt idx="248">
                  <c:v>2415274.7995013366</c:v>
                </c:pt>
                <c:pt idx="249">
                  <c:v>2415274.7995013366</c:v>
                </c:pt>
                <c:pt idx="250">
                  <c:v>2415274.7995013366</c:v>
                </c:pt>
                <c:pt idx="251">
                  <c:v>2415274.7995013366</c:v>
                </c:pt>
                <c:pt idx="252">
                  <c:v>2415274.7995013366</c:v>
                </c:pt>
                <c:pt idx="253">
                  <c:v>2415274.7995013366</c:v>
                </c:pt>
                <c:pt idx="254">
                  <c:v>2415274.7995013366</c:v>
                </c:pt>
                <c:pt idx="255">
                  <c:v>2415274.7995013366</c:v>
                </c:pt>
                <c:pt idx="256">
                  <c:v>2415274.7995013366</c:v>
                </c:pt>
                <c:pt idx="257">
                  <c:v>2415274.7995013366</c:v>
                </c:pt>
                <c:pt idx="258">
                  <c:v>2415274.7995013366</c:v>
                </c:pt>
                <c:pt idx="259">
                  <c:v>2415274.7995013366</c:v>
                </c:pt>
                <c:pt idx="260">
                  <c:v>2415274.7995013366</c:v>
                </c:pt>
                <c:pt idx="261">
                  <c:v>2415274.7995013366</c:v>
                </c:pt>
                <c:pt idx="262">
                  <c:v>2415274.7995013366</c:v>
                </c:pt>
                <c:pt idx="263">
                  <c:v>2415274.7995013366</c:v>
                </c:pt>
                <c:pt idx="264">
                  <c:v>2415274.7995013366</c:v>
                </c:pt>
                <c:pt idx="265">
                  <c:v>2415274.7995013366</c:v>
                </c:pt>
                <c:pt idx="266">
                  <c:v>2415274.7995013366</c:v>
                </c:pt>
                <c:pt idx="267">
                  <c:v>2415274.7995013366</c:v>
                </c:pt>
                <c:pt idx="268">
                  <c:v>2415274.7995013366</c:v>
                </c:pt>
                <c:pt idx="269">
                  <c:v>2415274.7995013366</c:v>
                </c:pt>
                <c:pt idx="270">
                  <c:v>2415274.7995013366</c:v>
                </c:pt>
                <c:pt idx="271">
                  <c:v>2415274.7995013366</c:v>
                </c:pt>
                <c:pt idx="272">
                  <c:v>2415274.7995013366</c:v>
                </c:pt>
                <c:pt idx="273">
                  <c:v>2415274.7995013366</c:v>
                </c:pt>
                <c:pt idx="274">
                  <c:v>2415274.7995013366</c:v>
                </c:pt>
                <c:pt idx="275">
                  <c:v>2415274.7995013366</c:v>
                </c:pt>
                <c:pt idx="276">
                  <c:v>2415274.7995013366</c:v>
                </c:pt>
                <c:pt idx="277">
                  <c:v>2415274.7995013366</c:v>
                </c:pt>
                <c:pt idx="278">
                  <c:v>2415274.7995013366</c:v>
                </c:pt>
                <c:pt idx="279">
                  <c:v>2415274.7995013366</c:v>
                </c:pt>
                <c:pt idx="280">
                  <c:v>2415274.7995013366</c:v>
                </c:pt>
                <c:pt idx="281">
                  <c:v>2415274.7995013366</c:v>
                </c:pt>
                <c:pt idx="282">
                  <c:v>2415274.7995013366</c:v>
                </c:pt>
                <c:pt idx="283">
                  <c:v>2415274.7995013366</c:v>
                </c:pt>
                <c:pt idx="284">
                  <c:v>2415274.7995013366</c:v>
                </c:pt>
                <c:pt idx="285">
                  <c:v>2415274.7995013366</c:v>
                </c:pt>
                <c:pt idx="286">
                  <c:v>2415274.7995013366</c:v>
                </c:pt>
                <c:pt idx="287">
                  <c:v>2415274.7995013366</c:v>
                </c:pt>
                <c:pt idx="288">
                  <c:v>2415274.7995013366</c:v>
                </c:pt>
                <c:pt idx="289">
                  <c:v>2415274.7995013366</c:v>
                </c:pt>
                <c:pt idx="290">
                  <c:v>2415274.7995013366</c:v>
                </c:pt>
                <c:pt idx="291">
                  <c:v>2415274.7995013366</c:v>
                </c:pt>
                <c:pt idx="292">
                  <c:v>2415274.7995013366</c:v>
                </c:pt>
                <c:pt idx="293">
                  <c:v>2415274.7995013366</c:v>
                </c:pt>
                <c:pt idx="294">
                  <c:v>2415274.7995013366</c:v>
                </c:pt>
                <c:pt idx="295">
                  <c:v>2415274.7995013366</c:v>
                </c:pt>
                <c:pt idx="296">
                  <c:v>2415274.7995013366</c:v>
                </c:pt>
                <c:pt idx="297">
                  <c:v>2415274.7995013366</c:v>
                </c:pt>
                <c:pt idx="298">
                  <c:v>2415274.7995013366</c:v>
                </c:pt>
                <c:pt idx="299">
                  <c:v>2415274.7995013366</c:v>
                </c:pt>
                <c:pt idx="300">
                  <c:v>2415274.7995013366</c:v>
                </c:pt>
                <c:pt idx="301">
                  <c:v>2415274.7995013366</c:v>
                </c:pt>
                <c:pt idx="302">
                  <c:v>2415274.7995013366</c:v>
                </c:pt>
                <c:pt idx="303">
                  <c:v>2415274.7995013366</c:v>
                </c:pt>
                <c:pt idx="304">
                  <c:v>2415274.7995013366</c:v>
                </c:pt>
                <c:pt idx="305">
                  <c:v>2415274.7995013366</c:v>
                </c:pt>
                <c:pt idx="306">
                  <c:v>2415274.7995013366</c:v>
                </c:pt>
                <c:pt idx="307">
                  <c:v>2415274.7995013366</c:v>
                </c:pt>
                <c:pt idx="308">
                  <c:v>2415274.7995013366</c:v>
                </c:pt>
                <c:pt idx="309">
                  <c:v>2415274.7995013366</c:v>
                </c:pt>
                <c:pt idx="310">
                  <c:v>2415274.7995013366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-18000</c:v>
                </c:pt>
                <c:pt idx="12">
                  <c:v>-18000</c:v>
                </c:pt>
                <c:pt idx="13">
                  <c:v>-18000</c:v>
                </c:pt>
                <c:pt idx="14">
                  <c:v>513181.26013260998</c:v>
                </c:pt>
                <c:pt idx="15">
                  <c:v>508806.26013260998</c:v>
                </c:pt>
                <c:pt idx="16">
                  <c:v>508806.26013260998</c:v>
                </c:pt>
                <c:pt idx="17">
                  <c:v>508806.26013260998</c:v>
                </c:pt>
                <c:pt idx="18">
                  <c:v>493806.26013260998</c:v>
                </c:pt>
                <c:pt idx="19">
                  <c:v>187054.44274130563</c:v>
                </c:pt>
                <c:pt idx="20">
                  <c:v>187054.44274130563</c:v>
                </c:pt>
                <c:pt idx="21">
                  <c:v>40754.442741305626</c:v>
                </c:pt>
                <c:pt idx="22">
                  <c:v>40754.442741305626</c:v>
                </c:pt>
                <c:pt idx="23">
                  <c:v>439140.38784076314</c:v>
                </c:pt>
                <c:pt idx="24">
                  <c:v>139140.3878407632</c:v>
                </c:pt>
                <c:pt idx="25">
                  <c:v>636321.64797337307</c:v>
                </c:pt>
                <c:pt idx="26">
                  <c:v>636321.64797337307</c:v>
                </c:pt>
                <c:pt idx="27">
                  <c:v>658512.76823859336</c:v>
                </c:pt>
                <c:pt idx="28">
                  <c:v>658512.76823859336</c:v>
                </c:pt>
                <c:pt idx="29">
                  <c:v>658512.76823859336</c:v>
                </c:pt>
                <c:pt idx="30">
                  <c:v>658512.76823859336</c:v>
                </c:pt>
                <c:pt idx="31">
                  <c:v>493582.85279522743</c:v>
                </c:pt>
                <c:pt idx="32">
                  <c:v>493582.85279522743</c:v>
                </c:pt>
                <c:pt idx="33">
                  <c:v>493582.85279522743</c:v>
                </c:pt>
                <c:pt idx="34">
                  <c:v>482582.85279522743</c:v>
                </c:pt>
                <c:pt idx="35">
                  <c:v>482582.85279522743</c:v>
                </c:pt>
                <c:pt idx="36">
                  <c:v>107836.18612856092</c:v>
                </c:pt>
                <c:pt idx="37">
                  <c:v>107836.18612856092</c:v>
                </c:pt>
                <c:pt idx="38">
                  <c:v>107836.18612856092</c:v>
                </c:pt>
                <c:pt idx="39">
                  <c:v>107836.18612856092</c:v>
                </c:pt>
                <c:pt idx="40">
                  <c:v>107836.18612856092</c:v>
                </c:pt>
                <c:pt idx="41">
                  <c:v>107836.18612856092</c:v>
                </c:pt>
                <c:pt idx="42">
                  <c:v>107836.18612856092</c:v>
                </c:pt>
                <c:pt idx="43">
                  <c:v>107836.18612856092</c:v>
                </c:pt>
                <c:pt idx="44">
                  <c:v>107836.18612856092</c:v>
                </c:pt>
                <c:pt idx="45">
                  <c:v>107836.18612856092</c:v>
                </c:pt>
                <c:pt idx="46">
                  <c:v>107836.18612856092</c:v>
                </c:pt>
                <c:pt idx="47">
                  <c:v>107836.18612856092</c:v>
                </c:pt>
                <c:pt idx="48">
                  <c:v>107836.18612856092</c:v>
                </c:pt>
                <c:pt idx="49">
                  <c:v>107836.18612856092</c:v>
                </c:pt>
                <c:pt idx="50">
                  <c:v>107836.18612856092</c:v>
                </c:pt>
                <c:pt idx="51">
                  <c:v>107836.18612856092</c:v>
                </c:pt>
                <c:pt idx="52">
                  <c:v>107836.18612856092</c:v>
                </c:pt>
                <c:pt idx="53">
                  <c:v>107836.18612856092</c:v>
                </c:pt>
                <c:pt idx="54">
                  <c:v>240631.50116171362</c:v>
                </c:pt>
                <c:pt idx="55">
                  <c:v>240631.50116171362</c:v>
                </c:pt>
                <c:pt idx="56">
                  <c:v>240631.50116171362</c:v>
                </c:pt>
                <c:pt idx="57">
                  <c:v>240631.50116171362</c:v>
                </c:pt>
                <c:pt idx="58">
                  <c:v>240631.50116171362</c:v>
                </c:pt>
                <c:pt idx="59">
                  <c:v>240631.50116171362</c:v>
                </c:pt>
                <c:pt idx="60">
                  <c:v>240631.50116171362</c:v>
                </c:pt>
                <c:pt idx="61">
                  <c:v>240631.50116171362</c:v>
                </c:pt>
                <c:pt idx="62">
                  <c:v>240631.50116171362</c:v>
                </c:pt>
                <c:pt idx="63">
                  <c:v>240631.50116171362</c:v>
                </c:pt>
                <c:pt idx="64">
                  <c:v>240631.50116171362</c:v>
                </c:pt>
                <c:pt idx="65">
                  <c:v>240631.50116171362</c:v>
                </c:pt>
                <c:pt idx="66">
                  <c:v>240631.50116171362</c:v>
                </c:pt>
                <c:pt idx="67">
                  <c:v>240631.50116171362</c:v>
                </c:pt>
                <c:pt idx="68">
                  <c:v>240631.50116171362</c:v>
                </c:pt>
                <c:pt idx="69">
                  <c:v>240631.50116171362</c:v>
                </c:pt>
                <c:pt idx="70">
                  <c:v>240631.50116171362</c:v>
                </c:pt>
                <c:pt idx="71">
                  <c:v>240631.50116171362</c:v>
                </c:pt>
                <c:pt idx="72">
                  <c:v>240631.50116171362</c:v>
                </c:pt>
                <c:pt idx="73">
                  <c:v>240631.50116171362</c:v>
                </c:pt>
                <c:pt idx="74">
                  <c:v>240631.50116171362</c:v>
                </c:pt>
                <c:pt idx="75">
                  <c:v>240631.50116171362</c:v>
                </c:pt>
                <c:pt idx="76">
                  <c:v>240631.50116171362</c:v>
                </c:pt>
                <c:pt idx="77">
                  <c:v>240631.50116171362</c:v>
                </c:pt>
                <c:pt idx="78">
                  <c:v>240631.50116171362</c:v>
                </c:pt>
                <c:pt idx="79">
                  <c:v>240631.50116171362</c:v>
                </c:pt>
                <c:pt idx="80">
                  <c:v>240631.50116171362</c:v>
                </c:pt>
                <c:pt idx="81">
                  <c:v>240631.50116171362</c:v>
                </c:pt>
                <c:pt idx="82">
                  <c:v>240631.50116171362</c:v>
                </c:pt>
                <c:pt idx="83">
                  <c:v>240631.50116171362</c:v>
                </c:pt>
                <c:pt idx="84">
                  <c:v>240631.50116171362</c:v>
                </c:pt>
                <c:pt idx="85">
                  <c:v>240631.50116171362</c:v>
                </c:pt>
                <c:pt idx="86">
                  <c:v>240631.50116171362</c:v>
                </c:pt>
                <c:pt idx="87">
                  <c:v>240631.50116171362</c:v>
                </c:pt>
                <c:pt idx="88">
                  <c:v>240631.50116171362</c:v>
                </c:pt>
                <c:pt idx="89">
                  <c:v>240631.50116171362</c:v>
                </c:pt>
                <c:pt idx="90">
                  <c:v>240631.50116171362</c:v>
                </c:pt>
                <c:pt idx="91">
                  <c:v>240631.50116171362</c:v>
                </c:pt>
                <c:pt idx="92">
                  <c:v>240631.50116171362</c:v>
                </c:pt>
                <c:pt idx="93">
                  <c:v>240631.50116171362</c:v>
                </c:pt>
                <c:pt idx="94">
                  <c:v>240631.50116171362</c:v>
                </c:pt>
                <c:pt idx="95">
                  <c:v>240631.50116171362</c:v>
                </c:pt>
                <c:pt idx="96">
                  <c:v>240631.50116171362</c:v>
                </c:pt>
                <c:pt idx="97">
                  <c:v>240631.50116171362</c:v>
                </c:pt>
                <c:pt idx="98">
                  <c:v>240631.50116171362</c:v>
                </c:pt>
                <c:pt idx="99">
                  <c:v>240631.50116171362</c:v>
                </c:pt>
                <c:pt idx="100">
                  <c:v>240631.50116171362</c:v>
                </c:pt>
                <c:pt idx="101">
                  <c:v>240631.50116171362</c:v>
                </c:pt>
                <c:pt idx="102">
                  <c:v>240631.50116171362</c:v>
                </c:pt>
                <c:pt idx="103">
                  <c:v>240631.50116171362</c:v>
                </c:pt>
                <c:pt idx="104">
                  <c:v>240631.50116171362</c:v>
                </c:pt>
                <c:pt idx="105">
                  <c:v>240631.50116171362</c:v>
                </c:pt>
                <c:pt idx="106">
                  <c:v>240631.50116171362</c:v>
                </c:pt>
                <c:pt idx="107">
                  <c:v>240631.50116171362</c:v>
                </c:pt>
                <c:pt idx="108">
                  <c:v>240631.50116171362</c:v>
                </c:pt>
                <c:pt idx="109">
                  <c:v>240631.50116171362</c:v>
                </c:pt>
                <c:pt idx="110">
                  <c:v>240631.50116171362</c:v>
                </c:pt>
                <c:pt idx="111">
                  <c:v>240631.50116171362</c:v>
                </c:pt>
                <c:pt idx="112">
                  <c:v>240631.50116171362</c:v>
                </c:pt>
                <c:pt idx="113">
                  <c:v>240631.50116171362</c:v>
                </c:pt>
                <c:pt idx="114">
                  <c:v>240631.50116171362</c:v>
                </c:pt>
                <c:pt idx="115">
                  <c:v>240631.50116171362</c:v>
                </c:pt>
                <c:pt idx="116">
                  <c:v>240631.50116171362</c:v>
                </c:pt>
                <c:pt idx="117">
                  <c:v>240631.50116171362</c:v>
                </c:pt>
                <c:pt idx="118">
                  <c:v>240631.50116171362</c:v>
                </c:pt>
                <c:pt idx="119">
                  <c:v>240631.50116171362</c:v>
                </c:pt>
                <c:pt idx="120">
                  <c:v>240631.50116171362</c:v>
                </c:pt>
                <c:pt idx="121">
                  <c:v>240631.50116171362</c:v>
                </c:pt>
                <c:pt idx="122">
                  <c:v>240631.50116171362</c:v>
                </c:pt>
                <c:pt idx="123">
                  <c:v>240631.50116171362</c:v>
                </c:pt>
                <c:pt idx="124">
                  <c:v>240631.50116171362</c:v>
                </c:pt>
                <c:pt idx="125">
                  <c:v>240631.50116171362</c:v>
                </c:pt>
                <c:pt idx="126">
                  <c:v>240631.50116171362</c:v>
                </c:pt>
                <c:pt idx="127">
                  <c:v>240631.50116171362</c:v>
                </c:pt>
                <c:pt idx="128">
                  <c:v>240631.50116171362</c:v>
                </c:pt>
                <c:pt idx="129">
                  <c:v>240631.50116171362</c:v>
                </c:pt>
                <c:pt idx="130">
                  <c:v>240631.50116171362</c:v>
                </c:pt>
                <c:pt idx="131">
                  <c:v>240631.50116171362</c:v>
                </c:pt>
                <c:pt idx="132">
                  <c:v>240631.50116171362</c:v>
                </c:pt>
                <c:pt idx="133">
                  <c:v>240631.50116171362</c:v>
                </c:pt>
                <c:pt idx="134">
                  <c:v>240631.50116171362</c:v>
                </c:pt>
                <c:pt idx="135">
                  <c:v>240631.50116171362</c:v>
                </c:pt>
                <c:pt idx="136">
                  <c:v>240631.50116171362</c:v>
                </c:pt>
                <c:pt idx="137">
                  <c:v>240631.50116171362</c:v>
                </c:pt>
                <c:pt idx="138">
                  <c:v>240631.50116171362</c:v>
                </c:pt>
                <c:pt idx="139">
                  <c:v>240631.50116171362</c:v>
                </c:pt>
                <c:pt idx="140">
                  <c:v>240631.50116171362</c:v>
                </c:pt>
                <c:pt idx="141">
                  <c:v>240631.50116171362</c:v>
                </c:pt>
                <c:pt idx="142">
                  <c:v>240631.50116171362</c:v>
                </c:pt>
                <c:pt idx="143">
                  <c:v>240631.50116171362</c:v>
                </c:pt>
                <c:pt idx="144">
                  <c:v>240631.50116171362</c:v>
                </c:pt>
                <c:pt idx="145">
                  <c:v>240631.50116171362</c:v>
                </c:pt>
                <c:pt idx="146">
                  <c:v>240631.50116171362</c:v>
                </c:pt>
                <c:pt idx="147">
                  <c:v>240631.50116171362</c:v>
                </c:pt>
                <c:pt idx="148">
                  <c:v>240631.50116171362</c:v>
                </c:pt>
                <c:pt idx="149">
                  <c:v>240631.50116171362</c:v>
                </c:pt>
                <c:pt idx="150">
                  <c:v>240631.50116171362</c:v>
                </c:pt>
                <c:pt idx="151">
                  <c:v>240631.50116171362</c:v>
                </c:pt>
                <c:pt idx="152">
                  <c:v>240631.50116171362</c:v>
                </c:pt>
                <c:pt idx="153">
                  <c:v>240631.50116171362</c:v>
                </c:pt>
                <c:pt idx="154">
                  <c:v>240631.50116171362</c:v>
                </c:pt>
                <c:pt idx="155">
                  <c:v>240631.50116171362</c:v>
                </c:pt>
                <c:pt idx="156">
                  <c:v>240631.50116171362</c:v>
                </c:pt>
                <c:pt idx="157">
                  <c:v>240631.50116171362</c:v>
                </c:pt>
                <c:pt idx="158">
                  <c:v>240631.50116171362</c:v>
                </c:pt>
                <c:pt idx="159">
                  <c:v>240631.50116171362</c:v>
                </c:pt>
                <c:pt idx="160">
                  <c:v>240631.50116171362</c:v>
                </c:pt>
                <c:pt idx="161">
                  <c:v>240631.50116171362</c:v>
                </c:pt>
                <c:pt idx="162">
                  <c:v>240631.50116171362</c:v>
                </c:pt>
                <c:pt idx="163">
                  <c:v>240631.50116171362</c:v>
                </c:pt>
                <c:pt idx="164">
                  <c:v>240631.50116171362</c:v>
                </c:pt>
                <c:pt idx="165">
                  <c:v>240631.50116171362</c:v>
                </c:pt>
                <c:pt idx="166">
                  <c:v>240631.50116171362</c:v>
                </c:pt>
                <c:pt idx="167">
                  <c:v>240631.50116171362</c:v>
                </c:pt>
                <c:pt idx="168">
                  <c:v>240631.50116171362</c:v>
                </c:pt>
                <c:pt idx="169">
                  <c:v>240631.50116171362</c:v>
                </c:pt>
                <c:pt idx="170">
                  <c:v>240631.50116171362</c:v>
                </c:pt>
                <c:pt idx="171">
                  <c:v>240631.50116171362</c:v>
                </c:pt>
                <c:pt idx="172">
                  <c:v>240631.50116171362</c:v>
                </c:pt>
                <c:pt idx="173">
                  <c:v>240631.50116171362</c:v>
                </c:pt>
                <c:pt idx="174">
                  <c:v>240631.50116171362</c:v>
                </c:pt>
                <c:pt idx="175">
                  <c:v>240631.50116171362</c:v>
                </c:pt>
                <c:pt idx="176">
                  <c:v>240631.50116171362</c:v>
                </c:pt>
                <c:pt idx="177">
                  <c:v>240631.50116171362</c:v>
                </c:pt>
                <c:pt idx="178">
                  <c:v>240631.50116171362</c:v>
                </c:pt>
                <c:pt idx="179">
                  <c:v>240631.50116171362</c:v>
                </c:pt>
                <c:pt idx="180">
                  <c:v>240631.50116171362</c:v>
                </c:pt>
                <c:pt idx="181">
                  <c:v>240631.50116171362</c:v>
                </c:pt>
                <c:pt idx="182">
                  <c:v>240631.50116171362</c:v>
                </c:pt>
                <c:pt idx="183">
                  <c:v>240631.50116171362</c:v>
                </c:pt>
                <c:pt idx="184">
                  <c:v>240631.50116171362</c:v>
                </c:pt>
                <c:pt idx="185">
                  <c:v>240631.50116171362</c:v>
                </c:pt>
                <c:pt idx="186">
                  <c:v>240631.50116171362</c:v>
                </c:pt>
                <c:pt idx="187">
                  <c:v>240631.50116171362</c:v>
                </c:pt>
                <c:pt idx="188">
                  <c:v>240631.50116171362</c:v>
                </c:pt>
                <c:pt idx="189">
                  <c:v>240631.50116171362</c:v>
                </c:pt>
                <c:pt idx="190">
                  <c:v>240631.50116171362</c:v>
                </c:pt>
                <c:pt idx="191">
                  <c:v>240631.50116171362</c:v>
                </c:pt>
                <c:pt idx="192">
                  <c:v>240631.50116171362</c:v>
                </c:pt>
                <c:pt idx="193">
                  <c:v>240631.50116171362</c:v>
                </c:pt>
                <c:pt idx="194">
                  <c:v>240631.50116171362</c:v>
                </c:pt>
                <c:pt idx="195">
                  <c:v>240631.50116171362</c:v>
                </c:pt>
                <c:pt idx="196">
                  <c:v>240631.50116171362</c:v>
                </c:pt>
                <c:pt idx="197">
                  <c:v>240631.50116171362</c:v>
                </c:pt>
                <c:pt idx="198">
                  <c:v>240631.50116171362</c:v>
                </c:pt>
                <c:pt idx="199">
                  <c:v>240631.50116171362</c:v>
                </c:pt>
                <c:pt idx="200">
                  <c:v>240631.50116171362</c:v>
                </c:pt>
                <c:pt idx="201">
                  <c:v>240631.50116171362</c:v>
                </c:pt>
                <c:pt idx="202">
                  <c:v>240631.50116171362</c:v>
                </c:pt>
                <c:pt idx="203">
                  <c:v>240631.50116171362</c:v>
                </c:pt>
                <c:pt idx="204">
                  <c:v>240631.50116171362</c:v>
                </c:pt>
                <c:pt idx="205">
                  <c:v>240631.50116171362</c:v>
                </c:pt>
                <c:pt idx="206">
                  <c:v>240631.50116171362</c:v>
                </c:pt>
                <c:pt idx="207">
                  <c:v>240631.50116171362</c:v>
                </c:pt>
                <c:pt idx="208">
                  <c:v>240631.50116171362</c:v>
                </c:pt>
                <c:pt idx="209">
                  <c:v>240631.50116171362</c:v>
                </c:pt>
                <c:pt idx="210">
                  <c:v>240631.50116171362</c:v>
                </c:pt>
                <c:pt idx="211">
                  <c:v>240631.50116171362</c:v>
                </c:pt>
                <c:pt idx="212">
                  <c:v>240631.50116171362</c:v>
                </c:pt>
                <c:pt idx="213">
                  <c:v>240631.50116171362</c:v>
                </c:pt>
                <c:pt idx="214">
                  <c:v>240631.50116171362</c:v>
                </c:pt>
                <c:pt idx="215">
                  <c:v>240631.50116171362</c:v>
                </c:pt>
                <c:pt idx="216">
                  <c:v>240631.50116171362</c:v>
                </c:pt>
                <c:pt idx="217">
                  <c:v>240631.50116171362</c:v>
                </c:pt>
                <c:pt idx="218">
                  <c:v>240631.50116171362</c:v>
                </c:pt>
                <c:pt idx="219">
                  <c:v>240631.50116171362</c:v>
                </c:pt>
                <c:pt idx="220">
                  <c:v>240631.50116171362</c:v>
                </c:pt>
                <c:pt idx="221">
                  <c:v>240631.50116171362</c:v>
                </c:pt>
                <c:pt idx="222">
                  <c:v>240631.50116171362</c:v>
                </c:pt>
                <c:pt idx="223">
                  <c:v>240631.50116171362</c:v>
                </c:pt>
                <c:pt idx="224">
                  <c:v>240631.50116171362</c:v>
                </c:pt>
                <c:pt idx="225">
                  <c:v>240631.50116171362</c:v>
                </c:pt>
                <c:pt idx="226">
                  <c:v>240631.50116171362</c:v>
                </c:pt>
                <c:pt idx="227">
                  <c:v>240631.50116171362</c:v>
                </c:pt>
                <c:pt idx="228">
                  <c:v>240631.50116171362</c:v>
                </c:pt>
                <c:pt idx="229">
                  <c:v>240631.50116171362</c:v>
                </c:pt>
                <c:pt idx="230">
                  <c:v>240631.50116171362</c:v>
                </c:pt>
                <c:pt idx="231">
                  <c:v>240631.50116171362</c:v>
                </c:pt>
                <c:pt idx="232">
                  <c:v>240631.50116171362</c:v>
                </c:pt>
                <c:pt idx="233">
                  <c:v>240631.50116171362</c:v>
                </c:pt>
                <c:pt idx="234">
                  <c:v>240631.50116171362</c:v>
                </c:pt>
                <c:pt idx="235">
                  <c:v>240631.50116171362</c:v>
                </c:pt>
                <c:pt idx="236">
                  <c:v>240631.50116171362</c:v>
                </c:pt>
                <c:pt idx="237">
                  <c:v>240631.50116171362</c:v>
                </c:pt>
                <c:pt idx="238">
                  <c:v>240631.50116171362</c:v>
                </c:pt>
                <c:pt idx="239">
                  <c:v>240631.50116171362</c:v>
                </c:pt>
                <c:pt idx="240">
                  <c:v>240631.50116171362</c:v>
                </c:pt>
                <c:pt idx="241">
                  <c:v>240631.50116171362</c:v>
                </c:pt>
                <c:pt idx="242">
                  <c:v>240631.50116171362</c:v>
                </c:pt>
                <c:pt idx="243">
                  <c:v>240631.50116171362</c:v>
                </c:pt>
                <c:pt idx="244">
                  <c:v>240631.50116171362</c:v>
                </c:pt>
                <c:pt idx="245">
                  <c:v>240631.50116171362</c:v>
                </c:pt>
                <c:pt idx="246">
                  <c:v>240631.50116171362</c:v>
                </c:pt>
                <c:pt idx="247">
                  <c:v>240631.50116171362</c:v>
                </c:pt>
                <c:pt idx="248">
                  <c:v>240631.50116171362</c:v>
                </c:pt>
                <c:pt idx="249">
                  <c:v>240631.50116171362</c:v>
                </c:pt>
                <c:pt idx="250">
                  <c:v>240631.50116171362</c:v>
                </c:pt>
                <c:pt idx="251">
                  <c:v>240631.50116171362</c:v>
                </c:pt>
                <c:pt idx="252">
                  <c:v>240631.50116171362</c:v>
                </c:pt>
                <c:pt idx="253">
                  <c:v>240631.50116171362</c:v>
                </c:pt>
                <c:pt idx="254">
                  <c:v>240631.50116171362</c:v>
                </c:pt>
                <c:pt idx="255">
                  <c:v>240631.50116171362</c:v>
                </c:pt>
                <c:pt idx="256">
                  <c:v>240631.50116171362</c:v>
                </c:pt>
                <c:pt idx="257">
                  <c:v>240631.50116171362</c:v>
                </c:pt>
                <c:pt idx="258">
                  <c:v>240631.50116171362</c:v>
                </c:pt>
                <c:pt idx="259">
                  <c:v>240631.50116171362</c:v>
                </c:pt>
                <c:pt idx="260">
                  <c:v>240631.50116171362</c:v>
                </c:pt>
                <c:pt idx="261">
                  <c:v>240631.50116171362</c:v>
                </c:pt>
                <c:pt idx="262">
                  <c:v>240631.50116171362</c:v>
                </c:pt>
                <c:pt idx="263">
                  <c:v>240631.50116171362</c:v>
                </c:pt>
                <c:pt idx="264">
                  <c:v>240631.50116171362</c:v>
                </c:pt>
                <c:pt idx="265">
                  <c:v>240631.50116171362</c:v>
                </c:pt>
                <c:pt idx="266">
                  <c:v>240631.50116171362</c:v>
                </c:pt>
                <c:pt idx="267">
                  <c:v>240631.50116171362</c:v>
                </c:pt>
                <c:pt idx="268">
                  <c:v>240631.50116171362</c:v>
                </c:pt>
                <c:pt idx="269">
                  <c:v>240631.50116171362</c:v>
                </c:pt>
                <c:pt idx="270">
                  <c:v>240631.50116171362</c:v>
                </c:pt>
                <c:pt idx="271">
                  <c:v>240631.50116171362</c:v>
                </c:pt>
                <c:pt idx="272">
                  <c:v>240631.50116171362</c:v>
                </c:pt>
                <c:pt idx="273">
                  <c:v>240631.50116171362</c:v>
                </c:pt>
                <c:pt idx="274">
                  <c:v>240631.50116171362</c:v>
                </c:pt>
                <c:pt idx="275">
                  <c:v>240631.50116171362</c:v>
                </c:pt>
                <c:pt idx="276">
                  <c:v>240631.50116171362</c:v>
                </c:pt>
                <c:pt idx="277">
                  <c:v>240631.50116171362</c:v>
                </c:pt>
                <c:pt idx="278">
                  <c:v>240631.50116171362</c:v>
                </c:pt>
                <c:pt idx="279">
                  <c:v>240631.50116171362</c:v>
                </c:pt>
                <c:pt idx="280">
                  <c:v>240631.50116171362</c:v>
                </c:pt>
                <c:pt idx="281">
                  <c:v>240631.50116171362</c:v>
                </c:pt>
                <c:pt idx="282">
                  <c:v>240631.50116171362</c:v>
                </c:pt>
                <c:pt idx="283">
                  <c:v>240631.50116171362</c:v>
                </c:pt>
                <c:pt idx="284">
                  <c:v>240631.50116171362</c:v>
                </c:pt>
                <c:pt idx="285">
                  <c:v>240631.50116171362</c:v>
                </c:pt>
                <c:pt idx="286">
                  <c:v>240631.50116171362</c:v>
                </c:pt>
                <c:pt idx="287">
                  <c:v>240631.50116171362</c:v>
                </c:pt>
                <c:pt idx="288">
                  <c:v>240631.50116171362</c:v>
                </c:pt>
                <c:pt idx="289">
                  <c:v>240631.50116171362</c:v>
                </c:pt>
                <c:pt idx="290">
                  <c:v>240631.50116171362</c:v>
                </c:pt>
                <c:pt idx="291">
                  <c:v>240631.50116171362</c:v>
                </c:pt>
                <c:pt idx="292">
                  <c:v>240631.50116171362</c:v>
                </c:pt>
                <c:pt idx="293">
                  <c:v>240631.50116171362</c:v>
                </c:pt>
                <c:pt idx="294">
                  <c:v>240631.50116171362</c:v>
                </c:pt>
                <c:pt idx="295">
                  <c:v>240631.50116171362</c:v>
                </c:pt>
                <c:pt idx="296">
                  <c:v>240631.50116171362</c:v>
                </c:pt>
                <c:pt idx="297">
                  <c:v>240631.50116171362</c:v>
                </c:pt>
                <c:pt idx="298">
                  <c:v>240631.50116171362</c:v>
                </c:pt>
                <c:pt idx="299">
                  <c:v>240631.50116171362</c:v>
                </c:pt>
                <c:pt idx="300">
                  <c:v>240631.50116171362</c:v>
                </c:pt>
                <c:pt idx="301">
                  <c:v>240631.50116171362</c:v>
                </c:pt>
                <c:pt idx="302">
                  <c:v>240631.50116171362</c:v>
                </c:pt>
                <c:pt idx="303">
                  <c:v>240631.50116171362</c:v>
                </c:pt>
                <c:pt idx="304">
                  <c:v>240631.50116171362</c:v>
                </c:pt>
                <c:pt idx="305">
                  <c:v>240631.50116171362</c:v>
                </c:pt>
                <c:pt idx="306">
                  <c:v>240631.50116171362</c:v>
                </c:pt>
                <c:pt idx="307">
                  <c:v>240631.50116171362</c:v>
                </c:pt>
                <c:pt idx="308">
                  <c:v>240631.50116171362</c:v>
                </c:pt>
                <c:pt idx="309">
                  <c:v>240631.50116171362</c:v>
                </c:pt>
                <c:pt idx="310">
                  <c:v>240631.50116171362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1460748.4653646774</c:v>
                </c:pt>
                <c:pt idx="24">
                  <c:v>1460748.4653646774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1460748.4653646774</c:v>
                </c:pt>
                <c:pt idx="28">
                  <c:v>1460748.4653646774</c:v>
                </c:pt>
                <c:pt idx="29">
                  <c:v>1460748.4653646774</c:v>
                </c:pt>
                <c:pt idx="30">
                  <c:v>2124725.0405304399</c:v>
                </c:pt>
                <c:pt idx="31">
                  <c:v>2124725.0405304399</c:v>
                </c:pt>
                <c:pt idx="32">
                  <c:v>2124725.0405304399</c:v>
                </c:pt>
                <c:pt idx="33">
                  <c:v>2124725.0405304399</c:v>
                </c:pt>
                <c:pt idx="34">
                  <c:v>2523110.9856298976</c:v>
                </c:pt>
                <c:pt idx="35">
                  <c:v>2655906.3006630503</c:v>
                </c:pt>
                <c:pt idx="36">
                  <c:v>2655906.3006630503</c:v>
                </c:pt>
                <c:pt idx="37">
                  <c:v>2655906.3006630503</c:v>
                </c:pt>
                <c:pt idx="38">
                  <c:v>2655906.3006630503</c:v>
                </c:pt>
                <c:pt idx="39">
                  <c:v>2655906.3006630503</c:v>
                </c:pt>
                <c:pt idx="40">
                  <c:v>2655906.3006630503</c:v>
                </c:pt>
                <c:pt idx="41">
                  <c:v>2655906.3006630503</c:v>
                </c:pt>
                <c:pt idx="42">
                  <c:v>2655906.3006630503</c:v>
                </c:pt>
                <c:pt idx="43">
                  <c:v>2655906.3006630503</c:v>
                </c:pt>
                <c:pt idx="44">
                  <c:v>2655906.3006630503</c:v>
                </c:pt>
                <c:pt idx="45">
                  <c:v>2655906.3006630503</c:v>
                </c:pt>
                <c:pt idx="46">
                  <c:v>2655906.3006630503</c:v>
                </c:pt>
                <c:pt idx="47">
                  <c:v>2655906.3006630503</c:v>
                </c:pt>
                <c:pt idx="48">
                  <c:v>2655906.3006630503</c:v>
                </c:pt>
                <c:pt idx="49">
                  <c:v>2655906.3006630503</c:v>
                </c:pt>
                <c:pt idx="50">
                  <c:v>2655906.3006630503</c:v>
                </c:pt>
                <c:pt idx="51">
                  <c:v>2655906.3006630503</c:v>
                </c:pt>
                <c:pt idx="52">
                  <c:v>2655906.3006630503</c:v>
                </c:pt>
                <c:pt idx="53">
                  <c:v>2655906.3006630503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9019.6</c:v>
                </c:pt>
                <c:pt idx="15">
                  <c:v>16769.599999999999</c:v>
                </c:pt>
                <c:pt idx="16">
                  <c:v>16769.599999999999</c:v>
                </c:pt>
                <c:pt idx="17">
                  <c:v>19020.099999999999</c:v>
                </c:pt>
                <c:pt idx="18">
                  <c:v>46575.1</c:v>
                </c:pt>
                <c:pt idx="19">
                  <c:v>54109.659999999996</c:v>
                </c:pt>
                <c:pt idx="20">
                  <c:v>61733.71</c:v>
                </c:pt>
                <c:pt idx="21">
                  <c:v>107041.4</c:v>
                </c:pt>
                <c:pt idx="22">
                  <c:v>205793.17300000001</c:v>
                </c:pt>
                <c:pt idx="23">
                  <c:v>217967.973</c:v>
                </c:pt>
                <c:pt idx="24">
                  <c:v>416967.973</c:v>
                </c:pt>
                <c:pt idx="25">
                  <c:v>425566.32299999997</c:v>
                </c:pt>
                <c:pt idx="26">
                  <c:v>425566.32299999997</c:v>
                </c:pt>
                <c:pt idx="27">
                  <c:v>1238605.713</c:v>
                </c:pt>
                <c:pt idx="28">
                  <c:v>1238605.713</c:v>
                </c:pt>
                <c:pt idx="29">
                  <c:v>1238605.713</c:v>
                </c:pt>
                <c:pt idx="30">
                  <c:v>1238605.713</c:v>
                </c:pt>
                <c:pt idx="31">
                  <c:v>1322450.2717582881</c:v>
                </c:pt>
                <c:pt idx="32">
                  <c:v>1325511.7017582881</c:v>
                </c:pt>
                <c:pt idx="33">
                  <c:v>1325511.7017582881</c:v>
                </c:pt>
                <c:pt idx="34">
                  <c:v>1332569.331758288</c:v>
                </c:pt>
                <c:pt idx="35">
                  <c:v>1917319.5147582879</c:v>
                </c:pt>
                <c:pt idx="36">
                  <c:v>2028156.0247582879</c:v>
                </c:pt>
                <c:pt idx="37">
                  <c:v>2029463.854758288</c:v>
                </c:pt>
                <c:pt idx="38">
                  <c:v>2029463.854758288</c:v>
                </c:pt>
                <c:pt idx="39">
                  <c:v>2029463.854758288</c:v>
                </c:pt>
                <c:pt idx="40">
                  <c:v>2029700.9547582881</c:v>
                </c:pt>
                <c:pt idx="41">
                  <c:v>2080936.0347582882</c:v>
                </c:pt>
                <c:pt idx="42">
                  <c:v>2080936.0347582882</c:v>
                </c:pt>
                <c:pt idx="43">
                  <c:v>2080936.0347582882</c:v>
                </c:pt>
                <c:pt idx="44">
                  <c:v>2116015.2547582882</c:v>
                </c:pt>
                <c:pt idx="45">
                  <c:v>2116015.2547582882</c:v>
                </c:pt>
                <c:pt idx="46">
                  <c:v>2116015.2547582882</c:v>
                </c:pt>
                <c:pt idx="47">
                  <c:v>2139396.2327582883</c:v>
                </c:pt>
                <c:pt idx="48">
                  <c:v>2139396.2327582883</c:v>
                </c:pt>
                <c:pt idx="49">
                  <c:v>2139396.2327582883</c:v>
                </c:pt>
                <c:pt idx="50">
                  <c:v>2148246.2327582883</c:v>
                </c:pt>
                <c:pt idx="51">
                  <c:v>2184211.4367582882</c:v>
                </c:pt>
                <c:pt idx="52">
                  <c:v>2184211.4367582882</c:v>
                </c:pt>
                <c:pt idx="53">
                  <c:v>2184211.4367582882</c:v>
                </c:pt>
                <c:pt idx="54">
                  <c:v>2224146.4367582882</c:v>
                </c:pt>
                <c:pt idx="55">
                  <c:v>2229349.4367582882</c:v>
                </c:pt>
                <c:pt idx="56">
                  <c:v>2229349.4367582882</c:v>
                </c:pt>
                <c:pt idx="57">
                  <c:v>2229349.4367582882</c:v>
                </c:pt>
                <c:pt idx="58">
                  <c:v>2229349.4367582882</c:v>
                </c:pt>
                <c:pt idx="59">
                  <c:v>2229349.4367582882</c:v>
                </c:pt>
                <c:pt idx="60">
                  <c:v>2229349.4367582882</c:v>
                </c:pt>
                <c:pt idx="61">
                  <c:v>2229349.4367582882</c:v>
                </c:pt>
                <c:pt idx="62">
                  <c:v>2229349.4367582882</c:v>
                </c:pt>
                <c:pt idx="63">
                  <c:v>2229349.4367582882</c:v>
                </c:pt>
                <c:pt idx="64">
                  <c:v>2229349.4367582882</c:v>
                </c:pt>
                <c:pt idx="65">
                  <c:v>2229349.4367582882</c:v>
                </c:pt>
                <c:pt idx="66">
                  <c:v>2229349.4367582882</c:v>
                </c:pt>
                <c:pt idx="67">
                  <c:v>2229349.4367582882</c:v>
                </c:pt>
                <c:pt idx="68">
                  <c:v>2229349.4367582882</c:v>
                </c:pt>
                <c:pt idx="69">
                  <c:v>2229349.4367582882</c:v>
                </c:pt>
                <c:pt idx="70">
                  <c:v>2229349.4367582882</c:v>
                </c:pt>
                <c:pt idx="71">
                  <c:v>2229349.4367582882</c:v>
                </c:pt>
                <c:pt idx="72">
                  <c:v>2229349.4367582882</c:v>
                </c:pt>
                <c:pt idx="73">
                  <c:v>2229349.4367582882</c:v>
                </c:pt>
                <c:pt idx="74">
                  <c:v>2229349.4367582882</c:v>
                </c:pt>
                <c:pt idx="75">
                  <c:v>2229349.4367582882</c:v>
                </c:pt>
                <c:pt idx="76">
                  <c:v>2229349.4367582882</c:v>
                </c:pt>
                <c:pt idx="77">
                  <c:v>2229349.4367582882</c:v>
                </c:pt>
                <c:pt idx="78">
                  <c:v>2229349.4367582882</c:v>
                </c:pt>
                <c:pt idx="79">
                  <c:v>2229349.4367582882</c:v>
                </c:pt>
                <c:pt idx="80">
                  <c:v>2229349.4367582882</c:v>
                </c:pt>
                <c:pt idx="81">
                  <c:v>2229349.4367582882</c:v>
                </c:pt>
                <c:pt idx="82">
                  <c:v>2229349.4367582882</c:v>
                </c:pt>
                <c:pt idx="83">
                  <c:v>2229349.4367582882</c:v>
                </c:pt>
                <c:pt idx="84">
                  <c:v>2229349.4367582882</c:v>
                </c:pt>
                <c:pt idx="85">
                  <c:v>2229349.4367582882</c:v>
                </c:pt>
                <c:pt idx="86">
                  <c:v>2229349.4367582882</c:v>
                </c:pt>
                <c:pt idx="87">
                  <c:v>2229349.4367582882</c:v>
                </c:pt>
                <c:pt idx="88">
                  <c:v>2229349.4367582882</c:v>
                </c:pt>
                <c:pt idx="89">
                  <c:v>2229349.4367582882</c:v>
                </c:pt>
                <c:pt idx="90">
                  <c:v>2229349.4367582882</c:v>
                </c:pt>
                <c:pt idx="91">
                  <c:v>2229349.4367582882</c:v>
                </c:pt>
                <c:pt idx="92">
                  <c:v>2229349.4367582882</c:v>
                </c:pt>
                <c:pt idx="93">
                  <c:v>2229349.4367582882</c:v>
                </c:pt>
                <c:pt idx="94">
                  <c:v>2229349.4367582882</c:v>
                </c:pt>
                <c:pt idx="95">
                  <c:v>2229349.4367582882</c:v>
                </c:pt>
                <c:pt idx="96">
                  <c:v>2229349.4367582882</c:v>
                </c:pt>
                <c:pt idx="97">
                  <c:v>2229349.4367582882</c:v>
                </c:pt>
                <c:pt idx="98">
                  <c:v>2229349.4367582882</c:v>
                </c:pt>
                <c:pt idx="99">
                  <c:v>2229349.4367582882</c:v>
                </c:pt>
                <c:pt idx="100">
                  <c:v>2229349.4367582882</c:v>
                </c:pt>
                <c:pt idx="101">
                  <c:v>2229349.4367582882</c:v>
                </c:pt>
                <c:pt idx="102">
                  <c:v>2229349.4367582882</c:v>
                </c:pt>
                <c:pt idx="103">
                  <c:v>2229349.4367582882</c:v>
                </c:pt>
                <c:pt idx="104">
                  <c:v>2229349.4367582882</c:v>
                </c:pt>
                <c:pt idx="105">
                  <c:v>2229349.4367582882</c:v>
                </c:pt>
                <c:pt idx="106">
                  <c:v>2229349.4367582882</c:v>
                </c:pt>
                <c:pt idx="107">
                  <c:v>2229349.4367582882</c:v>
                </c:pt>
                <c:pt idx="108">
                  <c:v>2229349.4367582882</c:v>
                </c:pt>
                <c:pt idx="109">
                  <c:v>2229349.4367582882</c:v>
                </c:pt>
                <c:pt idx="110">
                  <c:v>2229349.4367582882</c:v>
                </c:pt>
                <c:pt idx="111">
                  <c:v>2229349.4367582882</c:v>
                </c:pt>
                <c:pt idx="112">
                  <c:v>2229349.4367582882</c:v>
                </c:pt>
                <c:pt idx="113">
                  <c:v>2229349.4367582882</c:v>
                </c:pt>
                <c:pt idx="114">
                  <c:v>2229349.4367582882</c:v>
                </c:pt>
                <c:pt idx="115">
                  <c:v>2229349.4367582882</c:v>
                </c:pt>
                <c:pt idx="116">
                  <c:v>2229349.4367582882</c:v>
                </c:pt>
                <c:pt idx="117">
                  <c:v>2229349.4367582882</c:v>
                </c:pt>
                <c:pt idx="118">
                  <c:v>2229349.4367582882</c:v>
                </c:pt>
                <c:pt idx="119">
                  <c:v>2229349.4367582882</c:v>
                </c:pt>
                <c:pt idx="120">
                  <c:v>2229349.4367582882</c:v>
                </c:pt>
                <c:pt idx="121">
                  <c:v>2229349.4367582882</c:v>
                </c:pt>
                <c:pt idx="122">
                  <c:v>2229349.4367582882</c:v>
                </c:pt>
                <c:pt idx="123">
                  <c:v>2229349.4367582882</c:v>
                </c:pt>
                <c:pt idx="124">
                  <c:v>2229349.4367582882</c:v>
                </c:pt>
                <c:pt idx="125">
                  <c:v>2229349.4367582882</c:v>
                </c:pt>
                <c:pt idx="126">
                  <c:v>2229349.4367582882</c:v>
                </c:pt>
                <c:pt idx="127">
                  <c:v>2229349.4367582882</c:v>
                </c:pt>
                <c:pt idx="128">
                  <c:v>2229349.4367582882</c:v>
                </c:pt>
                <c:pt idx="129">
                  <c:v>2229349.4367582882</c:v>
                </c:pt>
                <c:pt idx="130">
                  <c:v>2229349.4367582882</c:v>
                </c:pt>
                <c:pt idx="131">
                  <c:v>2229349.4367582882</c:v>
                </c:pt>
                <c:pt idx="132">
                  <c:v>2229349.4367582882</c:v>
                </c:pt>
                <c:pt idx="133">
                  <c:v>2229349.4367582882</c:v>
                </c:pt>
                <c:pt idx="134">
                  <c:v>2229349.4367582882</c:v>
                </c:pt>
                <c:pt idx="135">
                  <c:v>2229349.4367582882</c:v>
                </c:pt>
                <c:pt idx="136">
                  <c:v>2229349.4367582882</c:v>
                </c:pt>
                <c:pt idx="137">
                  <c:v>2229349.4367582882</c:v>
                </c:pt>
                <c:pt idx="138">
                  <c:v>2229349.4367582882</c:v>
                </c:pt>
                <c:pt idx="139">
                  <c:v>2229349.4367582882</c:v>
                </c:pt>
                <c:pt idx="140">
                  <c:v>2229349.4367582882</c:v>
                </c:pt>
                <c:pt idx="141">
                  <c:v>2229349.4367582882</c:v>
                </c:pt>
                <c:pt idx="142">
                  <c:v>2229349.4367582882</c:v>
                </c:pt>
                <c:pt idx="143">
                  <c:v>2229349.4367582882</c:v>
                </c:pt>
                <c:pt idx="144">
                  <c:v>2229349.4367582882</c:v>
                </c:pt>
                <c:pt idx="145">
                  <c:v>2229349.4367582882</c:v>
                </c:pt>
                <c:pt idx="146">
                  <c:v>2229349.4367582882</c:v>
                </c:pt>
                <c:pt idx="147">
                  <c:v>2229349.4367582882</c:v>
                </c:pt>
                <c:pt idx="148">
                  <c:v>2229349.4367582882</c:v>
                </c:pt>
                <c:pt idx="149">
                  <c:v>2229349.4367582882</c:v>
                </c:pt>
                <c:pt idx="150">
                  <c:v>2229349.4367582882</c:v>
                </c:pt>
                <c:pt idx="151">
                  <c:v>2229349.4367582882</c:v>
                </c:pt>
                <c:pt idx="152">
                  <c:v>2229349.4367582882</c:v>
                </c:pt>
                <c:pt idx="153">
                  <c:v>2229349.4367582882</c:v>
                </c:pt>
                <c:pt idx="154">
                  <c:v>2229349.4367582882</c:v>
                </c:pt>
                <c:pt idx="155">
                  <c:v>2229349.4367582882</c:v>
                </c:pt>
                <c:pt idx="156">
                  <c:v>2229349.4367582882</c:v>
                </c:pt>
                <c:pt idx="157">
                  <c:v>2229349.4367582882</c:v>
                </c:pt>
                <c:pt idx="158">
                  <c:v>2229349.4367582882</c:v>
                </c:pt>
                <c:pt idx="159">
                  <c:v>2229349.4367582882</c:v>
                </c:pt>
                <c:pt idx="160">
                  <c:v>2229349.4367582882</c:v>
                </c:pt>
                <c:pt idx="161">
                  <c:v>2229349.4367582882</c:v>
                </c:pt>
                <c:pt idx="162">
                  <c:v>2229349.4367582882</c:v>
                </c:pt>
                <c:pt idx="163">
                  <c:v>2229349.4367582882</c:v>
                </c:pt>
                <c:pt idx="164">
                  <c:v>2229349.4367582882</c:v>
                </c:pt>
                <c:pt idx="165">
                  <c:v>2229349.4367582882</c:v>
                </c:pt>
                <c:pt idx="166">
                  <c:v>2229349.4367582882</c:v>
                </c:pt>
                <c:pt idx="167">
                  <c:v>2229349.4367582882</c:v>
                </c:pt>
                <c:pt idx="168">
                  <c:v>2229349.4367582882</c:v>
                </c:pt>
                <c:pt idx="169">
                  <c:v>2229349.4367582882</c:v>
                </c:pt>
                <c:pt idx="170">
                  <c:v>2229349.4367582882</c:v>
                </c:pt>
                <c:pt idx="171">
                  <c:v>2229349.4367582882</c:v>
                </c:pt>
                <c:pt idx="172">
                  <c:v>2229349.4367582882</c:v>
                </c:pt>
                <c:pt idx="173">
                  <c:v>2229349.4367582882</c:v>
                </c:pt>
                <c:pt idx="174">
                  <c:v>2229349.4367582882</c:v>
                </c:pt>
                <c:pt idx="175">
                  <c:v>2229349.4367582882</c:v>
                </c:pt>
                <c:pt idx="176">
                  <c:v>2229349.4367582882</c:v>
                </c:pt>
                <c:pt idx="177">
                  <c:v>2229349.4367582882</c:v>
                </c:pt>
                <c:pt idx="178">
                  <c:v>2229349.4367582882</c:v>
                </c:pt>
                <c:pt idx="179">
                  <c:v>2229349.4367582882</c:v>
                </c:pt>
                <c:pt idx="180">
                  <c:v>2229349.4367582882</c:v>
                </c:pt>
                <c:pt idx="181">
                  <c:v>2229349.4367582882</c:v>
                </c:pt>
                <c:pt idx="182">
                  <c:v>2229349.4367582882</c:v>
                </c:pt>
                <c:pt idx="183">
                  <c:v>2229349.4367582882</c:v>
                </c:pt>
                <c:pt idx="184">
                  <c:v>2229349.4367582882</c:v>
                </c:pt>
                <c:pt idx="185">
                  <c:v>2229349.4367582882</c:v>
                </c:pt>
                <c:pt idx="186">
                  <c:v>2229349.4367582882</c:v>
                </c:pt>
                <c:pt idx="187">
                  <c:v>2229349.4367582882</c:v>
                </c:pt>
                <c:pt idx="188">
                  <c:v>2229349.4367582882</c:v>
                </c:pt>
                <c:pt idx="189">
                  <c:v>2229349.4367582882</c:v>
                </c:pt>
                <c:pt idx="190">
                  <c:v>2229349.4367582882</c:v>
                </c:pt>
                <c:pt idx="191">
                  <c:v>2229349.4367582882</c:v>
                </c:pt>
                <c:pt idx="192">
                  <c:v>2229349.4367582882</c:v>
                </c:pt>
                <c:pt idx="193">
                  <c:v>2229349.4367582882</c:v>
                </c:pt>
                <c:pt idx="194">
                  <c:v>2229349.4367582882</c:v>
                </c:pt>
                <c:pt idx="195">
                  <c:v>2229349.4367582882</c:v>
                </c:pt>
                <c:pt idx="196">
                  <c:v>2229349.4367582882</c:v>
                </c:pt>
                <c:pt idx="197">
                  <c:v>2229349.4367582882</c:v>
                </c:pt>
                <c:pt idx="198">
                  <c:v>2229349.4367582882</c:v>
                </c:pt>
                <c:pt idx="199">
                  <c:v>2229349.4367582882</c:v>
                </c:pt>
                <c:pt idx="200">
                  <c:v>2229349.4367582882</c:v>
                </c:pt>
                <c:pt idx="201">
                  <c:v>2229349.4367582882</c:v>
                </c:pt>
                <c:pt idx="202">
                  <c:v>2229349.4367582882</c:v>
                </c:pt>
                <c:pt idx="203">
                  <c:v>2229349.4367582882</c:v>
                </c:pt>
                <c:pt idx="204">
                  <c:v>2229349.4367582882</c:v>
                </c:pt>
                <c:pt idx="205">
                  <c:v>2229349.4367582882</c:v>
                </c:pt>
                <c:pt idx="206">
                  <c:v>2229349.4367582882</c:v>
                </c:pt>
                <c:pt idx="207">
                  <c:v>2229349.4367582882</c:v>
                </c:pt>
                <c:pt idx="208">
                  <c:v>2229349.4367582882</c:v>
                </c:pt>
                <c:pt idx="209">
                  <c:v>2229349.4367582882</c:v>
                </c:pt>
                <c:pt idx="210">
                  <c:v>2229349.4367582882</c:v>
                </c:pt>
                <c:pt idx="211">
                  <c:v>2229349.4367582882</c:v>
                </c:pt>
                <c:pt idx="212">
                  <c:v>2229349.4367582882</c:v>
                </c:pt>
                <c:pt idx="213">
                  <c:v>2229349.4367582882</c:v>
                </c:pt>
                <c:pt idx="214">
                  <c:v>2229349.4367582882</c:v>
                </c:pt>
                <c:pt idx="215">
                  <c:v>2229349.4367582882</c:v>
                </c:pt>
                <c:pt idx="216">
                  <c:v>2229349.4367582882</c:v>
                </c:pt>
                <c:pt idx="217">
                  <c:v>2229349.4367582882</c:v>
                </c:pt>
                <c:pt idx="218">
                  <c:v>2229349.4367582882</c:v>
                </c:pt>
                <c:pt idx="219">
                  <c:v>2229349.4367582882</c:v>
                </c:pt>
                <c:pt idx="220">
                  <c:v>2229349.4367582882</c:v>
                </c:pt>
                <c:pt idx="221">
                  <c:v>2229349.4367582882</c:v>
                </c:pt>
                <c:pt idx="222">
                  <c:v>2229349.4367582882</c:v>
                </c:pt>
                <c:pt idx="223">
                  <c:v>2229349.4367582882</c:v>
                </c:pt>
                <c:pt idx="224">
                  <c:v>2229349.4367582882</c:v>
                </c:pt>
                <c:pt idx="225">
                  <c:v>2229349.4367582882</c:v>
                </c:pt>
                <c:pt idx="226">
                  <c:v>2229349.4367582882</c:v>
                </c:pt>
                <c:pt idx="227">
                  <c:v>2229349.4367582882</c:v>
                </c:pt>
                <c:pt idx="228">
                  <c:v>2229349.4367582882</c:v>
                </c:pt>
                <c:pt idx="229">
                  <c:v>2229349.4367582882</c:v>
                </c:pt>
                <c:pt idx="230">
                  <c:v>2229349.4367582882</c:v>
                </c:pt>
                <c:pt idx="231">
                  <c:v>2229349.4367582882</c:v>
                </c:pt>
                <c:pt idx="232">
                  <c:v>2229349.4367582882</c:v>
                </c:pt>
                <c:pt idx="233">
                  <c:v>2229349.4367582882</c:v>
                </c:pt>
                <c:pt idx="234">
                  <c:v>2229349.4367582882</c:v>
                </c:pt>
                <c:pt idx="235">
                  <c:v>2229349.4367582882</c:v>
                </c:pt>
                <c:pt idx="236">
                  <c:v>2229349.4367582882</c:v>
                </c:pt>
                <c:pt idx="237">
                  <c:v>2229349.4367582882</c:v>
                </c:pt>
                <c:pt idx="238">
                  <c:v>2229349.4367582882</c:v>
                </c:pt>
                <c:pt idx="239">
                  <c:v>2229349.4367582882</c:v>
                </c:pt>
                <c:pt idx="240">
                  <c:v>2229349.4367582882</c:v>
                </c:pt>
                <c:pt idx="241">
                  <c:v>2229349.4367582882</c:v>
                </c:pt>
                <c:pt idx="242">
                  <c:v>2229349.4367582882</c:v>
                </c:pt>
                <c:pt idx="243">
                  <c:v>2229349.4367582882</c:v>
                </c:pt>
                <c:pt idx="244">
                  <c:v>2229349.4367582882</c:v>
                </c:pt>
                <c:pt idx="245">
                  <c:v>2229349.4367582882</c:v>
                </c:pt>
                <c:pt idx="246">
                  <c:v>2229349.4367582882</c:v>
                </c:pt>
                <c:pt idx="247">
                  <c:v>2229349.4367582882</c:v>
                </c:pt>
                <c:pt idx="248">
                  <c:v>2229349.4367582882</c:v>
                </c:pt>
                <c:pt idx="249">
                  <c:v>2229349.4367582882</c:v>
                </c:pt>
                <c:pt idx="250">
                  <c:v>2229349.4367582882</c:v>
                </c:pt>
                <c:pt idx="251">
                  <c:v>2229349.4367582882</c:v>
                </c:pt>
                <c:pt idx="252">
                  <c:v>2229349.4367582882</c:v>
                </c:pt>
                <c:pt idx="253">
                  <c:v>2229349.4367582882</c:v>
                </c:pt>
                <c:pt idx="254">
                  <c:v>2229349.4367582882</c:v>
                </c:pt>
                <c:pt idx="255">
                  <c:v>2229349.4367582882</c:v>
                </c:pt>
                <c:pt idx="256">
                  <c:v>2229349.4367582882</c:v>
                </c:pt>
                <c:pt idx="257">
                  <c:v>2229349.4367582882</c:v>
                </c:pt>
                <c:pt idx="258">
                  <c:v>2229349.4367582882</c:v>
                </c:pt>
                <c:pt idx="259">
                  <c:v>2229349.4367582882</c:v>
                </c:pt>
                <c:pt idx="260">
                  <c:v>2229349.4367582882</c:v>
                </c:pt>
                <c:pt idx="261">
                  <c:v>2229349.4367582882</c:v>
                </c:pt>
                <c:pt idx="262">
                  <c:v>2229349.4367582882</c:v>
                </c:pt>
                <c:pt idx="263">
                  <c:v>2229349.4367582882</c:v>
                </c:pt>
                <c:pt idx="264">
                  <c:v>2229349.4367582882</c:v>
                </c:pt>
                <c:pt idx="265">
                  <c:v>2229349.4367582882</c:v>
                </c:pt>
                <c:pt idx="266">
                  <c:v>2229349.4367582882</c:v>
                </c:pt>
                <c:pt idx="267">
                  <c:v>2229349.4367582882</c:v>
                </c:pt>
                <c:pt idx="268">
                  <c:v>2229349.4367582882</c:v>
                </c:pt>
                <c:pt idx="269">
                  <c:v>2229349.4367582882</c:v>
                </c:pt>
                <c:pt idx="270">
                  <c:v>2229349.4367582882</c:v>
                </c:pt>
                <c:pt idx="271">
                  <c:v>2229349.4367582882</c:v>
                </c:pt>
                <c:pt idx="272">
                  <c:v>2229349.4367582882</c:v>
                </c:pt>
                <c:pt idx="273">
                  <c:v>2229349.4367582882</c:v>
                </c:pt>
                <c:pt idx="274">
                  <c:v>2229349.4367582882</c:v>
                </c:pt>
                <c:pt idx="275">
                  <c:v>2229349.4367582882</c:v>
                </c:pt>
                <c:pt idx="276">
                  <c:v>2229349.4367582882</c:v>
                </c:pt>
                <c:pt idx="277">
                  <c:v>2229349.4367582882</c:v>
                </c:pt>
                <c:pt idx="278">
                  <c:v>2229349.4367582882</c:v>
                </c:pt>
                <c:pt idx="279">
                  <c:v>2229349.4367582882</c:v>
                </c:pt>
                <c:pt idx="280">
                  <c:v>2229349.4367582882</c:v>
                </c:pt>
                <c:pt idx="281">
                  <c:v>2229349.4367582882</c:v>
                </c:pt>
                <c:pt idx="282">
                  <c:v>2229349.4367582882</c:v>
                </c:pt>
                <c:pt idx="283">
                  <c:v>2229349.4367582882</c:v>
                </c:pt>
                <c:pt idx="284">
                  <c:v>2229349.4367582882</c:v>
                </c:pt>
                <c:pt idx="285">
                  <c:v>2229349.4367582882</c:v>
                </c:pt>
                <c:pt idx="286">
                  <c:v>2229349.4367582882</c:v>
                </c:pt>
                <c:pt idx="287">
                  <c:v>2229349.4367582882</c:v>
                </c:pt>
                <c:pt idx="288">
                  <c:v>2229349.4367582882</c:v>
                </c:pt>
                <c:pt idx="289">
                  <c:v>2229349.4367582882</c:v>
                </c:pt>
                <c:pt idx="290">
                  <c:v>2229349.4367582882</c:v>
                </c:pt>
                <c:pt idx="291">
                  <c:v>2229349.4367582882</c:v>
                </c:pt>
                <c:pt idx="292">
                  <c:v>2229349.4367582882</c:v>
                </c:pt>
                <c:pt idx="293">
                  <c:v>2229349.4367582882</c:v>
                </c:pt>
                <c:pt idx="294">
                  <c:v>2229349.4367582882</c:v>
                </c:pt>
                <c:pt idx="295">
                  <c:v>2229349.4367582882</c:v>
                </c:pt>
                <c:pt idx="296">
                  <c:v>2229349.4367582882</c:v>
                </c:pt>
                <c:pt idx="297">
                  <c:v>2229349.4367582882</c:v>
                </c:pt>
                <c:pt idx="298">
                  <c:v>2229349.4367582882</c:v>
                </c:pt>
                <c:pt idx="299">
                  <c:v>2229349.4367582882</c:v>
                </c:pt>
                <c:pt idx="300">
                  <c:v>2229349.4367582882</c:v>
                </c:pt>
                <c:pt idx="301">
                  <c:v>2229349.4367582882</c:v>
                </c:pt>
                <c:pt idx="302">
                  <c:v>2229349.4367582882</c:v>
                </c:pt>
                <c:pt idx="303">
                  <c:v>2229349.4367582882</c:v>
                </c:pt>
                <c:pt idx="304">
                  <c:v>2229349.4367582882</c:v>
                </c:pt>
                <c:pt idx="305">
                  <c:v>2229349.4367582882</c:v>
                </c:pt>
                <c:pt idx="306">
                  <c:v>2229349.4367582882</c:v>
                </c:pt>
                <c:pt idx="307">
                  <c:v>2229349.4367582882</c:v>
                </c:pt>
                <c:pt idx="308">
                  <c:v>2229349.4367582882</c:v>
                </c:pt>
                <c:pt idx="309">
                  <c:v>2229349.4367582882</c:v>
                </c:pt>
                <c:pt idx="310">
                  <c:v>2229349.4367582882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522161.66013261001</c:v>
                </c:pt>
                <c:pt idx="15">
                  <c:v>514411.66013261001</c:v>
                </c:pt>
                <c:pt idx="16">
                  <c:v>514411.66013261001</c:v>
                </c:pt>
                <c:pt idx="17">
                  <c:v>512161.16013261001</c:v>
                </c:pt>
                <c:pt idx="18">
                  <c:v>484606.16013261001</c:v>
                </c:pt>
                <c:pt idx="19">
                  <c:v>477071.60013261001</c:v>
                </c:pt>
                <c:pt idx="20">
                  <c:v>469447.55013260996</c:v>
                </c:pt>
                <c:pt idx="21">
                  <c:v>424139.86013260996</c:v>
                </c:pt>
                <c:pt idx="22">
                  <c:v>325388.08713260997</c:v>
                </c:pt>
                <c:pt idx="23">
                  <c:v>1242780.4923646774</c:v>
                </c:pt>
                <c:pt idx="24">
                  <c:v>1043780.4923646774</c:v>
                </c:pt>
                <c:pt idx="25">
                  <c:v>1035182.1423646774</c:v>
                </c:pt>
                <c:pt idx="26">
                  <c:v>1035182.1423646774</c:v>
                </c:pt>
                <c:pt idx="27">
                  <c:v>222142.75236467738</c:v>
                </c:pt>
                <c:pt idx="28">
                  <c:v>222142.75236467738</c:v>
                </c:pt>
                <c:pt idx="29">
                  <c:v>222142.75236467738</c:v>
                </c:pt>
                <c:pt idx="30">
                  <c:v>886119.32753043994</c:v>
                </c:pt>
                <c:pt idx="31">
                  <c:v>802274.76877215179</c:v>
                </c:pt>
                <c:pt idx="32">
                  <c:v>799213.33877215185</c:v>
                </c:pt>
                <c:pt idx="33">
                  <c:v>799213.33877215185</c:v>
                </c:pt>
                <c:pt idx="34">
                  <c:v>1190541.6538716096</c:v>
                </c:pt>
                <c:pt idx="35">
                  <c:v>738586.78590476234</c:v>
                </c:pt>
                <c:pt idx="36">
                  <c:v>627750.27590476233</c:v>
                </c:pt>
                <c:pt idx="37">
                  <c:v>626442.44590476225</c:v>
                </c:pt>
                <c:pt idx="38">
                  <c:v>626442.44590476225</c:v>
                </c:pt>
                <c:pt idx="39">
                  <c:v>626442.44590476225</c:v>
                </c:pt>
                <c:pt idx="40">
                  <c:v>626205.34590476216</c:v>
                </c:pt>
                <c:pt idx="41">
                  <c:v>574970.26590476208</c:v>
                </c:pt>
                <c:pt idx="42">
                  <c:v>574970.26590476208</c:v>
                </c:pt>
                <c:pt idx="43">
                  <c:v>574970.26590476208</c:v>
                </c:pt>
                <c:pt idx="44">
                  <c:v>539891.04590476211</c:v>
                </c:pt>
                <c:pt idx="45">
                  <c:v>539891.04590476211</c:v>
                </c:pt>
                <c:pt idx="46">
                  <c:v>539891.04590476211</c:v>
                </c:pt>
                <c:pt idx="47">
                  <c:v>516510.06790476199</c:v>
                </c:pt>
                <c:pt idx="48">
                  <c:v>516510.06790476199</c:v>
                </c:pt>
                <c:pt idx="49">
                  <c:v>516510.06790476199</c:v>
                </c:pt>
                <c:pt idx="50">
                  <c:v>507660.06790476199</c:v>
                </c:pt>
                <c:pt idx="51">
                  <c:v>471694.86390476208</c:v>
                </c:pt>
                <c:pt idx="52">
                  <c:v>471694.86390476208</c:v>
                </c:pt>
                <c:pt idx="53">
                  <c:v>471694.86390476208</c:v>
                </c:pt>
                <c:pt idx="54">
                  <c:v>431759.86390476208</c:v>
                </c:pt>
                <c:pt idx="55">
                  <c:v>426556.86390476208</c:v>
                </c:pt>
                <c:pt idx="56">
                  <c:v>426556.86390476208</c:v>
                </c:pt>
                <c:pt idx="57">
                  <c:v>426556.86390476208</c:v>
                </c:pt>
                <c:pt idx="58">
                  <c:v>426556.86390476208</c:v>
                </c:pt>
                <c:pt idx="59">
                  <c:v>426556.86390476208</c:v>
                </c:pt>
                <c:pt idx="60">
                  <c:v>426556.86390476208</c:v>
                </c:pt>
                <c:pt idx="61">
                  <c:v>426556.86390476208</c:v>
                </c:pt>
                <c:pt idx="62">
                  <c:v>426556.86390476208</c:v>
                </c:pt>
                <c:pt idx="63">
                  <c:v>426556.86390476208</c:v>
                </c:pt>
                <c:pt idx="64">
                  <c:v>426556.86390476208</c:v>
                </c:pt>
                <c:pt idx="65">
                  <c:v>426556.86390476208</c:v>
                </c:pt>
                <c:pt idx="66">
                  <c:v>426556.86390476208</c:v>
                </c:pt>
                <c:pt idx="67">
                  <c:v>426556.86390476208</c:v>
                </c:pt>
                <c:pt idx="68">
                  <c:v>426556.86390476208</c:v>
                </c:pt>
                <c:pt idx="69">
                  <c:v>426556.86390476208</c:v>
                </c:pt>
                <c:pt idx="70">
                  <c:v>426556.86390476208</c:v>
                </c:pt>
                <c:pt idx="71">
                  <c:v>426556.86390476208</c:v>
                </c:pt>
                <c:pt idx="72">
                  <c:v>426556.86390476208</c:v>
                </c:pt>
                <c:pt idx="73">
                  <c:v>426556.86390476208</c:v>
                </c:pt>
                <c:pt idx="74">
                  <c:v>426556.86390476208</c:v>
                </c:pt>
                <c:pt idx="75">
                  <c:v>426556.86390476208</c:v>
                </c:pt>
                <c:pt idx="76">
                  <c:v>426556.86390476208</c:v>
                </c:pt>
                <c:pt idx="77">
                  <c:v>426556.86390476208</c:v>
                </c:pt>
                <c:pt idx="78">
                  <c:v>426556.86390476208</c:v>
                </c:pt>
                <c:pt idx="79">
                  <c:v>426556.86390476208</c:v>
                </c:pt>
                <c:pt idx="80">
                  <c:v>426556.86390476208</c:v>
                </c:pt>
                <c:pt idx="81">
                  <c:v>426556.86390476208</c:v>
                </c:pt>
                <c:pt idx="82">
                  <c:v>426556.86390476208</c:v>
                </c:pt>
                <c:pt idx="83">
                  <c:v>426556.86390476208</c:v>
                </c:pt>
                <c:pt idx="84">
                  <c:v>426556.86390476208</c:v>
                </c:pt>
                <c:pt idx="85">
                  <c:v>426556.86390476208</c:v>
                </c:pt>
                <c:pt idx="86">
                  <c:v>426556.86390476208</c:v>
                </c:pt>
                <c:pt idx="87">
                  <c:v>426556.86390476208</c:v>
                </c:pt>
                <c:pt idx="88">
                  <c:v>426556.86390476208</c:v>
                </c:pt>
                <c:pt idx="89">
                  <c:v>426556.86390476208</c:v>
                </c:pt>
                <c:pt idx="90">
                  <c:v>426556.86390476208</c:v>
                </c:pt>
                <c:pt idx="91">
                  <c:v>426556.86390476208</c:v>
                </c:pt>
                <c:pt idx="92">
                  <c:v>426556.86390476208</c:v>
                </c:pt>
                <c:pt idx="93">
                  <c:v>426556.86390476208</c:v>
                </c:pt>
                <c:pt idx="94">
                  <c:v>426556.86390476208</c:v>
                </c:pt>
                <c:pt idx="95">
                  <c:v>426556.86390476208</c:v>
                </c:pt>
                <c:pt idx="96">
                  <c:v>426556.86390476208</c:v>
                </c:pt>
                <c:pt idx="97">
                  <c:v>426556.86390476208</c:v>
                </c:pt>
                <c:pt idx="98">
                  <c:v>426556.86390476208</c:v>
                </c:pt>
                <c:pt idx="99">
                  <c:v>426556.86390476208</c:v>
                </c:pt>
                <c:pt idx="100">
                  <c:v>426556.86390476208</c:v>
                </c:pt>
                <c:pt idx="101">
                  <c:v>426556.86390476208</c:v>
                </c:pt>
                <c:pt idx="102">
                  <c:v>426556.86390476208</c:v>
                </c:pt>
                <c:pt idx="103">
                  <c:v>426556.86390476208</c:v>
                </c:pt>
                <c:pt idx="104">
                  <c:v>426556.86390476208</c:v>
                </c:pt>
                <c:pt idx="105">
                  <c:v>426556.86390476208</c:v>
                </c:pt>
                <c:pt idx="106">
                  <c:v>426556.86390476208</c:v>
                </c:pt>
                <c:pt idx="107">
                  <c:v>426556.86390476208</c:v>
                </c:pt>
                <c:pt idx="108">
                  <c:v>426556.86390476208</c:v>
                </c:pt>
                <c:pt idx="109">
                  <c:v>426556.86390476208</c:v>
                </c:pt>
                <c:pt idx="110">
                  <c:v>426556.86390476208</c:v>
                </c:pt>
                <c:pt idx="111">
                  <c:v>426556.86390476208</c:v>
                </c:pt>
                <c:pt idx="112">
                  <c:v>426556.86390476208</c:v>
                </c:pt>
                <c:pt idx="113">
                  <c:v>426556.86390476208</c:v>
                </c:pt>
                <c:pt idx="114">
                  <c:v>426556.86390476208</c:v>
                </c:pt>
                <c:pt idx="115">
                  <c:v>426556.86390476208</c:v>
                </c:pt>
                <c:pt idx="116">
                  <c:v>426556.86390476208</c:v>
                </c:pt>
                <c:pt idx="117">
                  <c:v>426556.86390476208</c:v>
                </c:pt>
                <c:pt idx="118">
                  <c:v>426556.86390476208</c:v>
                </c:pt>
                <c:pt idx="119">
                  <c:v>426556.86390476208</c:v>
                </c:pt>
                <c:pt idx="120">
                  <c:v>426556.86390476208</c:v>
                </c:pt>
                <c:pt idx="121">
                  <c:v>426556.86390476208</c:v>
                </c:pt>
                <c:pt idx="122">
                  <c:v>426556.86390476208</c:v>
                </c:pt>
                <c:pt idx="123">
                  <c:v>426556.86390476208</c:v>
                </c:pt>
                <c:pt idx="124">
                  <c:v>426556.86390476208</c:v>
                </c:pt>
                <c:pt idx="125">
                  <c:v>426556.86390476208</c:v>
                </c:pt>
                <c:pt idx="126">
                  <c:v>426556.86390476208</c:v>
                </c:pt>
                <c:pt idx="127">
                  <c:v>426556.86390476208</c:v>
                </c:pt>
                <c:pt idx="128">
                  <c:v>426556.86390476208</c:v>
                </c:pt>
                <c:pt idx="129">
                  <c:v>426556.86390476208</c:v>
                </c:pt>
                <c:pt idx="130">
                  <c:v>426556.86390476208</c:v>
                </c:pt>
                <c:pt idx="131">
                  <c:v>426556.86390476208</c:v>
                </c:pt>
                <c:pt idx="132">
                  <c:v>426556.86390476208</c:v>
                </c:pt>
                <c:pt idx="133">
                  <c:v>426556.86390476208</c:v>
                </c:pt>
                <c:pt idx="134">
                  <c:v>426556.86390476208</c:v>
                </c:pt>
                <c:pt idx="135">
                  <c:v>426556.86390476208</c:v>
                </c:pt>
                <c:pt idx="136">
                  <c:v>426556.86390476208</c:v>
                </c:pt>
                <c:pt idx="137">
                  <c:v>426556.86390476208</c:v>
                </c:pt>
                <c:pt idx="138">
                  <c:v>426556.86390476208</c:v>
                </c:pt>
                <c:pt idx="139">
                  <c:v>426556.86390476208</c:v>
                </c:pt>
                <c:pt idx="140">
                  <c:v>426556.86390476208</c:v>
                </c:pt>
                <c:pt idx="141">
                  <c:v>426556.86390476208</c:v>
                </c:pt>
                <c:pt idx="142">
                  <c:v>426556.86390476208</c:v>
                </c:pt>
                <c:pt idx="143">
                  <c:v>426556.86390476208</c:v>
                </c:pt>
                <c:pt idx="144">
                  <c:v>426556.86390476208</c:v>
                </c:pt>
                <c:pt idx="145">
                  <c:v>426556.86390476208</c:v>
                </c:pt>
                <c:pt idx="146">
                  <c:v>426556.86390476208</c:v>
                </c:pt>
                <c:pt idx="147">
                  <c:v>426556.86390476208</c:v>
                </c:pt>
                <c:pt idx="148">
                  <c:v>426556.86390476208</c:v>
                </c:pt>
                <c:pt idx="149">
                  <c:v>426556.86390476208</c:v>
                </c:pt>
                <c:pt idx="150">
                  <c:v>426556.86390476208</c:v>
                </c:pt>
                <c:pt idx="151">
                  <c:v>426556.86390476208</c:v>
                </c:pt>
                <c:pt idx="152">
                  <c:v>426556.86390476208</c:v>
                </c:pt>
                <c:pt idx="153">
                  <c:v>426556.86390476208</c:v>
                </c:pt>
                <c:pt idx="154">
                  <c:v>426556.86390476208</c:v>
                </c:pt>
                <c:pt idx="155">
                  <c:v>426556.86390476208</c:v>
                </c:pt>
                <c:pt idx="156">
                  <c:v>426556.86390476208</c:v>
                </c:pt>
                <c:pt idx="157">
                  <c:v>426556.86390476208</c:v>
                </c:pt>
                <c:pt idx="158">
                  <c:v>426556.86390476208</c:v>
                </c:pt>
                <c:pt idx="159">
                  <c:v>426556.86390476208</c:v>
                </c:pt>
                <c:pt idx="160">
                  <c:v>426556.86390476208</c:v>
                </c:pt>
                <c:pt idx="161">
                  <c:v>426556.86390476208</c:v>
                </c:pt>
                <c:pt idx="162">
                  <c:v>426556.86390476208</c:v>
                </c:pt>
                <c:pt idx="163">
                  <c:v>426556.86390476208</c:v>
                </c:pt>
                <c:pt idx="164">
                  <c:v>426556.86390476208</c:v>
                </c:pt>
                <c:pt idx="165">
                  <c:v>426556.86390476208</c:v>
                </c:pt>
                <c:pt idx="166">
                  <c:v>426556.86390476208</c:v>
                </c:pt>
                <c:pt idx="167">
                  <c:v>426556.86390476208</c:v>
                </c:pt>
                <c:pt idx="168">
                  <c:v>426556.86390476208</c:v>
                </c:pt>
                <c:pt idx="169">
                  <c:v>426556.86390476208</c:v>
                </c:pt>
                <c:pt idx="170">
                  <c:v>426556.86390476208</c:v>
                </c:pt>
                <c:pt idx="171">
                  <c:v>426556.86390476208</c:v>
                </c:pt>
                <c:pt idx="172">
                  <c:v>426556.86390476208</c:v>
                </c:pt>
                <c:pt idx="173">
                  <c:v>426556.86390476208</c:v>
                </c:pt>
                <c:pt idx="174">
                  <c:v>426556.86390476208</c:v>
                </c:pt>
                <c:pt idx="175">
                  <c:v>426556.86390476208</c:v>
                </c:pt>
                <c:pt idx="176">
                  <c:v>426556.86390476208</c:v>
                </c:pt>
                <c:pt idx="177">
                  <c:v>426556.86390476208</c:v>
                </c:pt>
                <c:pt idx="178">
                  <c:v>426556.86390476208</c:v>
                </c:pt>
                <c:pt idx="179">
                  <c:v>426556.86390476208</c:v>
                </c:pt>
                <c:pt idx="180">
                  <c:v>426556.86390476208</c:v>
                </c:pt>
                <c:pt idx="181">
                  <c:v>426556.86390476208</c:v>
                </c:pt>
                <c:pt idx="182">
                  <c:v>426556.86390476208</c:v>
                </c:pt>
                <c:pt idx="183">
                  <c:v>426556.86390476208</c:v>
                </c:pt>
                <c:pt idx="184">
                  <c:v>426556.86390476208</c:v>
                </c:pt>
                <c:pt idx="185">
                  <c:v>426556.86390476208</c:v>
                </c:pt>
                <c:pt idx="186">
                  <c:v>426556.86390476208</c:v>
                </c:pt>
                <c:pt idx="187">
                  <c:v>426556.86390476208</c:v>
                </c:pt>
                <c:pt idx="188">
                  <c:v>426556.86390476208</c:v>
                </c:pt>
                <c:pt idx="189">
                  <c:v>426556.86390476208</c:v>
                </c:pt>
                <c:pt idx="190">
                  <c:v>426556.86390476208</c:v>
                </c:pt>
                <c:pt idx="191">
                  <c:v>426556.86390476208</c:v>
                </c:pt>
                <c:pt idx="192">
                  <c:v>426556.86390476208</c:v>
                </c:pt>
                <c:pt idx="193">
                  <c:v>426556.86390476208</c:v>
                </c:pt>
                <c:pt idx="194">
                  <c:v>426556.86390476208</c:v>
                </c:pt>
                <c:pt idx="195">
                  <c:v>426556.86390476208</c:v>
                </c:pt>
                <c:pt idx="196">
                  <c:v>426556.86390476208</c:v>
                </c:pt>
                <c:pt idx="197">
                  <c:v>426556.86390476208</c:v>
                </c:pt>
                <c:pt idx="198">
                  <c:v>426556.86390476208</c:v>
                </c:pt>
                <c:pt idx="199">
                  <c:v>426556.86390476208</c:v>
                </c:pt>
                <c:pt idx="200">
                  <c:v>426556.86390476208</c:v>
                </c:pt>
                <c:pt idx="201">
                  <c:v>426556.86390476208</c:v>
                </c:pt>
                <c:pt idx="202">
                  <c:v>426556.86390476208</c:v>
                </c:pt>
                <c:pt idx="203">
                  <c:v>426556.86390476208</c:v>
                </c:pt>
                <c:pt idx="204">
                  <c:v>426556.86390476208</c:v>
                </c:pt>
                <c:pt idx="205">
                  <c:v>426556.86390476208</c:v>
                </c:pt>
                <c:pt idx="206">
                  <c:v>426556.86390476208</c:v>
                </c:pt>
                <c:pt idx="207">
                  <c:v>426556.86390476208</c:v>
                </c:pt>
                <c:pt idx="208">
                  <c:v>426556.86390476208</c:v>
                </c:pt>
                <c:pt idx="209">
                  <c:v>426556.86390476208</c:v>
                </c:pt>
                <c:pt idx="210">
                  <c:v>426556.86390476208</c:v>
                </c:pt>
                <c:pt idx="211">
                  <c:v>426556.86390476208</c:v>
                </c:pt>
                <c:pt idx="212">
                  <c:v>426556.86390476208</c:v>
                </c:pt>
                <c:pt idx="213">
                  <c:v>426556.86390476208</c:v>
                </c:pt>
                <c:pt idx="214">
                  <c:v>426556.86390476208</c:v>
                </c:pt>
                <c:pt idx="215">
                  <c:v>426556.86390476208</c:v>
                </c:pt>
                <c:pt idx="216">
                  <c:v>426556.86390476208</c:v>
                </c:pt>
                <c:pt idx="217">
                  <c:v>426556.86390476208</c:v>
                </c:pt>
                <c:pt idx="218">
                  <c:v>426556.86390476208</c:v>
                </c:pt>
                <c:pt idx="219">
                  <c:v>426556.86390476208</c:v>
                </c:pt>
                <c:pt idx="220">
                  <c:v>426556.86390476208</c:v>
                </c:pt>
                <c:pt idx="221">
                  <c:v>426556.86390476208</c:v>
                </c:pt>
                <c:pt idx="222">
                  <c:v>426556.86390476208</c:v>
                </c:pt>
                <c:pt idx="223">
                  <c:v>426556.86390476208</c:v>
                </c:pt>
                <c:pt idx="224">
                  <c:v>426556.86390476208</c:v>
                </c:pt>
                <c:pt idx="225">
                  <c:v>426556.86390476208</c:v>
                </c:pt>
                <c:pt idx="226">
                  <c:v>426556.86390476208</c:v>
                </c:pt>
                <c:pt idx="227">
                  <c:v>426556.86390476208</c:v>
                </c:pt>
                <c:pt idx="228">
                  <c:v>426556.86390476208</c:v>
                </c:pt>
                <c:pt idx="229">
                  <c:v>426556.86390476208</c:v>
                </c:pt>
                <c:pt idx="230">
                  <c:v>426556.86390476208</c:v>
                </c:pt>
                <c:pt idx="231">
                  <c:v>426556.86390476208</c:v>
                </c:pt>
                <c:pt idx="232">
                  <c:v>426556.86390476208</c:v>
                </c:pt>
                <c:pt idx="233">
                  <c:v>426556.86390476208</c:v>
                </c:pt>
                <c:pt idx="234">
                  <c:v>426556.86390476208</c:v>
                </c:pt>
                <c:pt idx="235">
                  <c:v>426556.86390476208</c:v>
                </c:pt>
                <c:pt idx="236">
                  <c:v>426556.86390476208</c:v>
                </c:pt>
                <c:pt idx="237">
                  <c:v>426556.86390476208</c:v>
                </c:pt>
                <c:pt idx="238">
                  <c:v>426556.86390476208</c:v>
                </c:pt>
                <c:pt idx="239">
                  <c:v>426556.86390476208</c:v>
                </c:pt>
                <c:pt idx="240">
                  <c:v>426556.86390476208</c:v>
                </c:pt>
                <c:pt idx="241">
                  <c:v>426556.86390476208</c:v>
                </c:pt>
                <c:pt idx="242">
                  <c:v>426556.86390476208</c:v>
                </c:pt>
                <c:pt idx="243">
                  <c:v>426556.86390476208</c:v>
                </c:pt>
                <c:pt idx="244">
                  <c:v>426556.86390476208</c:v>
                </c:pt>
                <c:pt idx="245">
                  <c:v>426556.86390476208</c:v>
                </c:pt>
                <c:pt idx="246">
                  <c:v>426556.86390476208</c:v>
                </c:pt>
                <c:pt idx="247">
                  <c:v>426556.86390476208</c:v>
                </c:pt>
                <c:pt idx="248">
                  <c:v>426556.86390476208</c:v>
                </c:pt>
                <c:pt idx="249">
                  <c:v>426556.86390476208</c:v>
                </c:pt>
                <c:pt idx="250">
                  <c:v>426556.86390476208</c:v>
                </c:pt>
                <c:pt idx="251">
                  <c:v>426556.86390476208</c:v>
                </c:pt>
                <c:pt idx="252">
                  <c:v>426556.86390476208</c:v>
                </c:pt>
                <c:pt idx="253">
                  <c:v>426556.86390476208</c:v>
                </c:pt>
                <c:pt idx="254">
                  <c:v>426556.86390476208</c:v>
                </c:pt>
                <c:pt idx="255">
                  <c:v>426556.86390476208</c:v>
                </c:pt>
                <c:pt idx="256">
                  <c:v>426556.86390476208</c:v>
                </c:pt>
                <c:pt idx="257">
                  <c:v>426556.86390476208</c:v>
                </c:pt>
                <c:pt idx="258">
                  <c:v>426556.86390476208</c:v>
                </c:pt>
                <c:pt idx="259">
                  <c:v>426556.86390476208</c:v>
                </c:pt>
                <c:pt idx="260">
                  <c:v>426556.86390476208</c:v>
                </c:pt>
                <c:pt idx="261">
                  <c:v>426556.86390476208</c:v>
                </c:pt>
                <c:pt idx="262">
                  <c:v>426556.86390476208</c:v>
                </c:pt>
                <c:pt idx="263">
                  <c:v>426556.86390476208</c:v>
                </c:pt>
                <c:pt idx="264">
                  <c:v>426556.86390476208</c:v>
                </c:pt>
                <c:pt idx="265">
                  <c:v>426556.86390476208</c:v>
                </c:pt>
                <c:pt idx="266">
                  <c:v>426556.86390476208</c:v>
                </c:pt>
                <c:pt idx="267">
                  <c:v>426556.86390476208</c:v>
                </c:pt>
                <c:pt idx="268">
                  <c:v>426556.86390476208</c:v>
                </c:pt>
                <c:pt idx="269">
                  <c:v>426556.86390476208</c:v>
                </c:pt>
                <c:pt idx="270">
                  <c:v>426556.86390476208</c:v>
                </c:pt>
                <c:pt idx="271">
                  <c:v>426556.86390476208</c:v>
                </c:pt>
                <c:pt idx="272">
                  <c:v>426556.86390476208</c:v>
                </c:pt>
                <c:pt idx="273">
                  <c:v>426556.86390476208</c:v>
                </c:pt>
                <c:pt idx="274">
                  <c:v>426556.86390476208</c:v>
                </c:pt>
                <c:pt idx="275">
                  <c:v>426556.86390476208</c:v>
                </c:pt>
                <c:pt idx="276">
                  <c:v>426556.86390476208</c:v>
                </c:pt>
                <c:pt idx="277">
                  <c:v>426556.86390476208</c:v>
                </c:pt>
                <c:pt idx="278">
                  <c:v>426556.86390476208</c:v>
                </c:pt>
                <c:pt idx="279">
                  <c:v>426556.86390476208</c:v>
                </c:pt>
                <c:pt idx="280">
                  <c:v>426556.86390476208</c:v>
                </c:pt>
                <c:pt idx="281">
                  <c:v>426556.86390476208</c:v>
                </c:pt>
                <c:pt idx="282">
                  <c:v>426556.86390476208</c:v>
                </c:pt>
                <c:pt idx="283">
                  <c:v>426556.86390476208</c:v>
                </c:pt>
                <c:pt idx="284">
                  <c:v>426556.86390476208</c:v>
                </c:pt>
                <c:pt idx="285">
                  <c:v>426556.86390476208</c:v>
                </c:pt>
                <c:pt idx="286">
                  <c:v>426556.86390476208</c:v>
                </c:pt>
                <c:pt idx="287">
                  <c:v>426556.86390476208</c:v>
                </c:pt>
                <c:pt idx="288">
                  <c:v>426556.86390476208</c:v>
                </c:pt>
                <c:pt idx="289">
                  <c:v>426556.86390476208</c:v>
                </c:pt>
                <c:pt idx="290">
                  <c:v>426556.86390476208</c:v>
                </c:pt>
                <c:pt idx="291">
                  <c:v>426556.86390476208</c:v>
                </c:pt>
                <c:pt idx="292">
                  <c:v>426556.86390476208</c:v>
                </c:pt>
                <c:pt idx="293">
                  <c:v>426556.86390476208</c:v>
                </c:pt>
                <c:pt idx="294">
                  <c:v>426556.86390476208</c:v>
                </c:pt>
                <c:pt idx="295">
                  <c:v>426556.86390476208</c:v>
                </c:pt>
                <c:pt idx="296">
                  <c:v>426556.86390476208</c:v>
                </c:pt>
                <c:pt idx="297">
                  <c:v>426556.86390476208</c:v>
                </c:pt>
                <c:pt idx="298">
                  <c:v>426556.86390476208</c:v>
                </c:pt>
                <c:pt idx="299">
                  <c:v>426556.86390476208</c:v>
                </c:pt>
                <c:pt idx="300">
                  <c:v>426556.86390476208</c:v>
                </c:pt>
                <c:pt idx="301">
                  <c:v>426556.86390476208</c:v>
                </c:pt>
                <c:pt idx="302">
                  <c:v>426556.86390476208</c:v>
                </c:pt>
                <c:pt idx="303">
                  <c:v>426556.86390476208</c:v>
                </c:pt>
                <c:pt idx="304">
                  <c:v>426556.86390476208</c:v>
                </c:pt>
                <c:pt idx="305">
                  <c:v>426556.86390476208</c:v>
                </c:pt>
                <c:pt idx="306">
                  <c:v>426556.86390476208</c:v>
                </c:pt>
                <c:pt idx="307">
                  <c:v>426556.86390476208</c:v>
                </c:pt>
                <c:pt idx="308">
                  <c:v>426556.86390476208</c:v>
                </c:pt>
                <c:pt idx="309">
                  <c:v>426556.86390476208</c:v>
                </c:pt>
                <c:pt idx="310">
                  <c:v>426556.86390476208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26045.617307974175</c:v>
                </c:pt>
                <c:pt idx="15">
                  <c:v>26045.617307974175</c:v>
                </c:pt>
                <c:pt idx="16">
                  <c:v>26045.617307974175</c:v>
                </c:pt>
                <c:pt idx="17">
                  <c:v>26045.617307974175</c:v>
                </c:pt>
                <c:pt idx="18">
                  <c:v>37754.133915102706</c:v>
                </c:pt>
                <c:pt idx="19">
                  <c:v>37754.133915102706</c:v>
                </c:pt>
                <c:pt idx="20">
                  <c:v>37754.133915102706</c:v>
                </c:pt>
                <c:pt idx="21">
                  <c:v>37754.133915102706</c:v>
                </c:pt>
                <c:pt idx="22">
                  <c:v>37754.133915102706</c:v>
                </c:pt>
                <c:pt idx="23">
                  <c:v>1534973.8626063478</c:v>
                </c:pt>
                <c:pt idx="24">
                  <c:v>1534973.8626063478</c:v>
                </c:pt>
                <c:pt idx="25">
                  <c:v>1534973.8626063478</c:v>
                </c:pt>
                <c:pt idx="26">
                  <c:v>1534973.8626063478</c:v>
                </c:pt>
                <c:pt idx="27">
                  <c:v>1876962.3336216924</c:v>
                </c:pt>
                <c:pt idx="28">
                  <c:v>1876962.3336216924</c:v>
                </c:pt>
                <c:pt idx="29">
                  <c:v>1876962.3336216924</c:v>
                </c:pt>
                <c:pt idx="30">
                  <c:v>1876962.3336216924</c:v>
                </c:pt>
                <c:pt idx="31">
                  <c:v>2371815.3876553201</c:v>
                </c:pt>
                <c:pt idx="32">
                  <c:v>2371815.3876553201</c:v>
                </c:pt>
                <c:pt idx="33">
                  <c:v>2371815.3876553201</c:v>
                </c:pt>
                <c:pt idx="34">
                  <c:v>2371815.3876553201</c:v>
                </c:pt>
                <c:pt idx="35">
                  <c:v>2371815.3876553201</c:v>
                </c:pt>
                <c:pt idx="36">
                  <c:v>2371815.3876553201</c:v>
                </c:pt>
                <c:pt idx="37">
                  <c:v>2371815.3876553201</c:v>
                </c:pt>
                <c:pt idx="38">
                  <c:v>2371815.3876553201</c:v>
                </c:pt>
                <c:pt idx="39">
                  <c:v>2371815.3876553201</c:v>
                </c:pt>
                <c:pt idx="40">
                  <c:v>2415781.3660072237</c:v>
                </c:pt>
                <c:pt idx="41">
                  <c:v>2415781.3660072237</c:v>
                </c:pt>
                <c:pt idx="42">
                  <c:v>2415781.3660072237</c:v>
                </c:pt>
                <c:pt idx="43">
                  <c:v>2415781.3660072237</c:v>
                </c:pt>
                <c:pt idx="44">
                  <c:v>2604734.0822398514</c:v>
                </c:pt>
                <c:pt idx="45">
                  <c:v>2604734.0822398514</c:v>
                </c:pt>
                <c:pt idx="46">
                  <c:v>2604734.0822398514</c:v>
                </c:pt>
                <c:pt idx="47">
                  <c:v>2604734.0822398514</c:v>
                </c:pt>
                <c:pt idx="48">
                  <c:v>2604734.0822398514</c:v>
                </c:pt>
                <c:pt idx="49">
                  <c:v>2655906.2976507274</c:v>
                </c:pt>
                <c:pt idx="50">
                  <c:v>2655906.2976507274</c:v>
                </c:pt>
                <c:pt idx="51">
                  <c:v>2655906.2976507274</c:v>
                </c:pt>
                <c:pt idx="52">
                  <c:v>2655906.2976507274</c:v>
                </c:pt>
                <c:pt idx="53">
                  <c:v>2655906.2976507274</c:v>
                </c:pt>
                <c:pt idx="54">
                  <c:v>2655906.2976507274</c:v>
                </c:pt>
                <c:pt idx="55">
                  <c:v>2655906.2976507274</c:v>
                </c:pt>
                <c:pt idx="56">
                  <c:v>2655906.2976507274</c:v>
                </c:pt>
                <c:pt idx="57">
                  <c:v>2655906.2976507274</c:v>
                </c:pt>
                <c:pt idx="58">
                  <c:v>2655906.2976507274</c:v>
                </c:pt>
                <c:pt idx="59">
                  <c:v>2655906.2976507274</c:v>
                </c:pt>
                <c:pt idx="60">
                  <c:v>2655906.2976507274</c:v>
                </c:pt>
                <c:pt idx="61">
                  <c:v>2655906.2976507274</c:v>
                </c:pt>
                <c:pt idx="62">
                  <c:v>2655906.2976507274</c:v>
                </c:pt>
                <c:pt idx="63">
                  <c:v>2655906.2976507274</c:v>
                </c:pt>
                <c:pt idx="64">
                  <c:v>2655906.2976507274</c:v>
                </c:pt>
                <c:pt idx="65">
                  <c:v>2655906.2976507274</c:v>
                </c:pt>
                <c:pt idx="66">
                  <c:v>2655906.2976507274</c:v>
                </c:pt>
                <c:pt idx="67">
                  <c:v>2655906.2976507274</c:v>
                </c:pt>
                <c:pt idx="68">
                  <c:v>2655906.2976507274</c:v>
                </c:pt>
                <c:pt idx="69">
                  <c:v>2655906.2976507274</c:v>
                </c:pt>
                <c:pt idx="70">
                  <c:v>2655906.2976507274</c:v>
                </c:pt>
                <c:pt idx="71">
                  <c:v>2655906.2976507274</c:v>
                </c:pt>
                <c:pt idx="72">
                  <c:v>2655906.2976507274</c:v>
                </c:pt>
                <c:pt idx="73">
                  <c:v>2655906.2976507274</c:v>
                </c:pt>
                <c:pt idx="74">
                  <c:v>2655906.2976507274</c:v>
                </c:pt>
                <c:pt idx="75">
                  <c:v>2655906.2976507274</c:v>
                </c:pt>
                <c:pt idx="76">
                  <c:v>2655906.2976507274</c:v>
                </c:pt>
                <c:pt idx="77">
                  <c:v>2655906.2976507274</c:v>
                </c:pt>
                <c:pt idx="78">
                  <c:v>2655906.2976507274</c:v>
                </c:pt>
                <c:pt idx="79">
                  <c:v>2655906.2976507274</c:v>
                </c:pt>
                <c:pt idx="80">
                  <c:v>2655906.2976507274</c:v>
                </c:pt>
                <c:pt idx="81">
                  <c:v>2655906.2976507274</c:v>
                </c:pt>
                <c:pt idx="82">
                  <c:v>2655906.2976507274</c:v>
                </c:pt>
                <c:pt idx="83">
                  <c:v>2655906.2976507274</c:v>
                </c:pt>
                <c:pt idx="84">
                  <c:v>2655906.2976507274</c:v>
                </c:pt>
                <c:pt idx="85">
                  <c:v>2655906.2976507274</c:v>
                </c:pt>
                <c:pt idx="86">
                  <c:v>2655906.2976507274</c:v>
                </c:pt>
                <c:pt idx="87">
                  <c:v>2655906.2976507274</c:v>
                </c:pt>
                <c:pt idx="88">
                  <c:v>2655906.2976507274</c:v>
                </c:pt>
                <c:pt idx="89">
                  <c:v>2655906.2976507274</c:v>
                </c:pt>
                <c:pt idx="90">
                  <c:v>2655906.2976507274</c:v>
                </c:pt>
                <c:pt idx="91">
                  <c:v>2655906.2976507274</c:v>
                </c:pt>
                <c:pt idx="92">
                  <c:v>2655906.2976507274</c:v>
                </c:pt>
                <c:pt idx="93">
                  <c:v>2655906.2976507274</c:v>
                </c:pt>
                <c:pt idx="94">
                  <c:v>2655906.2976507274</c:v>
                </c:pt>
                <c:pt idx="95">
                  <c:v>2655906.2976507274</c:v>
                </c:pt>
                <c:pt idx="96">
                  <c:v>2655906.2976507274</c:v>
                </c:pt>
                <c:pt idx="97">
                  <c:v>2655906.2976507274</c:v>
                </c:pt>
                <c:pt idx="98">
                  <c:v>2655906.2976507274</c:v>
                </c:pt>
                <c:pt idx="99">
                  <c:v>2655906.2976507274</c:v>
                </c:pt>
                <c:pt idx="100">
                  <c:v>2655906.2976507274</c:v>
                </c:pt>
                <c:pt idx="101">
                  <c:v>2655906.2976507274</c:v>
                </c:pt>
                <c:pt idx="102">
                  <c:v>2655906.2976507274</c:v>
                </c:pt>
                <c:pt idx="103">
                  <c:v>2655906.2976507274</c:v>
                </c:pt>
                <c:pt idx="104">
                  <c:v>2655906.2976507274</c:v>
                </c:pt>
                <c:pt idx="105">
                  <c:v>2655906.2976507274</c:v>
                </c:pt>
                <c:pt idx="106">
                  <c:v>2655906.2976507274</c:v>
                </c:pt>
                <c:pt idx="107">
                  <c:v>2655906.2976507274</c:v>
                </c:pt>
                <c:pt idx="108">
                  <c:v>2655906.2976507274</c:v>
                </c:pt>
                <c:pt idx="109">
                  <c:v>2655906.2976507274</c:v>
                </c:pt>
                <c:pt idx="110">
                  <c:v>2655906.2976507274</c:v>
                </c:pt>
                <c:pt idx="111">
                  <c:v>2655906.2976507274</c:v>
                </c:pt>
                <c:pt idx="112">
                  <c:v>2655906.2976507274</c:v>
                </c:pt>
                <c:pt idx="113">
                  <c:v>2655906.2976507274</c:v>
                </c:pt>
                <c:pt idx="114">
                  <c:v>2655906.2976507274</c:v>
                </c:pt>
                <c:pt idx="115">
                  <c:v>2655906.2976507274</c:v>
                </c:pt>
                <c:pt idx="116">
                  <c:v>2655906.2976507274</c:v>
                </c:pt>
                <c:pt idx="117">
                  <c:v>2655906.2976507274</c:v>
                </c:pt>
                <c:pt idx="118">
                  <c:v>2655906.2976507274</c:v>
                </c:pt>
                <c:pt idx="119">
                  <c:v>2655906.2976507274</c:v>
                </c:pt>
                <c:pt idx="120">
                  <c:v>2655906.2976507274</c:v>
                </c:pt>
                <c:pt idx="121">
                  <c:v>2655906.2976507274</c:v>
                </c:pt>
                <c:pt idx="122">
                  <c:v>2655906.2976507274</c:v>
                </c:pt>
                <c:pt idx="123">
                  <c:v>2655906.2976507274</c:v>
                </c:pt>
                <c:pt idx="124">
                  <c:v>2655906.2976507274</c:v>
                </c:pt>
                <c:pt idx="125">
                  <c:v>2655906.2976507274</c:v>
                </c:pt>
                <c:pt idx="126">
                  <c:v>2655906.2976507274</c:v>
                </c:pt>
                <c:pt idx="127">
                  <c:v>2655906.2976507274</c:v>
                </c:pt>
                <c:pt idx="128">
                  <c:v>2655906.2976507274</c:v>
                </c:pt>
                <c:pt idx="129">
                  <c:v>2655906.2976507274</c:v>
                </c:pt>
                <c:pt idx="130">
                  <c:v>2655906.2976507274</c:v>
                </c:pt>
                <c:pt idx="131">
                  <c:v>2655906.2976507274</c:v>
                </c:pt>
                <c:pt idx="132">
                  <c:v>2655906.2976507274</c:v>
                </c:pt>
                <c:pt idx="133">
                  <c:v>2655906.2976507274</c:v>
                </c:pt>
                <c:pt idx="134">
                  <c:v>2655906.2976507274</c:v>
                </c:pt>
                <c:pt idx="135">
                  <c:v>2655906.2976507274</c:v>
                </c:pt>
                <c:pt idx="136">
                  <c:v>2655906.2976507274</c:v>
                </c:pt>
                <c:pt idx="137">
                  <c:v>2655906.2976507274</c:v>
                </c:pt>
                <c:pt idx="138">
                  <c:v>2655906.2976507274</c:v>
                </c:pt>
                <c:pt idx="139">
                  <c:v>2655906.2976507274</c:v>
                </c:pt>
                <c:pt idx="140">
                  <c:v>2655906.2976507274</c:v>
                </c:pt>
                <c:pt idx="141">
                  <c:v>2655906.2976507274</c:v>
                </c:pt>
                <c:pt idx="142">
                  <c:v>2655906.2976507274</c:v>
                </c:pt>
                <c:pt idx="143">
                  <c:v>2655906.2976507274</c:v>
                </c:pt>
                <c:pt idx="144">
                  <c:v>2655906.2976507274</c:v>
                </c:pt>
                <c:pt idx="145">
                  <c:v>2655906.2976507274</c:v>
                </c:pt>
                <c:pt idx="146">
                  <c:v>2655906.2976507274</c:v>
                </c:pt>
                <c:pt idx="147">
                  <c:v>2655906.2976507274</c:v>
                </c:pt>
                <c:pt idx="148">
                  <c:v>2655906.2976507274</c:v>
                </c:pt>
                <c:pt idx="149">
                  <c:v>2655906.2976507274</c:v>
                </c:pt>
                <c:pt idx="150">
                  <c:v>2655906.2976507274</c:v>
                </c:pt>
                <c:pt idx="151">
                  <c:v>2655906.2976507274</c:v>
                </c:pt>
                <c:pt idx="152">
                  <c:v>2655906.2976507274</c:v>
                </c:pt>
                <c:pt idx="153">
                  <c:v>2655906.2976507274</c:v>
                </c:pt>
                <c:pt idx="154">
                  <c:v>2655906.2976507274</c:v>
                </c:pt>
                <c:pt idx="155">
                  <c:v>2655906.2976507274</c:v>
                </c:pt>
                <c:pt idx="156">
                  <c:v>2655906.2976507274</c:v>
                </c:pt>
                <c:pt idx="157">
                  <c:v>2655906.2976507274</c:v>
                </c:pt>
                <c:pt idx="158">
                  <c:v>2655906.2976507274</c:v>
                </c:pt>
                <c:pt idx="159">
                  <c:v>2655906.2976507274</c:v>
                </c:pt>
                <c:pt idx="160">
                  <c:v>2655906.2976507274</c:v>
                </c:pt>
                <c:pt idx="161">
                  <c:v>2655906.2976507274</c:v>
                </c:pt>
                <c:pt idx="162">
                  <c:v>2655906.2976507274</c:v>
                </c:pt>
                <c:pt idx="163">
                  <c:v>2655906.2976507274</c:v>
                </c:pt>
                <c:pt idx="164">
                  <c:v>2655906.2976507274</c:v>
                </c:pt>
                <c:pt idx="165">
                  <c:v>2655906.2976507274</c:v>
                </c:pt>
                <c:pt idx="166">
                  <c:v>2655906.2976507274</c:v>
                </c:pt>
                <c:pt idx="167">
                  <c:v>2655906.2976507274</c:v>
                </c:pt>
                <c:pt idx="168">
                  <c:v>2655906.2976507274</c:v>
                </c:pt>
                <c:pt idx="169">
                  <c:v>2655906.2976507274</c:v>
                </c:pt>
                <c:pt idx="170">
                  <c:v>2655906.2976507274</c:v>
                </c:pt>
                <c:pt idx="171">
                  <c:v>2655906.2976507274</c:v>
                </c:pt>
                <c:pt idx="172">
                  <c:v>2655906.2976507274</c:v>
                </c:pt>
                <c:pt idx="173">
                  <c:v>2655906.2976507274</c:v>
                </c:pt>
                <c:pt idx="174">
                  <c:v>2655906.2976507274</c:v>
                </c:pt>
                <c:pt idx="175">
                  <c:v>2655906.2976507274</c:v>
                </c:pt>
                <c:pt idx="176">
                  <c:v>2655906.2976507274</c:v>
                </c:pt>
                <c:pt idx="177">
                  <c:v>2655906.2976507274</c:v>
                </c:pt>
                <c:pt idx="178">
                  <c:v>2655906.2976507274</c:v>
                </c:pt>
                <c:pt idx="179">
                  <c:v>2655906.2976507274</c:v>
                </c:pt>
                <c:pt idx="180">
                  <c:v>2655906.2976507274</c:v>
                </c:pt>
                <c:pt idx="181">
                  <c:v>2655906.2976507274</c:v>
                </c:pt>
                <c:pt idx="182">
                  <c:v>2655906.2976507274</c:v>
                </c:pt>
                <c:pt idx="183">
                  <c:v>2655906.2976507274</c:v>
                </c:pt>
                <c:pt idx="184">
                  <c:v>2655906.2976507274</c:v>
                </c:pt>
                <c:pt idx="185">
                  <c:v>2655906.2976507274</c:v>
                </c:pt>
                <c:pt idx="186">
                  <c:v>2655906.2976507274</c:v>
                </c:pt>
                <c:pt idx="187">
                  <c:v>2655906.2976507274</c:v>
                </c:pt>
                <c:pt idx="188">
                  <c:v>2655906.2976507274</c:v>
                </c:pt>
                <c:pt idx="189">
                  <c:v>2655906.2976507274</c:v>
                </c:pt>
                <c:pt idx="190">
                  <c:v>2655906.2976507274</c:v>
                </c:pt>
                <c:pt idx="191">
                  <c:v>2655906.2976507274</c:v>
                </c:pt>
                <c:pt idx="192">
                  <c:v>2655906.2976507274</c:v>
                </c:pt>
                <c:pt idx="193">
                  <c:v>2655906.2976507274</c:v>
                </c:pt>
                <c:pt idx="194">
                  <c:v>2655906.2976507274</c:v>
                </c:pt>
                <c:pt idx="195">
                  <c:v>2655906.2976507274</c:v>
                </c:pt>
                <c:pt idx="196">
                  <c:v>2655906.2976507274</c:v>
                </c:pt>
                <c:pt idx="197">
                  <c:v>2655906.2976507274</c:v>
                </c:pt>
                <c:pt idx="198">
                  <c:v>2655906.2976507274</c:v>
                </c:pt>
                <c:pt idx="199">
                  <c:v>2655906.2976507274</c:v>
                </c:pt>
                <c:pt idx="200">
                  <c:v>2655906.2976507274</c:v>
                </c:pt>
                <c:pt idx="201">
                  <c:v>2655906.2976507274</c:v>
                </c:pt>
                <c:pt idx="202">
                  <c:v>2655906.2976507274</c:v>
                </c:pt>
                <c:pt idx="203">
                  <c:v>2655906.2976507274</c:v>
                </c:pt>
                <c:pt idx="204">
                  <c:v>2655906.2976507274</c:v>
                </c:pt>
                <c:pt idx="205">
                  <c:v>2655906.2976507274</c:v>
                </c:pt>
                <c:pt idx="206">
                  <c:v>2655906.2976507274</c:v>
                </c:pt>
                <c:pt idx="207">
                  <c:v>2655906.2976507274</c:v>
                </c:pt>
                <c:pt idx="208">
                  <c:v>2655906.2976507274</c:v>
                </c:pt>
                <c:pt idx="209">
                  <c:v>2655906.2976507274</c:v>
                </c:pt>
                <c:pt idx="210">
                  <c:v>2655906.2976507274</c:v>
                </c:pt>
                <c:pt idx="211">
                  <c:v>2655906.2976507274</c:v>
                </c:pt>
                <c:pt idx="212">
                  <c:v>2655906.2976507274</c:v>
                </c:pt>
                <c:pt idx="213">
                  <c:v>2655906.2976507274</c:v>
                </c:pt>
                <c:pt idx="214">
                  <c:v>2655906.2976507274</c:v>
                </c:pt>
                <c:pt idx="215">
                  <c:v>2655906.2976507274</c:v>
                </c:pt>
                <c:pt idx="216">
                  <c:v>2655906.2976507274</c:v>
                </c:pt>
                <c:pt idx="217">
                  <c:v>2655906.2976507274</c:v>
                </c:pt>
                <c:pt idx="218">
                  <c:v>2655906.2976507274</c:v>
                </c:pt>
                <c:pt idx="219">
                  <c:v>2655906.2976507274</c:v>
                </c:pt>
                <c:pt idx="220">
                  <c:v>2655906.2976507274</c:v>
                </c:pt>
                <c:pt idx="221">
                  <c:v>2655906.2976507274</c:v>
                </c:pt>
                <c:pt idx="222">
                  <c:v>2655906.2976507274</c:v>
                </c:pt>
                <c:pt idx="223">
                  <c:v>2655906.2976507274</c:v>
                </c:pt>
                <c:pt idx="224">
                  <c:v>2655906.2976507274</c:v>
                </c:pt>
                <c:pt idx="225">
                  <c:v>2655906.2976507274</c:v>
                </c:pt>
                <c:pt idx="226">
                  <c:v>2655906.2976507274</c:v>
                </c:pt>
                <c:pt idx="227">
                  <c:v>2655906.2976507274</c:v>
                </c:pt>
                <c:pt idx="228">
                  <c:v>2655906.2976507274</c:v>
                </c:pt>
                <c:pt idx="229">
                  <c:v>2655906.2976507274</c:v>
                </c:pt>
                <c:pt idx="230">
                  <c:v>2655906.2976507274</c:v>
                </c:pt>
                <c:pt idx="231">
                  <c:v>2655906.2976507274</c:v>
                </c:pt>
                <c:pt idx="232">
                  <c:v>2655906.2976507274</c:v>
                </c:pt>
                <c:pt idx="233">
                  <c:v>2655906.2976507274</c:v>
                </c:pt>
                <c:pt idx="234">
                  <c:v>2655906.2976507274</c:v>
                </c:pt>
                <c:pt idx="235">
                  <c:v>2655906.2976507274</c:v>
                </c:pt>
                <c:pt idx="236">
                  <c:v>2655906.2976507274</c:v>
                </c:pt>
                <c:pt idx="237">
                  <c:v>2655906.2976507274</c:v>
                </c:pt>
                <c:pt idx="238">
                  <c:v>2655906.2976507274</c:v>
                </c:pt>
                <c:pt idx="239">
                  <c:v>2655906.2976507274</c:v>
                </c:pt>
                <c:pt idx="240">
                  <c:v>2655906.2976507274</c:v>
                </c:pt>
                <c:pt idx="241">
                  <c:v>2655906.2976507274</c:v>
                </c:pt>
                <c:pt idx="242">
                  <c:v>2655906.2976507274</c:v>
                </c:pt>
                <c:pt idx="243">
                  <c:v>2655906.2976507274</c:v>
                </c:pt>
                <c:pt idx="244">
                  <c:v>2655906.2976507274</c:v>
                </c:pt>
                <c:pt idx="245">
                  <c:v>2655906.2976507274</c:v>
                </c:pt>
                <c:pt idx="246">
                  <c:v>2655906.2976507274</c:v>
                </c:pt>
                <c:pt idx="247">
                  <c:v>2655906.2976507274</c:v>
                </c:pt>
                <c:pt idx="248">
                  <c:v>2655906.2976507274</c:v>
                </c:pt>
                <c:pt idx="249">
                  <c:v>2655906.2976507274</c:v>
                </c:pt>
                <c:pt idx="250">
                  <c:v>2655906.2976507274</c:v>
                </c:pt>
                <c:pt idx="251">
                  <c:v>2655906.2976507274</c:v>
                </c:pt>
                <c:pt idx="252">
                  <c:v>2655906.2976507274</c:v>
                </c:pt>
                <c:pt idx="253">
                  <c:v>2655906.2976507274</c:v>
                </c:pt>
                <c:pt idx="254">
                  <c:v>2655906.2976507274</c:v>
                </c:pt>
                <c:pt idx="255">
                  <c:v>2655906.2976507274</c:v>
                </c:pt>
                <c:pt idx="256">
                  <c:v>2655906.2976507274</c:v>
                </c:pt>
                <c:pt idx="257">
                  <c:v>2655906.2976507274</c:v>
                </c:pt>
                <c:pt idx="258">
                  <c:v>2655906.2976507274</c:v>
                </c:pt>
                <c:pt idx="259">
                  <c:v>2655906.2976507274</c:v>
                </c:pt>
                <c:pt idx="260">
                  <c:v>2655906.2976507274</c:v>
                </c:pt>
                <c:pt idx="261">
                  <c:v>2655906.2976507274</c:v>
                </c:pt>
                <c:pt idx="262">
                  <c:v>2655906.2976507274</c:v>
                </c:pt>
                <c:pt idx="263">
                  <c:v>2655906.2976507274</c:v>
                </c:pt>
                <c:pt idx="264">
                  <c:v>2655906.2976507274</c:v>
                </c:pt>
                <c:pt idx="265">
                  <c:v>2655906.2976507274</c:v>
                </c:pt>
                <c:pt idx="266">
                  <c:v>2655906.2976507274</c:v>
                </c:pt>
                <c:pt idx="267">
                  <c:v>2655906.2976507274</c:v>
                </c:pt>
                <c:pt idx="268">
                  <c:v>2655906.2976507274</c:v>
                </c:pt>
                <c:pt idx="269">
                  <c:v>2655906.2976507274</c:v>
                </c:pt>
                <c:pt idx="270">
                  <c:v>2655906.2976507274</c:v>
                </c:pt>
                <c:pt idx="271">
                  <c:v>2655906.2976507274</c:v>
                </c:pt>
                <c:pt idx="272">
                  <c:v>2655906.2976507274</c:v>
                </c:pt>
                <c:pt idx="273">
                  <c:v>2655906.2976507274</c:v>
                </c:pt>
                <c:pt idx="274">
                  <c:v>2655906.2976507274</c:v>
                </c:pt>
                <c:pt idx="275">
                  <c:v>2655906.2976507274</c:v>
                </c:pt>
                <c:pt idx="276">
                  <c:v>2655906.2976507274</c:v>
                </c:pt>
                <c:pt idx="277">
                  <c:v>2655906.2976507274</c:v>
                </c:pt>
                <c:pt idx="278">
                  <c:v>2655906.2976507274</c:v>
                </c:pt>
                <c:pt idx="279">
                  <c:v>2655906.2976507274</c:v>
                </c:pt>
                <c:pt idx="280">
                  <c:v>2655906.2976507274</c:v>
                </c:pt>
                <c:pt idx="281">
                  <c:v>2655906.2976507274</c:v>
                </c:pt>
                <c:pt idx="282">
                  <c:v>2655906.2976507274</c:v>
                </c:pt>
                <c:pt idx="283">
                  <c:v>2655906.2976507274</c:v>
                </c:pt>
                <c:pt idx="284">
                  <c:v>2655906.2976507274</c:v>
                </c:pt>
                <c:pt idx="285">
                  <c:v>2655906.2976507274</c:v>
                </c:pt>
                <c:pt idx="286">
                  <c:v>2655906.2976507274</c:v>
                </c:pt>
                <c:pt idx="287">
                  <c:v>2655906.2976507274</c:v>
                </c:pt>
                <c:pt idx="288">
                  <c:v>2655906.2976507274</c:v>
                </c:pt>
                <c:pt idx="289">
                  <c:v>2655906.2976507274</c:v>
                </c:pt>
                <c:pt idx="290">
                  <c:v>2655906.2976507274</c:v>
                </c:pt>
                <c:pt idx="291">
                  <c:v>2655906.2976507274</c:v>
                </c:pt>
                <c:pt idx="292">
                  <c:v>2655906.2976507274</c:v>
                </c:pt>
                <c:pt idx="293">
                  <c:v>2655906.2976507274</c:v>
                </c:pt>
                <c:pt idx="294">
                  <c:v>2655906.2976507274</c:v>
                </c:pt>
                <c:pt idx="295">
                  <c:v>2655906.2976507274</c:v>
                </c:pt>
                <c:pt idx="296">
                  <c:v>2655906.2976507274</c:v>
                </c:pt>
                <c:pt idx="297">
                  <c:v>2655906.2976507274</c:v>
                </c:pt>
                <c:pt idx="298">
                  <c:v>2655906.2976507274</c:v>
                </c:pt>
                <c:pt idx="299">
                  <c:v>2655906.2976507274</c:v>
                </c:pt>
                <c:pt idx="300">
                  <c:v>2655906.2976507274</c:v>
                </c:pt>
                <c:pt idx="301">
                  <c:v>2655906.2976507274</c:v>
                </c:pt>
                <c:pt idx="302">
                  <c:v>2655906.2976507274</c:v>
                </c:pt>
                <c:pt idx="303">
                  <c:v>2655906.2976507274</c:v>
                </c:pt>
                <c:pt idx="304">
                  <c:v>2655906.2976507274</c:v>
                </c:pt>
                <c:pt idx="305">
                  <c:v>2655906.2976507274</c:v>
                </c:pt>
                <c:pt idx="306">
                  <c:v>2655906.2976507274</c:v>
                </c:pt>
                <c:pt idx="307">
                  <c:v>2655906.2976507274</c:v>
                </c:pt>
                <c:pt idx="308">
                  <c:v>2655906.2976507274</c:v>
                </c:pt>
                <c:pt idx="309">
                  <c:v>2655906.2976507274</c:v>
                </c:pt>
                <c:pt idx="310">
                  <c:v>2655906.2976507274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0BA7BA3-BAFE-4604-9FB5-B7D6FC69F35B}">
    <Anchor>
      <Comment id="{FAD5E94A-949C-454E-B9A3-A41EDC9FE6DB}"/>
    </Anchor>
    <History>
      <Event time="2025-10-29T11:46:04.38" id="{830C10F3-1D7E-4CAA-875F-D08B50C2E80C}">
        <Attribution userId="S::tasneema@emergy.co.za::9a0cc615-e4de-4e2f-ae82-9f40753a7d8a" userName="Tasneema van Harte" userProvider="AD"/>
        <Anchor>
          <Comment id="{FAD5E94A-949C-454E-B9A3-A41EDC9FE6DB}"/>
        </Anchor>
        <Create/>
      </Event>
      <Event time="2025-10-29T11:46:04.38" id="{CEDCA6D7-F59F-46C0-9597-AB412B3EE3E5}">
        <Attribution userId="S::tasneema@emergy.co.za::9a0cc615-e4de-4e2f-ae82-9f40753a7d8a" userName="Tasneema van Harte" userProvider="AD"/>
        <Anchor>
          <Comment id="{FAD5E94A-949C-454E-B9A3-A41EDC9FE6DB}"/>
        </Anchor>
        <Assign userId="S::mizelda@emergentenergy.co.za::3a5c2ad2-993e-4fe1-a333-48e19c6adda8" userName="Mizelda Isaacs" userProvider="AD"/>
      </Event>
      <Event time="2025-10-29T11:46:04.38" id="{509A2713-3B3D-4F5B-975E-DBEB0FA58F37}">
        <Attribution userId="S::tasneema@emergy.co.za::9a0cc615-e4de-4e2f-ae82-9f40753a7d8a" userName="Tasneema van Harte" userProvider="AD"/>
        <Anchor>
          <Comment id="{FAD5E94A-949C-454E-B9A3-A41EDC9FE6DB}"/>
        </Anchor>
        <SetTitle title="@Mizelda Isaacs please add a payment date"/>
      </Event>
      <Event time="2025-11-05T14:02:19.92" id="{829D2A4B-4267-4269-869B-95A6FD6A5487}">
        <Attribution userId="S::mizelda@emergentenergy.co.za::3a5c2ad2-993e-4fe1-a333-48e19c6adda8" userName="Mizelda Isaacs" userProvider="AD"/>
        <Progress percentComplete="100"/>
      </Event>
    </History>
  </Task>
  <Task id="{6B9496DF-76DB-4B11-A63F-699A2A7F58B3}">
    <Anchor>
      <Comment id="{DA595B55-1E49-413C-AC23-F5E1DFBD684B}"/>
    </Anchor>
    <History>
      <Event time="2025-10-29T11:46:38.02" id="{72873FDD-DE5A-4532-BCB5-2687478F938F}">
        <Attribution userId="S::tasneema@emergy.co.za::9a0cc615-e4de-4e2f-ae82-9f40753a7d8a" userName="Tasneema van Harte" userProvider="AD"/>
        <Anchor>
          <Comment id="{DA595B55-1E49-413C-AC23-F5E1DFBD684B}"/>
        </Anchor>
        <Create/>
      </Event>
      <Event time="2025-10-29T11:46:38.02" id="{F182FEEF-26EF-4403-B6FF-C6CFF6F8D19B}">
        <Attribution userId="S::tasneema@emergy.co.za::9a0cc615-e4de-4e2f-ae82-9f40753a7d8a" userName="Tasneema van Harte" userProvider="AD"/>
        <Anchor>
          <Comment id="{DA595B55-1E49-413C-AC23-F5E1DFBD684B}"/>
        </Anchor>
        <Assign userId="S::mizelda@emergentenergy.co.za::3a5c2ad2-993e-4fe1-a333-48e19c6adda8" userName="Mizelda Isaacs" userProvider="AD"/>
      </Event>
      <Event time="2025-10-29T11:46:38.02" id="{ED105FF4-7BC3-4EC6-AD54-6E71B2693E98}">
        <Attribution userId="S::tasneema@emergy.co.za::9a0cc615-e4de-4e2f-ae82-9f40753a7d8a" userName="Tasneema van Harte" userProvider="AD"/>
        <Anchor>
          <Comment id="{DA595B55-1E49-413C-AC23-F5E1DFBD684B}"/>
        </Anchor>
        <SetTitle title="@Mizelda Isaacs please update the payment date"/>
      </Event>
      <Event time="2025-11-05T14:00:58.74" id="{34992708-6A74-4AD2-97F0-683F08A26D8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233BDD7F-B168-4C0B-A175-FF2C4D7251B4}" userId="mizelda@emergentenergy.co.za" providerId="PeoplePicker"/>
  <person displayName="Tasneema van Harte" id="{432F042C-2FF9-4B3F-AE94-C4C5438E8AB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16620717589" createdVersion="8" refreshedVersion="8" minRefreshableVersion="3" recordCount="172" xr:uid="{D37A5069-1A2D-4864-A726-735BFBE61275}">
  <cacheSource type="worksheet">
    <worksheetSource ref="L4:X1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4. DC Equipment 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89124"/>
    </cacheField>
    <cacheField name="Rate / Unit" numFmtId="0">
      <sharedItems containsString="0" containsBlank="1" containsNumber="1" minValue="0.05" maxValue="79870"/>
    </cacheField>
    <cacheField name="Actual Total " numFmtId="0">
      <sharedItems containsString="0" containsBlank="1" containsNumber="1" minValue="-44000" maxValue="51202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7-01T00:00:00" count="13">
        <m/>
        <d v="2025-06-30T00:00:00"/>
        <s v=""/>
        <d v="2025-09-30T00:00:00"/>
        <d v="2025-07-31T00:00:00"/>
        <d v="2025-05-31T00:00:00"/>
        <d v="2025-04-30T00:00:00"/>
        <d v="2025-08-31T00:00:00"/>
        <d v="2025-10-31T00:00:00"/>
        <d v="2025-11-30T00:00:00"/>
        <d v="2025-12-31T00:00:00"/>
        <d v="2026-06-30T00:00:00" u="1"/>
        <d v="2025-03-31T00:00:00" u="1"/>
      </sharedItems>
    </cacheField>
    <cacheField name="REVENUE RECOGNITION AMOUNT" numFmtId="0">
      <sharedItems containsString="0" containsBlank="1" containsNumber="1" minValue="0" maxValue="637269.77272727271"/>
    </cacheField>
    <cacheField name="CHECK" numFmtId="0">
      <sharedItems containsString="0" containsBlank="1" containsNumber="1" minValue="-3.6448949394980446E-3" maxValue="3.9511194863735E-3"/>
    </cacheField>
    <cacheField name="FINANCE PAYMENT DATE" numFmtId="0">
      <sharedItems containsNonDate="0" containsDate="1" containsString="0" containsBlank="1" minDate="2025-04-10T00:00:00" maxDate="2026-01-30T00:00:00"/>
    </cacheField>
    <cacheField name="Total COS" numFmtId="0">
      <sharedItems containsString="0" containsBlank="1" containsNumber="1" minValue="0" maxValue="512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m/>
    <x v="0"/>
    <m/>
    <m/>
    <m/>
    <m/>
    <m/>
    <m/>
    <x v="0"/>
    <m/>
    <m/>
    <m/>
    <m/>
  </r>
  <r>
    <n v="1"/>
    <x v="1"/>
    <s v="Jinko 620W - Menlo"/>
    <n v="415"/>
    <n v="1233.8"/>
    <n v="512027"/>
    <s v="PO3909-DIP-PH2-CORP-20250514"/>
    <s v="Menlo INV0003028"/>
    <x v="1"/>
    <n v="637269.77272727271"/>
    <n v="0"/>
    <d v="2025-07-29T00:00:00"/>
    <n v="512827"/>
  </r>
  <r>
    <n v="1"/>
    <x v="1"/>
    <m/>
    <m/>
    <n v="1.99"/>
    <m/>
    <m/>
    <m/>
    <x v="2"/>
    <n v="0"/>
    <m/>
    <m/>
    <m/>
  </r>
  <r>
    <n v="1"/>
    <x v="1"/>
    <m/>
    <m/>
    <n v="800"/>
    <n v="800"/>
    <m/>
    <s v="Menlo - INV0003230"/>
    <x v="3"/>
    <n v="0"/>
    <m/>
    <d v="2025-11-06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8870"/>
    <n v="137740.70000000001"/>
    <s v="PO3909-DIP-PH2-CORP-20250514"/>
    <s v="Menlo INV0003028"/>
    <x v="1"/>
    <n v="181818.18181818182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2657.399999999994"/>
    <s v="PO3902-DSS-20250603 - RV Approved"/>
    <s v="Schletter - INV1883"/>
    <x v="1"/>
    <n v="131624.99999999997"/>
    <n v="0"/>
    <d v="2025-07-29T00:00:00"/>
    <n v="82657.39999999999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4"/>
    <n v="80400"/>
    <s v="PO3909-DIP-PH2-CORP-20250514"/>
    <s v="Menlo INV0003028"/>
    <x v="1"/>
    <n v="90168.327477242987"/>
    <n v="0"/>
    <d v="2025-07-29T00:00:00"/>
    <n v="206242.26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5842.26"/>
    <n v="0.1"/>
    <n v="11730.4"/>
    <m/>
    <s v="The Greenway - INV0001397"/>
    <x v="1"/>
    <n v="13155.603838794166"/>
    <m/>
    <d v="2025-06-19T00:00:00"/>
    <m/>
  </r>
  <r>
    <n v="4"/>
    <x v="5"/>
    <s v="Project Kick Off (top up)"/>
    <m/>
    <m/>
    <n v="853.83"/>
    <m/>
    <s v="The Greenway - INV0001403"/>
    <x v="1"/>
    <n v="957.56745086933302"/>
    <m/>
    <d v="2025-06-26T00:00:00"/>
    <m/>
  </r>
  <r>
    <n v="4"/>
    <x v="4"/>
    <s v="Site Establishment"/>
    <m/>
    <n v="0.15"/>
    <n v="18876.339"/>
    <m/>
    <s v="The Greenway - INV0001404"/>
    <x v="1"/>
    <n v="21169.750205515586"/>
    <m/>
    <d v="2025-06-26T00:00:00"/>
    <m/>
  </r>
  <r>
    <n v="4"/>
    <x v="4"/>
    <s v="AC Installation Complete"/>
    <m/>
    <n v="0.2"/>
    <n v="25168.452000000001"/>
    <m/>
    <s v="The Greenway- INV0001426"/>
    <x v="4"/>
    <n v="28226.333607354118"/>
    <m/>
    <d v="2025-09-25T00:00:00"/>
    <m/>
  </r>
  <r>
    <n v="4"/>
    <x v="4"/>
    <s v="DC Installation Complete"/>
    <m/>
    <n v="0.25"/>
    <n v="31460.564999999999"/>
    <m/>
    <s v="The Greenway- INV0001426"/>
    <x v="4"/>
    <n v="35282.917009192643"/>
    <m/>
    <d v="2025-09-25T00:00:00"/>
    <m/>
  </r>
  <r>
    <n v="4"/>
    <x v="4"/>
    <s v="Commissioning Complete"/>
    <m/>
    <n v="0.1"/>
    <n v="12584.226000000001"/>
    <m/>
    <s v="The Greenway- INV0001426"/>
    <x v="4"/>
    <n v="14113.166803677059"/>
    <m/>
    <d v="2025-09-25T00:00:00"/>
    <m/>
  </r>
  <r>
    <n v="4"/>
    <x v="4"/>
    <s v="Site De-establisment"/>
    <m/>
    <n v="0.1"/>
    <n v="12584.226000000001"/>
    <m/>
    <s v="The Greenway- INV0001426"/>
    <x v="4"/>
    <n v="14113.166803677059"/>
    <m/>
    <d v="2025-09-25T00:00:00"/>
    <m/>
  </r>
  <r>
    <n v="4"/>
    <x v="4"/>
    <s v="Handover Document Complete"/>
    <m/>
    <n v="0.05"/>
    <n v="6292.1130000000003"/>
    <m/>
    <s v="The Greenway- INV0001426"/>
    <x v="4"/>
    <n v="7056.5834018385294"/>
    <m/>
    <d v="2026-01-15T00:00:00"/>
    <m/>
  </r>
  <r>
    <n v="4"/>
    <x v="4"/>
    <s v="End of Defects Period"/>
    <m/>
    <n v="0.05"/>
    <n v="6292.1130000000003"/>
    <m/>
    <s v="The Greenway- INV0001426"/>
    <x v="4"/>
    <n v="7056.5834018385294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6"/>
    <s v="Smartlogger - Menlo"/>
    <m/>
    <m/>
    <n v="8598.35"/>
    <s v="PO3909-DIP-PH2-CORP-20250514"/>
    <s v="Menlo INV0002936"/>
    <x v="5"/>
    <n v="9244.4168858984049"/>
    <n v="1.3886615051887929E-3"/>
    <d v="2025-07-17T00:00:00"/>
    <n v="101514.84"/>
  </r>
  <r>
    <n v="5"/>
    <x v="6"/>
    <m/>
    <m/>
    <m/>
    <n v="8598.34"/>
    <m/>
    <s v="Menlo INV0003243"/>
    <x v="3"/>
    <n v="0"/>
    <m/>
    <d v="2025-11-06T00:00:00"/>
    <m/>
  </r>
  <r>
    <n v="5"/>
    <x v="6"/>
    <s v="Smartlogger - Menlo RMA replacement "/>
    <m/>
    <m/>
    <n v="-8598.35"/>
    <m/>
    <m/>
    <x v="0"/>
    <n v="0"/>
    <m/>
    <m/>
    <m/>
  </r>
  <r>
    <n v="5"/>
    <x v="6"/>
    <s v="CTs &amp; Meters"/>
    <m/>
    <m/>
    <n v="27555"/>
    <s v="PO3839-DIP-Ph2-Corp-20250429 - RV Approved"/>
    <s v="Accuenergy Inv: ASAI-005365"/>
    <x v="6"/>
    <n v="10673.10702236444"/>
    <m/>
    <d v="2025-05-31T00:00:00"/>
    <m/>
  </r>
  <r>
    <n v="5"/>
    <x v="6"/>
    <m/>
    <m/>
    <m/>
    <n v="214.29"/>
    <m/>
    <s v="Accenergy - INV ASAI-005800"/>
    <x v="1"/>
    <n v="117.96083365230804"/>
    <m/>
    <d v="2025-07-29T00:00:00"/>
    <m/>
  </r>
  <r>
    <n v="5"/>
    <x v="6"/>
    <s v="Techsitter"/>
    <m/>
    <m/>
    <n v="11169"/>
    <m/>
    <s v="Matriarch - INV-4999"/>
    <x v="7"/>
    <n v="7650.3580467658412"/>
    <m/>
    <d v="2025-09-30T00:00:00"/>
    <m/>
  </r>
  <r>
    <n v="5"/>
    <x v="6"/>
    <s v="UPS"/>
    <m/>
    <m/>
    <n v="2250.5"/>
    <m/>
    <s v="Frontline INV725690"/>
    <x v="5"/>
    <n v="1267.6392466245686"/>
    <m/>
    <d v="2025-05-22T00:00:00"/>
    <m/>
  </r>
  <r>
    <n v="5"/>
    <x v="6"/>
    <s v="Apex Device and License - Allocated to IconSA KZN"/>
    <m/>
    <m/>
    <n v="44000"/>
    <s v="PO4176-DCP-20250728 - RV Approved"/>
    <s v="Rubicon INVWCRE-0069677"/>
    <x v="4"/>
    <n v="22474.819277098901"/>
    <m/>
    <d v="2025-08-31T00:00:00"/>
    <m/>
  </r>
  <r>
    <n v="5"/>
    <x v="6"/>
    <s v="Apex Device and License - Allocated to IconSA KZN"/>
    <m/>
    <m/>
    <n v="-44000"/>
    <m/>
    <s v="Allocated to Icon SA - KZN"/>
    <x v="8"/>
    <m/>
    <m/>
    <d v="2025-10-31T00:00:00"/>
    <m/>
  </r>
  <r>
    <n v="5"/>
    <x v="6"/>
    <s v="Apex Device allocated from Seshego Circle"/>
    <m/>
    <m/>
    <n v="44000"/>
    <s v="PO4077-DSHC-20250630 - RV Approved"/>
    <s v="Allocated from Seshego Circle"/>
    <x v="8"/>
    <m/>
    <m/>
    <d v="2025-10-31T00:00:00"/>
    <m/>
  </r>
  <r>
    <n v="5"/>
    <x v="6"/>
    <s v="Delivery of Apex"/>
    <m/>
    <m/>
    <n v="193.15"/>
    <m/>
    <s v="DSV Inv: 180144979"/>
    <x v="7"/>
    <n v="105.94453108898041"/>
    <m/>
    <d v="2025-09-30T00:00:00"/>
    <m/>
  </r>
  <r>
    <n v="5"/>
    <x v="6"/>
    <s v="GivEnergy - Transceiver Kit"/>
    <m/>
    <m/>
    <n v="7534.56"/>
    <s v="PO3972-DIP-Ph2-Corp P-20250530 - RV Approved"/>
    <s v="GivEnergy: INV000009"/>
    <x v="1"/>
    <n v="4147.5709496632326"/>
    <m/>
    <d v="2025-06-05T00:00:00"/>
    <m/>
  </r>
  <r>
    <n v="5"/>
    <x v="6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6"/>
    <x v="7"/>
    <m/>
    <m/>
    <m/>
    <m/>
    <m/>
    <m/>
    <x v="2"/>
    <n v="0"/>
    <n v="2.8194371843710542E-3"/>
    <m/>
    <n v="208384.924"/>
  </r>
  <r>
    <n v="6"/>
    <x v="7"/>
    <s v="PVDB"/>
    <m/>
    <m/>
    <n v="99474.36"/>
    <s v="PO3930-DIP-Ph2-Corp P-20250519 - RV Approved"/>
    <s v="Switchboard 2-SOI002242"/>
    <x v="7"/>
    <n v="165848.36050240585"/>
    <m/>
    <d v="2025-09-30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s v="Project Kick Off"/>
    <n v="108910.56"/>
    <n v="0.1"/>
    <n v="9472.6299999999992"/>
    <m/>
    <s v="The Greenway - INV0001397"/>
    <x v="1"/>
    <n v="16036.987228298114"/>
    <m/>
    <d v="2025-06-19T00:00:00"/>
    <m/>
  </r>
  <r>
    <m/>
    <x v="7"/>
    <s v="Project Kick Off (top up)"/>
    <m/>
    <m/>
    <n v="1418.43"/>
    <m/>
    <s v="The Greenway - INV0001403"/>
    <x v="1"/>
    <n v="2401.3757313686801"/>
    <m/>
    <d v="2025-06-26T00:00:00"/>
    <m/>
  </r>
  <r>
    <n v="6"/>
    <x v="7"/>
    <s v="Site Establishment"/>
    <m/>
    <n v="0.15"/>
    <n v="16336.583999999999"/>
    <m/>
    <s v="The Greenway - INV0001404"/>
    <x v="1"/>
    <n v="27657.534281611268"/>
    <m/>
    <d v="2025-06-26T00:00:00"/>
    <m/>
  </r>
  <r>
    <n v="6"/>
    <x v="7"/>
    <s v="AC Installation Complete"/>
    <m/>
    <n v="0.2"/>
    <n v="21782.112000000001"/>
    <m/>
    <s v="The Greenway- INV0001426"/>
    <x v="4"/>
    <n v="36436.626695684194"/>
    <m/>
    <d v="2025-09-25T00:00:00"/>
    <m/>
  </r>
  <r>
    <n v="6"/>
    <x v="7"/>
    <s v="DC Installation Complete"/>
    <m/>
    <n v="0.25"/>
    <n v="27227.64"/>
    <m/>
    <s v="The Greenway- INV0001426"/>
    <x v="4"/>
    <n v="45545.783369605248"/>
    <m/>
    <d v="2025-09-25T00:00:00"/>
    <m/>
  </r>
  <r>
    <n v="6"/>
    <x v="7"/>
    <s v="Commissioning Complete"/>
    <m/>
    <n v="0.1"/>
    <n v="10891.056"/>
    <m/>
    <s v="The Greenway- INV0001426"/>
    <x v="4"/>
    <n v="18218.313347842097"/>
    <m/>
    <d v="2025-09-25T00:00:00"/>
    <m/>
  </r>
  <r>
    <n v="6"/>
    <x v="7"/>
    <s v="Site De-establisment"/>
    <m/>
    <n v="0.1"/>
    <n v="10891.056"/>
    <m/>
    <s v="The Greenway- INV0001426"/>
    <x v="4"/>
    <n v="18218.313347842097"/>
    <m/>
    <d v="2025-09-25T00:00:00"/>
    <m/>
  </r>
  <r>
    <n v="6"/>
    <x v="7"/>
    <s v="Handover Document Complete"/>
    <m/>
    <n v="0.05"/>
    <n v="5445.5280000000002"/>
    <m/>
    <s v="The Greenway- INV0001426"/>
    <x v="4"/>
    <n v="9109.1566739210484"/>
    <m/>
    <d v="2025-12-18T00:00:00"/>
    <m/>
  </r>
  <r>
    <n v="6"/>
    <x v="7"/>
    <s v="End of Defects Period"/>
    <m/>
    <n v="0.05"/>
    <n v="5445.5280000000002"/>
    <m/>
    <s v="The Greenway- INV0001426"/>
    <x v="4"/>
    <n v="9109.1566739210484"/>
    <m/>
    <d v="2026-01-15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8"/>
    <m/>
    <m/>
    <m/>
    <m/>
    <m/>
    <m/>
    <x v="2"/>
    <m/>
    <n v="0"/>
    <m/>
    <n v="0"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9"/>
    <m/>
    <m/>
    <m/>
    <m/>
    <m/>
    <m/>
    <x v="2"/>
    <n v="0"/>
    <n v="-9.0449827257543802E-4"/>
    <m/>
    <n v="49132.22"/>
  </r>
  <r>
    <n v="8"/>
    <x v="9"/>
    <m/>
    <m/>
    <m/>
    <m/>
    <m/>
    <m/>
    <x v="2"/>
    <n v="0"/>
    <m/>
    <m/>
    <m/>
  </r>
  <r>
    <n v="8"/>
    <x v="9"/>
    <s v="E-Stop"/>
    <m/>
    <m/>
    <n v="5203"/>
    <s v="PO4383-DCP-20251020 - RV Approved"/>
    <s v="The Greenway - INV0001510"/>
    <x v="8"/>
    <n v="16658.266861800592"/>
    <m/>
    <d v="2025-11-21T00:00:00"/>
    <m/>
  </r>
  <r>
    <n v="8"/>
    <x v="9"/>
    <m/>
    <m/>
    <m/>
    <m/>
    <m/>
    <m/>
    <x v="0"/>
    <n v="0"/>
    <m/>
    <m/>
    <m/>
  </r>
  <r>
    <n v="8"/>
    <x v="9"/>
    <s v="Inverter Cage with roof - Deposit"/>
    <n v="0.75"/>
    <n v="35400"/>
    <n v="26550"/>
    <s v="PO4483-DCP-20251124 - RV Approved"/>
    <s v="Van Staden Three - Inv3075"/>
    <x v="9"/>
    <n v="188952.71623262769"/>
    <m/>
    <d v="2025-11-28T00:00:00"/>
    <m/>
  </r>
  <r>
    <n v="8"/>
    <x v="9"/>
    <s v="Inverter Cage with roof - Balance"/>
    <n v="0.25"/>
    <m/>
    <n v="8850"/>
    <m/>
    <s v="Van Staden Three - Inv3110"/>
    <x v="10"/>
    <n v="51172.215410875899"/>
    <m/>
    <d v="2026-01-09T00:00:00"/>
    <m/>
  </r>
  <r>
    <n v="8"/>
    <x v="9"/>
    <s v="Waterpoints"/>
    <m/>
    <m/>
    <n v="8529.2199999999993"/>
    <m/>
    <s v="Toys 4Boys - 12392"/>
    <x v="8"/>
    <n v="27307.711490103182"/>
    <m/>
    <d v="2025-11-28T00:00:00"/>
    <m/>
  </r>
  <r>
    <n v="8"/>
    <x v="9"/>
    <m/>
    <m/>
    <m/>
    <m/>
    <m/>
    <m/>
    <x v="2"/>
    <n v="0"/>
    <m/>
    <m/>
    <m/>
  </r>
  <r>
    <n v="8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10"/>
    <m/>
    <m/>
    <m/>
    <m/>
    <m/>
    <m/>
    <x v="2"/>
    <n v="0"/>
    <n v="0"/>
    <m/>
    <n v="289124"/>
  </r>
  <r>
    <n v="9"/>
    <x v="10"/>
    <s v="Project Kick Off"/>
    <n v="289124"/>
    <n v="0.1"/>
    <n v="21065"/>
    <m/>
    <s v="The Greenway - INV0001397"/>
    <x v="1"/>
    <n v="18055.929798490695"/>
    <m/>
    <d v="2025-06-19T00:00:00"/>
    <m/>
  </r>
  <r>
    <n v="9"/>
    <x v="10"/>
    <s v="Project Kick Off (top up)"/>
    <m/>
    <m/>
    <n v="7847.4"/>
    <m/>
    <s v="The Greenway - INV0001403"/>
    <x v="1"/>
    <n v="6726.4231426857759"/>
    <m/>
    <d v="2025-06-26T00:00:00"/>
    <m/>
  </r>
  <r>
    <n v="9"/>
    <x v="10"/>
    <s v="Site Establishment"/>
    <m/>
    <n v="0.15"/>
    <n v="43368.6"/>
    <m/>
    <s v="The Greenway - INV0001404"/>
    <x v="1"/>
    <n v="37173.529411764706"/>
    <m/>
    <d v="2025-06-26T00:00:00"/>
    <m/>
  </r>
  <r>
    <n v="9"/>
    <x v="10"/>
    <s v="AC Installation Complete"/>
    <m/>
    <n v="0.2"/>
    <n v="57824.800000000003"/>
    <m/>
    <s v="The Greenway- INV0001426"/>
    <x v="7"/>
    <n v="49564.705882352944"/>
    <m/>
    <d v="2025-09-25T00:00:00"/>
    <m/>
  </r>
  <r>
    <n v="9"/>
    <x v="10"/>
    <s v="DC Installation Complete"/>
    <m/>
    <n v="0.25"/>
    <n v="72281"/>
    <m/>
    <s v="The Greenway- INV0001426"/>
    <x v="7"/>
    <n v="61955.882352941175"/>
    <m/>
    <d v="2025-09-25T00:00:00"/>
    <m/>
  </r>
  <r>
    <n v="9"/>
    <x v="10"/>
    <s v="Commissioning Complete"/>
    <m/>
    <n v="0.1"/>
    <n v="28912.400000000001"/>
    <m/>
    <s v="The Greenway- INV0001426"/>
    <x v="7"/>
    <n v="24782.352941176472"/>
    <m/>
    <d v="2025-09-25T00:00:00"/>
    <m/>
  </r>
  <r>
    <n v="9"/>
    <x v="10"/>
    <s v="Site De-establisment"/>
    <m/>
    <n v="0.1"/>
    <n v="28912.400000000001"/>
    <m/>
    <s v="The Greenway- INV0001426"/>
    <x v="7"/>
    <n v="24782.352941176472"/>
    <m/>
    <d v="2025-09-25T00:00:00"/>
    <m/>
  </r>
  <r>
    <n v="9"/>
    <x v="10"/>
    <s v="Handover Document Complete"/>
    <m/>
    <n v="0.05"/>
    <n v="14456.2"/>
    <m/>
    <s v="The Greenway- INV0001426"/>
    <x v="7"/>
    <n v="12391.176470588236"/>
    <m/>
    <d v="2025-12-18T00:00:00"/>
    <m/>
  </r>
  <r>
    <n v="9"/>
    <x v="10"/>
    <s v="End of Defects Period"/>
    <m/>
    <n v="0.05"/>
    <n v="14456.2"/>
    <m/>
    <s v="The Greenway- INV0001426"/>
    <x v="7"/>
    <n v="12391.176470588236"/>
    <m/>
    <d v="2026-01-15T00:00:00"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1"/>
    <m/>
    <m/>
    <m/>
    <m/>
    <m/>
    <m/>
    <x v="0"/>
    <n v="0"/>
    <n v="-3.6448949394980446E-3"/>
    <m/>
    <n v="65924.73"/>
  </r>
  <r>
    <n v="10"/>
    <x v="11"/>
    <m/>
    <m/>
    <m/>
    <m/>
    <m/>
    <m/>
    <x v="0"/>
    <n v="0"/>
    <m/>
    <m/>
    <m/>
  </r>
  <r>
    <n v="10"/>
    <x v="11"/>
    <m/>
    <m/>
    <m/>
    <m/>
    <m/>
    <m/>
    <x v="2"/>
    <n v="0"/>
    <m/>
    <m/>
    <m/>
  </r>
  <r>
    <n v="10"/>
    <x v="11"/>
    <m/>
    <m/>
    <m/>
    <m/>
    <m/>
    <m/>
    <x v="2"/>
    <n v="0"/>
    <m/>
    <m/>
    <m/>
  </r>
  <r>
    <n v="10"/>
    <x v="11"/>
    <s v="Project Kick Off"/>
    <n v="69585"/>
    <n v="0.1"/>
    <n v="3039.66"/>
    <m/>
    <s v="The Greenway - INV0001397"/>
    <x v="1"/>
    <n v="2064.1886201184029"/>
    <m/>
    <d v="2025-06-19T00:00:00"/>
    <m/>
  </r>
  <r>
    <n v="10"/>
    <x v="11"/>
    <s v="Project Kick Off (top up)"/>
    <m/>
    <m/>
    <n v="2196.44"/>
    <m/>
    <s v="The Greenway - INV0001403"/>
    <x v="1"/>
    <n v="1316.1557181757435"/>
    <m/>
    <d v="2025-06-26T00:00:00"/>
    <m/>
  </r>
  <r>
    <n v="10"/>
    <x v="11"/>
    <m/>
    <m/>
    <m/>
    <n v="2196.44"/>
    <m/>
    <s v="The Greenway - INV0001403"/>
    <x v="7"/>
    <n v="0"/>
    <m/>
    <d v="2025-08-31T00:00:00"/>
    <m/>
  </r>
  <r>
    <n v="10"/>
    <x v="11"/>
    <m/>
    <m/>
    <m/>
    <n v="-1938.13"/>
    <m/>
    <s v="The Greenway - INV0001403"/>
    <x v="7"/>
    <m/>
    <m/>
    <d v="2025-08-31T00:00:00"/>
    <m/>
  </r>
  <r>
    <n v="10"/>
    <x v="11"/>
    <s v="Site Establishment"/>
    <m/>
    <n v="0.15"/>
    <n v="7854.15"/>
    <m/>
    <s v="The Greenway - INV0001404"/>
    <x v="1"/>
    <n v="5070.526693721692"/>
    <m/>
    <d v="2025-06-26T00:00:00"/>
    <m/>
  </r>
  <r>
    <n v="10"/>
    <x v="11"/>
    <m/>
    <m/>
    <m/>
    <n v="-7466.7"/>
    <m/>
    <s v="The Greenway - INV0001404"/>
    <x v="7"/>
    <n v="0"/>
    <m/>
    <d v="2025-08-31T00:00:00"/>
    <m/>
  </r>
  <r>
    <n v="10"/>
    <x v="11"/>
    <m/>
    <m/>
    <m/>
    <n v="7854.15"/>
    <m/>
    <s v="The Greenway - INV0001404"/>
    <x v="7"/>
    <n v="0"/>
    <m/>
    <d v="2025-08-31T00:00:00"/>
    <m/>
  </r>
  <r>
    <n v="10"/>
    <x v="11"/>
    <s v="AC Installation Complete"/>
    <m/>
    <n v="0.2"/>
    <n v="13917"/>
    <m/>
    <s v="The Greenway- INV0001426"/>
    <x v="4"/>
    <n v="20529.779219643598"/>
    <m/>
    <d v="2025-09-25T00:00:00"/>
    <m/>
  </r>
  <r>
    <n v="10"/>
    <x v="11"/>
    <s v="DC Installation Complete"/>
    <m/>
    <n v="0.25"/>
    <n v="17396.25"/>
    <m/>
    <s v="The Greenway- INV0001426"/>
    <x v="4"/>
    <n v="19124.66152455446"/>
    <m/>
    <d v="2025-09-25T00:00:00"/>
    <m/>
  </r>
  <r>
    <n v="10"/>
    <x v="11"/>
    <s v="Commissioning Complete"/>
    <m/>
    <n v="0.1"/>
    <n v="6958.5"/>
    <m/>
    <s v="The Greenway- INV0001426"/>
    <x v="4"/>
    <n v="7649.8646098217841"/>
    <m/>
    <d v="2025-09-25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s v="Site De-establisment"/>
    <m/>
    <n v="0.1"/>
    <n v="6958.5"/>
    <m/>
    <s v="The Greenway- INV0001426"/>
    <x v="4"/>
    <n v="7649.8646098217841"/>
    <m/>
    <d v="2025-09-25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s v="Handover Document Complete"/>
    <m/>
    <n v="0.05"/>
    <n v="3479.25"/>
    <m/>
    <s v="The Greenway- INV0001426"/>
    <x v="4"/>
    <n v="3824.9323049108921"/>
    <m/>
    <d v="2025-12-18T00:00:00"/>
    <m/>
  </r>
  <r>
    <n v="10"/>
    <x v="11"/>
    <s v="End of Defects Period"/>
    <m/>
    <n v="0.05"/>
    <n v="3479.25"/>
    <m/>
    <s v="The Greenway- INV0001426"/>
    <x v="4"/>
    <n v="3824.9323049108921"/>
    <m/>
    <d v="2026-01-15T00:00:00"/>
    <m/>
  </r>
  <r>
    <n v="10"/>
    <x v="11"/>
    <s v="Contingency"/>
    <m/>
    <m/>
    <n v="3479.24"/>
    <m/>
    <s v="The Greenway- INV0001426"/>
    <x v="7"/>
    <n v="0"/>
    <m/>
    <d v="2025-08-31T00:00:00"/>
    <m/>
  </r>
  <r>
    <n v="10"/>
    <x v="11"/>
    <m/>
    <m/>
    <m/>
    <n v="-3479.25"/>
    <m/>
    <s v="The Greenway- INV0001426"/>
    <x v="7"/>
    <n v="0"/>
    <m/>
    <d v="2025-08-31T00:00:00"/>
    <m/>
  </r>
  <r>
    <n v="10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2"/>
    <s v="Electrical PrEng sign off"/>
    <m/>
    <m/>
    <n v="7057.63"/>
    <m/>
    <s v="Sunspot - E027"/>
    <x v="4"/>
    <n v="14423.516028188707"/>
    <n v="-5.975000312901102E-4"/>
    <d v="2025-09-18T00:00:00"/>
    <n v="22077.23"/>
  </r>
  <r>
    <n v="11"/>
    <x v="12"/>
    <s v="Structural Sign Off"/>
    <m/>
    <m/>
    <n v="9019.6"/>
    <s v="PO3745-DIP-Ph2-20250313 - RV Approved"/>
    <s v=" L&amp;B Consulting - Invoice 1934"/>
    <x v="6"/>
    <n v="11826.758651622806"/>
    <m/>
    <d v="2025-04-10T00:00:00"/>
    <m/>
  </r>
  <r>
    <n v="11"/>
    <x v="12"/>
    <s v="Red Team Inspection"/>
    <m/>
    <m/>
    <n v="6000"/>
    <m/>
    <s v="Matriarch - INV-4987"/>
    <x v="7"/>
    <n v="7867.3729765120524"/>
    <m/>
    <d v="2025-08-31T00:00:00"/>
    <m/>
  </r>
  <r>
    <n v="11"/>
    <x v="12"/>
    <m/>
    <m/>
    <m/>
    <m/>
    <m/>
    <m/>
    <x v="2"/>
    <n v="0"/>
    <m/>
    <m/>
    <m/>
  </r>
  <r>
    <n v="11"/>
    <x v="1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3"/>
    <s v="Referral Fee"/>
    <m/>
    <m/>
    <m/>
    <m/>
    <m/>
    <x v="2"/>
    <m/>
    <m/>
    <m/>
    <n v="0"/>
  </r>
  <r>
    <n v="12"/>
    <x v="13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4"/>
    <s v="Matriarch Defects Period - 1.25%"/>
    <m/>
    <m/>
    <n v="33198.828758288124"/>
    <m/>
    <s v="Matriarch - INV-4986"/>
    <x v="7"/>
    <n v="127395.87091803124"/>
    <n v="0"/>
    <d v="2025-08-31T00:00:00"/>
    <n v="33198.828758288124"/>
  </r>
  <r>
    <n v="13"/>
    <x v="14"/>
    <s v="Management"/>
    <m/>
    <m/>
    <n v="0"/>
    <m/>
    <m/>
    <x v="0"/>
    <n v="0"/>
    <m/>
    <m/>
    <m/>
  </r>
  <r>
    <n v="13"/>
    <x v="14"/>
    <s v="Project manager "/>
    <m/>
    <m/>
    <n v="0"/>
    <m/>
    <m/>
    <x v="0"/>
    <n v="0"/>
    <m/>
    <m/>
    <m/>
  </r>
  <r>
    <n v="13"/>
    <x v="14"/>
    <s v="Planner time"/>
    <m/>
    <m/>
    <n v="0"/>
    <m/>
    <m/>
    <x v="0"/>
    <n v="0"/>
    <m/>
    <m/>
    <m/>
  </r>
  <r>
    <n v="13"/>
    <x v="14"/>
    <s v="De Snagging"/>
    <m/>
    <m/>
    <n v="0"/>
    <m/>
    <m/>
    <x v="0"/>
    <n v="0"/>
    <m/>
    <m/>
    <m/>
  </r>
  <r>
    <n v="13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5"/>
    <s v="Travel"/>
    <m/>
    <m/>
    <n v="7750"/>
    <m/>
    <s v="Site Visit"/>
    <x v="6"/>
    <n v="3545.751633986928"/>
    <n v="3.9511194863735E-3"/>
    <d v="2025-05-08T00:00:00"/>
    <n v="33819.85"/>
  </r>
  <r>
    <n v="14"/>
    <x v="15"/>
    <s v="Travel"/>
    <m/>
    <m/>
    <n v="0"/>
    <m/>
    <s v="Expense Claims"/>
    <x v="6"/>
    <n v="0"/>
    <m/>
    <d v="2025-04-30T00:00:00"/>
    <m/>
  </r>
  <r>
    <n v="14"/>
    <x v="15"/>
    <s v="Travel"/>
    <m/>
    <m/>
    <n v="7624.0500000000011"/>
    <m/>
    <s v="Expense Claims"/>
    <x v="5"/>
    <n v="1196.46047460556"/>
    <m/>
    <d v="2025-06-09T00:00:00"/>
    <m/>
  </r>
  <r>
    <n v="14"/>
    <x v="15"/>
    <s v="Travel"/>
    <m/>
    <m/>
    <n v="12174.800000000001"/>
    <m/>
    <s v="Expense Claims"/>
    <x v="1"/>
    <n v="287.34276381743746"/>
    <m/>
    <d v="2025-07-04T00:00:00"/>
    <m/>
  </r>
  <r>
    <n v="14"/>
    <x v="15"/>
    <s v="Travel"/>
    <m/>
    <m/>
    <n v="0"/>
    <m/>
    <s v="Expense Claims"/>
    <x v="4"/>
    <n v="0"/>
    <m/>
    <d v="2025-07-31T00:00:00"/>
    <m/>
  </r>
  <r>
    <n v="14"/>
    <x v="15"/>
    <s v="Travel"/>
    <m/>
    <m/>
    <n v="3061.43"/>
    <m/>
    <s v="Expense Claims"/>
    <x v="7"/>
    <n v="117.5"/>
    <m/>
    <d v="2025-09-05T00:00:00"/>
    <m/>
  </r>
  <r>
    <n v="14"/>
    <x v="15"/>
    <s v="Travel"/>
    <m/>
    <m/>
    <n v="1307.83"/>
    <m/>
    <s v="Expense Claims"/>
    <x v="3"/>
    <n v="0"/>
    <m/>
    <d v="2025-10-10T00:00:00"/>
    <m/>
  </r>
  <r>
    <n v="14"/>
    <x v="15"/>
    <s v="Travel"/>
    <m/>
    <m/>
    <n v="1901.74"/>
    <m/>
    <s v="Expense Claims"/>
    <x v="8"/>
    <n v="0"/>
    <m/>
    <d v="2025-11-06T00:00:00"/>
    <m/>
  </r>
  <r>
    <n v="14"/>
    <x v="15"/>
    <s v="Travel"/>
    <m/>
    <m/>
    <n v="0"/>
    <m/>
    <m/>
    <x v="0"/>
    <n v="0"/>
    <m/>
    <m/>
    <m/>
  </r>
  <r>
    <n v="14"/>
    <x v="15"/>
    <s v="Travel"/>
    <m/>
    <m/>
    <n v="0"/>
    <m/>
    <m/>
    <x v="0"/>
    <n v="0"/>
    <m/>
    <m/>
    <m/>
  </r>
  <r>
    <n v="14"/>
    <x v="15"/>
    <m/>
    <m/>
    <m/>
    <m/>
    <m/>
    <m/>
    <x v="2"/>
    <n v="0"/>
    <m/>
    <m/>
    <m/>
  </r>
  <r>
    <n v="14"/>
    <x v="1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6"/>
    <s v="Welcome Bonus - Site Establishment"/>
    <m/>
    <m/>
    <n v="199000"/>
    <m/>
    <s v="Luxanio Trading - 23407/202506/274904/I"/>
    <x v="1"/>
    <n v="150000"/>
    <n v="0"/>
    <d v="2025-07-11T00:00:00"/>
    <n v="478107.1"/>
  </r>
  <r>
    <n v="15"/>
    <x v="16"/>
    <s v="Welcome Bonus - Commissioning"/>
    <m/>
    <m/>
    <n v="199000"/>
    <m/>
    <s v="Luxanio Trading - 23407/202506/274904/I"/>
    <x v="1"/>
    <n v="150000"/>
    <m/>
    <d v="2025-09-25T00:00:00"/>
    <m/>
  </r>
  <r>
    <n v="15"/>
    <x v="16"/>
    <m/>
    <m/>
    <m/>
    <m/>
    <m/>
    <m/>
    <x v="2"/>
    <n v="0"/>
    <m/>
    <m/>
    <m/>
  </r>
  <r>
    <n v="15"/>
    <x v="16"/>
    <s v="Courier of EE Sonel Meter for Curve Testing"/>
    <m/>
    <m/>
    <n v="237.1"/>
    <m/>
    <s v="DSV Inv:180147748"/>
    <x v="3"/>
    <n v="0"/>
    <m/>
    <d v="2025-10-31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0"/>
    <m/>
    <m/>
    <m/>
    <m/>
  </r>
  <r>
    <n v="15"/>
    <x v="16"/>
    <m/>
    <m/>
    <m/>
    <m/>
    <m/>
    <m/>
    <x v="2"/>
    <n v="0"/>
    <m/>
    <m/>
    <m/>
  </r>
  <r>
    <n v="15"/>
    <x v="16"/>
    <s v="Standing time and delay"/>
    <n v="0.5"/>
    <n v="79870"/>
    <n v="39935"/>
    <m/>
    <s v="Greenway Solar INV0001515"/>
    <x v="8"/>
    <m/>
    <m/>
    <d v="2025-11-06T00:00:00"/>
    <m/>
  </r>
  <r>
    <n v="15"/>
    <x v="16"/>
    <m/>
    <n v="0.5"/>
    <m/>
    <n v="39935"/>
    <m/>
    <s v="Greenway Solar INV0001515"/>
    <x v="8"/>
    <m/>
    <m/>
    <d v="2026-01-29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4"/>
  </dataFields>
  <formats count="2">
    <format dxfId="40">
      <pivotArea outline="0" collapsedLevelsAreSubtotals="1" fieldPosition="0"/>
    </format>
    <format dxfId="39">
      <pivotArea collapsedLevelsAreSubtotals="1" fieldPosition="0">
        <references count="2">
          <reference field="1" count="1">
            <x v="8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70" dT="2025-10-29T11:46:05.05" personId="{432F042C-2FF9-4B3F-AE94-C4C5438E8ABC}" id="{FAD5E94A-949C-454E-B9A3-A41EDC9FE6DB}" done="1">
    <text>@Mizelda Isaacs please add a payment date</text>
    <mentions>
      <mention mentionpersonId="{233BDD7F-B168-4C0B-A175-FF2C4D7251B4}" mentionId="{D200C128-A8B9-4D51-8BCE-5D58C1D9F45D}" startIndex="0" length="15"/>
    </mentions>
  </threadedComment>
  <threadedComment ref="W172" dT="2025-10-29T11:46:38.65" personId="{432F042C-2FF9-4B3F-AE94-C4C5438E8ABC}" id="{DA595B55-1E49-413C-AC23-F5E1DFBD684B}" done="1">
    <text>@Mizelda Isaacs please update the payment date</text>
    <mentions>
      <mention mentionpersonId="{233BDD7F-B168-4C0B-A175-FF2C4D7251B4}" mentionId="{B7FC0F34-B666-4BAB-A2AC-D7AE4AE64E6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4CA2-6CD9-470A-A000-59D7BFF8C455}">
  <dimension ref="B1:J28"/>
  <sheetViews>
    <sheetView showGridLines="0" zoomScaleNormal="100" workbookViewId="0">
      <selection activeCell="B26" sqref="B26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21875" customWidth="1"/>
    <col min="6" max="6" width="33.77734375" customWidth="1"/>
  </cols>
  <sheetData>
    <row r="1" spans="2:10" ht="15" thickBot="1"/>
    <row r="2" spans="2:10" ht="15.6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70" zoomScaleNormal="70" workbookViewId="0">
      <selection activeCell="E8" sqref="E8:E9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218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1.21875" style="112" bestFit="1" customWidth="1"/>
    <col min="15" max="15" width="39.44140625" style="112" bestFit="1" customWidth="1"/>
    <col min="16" max="16" width="1.44140625" style="112" customWidth="1"/>
    <col min="17" max="17" width="5.5546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46069</v>
      </c>
      <c r="O1" s="405">
        <f ca="1">TODAY()</f>
        <v>46069</v>
      </c>
      <c r="Q1" s="3"/>
    </row>
    <row r="2" spans="2:28">
      <c r="B2" s="176"/>
      <c r="C2" s="177" t="s">
        <v>0</v>
      </c>
      <c r="D2" s="178"/>
      <c r="E2" s="702" t="s">
        <v>73</v>
      </c>
      <c r="F2" s="703"/>
      <c r="G2" s="703"/>
      <c r="H2" s="704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257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05" t="s">
        <v>76</v>
      </c>
      <c r="F4" s="706"/>
      <c r="G4" s="706"/>
      <c r="H4" s="707"/>
      <c r="J4" s="113"/>
      <c r="Q4" s="3"/>
    </row>
    <row r="5" spans="2:28" s="112" customFormat="1">
      <c r="B5" s="179"/>
      <c r="C5" s="180" t="s">
        <v>77</v>
      </c>
      <c r="D5" s="178"/>
      <c r="E5" s="705" t="s">
        <v>78</v>
      </c>
      <c r="F5" s="706"/>
      <c r="G5" s="706"/>
      <c r="H5" s="707"/>
      <c r="J5" s="113"/>
      <c r="Q5" s="3"/>
    </row>
    <row r="6" spans="2:28">
      <c r="B6" s="184"/>
      <c r="C6" s="185" t="s">
        <v>79</v>
      </c>
      <c r="D6" s="178"/>
      <c r="E6" s="708">
        <v>2655906.3006630498</v>
      </c>
      <c r="F6" s="709"/>
      <c r="G6" s="709"/>
      <c r="H6" s="710"/>
    </row>
    <row r="7" spans="2:28" s="112" customFormat="1">
      <c r="B7" s="167"/>
      <c r="C7" s="695" t="s">
        <v>80</v>
      </c>
      <c r="D7" s="696"/>
      <c r="E7" s="697" t="s">
        <v>471</v>
      </c>
      <c r="F7" s="168"/>
      <c r="G7" s="186"/>
      <c r="J7" s="113"/>
      <c r="Q7" s="3"/>
    </row>
    <row r="8" spans="2:28" ht="30" customHeight="1">
      <c r="B8" s="699" t="s">
        <v>81</v>
      </c>
      <c r="C8" s="700" t="s">
        <v>82</v>
      </c>
      <c r="D8" s="215"/>
      <c r="E8" s="701" t="s">
        <v>83</v>
      </c>
      <c r="F8" s="237" t="s">
        <v>84</v>
      </c>
      <c r="G8" s="701" t="s">
        <v>85</v>
      </c>
      <c r="H8" s="238"/>
      <c r="I8" s="701" t="s">
        <v>86</v>
      </c>
      <c r="J8" s="237" t="s">
        <v>84</v>
      </c>
      <c r="K8" s="701" t="s">
        <v>87</v>
      </c>
      <c r="M8" s="412" t="s">
        <v>60</v>
      </c>
      <c r="N8" s="412" t="s">
        <v>60</v>
      </c>
      <c r="O8" s="711" t="s">
        <v>88</v>
      </c>
      <c r="Z8" s="112"/>
      <c r="AA8" s="112"/>
      <c r="AB8" s="112"/>
    </row>
    <row r="9" spans="2:28">
      <c r="B9" s="699"/>
      <c r="C9" s="700"/>
      <c r="D9" s="215"/>
      <c r="E9" s="701"/>
      <c r="F9" s="126">
        <f>G41-E19</f>
        <v>31</v>
      </c>
      <c r="G9" s="701"/>
      <c r="H9" s="238"/>
      <c r="I9" s="701"/>
      <c r="J9" s="127">
        <f>K41-I19</f>
        <v>86</v>
      </c>
      <c r="K9" s="701"/>
      <c r="M9" s="362">
        <f>AVERAGE(M11,M18,M21,M28,M35,M39,M46,M43)</f>
        <v>0.99479166666666663</v>
      </c>
      <c r="N9" s="362">
        <f ca="1">AVERAGE(N11,N18,N21,N28,N35,N39,N46,N43)</f>
        <v>1</v>
      </c>
      <c r="O9" s="712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89</v>
      </c>
      <c r="D11" s="219"/>
      <c r="E11" s="246">
        <f>MIN(E12:E16)</f>
        <v>45769</v>
      </c>
      <c r="F11" s="247">
        <f>G11-E11</f>
        <v>63</v>
      </c>
      <c r="G11" s="246">
        <f>MAX(G12:G16)</f>
        <v>45832</v>
      </c>
      <c r="H11" s="220"/>
      <c r="I11" s="246">
        <f>MIN(I12:I16)</f>
        <v>45769</v>
      </c>
      <c r="J11" s="247">
        <f>K11-I11</f>
        <v>62</v>
      </c>
      <c r="K11" s="246">
        <f>MAX(K12:K16)</f>
        <v>45831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90</v>
      </c>
      <c r="C12" s="249" t="s">
        <v>91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92</v>
      </c>
      <c r="C13" s="249" t="s">
        <v>93</v>
      </c>
      <c r="D13" s="215"/>
      <c r="E13" s="250">
        <f>WORKDAY.INTL(E19,0,1,Data!$C$3:$C$14)-14</f>
        <v>45817</v>
      </c>
      <c r="F13" s="251">
        <v>1</v>
      </c>
      <c r="G13" s="250">
        <f>WORKDAY.INTL(E13,F13,1,Data!$C$3:$C$14)</f>
        <v>45818</v>
      </c>
      <c r="H13" s="238"/>
      <c r="I13" s="250">
        <f>WORKDAY.INTL(I19,0,1,Data!$C$3:$C$14)-16</f>
        <v>45815</v>
      </c>
      <c r="J13" s="251">
        <v>1</v>
      </c>
      <c r="K13" s="250">
        <f>WORKDAY.INTL(I13,J13,1,Data!$C$3:$C$14)</f>
        <v>45817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94</v>
      </c>
      <c r="C14" s="249" t="s">
        <v>58</v>
      </c>
      <c r="D14" s="215"/>
      <c r="E14" s="250">
        <f>E13</f>
        <v>45817</v>
      </c>
      <c r="F14" s="251">
        <v>10</v>
      </c>
      <c r="G14" s="250">
        <f>WORKDAY.INTL(E14,F14,1,Data!$C$3:$C$14)</f>
        <v>45832</v>
      </c>
      <c r="H14" s="238"/>
      <c r="I14" s="250">
        <f>I13</f>
        <v>45815</v>
      </c>
      <c r="J14" s="251">
        <v>10</v>
      </c>
      <c r="K14" s="250">
        <f>WORKDAY.INTL(I14,J14,1,Data!$C$3:$C$14)</f>
        <v>45831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95</v>
      </c>
      <c r="C15" s="249" t="s">
        <v>96</v>
      </c>
      <c r="D15" s="215"/>
      <c r="E15" s="250">
        <f>WORKDAY.INTL(E19,0,1,Data!$C$3:$C$14)-14</f>
        <v>45817</v>
      </c>
      <c r="F15" s="251">
        <v>1</v>
      </c>
      <c r="G15" s="250">
        <f>WORKDAY.INTL(E15,F15,1,Data!$C$3:$C$14)</f>
        <v>45818</v>
      </c>
      <c r="H15" s="238"/>
      <c r="I15" s="250">
        <f>WORKDAY.INTL(I19,0,1,Data!$C$3:$C$14)-16</f>
        <v>45815</v>
      </c>
      <c r="J15" s="251">
        <v>1</v>
      </c>
      <c r="K15" s="250">
        <f>WORKDAY.INTL(I15,J15,1,Data!$C$3:$C$14)</f>
        <v>45817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97</v>
      </c>
      <c r="C16" s="249" t="s">
        <v>98</v>
      </c>
      <c r="D16" s="215"/>
      <c r="E16" s="250">
        <f>WORKDAY.INTL(E19,0,1,Data!$C$3:$C$14)-14</f>
        <v>45817</v>
      </c>
      <c r="F16" s="251">
        <v>1</v>
      </c>
      <c r="G16" s="250">
        <f>WORKDAY.INTL(E16,F16,1,Data!$C$3:$C$14)</f>
        <v>45818</v>
      </c>
      <c r="H16" s="238"/>
      <c r="I16" s="250">
        <f>WORKDAY.INTL(I19,0,1,Data!$C$3:$C$14)-20</f>
        <v>45811</v>
      </c>
      <c r="J16" s="251">
        <v>1</v>
      </c>
      <c r="K16" s="250">
        <f>WORKDAY.INTL(I16,J16,1,Data!$C$3:$C$14)</f>
        <v>45812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99</v>
      </c>
      <c r="D18" s="219"/>
      <c r="E18" s="246">
        <f>MIN(E19:E20)</f>
        <v>45831</v>
      </c>
      <c r="F18" s="247">
        <f>G18-E18</f>
        <v>1</v>
      </c>
      <c r="G18" s="246">
        <f>MAX(G19)</f>
        <v>45832</v>
      </c>
      <c r="H18" s="220"/>
      <c r="I18" s="246">
        <f>MIN(I19:I20)-16</f>
        <v>45815</v>
      </c>
      <c r="J18" s="247">
        <f>K18-I18</f>
        <v>17</v>
      </c>
      <c r="K18" s="246">
        <f>MAX(K19)</f>
        <v>45832</v>
      </c>
      <c r="M18" s="361">
        <v>1</v>
      </c>
      <c r="N18" s="361"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100</v>
      </c>
      <c r="C19" s="249" t="s">
        <v>101</v>
      </c>
      <c r="D19" s="215"/>
      <c r="E19" s="415">
        <v>45831</v>
      </c>
      <c r="F19" s="251">
        <v>1</v>
      </c>
      <c r="G19" s="250">
        <f>E19+F19</f>
        <v>45832</v>
      </c>
      <c r="H19" s="238"/>
      <c r="I19" s="415">
        <v>45831</v>
      </c>
      <c r="J19" s="251">
        <v>1</v>
      </c>
      <c r="K19" s="250">
        <f>I19+J19</f>
        <v>45832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63</v>
      </c>
      <c r="T19" s="121" t="s">
        <v>102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103</v>
      </c>
      <c r="D21" s="219"/>
      <c r="E21" s="246">
        <f>MIN(E22:E26)</f>
        <v>45810</v>
      </c>
      <c r="F21" s="247">
        <f>G21-E21</f>
        <v>46</v>
      </c>
      <c r="G21" s="246">
        <f>MAX(G22:G26)</f>
        <v>45856</v>
      </c>
      <c r="H21" s="252"/>
      <c r="I21" s="246">
        <f>MIN(I22:I26)</f>
        <v>45810</v>
      </c>
      <c r="J21" s="247">
        <f>K21-I21</f>
        <v>94</v>
      </c>
      <c r="K21" s="246">
        <f>MAX(K22:K26)</f>
        <v>45904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12.6</v>
      </c>
      <c r="T21" s="121" t="s">
        <v>104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105</v>
      </c>
      <c r="C22" s="249" t="s">
        <v>106</v>
      </c>
      <c r="D22" s="215"/>
      <c r="E22" s="250">
        <f>WORKDAY.INTL(G19,0,1,Data!$C$3:$C$14)</f>
        <v>45832</v>
      </c>
      <c r="F22" s="251">
        <v>1</v>
      </c>
      <c r="G22" s="250">
        <f>WORKDAY.INTL(E22,F22,1,Data!$C$3:$C$14)</f>
        <v>45833</v>
      </c>
      <c r="H22" s="238"/>
      <c r="I22" s="250">
        <f>WORKDAY.INTL(K19,0,1,Data!$C$3:$C$14)</f>
        <v>45832</v>
      </c>
      <c r="J22" s="251">
        <v>1</v>
      </c>
      <c r="K22" s="250">
        <f>WORKDAY.INTL(I22,J22,1,Data!$C$3:$C$14)</f>
        <v>45833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20.396825396825399</v>
      </c>
      <c r="T22" s="118" t="s">
        <v>107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108</v>
      </c>
      <c r="C23" s="249" t="s">
        <v>109</v>
      </c>
      <c r="D23" s="215"/>
      <c r="E23" s="250">
        <f>WORKDAY.INTL(G22,0,1,Data!$C$3:$C$14)</f>
        <v>45833</v>
      </c>
      <c r="F23" s="251">
        <v>5</v>
      </c>
      <c r="G23" s="250">
        <f>WORKDAY.INTL(E23,F23,1,Data!$C$3:$C$14)</f>
        <v>45840</v>
      </c>
      <c r="H23" s="238"/>
      <c r="I23" s="250">
        <v>45860</v>
      </c>
      <c r="J23" s="251">
        <v>2</v>
      </c>
      <c r="K23" s="250">
        <f>WORKDAY.INTL(I23,J23,1,Data!$C$3:$C$14)</f>
        <v>45862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110</v>
      </c>
      <c r="C24" s="249" t="s">
        <v>111</v>
      </c>
      <c r="D24" s="215"/>
      <c r="E24" s="250">
        <f>WORKDAY.INTL(E19,0,1,Data!$C$3:$C$14)-21</f>
        <v>45810</v>
      </c>
      <c r="F24" s="251">
        <v>25</v>
      </c>
      <c r="G24" s="250">
        <f>WORKDAY.INTL(E24,F24,1,Data!$C$3:$C$14)</f>
        <v>45846</v>
      </c>
      <c r="H24" s="238"/>
      <c r="I24" s="250">
        <f>WORKDAY.INTL(I19,0,1,Data!$C$3:$C$14)-21</f>
        <v>45810</v>
      </c>
      <c r="J24" s="251">
        <v>61</v>
      </c>
      <c r="K24" s="250">
        <f>WORKDAY.INTL(I24,J24,1,Data!$C$3:$C$14)</f>
        <v>45896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112</v>
      </c>
      <c r="C25" s="249" t="s">
        <v>40</v>
      </c>
      <c r="D25" s="215"/>
      <c r="E25" s="250">
        <f>WORKDAY.INTL(G24,0,1,Data!$C$3:$C$14)</f>
        <v>45846</v>
      </c>
      <c r="F25" s="251">
        <v>8</v>
      </c>
      <c r="G25" s="250">
        <f>WORKDAY.INTL(E25,F25,1,Data!$C$3:$C$14)</f>
        <v>45856</v>
      </c>
      <c r="H25" s="238"/>
      <c r="I25" s="250">
        <f>K24</f>
        <v>45896</v>
      </c>
      <c r="J25" s="251">
        <v>5</v>
      </c>
      <c r="K25" s="250">
        <f>WORKDAY.INTL(I25,J25,1,Data!$C$3:$C$14)</f>
        <v>45903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113</v>
      </c>
      <c r="C26" s="249" t="s">
        <v>114</v>
      </c>
      <c r="D26" s="215"/>
      <c r="E26" s="250">
        <f>WORKDAY.INTL(E25,0,1,Data!$C$3:$C$14)</f>
        <v>45846</v>
      </c>
      <c r="F26" s="251">
        <v>3</v>
      </c>
      <c r="G26" s="250">
        <f>WORKDAY.INTL(E26,F26,1,Data!$C$3:$C$14)</f>
        <v>45849</v>
      </c>
      <c r="H26" s="238"/>
      <c r="I26" s="250">
        <f>K25</f>
        <v>45903</v>
      </c>
      <c r="J26" s="251">
        <v>1</v>
      </c>
      <c r="K26" s="250">
        <f>WORKDAY.INTL(I26,J26,1,Data!$C$3:$C$14)</f>
        <v>45904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45831</v>
      </c>
      <c r="F28" s="247">
        <f>G28-E28</f>
        <v>29</v>
      </c>
      <c r="G28" s="246">
        <f>MAX(G30:G33)</f>
        <v>45860</v>
      </c>
      <c r="H28" s="252"/>
      <c r="I28" s="246">
        <f>MIN(I30:I33)</f>
        <v>45831</v>
      </c>
      <c r="J28" s="247">
        <f>K28-I28</f>
        <v>51</v>
      </c>
      <c r="K28" s="246">
        <f>MAX(K30:K33)</f>
        <v>45882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115</v>
      </c>
      <c r="C29" s="249" t="s">
        <v>116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115</v>
      </c>
      <c r="C30" s="249" t="s">
        <v>117</v>
      </c>
      <c r="D30" s="215"/>
      <c r="E30" s="250">
        <f>E19</f>
        <v>45831</v>
      </c>
      <c r="F30" s="251">
        <v>1</v>
      </c>
      <c r="G30" s="250">
        <f>WORKDAY.INTL(E30,F30,1,Data!$C$3:$C$14)</f>
        <v>45832</v>
      </c>
      <c r="H30" s="238"/>
      <c r="I30" s="250">
        <f>I19</f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118</v>
      </c>
      <c r="C31" s="249" t="s">
        <v>119</v>
      </c>
      <c r="D31" s="215"/>
      <c r="E31" s="250">
        <f>WORKDAY.INTL(G30,0,1,Data!$C$3:$C$14)</f>
        <v>45832</v>
      </c>
      <c r="F31" s="251">
        <v>14</v>
      </c>
      <c r="G31" s="250">
        <f>WORKDAY.INTL(E31,F31,1,Data!$C$3:$C$14)</f>
        <v>45852</v>
      </c>
      <c r="H31" s="238"/>
      <c r="I31" s="250">
        <f>WORKDAY.INTL(K30,0,1,Data!$C$3:$C$14)</f>
        <v>45832</v>
      </c>
      <c r="J31" s="251">
        <v>7</v>
      </c>
      <c r="K31" s="250">
        <v>45858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120</v>
      </c>
      <c r="C32" s="249" t="s">
        <v>121</v>
      </c>
      <c r="D32" s="215"/>
      <c r="E32" s="250">
        <f>E30</f>
        <v>45831</v>
      </c>
      <c r="F32" s="251">
        <v>1</v>
      </c>
      <c r="G32" s="250">
        <f>WORKDAY.INTL(E32,F32,1,Data!$C$3:$C$14)</f>
        <v>45832</v>
      </c>
      <c r="H32" s="238"/>
      <c r="I32" s="250">
        <f>I22</f>
        <v>45832</v>
      </c>
      <c r="J32" s="251">
        <v>1</v>
      </c>
      <c r="K32" s="250">
        <f>WORKDAY.INTL(I32,J32,1,Data!$C$3:$C$14)</f>
        <v>45833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120</v>
      </c>
      <c r="C33" s="243" t="s">
        <v>122</v>
      </c>
      <c r="D33" s="215"/>
      <c r="E33" s="253">
        <f>WORKDAY.INTL(G37,0,1,Data!$C$3:$C$14)-3</f>
        <v>45852</v>
      </c>
      <c r="F33" s="251">
        <v>6</v>
      </c>
      <c r="G33" s="253">
        <f>WORKDAY.INTL(E33,F33,1,Data!$C$3:$C$14)</f>
        <v>45860</v>
      </c>
      <c r="H33" s="238"/>
      <c r="I33" s="253">
        <f>WORKDAY.INTL(K31,0,1,Data!$C$3:$C$14)-3</f>
        <v>45855</v>
      </c>
      <c r="J33" s="251">
        <v>19</v>
      </c>
      <c r="K33" s="253">
        <f>WORKDAY.INTL(I33,J33,1,Data!$C$3:$C$14)</f>
        <v>45882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123</v>
      </c>
      <c r="D35" s="219"/>
      <c r="E35" s="246">
        <f>MIN(E36:E37)</f>
        <v>45845</v>
      </c>
      <c r="F35" s="247">
        <f>G35-E35</f>
        <v>10</v>
      </c>
      <c r="G35" s="246">
        <f>MAX(G36:G37)</f>
        <v>45855</v>
      </c>
      <c r="H35" s="220"/>
      <c r="I35" s="246">
        <f>MIN(I36:I37)</f>
        <v>45832</v>
      </c>
      <c r="J35" s="247">
        <f>K35-I35</f>
        <v>57</v>
      </c>
      <c r="K35" s="246">
        <f>MAX(K36:K37)</f>
        <v>45889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124</v>
      </c>
      <c r="C36" s="249" t="s">
        <v>125</v>
      </c>
      <c r="D36" s="215"/>
      <c r="E36" s="253">
        <f>WORKDAY.INTL(G31,0,1,Data!$C$3:$C$14)-7</f>
        <v>45845</v>
      </c>
      <c r="F36" s="251">
        <v>1</v>
      </c>
      <c r="G36" s="250">
        <f>WORKDAY.INTL(E36,F36,1,Data!$C$3:$C$14)</f>
        <v>45846</v>
      </c>
      <c r="H36" s="238"/>
      <c r="I36" s="253">
        <f>WORKDAY.INTL(I22,0,1,Data!$C$3:$C$14)</f>
        <v>45832</v>
      </c>
      <c r="J36" s="251">
        <v>1</v>
      </c>
      <c r="K36" s="250">
        <f>WORKDAY.INTL(I36,J36,1,Data!$C$3:$C$14)</f>
        <v>45833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126</v>
      </c>
      <c r="C37" s="249" t="s">
        <v>127</v>
      </c>
      <c r="D37" s="215"/>
      <c r="E37" s="253">
        <f>G36</f>
        <v>45846</v>
      </c>
      <c r="F37" s="251">
        <v>7</v>
      </c>
      <c r="G37" s="250">
        <f>WORKDAY.INTL(E37,F37,1,Data!$C$3:$C$14)</f>
        <v>45855</v>
      </c>
      <c r="H37" s="238"/>
      <c r="I37" s="253">
        <f>K33-5</f>
        <v>45877</v>
      </c>
      <c r="J37" s="251">
        <v>8</v>
      </c>
      <c r="K37" s="250">
        <f>WORKDAY.INTL(I37,J37,1,Data!$C$3:$C$14)</f>
        <v>45889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128</v>
      </c>
      <c r="D39" s="219"/>
      <c r="E39" s="246">
        <f>MIN(E40:E41)</f>
        <v>45860</v>
      </c>
      <c r="F39" s="247">
        <f>G39-E39</f>
        <v>2</v>
      </c>
      <c r="G39" s="246">
        <f>MAX(G40:G41)</f>
        <v>45862</v>
      </c>
      <c r="H39" s="220"/>
      <c r="I39" s="246">
        <f>MIN(I40:I41)</f>
        <v>45911</v>
      </c>
      <c r="J39" s="247">
        <f>K39-I39</f>
        <v>6</v>
      </c>
      <c r="K39" s="246">
        <f>MAX(K40:K41)</f>
        <v>45917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129</v>
      </c>
      <c r="C40" s="243" t="s">
        <v>128</v>
      </c>
      <c r="D40" s="215"/>
      <c r="E40" s="253">
        <f>WORKDAY.INTL(MAX(G21,G28,G35),0,1,Data!$C$3:$C$14)</f>
        <v>45860</v>
      </c>
      <c r="F40" s="251">
        <v>1</v>
      </c>
      <c r="G40" s="253">
        <f>WORKDAY.INTL(E40,F40,1,Data!$C$3:$C$14)</f>
        <v>45861</v>
      </c>
      <c r="H40" s="238"/>
      <c r="I40" s="253">
        <v>45911</v>
      </c>
      <c r="J40" s="251">
        <v>1</v>
      </c>
      <c r="K40" s="253">
        <f>WORKDAY.INTL(I40,J40,1,Data!$C$3:$C$14)</f>
        <v>45912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130</v>
      </c>
      <c r="C41" s="243" t="s">
        <v>131</v>
      </c>
      <c r="D41" s="215"/>
      <c r="E41" s="253">
        <f>WORKDAY.INTL(G40,0,1,Data!$C$3:$C$14)</f>
        <v>45861</v>
      </c>
      <c r="F41" s="251">
        <v>1</v>
      </c>
      <c r="G41" s="253">
        <f>WORKDAY.INTL(E41,F41,1,Data!$C$3:$C$14)</f>
        <v>45862</v>
      </c>
      <c r="H41" s="238"/>
      <c r="I41" s="253">
        <f>WORKDAY.INTL(K40,0,1,Data!$C$3:$C$14)</f>
        <v>45912</v>
      </c>
      <c r="J41" s="251">
        <v>3</v>
      </c>
      <c r="K41" s="253">
        <f>WORKDAY.INTL(I41,J41,1,Data!$C$3:$C$14)</f>
        <v>45917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132</v>
      </c>
      <c r="D43" s="219"/>
      <c r="E43" s="246">
        <f>MIN(E44)</f>
        <v>45862</v>
      </c>
      <c r="F43" s="247">
        <f>G43-E43</f>
        <v>1</v>
      </c>
      <c r="G43" s="246">
        <f>MAX(G44)</f>
        <v>45863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133</v>
      </c>
      <c r="D44" s="215"/>
      <c r="E44" s="253">
        <f>WORKDAY.INTL(G41,0,1,Data!$C$3:$C$14)</f>
        <v>45862</v>
      </c>
      <c r="F44" s="251">
        <v>1</v>
      </c>
      <c r="G44" s="253">
        <f>WORKDAY.INTL(E44,F44,1,Data!$C$3:$C$14)</f>
        <v>45863</v>
      </c>
      <c r="H44" s="238"/>
      <c r="I44" s="253">
        <f>WORKDAY.INTL(I40,0,1,Data!$C$3:$C$14)+1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134</v>
      </c>
      <c r="D46" s="219"/>
      <c r="E46" s="246">
        <f>MIN(E47:E52)</f>
        <v>45863</v>
      </c>
      <c r="F46" s="247">
        <f>G46-E46</f>
        <v>13</v>
      </c>
      <c r="G46" s="246">
        <f>MAX(G47:G52)</f>
        <v>45876</v>
      </c>
      <c r="H46" s="220"/>
      <c r="I46" s="246">
        <f>MIN(I47:I52)</f>
        <v>45915</v>
      </c>
      <c r="J46" s="247">
        <f>K46-I46</f>
        <v>133</v>
      </c>
      <c r="K46" s="246">
        <f>MAX(K47:K52)</f>
        <v>46048</v>
      </c>
      <c r="L46" s="114"/>
      <c r="M46" s="361">
        <f>(J47*M47+J48*M48+J49*M49+J50*M50+J51*M51+J52*M52)/SUM(J47:J52)</f>
        <v>0.95833333333333337</v>
      </c>
      <c r="N46" s="361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135</v>
      </c>
      <c r="D47" s="215"/>
      <c r="E47" s="253">
        <f>G44</f>
        <v>45863</v>
      </c>
      <c r="F47" s="251">
        <v>2</v>
      </c>
      <c r="G47" s="253">
        <f>WORKDAY.INTL(E47,F47,1,Data!$C$3:$C$14)</f>
        <v>45867</v>
      </c>
      <c r="H47" s="238"/>
      <c r="I47" s="253">
        <f>K44</f>
        <v>45915</v>
      </c>
      <c r="J47" s="251">
        <v>2</v>
      </c>
      <c r="K47" s="253">
        <f>WORKDAY.INTL(I47,J47,1,Data!$C$3:$C$14)</f>
        <v>45917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136</v>
      </c>
      <c r="D48" s="215"/>
      <c r="E48" s="253">
        <f>G44</f>
        <v>45863</v>
      </c>
      <c r="F48" s="251">
        <v>4</v>
      </c>
      <c r="G48" s="253">
        <f>WORKDAY.INTL(E48,F48,1,Data!$C$3:$C$14)</f>
        <v>45869</v>
      </c>
      <c r="H48" s="238"/>
      <c r="I48" s="253">
        <f>K44+1</f>
        <v>45916</v>
      </c>
      <c r="J48" s="251">
        <v>2</v>
      </c>
      <c r="K48" s="253">
        <f>WORKDAY.INTL(I48,J48,1,Data!$C$3:$C$14)</f>
        <v>45918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137</v>
      </c>
      <c r="D49" s="215"/>
      <c r="E49" s="253">
        <f>WORKDAY.INTL(G48,0,1,Data!$C$3:$C$14)</f>
        <v>45869</v>
      </c>
      <c r="F49" s="251">
        <v>5</v>
      </c>
      <c r="G49" s="253">
        <f>WORKDAY.INTL(E49,F49,1,Data!$C$3:$C$14)</f>
        <v>45876</v>
      </c>
      <c r="H49" s="238"/>
      <c r="I49" s="253">
        <f>WORKDAY.INTL(K48,0,1,Data!$C$3:$C$14)</f>
        <v>45918</v>
      </c>
      <c r="J49" s="251">
        <v>5</v>
      </c>
      <c r="K49" s="253">
        <f>WORKDAY.INTL(I49,J49,1,Data!$C$3:$C$14)</f>
        <v>45926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138</v>
      </c>
      <c r="D50" s="215"/>
      <c r="E50" s="253">
        <f>WORKDAY.INTL(E48,0,1,Data!$C$3:$C$14)</f>
        <v>45863</v>
      </c>
      <c r="F50" s="251">
        <v>4</v>
      </c>
      <c r="G50" s="253">
        <f>WORKDAY.INTL(E50,F50,1,Data!$C$3:$C$14)</f>
        <v>45869</v>
      </c>
      <c r="H50" s="238"/>
      <c r="I50" s="253">
        <f>WORKDAY.INTL(I48,0,1,Data!$C$3:$C$14)</f>
        <v>45916</v>
      </c>
      <c r="J50" s="251">
        <v>4</v>
      </c>
      <c r="K50" s="253">
        <f>WORKDAY.INTL(I50,J50,1,Data!$C$3:$C$14)</f>
        <v>45922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139</v>
      </c>
      <c r="D51" s="215"/>
      <c r="E51" s="253">
        <f>WORKDAY.INTL(G50,0,1,Data!$C$3:$C$14)</f>
        <v>45869</v>
      </c>
      <c r="F51" s="251">
        <v>1</v>
      </c>
      <c r="G51" s="253">
        <f>WORKDAY.INTL(E51,F51,1,Data!$C$3:$C$14)</f>
        <v>45870</v>
      </c>
      <c r="H51" s="238"/>
      <c r="I51" s="253">
        <v>46045</v>
      </c>
      <c r="J51" s="251">
        <v>1</v>
      </c>
      <c r="K51" s="253">
        <f>WORKDAY.INTL(I51,J51,1,Data!$C$3:$C$14)</f>
        <v>46048</v>
      </c>
      <c r="M51" s="254">
        <v>0</v>
      </c>
      <c r="N51" s="254">
        <f t="shared" ca="1" si="3"/>
        <v>1</v>
      </c>
      <c r="O51" s="122" t="s">
        <v>140</v>
      </c>
      <c r="Y51" s="24"/>
    </row>
    <row r="52" spans="2:28">
      <c r="B52" s="248">
        <v>8.6</v>
      </c>
      <c r="C52" s="243" t="s">
        <v>141</v>
      </c>
      <c r="D52" s="215"/>
      <c r="E52" s="253">
        <f>WORKDAY.INTL(E48,0,1,Data!$C$3:$C$14)+2</f>
        <v>45865</v>
      </c>
      <c r="F52" s="251">
        <v>5</v>
      </c>
      <c r="G52" s="253">
        <f>WORKDAY.INTL(E52,F52,1,Data!$C$3:$C$14)</f>
        <v>45870</v>
      </c>
      <c r="H52" s="238"/>
      <c r="I52" s="253">
        <v>45945</v>
      </c>
      <c r="J52" s="251">
        <v>10</v>
      </c>
      <c r="K52" s="253">
        <f>WORKDAY.INTL(I52,J52,1,Data!$C$3:$C$14)</f>
        <v>45959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7" sqref="L37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21875" style="129" customWidth="1"/>
    <col min="5" max="5" width="6.5546875" style="129" customWidth="1"/>
    <col min="6" max="6" width="16.21875" style="129" customWidth="1"/>
    <col min="7" max="7" width="11.77734375" style="129" bestFit="1" customWidth="1"/>
    <col min="8" max="8" width="15" style="129" bestFit="1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25.21875" style="129" bestFit="1" customWidth="1"/>
    <col min="17" max="17" width="15.21875" style="129" bestFit="1" customWidth="1"/>
    <col min="18" max="18" width="19.21875" style="129" customWidth="1"/>
    <col min="19" max="19" width="16.21875" style="93" bestFit="1" customWidth="1"/>
    <col min="20" max="20" width="18.77734375" style="129" bestFit="1" customWidth="1"/>
    <col min="21" max="21" width="15.2187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143</v>
      </c>
      <c r="F3" s="125" t="s">
        <v>144</v>
      </c>
      <c r="J3" s="141"/>
      <c r="L3" s="410" t="s">
        <v>145</v>
      </c>
      <c r="N3" s="410" t="s">
        <v>146</v>
      </c>
      <c r="P3" s="684" t="s">
        <v>147</v>
      </c>
      <c r="Q3" s="684" t="s">
        <v>148</v>
      </c>
      <c r="R3" s="684" t="s">
        <v>149</v>
      </c>
      <c r="S3" s="684" t="s">
        <v>150</v>
      </c>
      <c r="T3" s="684" t="s">
        <v>151</v>
      </c>
      <c r="U3" s="684" t="s">
        <v>152</v>
      </c>
    </row>
    <row r="4" spans="1:21" s="93" customFormat="1" ht="13.2">
      <c r="B4" s="352">
        <v>1</v>
      </c>
      <c r="C4" s="353" t="s">
        <v>153</v>
      </c>
      <c r="D4" s="354">
        <f>'Project Plan'!E6</f>
        <v>2655906.3006630498</v>
      </c>
      <c r="E4" s="355"/>
      <c r="F4" s="354">
        <f>F21</f>
        <v>2655906.3006630498</v>
      </c>
      <c r="J4" s="141"/>
      <c r="L4" s="376"/>
      <c r="N4" s="376" t="s">
        <v>154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2371815.3876553196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2087502.2067582877</v>
      </c>
      <c r="R4" s="685">
        <f>SUMIFS('Expenditure Breakdown'!$U:$U,
        'Expenditure Breakdown'!$T:$T, "&gt;"&amp;DATE(2025,8,31),
        'Expenditure Breakdown'!$T:$T, "&lt;="&amp;DATE(2026,8,31))</f>
        <v>284090.90999540733</v>
      </c>
      <c r="S4" s="685">
        <f>SUMIFS('Expenditure Breakdown'!$Q:$Q,
        'Expenditure Breakdown'!$T:$T, "&gt;"&amp;DATE(2025,8,31),
        'Expenditure Breakdown'!$T:$T, "&lt;="&amp;DATE(2026,8,31))</f>
        <v>141847.22999999998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284090.90999540733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141847.22999999998</v>
      </c>
    </row>
    <row r="5" spans="1:21" s="93" customFormat="1" ht="15" customHeight="1">
      <c r="B5" s="352">
        <v>2</v>
      </c>
      <c r="C5" s="353" t="s">
        <v>155</v>
      </c>
      <c r="D5" s="354">
        <f>+'Expenditure Tracking'!F5</f>
        <v>2415274.7995013366</v>
      </c>
      <c r="E5" s="355"/>
      <c r="F5" s="354">
        <f>+'Expenditure Tracking'!H5</f>
        <v>2220751.0867582881</v>
      </c>
      <c r="G5" s="93" t="s">
        <v>156</v>
      </c>
      <c r="H5" s="93" t="s">
        <v>157</v>
      </c>
      <c r="J5" s="141"/>
      <c r="L5" s="376"/>
      <c r="N5" s="411"/>
    </row>
    <row r="6" spans="1:21" s="93" customFormat="1" ht="15" customHeight="1">
      <c r="B6" s="352">
        <v>3</v>
      </c>
      <c r="C6" s="353" t="s">
        <v>158</v>
      </c>
      <c r="D6" s="354">
        <f>+D4-D5</f>
        <v>240631.50116171315</v>
      </c>
      <c r="E6" s="355"/>
      <c r="F6" s="354">
        <f>+F4-F5</f>
        <v>435155.21390476171</v>
      </c>
      <c r="G6" s="698">
        <f>D6*0.05</f>
        <v>12031.575058085658</v>
      </c>
      <c r="H6" s="698">
        <f>SUMIF('Expenditure Breakdown'!N:N,"*VO*",'Expenditure Breakdown'!Q:Q)</f>
        <v>39935</v>
      </c>
      <c r="J6" s="141"/>
      <c r="L6" s="376"/>
      <c r="N6" s="376" t="s">
        <v>159</v>
      </c>
    </row>
    <row r="7" spans="1:21" s="93" customFormat="1" ht="15" customHeight="1" thickBot="1">
      <c r="B7" s="352">
        <v>4</v>
      </c>
      <c r="C7" s="353" t="s">
        <v>160</v>
      </c>
      <c r="D7" s="356">
        <f>+D6/D4</f>
        <v>9.0602406079476241E-2</v>
      </c>
      <c r="E7" s="355"/>
      <c r="F7" s="356">
        <f>+F6/F4</f>
        <v>0.16384433961247982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161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81</v>
      </c>
      <c r="C12" s="132" t="s">
        <v>162</v>
      </c>
      <c r="D12" s="133"/>
      <c r="E12" s="131" t="s">
        <v>163</v>
      </c>
      <c r="F12" s="131" t="s">
        <v>164</v>
      </c>
      <c r="H12" s="357" t="s">
        <v>165</v>
      </c>
      <c r="J12" s="141"/>
      <c r="L12" s="166" t="s">
        <v>166</v>
      </c>
      <c r="M12" s="134"/>
      <c r="N12" s="166" t="s">
        <v>167</v>
      </c>
      <c r="O12" s="129"/>
      <c r="P12" s="166" t="s">
        <v>168</v>
      </c>
      <c r="R12" s="379" t="s">
        <v>169</v>
      </c>
    </row>
    <row r="13" spans="1:21" s="93" customFormat="1" ht="13.2">
      <c r="B13" s="352">
        <v>1</v>
      </c>
      <c r="C13" s="722" t="s">
        <v>170</v>
      </c>
      <c r="D13" s="723"/>
      <c r="E13" s="135">
        <v>0.2</v>
      </c>
      <c r="F13" s="136">
        <f>$D$4*E13</f>
        <v>531181.26013260998</v>
      </c>
      <c r="G13" s="137"/>
      <c r="H13" s="138">
        <v>45777</v>
      </c>
      <c r="J13" s="141"/>
      <c r="L13" s="369" t="s">
        <v>171</v>
      </c>
      <c r="M13" s="368"/>
      <c r="N13" s="138">
        <v>45777</v>
      </c>
      <c r="O13" s="129"/>
      <c r="P13" s="138">
        <v>45777</v>
      </c>
      <c r="R13" s="174"/>
    </row>
    <row r="14" spans="1:21" s="93" customFormat="1" ht="13.2">
      <c r="B14" s="154">
        <v>2</v>
      </c>
      <c r="C14" s="722" t="s">
        <v>172</v>
      </c>
      <c r="D14" s="723"/>
      <c r="E14" s="135">
        <v>0.2</v>
      </c>
      <c r="F14" s="136">
        <f t="shared" ref="F14:F18" si="0">$D$4*E14</f>
        <v>531181.26013260998</v>
      </c>
      <c r="G14" s="355"/>
      <c r="H14" s="138">
        <f>'Project Plan'!E36+7</f>
        <v>45852</v>
      </c>
      <c r="J14" s="141"/>
      <c r="L14" s="369" t="s">
        <v>171</v>
      </c>
      <c r="N14" s="138">
        <v>45777</v>
      </c>
      <c r="O14" s="129"/>
      <c r="P14" s="138">
        <v>45842</v>
      </c>
      <c r="R14" s="380"/>
    </row>
    <row r="15" spans="1:21" s="93" customFormat="1" ht="13.2">
      <c r="B15" s="352">
        <v>3</v>
      </c>
      <c r="C15" s="722" t="s">
        <v>173</v>
      </c>
      <c r="D15" s="723"/>
      <c r="E15" s="135">
        <v>0.15</v>
      </c>
      <c r="F15" s="136">
        <f t="shared" si="0"/>
        <v>398385.94509945746</v>
      </c>
      <c r="G15" s="355"/>
      <c r="H15" s="138">
        <f>'Project Plan'!E22+7</f>
        <v>45839</v>
      </c>
      <c r="J15" s="141"/>
      <c r="L15" s="369" t="s">
        <v>171</v>
      </c>
      <c r="N15" s="138">
        <v>45777</v>
      </c>
      <c r="O15" s="129"/>
      <c r="P15" s="138">
        <v>45842</v>
      </c>
      <c r="R15" s="380"/>
    </row>
    <row r="16" spans="1:21" s="93" customFormat="1" ht="13.2">
      <c r="B16" s="352">
        <v>4</v>
      </c>
      <c r="C16" s="720" t="s">
        <v>174</v>
      </c>
      <c r="D16" s="721"/>
      <c r="E16" s="135">
        <v>0.15</v>
      </c>
      <c r="F16" s="136">
        <f t="shared" si="0"/>
        <v>398385.94509945746</v>
      </c>
      <c r="G16" s="355"/>
      <c r="H16" s="138">
        <f>'Project Plan'!G39+7</f>
        <v>45869</v>
      </c>
      <c r="J16" s="141"/>
      <c r="L16" s="369" t="s">
        <v>171</v>
      </c>
      <c r="M16" s="129"/>
      <c r="N16" s="138">
        <v>45777</v>
      </c>
      <c r="O16" s="129"/>
      <c r="P16" s="138">
        <v>45918</v>
      </c>
      <c r="R16" s="380"/>
    </row>
    <row r="17" spans="2:19" s="93" customFormat="1" ht="13.2">
      <c r="B17" s="352">
        <v>5</v>
      </c>
      <c r="C17" s="720" t="s">
        <v>175</v>
      </c>
      <c r="D17" s="721"/>
      <c r="E17" s="135">
        <v>0.25</v>
      </c>
      <c r="F17" s="136">
        <f t="shared" si="0"/>
        <v>663976.57516576245</v>
      </c>
      <c r="G17" s="355"/>
      <c r="H17" s="138">
        <f>'Project Plan'!E50+7</f>
        <v>45870</v>
      </c>
      <c r="J17" s="141"/>
      <c r="L17" s="369" t="s">
        <v>171</v>
      </c>
      <c r="N17" s="138">
        <v>45777</v>
      </c>
      <c r="O17" s="129"/>
      <c r="P17" s="138">
        <v>45891</v>
      </c>
      <c r="R17" s="380"/>
    </row>
    <row r="18" spans="2:19" s="93" customFormat="1" ht="13.2">
      <c r="B18" s="352">
        <v>6</v>
      </c>
      <c r="C18" s="720" t="s">
        <v>54</v>
      </c>
      <c r="D18" s="721"/>
      <c r="E18" s="135">
        <v>0.05</v>
      </c>
      <c r="F18" s="136">
        <f t="shared" si="0"/>
        <v>132795.3150331525</v>
      </c>
      <c r="G18" s="355"/>
      <c r="H18" s="138">
        <f>'Project Plan'!K51+7</f>
        <v>46055</v>
      </c>
      <c r="J18" s="141"/>
      <c r="L18" s="369" t="s">
        <v>171</v>
      </c>
      <c r="M18" s="137"/>
      <c r="N18" s="138">
        <v>45777</v>
      </c>
      <c r="O18" s="129"/>
      <c r="P18" s="686">
        <v>45926</v>
      </c>
      <c r="R18" s="380"/>
    </row>
    <row r="19" spans="2:19" s="93" customFormat="1" ht="13.2">
      <c r="B19" s="352">
        <v>7</v>
      </c>
      <c r="C19" s="722" t="s">
        <v>176</v>
      </c>
      <c r="D19" s="723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2655906.3006630498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177</v>
      </c>
      <c r="C23" s="145" t="s">
        <v>178</v>
      </c>
      <c r="D23" s="145"/>
      <c r="F23" s="146"/>
    </row>
    <row r="24" spans="2:19" s="93" customFormat="1" ht="13.2">
      <c r="C24" s="147" t="s">
        <v>179</v>
      </c>
      <c r="D24" s="148"/>
      <c r="F24" s="149"/>
    </row>
    <row r="25" spans="2:19" s="93" customFormat="1" ht="13.2">
      <c r="C25" s="147" t="s">
        <v>180</v>
      </c>
      <c r="D25" s="148"/>
    </row>
    <row r="26" spans="2:19" s="93" customFormat="1" ht="13.2">
      <c r="C26" s="150" t="s">
        <v>181</v>
      </c>
      <c r="D26" s="151"/>
    </row>
    <row r="27" spans="2:19" s="93" customFormat="1" ht="13.2">
      <c r="C27" s="152" t="s">
        <v>182</v>
      </c>
      <c r="D27" s="148"/>
    </row>
    <row r="28" spans="2:19" s="93" customFormat="1" ht="13.2">
      <c r="B28" s="117"/>
      <c r="C28" s="152" t="s">
        <v>183</v>
      </c>
      <c r="D28" s="148"/>
    </row>
    <row r="29" spans="2:19" s="93" customFormat="1" ht="13.2">
      <c r="B29" s="117"/>
      <c r="C29" s="93" t="s">
        <v>184</v>
      </c>
    </row>
    <row r="30" spans="2:19" s="93" customFormat="1" ht="27.75" customHeight="1">
      <c r="B30" s="117"/>
      <c r="C30" s="153" t="s">
        <v>185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162</v>
      </c>
      <c r="D40" s="133"/>
      <c r="E40" s="131" t="s">
        <v>163</v>
      </c>
      <c r="F40" s="131" t="s">
        <v>164</v>
      </c>
    </row>
    <row r="41" spans="2:6" s="93" customFormat="1" ht="12.75" hidden="1" customHeight="1">
      <c r="B41" s="154">
        <v>1</v>
      </c>
      <c r="C41" s="155" t="s">
        <v>186</v>
      </c>
      <c r="D41" s="155"/>
      <c r="E41" s="135">
        <v>0.35</v>
      </c>
      <c r="F41" s="136">
        <f>$F$47*E41</f>
        <v>929567.20523206738</v>
      </c>
    </row>
    <row r="42" spans="2:6" s="93" customFormat="1" ht="12.75" hidden="1" customHeight="1">
      <c r="B42" s="154">
        <v>2</v>
      </c>
      <c r="C42" s="155" t="s">
        <v>172</v>
      </c>
      <c r="D42" s="155"/>
      <c r="E42" s="135">
        <v>0.3</v>
      </c>
      <c r="F42" s="136">
        <f t="shared" ref="F42:F45" si="2">$F$47*E42</f>
        <v>796771.89019891492</v>
      </c>
    </row>
    <row r="43" spans="2:6" s="93" customFormat="1" ht="12.75" hidden="1" customHeight="1">
      <c r="B43" s="154">
        <v>3</v>
      </c>
      <c r="C43" s="155" t="s">
        <v>173</v>
      </c>
      <c r="D43" s="155"/>
      <c r="E43" s="135">
        <v>0.2</v>
      </c>
      <c r="F43" s="136">
        <f t="shared" si="2"/>
        <v>531181.26013260998</v>
      </c>
    </row>
    <row r="44" spans="2:6" s="93" customFormat="1" ht="12.75" hidden="1" customHeight="1">
      <c r="B44" s="154">
        <v>4</v>
      </c>
      <c r="C44" s="155" t="s">
        <v>187</v>
      </c>
      <c r="D44" s="155"/>
      <c r="E44" s="135">
        <v>0.1</v>
      </c>
      <c r="F44" s="136">
        <f t="shared" si="2"/>
        <v>265590.63006630499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132795.3150331525</v>
      </c>
    </row>
    <row r="46" spans="2:6" s="93" customFormat="1" ht="13.5" hidden="1" customHeight="1" thickBot="1">
      <c r="B46" s="160"/>
      <c r="C46" s="161" t="s">
        <v>188</v>
      </c>
      <c r="D46" s="161"/>
      <c r="E46" s="162">
        <f>SUM(E41:E45)</f>
        <v>0.99999999999999989</v>
      </c>
      <c r="F46" s="163">
        <f>SUM(F41:F45)</f>
        <v>2655906.3006630498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2655906.3006630498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189</v>
      </c>
      <c r="F2" s="83" t="s">
        <v>190</v>
      </c>
    </row>
    <row r="3" spans="3:8">
      <c r="C3" s="79">
        <v>45658</v>
      </c>
      <c r="D3" s="73" t="s">
        <v>191</v>
      </c>
      <c r="F3" s="81" t="s">
        <v>192</v>
      </c>
    </row>
    <row r="4" spans="3:8">
      <c r="C4" s="79">
        <v>45737</v>
      </c>
      <c r="D4" s="73" t="s">
        <v>193</v>
      </c>
      <c r="F4" s="81" t="s">
        <v>194</v>
      </c>
    </row>
    <row r="5" spans="3:8">
      <c r="C5" s="79">
        <v>45765</v>
      </c>
      <c r="D5" s="73" t="s">
        <v>195</v>
      </c>
      <c r="F5" s="81" t="s">
        <v>196</v>
      </c>
    </row>
    <row r="6" spans="3:8" ht="13.8" thickBot="1">
      <c r="C6" s="79">
        <v>45768</v>
      </c>
      <c r="D6" s="73" t="s">
        <v>197</v>
      </c>
      <c r="F6" s="82" t="s">
        <v>198</v>
      </c>
    </row>
    <row r="7" spans="3:8">
      <c r="C7" s="79">
        <v>45774</v>
      </c>
      <c r="D7" s="73" t="s">
        <v>199</v>
      </c>
    </row>
    <row r="8" spans="3:8">
      <c r="C8" s="79">
        <v>45765</v>
      </c>
      <c r="D8" s="73" t="s">
        <v>200</v>
      </c>
    </row>
    <row r="9" spans="3:8">
      <c r="C9" s="79">
        <v>45778</v>
      </c>
      <c r="D9" s="73" t="s">
        <v>201</v>
      </c>
    </row>
    <row r="10" spans="3:8">
      <c r="C10" s="79">
        <v>45824</v>
      </c>
      <c r="D10" s="73" t="s">
        <v>202</v>
      </c>
    </row>
    <row r="11" spans="3:8">
      <c r="C11" s="79">
        <v>45878</v>
      </c>
      <c r="D11" s="73" t="s">
        <v>203</v>
      </c>
    </row>
    <row r="12" spans="3:8">
      <c r="C12" s="79">
        <v>45924</v>
      </c>
      <c r="D12" s="73" t="s">
        <v>204</v>
      </c>
    </row>
    <row r="13" spans="3:8">
      <c r="C13" s="79">
        <v>46007</v>
      </c>
      <c r="D13" s="73" t="s">
        <v>205</v>
      </c>
      <c r="F13" s="85"/>
      <c r="H13" s="73" t="s">
        <v>206</v>
      </c>
    </row>
    <row r="14" spans="3:8">
      <c r="C14" s="79">
        <v>46016</v>
      </c>
      <c r="D14" s="73" t="s">
        <v>207</v>
      </c>
    </row>
    <row r="15" spans="3:8" ht="13.8" thickBot="1">
      <c r="C15" s="80">
        <v>46017</v>
      </c>
      <c r="D15" s="73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0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2187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209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24"/>
      <c r="C4" s="724"/>
      <c r="D4" s="724"/>
      <c r="E4" s="414"/>
      <c r="F4" s="220" t="s">
        <v>143</v>
      </c>
      <c r="G4" s="215"/>
      <c r="H4" s="220" t="s">
        <v>144</v>
      </c>
      <c r="I4" s="215"/>
      <c r="J4" s="221" t="s">
        <v>210</v>
      </c>
      <c r="K4" s="112"/>
      <c r="L4" s="112"/>
    </row>
    <row r="5" spans="1:12" ht="14.4" thickBot="1">
      <c r="A5" s="215"/>
      <c r="B5" s="725" t="s">
        <v>211</v>
      </c>
      <c r="C5" s="725"/>
      <c r="D5" s="725"/>
      <c r="E5" s="414"/>
      <c r="F5" s="222">
        <f>SUM(F9:F23)</f>
        <v>2415274.7995013366</v>
      </c>
      <c r="G5" s="217"/>
      <c r="H5" s="222">
        <f>SUM(H9:H23)</f>
        <v>2220751.0867582881</v>
      </c>
      <c r="I5" s="215"/>
      <c r="J5" s="223">
        <f>SUM(J9:J23)</f>
        <v>194523.71274304891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81</v>
      </c>
      <c r="C7" s="226"/>
      <c r="D7" s="225" t="s">
        <v>212</v>
      </c>
      <c r="E7" s="226"/>
      <c r="F7" s="227" t="s">
        <v>213</v>
      </c>
      <c r="G7" s="228"/>
      <c r="H7" s="227" t="s">
        <v>214</v>
      </c>
      <c r="I7" s="228"/>
      <c r="J7" s="227" t="s">
        <v>215</v>
      </c>
      <c r="K7" s="172"/>
      <c r="L7" s="115" t="s">
        <v>216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560797.4</v>
      </c>
      <c r="G9" s="86"/>
      <c r="H9" s="231">
        <f>'Expenditure Breakdown'!X6</f>
        <v>512827</v>
      </c>
      <c r="I9" s="89"/>
      <c r="J9" s="232">
        <f t="shared" ref="J9:J23" si="0">F9-H9</f>
        <v>47970.400000000023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115829.99999999999</v>
      </c>
      <c r="G11" s="86"/>
      <c r="H11" s="231">
        <f>'Expenditure Breakdown'!X21</f>
        <v>82657.399999999994</v>
      </c>
      <c r="I11" s="89"/>
      <c r="J11" s="232">
        <f t="shared" si="0"/>
        <v>33172.599999999991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203544</v>
      </c>
      <c r="G12" s="86"/>
      <c r="H12" s="231">
        <f>'Expenditure Breakdown'!X28</f>
        <v>206242.264</v>
      </c>
      <c r="I12" s="89"/>
      <c r="J12" s="232">
        <f t="shared" si="0"/>
        <v>-2698.2639999999956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101514.84</v>
      </c>
      <c r="I13" s="89"/>
      <c r="J13" s="232">
        <f t="shared" si="0"/>
        <v>-52514.84</v>
      </c>
      <c r="K13" s="173"/>
      <c r="L13" s="255"/>
    </row>
    <row r="14" spans="1:12">
      <c r="A14" s="215"/>
      <c r="B14" s="229">
        <f>'Expenditure Breakdown'!L59</f>
        <v>6</v>
      </c>
      <c r="C14" s="218"/>
      <c r="D14" s="230" t="str">
        <f>'Expenditure Breakdown'!M59</f>
        <v>6. AC Equipment</v>
      </c>
      <c r="E14" s="233"/>
      <c r="F14" s="231">
        <f>'Expenditure Breakdown'!I59</f>
        <v>306751.81739130436</v>
      </c>
      <c r="G14" s="86"/>
      <c r="H14" s="231">
        <f>'Expenditure Breakdown'!X59</f>
        <v>208384.924</v>
      </c>
      <c r="I14" s="89"/>
      <c r="J14" s="232">
        <f t="shared" si="0"/>
        <v>98366.893391304358</v>
      </c>
      <c r="K14" s="173"/>
      <c r="L14" s="255"/>
    </row>
    <row r="15" spans="1:12">
      <c r="A15" s="215"/>
      <c r="B15" s="229">
        <f>'Expenditure Breakdown'!L78</f>
        <v>7</v>
      </c>
      <c r="C15" s="218"/>
      <c r="D15" s="230" t="str">
        <f>'Expenditure Breakdown'!M78</f>
        <v>7.BESS</v>
      </c>
      <c r="E15" s="233"/>
      <c r="F15" s="231">
        <f>'Expenditure Breakdown'!I78</f>
        <v>0</v>
      </c>
      <c r="G15" s="86"/>
      <c r="H15" s="231">
        <f>'Expenditure Breakdown'!X78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Breakdown'!L87</f>
        <v>8</v>
      </c>
      <c r="C16" s="218"/>
      <c r="D16" s="230" t="str">
        <f>'Expenditure Breakdown'!M87</f>
        <v xml:space="preserve">8. Product Add On </v>
      </c>
      <c r="E16" s="233"/>
      <c r="F16" s="231">
        <f>'Expenditure Breakdown'!I87</f>
        <v>250000</v>
      </c>
      <c r="G16" s="86"/>
      <c r="H16" s="231">
        <f>'Expenditure Breakdown'!X87</f>
        <v>49132.22</v>
      </c>
      <c r="I16" s="89"/>
      <c r="J16" s="232">
        <f t="shared" si="0"/>
        <v>200867.78</v>
      </c>
      <c r="K16" s="173"/>
      <c r="L16" s="255"/>
    </row>
    <row r="17" spans="1:12">
      <c r="A17" s="215"/>
      <c r="B17" s="229">
        <f>'Expenditure Breakdown'!L97</f>
        <v>9</v>
      </c>
      <c r="C17" s="218"/>
      <c r="D17" s="230" t="str">
        <f>'Expenditure Breakdown'!M97</f>
        <v>9. AC &amp; DC installation</v>
      </c>
      <c r="E17" s="233"/>
      <c r="F17" s="231">
        <f>'Expenditure Breakdown'!I97</f>
        <v>210650</v>
      </c>
      <c r="G17" s="86"/>
      <c r="H17" s="231">
        <f>'Expenditure Breakdown'!X97</f>
        <v>289124</v>
      </c>
      <c r="I17" s="89"/>
      <c r="J17" s="232">
        <f t="shared" si="0"/>
        <v>-78474</v>
      </c>
      <c r="K17" s="173"/>
      <c r="L17" s="255"/>
    </row>
    <row r="18" spans="1:12">
      <c r="A18" s="215"/>
      <c r="B18" s="229">
        <f>'Expenditure Breakdown'!L111</f>
        <v>10</v>
      </c>
      <c r="C18" s="218"/>
      <c r="D18" s="230" t="str">
        <f>'Expenditure Breakdown'!M111</f>
        <v>10. Site Logistics</v>
      </c>
      <c r="E18" s="86"/>
      <c r="F18" s="231">
        <f>'Expenditure Breakdown'!I111</f>
        <v>60396.666666666664</v>
      </c>
      <c r="G18" s="86"/>
      <c r="H18" s="231">
        <f>'Expenditure Breakdown'!X111</f>
        <v>65924.73</v>
      </c>
      <c r="I18" s="89"/>
      <c r="J18" s="232">
        <f t="shared" si="0"/>
        <v>-5528.0633333333317</v>
      </c>
      <c r="K18" s="173"/>
      <c r="L18" s="255"/>
    </row>
    <row r="19" spans="1:12">
      <c r="A19" s="215"/>
      <c r="B19" s="229">
        <f>'Expenditure Breakdown'!L136</f>
        <v>11</v>
      </c>
      <c r="C19" s="218"/>
      <c r="D19" s="230" t="str">
        <f>'Expenditure Breakdown'!M136</f>
        <v>11. Due Dilligence</v>
      </c>
      <c r="E19" s="86"/>
      <c r="F19" s="231">
        <f>'Expenditure Breakdown'!I136</f>
        <v>29000</v>
      </c>
      <c r="G19" s="86"/>
      <c r="H19" s="231">
        <f>'Expenditure Breakdown'!X136</f>
        <v>22077.23</v>
      </c>
      <c r="I19" s="89"/>
      <c r="J19" s="232">
        <f t="shared" si="0"/>
        <v>6922.77</v>
      </c>
      <c r="K19" s="173"/>
      <c r="L19" s="255"/>
    </row>
    <row r="20" spans="1:12">
      <c r="A20" s="215"/>
      <c r="B20" s="229">
        <f>'Expenditure Breakdown'!L142</f>
        <v>12</v>
      </c>
      <c r="C20" s="218"/>
      <c r="D20" s="230" t="str">
        <f>'Expenditure Breakdown'!M142</f>
        <v>12. BDP Commission</v>
      </c>
      <c r="E20" s="86"/>
      <c r="F20" s="231">
        <f>'Expenditure Breakdown'!I142</f>
        <v>52821.549035498501</v>
      </c>
      <c r="G20" s="86"/>
      <c r="H20" s="231">
        <f>'Expenditure Breakdown'!X142</f>
        <v>0</v>
      </c>
      <c r="I20" s="89"/>
      <c r="J20" s="232">
        <f t="shared" si="0"/>
        <v>52821.549035498501</v>
      </c>
      <c r="K20" s="173"/>
      <c r="L20" s="255"/>
    </row>
    <row r="21" spans="1:12">
      <c r="A21" s="215"/>
      <c r="B21" s="229">
        <f>'Expenditure Breakdown'!L145</f>
        <v>13</v>
      </c>
      <c r="C21" s="218"/>
      <c r="D21" s="230" t="str">
        <f>'Expenditure Breakdown'!M146</f>
        <v>13. Engineering</v>
      </c>
      <c r="E21" s="86"/>
      <c r="F21" s="231">
        <f>'Expenditure Breakdown'!I145</f>
        <v>112108.36640786749</v>
      </c>
      <c r="G21" s="86"/>
      <c r="H21" s="231">
        <f>'Expenditure Breakdown'!X145</f>
        <v>33198.828758288124</v>
      </c>
      <c r="I21" s="89"/>
      <c r="J21" s="232">
        <f t="shared" si="0"/>
        <v>78909.537649579375</v>
      </c>
      <c r="K21" s="173"/>
      <c r="L21" s="255"/>
    </row>
    <row r="22" spans="1:12">
      <c r="A22" s="215"/>
      <c r="B22" s="229">
        <f>'Expenditure Breakdown'!L152</f>
        <v>14</v>
      </c>
      <c r="C22" s="218"/>
      <c r="D22" s="230" t="str">
        <f>'Expenditure Breakdown'!M152</f>
        <v>14. General Expenses</v>
      </c>
      <c r="E22" s="86"/>
      <c r="F22" s="231">
        <f>'Expenditure Breakdown'!I152</f>
        <v>4375</v>
      </c>
      <c r="G22" s="86"/>
      <c r="H22" s="231">
        <f>'Expenditure Breakdown'!X152</f>
        <v>33819.85</v>
      </c>
      <c r="I22" s="89"/>
      <c r="J22" s="232">
        <f t="shared" si="0"/>
        <v>-29444.85</v>
      </c>
      <c r="K22" s="173"/>
      <c r="L22" s="255"/>
    </row>
    <row r="23" spans="1:12">
      <c r="A23" s="215"/>
      <c r="B23" s="229">
        <f>'Expenditure Breakdown'!L165</f>
        <v>15</v>
      </c>
      <c r="C23" s="218"/>
      <c r="D23" s="230" t="str">
        <f>'Expenditure Breakdown'!M165</f>
        <v>15. Service Add On</v>
      </c>
      <c r="E23" s="86"/>
      <c r="F23" s="231">
        <f>'Expenditure Breakdown'!I165</f>
        <v>300000</v>
      </c>
      <c r="G23" s="86"/>
      <c r="H23" s="231">
        <f>'Expenditure Breakdown'!X165</f>
        <v>478107.1</v>
      </c>
      <c r="I23" s="89"/>
      <c r="J23" s="232">
        <f t="shared" si="0"/>
        <v>-178107.09999999998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6"/>
  <sheetViews>
    <sheetView tabSelected="1" topLeftCell="M1" zoomScale="89" zoomScaleNormal="80" workbookViewId="0">
      <pane ySplit="4" topLeftCell="A87" activePane="bottomLeft" state="frozen"/>
      <selection activeCell="X33" sqref="X33"/>
      <selection pane="bottomLeft" activeCell="U90" sqref="U90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1.77734375" style="70" hidden="1" customWidth="1"/>
    <col min="6" max="6" width="16.5546875" style="475" hidden="1" customWidth="1"/>
    <col min="7" max="7" width="17.21875" style="24" hidden="1" customWidth="1"/>
    <col min="8" max="8" width="17.44140625" style="112" hidden="1" customWidth="1"/>
    <col min="9" max="9" width="22.2187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48" style="112" customWidth="1"/>
    <col min="15" max="15" width="15.5546875" style="112" customWidth="1"/>
    <col min="16" max="17" width="17.44140625" style="112" customWidth="1"/>
    <col min="18" max="18" width="47.77734375" style="112" bestFit="1" customWidth="1"/>
    <col min="19" max="19" width="40.77734375" style="112" bestFit="1" customWidth="1"/>
    <col min="20" max="23" width="17.44140625" style="112" customWidth="1"/>
    <col min="24" max="24" width="21.44140625" style="112" customWidth="1"/>
    <col min="25" max="25" width="29.21875" style="112" bestFit="1" customWidth="1"/>
    <col min="26" max="26" width="24.777343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35" t="s">
        <v>218</v>
      </c>
      <c r="C2" s="736"/>
      <c r="D2" s="736"/>
      <c r="E2" s="736"/>
      <c r="F2" s="736"/>
      <c r="G2" s="736"/>
      <c r="H2" s="678"/>
      <c r="I2" s="258">
        <f>SUM(I6:I177)</f>
        <v>2415274.7995013366</v>
      </c>
      <c r="J2" s="258">
        <f>SUM(J6:J177)</f>
        <v>2655906.3006630521</v>
      </c>
      <c r="L2" s="737" t="s">
        <v>219</v>
      </c>
      <c r="M2" s="738"/>
      <c r="N2" s="738"/>
      <c r="O2" s="738"/>
      <c r="P2" s="738"/>
      <c r="Q2" s="738"/>
      <c r="R2" s="742" t="s">
        <v>220</v>
      </c>
      <c r="S2" s="743"/>
      <c r="T2" s="743"/>
      <c r="U2" s="743"/>
      <c r="V2" s="743"/>
      <c r="W2" s="744"/>
      <c r="X2" s="479">
        <f>SUM(X6:X177)</f>
        <v>2220751.0867582881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221</v>
      </c>
      <c r="C4" s="260" t="s">
        <v>222</v>
      </c>
      <c r="D4" s="260" t="s">
        <v>223</v>
      </c>
      <c r="E4" s="260" t="s">
        <v>224</v>
      </c>
      <c r="F4" s="466" t="s">
        <v>225</v>
      </c>
      <c r="G4" s="261" t="s">
        <v>226</v>
      </c>
      <c r="H4" s="372" t="s">
        <v>227</v>
      </c>
      <c r="I4" s="262" t="s">
        <v>228</v>
      </c>
      <c r="J4" s="262" t="str">
        <f>IF(J2-'Revenue Tracking'!D4&gt;=0, "Total Revenue", "ERROR on REV" )</f>
        <v>Total Revenue</v>
      </c>
      <c r="K4" s="165"/>
      <c r="L4" s="259" t="s">
        <v>221</v>
      </c>
      <c r="M4" s="260" t="s">
        <v>229</v>
      </c>
      <c r="N4" s="260" t="s">
        <v>223</v>
      </c>
      <c r="O4" s="260" t="s">
        <v>224</v>
      </c>
      <c r="P4" s="466" t="s">
        <v>225</v>
      </c>
      <c r="Q4" s="374" t="s">
        <v>230</v>
      </c>
      <c r="R4" s="620" t="s">
        <v>231</v>
      </c>
      <c r="S4" s="621" t="s">
        <v>166</v>
      </c>
      <c r="T4" s="372" t="s">
        <v>167</v>
      </c>
      <c r="U4" s="373" t="s">
        <v>232</v>
      </c>
      <c r="V4" s="374" t="s">
        <v>233</v>
      </c>
      <c r="W4" s="372" t="s">
        <v>227</v>
      </c>
      <c r="X4" s="481" t="s">
        <v>228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234</v>
      </c>
      <c r="D6" s="282" t="s">
        <v>235</v>
      </c>
      <c r="E6" s="283"/>
      <c r="F6" s="438"/>
      <c r="G6" s="392">
        <f>D178</f>
        <v>560797.4</v>
      </c>
      <c r="H6" s="535">
        <v>45867</v>
      </c>
      <c r="I6" s="739">
        <f>SUM(G6:G11)</f>
        <v>560797.4</v>
      </c>
      <c r="J6" s="739">
        <f>F178</f>
        <v>637269.77272727271</v>
      </c>
      <c r="K6" s="389"/>
      <c r="L6" s="281">
        <v>1</v>
      </c>
      <c r="M6" s="418" t="s">
        <v>236</v>
      </c>
      <c r="N6" s="282" t="s">
        <v>237</v>
      </c>
      <c r="O6" s="548">
        <v>415</v>
      </c>
      <c r="P6" s="438">
        <f>620*1.99</f>
        <v>1233.8</v>
      </c>
      <c r="Q6" s="392">
        <f>O6*P6</f>
        <v>512027</v>
      </c>
      <c r="R6" s="586" t="s">
        <v>238</v>
      </c>
      <c r="S6" s="623" t="s">
        <v>239</v>
      </c>
      <c r="T6" s="655">
        <v>45838</v>
      </c>
      <c r="U6" s="663">
        <v>637269.77272727271</v>
      </c>
      <c r="V6" s="729">
        <f>J6-SUM(U6:U11)</f>
        <v>0</v>
      </c>
      <c r="W6" s="535">
        <v>45867</v>
      </c>
      <c r="X6" s="726">
        <f>SUM(Q6:Q11)</f>
        <v>512827</v>
      </c>
      <c r="Y6" s="483"/>
    </row>
    <row r="7" spans="1:76" ht="15" customHeight="1">
      <c r="B7" s="311">
        <v>1</v>
      </c>
      <c r="C7" s="419"/>
      <c r="D7" s="390" t="s">
        <v>240</v>
      </c>
      <c r="E7" s="391"/>
      <c r="F7" s="460"/>
      <c r="G7" s="315"/>
      <c r="H7" s="571"/>
      <c r="I7" s="740"/>
      <c r="J7" s="740"/>
      <c r="K7" s="288"/>
      <c r="L7" s="311">
        <v>1</v>
      </c>
      <c r="M7" s="313" t="s">
        <v>236</v>
      </c>
      <c r="N7" s="390"/>
      <c r="O7" s="549"/>
      <c r="P7" s="445">
        <v>1.99</v>
      </c>
      <c r="Q7" s="315"/>
      <c r="R7" s="587"/>
      <c r="S7" s="624"/>
      <c r="T7" s="519" t="str">
        <f t="shared" ref="T7:T83" si="0">IF(W7&gt;1,EOMONTH(W7,0),"")</f>
        <v/>
      </c>
      <c r="U7" s="651">
        <v>0</v>
      </c>
      <c r="V7" s="730"/>
      <c r="W7" s="571"/>
      <c r="X7" s="727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45968</v>
      </c>
      <c r="I8" s="740"/>
      <c r="J8" s="740"/>
      <c r="K8" s="288"/>
      <c r="L8" s="311">
        <v>1</v>
      </c>
      <c r="M8" s="313" t="s">
        <v>236</v>
      </c>
      <c r="N8" s="486"/>
      <c r="O8" s="550"/>
      <c r="P8" s="445">
        <v>800</v>
      </c>
      <c r="Q8" s="315">
        <v>800</v>
      </c>
      <c r="R8" s="587"/>
      <c r="S8" s="624" t="s">
        <v>241</v>
      </c>
      <c r="T8" s="641">
        <v>45930</v>
      </c>
      <c r="U8" s="651">
        <v>0</v>
      </c>
      <c r="V8" s="730"/>
      <c r="W8" s="536">
        <v>45967</v>
      </c>
      <c r="X8" s="727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2"/>
      <c r="I9" s="740"/>
      <c r="J9" s="740"/>
      <c r="K9" s="288"/>
      <c r="L9" s="311">
        <v>1</v>
      </c>
      <c r="M9" s="313" t="s">
        <v>236</v>
      </c>
      <c r="N9" s="486"/>
      <c r="O9" s="550"/>
      <c r="P9" s="445"/>
      <c r="Q9" s="387"/>
      <c r="R9" s="588"/>
      <c r="S9" s="625"/>
      <c r="T9" s="520" t="str">
        <f t="shared" si="0"/>
        <v/>
      </c>
      <c r="U9" s="664">
        <v>0</v>
      </c>
      <c r="V9" s="730"/>
      <c r="W9" s="572"/>
      <c r="X9" s="727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2"/>
      <c r="I10" s="740"/>
      <c r="J10" s="740"/>
      <c r="K10" s="288"/>
      <c r="L10" s="311">
        <v>1</v>
      </c>
      <c r="M10" s="313" t="s">
        <v>236</v>
      </c>
      <c r="N10" s="486"/>
      <c r="O10" s="550"/>
      <c r="P10" s="445"/>
      <c r="Q10" s="387"/>
      <c r="R10" s="588"/>
      <c r="S10" s="625"/>
      <c r="T10" s="520" t="str">
        <f t="shared" si="0"/>
        <v/>
      </c>
      <c r="U10" s="664">
        <v>0</v>
      </c>
      <c r="V10" s="730"/>
      <c r="W10" s="572"/>
      <c r="X10" s="727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3"/>
      <c r="I11" s="741"/>
      <c r="J11" s="741"/>
      <c r="K11" s="289"/>
      <c r="L11" s="316">
        <v>1</v>
      </c>
      <c r="M11" s="420" t="s">
        <v>236</v>
      </c>
      <c r="N11" s="393"/>
      <c r="O11" s="551"/>
      <c r="P11" s="461"/>
      <c r="Q11" s="330"/>
      <c r="R11" s="589"/>
      <c r="S11" s="626"/>
      <c r="T11" s="521" t="str">
        <f t="shared" si="0"/>
        <v/>
      </c>
      <c r="U11" s="665">
        <v>0</v>
      </c>
      <c r="V11" s="731"/>
      <c r="W11" s="573"/>
      <c r="X11" s="728"/>
      <c r="Y11" s="604" t="s">
        <v>242</v>
      </c>
      <c r="Z11" s="605" t="s">
        <v>243</v>
      </c>
    </row>
    <row r="12" spans="1:76" ht="14.4" thickBot="1">
      <c r="A12" s="24"/>
      <c r="B12" s="276"/>
      <c r="C12" s="277"/>
      <c r="D12" s="278"/>
      <c r="E12" s="291"/>
      <c r="F12" s="457"/>
      <c r="G12" s="279"/>
      <c r="H12" s="574"/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244</v>
      </c>
      <c r="Z12" s="607">
        <f>G59</f>
        <v>306751.81739130436</v>
      </c>
    </row>
    <row r="13" spans="1:76" ht="14.25" customHeight="1">
      <c r="B13" s="293">
        <v>2</v>
      </c>
      <c r="C13" s="319" t="s">
        <v>245</v>
      </c>
      <c r="D13" s="319" t="s">
        <v>246</v>
      </c>
      <c r="E13" s="365"/>
      <c r="F13" s="458"/>
      <c r="G13" s="296">
        <f>D179</f>
        <v>160000</v>
      </c>
      <c r="H13" s="538">
        <v>45867</v>
      </c>
      <c r="I13" s="745">
        <f>SUM(G13:G19)</f>
        <v>160000</v>
      </c>
      <c r="J13" s="745">
        <f>F179</f>
        <v>181818.18181818182</v>
      </c>
      <c r="K13" s="297"/>
      <c r="L13" s="293">
        <v>2</v>
      </c>
      <c r="M13" s="421" t="s">
        <v>247</v>
      </c>
      <c r="N13" s="319" t="s">
        <v>248</v>
      </c>
      <c r="O13" s="553">
        <v>2</v>
      </c>
      <c r="P13" s="458">
        <v>68870</v>
      </c>
      <c r="Q13" s="296">
        <v>137740.70000000001</v>
      </c>
      <c r="R13" s="591" t="s">
        <v>238</v>
      </c>
      <c r="S13" s="628" t="s">
        <v>239</v>
      </c>
      <c r="T13" s="656">
        <v>45838</v>
      </c>
      <c r="U13" s="666">
        <v>181818.18181818182</v>
      </c>
      <c r="V13" s="732">
        <f>J13-SUM(U13:U19)</f>
        <v>0</v>
      </c>
      <c r="W13" s="538">
        <v>45867</v>
      </c>
      <c r="X13" s="748">
        <f>SUM(Q13:Q19)</f>
        <v>137740.70000000001</v>
      </c>
      <c r="Y13" s="606" t="s">
        <v>249</v>
      </c>
      <c r="Z13" s="608">
        <f>G29</f>
        <v>117304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6"/>
      <c r="I14" s="746"/>
      <c r="J14" s="746"/>
      <c r="K14" s="301"/>
      <c r="L14" s="298">
        <v>2</v>
      </c>
      <c r="M14" s="427" t="s">
        <v>247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667">
        <v>0</v>
      </c>
      <c r="V14" s="733"/>
      <c r="W14" s="576"/>
      <c r="X14" s="749"/>
      <c r="Y14" s="606" t="s">
        <v>250</v>
      </c>
      <c r="Z14" s="607">
        <f>G97</f>
        <v>64350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6"/>
      <c r="I15" s="746"/>
      <c r="J15" s="746"/>
      <c r="K15" s="301"/>
      <c r="L15" s="298">
        <v>2</v>
      </c>
      <c r="M15" s="427" t="s">
        <v>247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667">
        <v>0</v>
      </c>
      <c r="V15" s="733"/>
      <c r="W15" s="576"/>
      <c r="X15" s="749"/>
      <c r="Y15" s="606" t="s">
        <v>251</v>
      </c>
      <c r="Z15" s="607">
        <f>G98</f>
        <v>146300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6"/>
      <c r="I16" s="746"/>
      <c r="J16" s="746"/>
      <c r="K16" s="301"/>
      <c r="L16" s="298">
        <v>2</v>
      </c>
      <c r="M16" s="427" t="s">
        <v>247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667">
        <v>0</v>
      </c>
      <c r="V16" s="733"/>
      <c r="W16" s="576"/>
      <c r="X16" s="749"/>
      <c r="Y16" s="606" t="s">
        <v>252</v>
      </c>
      <c r="Z16" s="607">
        <f>G111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6"/>
      <c r="I17" s="746"/>
      <c r="J17" s="746"/>
      <c r="K17" s="301"/>
      <c r="L17" s="298">
        <v>2</v>
      </c>
      <c r="M17" s="427" t="s">
        <v>247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667">
        <v>0</v>
      </c>
      <c r="V17" s="733"/>
      <c r="W17" s="576"/>
      <c r="X17" s="749"/>
      <c r="Y17" s="606" t="s">
        <v>253</v>
      </c>
      <c r="Z17" s="607">
        <f>G112</f>
        <v>20355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6"/>
      <c r="I18" s="746"/>
      <c r="J18" s="746"/>
      <c r="K18" s="301"/>
      <c r="L18" s="298">
        <v>2</v>
      </c>
      <c r="M18" s="427" t="s">
        <v>247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667">
        <v>0</v>
      </c>
      <c r="V18" s="733"/>
      <c r="W18" s="576"/>
      <c r="X18" s="749"/>
      <c r="Y18" s="606" t="s">
        <v>254</v>
      </c>
      <c r="Z18" s="607">
        <f>G114</f>
        <v>1541.6666666666665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7"/>
      <c r="I19" s="747"/>
      <c r="J19" s="747"/>
      <c r="K19" s="306"/>
      <c r="L19" s="396">
        <v>2</v>
      </c>
      <c r="M19" s="422" t="s">
        <v>247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668">
        <v>0</v>
      </c>
      <c r="V19" s="734"/>
      <c r="W19" s="577"/>
      <c r="X19" s="750"/>
      <c r="Y19" s="606" t="s">
        <v>255</v>
      </c>
      <c r="Z19" s="607">
        <v>0</v>
      </c>
    </row>
    <row r="20" spans="1:26" ht="14.4" thickBot="1">
      <c r="A20" s="24"/>
      <c r="B20" s="290"/>
      <c r="C20" s="277"/>
      <c r="D20" s="277"/>
      <c r="E20" s="291"/>
      <c r="F20" s="457"/>
      <c r="G20" s="292"/>
      <c r="H20" s="574"/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6" ht="14.25" customHeight="1">
      <c r="B21" s="281">
        <v>3</v>
      </c>
      <c r="C21" s="309" t="s">
        <v>256</v>
      </c>
      <c r="D21" s="327" t="s">
        <v>257</v>
      </c>
      <c r="E21" s="283"/>
      <c r="F21" s="438"/>
      <c r="G21" s="284">
        <f>D180</f>
        <v>115829.99999999999</v>
      </c>
      <c r="H21" s="670">
        <v>45867</v>
      </c>
      <c r="I21" s="739">
        <f>SUM(G21:G26)</f>
        <v>115829.99999999999</v>
      </c>
      <c r="J21" s="739">
        <f>F180</f>
        <v>131624.99999999997</v>
      </c>
      <c r="K21" s="285"/>
      <c r="L21" s="281">
        <v>3</v>
      </c>
      <c r="M21" s="423" t="s">
        <v>258</v>
      </c>
      <c r="N21" s="327" t="s">
        <v>259</v>
      </c>
      <c r="O21" s="548"/>
      <c r="P21" s="438"/>
      <c r="Q21" s="284">
        <v>82657.399999999994</v>
      </c>
      <c r="R21" s="594" t="s">
        <v>260</v>
      </c>
      <c r="S21" s="631" t="s">
        <v>261</v>
      </c>
      <c r="T21" s="647">
        <v>45838</v>
      </c>
      <c r="U21" s="650">
        <v>131624.99999999997</v>
      </c>
      <c r="V21" s="729">
        <f>J21-SUM(U21:U26)</f>
        <v>0</v>
      </c>
      <c r="W21" s="670">
        <v>45867</v>
      </c>
      <c r="X21" s="726">
        <f>SUM(Q21:Q26)</f>
        <v>82657.399999999994</v>
      </c>
      <c r="Y21" s="606" t="s">
        <v>262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1"/>
      <c r="I22" s="740"/>
      <c r="J22" s="740"/>
      <c r="K22" s="288"/>
      <c r="L22" s="311">
        <v>3</v>
      </c>
      <c r="M22" s="424" t="s">
        <v>258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51">
        <v>0</v>
      </c>
      <c r="V22" s="730"/>
      <c r="W22" s="571"/>
      <c r="X22" s="727"/>
      <c r="Y22" s="606" t="s">
        <v>188</v>
      </c>
      <c r="Z22" s="607">
        <f>SUM(Z12:Z21)</f>
        <v>665102.48405797093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1"/>
      <c r="I23" s="740"/>
      <c r="J23" s="740"/>
      <c r="K23" s="288"/>
      <c r="L23" s="311">
        <v>3</v>
      </c>
      <c r="M23" s="424" t="s">
        <v>258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51">
        <v>0</v>
      </c>
      <c r="V23" s="730"/>
      <c r="W23" s="571"/>
      <c r="X23" s="727"/>
      <c r="Y23" s="606" t="s">
        <v>263</v>
      </c>
      <c r="Z23" s="610">
        <f>+Z22*0.85</f>
        <v>565337.11144927528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2"/>
      <c r="I24" s="740"/>
      <c r="J24" s="740"/>
      <c r="K24" s="288"/>
      <c r="L24" s="311">
        <v>3</v>
      </c>
      <c r="M24" s="424" t="s">
        <v>258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64">
        <v>0</v>
      </c>
      <c r="V24" s="730"/>
      <c r="W24" s="572"/>
      <c r="X24" s="727"/>
      <c r="Y24" s="611" t="s">
        <v>264</v>
      </c>
      <c r="Z24" s="609">
        <f>Z23/'Project Plan'!$E$3/1000</f>
        <v>2.199755297467997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2"/>
      <c r="I25" s="740"/>
      <c r="J25" s="740"/>
      <c r="K25" s="288"/>
      <c r="L25" s="311">
        <v>3</v>
      </c>
      <c r="M25" s="424" t="s">
        <v>258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64">
        <v>0</v>
      </c>
      <c r="V25" s="730"/>
      <c r="W25" s="572"/>
      <c r="X25" s="727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3"/>
      <c r="I26" s="741"/>
      <c r="J26" s="741"/>
      <c r="K26" s="289"/>
      <c r="L26" s="316">
        <v>3</v>
      </c>
      <c r="M26" s="425" t="s">
        <v>258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65">
        <v>0</v>
      </c>
      <c r="V26" s="731"/>
      <c r="W26" s="573"/>
      <c r="X26" s="728"/>
      <c r="Y26" s="612" t="s">
        <v>144</v>
      </c>
      <c r="Z26" s="613" t="s">
        <v>265</v>
      </c>
    </row>
    <row r="27" spans="1:26" ht="14.4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108910.56</v>
      </c>
    </row>
    <row r="28" spans="1:26" ht="14.25" customHeight="1">
      <c r="B28" s="293">
        <v>4</v>
      </c>
      <c r="C28" s="294" t="s">
        <v>249</v>
      </c>
      <c r="D28" s="294" t="s">
        <v>266</v>
      </c>
      <c r="E28" s="365">
        <f>G28/14*1.15</f>
        <v>7083.9999999999991</v>
      </c>
      <c r="F28" s="458"/>
      <c r="G28" s="296">
        <v>86240</v>
      </c>
      <c r="H28" s="538">
        <v>45867</v>
      </c>
      <c r="I28" s="745">
        <f>SUM(G28:G43)</f>
        <v>203544</v>
      </c>
      <c r="J28" s="745">
        <f>F181</f>
        <v>231300</v>
      </c>
      <c r="K28" s="297"/>
      <c r="L28" s="293">
        <v>4</v>
      </c>
      <c r="M28" s="426" t="s">
        <v>267</v>
      </c>
      <c r="N28" s="294" t="s">
        <v>268</v>
      </c>
      <c r="O28" s="545">
        <v>6000</v>
      </c>
      <c r="P28" s="458">
        <v>13.4</v>
      </c>
      <c r="Q28" s="296">
        <f>O28*P28</f>
        <v>80400</v>
      </c>
      <c r="R28" s="591" t="s">
        <v>238</v>
      </c>
      <c r="S28" s="628" t="s">
        <v>239</v>
      </c>
      <c r="T28" s="656">
        <v>45838</v>
      </c>
      <c r="U28" s="666">
        <v>90168.327477242987</v>
      </c>
      <c r="V28" s="732">
        <f>J28-SUM(U28:U43)</f>
        <v>0</v>
      </c>
      <c r="W28" s="538">
        <v>45867</v>
      </c>
      <c r="X28" s="748">
        <f>SUM(Q28:Q43)</f>
        <v>206242.264</v>
      </c>
      <c r="Y28" s="614" t="str">
        <f t="shared" ref="Y28:Y32" si="1">Y13</f>
        <v>DC Equipment</v>
      </c>
      <c r="Z28" s="615">
        <v>125842.26</v>
      </c>
    </row>
    <row r="29" spans="1:26" ht="14.25" customHeight="1">
      <c r="B29" s="320">
        <v>4</v>
      </c>
      <c r="C29" s="409"/>
      <c r="D29" s="409" t="s">
        <v>269</v>
      </c>
      <c r="E29" s="395"/>
      <c r="F29" s="454"/>
      <c r="G29" s="640">
        <f>D181-G28</f>
        <v>117304</v>
      </c>
      <c r="H29" s="538">
        <v>45867</v>
      </c>
      <c r="I29" s="746"/>
      <c r="J29" s="746"/>
      <c r="K29" s="301"/>
      <c r="L29" s="298">
        <v>4</v>
      </c>
      <c r="M29" s="427" t="s">
        <v>267</v>
      </c>
      <c r="N29" s="409"/>
      <c r="O29" s="546"/>
      <c r="P29" s="454"/>
      <c r="Q29" s="300"/>
      <c r="R29" s="592"/>
      <c r="S29" s="629"/>
      <c r="T29" s="524" t="str">
        <f t="shared" si="0"/>
        <v/>
      </c>
      <c r="U29" s="667">
        <v>0</v>
      </c>
      <c r="V29" s="733"/>
      <c r="W29" s="576"/>
      <c r="X29" s="749"/>
      <c r="Y29" s="614" t="str">
        <f t="shared" si="1"/>
        <v>AC Labour</v>
      </c>
      <c r="Z29" s="615">
        <v>98004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6"/>
      <c r="I30" s="746"/>
      <c r="J30" s="746"/>
      <c r="K30" s="301"/>
      <c r="L30" s="298">
        <v>4</v>
      </c>
      <c r="M30" s="427" t="s">
        <v>267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667">
        <v>0</v>
      </c>
      <c r="V30" s="733"/>
      <c r="W30" s="576"/>
      <c r="X30" s="749"/>
      <c r="Y30" s="614" t="str">
        <f t="shared" si="1"/>
        <v>DC Labour</v>
      </c>
      <c r="Z30" s="615">
        <v>191120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6"/>
      <c r="I31" s="746"/>
      <c r="J31" s="746"/>
      <c r="K31" s="301"/>
      <c r="L31" s="298">
        <v>4</v>
      </c>
      <c r="M31" s="427" t="s">
        <v>267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667">
        <v>0</v>
      </c>
      <c r="V31" s="733"/>
      <c r="W31" s="576"/>
      <c r="X31" s="749"/>
      <c r="Y31" s="614" t="s">
        <v>270</v>
      </c>
      <c r="Z31" s="615">
        <v>49778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>H98</f>
        <v>45827</v>
      </c>
      <c r="I32" s="746"/>
      <c r="J32" s="746"/>
      <c r="K32" s="301"/>
      <c r="L32" s="298">
        <v>4</v>
      </c>
      <c r="M32" s="427" t="s">
        <v>267</v>
      </c>
      <c r="N32" s="409" t="s">
        <v>271</v>
      </c>
      <c r="O32" s="565">
        <v>125842.26</v>
      </c>
      <c r="P32" s="566">
        <v>0.1</v>
      </c>
      <c r="Q32" s="300">
        <v>11730.4</v>
      </c>
      <c r="R32" s="654"/>
      <c r="S32" s="629" t="s">
        <v>272</v>
      </c>
      <c r="T32" s="653">
        <v>45838</v>
      </c>
      <c r="U32" s="667">
        <v>13155.603838794166</v>
      </c>
      <c r="V32" s="733"/>
      <c r="W32" s="539">
        <f>W98</f>
        <v>45827</v>
      </c>
      <c r="X32" s="749"/>
      <c r="Y32" s="614" t="str">
        <f t="shared" si="1"/>
        <v>Scaffolding</v>
      </c>
      <c r="Z32" s="615"/>
    </row>
    <row r="33" spans="1:26" ht="14.25" customHeight="1">
      <c r="B33" s="320"/>
      <c r="C33" s="409"/>
      <c r="D33" s="409"/>
      <c r="E33" s="395"/>
      <c r="F33" s="454"/>
      <c r="G33" s="300"/>
      <c r="H33" s="539">
        <v>45834</v>
      </c>
      <c r="I33" s="746"/>
      <c r="J33" s="746"/>
      <c r="K33" s="301"/>
      <c r="L33" s="298">
        <v>4</v>
      </c>
      <c r="M33" s="427" t="s">
        <v>273</v>
      </c>
      <c r="N33" s="409" t="s">
        <v>274</v>
      </c>
      <c r="O33" s="565"/>
      <c r="P33" s="566"/>
      <c r="Q33" s="300">
        <v>853.83</v>
      </c>
      <c r="R33" s="654"/>
      <c r="S33" s="629" t="s">
        <v>275</v>
      </c>
      <c r="T33" s="653">
        <v>45838</v>
      </c>
      <c r="U33" s="667">
        <v>957.56745086933302</v>
      </c>
      <c r="V33" s="733"/>
      <c r="W33" s="539">
        <v>45834</v>
      </c>
      <c r="X33" s="749"/>
      <c r="Y33" s="614"/>
      <c r="Z33" s="615"/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ref="H34:H40" si="2">H100</f>
        <v>45834</v>
      </c>
      <c r="I34" s="746"/>
      <c r="J34" s="746"/>
      <c r="K34" s="301"/>
      <c r="L34" s="298">
        <v>4</v>
      </c>
      <c r="M34" s="427" t="s">
        <v>267</v>
      </c>
      <c r="N34" s="409" t="s">
        <v>99</v>
      </c>
      <c r="O34" s="554"/>
      <c r="P34" s="566">
        <v>0.15</v>
      </c>
      <c r="Q34" s="300">
        <f t="shared" ref="Q34:Q40" si="3">$O$32*P34</f>
        <v>18876.339</v>
      </c>
      <c r="R34" s="592"/>
      <c r="S34" s="629" t="s">
        <v>276</v>
      </c>
      <c r="T34" s="653">
        <v>45838</v>
      </c>
      <c r="U34" s="667">
        <v>21169.750205515586</v>
      </c>
      <c r="V34" s="733"/>
      <c r="W34" s="539">
        <f t="shared" ref="W34:W38" si="4">W100</f>
        <v>45834</v>
      </c>
      <c r="X34" s="749"/>
      <c r="Y34" s="614" t="str">
        <f>Y18</f>
        <v>Storage</v>
      </c>
      <c r="Z34" s="615"/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39">
        <f t="shared" si="2"/>
        <v>45925</v>
      </c>
      <c r="I35" s="746"/>
      <c r="J35" s="746"/>
      <c r="K35" s="301"/>
      <c r="L35" s="298">
        <v>4</v>
      </c>
      <c r="M35" s="427" t="s">
        <v>267</v>
      </c>
      <c r="N35" s="409" t="s">
        <v>277</v>
      </c>
      <c r="O35" s="674"/>
      <c r="P35" s="566">
        <v>0.2</v>
      </c>
      <c r="Q35" s="300">
        <f t="shared" si="3"/>
        <v>25168.452000000001</v>
      </c>
      <c r="R35" s="592"/>
      <c r="S35" s="629" t="s">
        <v>278</v>
      </c>
      <c r="T35" s="653">
        <v>45869</v>
      </c>
      <c r="U35" s="667">
        <v>28226.333607354118</v>
      </c>
      <c r="V35" s="733"/>
      <c r="W35" s="539">
        <f t="shared" si="4"/>
        <v>45925</v>
      </c>
      <c r="X35" s="749"/>
      <c r="Y35" s="614" t="str">
        <f>Y19</f>
        <v>Telehandler</v>
      </c>
      <c r="Z35" s="615">
        <f>Z19*0.75</f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2"/>
        <v>45925</v>
      </c>
      <c r="I36" s="746"/>
      <c r="J36" s="746"/>
      <c r="K36" s="301"/>
      <c r="L36" s="298">
        <v>4</v>
      </c>
      <c r="M36" s="427" t="s">
        <v>267</v>
      </c>
      <c r="N36" s="409" t="s">
        <v>279</v>
      </c>
      <c r="O36" s="554"/>
      <c r="P36" s="566">
        <v>0.25</v>
      </c>
      <c r="Q36" s="300">
        <f t="shared" si="3"/>
        <v>31460.564999999999</v>
      </c>
      <c r="R36" s="592"/>
      <c r="S36" s="629" t="s">
        <v>278</v>
      </c>
      <c r="T36" s="653">
        <v>45869</v>
      </c>
      <c r="U36" s="667">
        <v>35282.917009192643</v>
      </c>
      <c r="V36" s="733"/>
      <c r="W36" s="539">
        <f t="shared" si="4"/>
        <v>45925</v>
      </c>
      <c r="X36" s="749"/>
      <c r="Y36" s="614" t="s">
        <v>58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39">
        <f t="shared" si="2"/>
        <v>45925</v>
      </c>
      <c r="I37" s="746"/>
      <c r="J37" s="746"/>
      <c r="K37" s="301"/>
      <c r="L37" s="298">
        <v>4</v>
      </c>
      <c r="M37" s="427" t="s">
        <v>267</v>
      </c>
      <c r="N37" s="409" t="s">
        <v>174</v>
      </c>
      <c r="O37" s="554"/>
      <c r="P37" s="566">
        <v>0.1</v>
      </c>
      <c r="Q37" s="300">
        <f t="shared" si="3"/>
        <v>12584.226000000001</v>
      </c>
      <c r="R37" s="592"/>
      <c r="S37" s="629" t="s">
        <v>278</v>
      </c>
      <c r="T37" s="653">
        <v>45869</v>
      </c>
      <c r="U37" s="667">
        <v>14113.166803677059</v>
      </c>
      <c r="V37" s="733"/>
      <c r="W37" s="539">
        <f t="shared" si="4"/>
        <v>45925</v>
      </c>
      <c r="X37" s="749"/>
      <c r="Y37" s="614" t="s">
        <v>262</v>
      </c>
      <c r="Z37" s="615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39">
        <f t="shared" si="2"/>
        <v>45925</v>
      </c>
      <c r="I38" s="746"/>
      <c r="J38" s="746"/>
      <c r="K38" s="301"/>
      <c r="L38" s="298">
        <v>4</v>
      </c>
      <c r="M38" s="427" t="s">
        <v>267</v>
      </c>
      <c r="N38" s="409" t="s">
        <v>280</v>
      </c>
      <c r="O38" s="554"/>
      <c r="P38" s="566">
        <v>0.1</v>
      </c>
      <c r="Q38" s="300">
        <f t="shared" si="3"/>
        <v>12584.226000000001</v>
      </c>
      <c r="R38" s="592"/>
      <c r="S38" s="629" t="s">
        <v>278</v>
      </c>
      <c r="T38" s="653">
        <v>45869</v>
      </c>
      <c r="U38" s="667">
        <v>14113.166803677059</v>
      </c>
      <c r="V38" s="733"/>
      <c r="W38" s="539">
        <f t="shared" si="4"/>
        <v>45925</v>
      </c>
      <c r="X38" s="749"/>
      <c r="Y38" s="614" t="s">
        <v>262</v>
      </c>
      <c r="Z38" s="616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>
        <f t="shared" si="2"/>
        <v>45932</v>
      </c>
      <c r="I39" s="746"/>
      <c r="J39" s="746"/>
      <c r="K39" s="301"/>
      <c r="L39" s="298">
        <v>4</v>
      </c>
      <c r="M39" s="427" t="s">
        <v>267</v>
      </c>
      <c r="N39" s="409" t="s">
        <v>281</v>
      </c>
      <c r="O39" s="554"/>
      <c r="P39" s="566">
        <v>0.05</v>
      </c>
      <c r="Q39" s="300">
        <f t="shared" si="3"/>
        <v>6292.1130000000003</v>
      </c>
      <c r="R39" s="592"/>
      <c r="S39" s="629" t="s">
        <v>278</v>
      </c>
      <c r="T39" s="653">
        <v>45869</v>
      </c>
      <c r="U39" s="667">
        <v>7056.5834018385294</v>
      </c>
      <c r="V39" s="733"/>
      <c r="W39" s="687">
        <v>46037</v>
      </c>
      <c r="X39" s="749"/>
      <c r="Y39" s="614" t="s">
        <v>188</v>
      </c>
      <c r="Z39" s="615">
        <f>SUM(Z27:Z38)</f>
        <v>573654.82000000007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>
        <f t="shared" si="2"/>
        <v>45961</v>
      </c>
      <c r="I40" s="746"/>
      <c r="J40" s="746"/>
      <c r="K40" s="301"/>
      <c r="L40" s="298">
        <v>4</v>
      </c>
      <c r="M40" s="427" t="s">
        <v>267</v>
      </c>
      <c r="N40" s="409" t="s">
        <v>282</v>
      </c>
      <c r="O40" s="554"/>
      <c r="P40" s="566">
        <v>0.05</v>
      </c>
      <c r="Q40" s="300">
        <f t="shared" si="3"/>
        <v>6292.1130000000003</v>
      </c>
      <c r="R40" s="592"/>
      <c r="S40" s="629" t="s">
        <v>278</v>
      </c>
      <c r="T40" s="653">
        <v>45869</v>
      </c>
      <c r="U40" s="667">
        <v>7056.5834018385294</v>
      </c>
      <c r="V40" s="733"/>
      <c r="W40" s="687">
        <v>46037</v>
      </c>
      <c r="X40" s="749"/>
      <c r="Y40" s="617" t="s">
        <v>264</v>
      </c>
      <c r="Z40" s="616">
        <f>Z39/'Project Plan'!$E$3/1000</f>
        <v>2.2321199221789882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46"/>
      <c r="J41" s="746"/>
      <c r="K41" s="301"/>
      <c r="L41" s="298">
        <v>4</v>
      </c>
      <c r="M41" s="427" t="s">
        <v>267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33"/>
      <c r="W41" s="576"/>
      <c r="X41" s="749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6"/>
      <c r="I42" s="746"/>
      <c r="J42" s="746"/>
      <c r="K42" s="301"/>
      <c r="L42" s="298">
        <v>4</v>
      </c>
      <c r="M42" s="427" t="s">
        <v>267</v>
      </c>
      <c r="N42" s="409"/>
      <c r="O42" s="554"/>
      <c r="P42" s="454"/>
      <c r="Q42" s="300"/>
      <c r="R42" s="592"/>
      <c r="S42" s="629"/>
      <c r="T42" s="524" t="str">
        <f t="shared" si="0"/>
        <v/>
      </c>
      <c r="U42" s="508">
        <f>(Q42/$X$28*$J$28)</f>
        <v>0</v>
      </c>
      <c r="V42" s="733"/>
      <c r="W42" s="576"/>
      <c r="X42" s="749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77"/>
      <c r="I43" s="747"/>
      <c r="J43" s="747"/>
      <c r="K43" s="306"/>
      <c r="L43" s="302">
        <v>4</v>
      </c>
      <c r="M43" s="428" t="s">
        <v>267</v>
      </c>
      <c r="N43" s="325"/>
      <c r="O43" s="555"/>
      <c r="P43" s="456"/>
      <c r="Q43" s="305"/>
      <c r="R43" s="593"/>
      <c r="S43" s="630"/>
      <c r="T43" s="525" t="str">
        <f t="shared" si="0"/>
        <v/>
      </c>
      <c r="U43" s="509">
        <f>(Q43/$X$28*$J$28)</f>
        <v>0</v>
      </c>
      <c r="V43" s="734"/>
      <c r="W43" s="577"/>
      <c r="X43" s="750"/>
      <c r="Y43" s="483"/>
    </row>
    <row r="44" spans="1:26" ht="14.4" thickBot="1">
      <c r="A44" s="24"/>
      <c r="B44" s="276"/>
      <c r="C44" s="277"/>
      <c r="D44" s="308"/>
      <c r="E44" s="291"/>
      <c r="F44" s="457"/>
      <c r="G44" s="292"/>
      <c r="H44" s="574"/>
      <c r="I44" s="280"/>
      <c r="J44" s="280"/>
      <c r="K44" s="24"/>
      <c r="L44" s="276"/>
      <c r="M44" s="277"/>
      <c r="N44" s="308"/>
      <c r="O44" s="552"/>
      <c r="P44" s="457"/>
      <c r="Q44" s="292"/>
      <c r="R44" s="595"/>
      <c r="S44" s="632"/>
      <c r="T44" s="522" t="str">
        <f t="shared" si="0"/>
        <v/>
      </c>
      <c r="U44" s="512"/>
      <c r="V44" s="496"/>
      <c r="W44" s="574"/>
      <c r="X44" s="350"/>
      <c r="Y44" s="483"/>
    </row>
    <row r="45" spans="1:26" ht="14.25" customHeight="1">
      <c r="B45" s="281">
        <v>5</v>
      </c>
      <c r="C45" s="309" t="s">
        <v>283</v>
      </c>
      <c r="D45" s="327" t="s">
        <v>284</v>
      </c>
      <c r="E45" s="283"/>
      <c r="F45" s="438"/>
      <c r="G45" s="284">
        <f>D183-G48</f>
        <v>34000</v>
      </c>
      <c r="H45" s="540">
        <v>45855</v>
      </c>
      <c r="I45" s="739">
        <f>SUM(G45:G57)</f>
        <v>49000</v>
      </c>
      <c r="J45" s="739">
        <f>F183</f>
        <v>55681.818181818184</v>
      </c>
      <c r="K45" s="285"/>
      <c r="L45" s="683">
        <v>5</v>
      </c>
      <c r="M45" s="682" t="s">
        <v>285</v>
      </c>
      <c r="N45" s="327" t="s">
        <v>286</v>
      </c>
      <c r="O45" s="548"/>
      <c r="P45" s="438"/>
      <c r="Q45" s="681">
        <v>8598.35</v>
      </c>
      <c r="R45" s="594" t="s">
        <v>238</v>
      </c>
      <c r="S45" s="631" t="s">
        <v>287</v>
      </c>
      <c r="T45" s="647">
        <v>45808</v>
      </c>
      <c r="U45" s="650">
        <v>9244.4168858984049</v>
      </c>
      <c r="V45" s="729">
        <f>J45-SUM(U45:U57)</f>
        <v>1.3886615051887929E-3</v>
      </c>
      <c r="W45" s="540">
        <v>45855</v>
      </c>
      <c r="X45" s="726">
        <f>SUM(Q45:Q57)</f>
        <v>101514.84</v>
      </c>
      <c r="Y45" s="483"/>
    </row>
    <row r="46" spans="1:26" ht="14.25" customHeight="1">
      <c r="B46" s="286"/>
      <c r="C46" s="310"/>
      <c r="D46" s="676"/>
      <c r="E46" s="452"/>
      <c r="F46" s="453"/>
      <c r="G46" s="677"/>
      <c r="H46" s="578">
        <v>45969</v>
      </c>
      <c r="I46" s="740"/>
      <c r="J46" s="740"/>
      <c r="K46" s="288"/>
      <c r="L46" s="286">
        <v>5</v>
      </c>
      <c r="M46" s="429" t="s">
        <v>285</v>
      </c>
      <c r="N46" s="676"/>
      <c r="O46" s="556"/>
      <c r="P46" s="453"/>
      <c r="Q46" s="677">
        <v>8598.34</v>
      </c>
      <c r="R46" s="594"/>
      <c r="S46" s="631" t="s">
        <v>288</v>
      </c>
      <c r="T46" s="647">
        <v>45930</v>
      </c>
      <c r="U46" s="650">
        <v>0</v>
      </c>
      <c r="V46" s="730"/>
      <c r="W46" s="540">
        <v>45967</v>
      </c>
      <c r="X46" s="727"/>
      <c r="Y46" s="483"/>
    </row>
    <row r="47" spans="1:26" ht="14.25" customHeight="1">
      <c r="B47" s="286"/>
      <c r="C47" s="310"/>
      <c r="D47" s="676"/>
      <c r="E47" s="452"/>
      <c r="F47" s="453"/>
      <c r="G47" s="677"/>
      <c r="H47" s="578"/>
      <c r="I47" s="740"/>
      <c r="J47" s="740"/>
      <c r="K47" s="288"/>
      <c r="L47" s="286">
        <v>5</v>
      </c>
      <c r="M47" s="429" t="s">
        <v>285</v>
      </c>
      <c r="N47" s="676" t="s">
        <v>289</v>
      </c>
      <c r="O47" s="556"/>
      <c r="P47" s="453"/>
      <c r="Q47" s="677">
        <v>-8598.35</v>
      </c>
      <c r="R47" s="594"/>
      <c r="S47" s="631"/>
      <c r="T47" s="526"/>
      <c r="U47" s="650">
        <v>0</v>
      </c>
      <c r="V47" s="730"/>
      <c r="W47" s="578"/>
      <c r="X47" s="727"/>
      <c r="Y47" s="483"/>
    </row>
    <row r="48" spans="1:26" ht="14.25" customHeight="1">
      <c r="B48" s="286">
        <v>5</v>
      </c>
      <c r="C48" s="310"/>
      <c r="D48" s="313" t="s">
        <v>290</v>
      </c>
      <c r="E48" s="452"/>
      <c r="F48" s="453"/>
      <c r="G48" s="315">
        <v>15000</v>
      </c>
      <c r="H48" s="536">
        <v>45808</v>
      </c>
      <c r="I48" s="740"/>
      <c r="J48" s="740"/>
      <c r="K48" s="288"/>
      <c r="L48" s="286">
        <v>5</v>
      </c>
      <c r="M48" s="429" t="s">
        <v>285</v>
      </c>
      <c r="N48" s="287" t="s">
        <v>291</v>
      </c>
      <c r="O48" s="556"/>
      <c r="P48" s="453"/>
      <c r="Q48" s="315">
        <v>27555</v>
      </c>
      <c r="R48" s="587" t="s">
        <v>292</v>
      </c>
      <c r="S48" s="624" t="s">
        <v>293</v>
      </c>
      <c r="T48" s="641">
        <v>45777</v>
      </c>
      <c r="U48" s="645">
        <v>10673.10702236444</v>
      </c>
      <c r="V48" s="730"/>
      <c r="W48" s="536">
        <v>45808</v>
      </c>
      <c r="X48" s="727"/>
      <c r="Y48" s="483"/>
    </row>
    <row r="49" spans="1:25" ht="14.25" customHeight="1">
      <c r="B49" s="286"/>
      <c r="C49" s="310"/>
      <c r="D49" s="313"/>
      <c r="E49" s="452"/>
      <c r="F49" s="453"/>
      <c r="G49" s="315"/>
      <c r="H49" s="669">
        <v>45867</v>
      </c>
      <c r="I49" s="740"/>
      <c r="J49" s="740"/>
      <c r="K49" s="288"/>
      <c r="L49" s="286">
        <v>5</v>
      </c>
      <c r="M49" s="429" t="s">
        <v>285</v>
      </c>
      <c r="N49" s="287"/>
      <c r="O49" s="556"/>
      <c r="P49" s="453"/>
      <c r="Q49" s="315">
        <v>214.29</v>
      </c>
      <c r="R49" s="587"/>
      <c r="S49" s="624" t="s">
        <v>294</v>
      </c>
      <c r="T49" s="641">
        <v>45838</v>
      </c>
      <c r="U49" s="651">
        <v>117.96083365230804</v>
      </c>
      <c r="V49" s="730"/>
      <c r="W49" s="669">
        <v>45867</v>
      </c>
      <c r="X49" s="727"/>
      <c r="Y49" s="483"/>
    </row>
    <row r="50" spans="1:25" ht="14.25" customHeight="1">
      <c r="B50" s="286">
        <v>5</v>
      </c>
      <c r="C50" s="310"/>
      <c r="D50" s="313"/>
      <c r="E50" s="314"/>
      <c r="F50" s="460"/>
      <c r="G50" s="315"/>
      <c r="H50" s="571">
        <f>E50+30</f>
        <v>30</v>
      </c>
      <c r="I50" s="740"/>
      <c r="J50" s="740"/>
      <c r="K50" s="288"/>
      <c r="L50" s="286">
        <v>5</v>
      </c>
      <c r="M50" s="429" t="s">
        <v>285</v>
      </c>
      <c r="N50" s="313" t="s">
        <v>295</v>
      </c>
      <c r="O50" s="549"/>
      <c r="P50" s="460"/>
      <c r="Q50" s="315">
        <v>11169</v>
      </c>
      <c r="R50" s="587"/>
      <c r="S50" s="624" t="s">
        <v>296</v>
      </c>
      <c r="T50" s="641">
        <v>45900</v>
      </c>
      <c r="U50" s="651">
        <v>7650.3580467658412</v>
      </c>
      <c r="V50" s="730"/>
      <c r="W50" s="536">
        <f>T50+30</f>
        <v>45930</v>
      </c>
      <c r="X50" s="727"/>
      <c r="Y50" s="483"/>
    </row>
    <row r="51" spans="1:25" ht="14.25" customHeight="1">
      <c r="B51" s="311">
        <v>5</v>
      </c>
      <c r="C51" s="312"/>
      <c r="D51" s="313"/>
      <c r="E51" s="314"/>
      <c r="F51" s="460"/>
      <c r="G51" s="315"/>
      <c r="H51" s="536">
        <v>45799</v>
      </c>
      <c r="I51" s="740"/>
      <c r="J51" s="740"/>
      <c r="K51" s="288"/>
      <c r="L51" s="311">
        <v>5</v>
      </c>
      <c r="M51" s="429" t="s">
        <v>285</v>
      </c>
      <c r="N51" s="313" t="s">
        <v>297</v>
      </c>
      <c r="O51" s="549"/>
      <c r="P51" s="460"/>
      <c r="Q51" s="315">
        <v>2250.5</v>
      </c>
      <c r="R51" s="587"/>
      <c r="S51" s="624" t="s">
        <v>298</v>
      </c>
      <c r="T51" s="641">
        <v>45808</v>
      </c>
      <c r="U51" s="651">
        <v>1267.6392466245686</v>
      </c>
      <c r="V51" s="730"/>
      <c r="W51" s="536">
        <v>45799</v>
      </c>
      <c r="X51" s="727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37">
        <v>45900</v>
      </c>
      <c r="I52" s="740"/>
      <c r="J52" s="740"/>
      <c r="K52" s="288"/>
      <c r="L52" s="311">
        <v>5</v>
      </c>
      <c r="M52" s="429" t="s">
        <v>285</v>
      </c>
      <c r="N52" s="388" t="s">
        <v>299</v>
      </c>
      <c r="O52" s="550"/>
      <c r="P52" s="445"/>
      <c r="Q52" s="387">
        <v>44000</v>
      </c>
      <c r="R52" s="588" t="s">
        <v>300</v>
      </c>
      <c r="S52" s="625" t="s">
        <v>301</v>
      </c>
      <c r="T52" s="660">
        <v>45869</v>
      </c>
      <c r="U52" s="664">
        <f>23299.4492770989-824.63</f>
        <v>22474.819277098901</v>
      </c>
      <c r="V52" s="730"/>
      <c r="W52" s="537">
        <v>45900</v>
      </c>
      <c r="X52" s="727"/>
      <c r="Y52" s="483"/>
    </row>
    <row r="53" spans="1:25" ht="14.25" customHeight="1">
      <c r="B53" s="384"/>
      <c r="C53" s="385"/>
      <c r="D53" s="388"/>
      <c r="E53" s="407"/>
      <c r="F53" s="445"/>
      <c r="G53" s="387"/>
      <c r="H53" s="537"/>
      <c r="I53" s="740"/>
      <c r="J53" s="740"/>
      <c r="K53" s="288"/>
      <c r="L53" s="311">
        <v>5</v>
      </c>
      <c r="M53" s="429" t="s">
        <v>285</v>
      </c>
      <c r="N53" s="388" t="s">
        <v>299</v>
      </c>
      <c r="O53" s="550"/>
      <c r="P53" s="445"/>
      <c r="Q53" s="387">
        <f>-1*Q52</f>
        <v>-44000</v>
      </c>
      <c r="R53" s="588"/>
      <c r="S53" s="625" t="s">
        <v>302</v>
      </c>
      <c r="T53" s="690">
        <v>45961</v>
      </c>
      <c r="U53" s="664"/>
      <c r="V53" s="730"/>
      <c r="W53" s="691">
        <f>T53</f>
        <v>45961</v>
      </c>
      <c r="X53" s="727"/>
      <c r="Y53" s="483"/>
    </row>
    <row r="54" spans="1:25" ht="14.25" customHeight="1">
      <c r="B54" s="384"/>
      <c r="C54" s="385"/>
      <c r="D54" s="388"/>
      <c r="E54" s="407"/>
      <c r="F54" s="445"/>
      <c r="G54" s="387"/>
      <c r="H54" s="537"/>
      <c r="I54" s="740"/>
      <c r="J54" s="740"/>
      <c r="K54" s="288"/>
      <c r="L54" s="311">
        <v>5</v>
      </c>
      <c r="M54" s="429" t="s">
        <v>285</v>
      </c>
      <c r="N54" s="388" t="s">
        <v>303</v>
      </c>
      <c r="O54" s="550"/>
      <c r="P54" s="445"/>
      <c r="Q54" s="387">
        <v>44000</v>
      </c>
      <c r="R54" s="588" t="s">
        <v>304</v>
      </c>
      <c r="S54" s="625" t="s">
        <v>305</v>
      </c>
      <c r="T54" s="690">
        <v>45961</v>
      </c>
      <c r="U54" s="664"/>
      <c r="V54" s="730"/>
      <c r="W54" s="691">
        <f>T54</f>
        <v>45961</v>
      </c>
      <c r="X54" s="727"/>
      <c r="Y54" s="483"/>
    </row>
    <row r="55" spans="1:25" ht="14.25" customHeight="1">
      <c r="B55" s="384"/>
      <c r="C55" s="385"/>
      <c r="D55" s="388"/>
      <c r="E55" s="407"/>
      <c r="F55" s="445"/>
      <c r="G55" s="387"/>
      <c r="H55" s="572">
        <v>45930</v>
      </c>
      <c r="I55" s="740"/>
      <c r="J55" s="740"/>
      <c r="K55" s="288"/>
      <c r="L55" s="311">
        <v>5</v>
      </c>
      <c r="M55" s="429" t="s">
        <v>285</v>
      </c>
      <c r="N55" s="388" t="s">
        <v>306</v>
      </c>
      <c r="O55" s="550"/>
      <c r="P55" s="445"/>
      <c r="Q55" s="387">
        <v>193.15</v>
      </c>
      <c r="R55" s="588"/>
      <c r="S55" s="625" t="s">
        <v>307</v>
      </c>
      <c r="T55" s="660">
        <v>45900</v>
      </c>
      <c r="U55" s="664">
        <v>105.94453108898041</v>
      </c>
      <c r="V55" s="730"/>
      <c r="W55" s="537">
        <v>45930</v>
      </c>
      <c r="X55" s="727"/>
      <c r="Y55" s="483"/>
    </row>
    <row r="56" spans="1:25" ht="14.25" customHeight="1">
      <c r="B56" s="384">
        <v>5</v>
      </c>
      <c r="C56" s="385"/>
      <c r="D56" s="388"/>
      <c r="E56" s="407"/>
      <c r="F56" s="445"/>
      <c r="G56" s="387"/>
      <c r="H56" s="537">
        <v>45813</v>
      </c>
      <c r="I56" s="740"/>
      <c r="J56" s="740"/>
      <c r="K56" s="288"/>
      <c r="L56" s="311">
        <v>5</v>
      </c>
      <c r="M56" s="429" t="s">
        <v>285</v>
      </c>
      <c r="N56" s="388" t="s">
        <v>308</v>
      </c>
      <c r="O56" s="550"/>
      <c r="P56" s="445"/>
      <c r="Q56" s="387">
        <v>7534.56</v>
      </c>
      <c r="R56" s="588" t="s">
        <v>309</v>
      </c>
      <c r="S56" s="625" t="s">
        <v>310</v>
      </c>
      <c r="T56" s="648">
        <v>45838</v>
      </c>
      <c r="U56" s="664">
        <v>4147.5709496632326</v>
      </c>
      <c r="V56" s="730"/>
      <c r="W56" s="537">
        <v>45813</v>
      </c>
      <c r="X56" s="727"/>
      <c r="Y56" s="483"/>
    </row>
    <row r="57" spans="1:25" ht="15" customHeight="1" thickBot="1">
      <c r="B57" s="316">
        <v>5</v>
      </c>
      <c r="C57" s="337"/>
      <c r="D57" s="317"/>
      <c r="E57" s="318"/>
      <c r="F57" s="461"/>
      <c r="G57" s="330"/>
      <c r="H57" s="537">
        <v>45814</v>
      </c>
      <c r="I57" s="741"/>
      <c r="J57" s="741"/>
      <c r="K57" s="289"/>
      <c r="L57" s="316">
        <v>5</v>
      </c>
      <c r="M57" s="425" t="s">
        <v>285</v>
      </c>
      <c r="N57" s="317"/>
      <c r="O57" s="551"/>
      <c r="P57" s="461"/>
      <c r="Q57" s="330"/>
      <c r="R57" s="589"/>
      <c r="S57" s="626"/>
      <c r="T57" s="521"/>
      <c r="U57" s="505">
        <f>(Q57/$X$45*$J$45)</f>
        <v>0</v>
      </c>
      <c r="V57" s="731"/>
      <c r="W57" s="573"/>
      <c r="X57" s="728"/>
      <c r="Y57" s="483"/>
    </row>
    <row r="58" spans="1:25" ht="14.4" thickBot="1">
      <c r="A58" s="24"/>
      <c r="B58" s="290"/>
      <c r="C58" s="307"/>
      <c r="D58" s="278"/>
      <c r="E58" s="291"/>
      <c r="F58" s="457"/>
      <c r="G58" s="292"/>
      <c r="H58" s="537">
        <v>45815</v>
      </c>
      <c r="I58" s="326"/>
      <c r="J58" s="326"/>
      <c r="K58" s="24"/>
      <c r="L58" s="290"/>
      <c r="M58" s="307"/>
      <c r="N58" s="278"/>
      <c r="O58" s="552"/>
      <c r="P58" s="457"/>
      <c r="Q58" s="292"/>
      <c r="R58" s="590"/>
      <c r="S58" s="627"/>
      <c r="T58" s="522" t="str">
        <f t="shared" si="0"/>
        <v/>
      </c>
      <c r="U58" s="510"/>
      <c r="V58" s="493"/>
      <c r="W58" s="574"/>
      <c r="X58" s="484"/>
      <c r="Y58" s="483"/>
    </row>
    <row r="59" spans="1:25" ht="14.25" customHeight="1">
      <c r="B59" s="293">
        <v>6</v>
      </c>
      <c r="C59" s="294" t="s">
        <v>244</v>
      </c>
      <c r="D59" s="295" t="s">
        <v>311</v>
      </c>
      <c r="E59" s="476"/>
      <c r="F59" s="458"/>
      <c r="G59" s="296">
        <f>D182</f>
        <v>306751.81739130436</v>
      </c>
      <c r="H59" s="537">
        <v>45816</v>
      </c>
      <c r="I59" s="745">
        <f>SUM(G59:G76)</f>
        <v>306751.81739130436</v>
      </c>
      <c r="J59" s="745">
        <f>F182</f>
        <v>348581.61067193677</v>
      </c>
      <c r="K59" s="297"/>
      <c r="L59" s="293">
        <v>6</v>
      </c>
      <c r="M59" s="432" t="s">
        <v>312</v>
      </c>
      <c r="N59" s="295"/>
      <c r="O59" s="544"/>
      <c r="P59" s="458"/>
      <c r="Q59" s="296"/>
      <c r="R59" s="591"/>
      <c r="S59" s="628"/>
      <c r="T59" s="523" t="str">
        <f t="shared" si="0"/>
        <v/>
      </c>
      <c r="U59" s="507">
        <f>(Q59/$X$59*$J$59)</f>
        <v>0</v>
      </c>
      <c r="V59" s="732">
        <f>J59-SUM(U59:U76)</f>
        <v>2.8194371843710542E-3</v>
      </c>
      <c r="W59" s="575"/>
      <c r="X59" s="748">
        <f>SUM(Q59:Q76)</f>
        <v>208384.924</v>
      </c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6">
        <f>E60+30</f>
        <v>30</v>
      </c>
      <c r="I60" s="746"/>
      <c r="J60" s="746"/>
      <c r="K60" s="301"/>
      <c r="L60" s="298">
        <v>6</v>
      </c>
      <c r="M60" s="430" t="s">
        <v>312</v>
      </c>
      <c r="N60" s="444" t="s">
        <v>313</v>
      </c>
      <c r="O60" s="554"/>
      <c r="P60" s="454"/>
      <c r="Q60" s="321">
        <v>99474.36</v>
      </c>
      <c r="R60" s="592" t="s">
        <v>314</v>
      </c>
      <c r="S60" s="629" t="s">
        <v>315</v>
      </c>
      <c r="T60" s="653">
        <v>45900</v>
      </c>
      <c r="U60" s="667">
        <v>165848.36050240585</v>
      </c>
      <c r="V60" s="733"/>
      <c r="W60" s="687">
        <f>T60+30</f>
        <v>45930</v>
      </c>
      <c r="X60" s="749"/>
      <c r="Y60" s="483"/>
    </row>
    <row r="61" spans="1:25" ht="14.25" customHeight="1">
      <c r="B61" s="298">
        <v>6</v>
      </c>
      <c r="C61" s="409"/>
      <c r="D61" s="444"/>
      <c r="E61" s="395"/>
      <c r="F61" s="454"/>
      <c r="G61" s="321"/>
      <c r="H61" s="576"/>
      <c r="I61" s="746"/>
      <c r="J61" s="746"/>
      <c r="K61" s="301"/>
      <c r="L61" s="298">
        <v>6</v>
      </c>
      <c r="M61" s="430" t="s">
        <v>312</v>
      </c>
      <c r="N61" s="444"/>
      <c r="O61" s="554"/>
      <c r="P61" s="454"/>
      <c r="Q61" s="321"/>
      <c r="R61" s="592"/>
      <c r="S61" s="629"/>
      <c r="T61" s="524" t="str">
        <f t="shared" ref="T61:T64" si="5">IF(W61&gt;1,EOMONTH(W61,0),"")</f>
        <v/>
      </c>
      <c r="U61" s="508">
        <f>(Q61/$X$59*$J$59)</f>
        <v>0</v>
      </c>
      <c r="V61" s="733"/>
      <c r="W61" s="576"/>
      <c r="X61" s="749"/>
      <c r="Y61" s="483"/>
    </row>
    <row r="62" spans="1:25" ht="14.25" customHeight="1">
      <c r="B62" s="298">
        <v>6</v>
      </c>
      <c r="C62" s="409"/>
      <c r="D62" s="444"/>
      <c r="E62" s="395"/>
      <c r="F62" s="454"/>
      <c r="G62" s="321"/>
      <c r="H62" s="576"/>
      <c r="I62" s="746"/>
      <c r="J62" s="746"/>
      <c r="K62" s="301"/>
      <c r="L62" s="298">
        <v>6</v>
      </c>
      <c r="M62" s="430" t="s">
        <v>312</v>
      </c>
      <c r="N62" s="444"/>
      <c r="O62" s="554"/>
      <c r="P62" s="454"/>
      <c r="Q62" s="321"/>
      <c r="R62" s="592"/>
      <c r="S62" s="629"/>
      <c r="T62" s="524" t="str">
        <f t="shared" si="5"/>
        <v/>
      </c>
      <c r="U62" s="508">
        <f>(Q62/$X$59*$J$59)</f>
        <v>0</v>
      </c>
      <c r="V62" s="733"/>
      <c r="W62" s="576"/>
      <c r="X62" s="749"/>
      <c r="Y62" s="483"/>
    </row>
    <row r="63" spans="1:25" ht="14.25" customHeight="1">
      <c r="B63" s="298">
        <v>6</v>
      </c>
      <c r="C63" s="409"/>
      <c r="D63" s="444"/>
      <c r="E63" s="395"/>
      <c r="F63" s="454"/>
      <c r="G63" s="321"/>
      <c r="H63" s="576"/>
      <c r="I63" s="746"/>
      <c r="J63" s="746"/>
      <c r="K63" s="301"/>
      <c r="L63" s="298">
        <v>6</v>
      </c>
      <c r="M63" s="430" t="s">
        <v>312</v>
      </c>
      <c r="N63" s="444"/>
      <c r="O63" s="554"/>
      <c r="P63" s="454"/>
      <c r="Q63" s="321"/>
      <c r="R63" s="592"/>
      <c r="S63" s="629"/>
      <c r="T63" s="524" t="str">
        <f t="shared" si="5"/>
        <v/>
      </c>
      <c r="U63" s="508">
        <f>(Q63/$X$59*$J$59)</f>
        <v>0</v>
      </c>
      <c r="V63" s="733"/>
      <c r="W63" s="576"/>
      <c r="X63" s="749"/>
      <c r="Y63" s="483"/>
    </row>
    <row r="64" spans="1:25" ht="14.25" customHeight="1">
      <c r="B64" s="298">
        <v>6</v>
      </c>
      <c r="C64" s="409"/>
      <c r="D64" s="444"/>
      <c r="E64" s="395"/>
      <c r="F64" s="454"/>
      <c r="G64" s="321"/>
      <c r="H64" s="576"/>
      <c r="I64" s="746"/>
      <c r="J64" s="746"/>
      <c r="K64" s="301"/>
      <c r="L64" s="298">
        <v>6</v>
      </c>
      <c r="M64" s="430" t="s">
        <v>312</v>
      </c>
      <c r="N64" s="444"/>
      <c r="O64" s="554"/>
      <c r="P64" s="454"/>
      <c r="Q64" s="321"/>
      <c r="R64" s="592"/>
      <c r="S64" s="629"/>
      <c r="T64" s="524" t="str">
        <f t="shared" si="5"/>
        <v/>
      </c>
      <c r="U64" s="508">
        <f>(Q64/$X$59*$J$59)</f>
        <v>0</v>
      </c>
      <c r="V64" s="733"/>
      <c r="W64" s="576"/>
      <c r="X64" s="749"/>
      <c r="Y64" s="483"/>
    </row>
    <row r="65" spans="1:25" ht="14.25" customHeight="1">
      <c r="B65" s="298">
        <v>6</v>
      </c>
      <c r="C65" s="451"/>
      <c r="D65" s="299"/>
      <c r="E65" s="400"/>
      <c r="F65" s="455"/>
      <c r="G65" s="321"/>
      <c r="H65" s="539">
        <f>H98</f>
        <v>45827</v>
      </c>
      <c r="I65" s="746"/>
      <c r="J65" s="746"/>
      <c r="K65" s="301"/>
      <c r="L65" s="298">
        <v>6</v>
      </c>
      <c r="M65" s="430" t="s">
        <v>312</v>
      </c>
      <c r="N65" s="409" t="s">
        <v>271</v>
      </c>
      <c r="O65" s="565">
        <v>108910.56</v>
      </c>
      <c r="P65" s="566">
        <v>0.1</v>
      </c>
      <c r="Q65" s="300">
        <v>9472.6299999999992</v>
      </c>
      <c r="R65" s="592"/>
      <c r="S65" s="629" t="s">
        <v>272</v>
      </c>
      <c r="T65" s="653">
        <v>45838</v>
      </c>
      <c r="U65" s="667">
        <v>16036.987228298114</v>
      </c>
      <c r="V65" s="733"/>
      <c r="W65" s="539">
        <f>W98</f>
        <v>45827</v>
      </c>
      <c r="X65" s="749"/>
      <c r="Y65" s="483"/>
    </row>
    <row r="66" spans="1:25" ht="14.25" customHeight="1">
      <c r="B66" s="298"/>
      <c r="C66" s="451"/>
      <c r="D66" s="299"/>
      <c r="E66" s="400"/>
      <c r="F66" s="455"/>
      <c r="G66" s="321"/>
      <c r="H66" s="539">
        <v>45834</v>
      </c>
      <c r="I66" s="746"/>
      <c r="J66" s="746"/>
      <c r="K66" s="301"/>
      <c r="L66" s="298"/>
      <c r="M66" s="430" t="s">
        <v>312</v>
      </c>
      <c r="N66" s="409" t="s">
        <v>274</v>
      </c>
      <c r="O66" s="565"/>
      <c r="P66" s="566"/>
      <c r="Q66" s="300">
        <v>1418.43</v>
      </c>
      <c r="R66" s="654"/>
      <c r="S66" s="629" t="s">
        <v>275</v>
      </c>
      <c r="T66" s="653">
        <v>45838</v>
      </c>
      <c r="U66" s="667">
        <v>2401.3757313686801</v>
      </c>
      <c r="V66" s="733"/>
      <c r="W66" s="539">
        <v>45834</v>
      </c>
      <c r="X66" s="749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39">
        <f t="shared" ref="H67:H73" si="6">H100</f>
        <v>45834</v>
      </c>
      <c r="I67" s="746"/>
      <c r="J67" s="746"/>
      <c r="K67" s="301"/>
      <c r="L67" s="298">
        <v>6</v>
      </c>
      <c r="M67" s="431" t="s">
        <v>312</v>
      </c>
      <c r="N67" s="409" t="s">
        <v>99</v>
      </c>
      <c r="O67" s="554"/>
      <c r="P67" s="566">
        <v>0.15</v>
      </c>
      <c r="Q67" s="300">
        <f t="shared" ref="Q67:Q73" si="7">$O$65*P67</f>
        <v>16336.583999999999</v>
      </c>
      <c r="R67" s="592"/>
      <c r="S67" s="629" t="s">
        <v>276</v>
      </c>
      <c r="T67" s="653">
        <v>45838</v>
      </c>
      <c r="U67" s="667">
        <v>27657.534281611268</v>
      </c>
      <c r="V67" s="733"/>
      <c r="W67" s="539">
        <f t="shared" ref="W67:W71" si="8">W100</f>
        <v>45834</v>
      </c>
      <c r="X67" s="749"/>
      <c r="Y67" s="483"/>
    </row>
    <row r="68" spans="1:25" ht="14.25" customHeight="1">
      <c r="B68" s="298">
        <v>6</v>
      </c>
      <c r="C68" s="401"/>
      <c r="D68" s="299"/>
      <c r="E68" s="400"/>
      <c r="F68" s="455"/>
      <c r="G68" s="321"/>
      <c r="H68" s="539">
        <f t="shared" si="6"/>
        <v>45925</v>
      </c>
      <c r="I68" s="746"/>
      <c r="J68" s="746"/>
      <c r="K68" s="301"/>
      <c r="L68" s="298">
        <v>6</v>
      </c>
      <c r="M68" s="431" t="s">
        <v>312</v>
      </c>
      <c r="N68" s="409" t="s">
        <v>277</v>
      </c>
      <c r="O68" s="554"/>
      <c r="P68" s="566">
        <v>0.2</v>
      </c>
      <c r="Q68" s="300">
        <f t="shared" si="7"/>
        <v>21782.112000000001</v>
      </c>
      <c r="R68" s="592"/>
      <c r="S68" s="629" t="s">
        <v>278</v>
      </c>
      <c r="T68" s="653">
        <v>45869</v>
      </c>
      <c r="U68" s="667">
        <v>36436.626695684194</v>
      </c>
      <c r="V68" s="733"/>
      <c r="W68" s="539">
        <f t="shared" si="8"/>
        <v>45925</v>
      </c>
      <c r="X68" s="749"/>
      <c r="Y68" s="483"/>
    </row>
    <row r="69" spans="1:25" ht="14.25" customHeight="1">
      <c r="B69" s="298">
        <v>6</v>
      </c>
      <c r="C69" s="401"/>
      <c r="D69" s="299"/>
      <c r="E69" s="400"/>
      <c r="F69" s="455"/>
      <c r="G69" s="321"/>
      <c r="H69" s="539">
        <f t="shared" si="6"/>
        <v>45925</v>
      </c>
      <c r="I69" s="746"/>
      <c r="J69" s="746"/>
      <c r="K69" s="301"/>
      <c r="L69" s="298">
        <v>6</v>
      </c>
      <c r="M69" s="431" t="s">
        <v>312</v>
      </c>
      <c r="N69" s="409" t="s">
        <v>279</v>
      </c>
      <c r="O69" s="554"/>
      <c r="P69" s="566">
        <v>0.25</v>
      </c>
      <c r="Q69" s="300">
        <f t="shared" si="7"/>
        <v>27227.64</v>
      </c>
      <c r="R69" s="592"/>
      <c r="S69" s="629" t="s">
        <v>278</v>
      </c>
      <c r="T69" s="653">
        <v>45869</v>
      </c>
      <c r="U69" s="667">
        <v>45545.783369605248</v>
      </c>
      <c r="V69" s="733"/>
      <c r="W69" s="539">
        <f t="shared" si="8"/>
        <v>45925</v>
      </c>
      <c r="X69" s="749"/>
      <c r="Y69" s="483"/>
    </row>
    <row r="70" spans="1:25" ht="14.25" customHeight="1">
      <c r="B70" s="298">
        <v>6</v>
      </c>
      <c r="C70" s="401"/>
      <c r="D70" s="299"/>
      <c r="E70" s="400"/>
      <c r="F70" s="455"/>
      <c r="G70" s="321"/>
      <c r="H70" s="539">
        <f t="shared" si="6"/>
        <v>45925</v>
      </c>
      <c r="I70" s="746"/>
      <c r="J70" s="746"/>
      <c r="K70" s="301"/>
      <c r="L70" s="298">
        <v>6</v>
      </c>
      <c r="M70" s="431" t="s">
        <v>312</v>
      </c>
      <c r="N70" s="409" t="s">
        <v>174</v>
      </c>
      <c r="O70" s="554"/>
      <c r="P70" s="566">
        <v>0.1</v>
      </c>
      <c r="Q70" s="300">
        <f t="shared" si="7"/>
        <v>10891.056</v>
      </c>
      <c r="R70" s="592"/>
      <c r="S70" s="629" t="s">
        <v>278</v>
      </c>
      <c r="T70" s="653">
        <v>45869</v>
      </c>
      <c r="U70" s="667">
        <v>18218.313347842097</v>
      </c>
      <c r="V70" s="733"/>
      <c r="W70" s="539">
        <f t="shared" si="8"/>
        <v>45925</v>
      </c>
      <c r="X70" s="749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39">
        <f t="shared" si="6"/>
        <v>45925</v>
      </c>
      <c r="I71" s="746"/>
      <c r="J71" s="746"/>
      <c r="K71" s="301"/>
      <c r="L71" s="298">
        <v>6</v>
      </c>
      <c r="M71" s="431" t="s">
        <v>312</v>
      </c>
      <c r="N71" s="409" t="s">
        <v>280</v>
      </c>
      <c r="O71" s="554"/>
      <c r="P71" s="566">
        <v>0.1</v>
      </c>
      <c r="Q71" s="300">
        <f t="shared" si="7"/>
        <v>10891.056</v>
      </c>
      <c r="R71" s="596"/>
      <c r="S71" s="633" t="s">
        <v>278</v>
      </c>
      <c r="T71" s="671">
        <v>45869</v>
      </c>
      <c r="U71" s="672">
        <v>18218.313347842097</v>
      </c>
      <c r="V71" s="733"/>
      <c r="W71" s="539">
        <f t="shared" si="8"/>
        <v>45925</v>
      </c>
      <c r="X71" s="749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76">
        <f t="shared" si="6"/>
        <v>45932</v>
      </c>
      <c r="I72" s="746"/>
      <c r="J72" s="746"/>
      <c r="K72" s="301"/>
      <c r="L72" s="298">
        <v>6</v>
      </c>
      <c r="M72" s="431" t="s">
        <v>312</v>
      </c>
      <c r="N72" s="409" t="s">
        <v>281</v>
      </c>
      <c r="O72" s="554"/>
      <c r="P72" s="566">
        <v>0.05</v>
      </c>
      <c r="Q72" s="300">
        <f t="shared" si="7"/>
        <v>5445.5280000000002</v>
      </c>
      <c r="R72" s="596"/>
      <c r="S72" s="633" t="s">
        <v>278</v>
      </c>
      <c r="T72" s="671">
        <v>45869</v>
      </c>
      <c r="U72" s="672">
        <v>9109.1566739210484</v>
      </c>
      <c r="V72" s="733"/>
      <c r="W72" s="687">
        <v>46009</v>
      </c>
      <c r="X72" s="749"/>
      <c r="Y72" s="483"/>
    </row>
    <row r="73" spans="1:25" ht="14.25" customHeight="1">
      <c r="B73" s="298">
        <v>6</v>
      </c>
      <c r="C73" s="500"/>
      <c r="D73" s="335"/>
      <c r="E73" s="416"/>
      <c r="F73" s="462"/>
      <c r="G73" s="321"/>
      <c r="H73" s="576">
        <f t="shared" si="6"/>
        <v>45961</v>
      </c>
      <c r="I73" s="746"/>
      <c r="J73" s="746"/>
      <c r="K73" s="301"/>
      <c r="L73" s="298">
        <v>6</v>
      </c>
      <c r="M73" s="431" t="s">
        <v>312</v>
      </c>
      <c r="N73" s="409" t="s">
        <v>282</v>
      </c>
      <c r="O73" s="554"/>
      <c r="P73" s="566">
        <v>0.05</v>
      </c>
      <c r="Q73" s="300">
        <f t="shared" si="7"/>
        <v>5445.5280000000002</v>
      </c>
      <c r="R73" s="596"/>
      <c r="S73" s="633" t="s">
        <v>278</v>
      </c>
      <c r="T73" s="671">
        <v>45869</v>
      </c>
      <c r="U73" s="672">
        <v>9109.1566739210484</v>
      </c>
      <c r="V73" s="733"/>
      <c r="W73" s="687">
        <v>46037</v>
      </c>
      <c r="X73" s="749"/>
      <c r="Y73" s="483"/>
    </row>
    <row r="74" spans="1:25" ht="14.25" customHeight="1">
      <c r="B74" s="298">
        <v>6</v>
      </c>
      <c r="C74" s="500"/>
      <c r="D74" s="335"/>
      <c r="E74" s="416"/>
      <c r="F74" s="462"/>
      <c r="G74" s="321"/>
      <c r="H74" s="579"/>
      <c r="I74" s="746"/>
      <c r="J74" s="746"/>
      <c r="K74" s="301"/>
      <c r="L74" s="298">
        <v>6</v>
      </c>
      <c r="M74" s="431" t="s">
        <v>312</v>
      </c>
      <c r="N74" s="409"/>
      <c r="O74" s="554"/>
      <c r="P74" s="566"/>
      <c r="Q74" s="300"/>
      <c r="R74" s="596"/>
      <c r="S74" s="633"/>
      <c r="T74" s="671" t="str">
        <f t="shared" si="0"/>
        <v/>
      </c>
      <c r="U74" s="513">
        <f>(Q74/$X$59*$J$59)</f>
        <v>0</v>
      </c>
      <c r="V74" s="733"/>
      <c r="W74" s="579"/>
      <c r="X74" s="749"/>
      <c r="Y74" s="483"/>
    </row>
    <row r="75" spans="1:25" ht="14.25" customHeight="1">
      <c r="B75" s="298">
        <v>6</v>
      </c>
      <c r="C75" s="500"/>
      <c r="D75" s="335"/>
      <c r="E75" s="416"/>
      <c r="F75" s="462"/>
      <c r="G75" s="321"/>
      <c r="H75" s="579"/>
      <c r="I75" s="746"/>
      <c r="J75" s="746"/>
      <c r="K75" s="301"/>
      <c r="L75" s="298">
        <v>6</v>
      </c>
      <c r="M75" s="431" t="s">
        <v>312</v>
      </c>
      <c r="N75" s="409"/>
      <c r="O75" s="554"/>
      <c r="P75" s="566"/>
      <c r="Q75" s="300"/>
      <c r="R75" s="596"/>
      <c r="S75" s="633"/>
      <c r="T75" s="527" t="str">
        <f t="shared" si="0"/>
        <v/>
      </c>
      <c r="U75" s="513">
        <f>(Q75/$X$59*$J$59)</f>
        <v>0</v>
      </c>
      <c r="V75" s="733"/>
      <c r="W75" s="579"/>
      <c r="X75" s="749"/>
      <c r="Y75" s="483"/>
    </row>
    <row r="76" spans="1:25" ht="15" customHeight="1" thickBot="1">
      <c r="B76" s="302">
        <v>6</v>
      </c>
      <c r="C76" s="402"/>
      <c r="D76" s="304"/>
      <c r="E76" s="459"/>
      <c r="F76" s="456"/>
      <c r="G76" s="305"/>
      <c r="H76" s="577"/>
      <c r="I76" s="747"/>
      <c r="J76" s="747"/>
      <c r="K76" s="306"/>
      <c r="L76" s="302">
        <v>6</v>
      </c>
      <c r="M76" s="433" t="s">
        <v>312</v>
      </c>
      <c r="N76" s="304"/>
      <c r="O76" s="558"/>
      <c r="P76" s="456"/>
      <c r="Q76" s="305"/>
      <c r="R76" s="593"/>
      <c r="S76" s="630"/>
      <c r="T76" s="525" t="str">
        <f t="shared" si="0"/>
        <v/>
      </c>
      <c r="U76" s="509">
        <f>(Q76/$X$59*$J$59)</f>
        <v>0</v>
      </c>
      <c r="V76" s="734"/>
      <c r="W76" s="577"/>
      <c r="X76" s="750"/>
      <c r="Y76" s="483"/>
    </row>
    <row r="77" spans="1:25" ht="14.4" thickBot="1">
      <c r="A77" s="24"/>
      <c r="B77" s="290"/>
      <c r="C77" s="331"/>
      <c r="D77" s="308"/>
      <c r="E77" s="291"/>
      <c r="F77" s="457"/>
      <c r="G77" s="292"/>
      <c r="H77" s="580"/>
      <c r="I77" s="280"/>
      <c r="J77" s="280"/>
      <c r="K77" s="24"/>
      <c r="L77" s="290"/>
      <c r="M77" s="331"/>
      <c r="N77" s="308"/>
      <c r="O77" s="552"/>
      <c r="P77" s="457"/>
      <c r="Q77" s="292"/>
      <c r="R77" s="597"/>
      <c r="S77" s="634"/>
      <c r="T77" s="528" t="str">
        <f t="shared" si="0"/>
        <v/>
      </c>
      <c r="U77" s="514"/>
      <c r="V77" s="489"/>
      <c r="W77" s="580"/>
      <c r="X77" s="350"/>
      <c r="Y77" s="483"/>
    </row>
    <row r="78" spans="1:25" ht="14.25" customHeight="1">
      <c r="B78" s="381">
        <v>7</v>
      </c>
      <c r="C78" s="309" t="s">
        <v>316</v>
      </c>
      <c r="D78" s="382"/>
      <c r="E78" s="463"/>
      <c r="F78" s="469"/>
      <c r="G78" s="383"/>
      <c r="H78" s="581"/>
      <c r="I78" s="739">
        <f>SUM(G78:G85)</f>
        <v>0</v>
      </c>
      <c r="J78" s="739">
        <v>0</v>
      </c>
      <c r="K78" s="285"/>
      <c r="L78" s="381">
        <v>7</v>
      </c>
      <c r="M78" s="309" t="s">
        <v>317</v>
      </c>
      <c r="N78" s="382"/>
      <c r="O78" s="559"/>
      <c r="P78" s="469"/>
      <c r="Q78" s="383"/>
      <c r="R78" s="598"/>
      <c r="S78" s="635"/>
      <c r="T78" s="529" t="str">
        <f t="shared" si="0"/>
        <v/>
      </c>
      <c r="U78" s="543"/>
      <c r="V78" s="751">
        <f>J78-SUM(U78:U85)</f>
        <v>0</v>
      </c>
      <c r="W78" s="581"/>
      <c r="X78" s="726">
        <f>SUM(Q78:Q85)</f>
        <v>0</v>
      </c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2"/>
      <c r="I79" s="740"/>
      <c r="J79" s="740"/>
      <c r="K79" s="288"/>
      <c r="L79" s="384">
        <v>7</v>
      </c>
      <c r="M79" s="385" t="s">
        <v>317</v>
      </c>
      <c r="N79" s="386"/>
      <c r="O79" s="550"/>
      <c r="P79" s="445"/>
      <c r="Q79" s="387"/>
      <c r="R79" s="588"/>
      <c r="S79" s="625"/>
      <c r="T79" s="520" t="str">
        <f t="shared" si="0"/>
        <v/>
      </c>
      <c r="U79" s="504"/>
      <c r="V79" s="752"/>
      <c r="W79" s="572"/>
      <c r="X79" s="727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2"/>
      <c r="I80" s="740"/>
      <c r="J80" s="740"/>
      <c r="K80" s="288"/>
      <c r="L80" s="384">
        <v>7</v>
      </c>
      <c r="M80" s="385" t="s">
        <v>317</v>
      </c>
      <c r="N80" s="386"/>
      <c r="O80" s="550"/>
      <c r="P80" s="445"/>
      <c r="Q80" s="387"/>
      <c r="R80" s="588"/>
      <c r="S80" s="625"/>
      <c r="T80" s="520" t="str">
        <f t="shared" si="0"/>
        <v/>
      </c>
      <c r="U80" s="504"/>
      <c r="V80" s="752"/>
      <c r="W80" s="572"/>
      <c r="X80" s="727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2"/>
      <c r="I81" s="740"/>
      <c r="J81" s="740"/>
      <c r="K81" s="288"/>
      <c r="L81" s="384">
        <v>7</v>
      </c>
      <c r="M81" s="385" t="s">
        <v>317</v>
      </c>
      <c r="N81" s="386"/>
      <c r="O81" s="550"/>
      <c r="P81" s="445"/>
      <c r="Q81" s="387"/>
      <c r="R81" s="588"/>
      <c r="S81" s="625"/>
      <c r="T81" s="520" t="str">
        <f t="shared" si="0"/>
        <v/>
      </c>
      <c r="U81" s="504"/>
      <c r="V81" s="752"/>
      <c r="W81" s="572"/>
      <c r="X81" s="727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2"/>
      <c r="I82" s="740"/>
      <c r="J82" s="740"/>
      <c r="K82" s="288"/>
      <c r="L82" s="384">
        <v>7</v>
      </c>
      <c r="M82" s="385" t="s">
        <v>317</v>
      </c>
      <c r="N82" s="386"/>
      <c r="O82" s="550"/>
      <c r="P82" s="445"/>
      <c r="Q82" s="387"/>
      <c r="R82" s="588"/>
      <c r="S82" s="625"/>
      <c r="T82" s="520" t="str">
        <f t="shared" si="0"/>
        <v/>
      </c>
      <c r="U82" s="504"/>
      <c r="V82" s="752"/>
      <c r="W82" s="572"/>
      <c r="X82" s="727"/>
      <c r="Y82" s="483"/>
    </row>
    <row r="83" spans="1:25" ht="14.25" customHeight="1">
      <c r="B83" s="384">
        <v>7</v>
      </c>
      <c r="C83" s="385"/>
      <c r="D83" s="386"/>
      <c r="E83" s="407"/>
      <c r="F83" s="445"/>
      <c r="G83" s="387"/>
      <c r="H83" s="572"/>
      <c r="I83" s="740"/>
      <c r="J83" s="740"/>
      <c r="K83" s="288"/>
      <c r="L83" s="384">
        <v>7</v>
      </c>
      <c r="M83" s="385" t="s">
        <v>317</v>
      </c>
      <c r="N83" s="386"/>
      <c r="O83" s="550"/>
      <c r="P83" s="445"/>
      <c r="Q83" s="387"/>
      <c r="R83" s="588"/>
      <c r="S83" s="625"/>
      <c r="T83" s="520" t="str">
        <f t="shared" si="0"/>
        <v/>
      </c>
      <c r="U83" s="504"/>
      <c r="V83" s="752"/>
      <c r="W83" s="572"/>
      <c r="X83" s="727"/>
      <c r="Y83" s="483"/>
    </row>
    <row r="84" spans="1:25" ht="14.25" customHeight="1">
      <c r="B84" s="384">
        <v>7</v>
      </c>
      <c r="C84" s="385"/>
      <c r="D84" s="386"/>
      <c r="E84" s="407"/>
      <c r="F84" s="445"/>
      <c r="G84" s="387"/>
      <c r="H84" s="572"/>
      <c r="I84" s="740"/>
      <c r="J84" s="740"/>
      <c r="K84" s="288"/>
      <c r="L84" s="384">
        <v>7</v>
      </c>
      <c r="M84" s="385" t="s">
        <v>317</v>
      </c>
      <c r="N84" s="386"/>
      <c r="O84" s="550"/>
      <c r="P84" s="445"/>
      <c r="Q84" s="387"/>
      <c r="R84" s="588"/>
      <c r="S84" s="625"/>
      <c r="T84" s="520" t="str">
        <f t="shared" ref="T84:T176" si="9">IF(W84&gt;1,EOMONTH(W84,0),"")</f>
        <v/>
      </c>
      <c r="U84" s="504"/>
      <c r="V84" s="752"/>
      <c r="W84" s="572"/>
      <c r="X84" s="727"/>
      <c r="Y84" s="483"/>
    </row>
    <row r="85" spans="1:25" ht="15" customHeight="1" thickBot="1">
      <c r="B85" s="316">
        <v>7</v>
      </c>
      <c r="C85" s="337"/>
      <c r="D85" s="329"/>
      <c r="E85" s="318"/>
      <c r="F85" s="461"/>
      <c r="G85" s="330"/>
      <c r="H85" s="573"/>
      <c r="I85" s="741"/>
      <c r="J85" s="741"/>
      <c r="K85" s="289"/>
      <c r="L85" s="316">
        <v>7</v>
      </c>
      <c r="M85" s="337" t="s">
        <v>317</v>
      </c>
      <c r="N85" s="329"/>
      <c r="O85" s="551"/>
      <c r="P85" s="461"/>
      <c r="Q85" s="330"/>
      <c r="R85" s="589"/>
      <c r="S85" s="626"/>
      <c r="T85" s="521" t="str">
        <f t="shared" si="9"/>
        <v/>
      </c>
      <c r="U85" s="505"/>
      <c r="V85" s="753"/>
      <c r="W85" s="573"/>
      <c r="X85" s="728"/>
      <c r="Y85" s="483"/>
    </row>
    <row r="86" spans="1:25" ht="14.4" thickBot="1">
      <c r="A86" s="24"/>
      <c r="B86" s="290"/>
      <c r="C86" s="331"/>
      <c r="D86" s="308"/>
      <c r="E86" s="291"/>
      <c r="F86" s="457"/>
      <c r="G86" s="292"/>
      <c r="H86" s="574"/>
      <c r="I86" s="280"/>
      <c r="J86" s="280"/>
      <c r="K86" s="24"/>
      <c r="L86" s="290"/>
      <c r="M86" s="331"/>
      <c r="N86" s="308"/>
      <c r="O86" s="552"/>
      <c r="P86" s="457"/>
      <c r="Q86" s="292"/>
      <c r="R86" s="590"/>
      <c r="S86" s="627"/>
      <c r="T86" s="522" t="str">
        <f t="shared" si="9"/>
        <v/>
      </c>
      <c r="U86" s="510"/>
      <c r="V86" s="493"/>
      <c r="W86" s="574"/>
      <c r="X86" s="350"/>
      <c r="Y86" s="483"/>
    </row>
    <row r="87" spans="1:25" ht="14.25" customHeight="1">
      <c r="B87" s="332">
        <v>8</v>
      </c>
      <c r="C87" s="294" t="s">
        <v>318</v>
      </c>
      <c r="D87" s="333"/>
      <c r="E87" s="464"/>
      <c r="F87" s="417"/>
      <c r="G87" s="334"/>
      <c r="H87" s="575"/>
      <c r="I87" s="745">
        <f>D185</f>
        <v>250000</v>
      </c>
      <c r="J87" s="745">
        <f>F185</f>
        <v>284090.90909090906</v>
      </c>
      <c r="K87" s="297"/>
      <c r="L87" s="332">
        <v>8</v>
      </c>
      <c r="M87" s="426" t="s">
        <v>319</v>
      </c>
      <c r="N87" s="333"/>
      <c r="O87" s="560"/>
      <c r="P87" s="417"/>
      <c r="Q87" s="334"/>
      <c r="R87" s="591"/>
      <c r="S87" s="628"/>
      <c r="T87" s="523" t="str">
        <f t="shared" si="9"/>
        <v/>
      </c>
      <c r="U87" s="507">
        <f t="shared" ref="U87:U95" si="10">(Q87/$X$87*$J$87)</f>
        <v>0</v>
      </c>
      <c r="V87" s="769">
        <f>J87-SUM(U87:U95)</f>
        <v>-9.0449827257543802E-4</v>
      </c>
      <c r="W87" s="575"/>
      <c r="X87" s="748">
        <f>SUM(Q87:Q95)</f>
        <v>49132.22</v>
      </c>
      <c r="Y87" s="483"/>
    </row>
    <row r="88" spans="1:25" ht="14.25" customHeight="1">
      <c r="B88" s="322">
        <v>8</v>
      </c>
      <c r="C88" s="323"/>
      <c r="D88" s="335" t="s">
        <v>320</v>
      </c>
      <c r="E88" s="416"/>
      <c r="F88" s="462"/>
      <c r="G88" s="324">
        <v>250000</v>
      </c>
      <c r="H88" s="576">
        <v>45930</v>
      </c>
      <c r="I88" s="746"/>
      <c r="J88" s="746"/>
      <c r="K88" s="301"/>
      <c r="L88" s="322">
        <v>8</v>
      </c>
      <c r="M88" s="434" t="s">
        <v>319</v>
      </c>
      <c r="N88" s="335"/>
      <c r="O88" s="557"/>
      <c r="P88" s="462"/>
      <c r="Q88" s="324"/>
      <c r="R88" s="592"/>
      <c r="S88" s="629"/>
      <c r="T88" s="524" t="str">
        <f t="shared" si="9"/>
        <v/>
      </c>
      <c r="U88" s="508">
        <f t="shared" si="10"/>
        <v>0</v>
      </c>
      <c r="V88" s="770"/>
      <c r="W88" s="576"/>
      <c r="X88" s="749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6"/>
      <c r="I89" s="746"/>
      <c r="J89" s="746"/>
      <c r="K89" s="301"/>
      <c r="L89" s="322">
        <v>8</v>
      </c>
      <c r="M89" s="434" t="s">
        <v>319</v>
      </c>
      <c r="N89" s="335" t="s">
        <v>321</v>
      </c>
      <c r="O89" s="416"/>
      <c r="P89" s="462"/>
      <c r="Q89" s="324">
        <v>5203</v>
      </c>
      <c r="R89" s="592" t="s">
        <v>322</v>
      </c>
      <c r="S89" s="629" t="s">
        <v>323</v>
      </c>
      <c r="T89" s="653">
        <v>45961</v>
      </c>
      <c r="U89" s="693">
        <v>16658.266861800592</v>
      </c>
      <c r="V89" s="770"/>
      <c r="W89" s="539">
        <v>46066</v>
      </c>
      <c r="X89" s="749"/>
      <c r="Y89" s="483"/>
    </row>
    <row r="90" spans="1:25" ht="14.25" customHeight="1">
      <c r="B90" s="322"/>
      <c r="C90" s="323"/>
      <c r="D90" s="335"/>
      <c r="E90" s="416"/>
      <c r="F90" s="462"/>
      <c r="G90" s="324"/>
      <c r="H90" s="576"/>
      <c r="I90" s="746"/>
      <c r="J90" s="746"/>
      <c r="K90" s="301"/>
      <c r="L90" s="322">
        <v>8</v>
      </c>
      <c r="M90" s="434" t="s">
        <v>319</v>
      </c>
      <c r="N90" s="335"/>
      <c r="O90" s="416"/>
      <c r="P90" s="462"/>
      <c r="Q90" s="324"/>
      <c r="R90" s="592"/>
      <c r="S90" s="629"/>
      <c r="T90" s="653"/>
      <c r="U90" s="508">
        <f t="shared" si="10"/>
        <v>0</v>
      </c>
      <c r="V90" s="770"/>
      <c r="W90" s="576"/>
      <c r="X90" s="749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76">
        <f>E91</f>
        <v>0</v>
      </c>
      <c r="I91" s="746"/>
      <c r="J91" s="746"/>
      <c r="K91" s="301"/>
      <c r="L91" s="322">
        <v>8</v>
      </c>
      <c r="M91" s="434" t="s">
        <v>319</v>
      </c>
      <c r="N91" s="335" t="s">
        <v>324</v>
      </c>
      <c r="O91" s="694">
        <v>0.75</v>
      </c>
      <c r="P91" s="462">
        <v>35400</v>
      </c>
      <c r="Q91" s="324">
        <f>O91*P91</f>
        <v>26550</v>
      </c>
      <c r="R91" s="772" t="s">
        <v>325</v>
      </c>
      <c r="S91" s="629" t="s">
        <v>326</v>
      </c>
      <c r="T91" s="653">
        <v>45991</v>
      </c>
      <c r="U91" s="693">
        <v>188952.71623262769</v>
      </c>
      <c r="V91" s="770"/>
      <c r="W91" s="539">
        <v>45989</v>
      </c>
      <c r="X91" s="749"/>
      <c r="Y91" s="483"/>
    </row>
    <row r="92" spans="1:25" ht="14.25" customHeight="1">
      <c r="B92" s="322">
        <v>8</v>
      </c>
      <c r="C92" s="323"/>
      <c r="D92" s="335"/>
      <c r="E92" s="416"/>
      <c r="F92" s="462"/>
      <c r="G92" s="324"/>
      <c r="H92" s="576"/>
      <c r="I92" s="746"/>
      <c r="J92" s="746"/>
      <c r="K92" s="301"/>
      <c r="L92" s="322">
        <v>8</v>
      </c>
      <c r="M92" s="434" t="s">
        <v>319</v>
      </c>
      <c r="N92" s="335" t="s">
        <v>327</v>
      </c>
      <c r="O92" s="694">
        <v>0.25</v>
      </c>
      <c r="P92" s="462"/>
      <c r="Q92" s="324">
        <f>P91*O92</f>
        <v>8850</v>
      </c>
      <c r="R92" s="773"/>
      <c r="S92" s="629" t="s">
        <v>328</v>
      </c>
      <c r="T92" s="653">
        <v>46022</v>
      </c>
      <c r="U92" s="693">
        <v>51172.215410875899</v>
      </c>
      <c r="V92" s="770"/>
      <c r="W92" s="687">
        <v>46031</v>
      </c>
      <c r="X92" s="749"/>
      <c r="Y92" s="483"/>
    </row>
    <row r="93" spans="1:25" ht="14.25" customHeight="1">
      <c r="B93" s="322">
        <v>8</v>
      </c>
      <c r="C93" s="323"/>
      <c r="D93" s="335"/>
      <c r="E93" s="416"/>
      <c r="F93" s="462"/>
      <c r="G93" s="324"/>
      <c r="H93" s="576"/>
      <c r="I93" s="746"/>
      <c r="J93" s="746"/>
      <c r="K93" s="301"/>
      <c r="L93" s="322">
        <v>8</v>
      </c>
      <c r="M93" s="434" t="s">
        <v>319</v>
      </c>
      <c r="N93" s="335" t="s">
        <v>329</v>
      </c>
      <c r="O93" s="557"/>
      <c r="P93" s="462"/>
      <c r="Q93" s="324">
        <v>8529.2199999999993</v>
      </c>
      <c r="R93" s="592"/>
      <c r="S93" s="629" t="s">
        <v>330</v>
      </c>
      <c r="T93" s="692">
        <v>45961</v>
      </c>
      <c r="U93" s="693">
        <v>27307.711490103182</v>
      </c>
      <c r="V93" s="770"/>
      <c r="W93" s="539">
        <v>45989</v>
      </c>
      <c r="X93" s="749"/>
      <c r="Y93" s="483"/>
    </row>
    <row r="94" spans="1:25" ht="14.25" customHeight="1">
      <c r="B94" s="322">
        <v>8</v>
      </c>
      <c r="C94" s="323"/>
      <c r="D94" s="335"/>
      <c r="E94" s="416"/>
      <c r="F94" s="462"/>
      <c r="G94" s="324"/>
      <c r="H94" s="579"/>
      <c r="I94" s="746"/>
      <c r="J94" s="746"/>
      <c r="K94" s="301"/>
      <c r="L94" s="322">
        <v>8</v>
      </c>
      <c r="M94" s="434" t="s">
        <v>319</v>
      </c>
      <c r="N94" s="335"/>
      <c r="O94" s="557"/>
      <c r="P94" s="462"/>
      <c r="Q94" s="324"/>
      <c r="R94" s="596"/>
      <c r="S94" s="633"/>
      <c r="T94" s="527" t="str">
        <f t="shared" si="9"/>
        <v/>
      </c>
      <c r="U94" s="513">
        <f t="shared" si="10"/>
        <v>0</v>
      </c>
      <c r="V94" s="770"/>
      <c r="W94" s="579"/>
      <c r="X94" s="749"/>
      <c r="Y94" s="483"/>
    </row>
    <row r="95" spans="1:25" ht="15" customHeight="1" thickBot="1">
      <c r="B95" s="322">
        <v>8</v>
      </c>
      <c r="C95" s="303"/>
      <c r="D95" s="304"/>
      <c r="E95" s="459"/>
      <c r="F95" s="456"/>
      <c r="G95" s="305"/>
      <c r="H95" s="577"/>
      <c r="I95" s="747"/>
      <c r="J95" s="747"/>
      <c r="K95" s="306"/>
      <c r="L95" s="302">
        <v>8</v>
      </c>
      <c r="M95" s="433" t="s">
        <v>319</v>
      </c>
      <c r="N95" s="304"/>
      <c r="O95" s="558"/>
      <c r="P95" s="456"/>
      <c r="Q95" s="305"/>
      <c r="R95" s="593"/>
      <c r="S95" s="630"/>
      <c r="T95" s="525" t="str">
        <f t="shared" si="9"/>
        <v/>
      </c>
      <c r="U95" s="509">
        <f t="shared" si="10"/>
        <v>0</v>
      </c>
      <c r="V95" s="771"/>
      <c r="W95" s="577"/>
      <c r="X95" s="750"/>
      <c r="Y95" s="483"/>
    </row>
    <row r="96" spans="1:25" ht="22.5" customHeight="1" thickBot="1">
      <c r="A96" s="24"/>
      <c r="B96" s="336"/>
      <c r="C96" s="164"/>
      <c r="D96" s="164"/>
      <c r="E96" s="164"/>
      <c r="F96" s="470"/>
      <c r="G96" s="164"/>
      <c r="H96" s="541"/>
      <c r="I96" s="440"/>
      <c r="J96" s="441"/>
      <c r="K96" s="164" t="s">
        <v>331</v>
      </c>
      <c r="L96" s="336"/>
      <c r="M96" s="164"/>
      <c r="N96" s="164"/>
      <c r="O96" s="561"/>
      <c r="P96" s="470"/>
      <c r="Q96" s="164"/>
      <c r="R96" s="599"/>
      <c r="S96" s="336"/>
      <c r="T96" s="530" t="str">
        <f t="shared" si="9"/>
        <v/>
      </c>
      <c r="U96" s="495"/>
      <c r="V96" s="495"/>
      <c r="W96" s="541"/>
      <c r="X96" s="440"/>
      <c r="Y96" s="483"/>
    </row>
    <row r="97" spans="1:25" ht="15" customHeight="1">
      <c r="B97" s="311">
        <v>9</v>
      </c>
      <c r="C97" s="443" t="s">
        <v>332</v>
      </c>
      <c r="D97" s="327" t="s">
        <v>333</v>
      </c>
      <c r="E97" s="314"/>
      <c r="F97" s="438"/>
      <c r="G97" s="619">
        <f>D191</f>
        <v>64350</v>
      </c>
      <c r="H97" s="576">
        <v>45930</v>
      </c>
      <c r="I97" s="760">
        <f>SUM(G97:G109)</f>
        <v>210650</v>
      </c>
      <c r="J97" s="739">
        <f>F191+F192</f>
        <v>247823.5294117647</v>
      </c>
      <c r="K97" s="288"/>
      <c r="L97" s="311">
        <v>9</v>
      </c>
      <c r="M97" s="424" t="s">
        <v>334</v>
      </c>
      <c r="N97" s="327"/>
      <c r="O97" s="549"/>
      <c r="P97" s="438"/>
      <c r="Q97" s="315"/>
      <c r="R97" s="594"/>
      <c r="S97" s="631"/>
      <c r="T97" s="526" t="str">
        <f t="shared" si="9"/>
        <v/>
      </c>
      <c r="U97" s="511">
        <f>(Q97/$X$97*$J$97)</f>
        <v>0</v>
      </c>
      <c r="V97" s="729">
        <f>J97-SUM(U97:U109)</f>
        <v>0</v>
      </c>
      <c r="W97" s="578"/>
      <c r="X97" s="763">
        <f>SUM(Q97:Q109)</f>
        <v>289124</v>
      </c>
      <c r="Y97" s="483"/>
    </row>
    <row r="98" spans="1:25" ht="15" customHeight="1">
      <c r="B98" s="311">
        <v>9</v>
      </c>
      <c r="C98" s="443"/>
      <c r="D98" s="328" t="s">
        <v>335</v>
      </c>
      <c r="E98" s="314"/>
      <c r="F98" s="460"/>
      <c r="G98" s="619">
        <f>D192</f>
        <v>146300</v>
      </c>
      <c r="H98" s="536">
        <v>45827</v>
      </c>
      <c r="I98" s="761"/>
      <c r="J98" s="740"/>
      <c r="K98" s="288"/>
      <c r="L98" s="311">
        <v>9</v>
      </c>
      <c r="M98" s="424" t="s">
        <v>334</v>
      </c>
      <c r="N98" s="328" t="s">
        <v>271</v>
      </c>
      <c r="O98" s="568">
        <f>98004+191120</f>
        <v>289124</v>
      </c>
      <c r="P98" s="569">
        <v>0.1</v>
      </c>
      <c r="Q98" s="315">
        <v>21065</v>
      </c>
      <c r="R98" s="587"/>
      <c r="S98" s="624" t="s">
        <v>272</v>
      </c>
      <c r="T98" s="641">
        <v>45838</v>
      </c>
      <c r="U98" s="651">
        <v>18055.929798490695</v>
      </c>
      <c r="V98" s="730"/>
      <c r="W98" s="536">
        <v>45827</v>
      </c>
      <c r="X98" s="764"/>
      <c r="Y98" s="483"/>
    </row>
    <row r="99" spans="1:25" ht="15" customHeight="1">
      <c r="B99" s="384"/>
      <c r="C99" s="501"/>
      <c r="D99" s="386"/>
      <c r="E99" s="407"/>
      <c r="F99" s="445"/>
      <c r="G99" s="658"/>
      <c r="H99" s="537">
        <v>45834</v>
      </c>
      <c r="I99" s="761"/>
      <c r="J99" s="740"/>
      <c r="K99" s="288"/>
      <c r="L99" s="311">
        <v>9</v>
      </c>
      <c r="M99" s="424" t="s">
        <v>334</v>
      </c>
      <c r="N99" s="328" t="s">
        <v>274</v>
      </c>
      <c r="O99" s="659"/>
      <c r="P99" s="567"/>
      <c r="Q99" s="315">
        <v>7847.4</v>
      </c>
      <c r="R99" s="661"/>
      <c r="S99" s="625" t="s">
        <v>275</v>
      </c>
      <c r="T99" s="660">
        <v>45838</v>
      </c>
      <c r="U99" s="664">
        <v>6726.4231426857759</v>
      </c>
      <c r="V99" s="730"/>
      <c r="W99" s="537">
        <v>45834</v>
      </c>
      <c r="X99" s="764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45834</v>
      </c>
      <c r="I100" s="761"/>
      <c r="J100" s="740"/>
      <c r="K100" s="288"/>
      <c r="L100" s="384">
        <v>9</v>
      </c>
      <c r="M100" s="502" t="s">
        <v>334</v>
      </c>
      <c r="N100" s="386" t="s">
        <v>99</v>
      </c>
      <c r="O100" s="550"/>
      <c r="P100" s="567">
        <v>0.15</v>
      </c>
      <c r="Q100" s="315">
        <f t="shared" ref="Q100:Q106" si="11">$O$98*P100</f>
        <v>43368.6</v>
      </c>
      <c r="R100" s="588"/>
      <c r="S100" s="625" t="s">
        <v>276</v>
      </c>
      <c r="T100" s="660">
        <v>45838</v>
      </c>
      <c r="U100" s="664">
        <v>37173.529411764706</v>
      </c>
      <c r="V100" s="730"/>
      <c r="W100" s="537">
        <v>45834</v>
      </c>
      <c r="X100" s="764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45925</v>
      </c>
      <c r="I101" s="761"/>
      <c r="J101" s="740"/>
      <c r="K101" s="288"/>
      <c r="L101" s="384">
        <v>9</v>
      </c>
      <c r="M101" s="502" t="s">
        <v>334</v>
      </c>
      <c r="N101" s="386" t="s">
        <v>277</v>
      </c>
      <c r="O101" s="550"/>
      <c r="P101" s="567">
        <v>0.2</v>
      </c>
      <c r="Q101" s="315">
        <f t="shared" si="11"/>
        <v>57824.800000000003</v>
      </c>
      <c r="R101" s="588"/>
      <c r="S101" s="625" t="s">
        <v>278</v>
      </c>
      <c r="T101" s="660">
        <v>45900</v>
      </c>
      <c r="U101" s="664">
        <v>49564.705882352944</v>
      </c>
      <c r="V101" s="730"/>
      <c r="W101" s="537">
        <v>45925</v>
      </c>
      <c r="X101" s="764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61"/>
      <c r="J102" s="740"/>
      <c r="K102" s="288"/>
      <c r="L102" s="384">
        <v>9</v>
      </c>
      <c r="M102" s="502" t="s">
        <v>334</v>
      </c>
      <c r="N102" s="386" t="s">
        <v>279</v>
      </c>
      <c r="O102" s="550"/>
      <c r="P102" s="567">
        <v>0.25</v>
      </c>
      <c r="Q102" s="315">
        <f t="shared" si="11"/>
        <v>72281</v>
      </c>
      <c r="R102" s="588"/>
      <c r="S102" s="625" t="s">
        <v>278</v>
      </c>
      <c r="T102" s="660">
        <v>45900</v>
      </c>
      <c r="U102" s="664">
        <v>61955.882352941175</v>
      </c>
      <c r="V102" s="730"/>
      <c r="W102" s="537">
        <v>45925</v>
      </c>
      <c r="X102" s="764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45925</v>
      </c>
      <c r="I103" s="761"/>
      <c r="J103" s="740"/>
      <c r="K103" s="288"/>
      <c r="L103" s="384">
        <v>9</v>
      </c>
      <c r="M103" s="502" t="s">
        <v>334</v>
      </c>
      <c r="N103" s="386" t="s">
        <v>174</v>
      </c>
      <c r="O103" s="550"/>
      <c r="P103" s="567">
        <v>0.1</v>
      </c>
      <c r="Q103" s="315">
        <f t="shared" si="11"/>
        <v>28912.400000000001</v>
      </c>
      <c r="R103" s="588"/>
      <c r="S103" s="625" t="s">
        <v>278</v>
      </c>
      <c r="T103" s="660">
        <v>45900</v>
      </c>
      <c r="U103" s="664">
        <v>24782.352941176472</v>
      </c>
      <c r="V103" s="730"/>
      <c r="W103" s="537">
        <v>45925</v>
      </c>
      <c r="X103" s="764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45925</v>
      </c>
      <c r="I104" s="761"/>
      <c r="J104" s="740"/>
      <c r="K104" s="288"/>
      <c r="L104" s="384">
        <v>9</v>
      </c>
      <c r="M104" s="502" t="s">
        <v>334</v>
      </c>
      <c r="N104" s="386" t="s">
        <v>280</v>
      </c>
      <c r="O104" s="550"/>
      <c r="P104" s="567">
        <v>0.1</v>
      </c>
      <c r="Q104" s="315">
        <f t="shared" si="11"/>
        <v>28912.400000000001</v>
      </c>
      <c r="R104" s="588"/>
      <c r="S104" s="625" t="s">
        <v>278</v>
      </c>
      <c r="T104" s="660">
        <v>45900</v>
      </c>
      <c r="U104" s="664">
        <v>24782.352941176472</v>
      </c>
      <c r="V104" s="730"/>
      <c r="W104" s="537">
        <v>45925</v>
      </c>
      <c r="X104" s="764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2">
        <v>45932</v>
      </c>
      <c r="I105" s="761"/>
      <c r="J105" s="740"/>
      <c r="K105" s="288"/>
      <c r="L105" s="384">
        <v>9</v>
      </c>
      <c r="M105" s="502" t="s">
        <v>334</v>
      </c>
      <c r="N105" s="386" t="s">
        <v>281</v>
      </c>
      <c r="O105" s="550"/>
      <c r="P105" s="567">
        <v>0.05</v>
      </c>
      <c r="Q105" s="315">
        <f t="shared" si="11"/>
        <v>14456.2</v>
      </c>
      <c r="R105" s="588"/>
      <c r="S105" s="625" t="s">
        <v>278</v>
      </c>
      <c r="T105" s="660">
        <v>45900</v>
      </c>
      <c r="U105" s="664">
        <v>12391.176470588236</v>
      </c>
      <c r="V105" s="730"/>
      <c r="W105" s="537">
        <v>46009</v>
      </c>
      <c r="X105" s="764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2">
        <v>45961</v>
      </c>
      <c r="I106" s="761"/>
      <c r="J106" s="740"/>
      <c r="K106" s="288"/>
      <c r="L106" s="384">
        <v>9</v>
      </c>
      <c r="M106" s="502" t="s">
        <v>334</v>
      </c>
      <c r="N106" s="386" t="s">
        <v>282</v>
      </c>
      <c r="O106" s="550"/>
      <c r="P106" s="567">
        <v>0.05</v>
      </c>
      <c r="Q106" s="315">
        <f t="shared" si="11"/>
        <v>14456.2</v>
      </c>
      <c r="R106" s="588"/>
      <c r="S106" s="625" t="s">
        <v>278</v>
      </c>
      <c r="T106" s="660">
        <v>45900</v>
      </c>
      <c r="U106" s="664">
        <v>12391.176470588236</v>
      </c>
      <c r="V106" s="730"/>
      <c r="W106" s="691">
        <v>46037</v>
      </c>
      <c r="X106" s="764"/>
      <c r="Y106" s="483"/>
    </row>
    <row r="107" spans="1:25" ht="15" customHeight="1">
      <c r="B107" s="384">
        <v>9</v>
      </c>
      <c r="C107" s="501"/>
      <c r="D107" s="386"/>
      <c r="E107" s="407"/>
      <c r="F107" s="445"/>
      <c r="G107" s="387"/>
      <c r="H107" s="572"/>
      <c r="I107" s="761"/>
      <c r="J107" s="740"/>
      <c r="K107" s="288"/>
      <c r="L107" s="384">
        <v>9</v>
      </c>
      <c r="M107" s="502" t="s">
        <v>334</v>
      </c>
      <c r="N107" s="386"/>
      <c r="O107" s="657"/>
      <c r="P107" s="445"/>
      <c r="Q107" s="387"/>
      <c r="R107" s="588"/>
      <c r="S107" s="625"/>
      <c r="T107" s="520" t="str">
        <f t="shared" si="9"/>
        <v/>
      </c>
      <c r="U107" s="504">
        <f>(Q107/$X$97*$J$97)</f>
        <v>0</v>
      </c>
      <c r="V107" s="730"/>
      <c r="W107" s="572"/>
      <c r="X107" s="764"/>
      <c r="Y107" s="483"/>
    </row>
    <row r="108" spans="1:25" ht="15" customHeight="1">
      <c r="B108" s="384">
        <v>9</v>
      </c>
      <c r="C108" s="501"/>
      <c r="D108" s="386"/>
      <c r="E108" s="407"/>
      <c r="F108" s="445"/>
      <c r="G108" s="387"/>
      <c r="H108" s="572"/>
      <c r="I108" s="761"/>
      <c r="J108" s="740"/>
      <c r="K108" s="288"/>
      <c r="L108" s="384">
        <v>9</v>
      </c>
      <c r="M108" s="502" t="s">
        <v>334</v>
      </c>
      <c r="N108" s="386"/>
      <c r="O108" s="550"/>
      <c r="P108" s="445"/>
      <c r="Q108" s="387"/>
      <c r="R108" s="588"/>
      <c r="S108" s="625"/>
      <c r="T108" s="520" t="str">
        <f t="shared" si="9"/>
        <v/>
      </c>
      <c r="U108" s="504">
        <f>(Q108/$X$97*$J$97)</f>
        <v>0</v>
      </c>
      <c r="V108" s="730"/>
      <c r="W108" s="572"/>
      <c r="X108" s="764"/>
      <c r="Y108" s="483"/>
    </row>
    <row r="109" spans="1:25" ht="15" customHeight="1" thickBot="1">
      <c r="B109" s="316">
        <v>9</v>
      </c>
      <c r="C109" s="439"/>
      <c r="D109" s="329"/>
      <c r="E109" s="318"/>
      <c r="F109" s="461"/>
      <c r="G109" s="330"/>
      <c r="H109" s="573"/>
      <c r="I109" s="762"/>
      <c r="J109" s="741"/>
      <c r="K109" s="364"/>
      <c r="L109" s="316">
        <v>9</v>
      </c>
      <c r="M109" s="442" t="s">
        <v>334</v>
      </c>
      <c r="N109" s="329"/>
      <c r="O109" s="551"/>
      <c r="P109" s="461"/>
      <c r="Q109" s="330"/>
      <c r="R109" s="589"/>
      <c r="S109" s="626"/>
      <c r="T109" s="521" t="str">
        <f t="shared" si="9"/>
        <v/>
      </c>
      <c r="U109" s="505">
        <f>(Q109/$X$97*$J$97)</f>
        <v>0</v>
      </c>
      <c r="V109" s="731"/>
      <c r="W109" s="573"/>
      <c r="X109" s="765"/>
      <c r="Y109" s="483"/>
    </row>
    <row r="110" spans="1:25" ht="14.4" thickBot="1">
      <c r="A110" s="24"/>
      <c r="B110" s="290"/>
      <c r="C110" s="307"/>
      <c r="D110" s="308"/>
      <c r="E110" s="291"/>
      <c r="F110" s="457"/>
      <c r="G110" s="292"/>
      <c r="H110" s="574"/>
      <c r="I110" s="280"/>
      <c r="J110" s="403"/>
      <c r="K110" s="24"/>
      <c r="L110" s="290"/>
      <c r="M110" s="307"/>
      <c r="N110" s="308"/>
      <c r="O110" s="552"/>
      <c r="P110" s="457"/>
      <c r="Q110" s="292"/>
      <c r="R110" s="590"/>
      <c r="S110" s="627"/>
      <c r="T110" s="522" t="str">
        <f t="shared" si="9"/>
        <v/>
      </c>
      <c r="U110" s="510"/>
      <c r="V110" s="493"/>
      <c r="W110" s="574"/>
      <c r="X110" s="350"/>
      <c r="Y110" s="483"/>
    </row>
    <row r="111" spans="1:25" ht="14.25" customHeight="1">
      <c r="B111" s="269">
        <v>10</v>
      </c>
      <c r="C111" s="270" t="s">
        <v>336</v>
      </c>
      <c r="D111" s="270" t="s">
        <v>252</v>
      </c>
      <c r="E111" s="271"/>
      <c r="F111" s="471"/>
      <c r="G111" s="338">
        <f>D195</f>
        <v>8500</v>
      </c>
      <c r="H111" s="542">
        <v>45930</v>
      </c>
      <c r="I111" s="754">
        <f>SUM(G111:G134)</f>
        <v>60396.666666666664</v>
      </c>
      <c r="J111" s="754">
        <f>F195+F198+F199+F197</f>
        <v>71054.901960784322</v>
      </c>
      <c r="K111" s="339"/>
      <c r="L111" s="269">
        <v>10</v>
      </c>
      <c r="M111" s="435" t="s">
        <v>337</v>
      </c>
      <c r="N111" s="270"/>
      <c r="O111" s="562"/>
      <c r="P111" s="471"/>
      <c r="Q111" s="338"/>
      <c r="R111" s="600"/>
      <c r="S111" s="636"/>
      <c r="T111" s="531"/>
      <c r="U111" s="515">
        <f>(Q111/$X$111*$J$111)</f>
        <v>0</v>
      </c>
      <c r="V111" s="766">
        <f>J111-SUM(U111:U134)</f>
        <v>-3.6448949394980446E-3</v>
      </c>
      <c r="W111" s="582"/>
      <c r="X111" s="757">
        <f>SUM(Q111:Q134)</f>
        <v>65924.73</v>
      </c>
      <c r="Y111" s="483"/>
    </row>
    <row r="112" spans="1:25" ht="14.25" customHeight="1">
      <c r="B112" s="340">
        <v>10</v>
      </c>
      <c r="C112" s="341"/>
      <c r="D112" s="341" t="s">
        <v>253</v>
      </c>
      <c r="E112" s="342"/>
      <c r="F112" s="472"/>
      <c r="G112" s="343">
        <f>D199</f>
        <v>20355</v>
      </c>
      <c r="H112" s="542">
        <v>45930</v>
      </c>
      <c r="I112" s="755"/>
      <c r="J112" s="755"/>
      <c r="K112" s="272"/>
      <c r="L112" s="340">
        <v>10</v>
      </c>
      <c r="M112" s="436" t="s">
        <v>337</v>
      </c>
      <c r="N112" s="341"/>
      <c r="O112" s="563"/>
      <c r="P112" s="472"/>
      <c r="Q112" s="343"/>
      <c r="R112" s="601"/>
      <c r="S112" s="637"/>
      <c r="T112" s="532"/>
      <c r="U112" s="516">
        <f>(Q112/$X$111*$J$111)</f>
        <v>0</v>
      </c>
      <c r="V112" s="767"/>
      <c r="W112" s="583"/>
      <c r="X112" s="758"/>
      <c r="Y112" s="483"/>
    </row>
    <row r="113" spans="2:25" ht="14.25" customHeight="1">
      <c r="B113" s="340">
        <v>10</v>
      </c>
      <c r="C113" s="341"/>
      <c r="D113" s="341" t="s">
        <v>338</v>
      </c>
      <c r="E113" s="342"/>
      <c r="F113" s="472"/>
      <c r="G113" s="343">
        <f>D198</f>
        <v>30000</v>
      </c>
      <c r="H113" s="542">
        <v>45930</v>
      </c>
      <c r="I113" s="755"/>
      <c r="J113" s="755"/>
      <c r="K113" s="272"/>
      <c r="L113" s="340">
        <v>10</v>
      </c>
      <c r="M113" s="436" t="s">
        <v>337</v>
      </c>
      <c r="N113" s="341"/>
      <c r="O113" s="563"/>
      <c r="P113" s="472"/>
      <c r="Q113" s="343"/>
      <c r="R113" s="601"/>
      <c r="S113" s="637"/>
      <c r="T113" s="532" t="str">
        <f t="shared" si="9"/>
        <v/>
      </c>
      <c r="U113" s="516">
        <f>(Q113/$X$111*$J$111)</f>
        <v>0</v>
      </c>
      <c r="V113" s="767"/>
      <c r="W113" s="583"/>
      <c r="X113" s="758"/>
      <c r="Y113" s="483"/>
    </row>
    <row r="114" spans="2:25" ht="14.25" customHeight="1">
      <c r="B114" s="340">
        <v>10</v>
      </c>
      <c r="C114" s="341"/>
      <c r="D114" s="341" t="s">
        <v>254</v>
      </c>
      <c r="E114" s="342"/>
      <c r="F114" s="472"/>
      <c r="G114" s="343">
        <f>D197</f>
        <v>1541.6666666666665</v>
      </c>
      <c r="H114" s="542">
        <v>45930</v>
      </c>
      <c r="I114" s="755"/>
      <c r="J114" s="755"/>
      <c r="K114" s="272"/>
      <c r="L114" s="340">
        <v>10</v>
      </c>
      <c r="M114" s="436" t="s">
        <v>337</v>
      </c>
      <c r="N114" s="341"/>
      <c r="O114" s="563"/>
      <c r="P114" s="472"/>
      <c r="Q114" s="343"/>
      <c r="R114" s="601"/>
      <c r="S114" s="637"/>
      <c r="T114" s="532" t="str">
        <f t="shared" si="9"/>
        <v/>
      </c>
      <c r="U114" s="516">
        <f>(Q114/$X$111*$J$111)</f>
        <v>0</v>
      </c>
      <c r="V114" s="767"/>
      <c r="W114" s="583"/>
      <c r="X114" s="758"/>
      <c r="Y114" s="483"/>
    </row>
    <row r="115" spans="2:25" ht="14.25" customHeight="1">
      <c r="B115" s="340">
        <v>10</v>
      </c>
      <c r="C115" s="341"/>
      <c r="D115" s="341"/>
      <c r="E115" s="342"/>
      <c r="F115" s="472"/>
      <c r="G115" s="343"/>
      <c r="H115" s="542">
        <f>H98</f>
        <v>45827</v>
      </c>
      <c r="I115" s="755"/>
      <c r="J115" s="755"/>
      <c r="K115" s="272"/>
      <c r="L115" s="340">
        <v>10</v>
      </c>
      <c r="M115" s="436" t="s">
        <v>337</v>
      </c>
      <c r="N115" s="341" t="s">
        <v>271</v>
      </c>
      <c r="O115" s="618">
        <v>69585</v>
      </c>
      <c r="P115" s="570">
        <v>0.1</v>
      </c>
      <c r="Q115" s="343">
        <v>3039.66</v>
      </c>
      <c r="R115" s="602"/>
      <c r="S115" s="638" t="s">
        <v>272</v>
      </c>
      <c r="T115" s="649">
        <v>45838</v>
      </c>
      <c r="U115" s="652">
        <v>2064.1886201184029</v>
      </c>
      <c r="V115" s="767"/>
      <c r="W115" s="542">
        <f>W98</f>
        <v>45827</v>
      </c>
      <c r="X115" s="758"/>
      <c r="Y115" s="483"/>
    </row>
    <row r="116" spans="2:25" ht="14.25" customHeight="1">
      <c r="B116" s="340"/>
      <c r="C116" s="341"/>
      <c r="D116" s="341"/>
      <c r="E116" s="342"/>
      <c r="F116" s="472"/>
      <c r="G116" s="343"/>
      <c r="H116" s="542">
        <v>45834</v>
      </c>
      <c r="I116" s="755"/>
      <c r="J116" s="755"/>
      <c r="K116" s="272"/>
      <c r="L116" s="340">
        <v>10</v>
      </c>
      <c r="M116" s="436" t="s">
        <v>337</v>
      </c>
      <c r="N116" s="341" t="s">
        <v>274</v>
      </c>
      <c r="O116" s="618"/>
      <c r="P116" s="570"/>
      <c r="Q116" s="343">
        <v>2196.44</v>
      </c>
      <c r="R116" s="662"/>
      <c r="S116" s="638" t="s">
        <v>275</v>
      </c>
      <c r="T116" s="649">
        <v>45838</v>
      </c>
      <c r="U116" s="652">
        <v>1316.1557181757435</v>
      </c>
      <c r="V116" s="767"/>
      <c r="W116" s="542">
        <v>45834</v>
      </c>
      <c r="X116" s="758"/>
      <c r="Y116" s="483"/>
    </row>
    <row r="117" spans="2:25" ht="14.25" customHeight="1">
      <c r="B117" s="340"/>
      <c r="C117" s="341"/>
      <c r="D117" s="341"/>
      <c r="E117" s="342"/>
      <c r="F117" s="472"/>
      <c r="G117" s="343"/>
      <c r="H117" s="542">
        <v>45900</v>
      </c>
      <c r="I117" s="755"/>
      <c r="J117" s="755"/>
      <c r="K117" s="272"/>
      <c r="L117" s="340">
        <v>10</v>
      </c>
      <c r="M117" s="436" t="s">
        <v>337</v>
      </c>
      <c r="N117" s="341"/>
      <c r="O117" s="618"/>
      <c r="P117" s="570"/>
      <c r="Q117" s="343">
        <v>2196.44</v>
      </c>
      <c r="R117" s="662"/>
      <c r="S117" s="638" t="s">
        <v>275</v>
      </c>
      <c r="T117" s="649">
        <v>45900</v>
      </c>
      <c r="U117" s="652">
        <v>0</v>
      </c>
      <c r="V117" s="767"/>
      <c r="W117" s="542">
        <v>45900</v>
      </c>
      <c r="X117" s="758"/>
      <c r="Y117" s="483"/>
    </row>
    <row r="118" spans="2:25" ht="14.25" customHeight="1">
      <c r="B118" s="340"/>
      <c r="C118" s="341"/>
      <c r="D118" s="341"/>
      <c r="E118" s="342"/>
      <c r="F118" s="472"/>
      <c r="G118" s="343"/>
      <c r="H118" s="542">
        <v>45900</v>
      </c>
      <c r="I118" s="755"/>
      <c r="J118" s="755"/>
      <c r="K118" s="272"/>
      <c r="L118" s="340">
        <v>10</v>
      </c>
      <c r="M118" s="436" t="s">
        <v>337</v>
      </c>
      <c r="N118" s="341"/>
      <c r="O118" s="618"/>
      <c r="P118" s="570"/>
      <c r="Q118" s="343">
        <v>-1938.13</v>
      </c>
      <c r="R118" s="662"/>
      <c r="S118" s="638" t="s">
        <v>275</v>
      </c>
      <c r="T118" s="649">
        <v>45900</v>
      </c>
      <c r="U118" s="652"/>
      <c r="V118" s="767"/>
      <c r="W118" s="542">
        <v>45900</v>
      </c>
      <c r="X118" s="758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2">
        <f>H100</f>
        <v>45834</v>
      </c>
      <c r="I119" s="755"/>
      <c r="J119" s="755"/>
      <c r="K119" s="272"/>
      <c r="L119" s="340">
        <v>10</v>
      </c>
      <c r="M119" s="436" t="s">
        <v>337</v>
      </c>
      <c r="N119" s="341" t="s">
        <v>99</v>
      </c>
      <c r="O119" s="563"/>
      <c r="P119" s="570">
        <v>0.15</v>
      </c>
      <c r="Q119" s="343">
        <v>7854.15</v>
      </c>
      <c r="R119" s="602"/>
      <c r="S119" s="638" t="s">
        <v>276</v>
      </c>
      <c r="T119" s="649">
        <v>45838</v>
      </c>
      <c r="U119" s="652">
        <v>5070.526693721692</v>
      </c>
      <c r="V119" s="767"/>
      <c r="W119" s="542">
        <f>W100</f>
        <v>45834</v>
      </c>
      <c r="X119" s="758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2">
        <v>45900</v>
      </c>
      <c r="I120" s="755"/>
      <c r="J120" s="755"/>
      <c r="K120" s="272"/>
      <c r="L120" s="340">
        <v>10</v>
      </c>
      <c r="M120" s="436" t="s">
        <v>337</v>
      </c>
      <c r="N120" s="341"/>
      <c r="O120" s="563"/>
      <c r="P120" s="570"/>
      <c r="Q120" s="343">
        <v>-7466.7</v>
      </c>
      <c r="R120" s="602"/>
      <c r="S120" s="638" t="s">
        <v>276</v>
      </c>
      <c r="T120" s="649">
        <v>45900</v>
      </c>
      <c r="U120" s="652">
        <v>0</v>
      </c>
      <c r="V120" s="767"/>
      <c r="W120" s="542">
        <v>45900</v>
      </c>
      <c r="X120" s="758"/>
      <c r="Y120" s="483"/>
    </row>
    <row r="121" spans="2:25" ht="14.25" customHeight="1">
      <c r="B121" s="340"/>
      <c r="C121" s="341"/>
      <c r="D121" s="341"/>
      <c r="E121" s="342"/>
      <c r="F121" s="472"/>
      <c r="G121" s="343"/>
      <c r="H121" s="542">
        <v>45900</v>
      </c>
      <c r="I121" s="755"/>
      <c r="J121" s="755"/>
      <c r="K121" s="272"/>
      <c r="L121" s="340">
        <v>10</v>
      </c>
      <c r="M121" s="436" t="s">
        <v>337</v>
      </c>
      <c r="N121" s="341"/>
      <c r="O121" s="563"/>
      <c r="P121" s="570"/>
      <c r="Q121" s="343">
        <v>7854.15</v>
      </c>
      <c r="R121" s="602"/>
      <c r="S121" s="638" t="s">
        <v>276</v>
      </c>
      <c r="T121" s="649">
        <v>45900</v>
      </c>
      <c r="U121" s="652">
        <v>0</v>
      </c>
      <c r="V121" s="767"/>
      <c r="W121" s="542">
        <v>45900</v>
      </c>
      <c r="X121" s="758"/>
      <c r="Y121" s="483"/>
    </row>
    <row r="122" spans="2:25" ht="14.25" customHeight="1">
      <c r="B122" s="340">
        <v>10</v>
      </c>
      <c r="C122" s="341"/>
      <c r="D122" s="341"/>
      <c r="E122" s="342"/>
      <c r="F122" s="472"/>
      <c r="G122" s="343"/>
      <c r="H122" s="542">
        <f>H101</f>
        <v>45925</v>
      </c>
      <c r="I122" s="755"/>
      <c r="J122" s="755"/>
      <c r="K122" s="272"/>
      <c r="L122" s="340">
        <v>10</v>
      </c>
      <c r="M122" s="436" t="s">
        <v>337</v>
      </c>
      <c r="N122" s="341" t="s">
        <v>277</v>
      </c>
      <c r="O122" s="563"/>
      <c r="P122" s="570">
        <v>0.2</v>
      </c>
      <c r="Q122" s="343">
        <f t="shared" ref="Q122:Q131" si="12">$O$115*P122</f>
        <v>13917</v>
      </c>
      <c r="R122" s="602"/>
      <c r="S122" s="638" t="s">
        <v>278</v>
      </c>
      <c r="T122" s="649">
        <v>45869</v>
      </c>
      <c r="U122" s="652">
        <f>15299.7292196436+5230.05</f>
        <v>20529.779219643598</v>
      </c>
      <c r="V122" s="767"/>
      <c r="W122" s="542">
        <f>W101</f>
        <v>45925</v>
      </c>
      <c r="X122" s="758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42">
        <f>H102</f>
        <v>45925</v>
      </c>
      <c r="I123" s="755"/>
      <c r="J123" s="755"/>
      <c r="K123" s="272"/>
      <c r="L123" s="340">
        <v>10</v>
      </c>
      <c r="M123" s="436" t="s">
        <v>337</v>
      </c>
      <c r="N123" s="341" t="s">
        <v>279</v>
      </c>
      <c r="O123" s="563"/>
      <c r="P123" s="570">
        <v>0.25</v>
      </c>
      <c r="Q123" s="343">
        <f t="shared" si="12"/>
        <v>17396.25</v>
      </c>
      <c r="R123" s="602"/>
      <c r="S123" s="638" t="s">
        <v>278</v>
      </c>
      <c r="T123" s="649">
        <v>45869</v>
      </c>
      <c r="U123" s="652">
        <v>19124.66152455446</v>
      </c>
      <c r="V123" s="767"/>
      <c r="W123" s="542">
        <f>W102</f>
        <v>45925</v>
      </c>
      <c r="X123" s="758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42">
        <f>H103</f>
        <v>45925</v>
      </c>
      <c r="I124" s="755"/>
      <c r="J124" s="755"/>
      <c r="K124" s="272"/>
      <c r="L124" s="340">
        <v>10</v>
      </c>
      <c r="M124" s="436" t="s">
        <v>337</v>
      </c>
      <c r="N124" s="341" t="s">
        <v>174</v>
      </c>
      <c r="O124" s="563"/>
      <c r="P124" s="570">
        <v>0.1</v>
      </c>
      <c r="Q124" s="343">
        <f t="shared" si="12"/>
        <v>6958.5</v>
      </c>
      <c r="R124" s="602"/>
      <c r="S124" s="638" t="s">
        <v>278</v>
      </c>
      <c r="T124" s="649">
        <v>45869</v>
      </c>
      <c r="U124" s="652">
        <v>7649.8646098217841</v>
      </c>
      <c r="V124" s="767"/>
      <c r="W124" s="542">
        <f>W103</f>
        <v>45925</v>
      </c>
      <c r="X124" s="758"/>
      <c r="Y124" s="483"/>
    </row>
    <row r="125" spans="2:25" ht="14.25" customHeight="1">
      <c r="B125" s="340"/>
      <c r="C125" s="341"/>
      <c r="D125" s="341"/>
      <c r="E125" s="342"/>
      <c r="F125" s="472"/>
      <c r="G125" s="343"/>
      <c r="H125" s="542">
        <v>45900</v>
      </c>
      <c r="I125" s="755"/>
      <c r="J125" s="755"/>
      <c r="K125" s="272"/>
      <c r="L125" s="340">
        <v>10</v>
      </c>
      <c r="M125" s="436" t="s">
        <v>337</v>
      </c>
      <c r="N125" s="341"/>
      <c r="O125" s="563"/>
      <c r="P125" s="570"/>
      <c r="Q125" s="343">
        <v>6958.49</v>
      </c>
      <c r="R125" s="602"/>
      <c r="S125" s="638" t="s">
        <v>278</v>
      </c>
      <c r="T125" s="649">
        <v>45900</v>
      </c>
      <c r="U125" s="652">
        <v>0</v>
      </c>
      <c r="V125" s="767"/>
      <c r="W125" s="542">
        <v>45900</v>
      </c>
      <c r="X125" s="758"/>
      <c r="Y125" s="483"/>
    </row>
    <row r="126" spans="2:25" ht="14.25" customHeight="1">
      <c r="B126" s="340"/>
      <c r="C126" s="341"/>
      <c r="D126" s="341"/>
      <c r="E126" s="342"/>
      <c r="F126" s="472"/>
      <c r="G126" s="343"/>
      <c r="H126" s="542">
        <v>45900</v>
      </c>
      <c r="I126" s="755"/>
      <c r="J126" s="755"/>
      <c r="K126" s="272"/>
      <c r="L126" s="340">
        <v>10</v>
      </c>
      <c r="M126" s="436" t="s">
        <v>337</v>
      </c>
      <c r="N126" s="341"/>
      <c r="O126" s="563"/>
      <c r="P126" s="570"/>
      <c r="Q126" s="343">
        <v>-6958.5</v>
      </c>
      <c r="R126" s="602"/>
      <c r="S126" s="638" t="s">
        <v>278</v>
      </c>
      <c r="T126" s="649">
        <v>45900</v>
      </c>
      <c r="U126" s="652">
        <v>0</v>
      </c>
      <c r="V126" s="767"/>
      <c r="W126" s="542">
        <v>45900</v>
      </c>
      <c r="X126" s="758"/>
      <c r="Y126" s="483"/>
    </row>
    <row r="127" spans="2:25" ht="14.25" customHeight="1">
      <c r="B127" s="340">
        <v>10</v>
      </c>
      <c r="C127" s="341"/>
      <c r="D127" s="341"/>
      <c r="E127" s="342"/>
      <c r="F127" s="472"/>
      <c r="G127" s="343"/>
      <c r="H127" s="542">
        <f>H104</f>
        <v>45925</v>
      </c>
      <c r="I127" s="755"/>
      <c r="J127" s="755"/>
      <c r="K127" s="272"/>
      <c r="L127" s="340">
        <v>10</v>
      </c>
      <c r="M127" s="436" t="s">
        <v>337</v>
      </c>
      <c r="N127" s="341" t="s">
        <v>280</v>
      </c>
      <c r="O127" s="563"/>
      <c r="P127" s="570">
        <v>0.1</v>
      </c>
      <c r="Q127" s="343">
        <f t="shared" si="12"/>
        <v>6958.5</v>
      </c>
      <c r="R127" s="602"/>
      <c r="S127" s="638" t="s">
        <v>278</v>
      </c>
      <c r="T127" s="649">
        <v>45869</v>
      </c>
      <c r="U127" s="652">
        <v>7649.8646098217841</v>
      </c>
      <c r="V127" s="767"/>
      <c r="W127" s="542">
        <f>W104</f>
        <v>45925</v>
      </c>
      <c r="X127" s="758"/>
      <c r="Y127" s="483"/>
    </row>
    <row r="128" spans="2:25" ht="14.25" customHeight="1">
      <c r="B128" s="340"/>
      <c r="C128" s="341"/>
      <c r="D128" s="341"/>
      <c r="E128" s="342"/>
      <c r="F128" s="472"/>
      <c r="G128" s="343"/>
      <c r="H128" s="542">
        <v>45900</v>
      </c>
      <c r="I128" s="755"/>
      <c r="J128" s="755"/>
      <c r="K128" s="272"/>
      <c r="L128" s="340">
        <v>10</v>
      </c>
      <c r="M128" s="436" t="s">
        <v>337</v>
      </c>
      <c r="N128" s="341"/>
      <c r="O128" s="563"/>
      <c r="P128" s="570"/>
      <c r="Q128" s="343">
        <v>-6958.5</v>
      </c>
      <c r="R128" s="602"/>
      <c r="S128" s="638" t="s">
        <v>278</v>
      </c>
      <c r="T128" s="649">
        <v>45900</v>
      </c>
      <c r="U128" s="652">
        <v>0</v>
      </c>
      <c r="V128" s="767"/>
      <c r="W128" s="542">
        <v>45900</v>
      </c>
      <c r="X128" s="758"/>
      <c r="Y128" s="483"/>
    </row>
    <row r="129" spans="1:25" ht="14.25" customHeight="1">
      <c r="B129" s="340"/>
      <c r="C129" s="341"/>
      <c r="D129" s="341"/>
      <c r="E129" s="342"/>
      <c r="F129" s="472"/>
      <c r="G129" s="343"/>
      <c r="H129" s="542">
        <v>45900</v>
      </c>
      <c r="I129" s="755"/>
      <c r="J129" s="755"/>
      <c r="K129" s="272"/>
      <c r="L129" s="340">
        <v>10</v>
      </c>
      <c r="M129" s="436" t="s">
        <v>337</v>
      </c>
      <c r="N129" s="341"/>
      <c r="O129" s="563"/>
      <c r="P129" s="570"/>
      <c r="Q129" s="343">
        <v>6958.49</v>
      </c>
      <c r="R129" s="602"/>
      <c r="S129" s="638" t="s">
        <v>278</v>
      </c>
      <c r="T129" s="649">
        <v>45900</v>
      </c>
      <c r="U129" s="652">
        <v>0</v>
      </c>
      <c r="V129" s="767"/>
      <c r="W129" s="542">
        <v>45900</v>
      </c>
      <c r="X129" s="758"/>
      <c r="Y129" s="483"/>
    </row>
    <row r="130" spans="1:25" ht="14.25" customHeight="1">
      <c r="B130" s="340">
        <v>10</v>
      </c>
      <c r="C130" s="341"/>
      <c r="D130" s="341"/>
      <c r="E130" s="342"/>
      <c r="F130" s="472"/>
      <c r="G130" s="343"/>
      <c r="H130" s="584">
        <f>H105</f>
        <v>45932</v>
      </c>
      <c r="I130" s="755"/>
      <c r="J130" s="755"/>
      <c r="K130" s="272"/>
      <c r="L130" s="340">
        <v>10</v>
      </c>
      <c r="M130" s="436" t="s">
        <v>337</v>
      </c>
      <c r="N130" s="341" t="s">
        <v>281</v>
      </c>
      <c r="O130" s="563"/>
      <c r="P130" s="570">
        <v>0.05</v>
      </c>
      <c r="Q130" s="343">
        <f t="shared" si="12"/>
        <v>3479.25</v>
      </c>
      <c r="R130" s="602"/>
      <c r="S130" s="638" t="s">
        <v>278</v>
      </c>
      <c r="T130" s="649">
        <v>45869</v>
      </c>
      <c r="U130" s="652">
        <v>3824.9323049108921</v>
      </c>
      <c r="V130" s="767"/>
      <c r="W130" s="542">
        <f>W105</f>
        <v>46009</v>
      </c>
      <c r="X130" s="758"/>
      <c r="Y130" s="483"/>
    </row>
    <row r="131" spans="1:25" ht="14.25" customHeight="1">
      <c r="B131" s="340">
        <v>10</v>
      </c>
      <c r="C131" s="341"/>
      <c r="D131" s="341"/>
      <c r="E131" s="342"/>
      <c r="F131" s="472"/>
      <c r="G131" s="343"/>
      <c r="H131" s="584">
        <f>H106</f>
        <v>45961</v>
      </c>
      <c r="I131" s="755"/>
      <c r="J131" s="755"/>
      <c r="K131" s="272"/>
      <c r="L131" s="340">
        <v>10</v>
      </c>
      <c r="M131" s="436" t="s">
        <v>337</v>
      </c>
      <c r="N131" s="341" t="s">
        <v>282</v>
      </c>
      <c r="O131" s="563"/>
      <c r="P131" s="570">
        <v>0.05</v>
      </c>
      <c r="Q131" s="343">
        <f t="shared" si="12"/>
        <v>3479.25</v>
      </c>
      <c r="R131" s="602"/>
      <c r="S131" s="638" t="s">
        <v>278</v>
      </c>
      <c r="T131" s="649">
        <v>45869</v>
      </c>
      <c r="U131" s="652">
        <v>3824.9323049108921</v>
      </c>
      <c r="V131" s="767"/>
      <c r="W131" s="679">
        <f>W106</f>
        <v>46037</v>
      </c>
      <c r="X131" s="758"/>
      <c r="Y131" s="483"/>
    </row>
    <row r="132" spans="1:25" ht="14.1" customHeight="1">
      <c r="B132" s="340">
        <v>10</v>
      </c>
      <c r="C132" s="341"/>
      <c r="D132" s="341"/>
      <c r="E132" s="342"/>
      <c r="F132" s="472"/>
      <c r="G132" s="343"/>
      <c r="H132" s="584">
        <v>45900</v>
      </c>
      <c r="I132" s="755"/>
      <c r="J132" s="755"/>
      <c r="K132" s="272"/>
      <c r="L132" s="340">
        <v>10</v>
      </c>
      <c r="M132" s="436" t="s">
        <v>337</v>
      </c>
      <c r="N132" s="341" t="s">
        <v>339</v>
      </c>
      <c r="O132" s="563"/>
      <c r="P132" s="472"/>
      <c r="Q132" s="343">
        <v>3479.24</v>
      </c>
      <c r="R132" s="602"/>
      <c r="S132" s="638" t="s">
        <v>278</v>
      </c>
      <c r="T132" s="649">
        <v>45900</v>
      </c>
      <c r="U132" s="517">
        <v>0</v>
      </c>
      <c r="V132" s="767"/>
      <c r="W132" s="542">
        <v>45900</v>
      </c>
      <c r="X132" s="758"/>
      <c r="Y132" s="483"/>
    </row>
    <row r="133" spans="1:25" ht="14.25" customHeight="1">
      <c r="B133" s="340">
        <v>10</v>
      </c>
      <c r="C133" s="341"/>
      <c r="D133" s="341"/>
      <c r="E133" s="342"/>
      <c r="F133" s="472"/>
      <c r="G133" s="343"/>
      <c r="H133" s="584">
        <v>45900</v>
      </c>
      <c r="I133" s="755"/>
      <c r="J133" s="755"/>
      <c r="K133" s="272"/>
      <c r="L133" s="340">
        <v>10</v>
      </c>
      <c r="M133" s="436" t="s">
        <v>337</v>
      </c>
      <c r="N133" s="341"/>
      <c r="O133" s="563"/>
      <c r="P133" s="472"/>
      <c r="Q133" s="343">
        <v>-3479.25</v>
      </c>
      <c r="R133" s="602"/>
      <c r="S133" s="638" t="s">
        <v>278</v>
      </c>
      <c r="T133" s="649">
        <v>45900</v>
      </c>
      <c r="U133" s="517">
        <v>0</v>
      </c>
      <c r="V133" s="767"/>
      <c r="W133" s="542">
        <v>45900</v>
      </c>
      <c r="X133" s="758"/>
      <c r="Y133" s="483"/>
    </row>
    <row r="134" spans="1:25" ht="15" customHeight="1" thickBot="1">
      <c r="B134" s="273">
        <v>10</v>
      </c>
      <c r="C134" s="344"/>
      <c r="D134" s="344"/>
      <c r="E134" s="345"/>
      <c r="F134" s="473"/>
      <c r="G134" s="274"/>
      <c r="H134" s="585"/>
      <c r="I134" s="756"/>
      <c r="J134" s="756"/>
      <c r="K134" s="275"/>
      <c r="L134" s="273">
        <v>10</v>
      </c>
      <c r="M134" s="437" t="s">
        <v>337</v>
      </c>
      <c r="N134" s="344"/>
      <c r="O134" s="564"/>
      <c r="P134" s="473"/>
      <c r="Q134" s="274"/>
      <c r="R134" s="603"/>
      <c r="S134" s="639"/>
      <c r="T134" s="534" t="str">
        <f t="shared" si="9"/>
        <v/>
      </c>
      <c r="U134" s="518">
        <f>(Q134/$X$111*$J$111)</f>
        <v>0</v>
      </c>
      <c r="V134" s="768"/>
      <c r="W134" s="585"/>
      <c r="X134" s="759"/>
      <c r="Y134" s="483"/>
    </row>
    <row r="135" spans="1:25" ht="14.4" thickBot="1">
      <c r="A135" s="24"/>
      <c r="B135" s="276"/>
      <c r="C135" s="277"/>
      <c r="D135" s="277"/>
      <c r="E135" s="291"/>
      <c r="F135" s="457"/>
      <c r="G135" s="279"/>
      <c r="H135" s="574"/>
      <c r="I135" s="280"/>
      <c r="J135" s="403"/>
      <c r="K135" s="24"/>
      <c r="L135" s="276"/>
      <c r="M135" s="277"/>
      <c r="N135" s="277"/>
      <c r="O135" s="552"/>
      <c r="P135" s="457"/>
      <c r="Q135" s="279"/>
      <c r="R135" s="595"/>
      <c r="S135" s="632"/>
      <c r="T135" s="522" t="str">
        <f t="shared" si="9"/>
        <v/>
      </c>
      <c r="U135" s="506"/>
      <c r="V135" s="494"/>
      <c r="W135" s="574"/>
      <c r="X135" s="350"/>
      <c r="Y135" s="483"/>
    </row>
    <row r="136" spans="1:25" ht="14.25" customHeight="1">
      <c r="B136" s="281">
        <v>11</v>
      </c>
      <c r="C136" s="282" t="s">
        <v>340</v>
      </c>
      <c r="D136" s="351" t="s">
        <v>341</v>
      </c>
      <c r="E136" s="283"/>
      <c r="F136" s="438"/>
      <c r="G136" s="284">
        <v>11000</v>
      </c>
      <c r="H136" s="540">
        <v>45918</v>
      </c>
      <c r="I136" s="739">
        <f>SUM(G136:G140)</f>
        <v>29000</v>
      </c>
      <c r="J136" s="739">
        <f>F194</f>
        <v>34117.647058823532</v>
      </c>
      <c r="K136" s="285"/>
      <c r="L136" s="281">
        <v>11</v>
      </c>
      <c r="M136" s="351" t="s">
        <v>342</v>
      </c>
      <c r="N136" s="351" t="s">
        <v>341</v>
      </c>
      <c r="O136" s="283"/>
      <c r="P136" s="438"/>
      <c r="Q136" s="284">
        <v>7057.63</v>
      </c>
      <c r="R136" s="594"/>
      <c r="S136" s="631" t="s">
        <v>343</v>
      </c>
      <c r="T136" s="647">
        <v>45869</v>
      </c>
      <c r="U136" s="650">
        <v>14423.516028188707</v>
      </c>
      <c r="V136" s="729">
        <f>J136-SUM(U136:U140)</f>
        <v>-5.975000312901102E-4</v>
      </c>
      <c r="W136" s="540">
        <v>45918</v>
      </c>
      <c r="X136" s="726">
        <f>SUM(Q136:Q140)</f>
        <v>22077.23</v>
      </c>
      <c r="Y136" s="483"/>
    </row>
    <row r="137" spans="1:25" ht="15" customHeight="1">
      <c r="B137" s="311">
        <v>11</v>
      </c>
      <c r="C137" s="313"/>
      <c r="D137" s="313" t="s">
        <v>344</v>
      </c>
      <c r="E137" s="314"/>
      <c r="F137" s="460"/>
      <c r="G137" s="315">
        <v>18000</v>
      </c>
      <c r="H137" s="536">
        <v>45757</v>
      </c>
      <c r="I137" s="740"/>
      <c r="J137" s="740"/>
      <c r="K137" s="288"/>
      <c r="L137" s="311">
        <v>11</v>
      </c>
      <c r="M137" s="390" t="s">
        <v>342</v>
      </c>
      <c r="N137" s="313" t="s">
        <v>344</v>
      </c>
      <c r="O137" s="314"/>
      <c r="P137" s="460"/>
      <c r="Q137" s="315">
        <v>9019.6</v>
      </c>
      <c r="R137" s="587" t="s">
        <v>345</v>
      </c>
      <c r="S137" s="624" t="s">
        <v>346</v>
      </c>
      <c r="T137" s="644">
        <v>45777</v>
      </c>
      <c r="U137" s="645">
        <v>11826.758651622806</v>
      </c>
      <c r="V137" s="730"/>
      <c r="W137" s="536">
        <v>45757</v>
      </c>
      <c r="X137" s="727"/>
      <c r="Y137" s="483"/>
    </row>
    <row r="138" spans="1:25" ht="15" customHeight="1">
      <c r="B138" s="311">
        <v>11</v>
      </c>
      <c r="C138" s="313"/>
      <c r="D138" s="313"/>
      <c r="E138" s="314"/>
      <c r="F138" s="460"/>
      <c r="G138" s="315"/>
      <c r="H138" s="536">
        <v>45900</v>
      </c>
      <c r="I138" s="740"/>
      <c r="J138" s="740"/>
      <c r="K138" s="288"/>
      <c r="L138" s="311">
        <v>11</v>
      </c>
      <c r="M138" s="390" t="s">
        <v>342</v>
      </c>
      <c r="N138" s="388" t="s">
        <v>347</v>
      </c>
      <c r="O138" s="550"/>
      <c r="P138" s="445"/>
      <c r="Q138" s="387">
        <v>6000</v>
      </c>
      <c r="R138" s="587"/>
      <c r="S138" s="624" t="s">
        <v>348</v>
      </c>
      <c r="T138" s="641">
        <v>45900</v>
      </c>
      <c r="U138" s="651">
        <v>7867.3729765120524</v>
      </c>
      <c r="V138" s="730"/>
      <c r="W138" s="536">
        <v>45900</v>
      </c>
      <c r="X138" s="727"/>
      <c r="Y138" s="483"/>
    </row>
    <row r="139" spans="1:25" ht="15" customHeight="1">
      <c r="B139" s="311">
        <v>11</v>
      </c>
      <c r="C139" s="388"/>
      <c r="D139" s="388"/>
      <c r="E139" s="407"/>
      <c r="F139" s="445"/>
      <c r="G139" s="387"/>
      <c r="H139" s="572"/>
      <c r="I139" s="740"/>
      <c r="J139" s="740"/>
      <c r="K139" s="288"/>
      <c r="L139" s="311">
        <v>11</v>
      </c>
      <c r="M139" s="390" t="s">
        <v>342</v>
      </c>
      <c r="N139" s="388"/>
      <c r="O139" s="550"/>
      <c r="P139" s="445"/>
      <c r="Q139" s="387"/>
      <c r="R139" s="588"/>
      <c r="S139" s="625"/>
      <c r="T139" s="520" t="str">
        <f t="shared" si="9"/>
        <v/>
      </c>
      <c r="U139" s="504">
        <f>(Q139/$X$136*$J$136)</f>
        <v>0</v>
      </c>
      <c r="V139" s="730"/>
      <c r="W139" s="572"/>
      <c r="X139" s="727"/>
      <c r="Y139" s="483"/>
    </row>
    <row r="140" spans="1:25" ht="15" customHeight="1" thickBot="1">
      <c r="B140" s="316">
        <v>11</v>
      </c>
      <c r="C140" s="317"/>
      <c r="D140" s="317"/>
      <c r="E140" s="318"/>
      <c r="F140" s="461"/>
      <c r="G140" s="330"/>
      <c r="H140" s="573"/>
      <c r="I140" s="741"/>
      <c r="J140" s="741"/>
      <c r="K140" s="289"/>
      <c r="L140" s="316">
        <v>11</v>
      </c>
      <c r="M140" s="420" t="s">
        <v>342</v>
      </c>
      <c r="N140" s="317"/>
      <c r="O140" s="551"/>
      <c r="P140" s="461"/>
      <c r="Q140" s="330"/>
      <c r="R140" s="589"/>
      <c r="S140" s="626"/>
      <c r="T140" s="521" t="str">
        <f t="shared" si="9"/>
        <v/>
      </c>
      <c r="U140" s="505">
        <f>(Q140/$X$136*$J$136)</f>
        <v>0</v>
      </c>
      <c r="V140" s="731"/>
      <c r="W140" s="573"/>
      <c r="X140" s="728"/>
      <c r="Y140" s="483"/>
    </row>
    <row r="141" spans="1:25" ht="15" customHeight="1" thickBot="1">
      <c r="A141" s="24"/>
      <c r="B141" s="290"/>
      <c r="C141" s="277"/>
      <c r="D141" s="277"/>
      <c r="E141" s="291"/>
      <c r="F141" s="457"/>
      <c r="G141" s="292"/>
      <c r="H141" s="574"/>
      <c r="I141" s="280"/>
      <c r="J141" s="280"/>
      <c r="K141" s="24"/>
      <c r="L141" s="290"/>
      <c r="M141" s="277"/>
      <c r="N141" s="277"/>
      <c r="O141" s="552"/>
      <c r="P141" s="457"/>
      <c r="Q141" s="292"/>
      <c r="R141" s="590"/>
      <c r="S141" s="627"/>
      <c r="T141" s="522" t="str">
        <f t="shared" si="9"/>
        <v/>
      </c>
      <c r="U141" s="510"/>
      <c r="V141" s="493"/>
      <c r="W141" s="574"/>
      <c r="X141" s="350"/>
      <c r="Y141" s="483"/>
    </row>
    <row r="142" spans="1:25">
      <c r="B142" s="269">
        <v>12</v>
      </c>
      <c r="C142" s="270" t="s">
        <v>349</v>
      </c>
      <c r="D142" s="270" t="s">
        <v>350</v>
      </c>
      <c r="E142" s="271"/>
      <c r="F142" s="471"/>
      <c r="G142" s="338">
        <v>44017.957529582083</v>
      </c>
      <c r="H142" s="582">
        <v>45900</v>
      </c>
      <c r="I142" s="754">
        <f>SUM(G142:G143)</f>
        <v>52821.549035498501</v>
      </c>
      <c r="J142" s="754">
        <v>0</v>
      </c>
      <c r="K142" s="774"/>
      <c r="L142" s="269">
        <v>12</v>
      </c>
      <c r="M142" s="270" t="s">
        <v>351</v>
      </c>
      <c r="N142" s="270" t="s">
        <v>350</v>
      </c>
      <c r="O142" s="562"/>
      <c r="P142" s="471"/>
      <c r="Q142" s="338"/>
      <c r="R142" s="600"/>
      <c r="S142" s="636"/>
      <c r="T142" s="531" t="str">
        <f t="shared" si="9"/>
        <v/>
      </c>
      <c r="U142" s="515"/>
      <c r="V142" s="492"/>
      <c r="W142" s="582"/>
      <c r="X142" s="757">
        <f>SUM(Q142:Q143)</f>
        <v>0</v>
      </c>
      <c r="Y142" s="483"/>
    </row>
    <row r="143" spans="1:25" ht="15" customHeight="1" thickBot="1">
      <c r="B143" s="273">
        <v>12</v>
      </c>
      <c r="C143" s="344" t="s">
        <v>349</v>
      </c>
      <c r="D143" s="344" t="s">
        <v>352</v>
      </c>
      <c r="E143" s="345"/>
      <c r="F143" s="473"/>
      <c r="G143" s="274">
        <v>8803.5915059164163</v>
      </c>
      <c r="H143" s="585">
        <v>45900</v>
      </c>
      <c r="I143" s="756"/>
      <c r="J143" s="756"/>
      <c r="K143" s="775"/>
      <c r="L143" s="273">
        <v>12</v>
      </c>
      <c r="M143" s="344" t="s">
        <v>351</v>
      </c>
      <c r="N143" s="344" t="s">
        <v>352</v>
      </c>
      <c r="O143" s="564"/>
      <c r="P143" s="473"/>
      <c r="Q143" s="274"/>
      <c r="R143" s="603"/>
      <c r="S143" s="639"/>
      <c r="T143" s="534" t="str">
        <f t="shared" si="9"/>
        <v/>
      </c>
      <c r="U143" s="518"/>
      <c r="V143" s="491"/>
      <c r="W143" s="585"/>
      <c r="X143" s="759"/>
      <c r="Y143" s="483"/>
    </row>
    <row r="144" spans="1:25" ht="14.4" thickBot="1">
      <c r="A144" s="24"/>
      <c r="B144" s="290"/>
      <c r="C144" s="277"/>
      <c r="D144" s="277"/>
      <c r="E144" s="291"/>
      <c r="F144" s="457"/>
      <c r="G144" s="292"/>
      <c r="H144" s="574">
        <v>45900</v>
      </c>
      <c r="I144" s="326"/>
      <c r="J144" s="326"/>
      <c r="K144" s="24"/>
      <c r="L144" s="290"/>
      <c r="M144" s="277"/>
      <c r="N144" s="277"/>
      <c r="O144" s="552"/>
      <c r="P144" s="457"/>
      <c r="Q144" s="292"/>
      <c r="R144" s="590"/>
      <c r="S144" s="627"/>
      <c r="T144" s="522" t="str">
        <f t="shared" si="9"/>
        <v/>
      </c>
      <c r="U144" s="510"/>
      <c r="V144" s="493"/>
      <c r="W144" s="574"/>
      <c r="X144" s="484"/>
      <c r="Y144" s="483"/>
    </row>
    <row r="145" spans="1:25" ht="15.75" customHeight="1">
      <c r="B145" s="281">
        <v>13</v>
      </c>
      <c r="C145" s="282" t="s">
        <v>353</v>
      </c>
      <c r="D145" s="351" t="s">
        <v>354</v>
      </c>
      <c r="E145" s="283"/>
      <c r="F145" s="438"/>
      <c r="G145" s="284">
        <v>21199.623550724638</v>
      </c>
      <c r="H145" s="540">
        <v>45900</v>
      </c>
      <c r="I145" s="739">
        <f>SUM(G145:G149)</f>
        <v>112108.36640786749</v>
      </c>
      <c r="J145" s="739">
        <f>F193</f>
        <v>127395.87091803124</v>
      </c>
      <c r="K145" s="285"/>
      <c r="L145" s="281">
        <v>13</v>
      </c>
      <c r="M145" s="351" t="s">
        <v>355</v>
      </c>
      <c r="N145" s="351" t="s">
        <v>356</v>
      </c>
      <c r="O145" s="548"/>
      <c r="P145" s="438"/>
      <c r="Q145" s="284">
        <f>'Project Plan'!$E$6*1.25%</f>
        <v>33198.828758288124</v>
      </c>
      <c r="R145" s="594"/>
      <c r="S145" s="631" t="s">
        <v>357</v>
      </c>
      <c r="T145" s="647">
        <v>45900</v>
      </c>
      <c r="U145" s="650">
        <v>127395.87091803124</v>
      </c>
      <c r="V145" s="729">
        <f>J145-SUM(U145:U150)</f>
        <v>0</v>
      </c>
      <c r="W145" s="540">
        <v>45900</v>
      </c>
      <c r="X145" s="726">
        <f>SUM(Q145:Q150)</f>
        <v>33198.828758288124</v>
      </c>
      <c r="Y145" s="483"/>
    </row>
    <row r="146" spans="1:25" ht="15.75" customHeight="1">
      <c r="B146" s="311">
        <v>13</v>
      </c>
      <c r="C146" s="313"/>
      <c r="D146" s="313" t="s">
        <v>358</v>
      </c>
      <c r="E146" s="314"/>
      <c r="F146" s="460"/>
      <c r="G146" s="315">
        <v>14285.714285714286</v>
      </c>
      <c r="H146" s="571">
        <v>45900</v>
      </c>
      <c r="I146" s="740"/>
      <c r="J146" s="740"/>
      <c r="K146" s="288"/>
      <c r="L146" s="311">
        <v>13</v>
      </c>
      <c r="M146" s="390" t="s">
        <v>355</v>
      </c>
      <c r="N146" s="313" t="s">
        <v>358</v>
      </c>
      <c r="O146" s="549"/>
      <c r="P146" s="460"/>
      <c r="Q146" s="315">
        <v>0</v>
      </c>
      <c r="R146" s="587"/>
      <c r="S146" s="624"/>
      <c r="T146" s="519"/>
      <c r="U146" s="651">
        <v>0</v>
      </c>
      <c r="V146" s="730"/>
      <c r="W146" s="571"/>
      <c r="X146" s="727"/>
      <c r="Y146" s="483"/>
    </row>
    <row r="147" spans="1:25" ht="15.75" customHeight="1">
      <c r="B147" s="311">
        <v>13</v>
      </c>
      <c r="C147" s="313"/>
      <c r="D147" s="313" t="s">
        <v>359</v>
      </c>
      <c r="E147" s="314"/>
      <c r="F147" s="460"/>
      <c r="G147" s="315">
        <v>42500</v>
      </c>
      <c r="H147" s="571">
        <v>45900</v>
      </c>
      <c r="I147" s="740"/>
      <c r="J147" s="740"/>
      <c r="K147" s="288"/>
      <c r="L147" s="311">
        <v>13</v>
      </c>
      <c r="M147" s="390" t="s">
        <v>355</v>
      </c>
      <c r="N147" s="313" t="s">
        <v>359</v>
      </c>
      <c r="O147" s="549"/>
      <c r="P147" s="460"/>
      <c r="Q147" s="315">
        <v>0</v>
      </c>
      <c r="R147" s="587"/>
      <c r="S147" s="624"/>
      <c r="T147" s="519"/>
      <c r="U147" s="651">
        <v>0</v>
      </c>
      <c r="V147" s="730"/>
      <c r="W147" s="571"/>
      <c r="X147" s="727"/>
      <c r="Y147" s="483"/>
    </row>
    <row r="148" spans="1:25" ht="15.75" customHeight="1">
      <c r="B148" s="311">
        <v>13</v>
      </c>
      <c r="C148" s="313"/>
      <c r="D148" s="313" t="s">
        <v>360</v>
      </c>
      <c r="E148" s="314"/>
      <c r="F148" s="460"/>
      <c r="G148" s="315">
        <v>18571.428571428572</v>
      </c>
      <c r="H148" s="571">
        <v>45900</v>
      </c>
      <c r="I148" s="740"/>
      <c r="J148" s="740"/>
      <c r="K148" s="288"/>
      <c r="L148" s="311">
        <v>13</v>
      </c>
      <c r="M148" s="390" t="s">
        <v>355</v>
      </c>
      <c r="N148" s="313" t="s">
        <v>360</v>
      </c>
      <c r="O148" s="549"/>
      <c r="P148" s="460"/>
      <c r="Q148" s="315">
        <v>0</v>
      </c>
      <c r="R148" s="587"/>
      <c r="S148" s="624"/>
      <c r="T148" s="519"/>
      <c r="U148" s="651">
        <v>0</v>
      </c>
      <c r="V148" s="730"/>
      <c r="W148" s="571"/>
      <c r="X148" s="727"/>
      <c r="Y148" s="483"/>
    </row>
    <row r="149" spans="1:25" ht="15.75" customHeight="1">
      <c r="B149" s="311">
        <v>13</v>
      </c>
      <c r="C149" s="313"/>
      <c r="D149" s="313" t="s">
        <v>361</v>
      </c>
      <c r="E149" s="314"/>
      <c r="F149" s="460"/>
      <c r="G149" s="315">
        <v>15551.6</v>
      </c>
      <c r="H149" s="571">
        <v>45900</v>
      </c>
      <c r="I149" s="740"/>
      <c r="J149" s="740"/>
      <c r="K149" s="288"/>
      <c r="L149" s="311">
        <v>13</v>
      </c>
      <c r="M149" s="390" t="s">
        <v>355</v>
      </c>
      <c r="N149" s="313" t="s">
        <v>361</v>
      </c>
      <c r="O149" s="549"/>
      <c r="P149" s="460"/>
      <c r="Q149" s="315">
        <v>0</v>
      </c>
      <c r="R149" s="587"/>
      <c r="S149" s="624"/>
      <c r="T149" s="519"/>
      <c r="U149" s="651">
        <v>0</v>
      </c>
      <c r="V149" s="730"/>
      <c r="W149" s="571"/>
      <c r="X149" s="727"/>
      <c r="Y149" s="483"/>
    </row>
    <row r="150" spans="1:25" ht="15.75" customHeight="1" thickBot="1">
      <c r="B150" s="316">
        <v>13</v>
      </c>
      <c r="C150" s="317"/>
      <c r="D150" s="317"/>
      <c r="E150" s="318"/>
      <c r="F150" s="461"/>
      <c r="G150" s="330"/>
      <c r="H150" s="573"/>
      <c r="I150" s="741"/>
      <c r="J150" s="741"/>
      <c r="K150" s="364"/>
      <c r="L150" s="316">
        <v>13</v>
      </c>
      <c r="M150" s="420" t="s">
        <v>355</v>
      </c>
      <c r="N150" s="317"/>
      <c r="O150" s="551"/>
      <c r="P150" s="461"/>
      <c r="Q150" s="330"/>
      <c r="R150" s="589"/>
      <c r="S150" s="626"/>
      <c r="T150" s="521" t="str">
        <f t="shared" si="9"/>
        <v/>
      </c>
      <c r="U150" s="505">
        <f>(Q150/$X$145*$J$145)</f>
        <v>0</v>
      </c>
      <c r="V150" s="731"/>
      <c r="W150" s="573"/>
      <c r="X150" s="728"/>
      <c r="Y150" s="483"/>
    </row>
    <row r="151" spans="1:25" ht="14.4" thickBot="1">
      <c r="A151" s="24"/>
      <c r="B151" s="290"/>
      <c r="C151" s="277"/>
      <c r="D151" s="277"/>
      <c r="E151" s="291"/>
      <c r="F151" s="457"/>
      <c r="G151" s="292"/>
      <c r="H151" s="574"/>
      <c r="I151" s="280"/>
      <c r="J151" s="280"/>
      <c r="K151" s="24"/>
      <c r="L151" s="290"/>
      <c r="M151" s="277"/>
      <c r="N151" s="277"/>
      <c r="O151" s="552"/>
      <c r="P151" s="457"/>
      <c r="Q151" s="292"/>
      <c r="R151" s="590"/>
      <c r="S151" s="627"/>
      <c r="T151" s="522" t="str">
        <f t="shared" si="9"/>
        <v/>
      </c>
      <c r="U151" s="510"/>
      <c r="V151" s="493"/>
      <c r="W151" s="574"/>
      <c r="X151" s="484"/>
      <c r="Y151" s="483"/>
    </row>
    <row r="152" spans="1:25" ht="14.25" customHeight="1">
      <c r="B152" s="269">
        <v>14</v>
      </c>
      <c r="C152" s="270" t="s">
        <v>362</v>
      </c>
      <c r="D152" s="270" t="s">
        <v>363</v>
      </c>
      <c r="E152" s="271"/>
      <c r="F152" s="471"/>
      <c r="G152" s="338">
        <v>4375</v>
      </c>
      <c r="H152" s="643">
        <v>45785</v>
      </c>
      <c r="I152" s="754">
        <f>SUM(G152:G163)</f>
        <v>4375</v>
      </c>
      <c r="J152" s="754">
        <f>F204</f>
        <v>5147.0588235294117</v>
      </c>
      <c r="K152" s="339"/>
      <c r="L152" s="269">
        <v>14</v>
      </c>
      <c r="M152" s="435" t="s">
        <v>364</v>
      </c>
      <c r="N152" s="270" t="s">
        <v>365</v>
      </c>
      <c r="O152" s="562"/>
      <c r="P152" s="471"/>
      <c r="Q152" s="338">
        <v>7750</v>
      </c>
      <c r="R152" s="600"/>
      <c r="S152" s="636" t="s">
        <v>366</v>
      </c>
      <c r="T152" s="642">
        <v>45777</v>
      </c>
      <c r="U152" s="646">
        <v>3545.751633986928</v>
      </c>
      <c r="V152" s="766">
        <f>J152-SUM(U152:U163)</f>
        <v>3.9511194863735E-3</v>
      </c>
      <c r="W152" s="643">
        <v>45785</v>
      </c>
      <c r="X152" s="757">
        <f>SUM(Q152:Q163)</f>
        <v>33819.85</v>
      </c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42">
        <v>45777</v>
      </c>
      <c r="I153" s="755"/>
      <c r="J153" s="755"/>
      <c r="K153" s="272"/>
      <c r="L153" s="340">
        <v>14</v>
      </c>
      <c r="M153" s="436" t="s">
        <v>364</v>
      </c>
      <c r="N153" s="341" t="s">
        <v>365</v>
      </c>
      <c r="O153" s="563"/>
      <c r="P153" s="472"/>
      <c r="Q153" s="343">
        <v>0</v>
      </c>
      <c r="R153" s="602"/>
      <c r="S153" s="638" t="s">
        <v>367</v>
      </c>
      <c r="T153" s="649">
        <v>45777</v>
      </c>
      <c r="U153" s="652">
        <v>0</v>
      </c>
      <c r="V153" s="767"/>
      <c r="W153" s="542">
        <v>45777</v>
      </c>
      <c r="X153" s="758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42">
        <v>45817</v>
      </c>
      <c r="I154" s="755"/>
      <c r="J154" s="755"/>
      <c r="K154" s="272"/>
      <c r="L154" s="340">
        <v>14</v>
      </c>
      <c r="M154" s="436" t="s">
        <v>364</v>
      </c>
      <c r="N154" s="341" t="s">
        <v>365</v>
      </c>
      <c r="O154" s="563"/>
      <c r="P154" s="472"/>
      <c r="Q154" s="343">
        <v>7624.0500000000011</v>
      </c>
      <c r="R154" s="602"/>
      <c r="S154" s="638" t="s">
        <v>367</v>
      </c>
      <c r="T154" s="649">
        <v>45808</v>
      </c>
      <c r="U154" s="652">
        <v>1196.46047460556</v>
      </c>
      <c r="V154" s="767"/>
      <c r="W154" s="542">
        <v>45817</v>
      </c>
      <c r="X154" s="758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42">
        <v>45842</v>
      </c>
      <c r="I155" s="755"/>
      <c r="J155" s="755"/>
      <c r="K155" s="272"/>
      <c r="L155" s="340">
        <v>14</v>
      </c>
      <c r="M155" s="436" t="s">
        <v>364</v>
      </c>
      <c r="N155" s="341" t="s">
        <v>365</v>
      </c>
      <c r="O155" s="563"/>
      <c r="P155" s="472"/>
      <c r="Q155" s="343">
        <v>12174.800000000001</v>
      </c>
      <c r="R155" s="602"/>
      <c r="S155" s="638" t="s">
        <v>367</v>
      </c>
      <c r="T155" s="649">
        <v>45838</v>
      </c>
      <c r="U155" s="652">
        <v>287.34276381743746</v>
      </c>
      <c r="V155" s="767"/>
      <c r="W155" s="542">
        <v>45842</v>
      </c>
      <c r="X155" s="758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42">
        <v>45869</v>
      </c>
      <c r="I156" s="755"/>
      <c r="J156" s="755"/>
      <c r="K156" s="272"/>
      <c r="L156" s="340">
        <v>14</v>
      </c>
      <c r="M156" s="436" t="s">
        <v>364</v>
      </c>
      <c r="N156" s="341" t="s">
        <v>365</v>
      </c>
      <c r="O156" s="563"/>
      <c r="P156" s="472"/>
      <c r="Q156" s="673">
        <v>0</v>
      </c>
      <c r="R156" s="602"/>
      <c r="S156" s="638" t="s">
        <v>367</v>
      </c>
      <c r="T156" s="649">
        <f t="shared" ref="T156:T162" si="13">IF(W156&gt;1,EOMONTH(W156,0),"")</f>
        <v>45869</v>
      </c>
      <c r="U156" s="517">
        <v>0</v>
      </c>
      <c r="V156" s="767"/>
      <c r="W156" s="542">
        <v>45869</v>
      </c>
      <c r="X156" s="758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42">
        <v>45905</v>
      </c>
      <c r="I157" s="755"/>
      <c r="J157" s="755"/>
      <c r="K157" s="272"/>
      <c r="L157" s="340">
        <v>14</v>
      </c>
      <c r="M157" s="436" t="s">
        <v>364</v>
      </c>
      <c r="N157" s="341" t="s">
        <v>365</v>
      </c>
      <c r="O157" s="563"/>
      <c r="P157" s="472"/>
      <c r="Q157" s="343">
        <v>3061.43</v>
      </c>
      <c r="R157" s="602"/>
      <c r="S157" s="638" t="s">
        <v>367</v>
      </c>
      <c r="T157" s="649">
        <v>45900</v>
      </c>
      <c r="U157" s="652">
        <v>117.5</v>
      </c>
      <c r="V157" s="767"/>
      <c r="W157" s="542">
        <v>45905</v>
      </c>
      <c r="X157" s="758"/>
      <c r="Y157" s="483"/>
    </row>
    <row r="158" spans="1:25" ht="14.25" customHeight="1">
      <c r="B158" s="340">
        <v>14</v>
      </c>
      <c r="C158" s="341"/>
      <c r="D158" s="341"/>
      <c r="E158" s="342"/>
      <c r="F158" s="472"/>
      <c r="G158" s="343"/>
      <c r="H158" s="584">
        <v>45930</v>
      </c>
      <c r="I158" s="755"/>
      <c r="J158" s="755"/>
      <c r="K158" s="272"/>
      <c r="L158" s="340">
        <v>14</v>
      </c>
      <c r="M158" s="436" t="s">
        <v>364</v>
      </c>
      <c r="N158" s="341" t="s">
        <v>365</v>
      </c>
      <c r="O158" s="563"/>
      <c r="P158" s="472"/>
      <c r="Q158" s="343">
        <v>1307.83</v>
      </c>
      <c r="R158" s="602"/>
      <c r="S158" s="638" t="s">
        <v>367</v>
      </c>
      <c r="T158" s="680">
        <v>45930</v>
      </c>
      <c r="U158" s="517">
        <v>0</v>
      </c>
      <c r="V158" s="767"/>
      <c r="W158" s="679">
        <v>45940</v>
      </c>
      <c r="X158" s="758"/>
      <c r="Y158" s="483"/>
    </row>
    <row r="159" spans="1:25" ht="14.25" customHeight="1">
      <c r="B159" s="340">
        <v>14</v>
      </c>
      <c r="C159" s="341"/>
      <c r="D159" s="341"/>
      <c r="E159" s="342"/>
      <c r="F159" s="472"/>
      <c r="G159" s="343"/>
      <c r="H159" s="584">
        <v>45961</v>
      </c>
      <c r="I159" s="755"/>
      <c r="J159" s="755"/>
      <c r="K159" s="272"/>
      <c r="L159" s="340">
        <v>14</v>
      </c>
      <c r="M159" s="436" t="s">
        <v>364</v>
      </c>
      <c r="N159" s="341" t="s">
        <v>365</v>
      </c>
      <c r="O159" s="563"/>
      <c r="P159" s="472"/>
      <c r="Q159" s="343">
        <v>1901.74</v>
      </c>
      <c r="R159" s="602"/>
      <c r="S159" s="638" t="s">
        <v>367</v>
      </c>
      <c r="T159" s="680">
        <v>45961</v>
      </c>
      <c r="U159" s="517">
        <v>0</v>
      </c>
      <c r="V159" s="767"/>
      <c r="W159" s="679">
        <v>45967</v>
      </c>
      <c r="X159" s="758"/>
      <c r="Y159" s="483"/>
    </row>
    <row r="160" spans="1:25" ht="14.25" customHeight="1">
      <c r="B160" s="340">
        <v>14</v>
      </c>
      <c r="C160" s="341"/>
      <c r="D160" s="341"/>
      <c r="E160" s="342"/>
      <c r="F160" s="472"/>
      <c r="G160" s="343"/>
      <c r="H160" s="584">
        <v>45991</v>
      </c>
      <c r="I160" s="755"/>
      <c r="J160" s="755"/>
      <c r="K160" s="272"/>
      <c r="L160" s="340">
        <v>14</v>
      </c>
      <c r="M160" s="436" t="s">
        <v>364</v>
      </c>
      <c r="N160" s="341" t="s">
        <v>365</v>
      </c>
      <c r="O160" s="563"/>
      <c r="P160" s="472"/>
      <c r="Q160" s="343">
        <v>0</v>
      </c>
      <c r="R160" s="602"/>
      <c r="S160" s="638"/>
      <c r="T160" s="533"/>
      <c r="U160" s="517">
        <v>0</v>
      </c>
      <c r="V160" s="767"/>
      <c r="W160" s="584"/>
      <c r="X160" s="758"/>
      <c r="Y160" s="483"/>
    </row>
    <row r="161" spans="1:25" ht="14.25" customHeight="1">
      <c r="B161" s="340">
        <v>14</v>
      </c>
      <c r="C161" s="341"/>
      <c r="D161" s="341"/>
      <c r="E161" s="342"/>
      <c r="F161" s="472"/>
      <c r="G161" s="343"/>
      <c r="H161" s="584">
        <v>46022</v>
      </c>
      <c r="I161" s="755"/>
      <c r="J161" s="755"/>
      <c r="K161" s="272"/>
      <c r="L161" s="340">
        <v>14</v>
      </c>
      <c r="M161" s="436" t="s">
        <v>364</v>
      </c>
      <c r="N161" s="341" t="s">
        <v>365</v>
      </c>
      <c r="O161" s="563"/>
      <c r="P161" s="472"/>
      <c r="Q161" s="343">
        <v>0</v>
      </c>
      <c r="R161" s="602"/>
      <c r="S161" s="638"/>
      <c r="T161" s="533"/>
      <c r="U161" s="517">
        <v>0</v>
      </c>
      <c r="V161" s="767"/>
      <c r="W161" s="584"/>
      <c r="X161" s="758"/>
      <c r="Y161" s="483"/>
    </row>
    <row r="162" spans="1:25" ht="14.25" customHeight="1">
      <c r="B162" s="340">
        <v>14</v>
      </c>
      <c r="C162" s="341"/>
      <c r="D162" s="341"/>
      <c r="E162" s="342"/>
      <c r="F162" s="472"/>
      <c r="G162" s="343"/>
      <c r="H162" s="584"/>
      <c r="I162" s="755"/>
      <c r="J162" s="755"/>
      <c r="K162" s="272"/>
      <c r="L162" s="340">
        <v>14</v>
      </c>
      <c r="M162" s="436" t="s">
        <v>364</v>
      </c>
      <c r="N162" s="341"/>
      <c r="O162" s="563"/>
      <c r="P162" s="472"/>
      <c r="Q162" s="343"/>
      <c r="R162" s="602"/>
      <c r="S162" s="638"/>
      <c r="T162" s="533" t="str">
        <f t="shared" si="13"/>
        <v/>
      </c>
      <c r="U162" s="517">
        <f>(Q162/$X$152*$J$152)</f>
        <v>0</v>
      </c>
      <c r="V162" s="767"/>
      <c r="W162" s="584"/>
      <c r="X162" s="758"/>
      <c r="Y162" s="483"/>
    </row>
    <row r="163" spans="1:25" ht="15" customHeight="1" thickBot="1">
      <c r="B163" s="273">
        <v>14</v>
      </c>
      <c r="C163" s="344"/>
      <c r="D163" s="344"/>
      <c r="E163" s="345"/>
      <c r="F163" s="473"/>
      <c r="G163" s="274"/>
      <c r="H163" s="585"/>
      <c r="I163" s="756"/>
      <c r="J163" s="756"/>
      <c r="K163" s="275"/>
      <c r="L163" s="273">
        <v>14</v>
      </c>
      <c r="M163" s="437" t="s">
        <v>364</v>
      </c>
      <c r="N163" s="344"/>
      <c r="O163" s="564"/>
      <c r="P163" s="473"/>
      <c r="Q163" s="274"/>
      <c r="R163" s="603"/>
      <c r="S163" s="639"/>
      <c r="T163" s="534" t="str">
        <f t="shared" si="9"/>
        <v/>
      </c>
      <c r="U163" s="518">
        <f>(Q163/$X$152*$J$152)</f>
        <v>0</v>
      </c>
      <c r="V163" s="768"/>
      <c r="W163" s="585"/>
      <c r="X163" s="759"/>
      <c r="Y163" s="483"/>
    </row>
    <row r="164" spans="1:25" ht="14.4" thickBot="1">
      <c r="A164" s="24"/>
      <c r="B164" s="290"/>
      <c r="C164" s="277"/>
      <c r="D164" s="277"/>
      <c r="E164" s="291"/>
      <c r="F164" s="457"/>
      <c r="G164" s="292"/>
      <c r="H164" s="574"/>
      <c r="I164" s="346"/>
      <c r="J164" s="346"/>
      <c r="K164" s="24"/>
      <c r="L164" s="290"/>
      <c r="M164" s="277"/>
      <c r="N164" s="277"/>
      <c r="O164" s="552"/>
      <c r="P164" s="457"/>
      <c r="Q164" s="292"/>
      <c r="R164" s="590"/>
      <c r="S164" s="627"/>
      <c r="T164" s="522" t="str">
        <f t="shared" si="9"/>
        <v/>
      </c>
      <c r="U164" s="510"/>
      <c r="V164" s="493"/>
      <c r="W164" s="574"/>
      <c r="X164" s="490"/>
      <c r="Y164" s="483"/>
    </row>
    <row r="165" spans="1:25">
      <c r="B165" s="281">
        <v>15</v>
      </c>
      <c r="C165" s="282" t="s">
        <v>368</v>
      </c>
      <c r="D165" s="282" t="s">
        <v>369</v>
      </c>
      <c r="E165" s="283"/>
      <c r="F165" s="438"/>
      <c r="G165" s="284">
        <f>D201</f>
        <v>300000</v>
      </c>
      <c r="H165" s="540">
        <v>45849</v>
      </c>
      <c r="I165" s="739">
        <f>SUM(G165:G176)</f>
        <v>300000</v>
      </c>
      <c r="J165" s="739">
        <f>F201</f>
        <v>300000</v>
      </c>
      <c r="K165" s="285"/>
      <c r="L165" s="281">
        <v>15</v>
      </c>
      <c r="M165" s="351" t="s">
        <v>370</v>
      </c>
      <c r="N165" s="282" t="s">
        <v>371</v>
      </c>
      <c r="O165" s="283"/>
      <c r="P165" s="438"/>
      <c r="Q165" s="284">
        <f>398000/2</f>
        <v>199000</v>
      </c>
      <c r="R165" s="594"/>
      <c r="S165" s="631" t="s">
        <v>372</v>
      </c>
      <c r="T165" s="647">
        <v>45838</v>
      </c>
      <c r="U165" s="650">
        <v>150000</v>
      </c>
      <c r="V165" s="729">
        <f>J165-SUM(U165:U176)</f>
        <v>0</v>
      </c>
      <c r="W165" s="540">
        <v>45849</v>
      </c>
      <c r="X165" s="726">
        <f>SUM(Q165:Q176)</f>
        <v>478107.1</v>
      </c>
      <c r="Y165" s="483"/>
    </row>
    <row r="166" spans="1:25">
      <c r="B166" s="311">
        <v>15</v>
      </c>
      <c r="C166" s="313"/>
      <c r="D166" s="313"/>
      <c r="E166" s="314"/>
      <c r="F166" s="460"/>
      <c r="G166" s="315"/>
      <c r="H166" s="536">
        <v>45925</v>
      </c>
      <c r="I166" s="740"/>
      <c r="J166" s="740"/>
      <c r="K166" s="288"/>
      <c r="L166" s="311">
        <v>15</v>
      </c>
      <c r="M166" s="390" t="s">
        <v>370</v>
      </c>
      <c r="N166" s="313" t="s">
        <v>373</v>
      </c>
      <c r="O166" s="549"/>
      <c r="P166" s="460"/>
      <c r="Q166" s="315">
        <f>398000/2</f>
        <v>199000</v>
      </c>
      <c r="R166" s="587"/>
      <c r="S166" s="624" t="s">
        <v>372</v>
      </c>
      <c r="T166" s="641">
        <v>45838</v>
      </c>
      <c r="U166" s="651">
        <v>150000</v>
      </c>
      <c r="V166" s="730"/>
      <c r="W166" s="536">
        <v>45925</v>
      </c>
      <c r="X166" s="727"/>
      <c r="Y166" s="483"/>
    </row>
    <row r="167" spans="1:25">
      <c r="B167" s="311">
        <v>15</v>
      </c>
      <c r="C167" s="313"/>
      <c r="D167" s="313"/>
      <c r="E167" s="314"/>
      <c r="F167" s="460"/>
      <c r="G167" s="315"/>
      <c r="H167" s="571"/>
      <c r="I167" s="740"/>
      <c r="J167" s="740"/>
      <c r="K167" s="288"/>
      <c r="L167" s="311">
        <v>15</v>
      </c>
      <c r="M167" s="390" t="s">
        <v>370</v>
      </c>
      <c r="N167" s="313"/>
      <c r="O167" s="549"/>
      <c r="P167" s="460"/>
      <c r="Q167" s="315"/>
      <c r="R167" s="587"/>
      <c r="S167" s="624"/>
      <c r="T167" s="519" t="str">
        <f>IF(W167&gt;1,EOMONTH(W167,0),"")</f>
        <v/>
      </c>
      <c r="U167" s="503">
        <f t="shared" ref="U167:U176" si="14">(Q167/$X$165*$J$165)</f>
        <v>0</v>
      </c>
      <c r="V167" s="730"/>
      <c r="W167" s="571"/>
      <c r="X167" s="727"/>
      <c r="Y167" s="483"/>
    </row>
    <row r="168" spans="1:25">
      <c r="B168" s="311">
        <v>15</v>
      </c>
      <c r="C168" s="313"/>
      <c r="D168" s="313"/>
      <c r="E168" s="314"/>
      <c r="F168" s="460"/>
      <c r="G168" s="315"/>
      <c r="H168" s="571"/>
      <c r="I168" s="740"/>
      <c r="J168" s="740"/>
      <c r="K168" s="288"/>
      <c r="L168" s="311">
        <v>15</v>
      </c>
      <c r="M168" s="390" t="s">
        <v>370</v>
      </c>
      <c r="N168" s="313" t="s">
        <v>374</v>
      </c>
      <c r="O168" s="549"/>
      <c r="P168" s="460"/>
      <c r="Q168" s="315">
        <v>237.1</v>
      </c>
      <c r="R168" s="587"/>
      <c r="S168" s="624" t="s">
        <v>375</v>
      </c>
      <c r="T168" s="644">
        <v>45930</v>
      </c>
      <c r="U168" s="503">
        <v>0</v>
      </c>
      <c r="V168" s="730"/>
      <c r="W168" s="689">
        <v>45961</v>
      </c>
      <c r="X168" s="727"/>
      <c r="Y168" s="483"/>
    </row>
    <row r="169" spans="1:25">
      <c r="B169" s="311">
        <v>15</v>
      </c>
      <c r="C169" s="313"/>
      <c r="D169" s="313"/>
      <c r="E169" s="314"/>
      <c r="F169" s="460"/>
      <c r="G169" s="315"/>
      <c r="H169" s="571"/>
      <c r="I169" s="740"/>
      <c r="J169" s="740"/>
      <c r="K169" s="288"/>
      <c r="L169" s="311">
        <v>15</v>
      </c>
      <c r="M169" s="390" t="s">
        <v>370</v>
      </c>
      <c r="N169" s="313"/>
      <c r="O169" s="549"/>
      <c r="P169" s="460"/>
      <c r="Q169" s="315"/>
      <c r="R169" s="587"/>
      <c r="S169" s="624"/>
      <c r="T169" s="519" t="str">
        <f t="shared" ref="T169:T175" si="15">IF(W169&gt;1,EOMONTH(W169,0),"")</f>
        <v/>
      </c>
      <c r="U169" s="503">
        <f t="shared" si="14"/>
        <v>0</v>
      </c>
      <c r="V169" s="730"/>
      <c r="W169" s="571"/>
      <c r="X169" s="727"/>
      <c r="Y169" s="483"/>
    </row>
    <row r="170" spans="1:25">
      <c r="B170" s="311">
        <v>15</v>
      </c>
      <c r="C170" s="313"/>
      <c r="D170" s="313"/>
      <c r="E170" s="314"/>
      <c r="F170" s="460"/>
      <c r="G170" s="315"/>
      <c r="H170" s="571"/>
      <c r="I170" s="740"/>
      <c r="J170" s="740"/>
      <c r="K170" s="288"/>
      <c r="L170" s="311">
        <v>15</v>
      </c>
      <c r="M170" s="390" t="s">
        <v>370</v>
      </c>
      <c r="N170" s="313"/>
      <c r="O170" s="549"/>
      <c r="P170" s="460"/>
      <c r="Q170" s="315"/>
      <c r="R170" s="587"/>
      <c r="S170" s="624"/>
      <c r="T170" s="641"/>
      <c r="U170" s="503"/>
      <c r="V170" s="730"/>
      <c r="W170" s="571"/>
      <c r="X170" s="727"/>
      <c r="Y170" s="483"/>
    </row>
    <row r="171" spans="1:25">
      <c r="B171" s="311">
        <v>15</v>
      </c>
      <c r="C171" s="313"/>
      <c r="D171" s="313"/>
      <c r="E171" s="314"/>
      <c r="F171" s="460"/>
      <c r="G171" s="315"/>
      <c r="H171" s="571"/>
      <c r="I171" s="740"/>
      <c r="J171" s="740"/>
      <c r="K171" s="288"/>
      <c r="L171" s="311">
        <v>15</v>
      </c>
      <c r="M171" s="390" t="s">
        <v>370</v>
      </c>
      <c r="N171" s="313"/>
      <c r="O171" s="549"/>
      <c r="P171" s="460"/>
      <c r="Q171" s="315"/>
      <c r="R171" s="587"/>
      <c r="S171" s="624"/>
      <c r="T171" s="519" t="str">
        <f t="shared" si="15"/>
        <v/>
      </c>
      <c r="U171" s="503">
        <f t="shared" si="14"/>
        <v>0</v>
      </c>
      <c r="V171" s="730"/>
      <c r="W171" s="571"/>
      <c r="X171" s="727"/>
      <c r="Y171" s="483"/>
    </row>
    <row r="172" spans="1:25">
      <c r="B172" s="311">
        <v>15</v>
      </c>
      <c r="C172" s="313"/>
      <c r="D172" s="313"/>
      <c r="E172" s="314"/>
      <c r="F172" s="460"/>
      <c r="G172" s="315"/>
      <c r="H172" s="571"/>
      <c r="I172" s="740"/>
      <c r="J172" s="740"/>
      <c r="K172" s="288"/>
      <c r="L172" s="311">
        <v>15</v>
      </c>
      <c r="M172" s="390" t="s">
        <v>370</v>
      </c>
      <c r="N172" s="313" t="s">
        <v>376</v>
      </c>
      <c r="O172" s="688">
        <v>0.5</v>
      </c>
      <c r="P172" s="460">
        <v>79870</v>
      </c>
      <c r="Q172" s="315">
        <f>O172*P172</f>
        <v>39935</v>
      </c>
      <c r="R172" s="587"/>
      <c r="S172" s="624" t="s">
        <v>377</v>
      </c>
      <c r="T172" s="641">
        <v>45961</v>
      </c>
      <c r="U172" s="503"/>
      <c r="V172" s="730"/>
      <c r="W172" s="536">
        <v>45967</v>
      </c>
      <c r="X172" s="727"/>
      <c r="Y172" s="483"/>
    </row>
    <row r="173" spans="1:25">
      <c r="B173" s="311">
        <v>15</v>
      </c>
      <c r="C173" s="313"/>
      <c r="D173" s="313"/>
      <c r="E173" s="314"/>
      <c r="F173" s="460"/>
      <c r="G173" s="315"/>
      <c r="H173" s="571"/>
      <c r="I173" s="740"/>
      <c r="J173" s="740"/>
      <c r="K173" s="288"/>
      <c r="L173" s="311">
        <v>15</v>
      </c>
      <c r="M173" s="390" t="s">
        <v>370</v>
      </c>
      <c r="N173" s="313"/>
      <c r="O173" s="688">
        <v>0.5</v>
      </c>
      <c r="P173" s="460"/>
      <c r="Q173" s="315">
        <f>O173*P172</f>
        <v>39935</v>
      </c>
      <c r="R173" s="587"/>
      <c r="S173" s="624" t="s">
        <v>377</v>
      </c>
      <c r="T173" s="644">
        <v>45961</v>
      </c>
      <c r="U173" s="503"/>
      <c r="V173" s="730"/>
      <c r="W173" s="536">
        <v>46058</v>
      </c>
      <c r="X173" s="727"/>
      <c r="Y173" s="483"/>
    </row>
    <row r="174" spans="1:25">
      <c r="B174" s="311">
        <v>15</v>
      </c>
      <c r="C174" s="313"/>
      <c r="D174" s="313"/>
      <c r="E174" s="314"/>
      <c r="F174" s="460"/>
      <c r="G174" s="315"/>
      <c r="H174" s="571"/>
      <c r="I174" s="740"/>
      <c r="J174" s="740"/>
      <c r="K174" s="288"/>
      <c r="L174" s="311">
        <v>15</v>
      </c>
      <c r="M174" s="390" t="s">
        <v>370</v>
      </c>
      <c r="N174" s="313"/>
      <c r="O174" s="549"/>
      <c r="P174" s="460"/>
      <c r="Q174" s="315"/>
      <c r="R174" s="587"/>
      <c r="S174" s="624"/>
      <c r="T174" s="519" t="str">
        <f t="shared" si="15"/>
        <v/>
      </c>
      <c r="U174" s="503">
        <f t="shared" si="14"/>
        <v>0</v>
      </c>
      <c r="V174" s="730"/>
      <c r="W174" s="571"/>
      <c r="X174" s="727"/>
      <c r="Y174" s="483"/>
    </row>
    <row r="175" spans="1:25">
      <c r="B175" s="311">
        <v>15</v>
      </c>
      <c r="C175" s="313"/>
      <c r="D175" s="313"/>
      <c r="E175" s="314"/>
      <c r="F175" s="460"/>
      <c r="G175" s="315"/>
      <c r="H175" s="571"/>
      <c r="I175" s="740"/>
      <c r="J175" s="740"/>
      <c r="K175" s="288"/>
      <c r="L175" s="311">
        <v>15</v>
      </c>
      <c r="M175" s="390" t="s">
        <v>370</v>
      </c>
      <c r="N175" s="313"/>
      <c r="O175" s="549"/>
      <c r="P175" s="460"/>
      <c r="Q175" s="315"/>
      <c r="R175" s="587"/>
      <c r="S175" s="624"/>
      <c r="T175" s="519" t="str">
        <f t="shared" si="15"/>
        <v/>
      </c>
      <c r="U175" s="503">
        <f t="shared" si="14"/>
        <v>0</v>
      </c>
      <c r="V175" s="730"/>
      <c r="W175" s="571"/>
      <c r="X175" s="727"/>
      <c r="Y175" s="483"/>
    </row>
    <row r="176" spans="1:25" ht="15" customHeight="1" thickBot="1">
      <c r="B176" s="316">
        <v>15</v>
      </c>
      <c r="C176" s="317"/>
      <c r="D176" s="317"/>
      <c r="E176" s="318"/>
      <c r="F176" s="461"/>
      <c r="G176" s="330"/>
      <c r="H176" s="573"/>
      <c r="I176" s="741"/>
      <c r="J176" s="741"/>
      <c r="K176" s="289"/>
      <c r="L176" s="316">
        <v>15</v>
      </c>
      <c r="M176" s="420" t="s">
        <v>370</v>
      </c>
      <c r="N176" s="317"/>
      <c r="O176" s="551"/>
      <c r="P176" s="461"/>
      <c r="Q176" s="330"/>
      <c r="R176" s="589"/>
      <c r="S176" s="626"/>
      <c r="T176" s="521" t="str">
        <f t="shared" si="9"/>
        <v/>
      </c>
      <c r="U176" s="505">
        <f t="shared" si="14"/>
        <v>0</v>
      </c>
      <c r="V176" s="731"/>
      <c r="W176" s="573"/>
      <c r="X176" s="728"/>
      <c r="Y176" s="483"/>
    </row>
    <row r="177" spans="2:24" s="3" customFormat="1">
      <c r="B177" s="109"/>
      <c r="E177" s="4"/>
      <c r="F177" s="474"/>
      <c r="G177" s="5"/>
      <c r="H177" s="348"/>
      <c r="I177" s="347"/>
      <c r="J177" s="347"/>
      <c r="L177" s="109"/>
      <c r="O177" s="4"/>
      <c r="P177" s="474"/>
      <c r="Q177" s="348"/>
      <c r="R177" s="348"/>
      <c r="S177" s="348"/>
      <c r="T177" s="348"/>
      <c r="U177" s="348"/>
      <c r="V177" s="348"/>
      <c r="W177" s="348"/>
      <c r="X177" s="348"/>
    </row>
    <row r="178" spans="2:24">
      <c r="B178" s="112"/>
      <c r="C178" s="547" t="s">
        <v>378</v>
      </c>
      <c r="D178" s="24">
        <v>560797.4</v>
      </c>
      <c r="E178" s="165"/>
      <c r="F178" s="547">
        <v>637269.77272727271</v>
      </c>
      <c r="G178" s="112"/>
      <c r="I178" s="112"/>
      <c r="J178" s="112"/>
    </row>
    <row r="179" spans="2:24">
      <c r="B179" s="112"/>
      <c r="C179" s="547" t="s">
        <v>379</v>
      </c>
      <c r="D179" s="24">
        <v>160000</v>
      </c>
      <c r="E179" s="165"/>
      <c r="F179" s="547">
        <v>181818.18181818182</v>
      </c>
      <c r="G179" s="112"/>
      <c r="I179" s="256"/>
      <c r="J179" s="256"/>
    </row>
    <row r="180" spans="2:24">
      <c r="B180" s="112"/>
      <c r="C180" s="547" t="s">
        <v>380</v>
      </c>
      <c r="D180" s="24">
        <v>115829.99999999999</v>
      </c>
      <c r="E180" s="165"/>
      <c r="F180" s="547">
        <v>131624.99999999997</v>
      </c>
      <c r="G180" s="112"/>
      <c r="I180" s="349"/>
      <c r="J180" s="349"/>
    </row>
    <row r="181" spans="2:24">
      <c r="B181" s="112"/>
      <c r="C181" s="547" t="s">
        <v>269</v>
      </c>
      <c r="D181" s="24">
        <v>203544</v>
      </c>
      <c r="E181" s="165"/>
      <c r="F181" s="547">
        <v>231300</v>
      </c>
      <c r="G181" s="112"/>
      <c r="I181" s="256"/>
      <c r="J181" s="256"/>
    </row>
    <row r="182" spans="2:24">
      <c r="B182" s="112"/>
      <c r="C182" s="547" t="s">
        <v>311</v>
      </c>
      <c r="D182" s="24">
        <v>306751.81739130436</v>
      </c>
      <c r="E182" s="165"/>
      <c r="F182" s="547">
        <v>348581.61067193677</v>
      </c>
      <c r="G182" s="112"/>
      <c r="I182" s="349"/>
      <c r="J182" s="349"/>
    </row>
    <row r="183" spans="2:24">
      <c r="B183" s="112"/>
      <c r="C183" s="547" t="s">
        <v>284</v>
      </c>
      <c r="D183" s="24">
        <v>49000</v>
      </c>
      <c r="E183" s="165"/>
      <c r="F183" s="547">
        <v>55681.818181818184</v>
      </c>
      <c r="G183" s="112"/>
      <c r="I183" s="256"/>
      <c r="J183" s="256"/>
    </row>
    <row r="184" spans="2:24">
      <c r="B184" s="112"/>
      <c r="C184" s="547" t="s">
        <v>381</v>
      </c>
      <c r="D184" s="24">
        <v>0</v>
      </c>
      <c r="E184" s="165"/>
      <c r="F184" s="547">
        <v>0</v>
      </c>
      <c r="G184" s="112"/>
      <c r="I184" s="256"/>
      <c r="J184" s="256"/>
    </row>
    <row r="185" spans="2:24">
      <c r="B185" s="112"/>
      <c r="C185" s="547" t="s">
        <v>382</v>
      </c>
      <c r="D185" s="24">
        <v>250000</v>
      </c>
      <c r="E185" s="165"/>
      <c r="F185" s="547">
        <v>284090.90909090906</v>
      </c>
      <c r="G185" s="112"/>
      <c r="I185" s="256"/>
      <c r="J185" s="256"/>
    </row>
    <row r="186" spans="2:24">
      <c r="B186" s="112"/>
      <c r="C186" s="547" t="s">
        <v>383</v>
      </c>
      <c r="D186" s="24">
        <v>0</v>
      </c>
      <c r="E186" s="165"/>
      <c r="F186" s="547">
        <v>0</v>
      </c>
      <c r="G186" s="112"/>
      <c r="I186" s="256"/>
      <c r="J186" s="256"/>
    </row>
    <row r="187" spans="2:24">
      <c r="B187" s="112"/>
      <c r="C187" s="547" t="s">
        <v>384</v>
      </c>
      <c r="D187" s="24">
        <v>0</v>
      </c>
      <c r="E187" s="165"/>
      <c r="F187" s="547">
        <v>0</v>
      </c>
      <c r="G187" s="112"/>
      <c r="I187" s="256"/>
      <c r="J187" s="256"/>
    </row>
    <row r="188" spans="2:24">
      <c r="B188" s="112"/>
      <c r="C188" s="547" t="s">
        <v>385</v>
      </c>
      <c r="D188" s="24">
        <v>0</v>
      </c>
      <c r="E188" s="165"/>
      <c r="F188" s="547">
        <v>0</v>
      </c>
      <c r="G188" s="112"/>
      <c r="I188" s="256"/>
      <c r="J188" s="256"/>
    </row>
    <row r="189" spans="2:24">
      <c r="B189" s="112"/>
      <c r="C189" s="547" t="s">
        <v>386</v>
      </c>
      <c r="E189" s="165"/>
      <c r="F189" s="547"/>
      <c r="G189" s="112"/>
      <c r="I189" s="256"/>
      <c r="J189" s="256"/>
    </row>
    <row r="190" spans="2:24">
      <c r="B190" s="112"/>
      <c r="C190" s="547"/>
      <c r="E190" s="165"/>
      <c r="F190" s="547"/>
      <c r="G190" s="112"/>
      <c r="I190" s="256"/>
      <c r="J190" s="256"/>
    </row>
    <row r="191" spans="2:24" s="112" customFormat="1">
      <c r="C191" s="547" t="s">
        <v>387</v>
      </c>
      <c r="D191" s="112">
        <v>64350</v>
      </c>
      <c r="E191" s="165"/>
      <c r="F191" s="547">
        <v>75705.882352941175</v>
      </c>
      <c r="I191" s="256"/>
      <c r="J191" s="256"/>
    </row>
    <row r="192" spans="2:24" s="112" customFormat="1">
      <c r="C192" s="547" t="s">
        <v>388</v>
      </c>
      <c r="D192" s="112">
        <v>146300</v>
      </c>
      <c r="E192" s="165"/>
      <c r="F192" s="547">
        <v>172117.64705882352</v>
      </c>
      <c r="I192" s="256"/>
      <c r="J192" s="256"/>
    </row>
    <row r="193" spans="3:10" s="112" customFormat="1">
      <c r="C193" s="547" t="s">
        <v>389</v>
      </c>
      <c r="D193" s="112">
        <v>112108.36640786749</v>
      </c>
      <c r="E193" s="165"/>
      <c r="F193" s="547">
        <v>127395.87091803124</v>
      </c>
      <c r="I193" s="256"/>
      <c r="J193" s="256"/>
    </row>
    <row r="194" spans="3:10" s="112" customFormat="1">
      <c r="C194" s="547" t="s">
        <v>390</v>
      </c>
      <c r="D194" s="112">
        <v>29000</v>
      </c>
      <c r="E194" s="165"/>
      <c r="F194" s="547">
        <v>34117.647058823532</v>
      </c>
      <c r="I194" s="256"/>
      <c r="J194" s="256"/>
    </row>
    <row r="195" spans="3:10" s="112" customFormat="1">
      <c r="C195" s="547" t="s">
        <v>391</v>
      </c>
      <c r="D195" s="112">
        <v>8500</v>
      </c>
      <c r="E195" s="165"/>
      <c r="F195" s="547">
        <v>10000</v>
      </c>
      <c r="I195" s="256"/>
      <c r="J195" s="256"/>
    </row>
    <row r="196" spans="3:10" s="112" customFormat="1">
      <c r="C196" s="547" t="s">
        <v>392</v>
      </c>
      <c r="D196" s="112">
        <v>0</v>
      </c>
      <c r="E196" s="165"/>
      <c r="F196" s="547">
        <v>0</v>
      </c>
      <c r="I196" s="256"/>
      <c r="J196" s="256"/>
    </row>
    <row r="197" spans="3:10" s="112" customFormat="1">
      <c r="C197" s="547" t="s">
        <v>393</v>
      </c>
      <c r="D197" s="112">
        <v>1541.6666666666665</v>
      </c>
      <c r="E197" s="165"/>
      <c r="F197" s="547">
        <v>1813.7254901960782</v>
      </c>
      <c r="I197" s="256"/>
      <c r="J197" s="256"/>
    </row>
    <row r="198" spans="3:10" s="112" customFormat="1">
      <c r="C198" s="547" t="s">
        <v>394</v>
      </c>
      <c r="D198" s="112">
        <v>30000</v>
      </c>
      <c r="E198" s="165"/>
      <c r="F198" s="547">
        <v>35294.117647058825</v>
      </c>
      <c r="I198" s="256"/>
      <c r="J198" s="256"/>
    </row>
    <row r="199" spans="3:10" s="112" customFormat="1">
      <c r="C199" s="547" t="s">
        <v>395</v>
      </c>
      <c r="D199" s="112">
        <v>20355</v>
      </c>
      <c r="E199" s="165"/>
      <c r="F199" s="547">
        <v>23947.058823529413</v>
      </c>
      <c r="I199" s="256"/>
      <c r="J199" s="256"/>
    </row>
    <row r="200" spans="3:10" s="112" customFormat="1">
      <c r="C200" s="547" t="s">
        <v>396</v>
      </c>
      <c r="D200" s="112">
        <v>0</v>
      </c>
      <c r="E200" s="165"/>
      <c r="F200" s="547">
        <v>0</v>
      </c>
      <c r="I200" s="256"/>
      <c r="J200" s="256"/>
    </row>
    <row r="201" spans="3:10" s="112" customFormat="1">
      <c r="C201" s="547" t="s">
        <v>383</v>
      </c>
      <c r="D201" s="112">
        <v>300000</v>
      </c>
      <c r="E201" s="165"/>
      <c r="F201" s="547">
        <v>300000</v>
      </c>
      <c r="I201" s="256"/>
      <c r="J201" s="256"/>
    </row>
    <row r="202" spans="3:10" s="112" customFormat="1">
      <c r="C202" s="547"/>
      <c r="E202" s="165"/>
      <c r="F202" s="547"/>
      <c r="I202" s="256"/>
      <c r="J202" s="256"/>
    </row>
    <row r="203" spans="3:10" s="112" customFormat="1">
      <c r="C203" s="547" t="s">
        <v>397</v>
      </c>
      <c r="E203" s="165"/>
      <c r="F203" s="547"/>
      <c r="I203" s="256"/>
      <c r="J203" s="256"/>
    </row>
    <row r="204" spans="3:10" s="112" customFormat="1">
      <c r="C204" s="547" t="s">
        <v>398</v>
      </c>
      <c r="D204" s="112">
        <v>8750</v>
      </c>
      <c r="E204" s="165"/>
      <c r="F204" s="547">
        <v>5147.0588235294117</v>
      </c>
      <c r="I204" s="256"/>
      <c r="J204" s="256"/>
    </row>
    <row r="205" spans="3:10" s="112" customFormat="1">
      <c r="C205" s="547"/>
      <c r="D205" s="547"/>
      <c r="E205" s="165"/>
      <c r="F205" s="465"/>
      <c r="I205" s="256"/>
      <c r="J205" s="256"/>
    </row>
    <row r="206" spans="3:10" s="112" customFormat="1">
      <c r="C206" s="547"/>
      <c r="D206" s="547"/>
      <c r="E206" s="165"/>
      <c r="F206" s="465"/>
      <c r="I206" s="256"/>
      <c r="J206" s="256"/>
    </row>
    <row r="207" spans="3:10" s="112" customFormat="1">
      <c r="C207" s="547"/>
      <c r="D207" s="547"/>
      <c r="E207" s="165"/>
      <c r="F207" s="465"/>
      <c r="I207" s="256"/>
      <c r="J207" s="256"/>
    </row>
    <row r="208" spans="3:10" s="112" customFormat="1">
      <c r="C208" s="547"/>
      <c r="D208" s="547"/>
      <c r="E208" s="165"/>
      <c r="F208" s="465"/>
      <c r="I208" s="256"/>
      <c r="J208" s="256"/>
    </row>
    <row r="209" spans="3:10" s="112" customFormat="1">
      <c r="C209" s="547"/>
      <c r="D209" s="547"/>
      <c r="E209" s="165"/>
      <c r="F209" s="465"/>
      <c r="I209" s="256"/>
      <c r="J209" s="256"/>
    </row>
    <row r="210" spans="3:10" s="112" customFormat="1">
      <c r="C210" s="547"/>
      <c r="D210" s="547"/>
      <c r="E210" s="165"/>
      <c r="F210" s="465"/>
      <c r="I210" s="256"/>
      <c r="J210" s="256"/>
    </row>
    <row r="211" spans="3:10" s="112" customFormat="1">
      <c r="C211" s="547"/>
      <c r="D211" s="547"/>
      <c r="E211" s="165"/>
      <c r="F211" s="465"/>
      <c r="I211" s="256"/>
      <c r="J211" s="256"/>
    </row>
    <row r="212" spans="3:10" s="112" customFormat="1">
      <c r="C212" s="547"/>
      <c r="D212" s="547"/>
      <c r="E212" s="165"/>
      <c r="F212" s="465"/>
      <c r="I212" s="256"/>
      <c r="J212" s="256"/>
    </row>
    <row r="213" spans="3:10" s="112" customFormat="1">
      <c r="C213" s="547"/>
      <c r="D213" s="547"/>
      <c r="E213" s="165"/>
      <c r="F213" s="465"/>
      <c r="I213" s="256"/>
      <c r="J213" s="256"/>
    </row>
    <row r="214" spans="3:10" s="112" customFormat="1">
      <c r="C214" s="547"/>
      <c r="D214" s="547"/>
      <c r="E214" s="165"/>
      <c r="F214" s="465"/>
      <c r="I214" s="256"/>
      <c r="J214" s="256"/>
    </row>
    <row r="215" spans="3:10" s="112" customFormat="1">
      <c r="C215" s="547"/>
      <c r="D215" s="547"/>
      <c r="E215" s="165"/>
      <c r="F215" s="465"/>
      <c r="I215" s="256"/>
      <c r="J215" s="256"/>
    </row>
    <row r="216" spans="3:10" s="112" customFormat="1">
      <c r="C216" s="547"/>
      <c r="D216" s="547"/>
      <c r="E216" s="165"/>
      <c r="F216" s="465"/>
      <c r="I216" s="256"/>
      <c r="J216" s="256"/>
    </row>
    <row r="217" spans="3:10" s="112" customFormat="1">
      <c r="C217" s="547"/>
      <c r="D217" s="547"/>
      <c r="E217" s="165"/>
      <c r="F217" s="465"/>
      <c r="I217" s="256"/>
      <c r="J217" s="256"/>
    </row>
    <row r="218" spans="3:10" s="112" customFormat="1">
      <c r="C218" s="547"/>
      <c r="D218" s="547"/>
      <c r="E218" s="165"/>
      <c r="F218" s="465"/>
      <c r="I218" s="256"/>
      <c r="J218" s="256"/>
    </row>
    <row r="219" spans="3:10" s="112" customFormat="1">
      <c r="C219" s="547"/>
      <c r="D219" s="547"/>
      <c r="E219" s="165"/>
      <c r="F219" s="465"/>
      <c r="I219" s="256"/>
      <c r="J219" s="256"/>
    </row>
    <row r="220" spans="3:10" s="112" customFormat="1">
      <c r="C220" s="547"/>
      <c r="D220" s="547"/>
      <c r="E220" s="165"/>
      <c r="F220" s="465"/>
      <c r="I220" s="256"/>
      <c r="J220" s="256"/>
    </row>
    <row r="221" spans="3:10" s="112" customFormat="1">
      <c r="C221" s="547"/>
      <c r="D221" s="547"/>
      <c r="E221" s="165"/>
      <c r="F221" s="465"/>
      <c r="I221" s="256"/>
      <c r="J221" s="256"/>
    </row>
    <row r="222" spans="3:10" s="112" customFormat="1">
      <c r="C222" s="547"/>
      <c r="D222" s="547"/>
      <c r="E222" s="165"/>
      <c r="F222" s="465"/>
      <c r="I222" s="256"/>
      <c r="J222" s="256"/>
    </row>
    <row r="223" spans="3:10" s="112" customFormat="1">
      <c r="C223" s="547"/>
      <c r="D223" s="547"/>
      <c r="E223" s="165"/>
      <c r="F223" s="465"/>
      <c r="I223" s="256"/>
      <c r="J223" s="256"/>
    </row>
    <row r="224" spans="3:10" s="112" customFormat="1">
      <c r="C224" s="547"/>
      <c r="D224" s="547"/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</sheetData>
  <sheetProtection formatCells="0" formatColumns="0" formatRows="0" insertColumns="0" insertRows="0" insertHyperlinks="0" deleteColumns="0" deleteRows="0" sort="0" autoFilter="0" pivotTables="0"/>
  <mergeCells count="64">
    <mergeCell ref="I165:I176"/>
    <mergeCell ref="J165:J176"/>
    <mergeCell ref="X165:X176"/>
    <mergeCell ref="I145:I150"/>
    <mergeCell ref="J145:J150"/>
    <mergeCell ref="X145:X150"/>
    <mergeCell ref="I152:I163"/>
    <mergeCell ref="J152:J163"/>
    <mergeCell ref="X152:X163"/>
    <mergeCell ref="V145:V150"/>
    <mergeCell ref="V152:V163"/>
    <mergeCell ref="V165:V176"/>
    <mergeCell ref="X136:X140"/>
    <mergeCell ref="I142:I143"/>
    <mergeCell ref="J142:J143"/>
    <mergeCell ref="K142:K143"/>
    <mergeCell ref="X142:X143"/>
    <mergeCell ref="V136:V140"/>
    <mergeCell ref="I136:I140"/>
    <mergeCell ref="J136:J140"/>
    <mergeCell ref="I111:I134"/>
    <mergeCell ref="J111:J134"/>
    <mergeCell ref="X111:X134"/>
    <mergeCell ref="I87:I95"/>
    <mergeCell ref="J87:J95"/>
    <mergeCell ref="X87:X95"/>
    <mergeCell ref="I97:I109"/>
    <mergeCell ref="J97:J109"/>
    <mergeCell ref="X97:X109"/>
    <mergeCell ref="V111:V134"/>
    <mergeCell ref="V87:V95"/>
    <mergeCell ref="V97:V109"/>
    <mergeCell ref="R91:R92"/>
    <mergeCell ref="X78:X85"/>
    <mergeCell ref="I45:I57"/>
    <mergeCell ref="J45:J57"/>
    <mergeCell ref="X45:X57"/>
    <mergeCell ref="I59:I76"/>
    <mergeCell ref="J59:J76"/>
    <mergeCell ref="X59:X76"/>
    <mergeCell ref="I78:I85"/>
    <mergeCell ref="J78:J85"/>
    <mergeCell ref="V78:V85"/>
    <mergeCell ref="V45:V57"/>
    <mergeCell ref="V59:V76"/>
    <mergeCell ref="I28:I43"/>
    <mergeCell ref="J28:J43"/>
    <mergeCell ref="X28:X4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X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2187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399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76" t="s">
        <v>400</v>
      </c>
      <c r="B2" s="192"/>
      <c r="C2" s="193" t="s">
        <v>233</v>
      </c>
      <c r="D2" s="193" t="s">
        <v>233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77"/>
      <c r="B3" s="195" t="s">
        <v>153</v>
      </c>
      <c r="C3" s="196">
        <f>'Revenue Tracking'!D4</f>
        <v>2655906.3006630498</v>
      </c>
      <c r="D3" s="196">
        <f>SUM(F3:LD3)</f>
        <v>2655906.3006630503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531181.26013260998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398385.94509945746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531181.26013260998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1062362.52026522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132795.3150331525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77"/>
      <c r="B4" s="195" t="s">
        <v>401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531181.26013260998</v>
      </c>
      <c r="U4" s="198">
        <f t="shared" si="5"/>
        <v>531181.26013260998</v>
      </c>
      <c r="V4" s="198">
        <f t="shared" si="5"/>
        <v>531181.26013260998</v>
      </c>
      <c r="W4" s="198">
        <f t="shared" si="5"/>
        <v>531181.26013260998</v>
      </c>
      <c r="X4" s="198">
        <f t="shared" si="5"/>
        <v>531181.26013260998</v>
      </c>
      <c r="Y4" s="198">
        <f t="shared" si="5"/>
        <v>531181.26013260998</v>
      </c>
      <c r="Z4" s="198">
        <f t="shared" si="5"/>
        <v>531181.26013260998</v>
      </c>
      <c r="AA4" s="198">
        <f t="shared" si="5"/>
        <v>531181.26013260998</v>
      </c>
      <c r="AB4" s="198">
        <f t="shared" si="5"/>
        <v>531181.26013260998</v>
      </c>
      <c r="AC4" s="198">
        <f t="shared" si="5"/>
        <v>929567.2052320675</v>
      </c>
      <c r="AD4" s="198">
        <f t="shared" si="5"/>
        <v>929567.2052320675</v>
      </c>
      <c r="AE4" s="198">
        <f t="shared" si="5"/>
        <v>1460748.4653646774</v>
      </c>
      <c r="AF4" s="198">
        <f t="shared" si="5"/>
        <v>1460748.4653646774</v>
      </c>
      <c r="AG4" s="198">
        <f t="shared" si="5"/>
        <v>2523110.9856298976</v>
      </c>
      <c r="AH4" s="198">
        <f t="shared" si="5"/>
        <v>2523110.9856298976</v>
      </c>
      <c r="AI4" s="198">
        <f t="shared" si="5"/>
        <v>2523110.9856298976</v>
      </c>
      <c r="AJ4" s="198">
        <f t="shared" si="5"/>
        <v>2523110.9856298976</v>
      </c>
      <c r="AK4" s="198">
        <f t="shared" si="5"/>
        <v>2523110.9856298976</v>
      </c>
      <c r="AL4" s="198">
        <f t="shared" si="5"/>
        <v>2523110.9856298976</v>
      </c>
      <c r="AM4" s="198">
        <f t="shared" si="5"/>
        <v>2523110.9856298976</v>
      </c>
      <c r="AN4" s="198">
        <f t="shared" si="5"/>
        <v>2523110.9856298976</v>
      </c>
      <c r="AO4" s="198">
        <f t="shared" si="5"/>
        <v>2523110.9856298976</v>
      </c>
      <c r="AP4" s="198">
        <f t="shared" si="5"/>
        <v>2523110.9856298976</v>
      </c>
      <c r="AQ4" s="198">
        <f t="shared" si="5"/>
        <v>2523110.9856298976</v>
      </c>
      <c r="AR4" s="198">
        <f t="shared" si="5"/>
        <v>2523110.9856298976</v>
      </c>
      <c r="AS4" s="198">
        <f t="shared" si="5"/>
        <v>2523110.9856298976</v>
      </c>
      <c r="AT4" s="198">
        <f t="shared" si="5"/>
        <v>2523110.9856298976</v>
      </c>
      <c r="AU4" s="198">
        <f t="shared" si="5"/>
        <v>2523110.9856298976</v>
      </c>
      <c r="AV4" s="198">
        <f t="shared" si="5"/>
        <v>2523110.9856298976</v>
      </c>
      <c r="AW4" s="198">
        <f t="shared" si="5"/>
        <v>2523110.9856298976</v>
      </c>
      <c r="AX4" s="198">
        <f t="shared" si="5"/>
        <v>2523110.9856298976</v>
      </c>
      <c r="AY4" s="198">
        <f t="shared" si="5"/>
        <v>2523110.9856298976</v>
      </c>
      <c r="AZ4" s="198">
        <f t="shared" si="5"/>
        <v>2523110.9856298976</v>
      </c>
      <c r="BA4" s="198">
        <f t="shared" si="5"/>
        <v>2523110.9856298976</v>
      </c>
      <c r="BB4" s="198">
        <f t="shared" si="5"/>
        <v>2523110.9856298976</v>
      </c>
      <c r="BC4" s="198">
        <f t="shared" si="5"/>
        <v>2523110.9856298976</v>
      </c>
      <c r="BD4" s="198">
        <f t="shared" si="5"/>
        <v>2523110.9856298976</v>
      </c>
      <c r="BE4" s="198">
        <f t="shared" si="5"/>
        <v>2523110.9856298976</v>
      </c>
      <c r="BF4" s="198">
        <f t="shared" si="5"/>
        <v>2523110.9856298976</v>
      </c>
      <c r="BG4" s="198">
        <f t="shared" si="5"/>
        <v>2523110.9856298976</v>
      </c>
      <c r="BH4" s="198">
        <f t="shared" si="5"/>
        <v>2655906.3006630503</v>
      </c>
      <c r="BI4" s="198">
        <f t="shared" si="5"/>
        <v>2655906.3006630503</v>
      </c>
      <c r="BJ4" s="198">
        <f t="shared" si="5"/>
        <v>2655906.3006630503</v>
      </c>
      <c r="BK4" s="198">
        <f t="shared" si="5"/>
        <v>2655906.3006630503</v>
      </c>
      <c r="BL4" s="198">
        <f t="shared" si="5"/>
        <v>2655906.3006630503</v>
      </c>
      <c r="BM4" s="198">
        <f t="shared" si="5"/>
        <v>2655906.3006630503</v>
      </c>
      <c r="BN4" s="198">
        <f t="shared" si="5"/>
        <v>2655906.3006630503</v>
      </c>
      <c r="BO4" s="198">
        <f t="shared" si="5"/>
        <v>2655906.3006630503</v>
      </c>
      <c r="BP4" s="198">
        <f t="shared" si="5"/>
        <v>2655906.3006630503</v>
      </c>
      <c r="BQ4" s="198">
        <f t="shared" si="5"/>
        <v>2655906.3006630503</v>
      </c>
      <c r="BR4" s="198">
        <f t="shared" si="5"/>
        <v>2655906.3006630503</v>
      </c>
      <c r="BS4" s="198">
        <f t="shared" si="5"/>
        <v>2655906.3006630503</v>
      </c>
      <c r="BT4" s="198">
        <f t="shared" si="5"/>
        <v>2655906.3006630503</v>
      </c>
      <c r="BU4" s="198">
        <f t="shared" ref="BU4:EF4" si="6">BT4+BU3</f>
        <v>2655906.3006630503</v>
      </c>
      <c r="BV4" s="198">
        <f t="shared" si="6"/>
        <v>2655906.3006630503</v>
      </c>
      <c r="BW4" s="198">
        <f t="shared" si="6"/>
        <v>2655906.3006630503</v>
      </c>
      <c r="BX4" s="198">
        <f t="shared" si="6"/>
        <v>2655906.3006630503</v>
      </c>
      <c r="BY4" s="198">
        <f t="shared" si="6"/>
        <v>2655906.3006630503</v>
      </c>
      <c r="BZ4" s="198">
        <f t="shared" si="6"/>
        <v>2655906.3006630503</v>
      </c>
      <c r="CA4" s="198">
        <f t="shared" si="6"/>
        <v>2655906.3006630503</v>
      </c>
      <c r="CB4" s="198">
        <f t="shared" si="6"/>
        <v>2655906.3006630503</v>
      </c>
      <c r="CC4" s="198">
        <f t="shared" si="6"/>
        <v>2655906.3006630503</v>
      </c>
      <c r="CD4" s="198">
        <f t="shared" si="6"/>
        <v>2655906.3006630503</v>
      </c>
      <c r="CE4" s="198">
        <f t="shared" si="6"/>
        <v>2655906.3006630503</v>
      </c>
      <c r="CF4" s="198">
        <f t="shared" si="6"/>
        <v>2655906.3006630503</v>
      </c>
      <c r="CG4" s="198">
        <f t="shared" si="6"/>
        <v>2655906.3006630503</v>
      </c>
      <c r="CH4" s="198">
        <f t="shared" si="6"/>
        <v>2655906.3006630503</v>
      </c>
      <c r="CI4" s="198">
        <f t="shared" si="6"/>
        <v>2655906.3006630503</v>
      </c>
      <c r="CJ4" s="198">
        <f t="shared" si="6"/>
        <v>2655906.3006630503</v>
      </c>
      <c r="CK4" s="198">
        <f t="shared" si="6"/>
        <v>2655906.3006630503</v>
      </c>
      <c r="CL4" s="198">
        <f t="shared" si="6"/>
        <v>2655906.3006630503</v>
      </c>
      <c r="CM4" s="198">
        <f t="shared" si="6"/>
        <v>2655906.3006630503</v>
      </c>
      <c r="CN4" s="198">
        <f t="shared" si="6"/>
        <v>2655906.3006630503</v>
      </c>
      <c r="CO4" s="198">
        <f t="shared" si="6"/>
        <v>2655906.3006630503</v>
      </c>
      <c r="CP4" s="198">
        <f t="shared" si="6"/>
        <v>2655906.3006630503</v>
      </c>
      <c r="CQ4" s="198">
        <f t="shared" si="6"/>
        <v>2655906.3006630503</v>
      </c>
      <c r="CR4" s="198">
        <f t="shared" si="6"/>
        <v>2655906.3006630503</v>
      </c>
      <c r="CS4" s="198">
        <f t="shared" si="6"/>
        <v>2655906.3006630503</v>
      </c>
      <c r="CT4" s="198">
        <f t="shared" si="6"/>
        <v>2655906.3006630503</v>
      </c>
      <c r="CU4" s="198">
        <f t="shared" si="6"/>
        <v>2655906.3006630503</v>
      </c>
      <c r="CV4" s="198">
        <f t="shared" si="6"/>
        <v>2655906.3006630503</v>
      </c>
      <c r="CW4" s="198">
        <f t="shared" si="6"/>
        <v>2655906.3006630503</v>
      </c>
      <c r="CX4" s="198">
        <f t="shared" si="6"/>
        <v>2655906.3006630503</v>
      </c>
      <c r="CY4" s="198">
        <f t="shared" si="6"/>
        <v>2655906.3006630503</v>
      </c>
      <c r="CZ4" s="198">
        <f t="shared" si="6"/>
        <v>2655906.3006630503</v>
      </c>
      <c r="DA4" s="198">
        <f t="shared" si="6"/>
        <v>2655906.3006630503</v>
      </c>
      <c r="DB4" s="198">
        <f t="shared" si="6"/>
        <v>2655906.3006630503</v>
      </c>
      <c r="DC4" s="198">
        <f t="shared" si="6"/>
        <v>2655906.3006630503</v>
      </c>
      <c r="DD4" s="198">
        <f t="shared" si="6"/>
        <v>2655906.3006630503</v>
      </c>
      <c r="DE4" s="198">
        <f t="shared" si="6"/>
        <v>2655906.3006630503</v>
      </c>
      <c r="DF4" s="198">
        <f t="shared" si="6"/>
        <v>2655906.3006630503</v>
      </c>
      <c r="DG4" s="198">
        <f t="shared" si="6"/>
        <v>2655906.3006630503</v>
      </c>
      <c r="DH4" s="198">
        <f t="shared" si="6"/>
        <v>2655906.3006630503</v>
      </c>
      <c r="DI4" s="198">
        <f t="shared" si="6"/>
        <v>2655906.3006630503</v>
      </c>
      <c r="DJ4" s="198">
        <f t="shared" si="6"/>
        <v>2655906.3006630503</v>
      </c>
      <c r="DK4" s="198">
        <f t="shared" si="6"/>
        <v>2655906.3006630503</v>
      </c>
      <c r="DL4" s="198">
        <f t="shared" si="6"/>
        <v>2655906.3006630503</v>
      </c>
      <c r="DM4" s="198">
        <f t="shared" si="6"/>
        <v>2655906.3006630503</v>
      </c>
      <c r="DN4" s="198">
        <f t="shared" si="6"/>
        <v>2655906.3006630503</v>
      </c>
      <c r="DO4" s="198">
        <f t="shared" si="6"/>
        <v>2655906.3006630503</v>
      </c>
      <c r="DP4" s="198">
        <f t="shared" si="6"/>
        <v>2655906.3006630503</v>
      </c>
      <c r="DQ4" s="198">
        <f t="shared" si="6"/>
        <v>2655906.3006630503</v>
      </c>
      <c r="DR4" s="198">
        <f t="shared" si="6"/>
        <v>2655906.3006630503</v>
      </c>
      <c r="DS4" s="198">
        <f t="shared" si="6"/>
        <v>2655906.3006630503</v>
      </c>
      <c r="DT4" s="198">
        <f t="shared" si="6"/>
        <v>2655906.3006630503</v>
      </c>
      <c r="DU4" s="198">
        <f t="shared" si="6"/>
        <v>2655906.3006630503</v>
      </c>
      <c r="DV4" s="198">
        <f t="shared" si="6"/>
        <v>2655906.3006630503</v>
      </c>
      <c r="DW4" s="198">
        <f t="shared" si="6"/>
        <v>2655906.3006630503</v>
      </c>
      <c r="DX4" s="198">
        <f t="shared" si="6"/>
        <v>2655906.3006630503</v>
      </c>
      <c r="DY4" s="198">
        <f t="shared" si="6"/>
        <v>2655906.3006630503</v>
      </c>
      <c r="DZ4" s="198">
        <f t="shared" si="6"/>
        <v>2655906.3006630503</v>
      </c>
      <c r="EA4" s="198">
        <f t="shared" si="6"/>
        <v>2655906.3006630503</v>
      </c>
      <c r="EB4" s="198">
        <f t="shared" si="6"/>
        <v>2655906.3006630503</v>
      </c>
      <c r="EC4" s="198">
        <f t="shared" si="6"/>
        <v>2655906.3006630503</v>
      </c>
      <c r="ED4" s="198">
        <f t="shared" si="6"/>
        <v>2655906.3006630503</v>
      </c>
      <c r="EE4" s="198">
        <f t="shared" si="6"/>
        <v>2655906.3006630503</v>
      </c>
      <c r="EF4" s="198">
        <f t="shared" si="6"/>
        <v>2655906.3006630503</v>
      </c>
      <c r="EG4" s="198">
        <f t="shared" ref="EG4:GR4" si="7">EF4+EG3</f>
        <v>2655906.3006630503</v>
      </c>
      <c r="EH4" s="198">
        <f t="shared" si="7"/>
        <v>2655906.3006630503</v>
      </c>
      <c r="EI4" s="198">
        <f t="shared" si="7"/>
        <v>2655906.3006630503</v>
      </c>
      <c r="EJ4" s="198">
        <f t="shared" si="7"/>
        <v>2655906.3006630503</v>
      </c>
      <c r="EK4" s="198">
        <f t="shared" si="7"/>
        <v>2655906.3006630503</v>
      </c>
      <c r="EL4" s="198">
        <f t="shared" si="7"/>
        <v>2655906.3006630503</v>
      </c>
      <c r="EM4" s="198">
        <f t="shared" si="7"/>
        <v>2655906.3006630503</v>
      </c>
      <c r="EN4" s="198">
        <f t="shared" si="7"/>
        <v>2655906.3006630503</v>
      </c>
      <c r="EO4" s="198">
        <f t="shared" si="7"/>
        <v>2655906.3006630503</v>
      </c>
      <c r="EP4" s="198">
        <f t="shared" si="7"/>
        <v>2655906.3006630503</v>
      </c>
      <c r="EQ4" s="198">
        <f t="shared" si="7"/>
        <v>2655906.3006630503</v>
      </c>
      <c r="ER4" s="198">
        <f t="shared" si="7"/>
        <v>2655906.3006630503</v>
      </c>
      <c r="ES4" s="198">
        <f t="shared" si="7"/>
        <v>2655906.3006630503</v>
      </c>
      <c r="ET4" s="198">
        <f t="shared" si="7"/>
        <v>2655906.3006630503</v>
      </c>
      <c r="EU4" s="198">
        <f t="shared" si="7"/>
        <v>2655906.3006630503</v>
      </c>
      <c r="EV4" s="198">
        <f t="shared" si="7"/>
        <v>2655906.3006630503</v>
      </c>
      <c r="EW4" s="198">
        <f t="shared" si="7"/>
        <v>2655906.3006630503</v>
      </c>
      <c r="EX4" s="198">
        <f t="shared" si="7"/>
        <v>2655906.3006630503</v>
      </c>
      <c r="EY4" s="198">
        <f t="shared" si="7"/>
        <v>2655906.3006630503</v>
      </c>
      <c r="EZ4" s="198">
        <f t="shared" si="7"/>
        <v>2655906.3006630503</v>
      </c>
      <c r="FA4" s="198">
        <f t="shared" si="7"/>
        <v>2655906.3006630503</v>
      </c>
      <c r="FB4" s="198">
        <f t="shared" si="7"/>
        <v>2655906.3006630503</v>
      </c>
      <c r="FC4" s="198">
        <f t="shared" si="7"/>
        <v>2655906.3006630503</v>
      </c>
      <c r="FD4" s="198">
        <f t="shared" si="7"/>
        <v>2655906.3006630503</v>
      </c>
      <c r="FE4" s="198">
        <f t="shared" si="7"/>
        <v>2655906.3006630503</v>
      </c>
      <c r="FF4" s="198">
        <f t="shared" si="7"/>
        <v>2655906.3006630503</v>
      </c>
      <c r="FG4" s="198">
        <f t="shared" si="7"/>
        <v>2655906.3006630503</v>
      </c>
      <c r="FH4" s="198">
        <f t="shared" si="7"/>
        <v>2655906.3006630503</v>
      </c>
      <c r="FI4" s="198">
        <f t="shared" si="7"/>
        <v>2655906.3006630503</v>
      </c>
      <c r="FJ4" s="198">
        <f t="shared" si="7"/>
        <v>2655906.3006630503</v>
      </c>
      <c r="FK4" s="198">
        <f t="shared" si="7"/>
        <v>2655906.3006630503</v>
      </c>
      <c r="FL4" s="198">
        <f t="shared" si="7"/>
        <v>2655906.3006630503</v>
      </c>
      <c r="FM4" s="198">
        <f t="shared" si="7"/>
        <v>2655906.3006630503</v>
      </c>
      <c r="FN4" s="198">
        <f t="shared" si="7"/>
        <v>2655906.3006630503</v>
      </c>
      <c r="FO4" s="198">
        <f t="shared" si="7"/>
        <v>2655906.3006630503</v>
      </c>
      <c r="FP4" s="198">
        <f t="shared" si="7"/>
        <v>2655906.3006630503</v>
      </c>
      <c r="FQ4" s="198">
        <f t="shared" si="7"/>
        <v>2655906.3006630503</v>
      </c>
      <c r="FR4" s="198">
        <f t="shared" si="7"/>
        <v>2655906.3006630503</v>
      </c>
      <c r="FS4" s="198">
        <f t="shared" si="7"/>
        <v>2655906.3006630503</v>
      </c>
      <c r="FT4" s="198">
        <f t="shared" si="7"/>
        <v>2655906.3006630503</v>
      </c>
      <c r="FU4" s="198">
        <f t="shared" si="7"/>
        <v>2655906.3006630503</v>
      </c>
      <c r="FV4" s="198">
        <f t="shared" si="7"/>
        <v>2655906.3006630503</v>
      </c>
      <c r="FW4" s="198">
        <f t="shared" si="7"/>
        <v>2655906.3006630503</v>
      </c>
      <c r="FX4" s="198">
        <f t="shared" si="7"/>
        <v>2655906.3006630503</v>
      </c>
      <c r="FY4" s="198">
        <f t="shared" si="7"/>
        <v>2655906.3006630503</v>
      </c>
      <c r="FZ4" s="198">
        <f t="shared" si="7"/>
        <v>2655906.3006630503</v>
      </c>
      <c r="GA4" s="198">
        <f t="shared" si="7"/>
        <v>2655906.3006630503</v>
      </c>
      <c r="GB4" s="198">
        <f t="shared" si="7"/>
        <v>2655906.3006630503</v>
      </c>
      <c r="GC4" s="198">
        <f t="shared" si="7"/>
        <v>2655906.3006630503</v>
      </c>
      <c r="GD4" s="198">
        <f t="shared" si="7"/>
        <v>2655906.3006630503</v>
      </c>
      <c r="GE4" s="198">
        <f t="shared" si="7"/>
        <v>2655906.3006630503</v>
      </c>
      <c r="GF4" s="198">
        <f t="shared" si="7"/>
        <v>2655906.3006630503</v>
      </c>
      <c r="GG4" s="198">
        <f t="shared" si="7"/>
        <v>2655906.3006630503</v>
      </c>
      <c r="GH4" s="198">
        <f t="shared" si="7"/>
        <v>2655906.3006630503</v>
      </c>
      <c r="GI4" s="198">
        <f t="shared" si="7"/>
        <v>2655906.3006630503</v>
      </c>
      <c r="GJ4" s="198">
        <f t="shared" si="7"/>
        <v>2655906.3006630503</v>
      </c>
      <c r="GK4" s="198">
        <f t="shared" si="7"/>
        <v>2655906.3006630503</v>
      </c>
      <c r="GL4" s="198">
        <f t="shared" si="7"/>
        <v>2655906.3006630503</v>
      </c>
      <c r="GM4" s="198">
        <f t="shared" si="7"/>
        <v>2655906.3006630503</v>
      </c>
      <c r="GN4" s="198">
        <f t="shared" si="7"/>
        <v>2655906.3006630503</v>
      </c>
      <c r="GO4" s="198">
        <f t="shared" si="7"/>
        <v>2655906.3006630503</v>
      </c>
      <c r="GP4" s="198">
        <f t="shared" si="7"/>
        <v>2655906.3006630503</v>
      </c>
      <c r="GQ4" s="198">
        <f t="shared" si="7"/>
        <v>2655906.3006630503</v>
      </c>
      <c r="GR4" s="198">
        <f t="shared" si="7"/>
        <v>2655906.3006630503</v>
      </c>
      <c r="GS4" s="198">
        <f t="shared" ref="GS4:JD4" si="8">GR4+GS3</f>
        <v>2655906.3006630503</v>
      </c>
      <c r="GT4" s="198">
        <f t="shared" si="8"/>
        <v>2655906.3006630503</v>
      </c>
      <c r="GU4" s="198">
        <f t="shared" si="8"/>
        <v>2655906.3006630503</v>
      </c>
      <c r="GV4" s="198">
        <f t="shared" si="8"/>
        <v>2655906.3006630503</v>
      </c>
      <c r="GW4" s="198">
        <f t="shared" si="8"/>
        <v>2655906.3006630503</v>
      </c>
      <c r="GX4" s="198">
        <f t="shared" si="8"/>
        <v>2655906.3006630503</v>
      </c>
      <c r="GY4" s="198">
        <f t="shared" si="8"/>
        <v>2655906.3006630503</v>
      </c>
      <c r="GZ4" s="198">
        <f t="shared" si="8"/>
        <v>2655906.3006630503</v>
      </c>
      <c r="HA4" s="198">
        <f t="shared" si="8"/>
        <v>2655906.3006630503</v>
      </c>
      <c r="HB4" s="198">
        <f t="shared" si="8"/>
        <v>2655906.3006630503</v>
      </c>
      <c r="HC4" s="198">
        <f t="shared" si="8"/>
        <v>2655906.3006630503</v>
      </c>
      <c r="HD4" s="198">
        <f t="shared" si="8"/>
        <v>2655906.3006630503</v>
      </c>
      <c r="HE4" s="198">
        <f t="shared" si="8"/>
        <v>2655906.3006630503</v>
      </c>
      <c r="HF4" s="198">
        <f t="shared" si="8"/>
        <v>2655906.3006630503</v>
      </c>
      <c r="HG4" s="198">
        <f t="shared" si="8"/>
        <v>2655906.3006630503</v>
      </c>
      <c r="HH4" s="198">
        <f t="shared" si="8"/>
        <v>2655906.3006630503</v>
      </c>
      <c r="HI4" s="198">
        <f t="shared" si="8"/>
        <v>2655906.3006630503</v>
      </c>
      <c r="HJ4" s="198">
        <f t="shared" si="8"/>
        <v>2655906.3006630503</v>
      </c>
      <c r="HK4" s="198">
        <f t="shared" si="8"/>
        <v>2655906.3006630503</v>
      </c>
      <c r="HL4" s="198">
        <f t="shared" si="8"/>
        <v>2655906.3006630503</v>
      </c>
      <c r="HM4" s="198">
        <f t="shared" si="8"/>
        <v>2655906.3006630503</v>
      </c>
      <c r="HN4" s="198">
        <f t="shared" si="8"/>
        <v>2655906.3006630503</v>
      </c>
      <c r="HO4" s="198">
        <f t="shared" si="8"/>
        <v>2655906.3006630503</v>
      </c>
      <c r="HP4" s="198">
        <f t="shared" si="8"/>
        <v>2655906.3006630503</v>
      </c>
      <c r="HQ4" s="198">
        <f t="shared" si="8"/>
        <v>2655906.3006630503</v>
      </c>
      <c r="HR4" s="198">
        <f t="shared" si="8"/>
        <v>2655906.3006630503</v>
      </c>
      <c r="HS4" s="198">
        <f t="shared" si="8"/>
        <v>2655906.3006630503</v>
      </c>
      <c r="HT4" s="198">
        <f t="shared" si="8"/>
        <v>2655906.3006630503</v>
      </c>
      <c r="HU4" s="198">
        <f t="shared" si="8"/>
        <v>2655906.3006630503</v>
      </c>
      <c r="HV4" s="198">
        <f t="shared" si="8"/>
        <v>2655906.3006630503</v>
      </c>
      <c r="HW4" s="198">
        <f t="shared" si="8"/>
        <v>2655906.3006630503</v>
      </c>
      <c r="HX4" s="198">
        <f t="shared" si="8"/>
        <v>2655906.3006630503</v>
      </c>
      <c r="HY4" s="198">
        <f t="shared" si="8"/>
        <v>2655906.3006630503</v>
      </c>
      <c r="HZ4" s="198">
        <f t="shared" si="8"/>
        <v>2655906.3006630503</v>
      </c>
      <c r="IA4" s="198">
        <f t="shared" si="8"/>
        <v>2655906.3006630503</v>
      </c>
      <c r="IB4" s="198">
        <f t="shared" si="8"/>
        <v>2655906.3006630503</v>
      </c>
      <c r="IC4" s="198">
        <f t="shared" si="8"/>
        <v>2655906.3006630503</v>
      </c>
      <c r="ID4" s="198">
        <f t="shared" si="8"/>
        <v>2655906.3006630503</v>
      </c>
      <c r="IE4" s="198">
        <f t="shared" si="8"/>
        <v>2655906.3006630503</v>
      </c>
      <c r="IF4" s="198">
        <f t="shared" si="8"/>
        <v>2655906.3006630503</v>
      </c>
      <c r="IG4" s="198">
        <f t="shared" si="8"/>
        <v>2655906.3006630503</v>
      </c>
      <c r="IH4" s="198">
        <f t="shared" si="8"/>
        <v>2655906.3006630503</v>
      </c>
      <c r="II4" s="198">
        <f t="shared" si="8"/>
        <v>2655906.3006630503</v>
      </c>
      <c r="IJ4" s="198">
        <f t="shared" si="8"/>
        <v>2655906.3006630503</v>
      </c>
      <c r="IK4" s="198">
        <f t="shared" si="8"/>
        <v>2655906.3006630503</v>
      </c>
      <c r="IL4" s="198">
        <f t="shared" si="8"/>
        <v>2655906.3006630503</v>
      </c>
      <c r="IM4" s="198">
        <f t="shared" si="8"/>
        <v>2655906.3006630503</v>
      </c>
      <c r="IN4" s="198">
        <f t="shared" si="8"/>
        <v>2655906.3006630503</v>
      </c>
      <c r="IO4" s="198">
        <f t="shared" si="8"/>
        <v>2655906.3006630503</v>
      </c>
      <c r="IP4" s="198">
        <f t="shared" si="8"/>
        <v>2655906.3006630503</v>
      </c>
      <c r="IQ4" s="198">
        <f t="shared" si="8"/>
        <v>2655906.3006630503</v>
      </c>
      <c r="IR4" s="198">
        <f t="shared" si="8"/>
        <v>2655906.3006630503</v>
      </c>
      <c r="IS4" s="198">
        <f t="shared" si="8"/>
        <v>2655906.3006630503</v>
      </c>
      <c r="IT4" s="198">
        <f t="shared" si="8"/>
        <v>2655906.3006630503</v>
      </c>
      <c r="IU4" s="198">
        <f t="shared" si="8"/>
        <v>2655906.3006630503</v>
      </c>
      <c r="IV4" s="198">
        <f t="shared" si="8"/>
        <v>2655906.3006630503</v>
      </c>
      <c r="IW4" s="198">
        <f t="shared" si="8"/>
        <v>2655906.3006630503</v>
      </c>
      <c r="IX4" s="198">
        <f t="shared" si="8"/>
        <v>2655906.3006630503</v>
      </c>
      <c r="IY4" s="198">
        <f t="shared" si="8"/>
        <v>2655906.3006630503</v>
      </c>
      <c r="IZ4" s="198">
        <f t="shared" si="8"/>
        <v>2655906.3006630503</v>
      </c>
      <c r="JA4" s="198">
        <f t="shared" si="8"/>
        <v>2655906.3006630503</v>
      </c>
      <c r="JB4" s="198">
        <f t="shared" si="8"/>
        <v>2655906.3006630503</v>
      </c>
      <c r="JC4" s="198">
        <f t="shared" si="8"/>
        <v>2655906.3006630503</v>
      </c>
      <c r="JD4" s="198">
        <f t="shared" si="8"/>
        <v>2655906.3006630503</v>
      </c>
      <c r="JE4" s="198">
        <f t="shared" ref="JE4:LD4" si="9">JD4+JE3</f>
        <v>2655906.3006630503</v>
      </c>
      <c r="JF4" s="198">
        <f t="shared" si="9"/>
        <v>2655906.3006630503</v>
      </c>
      <c r="JG4" s="198">
        <f t="shared" si="9"/>
        <v>2655906.3006630503</v>
      </c>
      <c r="JH4" s="198">
        <f t="shared" si="9"/>
        <v>2655906.3006630503</v>
      </c>
      <c r="JI4" s="198">
        <f t="shared" si="9"/>
        <v>2655906.3006630503</v>
      </c>
      <c r="JJ4" s="198">
        <f t="shared" si="9"/>
        <v>2655906.3006630503</v>
      </c>
      <c r="JK4" s="198">
        <f t="shared" si="9"/>
        <v>2655906.3006630503</v>
      </c>
      <c r="JL4" s="198">
        <f t="shared" si="9"/>
        <v>2655906.3006630503</v>
      </c>
      <c r="JM4" s="198">
        <f t="shared" si="9"/>
        <v>2655906.3006630503</v>
      </c>
      <c r="JN4" s="198">
        <f t="shared" si="9"/>
        <v>2655906.3006630503</v>
      </c>
      <c r="JO4" s="198">
        <f t="shared" si="9"/>
        <v>2655906.3006630503</v>
      </c>
      <c r="JP4" s="198">
        <f t="shared" si="9"/>
        <v>2655906.3006630503</v>
      </c>
      <c r="JQ4" s="198">
        <f t="shared" si="9"/>
        <v>2655906.3006630503</v>
      </c>
      <c r="JR4" s="198">
        <f t="shared" si="9"/>
        <v>2655906.3006630503</v>
      </c>
      <c r="JS4" s="198">
        <f t="shared" si="9"/>
        <v>2655906.3006630503</v>
      </c>
      <c r="JT4" s="198">
        <f t="shared" si="9"/>
        <v>2655906.3006630503</v>
      </c>
      <c r="JU4" s="198">
        <f t="shared" si="9"/>
        <v>2655906.3006630503</v>
      </c>
      <c r="JV4" s="198">
        <f t="shared" si="9"/>
        <v>2655906.3006630503</v>
      </c>
      <c r="JW4" s="198">
        <f t="shared" si="9"/>
        <v>2655906.3006630503</v>
      </c>
      <c r="JX4" s="198">
        <f t="shared" si="9"/>
        <v>2655906.3006630503</v>
      </c>
      <c r="JY4" s="198">
        <f t="shared" si="9"/>
        <v>2655906.3006630503</v>
      </c>
      <c r="JZ4" s="198">
        <f t="shared" si="9"/>
        <v>2655906.3006630503</v>
      </c>
      <c r="KA4" s="198">
        <f t="shared" si="9"/>
        <v>2655906.3006630503</v>
      </c>
      <c r="KB4" s="198">
        <f t="shared" si="9"/>
        <v>2655906.3006630503</v>
      </c>
      <c r="KC4" s="198">
        <f t="shared" si="9"/>
        <v>2655906.3006630503</v>
      </c>
      <c r="KD4" s="198">
        <f t="shared" si="9"/>
        <v>2655906.3006630503</v>
      </c>
      <c r="KE4" s="198">
        <f t="shared" si="9"/>
        <v>2655906.3006630503</v>
      </c>
      <c r="KF4" s="198">
        <f t="shared" si="9"/>
        <v>2655906.3006630503</v>
      </c>
      <c r="KG4" s="198">
        <f t="shared" si="9"/>
        <v>2655906.3006630503</v>
      </c>
      <c r="KH4" s="198">
        <f t="shared" si="9"/>
        <v>2655906.3006630503</v>
      </c>
      <c r="KI4" s="198">
        <f t="shared" si="9"/>
        <v>2655906.3006630503</v>
      </c>
      <c r="KJ4" s="198">
        <f t="shared" si="9"/>
        <v>2655906.3006630503</v>
      </c>
      <c r="KK4" s="198">
        <f t="shared" si="9"/>
        <v>2655906.3006630503</v>
      </c>
      <c r="KL4" s="198">
        <f t="shared" si="9"/>
        <v>2655906.3006630503</v>
      </c>
      <c r="KM4" s="198">
        <f t="shared" si="9"/>
        <v>2655906.3006630503</v>
      </c>
      <c r="KN4" s="198">
        <f t="shared" si="9"/>
        <v>2655906.3006630503</v>
      </c>
      <c r="KO4" s="198">
        <f t="shared" si="9"/>
        <v>2655906.3006630503</v>
      </c>
      <c r="KP4" s="198">
        <f t="shared" si="9"/>
        <v>2655906.3006630503</v>
      </c>
      <c r="KQ4" s="198">
        <f t="shared" si="9"/>
        <v>2655906.3006630503</v>
      </c>
      <c r="KR4" s="198">
        <f t="shared" si="9"/>
        <v>2655906.3006630503</v>
      </c>
      <c r="KS4" s="198">
        <f t="shared" si="9"/>
        <v>2655906.3006630503</v>
      </c>
      <c r="KT4" s="198">
        <f t="shared" si="9"/>
        <v>2655906.3006630503</v>
      </c>
      <c r="KU4" s="198">
        <f t="shared" si="9"/>
        <v>2655906.3006630503</v>
      </c>
      <c r="KV4" s="198">
        <f t="shared" si="9"/>
        <v>2655906.3006630503</v>
      </c>
      <c r="KW4" s="198">
        <f t="shared" si="9"/>
        <v>2655906.3006630503</v>
      </c>
      <c r="KX4" s="198">
        <f t="shared" si="9"/>
        <v>2655906.3006630503</v>
      </c>
      <c r="KY4" s="198">
        <f t="shared" si="9"/>
        <v>2655906.3006630503</v>
      </c>
      <c r="KZ4" s="198">
        <f t="shared" si="9"/>
        <v>2655906.3006630503</v>
      </c>
      <c r="LA4" s="198">
        <f t="shared" si="9"/>
        <v>2655906.3006630503</v>
      </c>
      <c r="LB4" s="198">
        <f t="shared" si="9"/>
        <v>2655906.3006630503</v>
      </c>
      <c r="LC4" s="198">
        <f t="shared" si="9"/>
        <v>2655906.3006630503</v>
      </c>
      <c r="LD4" s="198">
        <f t="shared" si="9"/>
        <v>2655906.3006630503</v>
      </c>
    </row>
    <row r="5" spans="1:794" s="203" customFormat="1">
      <c r="A5" s="777"/>
      <c r="B5" s="199" t="s">
        <v>155</v>
      </c>
      <c r="C5" s="200">
        <f>'Revenue Tracking'!D5</f>
        <v>2415274.7995013366</v>
      </c>
      <c r="D5" s="200">
        <f>SUM(F5:LD5)</f>
        <v>2415274.7995013366</v>
      </c>
      <c r="E5" s="197"/>
      <c r="F5" s="201">
        <f>SUMIFS('Expenditure Breakdown'!$G$6:$G$184, 'Expenditure Breakdown'!$H$6:$H$184, "&gt;="&amp;F1,'Expenditure Breakdown'!$H$6:$H$184, "&lt;"&amp;G1)</f>
        <v>0</v>
      </c>
      <c r="G5" s="201">
        <f>SUMIFS('Expenditure Breakdown'!$G$6:$G$184, 'Expenditure Breakdown'!$H$6:$H$184, "&gt;="&amp;G1,'Expenditure Breakdown'!$H$6:$H$184, "&lt;"&amp;H1)</f>
        <v>0</v>
      </c>
      <c r="H5" s="201">
        <f>SUMIFS('Expenditure Breakdown'!$G$6:$G$184, 'Expenditure Breakdown'!$H$6:$H$184, "&gt;="&amp;H1,'Expenditure Breakdown'!$H$6:$H$184, "&lt;"&amp;I1)</f>
        <v>0</v>
      </c>
      <c r="I5" s="201">
        <f>SUMIFS('Expenditure Breakdown'!$G$6:$G$184, 'Expenditure Breakdown'!$H$6:$H$184, "&gt;="&amp;I1,'Expenditure Breakdown'!$H$6:$H$184, "&lt;"&amp;J1)</f>
        <v>0</v>
      </c>
      <c r="J5" s="201">
        <f>SUMIFS('Expenditure Breakdown'!$G$6:$G$184, 'Expenditure Breakdown'!$H$6:$H$184, "&gt;="&amp;J1,'Expenditure Breakdown'!$H$6:$H$184, "&lt;"&amp;K1)</f>
        <v>0</v>
      </c>
      <c r="K5" s="201">
        <f>SUMIFS('Expenditure Breakdown'!$G$6:$G$184, 'Expenditure Breakdown'!$H$6:$H$184, "&gt;="&amp;K1,'Expenditure Breakdown'!$H$6:$H$184, "&lt;"&amp;L1)</f>
        <v>0</v>
      </c>
      <c r="L5" s="201">
        <f>SUMIFS('Expenditure Breakdown'!$G$6:$G$184, 'Expenditure Breakdown'!$H$6:$H$184, "&gt;="&amp;L1,'Expenditure Breakdown'!$H$6:$H$184, "&lt;"&amp;M1)</f>
        <v>0</v>
      </c>
      <c r="M5" s="201">
        <f>SUMIFS('Expenditure Breakdown'!$G$6:$G$184, 'Expenditure Breakdown'!$H$6:$H$184, "&gt;="&amp;M1,'Expenditure Breakdown'!$H$6:$H$184, "&lt;"&amp;N1)</f>
        <v>0</v>
      </c>
      <c r="N5" s="201">
        <f>SUMIFS('Expenditure Breakdown'!$G$6:$G$184, 'Expenditure Breakdown'!$H$6:$H$184, "&gt;="&amp;N1,'Expenditure Breakdown'!$H$6:$H$184, "&lt;"&amp;O1)</f>
        <v>0</v>
      </c>
      <c r="O5" s="201">
        <f>SUMIFS('Expenditure Breakdown'!$G$6:$G$184, 'Expenditure Breakdown'!$H$6:$H$184, "&gt;="&amp;O1,'Expenditure Breakdown'!$H$6:$H$184, "&lt;"&amp;P1)</f>
        <v>0</v>
      </c>
      <c r="P5" s="201">
        <f>SUMIFS('Expenditure Breakdown'!$G$6:$G$184, 'Expenditure Breakdown'!$H$6:$H$184, "&gt;="&amp;P1,'Expenditure Breakdown'!$H$6:$H$184, "&lt;"&amp;Q1)</f>
        <v>0</v>
      </c>
      <c r="Q5" s="201">
        <f>SUMIFS('Expenditure Breakdown'!$G$6:$G$184, 'Expenditure Breakdown'!$H$6:$H$184, "&gt;="&amp;Q1,'Expenditure Breakdown'!$H$6:$H$184, "&lt;"&amp;R1)</f>
        <v>18000</v>
      </c>
      <c r="R5" s="201">
        <f>SUMIFS('Expenditure Breakdown'!$G$6:$G$184, 'Expenditure Breakdown'!$H$6:$H$184, "&gt;="&amp;R1,'Expenditure Breakdown'!$H$6:$H$184, "&lt;"&amp;S1)</f>
        <v>0</v>
      </c>
      <c r="S5" s="201">
        <f>SUMIFS('Expenditure Breakdown'!$G$6:$G$184, 'Expenditure Breakdown'!$H$6:$H$184, "&gt;="&amp;S1,'Expenditure Breakdown'!$H$6:$H$184, "&lt;"&amp;T1)</f>
        <v>0</v>
      </c>
      <c r="T5" s="201">
        <f>SUMIFS('Expenditure Breakdown'!$G$6:$G$184, 'Expenditure Breakdown'!$H$6:$H$184, "&gt;="&amp;T1,'Expenditure Breakdown'!$H$6:$H$184, "&lt;"&amp;U1)</f>
        <v>0</v>
      </c>
      <c r="U5" s="201">
        <f>SUMIFS('Expenditure Breakdown'!$G$6:$G$184, 'Expenditure Breakdown'!$H$6:$H$184, "&gt;="&amp;U1,'Expenditure Breakdown'!$H$6:$H$184, "&lt;"&amp;V1)</f>
        <v>4375</v>
      </c>
      <c r="V5" s="201">
        <f>SUMIFS('Expenditure Breakdown'!$G$6:$G$184, 'Expenditure Breakdown'!$H$6:$H$184, "&gt;="&amp;V1,'Expenditure Breakdown'!$H$6:$H$184, "&lt;"&amp;W1)</f>
        <v>0</v>
      </c>
      <c r="W5" s="201">
        <f>SUMIFS('Expenditure Breakdown'!$G$6:$G$184, 'Expenditure Breakdown'!$H$6:$H$184, "&gt;="&amp;W1,'Expenditure Breakdown'!$H$6:$H$184, "&lt;"&amp;X1)</f>
        <v>0</v>
      </c>
      <c r="X5" s="201">
        <f>SUMIFS('Expenditure Breakdown'!$G$6:$G$184, 'Expenditure Breakdown'!$H$6:$H$184, "&gt;="&amp;X1,'Expenditure Breakdown'!$H$6:$H$184, "&lt;"&amp;Y1)</f>
        <v>15000</v>
      </c>
      <c r="Y5" s="201">
        <f>SUMIFS('Expenditure Breakdown'!$G$6:$G$184, 'Expenditure Breakdown'!$H$6:$H$184, "&gt;="&amp;Y1,'Expenditure Breakdown'!$H$6:$H$184, "&lt;"&amp;Z1)</f>
        <v>306751.81739130436</v>
      </c>
      <c r="Z5" s="201">
        <f>SUMIFS('Expenditure Breakdown'!$G$6:$G$184, 'Expenditure Breakdown'!$H$6:$H$184, "&gt;="&amp;Z1,'Expenditure Breakdown'!$H$6:$H$184, "&lt;"&amp;AA1)</f>
        <v>0</v>
      </c>
      <c r="AA5" s="201">
        <f>SUMIFS('Expenditure Breakdown'!$G$6:$G$184, 'Expenditure Breakdown'!$H$6:$H$184, "&gt;="&amp;AA1,'Expenditure Breakdown'!$H$6:$H$184, "&lt;"&amp;AB1)</f>
        <v>146300</v>
      </c>
      <c r="AB5" s="201">
        <f>SUMIFS('Expenditure Breakdown'!$G$6:$G$184, 'Expenditure Breakdown'!$H$6:$H$184, "&gt;="&amp;AB1,'Expenditure Breakdown'!$H$6:$H$184, "&lt;"&amp;AC1)</f>
        <v>0</v>
      </c>
      <c r="AC5" s="201">
        <f>SUMIFS('Expenditure Breakdown'!$G$6:$G$184, 'Expenditure Breakdown'!$H$6:$H$184, "&gt;="&amp;AC1,'Expenditure Breakdown'!$H$6:$H$184, "&lt;"&amp;AD1)</f>
        <v>0</v>
      </c>
      <c r="AD5" s="201">
        <f>SUMIFS('Expenditure Breakdown'!$G$6:$G$184, 'Expenditure Breakdown'!$H$6:$H$184, "&gt;="&amp;AD1,'Expenditure Breakdown'!$H$6:$H$184, "&lt;"&amp;AE1)</f>
        <v>300000</v>
      </c>
      <c r="AE5" s="201">
        <f>SUMIFS('Expenditure Breakdown'!$G$6:$G$184, 'Expenditure Breakdown'!$H$6:$H$184, "&gt;="&amp;AE1,'Expenditure Breakdown'!$H$6:$H$184, "&lt;"&amp;AF1)</f>
        <v>34000</v>
      </c>
      <c r="AF5" s="201">
        <f>SUMIFS('Expenditure Breakdown'!$G$6:$G$184, 'Expenditure Breakdown'!$H$6:$H$184, "&gt;="&amp;AF1,'Expenditure Breakdown'!$H$6:$H$184, "&lt;"&amp;AG1)</f>
        <v>0</v>
      </c>
      <c r="AG5" s="201">
        <f>SUMIFS('Expenditure Breakdown'!$G$6:$G$184, 'Expenditure Breakdown'!$H$6:$H$184, "&gt;="&amp;AG1,'Expenditure Breakdown'!$H$6:$H$184, "&lt;"&amp;AH1)</f>
        <v>1040171.4</v>
      </c>
      <c r="AH5" s="201">
        <f>SUMIFS('Expenditure Breakdown'!$G$6:$G$184, 'Expenditure Breakdown'!$H$6:$H$184, "&gt;="&amp;AH1,'Expenditure Breakdown'!$H$6:$H$184, "&lt;"&amp;AI1)</f>
        <v>0</v>
      </c>
      <c r="AI5" s="201">
        <f>SUMIFS('Expenditure Breakdown'!$G$6:$G$184, 'Expenditure Breakdown'!$H$6:$H$184, "&gt;="&amp;AI1,'Expenditure Breakdown'!$H$6:$H$184, "&lt;"&amp;AJ1)</f>
        <v>0</v>
      </c>
      <c r="AJ5" s="201">
        <f>SUMIFS('Expenditure Breakdown'!$G$6:$G$184, 'Expenditure Breakdown'!$H$6:$H$184, "&gt;="&amp;AJ1,'Expenditure Breakdown'!$H$6:$H$184, "&lt;"&amp;AK1)</f>
        <v>0</v>
      </c>
      <c r="AK5" s="201">
        <f>SUMIFS('Expenditure Breakdown'!$G$6:$G$184, 'Expenditure Breakdown'!$H$6:$H$184, "&gt;="&amp;AK1,'Expenditure Breakdown'!$H$6:$H$184, "&lt;"&amp;AL1)</f>
        <v>164929.91544336602</v>
      </c>
      <c r="AL5" s="201">
        <f>SUMIFS('Expenditure Breakdown'!$G$6:$G$184, 'Expenditure Breakdown'!$H$6:$H$184, "&gt;="&amp;AL1,'Expenditure Breakdown'!$H$6:$H$184, "&lt;"&amp;AM1)</f>
        <v>0</v>
      </c>
      <c r="AM5" s="201">
        <f>SUMIFS('Expenditure Breakdown'!$G$6:$G$184, 'Expenditure Breakdown'!$H$6:$H$184, "&gt;="&amp;AM1,'Expenditure Breakdown'!$H$6:$H$184, "&lt;"&amp;AN1)</f>
        <v>0</v>
      </c>
      <c r="AN5" s="201">
        <f>SUMIFS('Expenditure Breakdown'!$G$6:$G$184, 'Expenditure Breakdown'!$H$6:$H$184, "&gt;="&amp;AN1,'Expenditure Breakdown'!$H$6:$H$184, "&lt;"&amp;AO1)</f>
        <v>11000</v>
      </c>
      <c r="AO5" s="201">
        <f>SUMIFS('Expenditure Breakdown'!$G$6:$G$184, 'Expenditure Breakdown'!$H$6:$H$184, "&gt;="&amp;AO1,'Expenditure Breakdown'!$H$6:$H$184, "&lt;"&amp;AP1)</f>
        <v>0</v>
      </c>
      <c r="AP5" s="201">
        <f>SUMIFS('Expenditure Breakdown'!$G$6:$G$184, 'Expenditure Breakdown'!$H$6:$H$184, "&gt;="&amp;AP1,'Expenditure Breakdown'!$H$6:$H$184, "&lt;"&amp;AQ1)</f>
        <v>374746.66666666669</v>
      </c>
      <c r="AQ5" s="201">
        <f>SUMIFS('Expenditure Breakdown'!$G$6:$G$184, 'Expenditure Breakdown'!$H$6:$H$184, "&gt;="&amp;AQ1,'Expenditure Breakdown'!$H$6:$H$184, "&lt;"&amp;AR1)</f>
        <v>0</v>
      </c>
      <c r="AR5" s="201">
        <f>SUMIFS('Expenditure Breakdown'!$G$6:$G$184, 'Expenditure Breakdown'!$H$6:$H$184, "&gt;="&amp;AR1,'Expenditure Breakdown'!$H$6:$H$184, "&lt;"&amp;AS1)</f>
        <v>0</v>
      </c>
      <c r="AS5" s="201">
        <f>SUMIFS('Expenditure Breakdown'!$G$6:$G$184, 'Expenditure Breakdown'!$H$6:$H$184, "&gt;="&amp;AS1,'Expenditure Breakdown'!$H$6:$H$184, "&lt;"&amp;AT1)</f>
        <v>0</v>
      </c>
      <c r="AT5" s="201">
        <f>SUMIFS('Expenditure Breakdown'!$G$6:$G$184, 'Expenditure Breakdown'!$H$6:$H$184, "&gt;="&amp;AT1,'Expenditure Breakdown'!$H$6:$H$184, "&lt;"&amp;AU1)</f>
        <v>0</v>
      </c>
      <c r="AU5" s="201">
        <f>SUMIFS('Expenditure Breakdown'!$G$6:$G$184, 'Expenditure Breakdown'!$H$6:$H$184, "&gt;="&amp;AU1,'Expenditure Breakdown'!$H$6:$H$184, "&lt;"&amp;AV1)</f>
        <v>0</v>
      </c>
      <c r="AV5" s="201">
        <f>SUMIFS('Expenditure Breakdown'!$G$6:$G$184, 'Expenditure Breakdown'!$H$6:$H$184, "&gt;="&amp;AV1,'Expenditure Breakdown'!$H$6:$H$184, "&lt;"&amp;AW1)</f>
        <v>0</v>
      </c>
      <c r="AW5" s="201">
        <f>SUMIFS('Expenditure Breakdown'!$G$6:$G$184, 'Expenditure Breakdown'!$H$6:$H$184, "&gt;="&amp;AW1,'Expenditure Breakdown'!$H$6:$H$184, "&lt;"&amp;AX1)</f>
        <v>0</v>
      </c>
      <c r="AX5" s="201">
        <f>SUMIFS('Expenditure Breakdown'!$G$6:$G$184, 'Expenditure Breakdown'!$H$6:$H$184, "&gt;="&amp;AX1,'Expenditure Breakdown'!$H$6:$H$184, "&lt;"&amp;AY1)</f>
        <v>0</v>
      </c>
      <c r="AY5" s="201">
        <f>SUMIFS('Expenditure Breakdown'!$G$6:$G$184, 'Expenditure Breakdown'!$H$6:$H$184, "&gt;="&amp;AY1,'Expenditure Breakdown'!$H$6:$H$184, "&lt;"&amp;AZ1)</f>
        <v>0</v>
      </c>
      <c r="AZ5" s="201">
        <f>SUMIFS('Expenditure Breakdown'!$G$6:$G$184, 'Expenditure Breakdown'!$H$6:$H$184, "&gt;="&amp;AZ1,'Expenditure Breakdown'!$H$6:$H$184, "&lt;"&amp;BA1)</f>
        <v>0</v>
      </c>
      <c r="BA5" s="201">
        <f>SUMIFS('Expenditure Breakdown'!$G$6:$G$184, 'Expenditure Breakdown'!$H$6:$H$184, "&gt;="&amp;BA1,'Expenditure Breakdown'!$H$6:$H$184, "&lt;"&amp;BB1)</f>
        <v>0</v>
      </c>
      <c r="BB5" s="201">
        <f>SUMIFS('Expenditure Breakdown'!$G$6:$G$184, 'Expenditure Breakdown'!$H$6:$H$184, "&gt;="&amp;BB1,'Expenditure Breakdown'!$H$6:$H$184, "&lt;"&amp;BC1)</f>
        <v>0</v>
      </c>
      <c r="BC5" s="201">
        <f>SUMIFS('Expenditure Breakdown'!$G$6:$G$184, 'Expenditure Breakdown'!$H$6:$H$184, "&gt;="&amp;BC1,'Expenditure Breakdown'!$H$6:$H$184, "&lt;"&amp;BD1)</f>
        <v>0</v>
      </c>
      <c r="BD5" s="201">
        <f>SUMIFS('Expenditure Breakdown'!$G$6:$G$184, 'Expenditure Breakdown'!$H$6:$H$184, "&gt;="&amp;BD1,'Expenditure Breakdown'!$H$6:$H$184, "&lt;"&amp;BE1)</f>
        <v>0</v>
      </c>
      <c r="BE5" s="201">
        <f>SUMIFS('Expenditure Breakdown'!$G$6:$G$184, 'Expenditure Breakdown'!$H$6:$H$184, "&gt;="&amp;BE1,'Expenditure Breakdown'!$H$6:$H$184, "&lt;"&amp;BF1)</f>
        <v>0</v>
      </c>
      <c r="BF5" s="201">
        <f>SUMIFS('Expenditure Breakdown'!$G$6:$G$184, 'Expenditure Breakdown'!$H$6:$H$184, "&gt;="&amp;BF1,'Expenditure Breakdown'!$H$6:$H$184, "&lt;"&amp;BG1)</f>
        <v>0</v>
      </c>
      <c r="BG5" s="201">
        <f>SUMIFS('Expenditure Breakdown'!$G$6:$G$184, 'Expenditure Breakdown'!$H$6:$H$184, "&gt;="&amp;BG1,'Expenditure Breakdown'!$H$6:$H$184, "&lt;"&amp;BH1)</f>
        <v>0</v>
      </c>
      <c r="BH5" s="201">
        <f>SUMIFS('Expenditure Breakdown'!$G$6:$G$184, 'Expenditure Breakdown'!$H$6:$H$184, "&gt;="&amp;BH1,'Expenditure Breakdown'!$H$6:$H$184, "&lt;"&amp;BI1)</f>
        <v>0</v>
      </c>
      <c r="BI5" s="201">
        <f>SUMIFS('Expenditure Breakdown'!$G$6:$G$184, 'Expenditure Breakdown'!$H$6:$H$184, "&gt;="&amp;BI1,'Expenditure Breakdown'!$H$6:$H$184, "&lt;"&amp;BJ1)</f>
        <v>0</v>
      </c>
      <c r="BJ5" s="201">
        <f>SUMIFS('Expenditure Breakdown'!$G$6:$G$184, 'Expenditure Breakdown'!$H$6:$H$184, "&gt;="&amp;BJ1,'Expenditure Breakdown'!$H$6:$H$184, "&lt;"&amp;BK1)</f>
        <v>0</v>
      </c>
      <c r="BK5" s="201">
        <f>SUMIFS('Expenditure Breakdown'!$G$6:$G$184, 'Expenditure Breakdown'!$H$6:$H$184, "&gt;="&amp;BK1,'Expenditure Breakdown'!$H$6:$H$184, "&lt;"&amp;BL1)</f>
        <v>0</v>
      </c>
      <c r="BL5" s="201">
        <f>SUMIFS('Expenditure Breakdown'!$G$6:$G$184, 'Expenditure Breakdown'!$H$6:$H$184, "&gt;="&amp;BL1,'Expenditure Breakdown'!$H$6:$H$184, "&lt;"&amp;BM1)</f>
        <v>0</v>
      </c>
      <c r="BM5" s="201">
        <f>SUMIFS('Expenditure Breakdown'!$G$6:$G$184, 'Expenditure Breakdown'!$H$6:$H$184, "&gt;="&amp;BM1,'Expenditure Breakdown'!$H$6:$H$184, "&lt;"&amp;BN1)</f>
        <v>0</v>
      </c>
      <c r="BN5" s="201">
        <f>SUMIFS('Expenditure Breakdown'!$G$6:$G$184, 'Expenditure Breakdown'!$H$6:$H$184, "&gt;="&amp;BN1,'Expenditure Breakdown'!$H$6:$H$184, "&lt;"&amp;BO1)</f>
        <v>0</v>
      </c>
      <c r="BO5" s="201">
        <f>SUMIFS('Expenditure Breakdown'!$G$6:$G$184, 'Expenditure Breakdown'!$H$6:$H$184, "&gt;="&amp;BO1,'Expenditure Breakdown'!$H$6:$H$184, "&lt;"&amp;BP1)</f>
        <v>0</v>
      </c>
      <c r="BP5" s="201">
        <f>SUMIFS('Expenditure Breakdown'!$G$6:$G$184, 'Expenditure Breakdown'!$H$6:$H$184, "&gt;="&amp;BP1,'Expenditure Breakdown'!$H$6:$H$184, "&lt;"&amp;BQ1)</f>
        <v>0</v>
      </c>
      <c r="BQ5" s="201">
        <f>SUMIFS('Expenditure Breakdown'!$G$6:$G$184, 'Expenditure Breakdown'!$H$6:$H$184, "&gt;="&amp;BQ1,'Expenditure Breakdown'!$H$6:$H$184, "&lt;"&amp;BR1)</f>
        <v>0</v>
      </c>
      <c r="BR5" s="201">
        <f>SUMIFS('Expenditure Breakdown'!$G$6:$G$184, 'Expenditure Breakdown'!$H$6:$H$184, "&gt;="&amp;BR1,'Expenditure Breakdown'!$H$6:$H$184, "&lt;"&amp;BS1)</f>
        <v>0</v>
      </c>
      <c r="BS5" s="201">
        <f>SUMIFS('Expenditure Breakdown'!$G$6:$G$184, 'Expenditure Breakdown'!$H$6:$H$184, "&gt;="&amp;BS1,'Expenditure Breakdown'!$H$6:$H$184, "&lt;"&amp;BT1)</f>
        <v>0</v>
      </c>
      <c r="BT5" s="201">
        <f>SUMIFS('Expenditure Breakdown'!$G$6:$G$184, 'Expenditure Breakdown'!$H$6:$H$184, "&gt;="&amp;BT1,'Expenditure Breakdown'!$H$6:$H$184, "&lt;"&amp;BU1)</f>
        <v>0</v>
      </c>
      <c r="BU5" s="201">
        <f>SUMIFS('Expenditure Breakdown'!$G$6:$G$184, 'Expenditure Breakdown'!$H$6:$H$184, "&gt;="&amp;BU1,'Expenditure Breakdown'!$H$6:$H$184, "&lt;"&amp;BV1)</f>
        <v>0</v>
      </c>
      <c r="BV5" s="201">
        <f>SUMIFS('Expenditure Breakdown'!$G$6:$G$184, 'Expenditure Breakdown'!$H$6:$H$184, "&gt;="&amp;BV1,'Expenditure Breakdown'!$H$6:$H$184, "&lt;"&amp;BW1)</f>
        <v>0</v>
      </c>
      <c r="BW5" s="201">
        <f>SUMIFS('Expenditure Breakdown'!$G$6:$G$184, 'Expenditure Breakdown'!$H$6:$H$184, "&gt;="&amp;BW1,'Expenditure Breakdown'!$H$6:$H$184, "&lt;"&amp;BX1)</f>
        <v>0</v>
      </c>
      <c r="BX5" s="201">
        <f>SUMIFS('Expenditure Breakdown'!$G$6:$G$184, 'Expenditure Breakdown'!$H$6:$H$184, "&gt;="&amp;BX1,'Expenditure Breakdown'!$H$6:$H$184, "&lt;"&amp;BY1)</f>
        <v>0</v>
      </c>
      <c r="BY5" s="201">
        <f>SUMIFS('Expenditure Breakdown'!$G$6:$G$184, 'Expenditure Breakdown'!$H$6:$H$184, "&gt;="&amp;BY1,'Expenditure Breakdown'!$H$6:$H$184, "&lt;"&amp;BZ1)</f>
        <v>0</v>
      </c>
      <c r="BZ5" s="201">
        <f>SUMIFS('Expenditure Breakdown'!$G$6:$G$184, 'Expenditure Breakdown'!$H$6:$H$184, "&gt;="&amp;BZ1,'Expenditure Breakdown'!$H$6:$H$184, "&lt;"&amp;CA1)</f>
        <v>0</v>
      </c>
      <c r="CA5" s="201">
        <f>SUMIFS('Expenditure Breakdown'!$G$6:$G$184, 'Expenditure Breakdown'!$H$6:$H$184, "&gt;="&amp;CA1,'Expenditure Breakdown'!$H$6:$H$184, "&lt;"&amp;CB1)</f>
        <v>0</v>
      </c>
      <c r="CB5" s="201">
        <f>SUMIFS('Expenditure Breakdown'!$G$6:$G$184, 'Expenditure Breakdown'!$H$6:$H$184, "&gt;="&amp;CB1,'Expenditure Breakdown'!$H$6:$H$184, "&lt;"&amp;CC1)</f>
        <v>0</v>
      </c>
      <c r="CC5" s="201">
        <f>SUMIFS('Expenditure Breakdown'!$G$6:$G$184, 'Expenditure Breakdown'!$H$6:$H$184, "&gt;="&amp;CC1,'Expenditure Breakdown'!$H$6:$H$184, "&lt;"&amp;CD1)</f>
        <v>0</v>
      </c>
      <c r="CD5" s="201">
        <f>SUMIFS('Expenditure Breakdown'!$G$6:$G$184, 'Expenditure Breakdown'!$H$6:$H$184, "&gt;="&amp;CD1,'Expenditure Breakdown'!$H$6:$H$184, "&lt;"&amp;CE1)</f>
        <v>0</v>
      </c>
      <c r="CE5" s="201">
        <f>SUMIFS('Expenditure Breakdown'!$G$6:$G$184, 'Expenditure Breakdown'!$H$6:$H$184, "&gt;="&amp;CE1,'Expenditure Breakdown'!$H$6:$H$184, "&lt;"&amp;CF1)</f>
        <v>0</v>
      </c>
      <c r="CF5" s="201">
        <f>SUMIFS('Expenditure Breakdown'!$G$6:$G$184, 'Expenditure Breakdown'!$H$6:$H$184, "&gt;="&amp;CF1,'Expenditure Breakdown'!$H$6:$H$184, "&lt;"&amp;CG1)</f>
        <v>0</v>
      </c>
      <c r="CG5" s="201">
        <f>SUMIFS('Expenditure Breakdown'!$G$6:$G$184, 'Expenditure Breakdown'!$H$6:$H$184, "&gt;="&amp;CG1,'Expenditure Breakdown'!$H$6:$H$184, "&lt;"&amp;CH1)</f>
        <v>0</v>
      </c>
      <c r="CH5" s="201">
        <f>SUMIFS('Expenditure Breakdown'!$G$6:$G$184, 'Expenditure Breakdown'!$H$6:$H$184, "&gt;="&amp;CH1,'Expenditure Breakdown'!$H$6:$H$184, "&lt;"&amp;CI1)</f>
        <v>0</v>
      </c>
      <c r="CI5" s="201">
        <f>SUMIFS('Expenditure Breakdown'!$G$6:$G$184, 'Expenditure Breakdown'!$H$6:$H$184, "&gt;="&amp;CI1,'Expenditure Breakdown'!$H$6:$H$184, "&lt;"&amp;CJ1)</f>
        <v>0</v>
      </c>
      <c r="CJ5" s="201">
        <f>SUMIFS('Expenditure Breakdown'!$G$6:$G$184, 'Expenditure Breakdown'!$H$6:$H$184, "&gt;="&amp;CJ1,'Expenditure Breakdown'!$H$6:$H$184, "&lt;"&amp;CK1)</f>
        <v>0</v>
      </c>
      <c r="CK5" s="201">
        <f>SUMIFS('Expenditure Breakdown'!$G$6:$G$184, 'Expenditure Breakdown'!$H$6:$H$184, "&gt;="&amp;CK1,'Expenditure Breakdown'!$H$6:$H$184, "&lt;"&amp;CL1)</f>
        <v>0</v>
      </c>
      <c r="CL5" s="201">
        <f>SUMIFS('Expenditure Breakdown'!$G$6:$G$184, 'Expenditure Breakdown'!$H$6:$H$184, "&gt;="&amp;CL1,'Expenditure Breakdown'!$H$6:$H$184, "&lt;"&amp;CM1)</f>
        <v>0</v>
      </c>
      <c r="CM5" s="201">
        <f>SUMIFS('Expenditure Breakdown'!$G$6:$G$184, 'Expenditure Breakdown'!$H$6:$H$184, "&gt;="&amp;CM1,'Expenditure Breakdown'!$H$6:$H$184, "&lt;"&amp;CN1)</f>
        <v>0</v>
      </c>
      <c r="CN5" s="201">
        <f>SUMIFS('Expenditure Breakdown'!$G$6:$G$184, 'Expenditure Breakdown'!$H$6:$H$184, "&gt;="&amp;CN1,'Expenditure Breakdown'!$H$6:$H$184, "&lt;"&amp;CO1)</f>
        <v>0</v>
      </c>
      <c r="CO5" s="201">
        <f>SUMIFS('Expenditure Breakdown'!$G$6:$G$184, 'Expenditure Breakdown'!$H$6:$H$184, "&gt;="&amp;CO1,'Expenditure Breakdown'!$H$6:$H$184, "&lt;"&amp;CP1)</f>
        <v>0</v>
      </c>
      <c r="CP5" s="201">
        <f>SUMIFS('Expenditure Breakdown'!$G$6:$G$184, 'Expenditure Breakdown'!$H$6:$H$184, "&gt;="&amp;CP1,'Expenditure Breakdown'!$H$6:$H$184, "&lt;"&amp;CQ1)</f>
        <v>0</v>
      </c>
      <c r="CQ5" s="201">
        <f>SUMIFS('Expenditure Breakdown'!$G$6:$G$184, 'Expenditure Breakdown'!$H$6:$H$184, "&gt;="&amp;CQ1,'Expenditure Breakdown'!$H$6:$H$184, "&lt;"&amp;CR1)</f>
        <v>0</v>
      </c>
      <c r="CR5" s="201">
        <f>SUMIFS('Expenditure Breakdown'!$G$6:$G$184, 'Expenditure Breakdown'!$H$6:$H$184, "&gt;="&amp;CR1,'Expenditure Breakdown'!$H$6:$H$184, "&lt;"&amp;CS1)</f>
        <v>0</v>
      </c>
      <c r="CS5" s="201">
        <f>SUMIFS('Expenditure Breakdown'!$G$6:$G$184, 'Expenditure Breakdown'!$H$6:$H$184, "&gt;="&amp;CS1,'Expenditure Breakdown'!$H$6:$H$184, "&lt;"&amp;CT1)</f>
        <v>0</v>
      </c>
      <c r="CT5" s="201">
        <f>SUMIFS('Expenditure Breakdown'!$G$6:$G$184, 'Expenditure Breakdown'!$H$6:$H$184, "&gt;="&amp;CT1,'Expenditure Breakdown'!$H$6:$H$184, "&lt;"&amp;CU1)</f>
        <v>0</v>
      </c>
      <c r="CU5" s="201">
        <f>SUMIFS('Expenditure Breakdown'!$G$6:$G$184, 'Expenditure Breakdown'!$H$6:$H$184, "&gt;="&amp;CU1,'Expenditure Breakdown'!$H$6:$H$184, "&lt;"&amp;CV1)</f>
        <v>0</v>
      </c>
      <c r="CV5" s="201">
        <f>SUMIFS('Expenditure Breakdown'!$G$6:$G$184, 'Expenditure Breakdown'!$H$6:$H$184, "&gt;="&amp;CV1,'Expenditure Breakdown'!$H$6:$H$184, "&lt;"&amp;CW1)</f>
        <v>0</v>
      </c>
      <c r="CW5" s="201">
        <f>SUMIFS('Expenditure Breakdown'!$G$6:$G$184, 'Expenditure Breakdown'!$H$6:$H$184, "&gt;="&amp;CW1,'Expenditure Breakdown'!$H$6:$H$184, "&lt;"&amp;CX1)</f>
        <v>0</v>
      </c>
      <c r="CX5" s="201">
        <f>SUMIFS('Expenditure Breakdown'!$G$6:$G$184, 'Expenditure Breakdown'!$H$6:$H$184, "&gt;="&amp;CX1,'Expenditure Breakdown'!$H$6:$H$184, "&lt;"&amp;CY1)</f>
        <v>0</v>
      </c>
      <c r="CY5" s="201">
        <f>SUMIFS('Expenditure Breakdown'!$G$6:$G$184, 'Expenditure Breakdown'!$H$6:$H$184, "&gt;="&amp;CY1,'Expenditure Breakdown'!$H$6:$H$184, "&lt;"&amp;CZ1)</f>
        <v>0</v>
      </c>
      <c r="CZ5" s="201">
        <f>SUMIFS('Expenditure Breakdown'!$G$6:$G$184, 'Expenditure Breakdown'!$H$6:$H$184, "&gt;="&amp;CZ1,'Expenditure Breakdown'!$H$6:$H$184, "&lt;"&amp;DA1)</f>
        <v>0</v>
      </c>
      <c r="DA5" s="201">
        <f>SUMIFS('Expenditure Breakdown'!$G$6:$G$184, 'Expenditure Breakdown'!$H$6:$H$184, "&gt;="&amp;DA1,'Expenditure Breakdown'!$H$6:$H$184, "&lt;"&amp;DB1)</f>
        <v>0</v>
      </c>
      <c r="DB5" s="201">
        <f>SUMIFS('Expenditure Breakdown'!$G$6:$G$184, 'Expenditure Breakdown'!$H$6:$H$184, "&gt;="&amp;DB1,'Expenditure Breakdown'!$H$6:$H$184, "&lt;"&amp;DC1)</f>
        <v>0</v>
      </c>
      <c r="DC5" s="201">
        <f>SUMIFS('Expenditure Breakdown'!$G$6:$G$184, 'Expenditure Breakdown'!$H$6:$H$184, "&gt;="&amp;DC1,'Expenditure Breakdown'!$H$6:$H$184, "&lt;"&amp;DD1)</f>
        <v>0</v>
      </c>
      <c r="DD5" s="201">
        <f>SUMIFS('Expenditure Breakdown'!$G$6:$G$184, 'Expenditure Breakdown'!$H$6:$H$184, "&gt;="&amp;DD1,'Expenditure Breakdown'!$H$6:$H$184, "&lt;"&amp;DE1)</f>
        <v>0</v>
      </c>
      <c r="DE5" s="201">
        <f>SUMIFS('Expenditure Breakdown'!$G$6:$G$184, 'Expenditure Breakdown'!$H$6:$H$184, "&gt;="&amp;DE1,'Expenditure Breakdown'!$H$6:$H$184, "&lt;"&amp;DF1)</f>
        <v>0</v>
      </c>
      <c r="DF5" s="201">
        <f>SUMIFS('Expenditure Breakdown'!$G$6:$G$184, 'Expenditure Breakdown'!$H$6:$H$184, "&gt;="&amp;DF1,'Expenditure Breakdown'!$H$6:$H$184, "&lt;"&amp;DG1)</f>
        <v>0</v>
      </c>
      <c r="DG5" s="201">
        <f>SUMIFS('Expenditure Breakdown'!$G$6:$G$184, 'Expenditure Breakdown'!$H$6:$H$184, "&gt;="&amp;DG1,'Expenditure Breakdown'!$H$6:$H$184, "&lt;"&amp;DH1)</f>
        <v>0</v>
      </c>
      <c r="DH5" s="201">
        <f>SUMIFS('Expenditure Breakdown'!$G$6:$G$184, 'Expenditure Breakdown'!$H$6:$H$184, "&gt;="&amp;DH1,'Expenditure Breakdown'!$H$6:$H$184, "&lt;"&amp;DI1)</f>
        <v>0</v>
      </c>
      <c r="DI5" s="201">
        <f>SUMIFS('Expenditure Breakdown'!$G$6:$G$184, 'Expenditure Breakdown'!$H$6:$H$184, "&gt;="&amp;DI1,'Expenditure Breakdown'!$H$6:$H$184, "&lt;"&amp;DJ1)</f>
        <v>0</v>
      </c>
      <c r="DJ5" s="201">
        <f>SUMIFS('Expenditure Breakdown'!$G$6:$G$184, 'Expenditure Breakdown'!$H$6:$H$184, "&gt;="&amp;DJ1,'Expenditure Breakdown'!$H$6:$H$184, "&lt;"&amp;DK1)</f>
        <v>0</v>
      </c>
      <c r="DK5" s="201">
        <f>SUMIFS('Expenditure Breakdown'!$G$6:$G$184, 'Expenditure Breakdown'!$H$6:$H$184, "&gt;="&amp;DK1,'Expenditure Breakdown'!$H$6:$H$184, "&lt;"&amp;DL1)</f>
        <v>0</v>
      </c>
      <c r="DL5" s="201">
        <f>SUMIFS('Expenditure Breakdown'!$G$6:$G$184, 'Expenditure Breakdown'!$H$6:$H$184, "&gt;="&amp;DL1,'Expenditure Breakdown'!$H$6:$H$184, "&lt;"&amp;DM1)</f>
        <v>0</v>
      </c>
      <c r="DM5" s="201">
        <f>SUMIFS('Expenditure Breakdown'!$G$6:$G$184, 'Expenditure Breakdown'!$H$6:$H$184, "&gt;="&amp;DM1,'Expenditure Breakdown'!$H$6:$H$184, "&lt;"&amp;DN1)</f>
        <v>0</v>
      </c>
      <c r="DN5" s="201">
        <f>SUMIFS('Expenditure Breakdown'!$G$6:$G$184, 'Expenditure Breakdown'!$H$6:$H$184, "&gt;="&amp;DN1,'Expenditure Breakdown'!$H$6:$H$184, "&lt;"&amp;DO1)</f>
        <v>0</v>
      </c>
      <c r="DO5" s="201">
        <f>SUMIFS('Expenditure Breakdown'!$G$6:$G$184, 'Expenditure Breakdown'!$H$6:$H$184, "&gt;="&amp;DO1,'Expenditure Breakdown'!$H$6:$H$184, "&lt;"&amp;DP1)</f>
        <v>0</v>
      </c>
      <c r="DP5" s="201">
        <f>SUMIFS('Expenditure Breakdown'!$G$6:$G$184, 'Expenditure Breakdown'!$H$6:$H$184, "&gt;="&amp;DP1,'Expenditure Breakdown'!$H$6:$H$184, "&lt;"&amp;DQ1)</f>
        <v>0</v>
      </c>
      <c r="DQ5" s="201">
        <f>SUMIFS('Expenditure Breakdown'!$G$6:$G$184, 'Expenditure Breakdown'!$H$6:$H$184, "&gt;="&amp;DQ1,'Expenditure Breakdown'!$H$6:$H$184, "&lt;"&amp;DR1)</f>
        <v>0</v>
      </c>
      <c r="DR5" s="201">
        <f>SUMIFS('Expenditure Breakdown'!$G$6:$G$184, 'Expenditure Breakdown'!$H$6:$H$184, "&gt;="&amp;DR1,'Expenditure Breakdown'!$H$6:$H$184, "&lt;"&amp;DS1)</f>
        <v>0</v>
      </c>
      <c r="DS5" s="201">
        <f>SUMIFS('Expenditure Breakdown'!$G$6:$G$184, 'Expenditure Breakdown'!$H$6:$H$184, "&gt;="&amp;DS1,'Expenditure Breakdown'!$H$6:$H$184, "&lt;"&amp;DT1)</f>
        <v>0</v>
      </c>
      <c r="DT5" s="201">
        <f>SUMIFS('Expenditure Breakdown'!$G$6:$G$184, 'Expenditure Breakdown'!$H$6:$H$184, "&gt;="&amp;DT1,'Expenditure Breakdown'!$H$6:$H$184, "&lt;"&amp;DU1)</f>
        <v>0</v>
      </c>
      <c r="DU5" s="201">
        <f>SUMIFS('Expenditure Breakdown'!$G$6:$G$184, 'Expenditure Breakdown'!$H$6:$H$184, "&gt;="&amp;DU1,'Expenditure Breakdown'!$H$6:$H$184, "&lt;"&amp;DV1)</f>
        <v>0</v>
      </c>
      <c r="DV5" s="201">
        <f>SUMIFS('Expenditure Breakdown'!$G$6:$G$184, 'Expenditure Breakdown'!$H$6:$H$184, "&gt;="&amp;DV1,'Expenditure Breakdown'!$H$6:$H$184, "&lt;"&amp;DW1)</f>
        <v>0</v>
      </c>
      <c r="DW5" s="201">
        <f>SUMIFS('Expenditure Breakdown'!$G$6:$G$184, 'Expenditure Breakdown'!$H$6:$H$184, "&gt;="&amp;DW1,'Expenditure Breakdown'!$H$6:$H$184, "&lt;"&amp;DX1)</f>
        <v>0</v>
      </c>
      <c r="DX5" s="201">
        <f>SUMIFS('Expenditure Breakdown'!$G$6:$G$184, 'Expenditure Breakdown'!$H$6:$H$184, "&gt;="&amp;DX1,'Expenditure Breakdown'!$H$6:$H$184, "&lt;"&amp;DY1)</f>
        <v>0</v>
      </c>
      <c r="DY5" s="201">
        <f>SUMIFS('Expenditure Breakdown'!$G$6:$G$184, 'Expenditure Breakdown'!$H$6:$H$184, "&gt;="&amp;DY1,'Expenditure Breakdown'!$H$6:$H$184, "&lt;"&amp;DZ1)</f>
        <v>0</v>
      </c>
      <c r="DZ5" s="201">
        <f>SUMIFS('Expenditure Breakdown'!$G$6:$G$184, 'Expenditure Breakdown'!$H$6:$H$184, "&gt;="&amp;DZ1,'Expenditure Breakdown'!$H$6:$H$184, "&lt;"&amp;EA1)</f>
        <v>0</v>
      </c>
      <c r="EA5" s="201">
        <f>SUMIFS('Expenditure Breakdown'!$G$6:$G$184, 'Expenditure Breakdown'!$H$6:$H$184, "&gt;="&amp;EA1,'Expenditure Breakdown'!$H$6:$H$184, "&lt;"&amp;EB1)</f>
        <v>0</v>
      </c>
      <c r="EB5" s="201">
        <f>SUMIFS('Expenditure Breakdown'!$G$6:$G$184, 'Expenditure Breakdown'!$H$6:$H$184, "&gt;="&amp;EB1,'Expenditure Breakdown'!$H$6:$H$184, "&lt;"&amp;EC1)</f>
        <v>0</v>
      </c>
      <c r="EC5" s="201">
        <f>SUMIFS('Expenditure Breakdown'!$G$6:$G$184, 'Expenditure Breakdown'!$H$6:$H$184, "&gt;="&amp;EC1,'Expenditure Breakdown'!$H$6:$H$184, "&lt;"&amp;ED1)</f>
        <v>0</v>
      </c>
      <c r="ED5" s="201">
        <f>SUMIFS('Expenditure Breakdown'!$G$6:$G$184, 'Expenditure Breakdown'!$H$6:$H$184, "&gt;="&amp;ED1,'Expenditure Breakdown'!$H$6:$H$184, "&lt;"&amp;EE1)</f>
        <v>0</v>
      </c>
      <c r="EE5" s="201">
        <f>SUMIFS('Expenditure Breakdown'!$G$6:$G$184, 'Expenditure Breakdown'!$H$6:$H$184, "&gt;="&amp;EE1,'Expenditure Breakdown'!$H$6:$H$184, "&lt;"&amp;EF1)</f>
        <v>0</v>
      </c>
      <c r="EF5" s="201">
        <f>SUMIFS('Expenditure Breakdown'!$G$6:$G$184, 'Expenditure Breakdown'!$H$6:$H$184, "&gt;="&amp;EF1,'Expenditure Breakdown'!$H$6:$H$184, "&lt;"&amp;EG1)</f>
        <v>0</v>
      </c>
      <c r="EG5" s="201">
        <f>SUMIFS('Expenditure Breakdown'!$G$6:$G$184, 'Expenditure Breakdown'!$H$6:$H$184, "&gt;="&amp;EG1,'Expenditure Breakdown'!$H$6:$H$184, "&lt;"&amp;EH1)</f>
        <v>0</v>
      </c>
      <c r="EH5" s="201">
        <f>SUMIFS('Expenditure Breakdown'!$G$6:$G$184, 'Expenditure Breakdown'!$H$6:$H$184, "&gt;="&amp;EH1,'Expenditure Breakdown'!$H$6:$H$184, "&lt;"&amp;EI1)</f>
        <v>0</v>
      </c>
      <c r="EI5" s="201">
        <f>SUMIFS('Expenditure Breakdown'!$G$6:$G$184, 'Expenditure Breakdown'!$H$6:$H$184, "&gt;="&amp;EI1,'Expenditure Breakdown'!$H$6:$H$184, "&lt;"&amp;EJ1)</f>
        <v>0</v>
      </c>
      <c r="EJ5" s="201">
        <f>SUMIFS('Expenditure Breakdown'!$G$6:$G$184, 'Expenditure Breakdown'!$H$6:$H$184, "&gt;="&amp;EJ1,'Expenditure Breakdown'!$H$6:$H$184, "&lt;"&amp;EK1)</f>
        <v>0</v>
      </c>
      <c r="EK5" s="201">
        <f>SUMIFS('Expenditure Breakdown'!$G$6:$G$184, 'Expenditure Breakdown'!$H$6:$H$184, "&gt;="&amp;EK1,'Expenditure Breakdown'!$H$6:$H$184, "&lt;"&amp;EL1)</f>
        <v>0</v>
      </c>
      <c r="EL5" s="201">
        <f>SUMIFS('Expenditure Breakdown'!$G$6:$G$184, 'Expenditure Breakdown'!$H$6:$H$184, "&gt;="&amp;EL1,'Expenditure Breakdown'!$H$6:$H$184, "&lt;"&amp;EM1)</f>
        <v>0</v>
      </c>
      <c r="EM5" s="201">
        <f>SUMIFS('Expenditure Breakdown'!$G$6:$G$184, 'Expenditure Breakdown'!$H$6:$H$184, "&gt;="&amp;EM1,'Expenditure Breakdown'!$H$6:$H$184, "&lt;"&amp;EN1)</f>
        <v>0</v>
      </c>
      <c r="EN5" s="201">
        <f>SUMIFS('Expenditure Breakdown'!$G$6:$G$184, 'Expenditure Breakdown'!$H$6:$H$184, "&gt;="&amp;EN1,'Expenditure Breakdown'!$H$6:$H$184, "&lt;"&amp;EO1)</f>
        <v>0</v>
      </c>
      <c r="EO5" s="201">
        <f>SUMIFS('Expenditure Breakdown'!$G$6:$G$184, 'Expenditure Breakdown'!$H$6:$H$184, "&gt;="&amp;EO1,'Expenditure Breakdown'!$H$6:$H$184, "&lt;"&amp;EP1)</f>
        <v>0</v>
      </c>
      <c r="EP5" s="201">
        <f>SUMIFS('Expenditure Breakdown'!$G$6:$G$184, 'Expenditure Breakdown'!$H$6:$H$184, "&gt;="&amp;EP1,'Expenditure Breakdown'!$H$6:$H$184, "&lt;"&amp;EQ1)</f>
        <v>0</v>
      </c>
      <c r="EQ5" s="201">
        <f>SUMIFS('Expenditure Breakdown'!$G$6:$G$184, 'Expenditure Breakdown'!$H$6:$H$184, "&gt;="&amp;EQ1,'Expenditure Breakdown'!$H$6:$H$184, "&lt;"&amp;ER1)</f>
        <v>0</v>
      </c>
      <c r="ER5" s="201">
        <f>SUMIFS('Expenditure Breakdown'!$G$6:$G$184, 'Expenditure Breakdown'!$H$6:$H$184, "&gt;="&amp;ER1,'Expenditure Breakdown'!$H$6:$H$184, "&lt;"&amp;ES1)</f>
        <v>0</v>
      </c>
      <c r="ES5" s="201">
        <f>SUMIFS('Expenditure Breakdown'!$G$6:$G$184, 'Expenditure Breakdown'!$H$6:$H$184, "&gt;="&amp;ES1,'Expenditure Breakdown'!$H$6:$H$184, "&lt;"&amp;ET1)</f>
        <v>0</v>
      </c>
      <c r="ET5" s="201">
        <f>SUMIFS('Expenditure Breakdown'!$G$6:$G$184, 'Expenditure Breakdown'!$H$6:$H$184, "&gt;="&amp;ET1,'Expenditure Breakdown'!$H$6:$H$184, "&lt;"&amp;EU1)</f>
        <v>0</v>
      </c>
      <c r="EU5" s="201">
        <f>SUMIFS('Expenditure Breakdown'!$G$6:$G$184, 'Expenditure Breakdown'!$H$6:$H$184, "&gt;="&amp;EU1,'Expenditure Breakdown'!$H$6:$H$184, "&lt;"&amp;EV1)</f>
        <v>0</v>
      </c>
      <c r="EV5" s="201">
        <f>SUMIFS('Expenditure Breakdown'!$G$6:$G$184, 'Expenditure Breakdown'!$H$6:$H$184, "&gt;="&amp;EV1,'Expenditure Breakdown'!$H$6:$H$184, "&lt;"&amp;EW1)</f>
        <v>0</v>
      </c>
      <c r="EW5" s="201">
        <f>SUMIFS('Expenditure Breakdown'!$G$6:$G$184, 'Expenditure Breakdown'!$H$6:$H$184, "&gt;="&amp;EW1,'Expenditure Breakdown'!$H$6:$H$184, "&lt;"&amp;EX1)</f>
        <v>0</v>
      </c>
      <c r="EX5" s="201">
        <f>SUMIFS('Expenditure Breakdown'!$G$6:$G$184, 'Expenditure Breakdown'!$H$6:$H$184, "&gt;="&amp;EX1,'Expenditure Breakdown'!$H$6:$H$184, "&lt;"&amp;EY1)</f>
        <v>0</v>
      </c>
      <c r="EY5" s="201">
        <f>SUMIFS('Expenditure Breakdown'!$G$6:$G$184, 'Expenditure Breakdown'!$H$6:$H$184, "&gt;="&amp;EY1,'Expenditure Breakdown'!$H$6:$H$184, "&lt;"&amp;EZ1)</f>
        <v>0</v>
      </c>
      <c r="EZ5" s="201">
        <f>SUMIFS('Expenditure Breakdown'!$G$6:$G$184, 'Expenditure Breakdown'!$H$6:$H$184, "&gt;="&amp;EZ1,'Expenditure Breakdown'!$H$6:$H$184, "&lt;"&amp;FA1)</f>
        <v>0</v>
      </c>
      <c r="FA5" s="201">
        <f>SUMIFS('Expenditure Breakdown'!$G$6:$G$184, 'Expenditure Breakdown'!$H$6:$H$184, "&gt;="&amp;FA1,'Expenditure Breakdown'!$H$6:$H$184, "&lt;"&amp;FB1)</f>
        <v>0</v>
      </c>
      <c r="FB5" s="201">
        <f>SUMIFS('Expenditure Breakdown'!$G$6:$G$184, 'Expenditure Breakdown'!$H$6:$H$184, "&gt;="&amp;FB1,'Expenditure Breakdown'!$H$6:$H$184, "&lt;"&amp;FC1)</f>
        <v>0</v>
      </c>
      <c r="FC5" s="201">
        <f>SUMIFS('Expenditure Breakdown'!$G$6:$G$184, 'Expenditure Breakdown'!$H$6:$H$184, "&gt;="&amp;FC1,'Expenditure Breakdown'!$H$6:$H$184, "&lt;"&amp;FD1)</f>
        <v>0</v>
      </c>
      <c r="FD5" s="201">
        <f>SUMIFS('Expenditure Breakdown'!$G$6:$G$184, 'Expenditure Breakdown'!$H$6:$H$184, "&gt;="&amp;FD1,'Expenditure Breakdown'!$H$6:$H$184, "&lt;"&amp;FE1)</f>
        <v>0</v>
      </c>
      <c r="FE5" s="201">
        <f>SUMIFS('Expenditure Breakdown'!$G$6:$G$184, 'Expenditure Breakdown'!$H$6:$H$184, "&gt;="&amp;FE1,'Expenditure Breakdown'!$H$6:$H$184, "&lt;"&amp;FF1)</f>
        <v>0</v>
      </c>
      <c r="FF5" s="201">
        <f>SUMIFS('Expenditure Breakdown'!$G$6:$G$184, 'Expenditure Breakdown'!$H$6:$H$184, "&gt;="&amp;FF1,'Expenditure Breakdown'!$H$6:$H$184, "&lt;"&amp;FG1)</f>
        <v>0</v>
      </c>
      <c r="FG5" s="201">
        <f>SUMIFS('Expenditure Breakdown'!$G$6:$G$184, 'Expenditure Breakdown'!$H$6:$H$184, "&gt;="&amp;FG1,'Expenditure Breakdown'!$H$6:$H$184, "&lt;"&amp;FH1)</f>
        <v>0</v>
      </c>
      <c r="FH5" s="201">
        <f>SUMIFS('Expenditure Breakdown'!$G$6:$G$184, 'Expenditure Breakdown'!$H$6:$H$184, "&gt;="&amp;FH1,'Expenditure Breakdown'!$H$6:$H$184, "&lt;"&amp;FI1)</f>
        <v>0</v>
      </c>
      <c r="FI5" s="201">
        <f>SUMIFS('Expenditure Breakdown'!$G$6:$G$184, 'Expenditure Breakdown'!$H$6:$H$184, "&gt;="&amp;FI1,'Expenditure Breakdown'!$H$6:$H$184, "&lt;"&amp;FJ1)</f>
        <v>0</v>
      </c>
      <c r="FJ5" s="201">
        <f>SUMIFS('Expenditure Breakdown'!$G$6:$G$184, 'Expenditure Breakdown'!$H$6:$H$184, "&gt;="&amp;FJ1,'Expenditure Breakdown'!$H$6:$H$184, "&lt;"&amp;FK1)</f>
        <v>0</v>
      </c>
      <c r="FK5" s="201">
        <f>SUMIFS('Expenditure Breakdown'!$G$6:$G$184, 'Expenditure Breakdown'!$H$6:$H$184, "&gt;="&amp;FK1,'Expenditure Breakdown'!$H$6:$H$184, "&lt;"&amp;FL1)</f>
        <v>0</v>
      </c>
      <c r="FL5" s="201">
        <f>SUMIFS('Expenditure Breakdown'!$G$6:$G$184, 'Expenditure Breakdown'!$H$6:$H$184, "&gt;="&amp;FL1,'Expenditure Breakdown'!$H$6:$H$184, "&lt;"&amp;FM1)</f>
        <v>0</v>
      </c>
      <c r="FM5" s="201">
        <f>SUMIFS('Expenditure Breakdown'!$G$6:$G$184, 'Expenditure Breakdown'!$H$6:$H$184, "&gt;="&amp;FM1,'Expenditure Breakdown'!$H$6:$H$184, "&lt;"&amp;FN1)</f>
        <v>0</v>
      </c>
      <c r="FN5" s="201">
        <f>SUMIFS('Expenditure Breakdown'!$G$6:$G$184, 'Expenditure Breakdown'!$H$6:$H$184, "&gt;="&amp;FN1,'Expenditure Breakdown'!$H$6:$H$184, "&lt;"&amp;FO1)</f>
        <v>0</v>
      </c>
      <c r="FO5" s="201">
        <f>SUMIFS('Expenditure Breakdown'!$G$6:$G$184, 'Expenditure Breakdown'!$H$6:$H$184, "&gt;="&amp;FO1,'Expenditure Breakdown'!$H$6:$H$184, "&lt;"&amp;FP1)</f>
        <v>0</v>
      </c>
      <c r="FP5" s="201">
        <f>SUMIFS('Expenditure Breakdown'!$G$6:$G$184, 'Expenditure Breakdown'!$H$6:$H$184, "&gt;="&amp;FP1,'Expenditure Breakdown'!$H$6:$H$184, "&lt;"&amp;FQ1)</f>
        <v>0</v>
      </c>
      <c r="FQ5" s="201">
        <f>SUMIFS('Expenditure Breakdown'!$G$6:$G$184, 'Expenditure Breakdown'!$H$6:$H$184, "&gt;="&amp;FQ1,'Expenditure Breakdown'!$H$6:$H$184, "&lt;"&amp;FR1)</f>
        <v>0</v>
      </c>
      <c r="FR5" s="201">
        <f>SUMIFS('Expenditure Breakdown'!$G$6:$G$184, 'Expenditure Breakdown'!$H$6:$H$184, "&gt;="&amp;FR1,'Expenditure Breakdown'!$H$6:$H$184, "&lt;"&amp;FS1)</f>
        <v>0</v>
      </c>
      <c r="FS5" s="201">
        <f>SUMIFS('Expenditure Breakdown'!$G$6:$G$184, 'Expenditure Breakdown'!$H$6:$H$184, "&gt;="&amp;FS1,'Expenditure Breakdown'!$H$6:$H$184, "&lt;"&amp;FT1)</f>
        <v>0</v>
      </c>
      <c r="FT5" s="201">
        <f>SUMIFS('Expenditure Breakdown'!$G$6:$G$184, 'Expenditure Breakdown'!$H$6:$H$184, "&gt;="&amp;FT1,'Expenditure Breakdown'!$H$6:$H$184, "&lt;"&amp;FU1)</f>
        <v>0</v>
      </c>
      <c r="FU5" s="201">
        <f>SUMIFS('Expenditure Breakdown'!$G$6:$G$184, 'Expenditure Breakdown'!$H$6:$H$184, "&gt;="&amp;FU1,'Expenditure Breakdown'!$H$6:$H$184, "&lt;"&amp;FV1)</f>
        <v>0</v>
      </c>
      <c r="FV5" s="201">
        <f>SUMIFS('Expenditure Breakdown'!$G$6:$G$184, 'Expenditure Breakdown'!$H$6:$H$184, "&gt;="&amp;FV1,'Expenditure Breakdown'!$H$6:$H$184, "&lt;"&amp;FW1)</f>
        <v>0</v>
      </c>
      <c r="FW5" s="201">
        <f>SUMIFS('Expenditure Breakdown'!$G$6:$G$184, 'Expenditure Breakdown'!$H$6:$H$184, "&gt;="&amp;FW1,'Expenditure Breakdown'!$H$6:$H$184, "&lt;"&amp;FX1)</f>
        <v>0</v>
      </c>
      <c r="FX5" s="201">
        <f>SUMIFS('Expenditure Breakdown'!$G$6:$G$184, 'Expenditure Breakdown'!$H$6:$H$184, "&gt;="&amp;FX1,'Expenditure Breakdown'!$H$6:$H$184, "&lt;"&amp;FY1)</f>
        <v>0</v>
      </c>
      <c r="FY5" s="201">
        <f>SUMIFS('Expenditure Breakdown'!$G$6:$G$184, 'Expenditure Breakdown'!$H$6:$H$184, "&gt;="&amp;FY1,'Expenditure Breakdown'!$H$6:$H$184, "&lt;"&amp;FZ1)</f>
        <v>0</v>
      </c>
      <c r="FZ5" s="201">
        <f>SUMIFS('Expenditure Breakdown'!$G$6:$G$184, 'Expenditure Breakdown'!$H$6:$H$184, "&gt;="&amp;FZ1,'Expenditure Breakdown'!$H$6:$H$184, "&lt;"&amp;GA1)</f>
        <v>0</v>
      </c>
      <c r="GA5" s="201">
        <f>SUMIFS('Expenditure Breakdown'!$G$6:$G$184, 'Expenditure Breakdown'!$H$6:$H$184, "&gt;="&amp;GA1,'Expenditure Breakdown'!$H$6:$H$184, "&lt;"&amp;GB1)</f>
        <v>0</v>
      </c>
      <c r="GB5" s="201">
        <f>SUMIFS('Expenditure Breakdown'!$G$6:$G$184, 'Expenditure Breakdown'!$H$6:$H$184, "&gt;="&amp;GB1,'Expenditure Breakdown'!$H$6:$H$184, "&lt;"&amp;GC1)</f>
        <v>0</v>
      </c>
      <c r="GC5" s="201">
        <f>SUMIFS('Expenditure Breakdown'!$G$6:$G$184, 'Expenditure Breakdown'!$H$6:$H$184, "&gt;="&amp;GC1,'Expenditure Breakdown'!$H$6:$H$184, "&lt;"&amp;GD1)</f>
        <v>0</v>
      </c>
      <c r="GD5" s="201">
        <f>SUMIFS('Expenditure Breakdown'!$G$6:$G$184, 'Expenditure Breakdown'!$H$6:$H$184, "&gt;="&amp;GD1,'Expenditure Breakdown'!$H$6:$H$184, "&lt;"&amp;GE1)</f>
        <v>0</v>
      </c>
      <c r="GE5" s="201">
        <f>SUMIFS('Expenditure Breakdown'!$G$6:$G$184, 'Expenditure Breakdown'!$H$6:$H$184, "&gt;="&amp;GE1,'Expenditure Breakdown'!$H$6:$H$184, "&lt;"&amp;GF1)</f>
        <v>0</v>
      </c>
      <c r="GF5" s="201">
        <f>SUMIFS('Expenditure Breakdown'!$G$6:$G$184, 'Expenditure Breakdown'!$H$6:$H$184, "&gt;="&amp;GF1,'Expenditure Breakdown'!$H$6:$H$184, "&lt;"&amp;GG1)</f>
        <v>0</v>
      </c>
      <c r="GG5" s="201">
        <f>SUMIFS('Expenditure Breakdown'!$G$6:$G$184, 'Expenditure Breakdown'!$H$6:$H$184, "&gt;="&amp;GG1,'Expenditure Breakdown'!$H$6:$H$184, "&lt;"&amp;GH1)</f>
        <v>0</v>
      </c>
      <c r="GH5" s="201">
        <f>SUMIFS('Expenditure Breakdown'!$G$6:$G$184, 'Expenditure Breakdown'!$H$6:$H$184, "&gt;="&amp;GH1,'Expenditure Breakdown'!$H$6:$H$184, "&lt;"&amp;GI1)</f>
        <v>0</v>
      </c>
      <c r="GI5" s="201">
        <f>SUMIFS('Expenditure Breakdown'!$G$6:$G$184, 'Expenditure Breakdown'!$H$6:$H$184, "&gt;="&amp;GI1,'Expenditure Breakdown'!$H$6:$H$184, "&lt;"&amp;GJ1)</f>
        <v>0</v>
      </c>
      <c r="GJ5" s="201">
        <f>SUMIFS('Expenditure Breakdown'!$G$6:$G$184, 'Expenditure Breakdown'!$H$6:$H$184, "&gt;="&amp;GJ1,'Expenditure Breakdown'!$H$6:$H$184, "&lt;"&amp;GK1)</f>
        <v>0</v>
      </c>
      <c r="GK5" s="201">
        <f>SUMIFS('Expenditure Breakdown'!$G$6:$G$184, 'Expenditure Breakdown'!$H$6:$H$184, "&gt;="&amp;GK1,'Expenditure Breakdown'!$H$6:$H$184, "&lt;"&amp;GL1)</f>
        <v>0</v>
      </c>
      <c r="GL5" s="201">
        <f>SUMIFS('Expenditure Breakdown'!$G$6:$G$184, 'Expenditure Breakdown'!$H$6:$H$184, "&gt;="&amp;GL1,'Expenditure Breakdown'!$H$6:$H$184, "&lt;"&amp;GM1)</f>
        <v>0</v>
      </c>
      <c r="GM5" s="201">
        <f>SUMIFS('Expenditure Breakdown'!$G$6:$G$184, 'Expenditure Breakdown'!$H$6:$H$184, "&gt;="&amp;GM1,'Expenditure Breakdown'!$H$6:$H$184, "&lt;"&amp;GN1)</f>
        <v>0</v>
      </c>
      <c r="GN5" s="201">
        <f>SUMIFS('Expenditure Breakdown'!$G$6:$G$184, 'Expenditure Breakdown'!$H$6:$H$184, "&gt;="&amp;GN1,'Expenditure Breakdown'!$H$6:$H$184, "&lt;"&amp;GO1)</f>
        <v>0</v>
      </c>
      <c r="GO5" s="201">
        <f>SUMIFS('Expenditure Breakdown'!$G$6:$G$184, 'Expenditure Breakdown'!$H$6:$H$184, "&gt;="&amp;GO1,'Expenditure Breakdown'!$H$6:$H$184, "&lt;"&amp;GP1)</f>
        <v>0</v>
      </c>
      <c r="GP5" s="201">
        <f>SUMIFS('Expenditure Breakdown'!$G$6:$G$184, 'Expenditure Breakdown'!$H$6:$H$184, "&gt;="&amp;GP1,'Expenditure Breakdown'!$H$6:$H$184, "&lt;"&amp;GQ1)</f>
        <v>0</v>
      </c>
      <c r="GQ5" s="201">
        <f>SUMIFS('Expenditure Breakdown'!$G$6:$G$184, 'Expenditure Breakdown'!$H$6:$H$184, "&gt;="&amp;GQ1,'Expenditure Breakdown'!$H$6:$H$184, "&lt;"&amp;GR1)</f>
        <v>0</v>
      </c>
      <c r="GR5" s="201">
        <f>SUMIFS('Expenditure Breakdown'!$G$6:$G$184, 'Expenditure Breakdown'!$H$6:$H$184, "&gt;="&amp;GR1,'Expenditure Breakdown'!$H$6:$H$184, "&lt;"&amp;GS1)</f>
        <v>0</v>
      </c>
      <c r="GS5" s="201">
        <f>SUMIFS('Expenditure Breakdown'!$G$6:$G$184, 'Expenditure Breakdown'!$H$6:$H$184, "&gt;="&amp;GS1,'Expenditure Breakdown'!$H$6:$H$184, "&lt;"&amp;GT1)</f>
        <v>0</v>
      </c>
      <c r="GT5" s="201">
        <f>SUMIFS('Expenditure Breakdown'!$G$6:$G$184, 'Expenditure Breakdown'!$H$6:$H$184, "&gt;="&amp;GT1,'Expenditure Breakdown'!$H$6:$H$184, "&lt;"&amp;GU1)</f>
        <v>0</v>
      </c>
      <c r="GU5" s="201">
        <f>SUMIFS('Expenditure Breakdown'!$G$6:$G$184, 'Expenditure Breakdown'!$H$6:$H$184, "&gt;="&amp;GU1,'Expenditure Breakdown'!$H$6:$H$184, "&lt;"&amp;GV1)</f>
        <v>0</v>
      </c>
      <c r="GV5" s="201">
        <f>SUMIFS('Expenditure Breakdown'!$G$6:$G$184, 'Expenditure Breakdown'!$H$6:$H$184, "&gt;="&amp;GV1,'Expenditure Breakdown'!$H$6:$H$184, "&lt;"&amp;GW1)</f>
        <v>0</v>
      </c>
      <c r="GW5" s="201">
        <f>SUMIFS('Expenditure Breakdown'!$G$6:$G$184, 'Expenditure Breakdown'!$H$6:$H$184, "&gt;="&amp;GW1,'Expenditure Breakdown'!$H$6:$H$184, "&lt;"&amp;GX1)</f>
        <v>0</v>
      </c>
      <c r="GX5" s="201">
        <f>SUMIFS('Expenditure Breakdown'!$G$6:$G$184, 'Expenditure Breakdown'!$H$6:$H$184, "&gt;="&amp;GX1,'Expenditure Breakdown'!$H$6:$H$184, "&lt;"&amp;GY1)</f>
        <v>0</v>
      </c>
      <c r="GY5" s="201">
        <f>SUMIFS('Expenditure Breakdown'!$G$6:$G$184, 'Expenditure Breakdown'!$H$6:$H$184, "&gt;="&amp;GY1,'Expenditure Breakdown'!$H$6:$H$184, "&lt;"&amp;GZ1)</f>
        <v>0</v>
      </c>
      <c r="GZ5" s="201">
        <f>SUMIFS('Expenditure Breakdown'!$G$6:$G$184, 'Expenditure Breakdown'!$H$6:$H$184, "&gt;="&amp;GZ1,'Expenditure Breakdown'!$H$6:$H$184, "&lt;"&amp;HA1)</f>
        <v>0</v>
      </c>
      <c r="HA5" s="201">
        <f>SUMIFS('Expenditure Breakdown'!$G$6:$G$184, 'Expenditure Breakdown'!$H$6:$H$184, "&gt;="&amp;HA1,'Expenditure Breakdown'!$H$6:$H$184, "&lt;"&amp;HB1)</f>
        <v>0</v>
      </c>
      <c r="HB5" s="201">
        <f>SUMIFS('Expenditure Breakdown'!$G$6:$G$184, 'Expenditure Breakdown'!$H$6:$H$184, "&gt;="&amp;HB1,'Expenditure Breakdown'!$H$6:$H$184, "&lt;"&amp;HC1)</f>
        <v>0</v>
      </c>
      <c r="HC5" s="201">
        <f>SUMIFS('Expenditure Breakdown'!$G$6:$G$184, 'Expenditure Breakdown'!$H$6:$H$184, "&gt;="&amp;HC1,'Expenditure Breakdown'!$H$6:$H$184, "&lt;"&amp;HD1)</f>
        <v>0</v>
      </c>
      <c r="HD5" s="201">
        <f>SUMIFS('Expenditure Breakdown'!$G$6:$G$184, 'Expenditure Breakdown'!$H$6:$H$184, "&gt;="&amp;HD1,'Expenditure Breakdown'!$H$6:$H$184, "&lt;"&amp;HE1)</f>
        <v>0</v>
      </c>
      <c r="HE5" s="201">
        <f>SUMIFS('Expenditure Breakdown'!$G$6:$G$184, 'Expenditure Breakdown'!$H$6:$H$184, "&gt;="&amp;HE1,'Expenditure Breakdown'!$H$6:$H$184, "&lt;"&amp;HF1)</f>
        <v>0</v>
      </c>
      <c r="HF5" s="201">
        <f>SUMIFS('Expenditure Breakdown'!$G$6:$G$184, 'Expenditure Breakdown'!$H$6:$H$184, "&gt;="&amp;HF1,'Expenditure Breakdown'!$H$6:$H$184, "&lt;"&amp;HG1)</f>
        <v>0</v>
      </c>
      <c r="HG5" s="201">
        <f>SUMIFS('Expenditure Breakdown'!$G$6:$G$184, 'Expenditure Breakdown'!$H$6:$H$184, "&gt;="&amp;HG1,'Expenditure Breakdown'!$H$6:$H$184, "&lt;"&amp;HH1)</f>
        <v>0</v>
      </c>
      <c r="HH5" s="201">
        <f>SUMIFS('Expenditure Breakdown'!$G$6:$G$184, 'Expenditure Breakdown'!$H$6:$H$184, "&gt;="&amp;HH1,'Expenditure Breakdown'!$H$6:$H$184, "&lt;"&amp;HI1)</f>
        <v>0</v>
      </c>
      <c r="HI5" s="201">
        <f>SUMIFS('Expenditure Breakdown'!$G$6:$G$184, 'Expenditure Breakdown'!$H$6:$H$184, "&gt;="&amp;HI1,'Expenditure Breakdown'!$H$6:$H$184, "&lt;"&amp;HJ1)</f>
        <v>0</v>
      </c>
      <c r="HJ5" s="201">
        <f>SUMIFS('Expenditure Breakdown'!$G$6:$G$184, 'Expenditure Breakdown'!$H$6:$H$184, "&gt;="&amp;HJ1,'Expenditure Breakdown'!$H$6:$H$184, "&lt;"&amp;HK1)</f>
        <v>0</v>
      </c>
      <c r="HK5" s="201">
        <f>SUMIFS('Expenditure Breakdown'!$G$6:$G$184, 'Expenditure Breakdown'!$H$6:$H$184, "&gt;="&amp;HK1,'Expenditure Breakdown'!$H$6:$H$184, "&lt;"&amp;HL1)</f>
        <v>0</v>
      </c>
      <c r="HL5" s="201">
        <f>SUMIFS('Expenditure Breakdown'!$G$6:$G$184, 'Expenditure Breakdown'!$H$6:$H$184, "&gt;="&amp;HL1,'Expenditure Breakdown'!$H$6:$H$184, "&lt;"&amp;HM1)</f>
        <v>0</v>
      </c>
      <c r="HM5" s="201">
        <f>SUMIFS('Expenditure Breakdown'!$G$6:$G$184, 'Expenditure Breakdown'!$H$6:$H$184, "&gt;="&amp;HM1,'Expenditure Breakdown'!$H$6:$H$184, "&lt;"&amp;HN1)</f>
        <v>0</v>
      </c>
      <c r="HN5" s="201">
        <f>SUMIFS('Expenditure Breakdown'!$G$6:$G$184, 'Expenditure Breakdown'!$H$6:$H$184, "&gt;="&amp;HN1,'Expenditure Breakdown'!$H$6:$H$184, "&lt;"&amp;HO1)</f>
        <v>0</v>
      </c>
      <c r="HO5" s="201">
        <f>SUMIFS('Expenditure Breakdown'!$G$6:$G$184, 'Expenditure Breakdown'!$H$6:$H$184, "&gt;="&amp;HO1,'Expenditure Breakdown'!$H$6:$H$184, "&lt;"&amp;HP1)</f>
        <v>0</v>
      </c>
      <c r="HP5" s="201">
        <f>SUMIFS('Expenditure Breakdown'!$G$6:$G$184, 'Expenditure Breakdown'!$H$6:$H$184, "&gt;="&amp;HP1,'Expenditure Breakdown'!$H$6:$H$184, "&lt;"&amp;HQ1)</f>
        <v>0</v>
      </c>
      <c r="HQ5" s="201">
        <f>SUMIFS('Expenditure Breakdown'!$G$6:$G$184, 'Expenditure Breakdown'!$H$6:$H$184, "&gt;="&amp;HQ1,'Expenditure Breakdown'!$H$6:$H$184, "&lt;"&amp;HR1)</f>
        <v>0</v>
      </c>
      <c r="HR5" s="201">
        <f>SUMIFS('Expenditure Breakdown'!$G$6:$G$184, 'Expenditure Breakdown'!$H$6:$H$184, "&gt;="&amp;HR1,'Expenditure Breakdown'!$H$6:$H$184, "&lt;"&amp;HS1)</f>
        <v>0</v>
      </c>
      <c r="HS5" s="201">
        <f>SUMIFS('Expenditure Breakdown'!$G$6:$G$184, 'Expenditure Breakdown'!$H$6:$H$184, "&gt;="&amp;HS1,'Expenditure Breakdown'!$H$6:$H$184, "&lt;"&amp;HT1)</f>
        <v>0</v>
      </c>
      <c r="HT5" s="201">
        <f>SUMIFS('Expenditure Breakdown'!$G$6:$G$184, 'Expenditure Breakdown'!$H$6:$H$184, "&gt;="&amp;HT1,'Expenditure Breakdown'!$H$6:$H$184, "&lt;"&amp;HU1)</f>
        <v>0</v>
      </c>
      <c r="HU5" s="201">
        <f>SUMIFS('Expenditure Breakdown'!$G$6:$G$184, 'Expenditure Breakdown'!$H$6:$H$184, "&gt;="&amp;HU1,'Expenditure Breakdown'!$H$6:$H$184, "&lt;"&amp;HV1)</f>
        <v>0</v>
      </c>
      <c r="HV5" s="201">
        <f>SUMIFS('Expenditure Breakdown'!$G$6:$G$184, 'Expenditure Breakdown'!$H$6:$H$184, "&gt;="&amp;HV1,'Expenditure Breakdown'!$H$6:$H$184, "&lt;"&amp;HW1)</f>
        <v>0</v>
      </c>
      <c r="HW5" s="201">
        <f>SUMIFS('Expenditure Breakdown'!$G$6:$G$184, 'Expenditure Breakdown'!$H$6:$H$184, "&gt;="&amp;HW1,'Expenditure Breakdown'!$H$6:$H$184, "&lt;"&amp;HX1)</f>
        <v>0</v>
      </c>
      <c r="HX5" s="201">
        <f>SUMIFS('Expenditure Breakdown'!$G$6:$G$184, 'Expenditure Breakdown'!$H$6:$H$184, "&gt;="&amp;HX1,'Expenditure Breakdown'!$H$6:$H$184, "&lt;"&amp;HY1)</f>
        <v>0</v>
      </c>
      <c r="HY5" s="201">
        <f>SUMIFS('Expenditure Breakdown'!$G$6:$G$184, 'Expenditure Breakdown'!$H$6:$H$184, "&gt;="&amp;HY1,'Expenditure Breakdown'!$H$6:$H$184, "&lt;"&amp;HZ1)</f>
        <v>0</v>
      </c>
      <c r="HZ5" s="201">
        <f>SUMIFS('Expenditure Breakdown'!$G$6:$G$184, 'Expenditure Breakdown'!$H$6:$H$184, "&gt;="&amp;HZ1,'Expenditure Breakdown'!$H$6:$H$184, "&lt;"&amp;IA1)</f>
        <v>0</v>
      </c>
      <c r="IA5" s="201">
        <f>SUMIFS('Expenditure Breakdown'!$G$6:$G$184, 'Expenditure Breakdown'!$H$6:$H$184, "&gt;="&amp;IA1,'Expenditure Breakdown'!$H$6:$H$184, "&lt;"&amp;IB1)</f>
        <v>0</v>
      </c>
      <c r="IB5" s="201">
        <f>SUMIFS('Expenditure Breakdown'!$G$6:$G$184, 'Expenditure Breakdown'!$H$6:$H$184, "&gt;="&amp;IB1,'Expenditure Breakdown'!$H$6:$H$184, "&lt;"&amp;IC1)</f>
        <v>0</v>
      </c>
      <c r="IC5" s="201">
        <f>SUMIFS('Expenditure Breakdown'!$G$6:$G$184, 'Expenditure Breakdown'!$H$6:$H$184, "&gt;="&amp;IC1,'Expenditure Breakdown'!$H$6:$H$184, "&lt;"&amp;ID1)</f>
        <v>0</v>
      </c>
      <c r="ID5" s="201">
        <f>SUMIFS('Expenditure Breakdown'!$G$6:$G$184, 'Expenditure Breakdown'!$H$6:$H$184, "&gt;="&amp;ID1,'Expenditure Breakdown'!$H$6:$H$184, "&lt;"&amp;IE1)</f>
        <v>0</v>
      </c>
      <c r="IE5" s="201">
        <f>SUMIFS('Expenditure Breakdown'!$G$6:$G$184, 'Expenditure Breakdown'!$H$6:$H$184, "&gt;="&amp;IE1,'Expenditure Breakdown'!$H$6:$H$184, "&lt;"&amp;IF1)</f>
        <v>0</v>
      </c>
      <c r="IF5" s="201">
        <f>SUMIFS('Expenditure Breakdown'!$G$6:$G$184, 'Expenditure Breakdown'!$H$6:$H$184, "&gt;="&amp;IF1,'Expenditure Breakdown'!$H$6:$H$184, "&lt;"&amp;IG1)</f>
        <v>0</v>
      </c>
      <c r="IG5" s="201">
        <f>SUMIFS('Expenditure Breakdown'!$G$6:$G$184, 'Expenditure Breakdown'!$H$6:$H$184, "&gt;="&amp;IG1,'Expenditure Breakdown'!$H$6:$H$184, "&lt;"&amp;IH1)</f>
        <v>0</v>
      </c>
      <c r="IH5" s="201">
        <f>SUMIFS('Expenditure Breakdown'!$G$6:$G$184, 'Expenditure Breakdown'!$H$6:$H$184, "&gt;="&amp;IH1,'Expenditure Breakdown'!$H$6:$H$184, "&lt;"&amp;II1)</f>
        <v>0</v>
      </c>
      <c r="II5" s="201">
        <f>SUMIFS('Expenditure Breakdown'!$G$6:$G$184, 'Expenditure Breakdown'!$H$6:$H$184, "&gt;="&amp;II1,'Expenditure Breakdown'!$H$6:$H$184, "&lt;"&amp;IJ1)</f>
        <v>0</v>
      </c>
      <c r="IJ5" s="201">
        <f>SUMIFS('Expenditure Breakdown'!$G$6:$G$184, 'Expenditure Breakdown'!$H$6:$H$184, "&gt;="&amp;IJ1,'Expenditure Breakdown'!$H$6:$H$184, "&lt;"&amp;IK1)</f>
        <v>0</v>
      </c>
      <c r="IK5" s="201">
        <f>SUMIFS('Expenditure Breakdown'!$G$6:$G$184, 'Expenditure Breakdown'!$H$6:$H$184, "&gt;="&amp;IK1,'Expenditure Breakdown'!$H$6:$H$184, "&lt;"&amp;IL1)</f>
        <v>0</v>
      </c>
      <c r="IL5" s="201">
        <f>SUMIFS('Expenditure Breakdown'!$G$6:$G$184, 'Expenditure Breakdown'!$H$6:$H$184, "&gt;="&amp;IL1,'Expenditure Breakdown'!$H$6:$H$184, "&lt;"&amp;IM1)</f>
        <v>0</v>
      </c>
      <c r="IM5" s="201">
        <f>SUMIFS('Expenditure Breakdown'!$G$6:$G$184, 'Expenditure Breakdown'!$H$6:$H$184, "&gt;="&amp;IM1,'Expenditure Breakdown'!$H$6:$H$184, "&lt;"&amp;IN1)</f>
        <v>0</v>
      </c>
      <c r="IN5" s="201">
        <f>SUMIFS('Expenditure Breakdown'!$G$6:$G$184, 'Expenditure Breakdown'!$H$6:$H$184, "&gt;="&amp;IN1,'Expenditure Breakdown'!$H$6:$H$184, "&lt;"&amp;IO1)</f>
        <v>0</v>
      </c>
      <c r="IO5" s="201">
        <f>SUMIFS('Expenditure Breakdown'!$G$6:$G$184, 'Expenditure Breakdown'!$H$6:$H$184, "&gt;="&amp;IO1,'Expenditure Breakdown'!$H$6:$H$184, "&lt;"&amp;IP1)</f>
        <v>0</v>
      </c>
      <c r="IP5" s="201">
        <f>SUMIFS('Expenditure Breakdown'!$G$6:$G$184, 'Expenditure Breakdown'!$H$6:$H$184, "&gt;="&amp;IP1,'Expenditure Breakdown'!$H$6:$H$184, "&lt;"&amp;IQ1)</f>
        <v>0</v>
      </c>
      <c r="IQ5" s="201">
        <f>SUMIFS('Expenditure Breakdown'!$G$6:$G$184, 'Expenditure Breakdown'!$H$6:$H$184, "&gt;="&amp;IQ1,'Expenditure Breakdown'!$H$6:$H$184, "&lt;"&amp;IR1)</f>
        <v>0</v>
      </c>
      <c r="IR5" s="201">
        <f>SUMIFS('Expenditure Breakdown'!$G$6:$G$184, 'Expenditure Breakdown'!$H$6:$H$184, "&gt;="&amp;IR1,'Expenditure Breakdown'!$H$6:$H$184, "&lt;"&amp;IS1)</f>
        <v>0</v>
      </c>
      <c r="IS5" s="201">
        <f>SUMIFS('Expenditure Breakdown'!$G$6:$G$184, 'Expenditure Breakdown'!$H$6:$H$184, "&gt;="&amp;IS1,'Expenditure Breakdown'!$H$6:$H$184, "&lt;"&amp;IT1)</f>
        <v>0</v>
      </c>
      <c r="IT5" s="201">
        <f>SUMIFS('Expenditure Breakdown'!$G$6:$G$184, 'Expenditure Breakdown'!$H$6:$H$184, "&gt;="&amp;IT1,'Expenditure Breakdown'!$H$6:$H$184, "&lt;"&amp;IU1)</f>
        <v>0</v>
      </c>
      <c r="IU5" s="201">
        <f>SUMIFS('Expenditure Breakdown'!$G$6:$G$184, 'Expenditure Breakdown'!$H$6:$H$184, "&gt;="&amp;IU1,'Expenditure Breakdown'!$H$6:$H$184, "&lt;"&amp;IV1)</f>
        <v>0</v>
      </c>
      <c r="IV5" s="201">
        <f>SUMIFS('Expenditure Breakdown'!$G$6:$G$184, 'Expenditure Breakdown'!$H$6:$H$184, "&gt;="&amp;IV1,'Expenditure Breakdown'!$H$6:$H$184, "&lt;"&amp;IW1)</f>
        <v>0</v>
      </c>
      <c r="IW5" s="201">
        <f>SUMIFS('Expenditure Breakdown'!$G$6:$G$184, 'Expenditure Breakdown'!$H$6:$H$184, "&gt;="&amp;IW1,'Expenditure Breakdown'!$H$6:$H$184, "&lt;"&amp;IX1)</f>
        <v>0</v>
      </c>
      <c r="IX5" s="201">
        <f>SUMIFS('Expenditure Breakdown'!$G$6:$G$184, 'Expenditure Breakdown'!$H$6:$H$184, "&gt;="&amp;IX1,'Expenditure Breakdown'!$H$6:$H$184, "&lt;"&amp;IY1)</f>
        <v>0</v>
      </c>
      <c r="IY5" s="201">
        <f>SUMIFS('Expenditure Breakdown'!$G$6:$G$184, 'Expenditure Breakdown'!$H$6:$H$184, "&gt;="&amp;IY1,'Expenditure Breakdown'!$H$6:$H$184, "&lt;"&amp;IZ1)</f>
        <v>0</v>
      </c>
      <c r="IZ5" s="201">
        <f>SUMIFS('Expenditure Breakdown'!$G$6:$G$184, 'Expenditure Breakdown'!$H$6:$H$184, "&gt;="&amp;IZ1,'Expenditure Breakdown'!$H$6:$H$184, "&lt;"&amp;JA1)</f>
        <v>0</v>
      </c>
      <c r="JA5" s="201">
        <f>SUMIFS('Expenditure Breakdown'!$G$6:$G$184, 'Expenditure Breakdown'!$H$6:$H$184, "&gt;="&amp;JA1,'Expenditure Breakdown'!$H$6:$H$184, "&lt;"&amp;JB1)</f>
        <v>0</v>
      </c>
      <c r="JB5" s="201">
        <f>SUMIFS('Expenditure Breakdown'!$G$6:$G$184, 'Expenditure Breakdown'!$H$6:$H$184, "&gt;="&amp;JB1,'Expenditure Breakdown'!$H$6:$H$184, "&lt;"&amp;JC1)</f>
        <v>0</v>
      </c>
      <c r="JC5" s="201">
        <f>SUMIFS('Expenditure Breakdown'!$G$6:$G$184, 'Expenditure Breakdown'!$H$6:$H$184, "&gt;="&amp;JC1,'Expenditure Breakdown'!$H$6:$H$184, "&lt;"&amp;JD1)</f>
        <v>0</v>
      </c>
      <c r="JD5" s="201">
        <f>SUMIFS('Expenditure Breakdown'!$G$6:$G$184, 'Expenditure Breakdown'!$H$6:$H$184, "&gt;="&amp;JD1,'Expenditure Breakdown'!$H$6:$H$184, "&lt;"&amp;JE1)</f>
        <v>0</v>
      </c>
      <c r="JE5" s="201">
        <f>SUMIFS('Expenditure Breakdown'!$G$6:$G$184, 'Expenditure Breakdown'!$H$6:$H$184, "&gt;="&amp;JE1,'Expenditure Breakdown'!$H$6:$H$184, "&lt;"&amp;JF1)</f>
        <v>0</v>
      </c>
      <c r="JF5" s="201">
        <f>SUMIFS('Expenditure Breakdown'!$G$6:$G$184, 'Expenditure Breakdown'!$H$6:$H$184, "&gt;="&amp;JF1,'Expenditure Breakdown'!$H$6:$H$184, "&lt;"&amp;JG1)</f>
        <v>0</v>
      </c>
      <c r="JG5" s="201">
        <f>SUMIFS('Expenditure Breakdown'!$G$6:$G$184, 'Expenditure Breakdown'!$H$6:$H$184, "&gt;="&amp;JG1,'Expenditure Breakdown'!$H$6:$H$184, "&lt;"&amp;JH1)</f>
        <v>0</v>
      </c>
      <c r="JH5" s="201">
        <f>SUMIFS('Expenditure Breakdown'!$G$6:$G$184, 'Expenditure Breakdown'!$H$6:$H$184, "&gt;="&amp;JH1,'Expenditure Breakdown'!$H$6:$H$184, "&lt;"&amp;JI1)</f>
        <v>0</v>
      </c>
      <c r="JI5" s="201">
        <f>SUMIFS('Expenditure Breakdown'!$G$6:$G$184, 'Expenditure Breakdown'!$H$6:$H$184, "&gt;="&amp;JI1,'Expenditure Breakdown'!$H$6:$H$184, "&lt;"&amp;JJ1)</f>
        <v>0</v>
      </c>
      <c r="JJ5" s="201">
        <f>SUMIFS('Expenditure Breakdown'!$G$6:$G$184, 'Expenditure Breakdown'!$H$6:$H$184, "&gt;="&amp;JJ1,'Expenditure Breakdown'!$H$6:$H$184, "&lt;"&amp;JK1)</f>
        <v>0</v>
      </c>
      <c r="JK5" s="201">
        <f>SUMIFS('Expenditure Breakdown'!$G$6:$G$184, 'Expenditure Breakdown'!$H$6:$H$184, "&gt;="&amp;JK1,'Expenditure Breakdown'!$H$6:$H$184, "&lt;"&amp;JL1)</f>
        <v>0</v>
      </c>
      <c r="JL5" s="201">
        <f>SUMIFS('Expenditure Breakdown'!$G$6:$G$184, 'Expenditure Breakdown'!$H$6:$H$184, "&gt;="&amp;JL1,'Expenditure Breakdown'!$H$6:$H$184, "&lt;"&amp;JM1)</f>
        <v>0</v>
      </c>
      <c r="JM5" s="201">
        <f>SUMIFS('Expenditure Breakdown'!$G$6:$G$184, 'Expenditure Breakdown'!$H$6:$H$184, "&gt;="&amp;JM1,'Expenditure Breakdown'!$H$6:$H$184, "&lt;"&amp;JN1)</f>
        <v>0</v>
      </c>
      <c r="JN5" s="201">
        <f>SUMIFS('Expenditure Breakdown'!$G$6:$G$184, 'Expenditure Breakdown'!$H$6:$H$184, "&gt;="&amp;JN1,'Expenditure Breakdown'!$H$6:$H$184, "&lt;"&amp;JO1)</f>
        <v>0</v>
      </c>
      <c r="JO5" s="201">
        <f>SUMIFS('Expenditure Breakdown'!$G$6:$G$184, 'Expenditure Breakdown'!$H$6:$H$184, "&gt;="&amp;JO1,'Expenditure Breakdown'!$H$6:$H$184, "&lt;"&amp;JP1)</f>
        <v>0</v>
      </c>
      <c r="JP5" s="201">
        <f>SUMIFS('Expenditure Breakdown'!$G$6:$G$184, 'Expenditure Breakdown'!$H$6:$H$184, "&gt;="&amp;JP1,'Expenditure Breakdown'!$H$6:$H$184, "&lt;"&amp;JQ1)</f>
        <v>0</v>
      </c>
      <c r="JQ5" s="201">
        <f>SUMIFS('Expenditure Breakdown'!$G$6:$G$184, 'Expenditure Breakdown'!$H$6:$H$184, "&gt;="&amp;JQ1,'Expenditure Breakdown'!$H$6:$H$184, "&lt;"&amp;JR1)</f>
        <v>0</v>
      </c>
      <c r="JR5" s="201">
        <f>SUMIFS('Expenditure Breakdown'!$G$6:$G$184, 'Expenditure Breakdown'!$H$6:$H$184, "&gt;="&amp;JR1,'Expenditure Breakdown'!$H$6:$H$184, "&lt;"&amp;JS1)</f>
        <v>0</v>
      </c>
      <c r="JS5" s="201">
        <f>SUMIFS('Expenditure Breakdown'!$G$6:$G$184, 'Expenditure Breakdown'!$H$6:$H$184, "&gt;="&amp;JS1,'Expenditure Breakdown'!$H$6:$H$184, "&lt;"&amp;JT1)</f>
        <v>0</v>
      </c>
      <c r="JT5" s="201">
        <f>SUMIFS('Expenditure Breakdown'!$G$6:$G$184, 'Expenditure Breakdown'!$H$6:$H$184, "&gt;="&amp;JT1,'Expenditure Breakdown'!$H$6:$H$184, "&lt;"&amp;JU1)</f>
        <v>0</v>
      </c>
      <c r="JU5" s="201">
        <f>SUMIFS('Expenditure Breakdown'!$G$6:$G$184, 'Expenditure Breakdown'!$H$6:$H$184, "&gt;="&amp;JU1,'Expenditure Breakdown'!$H$6:$H$184, "&lt;"&amp;JV1)</f>
        <v>0</v>
      </c>
      <c r="JV5" s="201">
        <f>SUMIFS('Expenditure Breakdown'!$G$6:$G$184, 'Expenditure Breakdown'!$H$6:$H$184, "&gt;="&amp;JV1,'Expenditure Breakdown'!$H$6:$H$184, "&lt;"&amp;JW1)</f>
        <v>0</v>
      </c>
      <c r="JW5" s="201">
        <f>SUMIFS('Expenditure Breakdown'!$G$6:$G$184, 'Expenditure Breakdown'!$H$6:$H$184, "&gt;="&amp;JW1,'Expenditure Breakdown'!$H$6:$H$184, "&lt;"&amp;JX1)</f>
        <v>0</v>
      </c>
      <c r="JX5" s="201">
        <f>SUMIFS('Expenditure Breakdown'!$G$6:$G$184, 'Expenditure Breakdown'!$H$6:$H$184, "&gt;="&amp;JX1,'Expenditure Breakdown'!$H$6:$H$184, "&lt;"&amp;JY1)</f>
        <v>0</v>
      </c>
      <c r="JY5" s="201">
        <f>SUMIFS('Expenditure Breakdown'!$G$6:$G$184, 'Expenditure Breakdown'!$H$6:$H$184, "&gt;="&amp;JY1,'Expenditure Breakdown'!$H$6:$H$184, "&lt;"&amp;JZ1)</f>
        <v>0</v>
      </c>
      <c r="JZ5" s="201">
        <f>SUMIFS('Expenditure Breakdown'!$G$6:$G$184, 'Expenditure Breakdown'!$H$6:$H$184, "&gt;="&amp;JZ1,'Expenditure Breakdown'!$H$6:$H$184, "&lt;"&amp;KA1)</f>
        <v>0</v>
      </c>
      <c r="KA5" s="201">
        <f>SUMIFS('Expenditure Breakdown'!$G$6:$G$184, 'Expenditure Breakdown'!$H$6:$H$184, "&gt;="&amp;KA1,'Expenditure Breakdown'!$H$6:$H$184, "&lt;"&amp;KB1)</f>
        <v>0</v>
      </c>
      <c r="KB5" s="201">
        <f>SUMIFS('Expenditure Breakdown'!$G$6:$G$184, 'Expenditure Breakdown'!$H$6:$H$184, "&gt;="&amp;KB1,'Expenditure Breakdown'!$H$6:$H$184, "&lt;"&amp;KC1)</f>
        <v>0</v>
      </c>
      <c r="KC5" s="201">
        <f>SUMIFS('Expenditure Breakdown'!$G$6:$G$184, 'Expenditure Breakdown'!$H$6:$H$184, "&gt;="&amp;KC1,'Expenditure Breakdown'!$H$6:$H$184, "&lt;"&amp;KD1)</f>
        <v>0</v>
      </c>
      <c r="KD5" s="201">
        <f>SUMIFS('Expenditure Breakdown'!$G$6:$G$184, 'Expenditure Breakdown'!$H$6:$H$184, "&gt;="&amp;KD1,'Expenditure Breakdown'!$H$6:$H$184, "&lt;"&amp;KE1)</f>
        <v>0</v>
      </c>
      <c r="KE5" s="201">
        <f>SUMIFS('Expenditure Breakdown'!$G$6:$G$184, 'Expenditure Breakdown'!$H$6:$H$184, "&gt;="&amp;KE1,'Expenditure Breakdown'!$H$6:$H$184, "&lt;"&amp;KF1)</f>
        <v>0</v>
      </c>
      <c r="KF5" s="201">
        <f>SUMIFS('Expenditure Breakdown'!$G$6:$G$184, 'Expenditure Breakdown'!$H$6:$H$184, "&gt;="&amp;KF1,'Expenditure Breakdown'!$H$6:$H$184, "&lt;"&amp;KG1)</f>
        <v>0</v>
      </c>
      <c r="KG5" s="201">
        <f>SUMIFS('Expenditure Breakdown'!$G$6:$G$184, 'Expenditure Breakdown'!$H$6:$H$184, "&gt;="&amp;KG1,'Expenditure Breakdown'!$H$6:$H$184, "&lt;"&amp;KH1)</f>
        <v>0</v>
      </c>
      <c r="KH5" s="201">
        <f>SUMIFS('Expenditure Breakdown'!$G$6:$G$184, 'Expenditure Breakdown'!$H$6:$H$184, "&gt;="&amp;KH1,'Expenditure Breakdown'!$H$6:$H$184, "&lt;"&amp;KI1)</f>
        <v>0</v>
      </c>
      <c r="KI5" s="201">
        <f>SUMIFS('Expenditure Breakdown'!$G$6:$G$184, 'Expenditure Breakdown'!$H$6:$H$184, "&gt;="&amp;KI1,'Expenditure Breakdown'!$H$6:$H$184, "&lt;"&amp;KJ1)</f>
        <v>0</v>
      </c>
      <c r="KJ5" s="201">
        <f>SUMIFS('Expenditure Breakdown'!$G$6:$G$184, 'Expenditure Breakdown'!$H$6:$H$184, "&gt;="&amp;KJ1,'Expenditure Breakdown'!$H$6:$H$184, "&lt;"&amp;KK1)</f>
        <v>0</v>
      </c>
      <c r="KK5" s="201">
        <f>SUMIFS('Expenditure Breakdown'!$G$6:$G$184, 'Expenditure Breakdown'!$H$6:$H$184, "&gt;="&amp;KK1,'Expenditure Breakdown'!$H$6:$H$184, "&lt;"&amp;KL1)</f>
        <v>0</v>
      </c>
      <c r="KL5" s="201">
        <f>SUMIFS('Expenditure Breakdown'!$G$6:$G$184, 'Expenditure Breakdown'!$H$6:$H$184, "&gt;="&amp;KL1,'Expenditure Breakdown'!$H$6:$H$184, "&lt;"&amp;KM1)</f>
        <v>0</v>
      </c>
      <c r="KM5" s="201">
        <f>SUMIFS('Expenditure Breakdown'!$G$6:$G$184, 'Expenditure Breakdown'!$H$6:$H$184, "&gt;="&amp;KM1,'Expenditure Breakdown'!$H$6:$H$184, "&lt;"&amp;KN1)</f>
        <v>0</v>
      </c>
      <c r="KN5" s="201">
        <f>SUMIFS('Expenditure Breakdown'!$G$6:$G$184, 'Expenditure Breakdown'!$H$6:$H$184, "&gt;="&amp;KN1,'Expenditure Breakdown'!$H$6:$H$184, "&lt;"&amp;KO1)</f>
        <v>0</v>
      </c>
      <c r="KO5" s="201">
        <f>SUMIFS('Expenditure Breakdown'!$G$6:$G$184, 'Expenditure Breakdown'!$H$6:$H$184, "&gt;="&amp;KO1,'Expenditure Breakdown'!$H$6:$H$184, "&lt;"&amp;KP1)</f>
        <v>0</v>
      </c>
      <c r="KP5" s="201">
        <f>SUMIFS('Expenditure Breakdown'!$G$6:$G$184, 'Expenditure Breakdown'!$H$6:$H$184, "&gt;="&amp;KP1,'Expenditure Breakdown'!$H$6:$H$184, "&lt;"&amp;KQ1)</f>
        <v>0</v>
      </c>
      <c r="KQ5" s="201">
        <f>SUMIFS('Expenditure Breakdown'!$G$6:$G$184, 'Expenditure Breakdown'!$H$6:$H$184, "&gt;="&amp;KQ1,'Expenditure Breakdown'!$H$6:$H$184, "&lt;"&amp;KR1)</f>
        <v>0</v>
      </c>
      <c r="KR5" s="201">
        <f>SUMIFS('Expenditure Breakdown'!$G$6:$G$184, 'Expenditure Breakdown'!$H$6:$H$184, "&gt;="&amp;KR1,'Expenditure Breakdown'!$H$6:$H$184, "&lt;"&amp;KS1)</f>
        <v>0</v>
      </c>
      <c r="KS5" s="201">
        <f>SUMIFS('Expenditure Breakdown'!$G$6:$G$184, 'Expenditure Breakdown'!$H$6:$H$184, "&gt;="&amp;KS1,'Expenditure Breakdown'!$H$6:$H$184, "&lt;"&amp;KT1)</f>
        <v>0</v>
      </c>
      <c r="KT5" s="201">
        <f>SUMIFS('Expenditure Breakdown'!$G$6:$G$184, 'Expenditure Breakdown'!$H$6:$H$184, "&gt;="&amp;KT1,'Expenditure Breakdown'!$H$6:$H$184, "&lt;"&amp;KU1)</f>
        <v>0</v>
      </c>
      <c r="KU5" s="201">
        <f>SUMIFS('Expenditure Breakdown'!$G$6:$G$184, 'Expenditure Breakdown'!$H$6:$H$184, "&gt;="&amp;KU1,'Expenditure Breakdown'!$H$6:$H$184, "&lt;"&amp;KV1)</f>
        <v>0</v>
      </c>
      <c r="KV5" s="201">
        <f>SUMIFS('Expenditure Breakdown'!$G$6:$G$184, 'Expenditure Breakdown'!$H$6:$H$184, "&gt;="&amp;KV1,'Expenditure Breakdown'!$H$6:$H$184, "&lt;"&amp;KW1)</f>
        <v>0</v>
      </c>
      <c r="KW5" s="201">
        <f>SUMIFS('Expenditure Breakdown'!$G$6:$G$184, 'Expenditure Breakdown'!$H$6:$H$184, "&gt;="&amp;KW1,'Expenditure Breakdown'!$H$6:$H$184, "&lt;"&amp;KX1)</f>
        <v>0</v>
      </c>
      <c r="KX5" s="201">
        <f>SUMIFS('Expenditure Breakdown'!$G$6:$G$184, 'Expenditure Breakdown'!$H$6:$H$184, "&gt;="&amp;KX1,'Expenditure Breakdown'!$H$6:$H$184, "&lt;"&amp;KY1)</f>
        <v>0</v>
      </c>
      <c r="KY5" s="201">
        <f>SUMIFS('Expenditure Breakdown'!$G$6:$G$184, 'Expenditure Breakdown'!$H$6:$H$184, "&gt;="&amp;KY1,'Expenditure Breakdown'!$H$6:$H$184, "&lt;"&amp;KZ1)</f>
        <v>0</v>
      </c>
      <c r="KZ5" s="201">
        <f>SUMIFS('Expenditure Breakdown'!$G$6:$G$184, 'Expenditure Breakdown'!$H$6:$H$184, "&gt;="&amp;KZ1,'Expenditure Breakdown'!$H$6:$H$184, "&lt;"&amp;LA1)</f>
        <v>0</v>
      </c>
      <c r="LA5" s="201">
        <f>SUMIFS('Expenditure Breakdown'!$G$6:$G$184, 'Expenditure Breakdown'!$H$6:$H$184, "&gt;="&amp;LA1,'Expenditure Breakdown'!$H$6:$H$184, "&lt;"&amp;LB1)</f>
        <v>0</v>
      </c>
      <c r="LB5" s="201">
        <f>SUMIFS('Expenditure Breakdown'!$G$6:$G$184, 'Expenditure Breakdown'!$H$6:$H$184, "&gt;="&amp;LB1,'Expenditure Breakdown'!$H$6:$H$184, "&lt;"&amp;LC1)</f>
        <v>0</v>
      </c>
      <c r="LC5" s="201">
        <f>SUMIFS('Expenditure Breakdown'!$G$6:$G$184, 'Expenditure Breakdown'!$H$6:$H$184, "&gt;="&amp;LC1,'Expenditure Breakdown'!$H$6:$H$184, "&lt;"&amp;LD1)</f>
        <v>0</v>
      </c>
      <c r="LD5" s="201">
        <f>SUMIFS('Expenditure Breakdown'!$G$6:$G$184, 'Expenditure Breakdown'!$H$6:$H$184, "&gt;="&amp;LD1,'Expenditure Breakdown'!$H$6:$H$184, "&lt;"&amp;#REF!)</f>
        <v>0</v>
      </c>
      <c r="LE5" s="191"/>
      <c r="LF5" s="202"/>
      <c r="LG5" s="202"/>
    </row>
    <row r="6" spans="1:794" s="203" customFormat="1">
      <c r="A6" s="777"/>
      <c r="B6" s="199" t="s">
        <v>402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18000</v>
      </c>
      <c r="R6" s="201">
        <f t="shared" si="10"/>
        <v>18000</v>
      </c>
      <c r="S6" s="201">
        <f t="shared" si="10"/>
        <v>18000</v>
      </c>
      <c r="T6" s="201">
        <f t="shared" si="10"/>
        <v>18000</v>
      </c>
      <c r="U6" s="201">
        <f t="shared" si="10"/>
        <v>22375</v>
      </c>
      <c r="V6" s="201">
        <f t="shared" si="10"/>
        <v>22375</v>
      </c>
      <c r="W6" s="201">
        <f t="shared" si="10"/>
        <v>22375</v>
      </c>
      <c r="X6" s="201">
        <f t="shared" si="10"/>
        <v>37375</v>
      </c>
      <c r="Y6" s="201">
        <f t="shared" si="10"/>
        <v>344126.81739130436</v>
      </c>
      <c r="Z6" s="201">
        <f t="shared" si="10"/>
        <v>344126.81739130436</v>
      </c>
      <c r="AA6" s="201">
        <f t="shared" si="10"/>
        <v>490426.81739130436</v>
      </c>
      <c r="AB6" s="201">
        <f t="shared" si="10"/>
        <v>490426.81739130436</v>
      </c>
      <c r="AC6" s="201">
        <f t="shared" si="10"/>
        <v>490426.81739130436</v>
      </c>
      <c r="AD6" s="201">
        <f t="shared" si="10"/>
        <v>790426.8173913043</v>
      </c>
      <c r="AE6" s="201">
        <f t="shared" si="10"/>
        <v>824426.8173913043</v>
      </c>
      <c r="AF6" s="201">
        <f t="shared" si="10"/>
        <v>824426.8173913043</v>
      </c>
      <c r="AG6" s="201">
        <f t="shared" si="10"/>
        <v>1864598.2173913042</v>
      </c>
      <c r="AH6" s="201">
        <f t="shared" si="10"/>
        <v>1864598.2173913042</v>
      </c>
      <c r="AI6" s="201">
        <f t="shared" si="10"/>
        <v>1864598.2173913042</v>
      </c>
      <c r="AJ6" s="201">
        <f t="shared" si="10"/>
        <v>1864598.2173913042</v>
      </c>
      <c r="AK6" s="201">
        <f t="shared" si="10"/>
        <v>2029528.1328346701</v>
      </c>
      <c r="AL6" s="201">
        <f t="shared" si="10"/>
        <v>2029528.1328346701</v>
      </c>
      <c r="AM6" s="201">
        <f t="shared" si="10"/>
        <v>2029528.1328346701</v>
      </c>
      <c r="AN6" s="201">
        <f t="shared" si="10"/>
        <v>2040528.1328346701</v>
      </c>
      <c r="AO6" s="201">
        <f t="shared" si="10"/>
        <v>2040528.1328346701</v>
      </c>
      <c r="AP6" s="201">
        <f t="shared" si="10"/>
        <v>2415274.7995013366</v>
      </c>
      <c r="AQ6" s="201">
        <f t="shared" si="10"/>
        <v>2415274.7995013366</v>
      </c>
      <c r="AR6" s="201">
        <f t="shared" si="10"/>
        <v>2415274.7995013366</v>
      </c>
      <c r="AS6" s="201">
        <f t="shared" si="10"/>
        <v>2415274.7995013366</v>
      </c>
      <c r="AT6" s="201">
        <f t="shared" si="10"/>
        <v>2415274.7995013366</v>
      </c>
      <c r="AU6" s="201">
        <f t="shared" si="10"/>
        <v>2415274.7995013366</v>
      </c>
      <c r="AV6" s="201">
        <f t="shared" si="10"/>
        <v>2415274.7995013366</v>
      </c>
      <c r="AW6" s="201">
        <f t="shared" si="10"/>
        <v>2415274.7995013366</v>
      </c>
      <c r="AX6" s="201">
        <f t="shared" si="10"/>
        <v>2415274.7995013366</v>
      </c>
      <c r="AY6" s="201">
        <f t="shared" si="10"/>
        <v>2415274.7995013366</v>
      </c>
      <c r="AZ6" s="201">
        <f t="shared" si="10"/>
        <v>2415274.7995013366</v>
      </c>
      <c r="BA6" s="201">
        <f t="shared" si="10"/>
        <v>2415274.7995013366</v>
      </c>
      <c r="BB6" s="201">
        <f t="shared" si="10"/>
        <v>2415274.7995013366</v>
      </c>
      <c r="BC6" s="201">
        <f t="shared" si="10"/>
        <v>2415274.7995013366</v>
      </c>
      <c r="BD6" s="201">
        <f t="shared" si="10"/>
        <v>2415274.7995013366</v>
      </c>
      <c r="BE6" s="201">
        <f t="shared" si="10"/>
        <v>2415274.7995013366</v>
      </c>
      <c r="BF6" s="201">
        <f t="shared" si="10"/>
        <v>2415274.7995013366</v>
      </c>
      <c r="BG6" s="201">
        <f t="shared" si="10"/>
        <v>2415274.7995013366</v>
      </c>
      <c r="BH6" s="201">
        <f t="shared" si="10"/>
        <v>2415274.7995013366</v>
      </c>
      <c r="BI6" s="201">
        <f t="shared" si="10"/>
        <v>2415274.7995013366</v>
      </c>
      <c r="BJ6" s="201">
        <f t="shared" si="10"/>
        <v>2415274.7995013366</v>
      </c>
      <c r="BK6" s="201">
        <f t="shared" si="10"/>
        <v>2415274.7995013366</v>
      </c>
      <c r="BL6" s="201">
        <f t="shared" si="10"/>
        <v>2415274.7995013366</v>
      </c>
      <c r="BM6" s="201">
        <f t="shared" si="10"/>
        <v>2415274.7995013366</v>
      </c>
      <c r="BN6" s="201">
        <f t="shared" si="10"/>
        <v>2415274.7995013366</v>
      </c>
      <c r="BO6" s="201">
        <f t="shared" si="10"/>
        <v>2415274.7995013366</v>
      </c>
      <c r="BP6" s="201">
        <f t="shared" si="10"/>
        <v>2415274.7995013366</v>
      </c>
      <c r="BQ6" s="201">
        <f t="shared" si="10"/>
        <v>2415274.7995013366</v>
      </c>
      <c r="BR6" s="201">
        <f t="shared" si="10"/>
        <v>2415274.7995013366</v>
      </c>
      <c r="BS6" s="201">
        <f t="shared" si="10"/>
        <v>2415274.7995013366</v>
      </c>
      <c r="BT6" s="201">
        <f t="shared" si="10"/>
        <v>2415274.7995013366</v>
      </c>
      <c r="BU6" s="201">
        <f t="shared" ref="BU6:EF6" si="11">BT6+BU5</f>
        <v>2415274.7995013366</v>
      </c>
      <c r="BV6" s="201">
        <f t="shared" si="11"/>
        <v>2415274.7995013366</v>
      </c>
      <c r="BW6" s="201">
        <f t="shared" si="11"/>
        <v>2415274.7995013366</v>
      </c>
      <c r="BX6" s="201">
        <f t="shared" si="11"/>
        <v>2415274.7995013366</v>
      </c>
      <c r="BY6" s="201">
        <f t="shared" si="11"/>
        <v>2415274.7995013366</v>
      </c>
      <c r="BZ6" s="201">
        <f t="shared" si="11"/>
        <v>2415274.7995013366</v>
      </c>
      <c r="CA6" s="201">
        <f t="shared" si="11"/>
        <v>2415274.7995013366</v>
      </c>
      <c r="CB6" s="201">
        <f t="shared" si="11"/>
        <v>2415274.7995013366</v>
      </c>
      <c r="CC6" s="201">
        <f t="shared" si="11"/>
        <v>2415274.7995013366</v>
      </c>
      <c r="CD6" s="201">
        <f t="shared" si="11"/>
        <v>2415274.7995013366</v>
      </c>
      <c r="CE6" s="201">
        <f t="shared" si="11"/>
        <v>2415274.7995013366</v>
      </c>
      <c r="CF6" s="201">
        <f t="shared" si="11"/>
        <v>2415274.7995013366</v>
      </c>
      <c r="CG6" s="201">
        <f t="shared" si="11"/>
        <v>2415274.7995013366</v>
      </c>
      <c r="CH6" s="201">
        <f t="shared" si="11"/>
        <v>2415274.7995013366</v>
      </c>
      <c r="CI6" s="201">
        <f t="shared" si="11"/>
        <v>2415274.7995013366</v>
      </c>
      <c r="CJ6" s="201">
        <f t="shared" si="11"/>
        <v>2415274.7995013366</v>
      </c>
      <c r="CK6" s="201">
        <f t="shared" si="11"/>
        <v>2415274.7995013366</v>
      </c>
      <c r="CL6" s="201">
        <f t="shared" si="11"/>
        <v>2415274.7995013366</v>
      </c>
      <c r="CM6" s="201">
        <f t="shared" si="11"/>
        <v>2415274.7995013366</v>
      </c>
      <c r="CN6" s="201">
        <f t="shared" si="11"/>
        <v>2415274.7995013366</v>
      </c>
      <c r="CO6" s="201">
        <f t="shared" si="11"/>
        <v>2415274.7995013366</v>
      </c>
      <c r="CP6" s="201">
        <f t="shared" si="11"/>
        <v>2415274.7995013366</v>
      </c>
      <c r="CQ6" s="201">
        <f t="shared" si="11"/>
        <v>2415274.7995013366</v>
      </c>
      <c r="CR6" s="201">
        <f t="shared" si="11"/>
        <v>2415274.7995013366</v>
      </c>
      <c r="CS6" s="201">
        <f t="shared" si="11"/>
        <v>2415274.7995013366</v>
      </c>
      <c r="CT6" s="201">
        <f t="shared" si="11"/>
        <v>2415274.7995013366</v>
      </c>
      <c r="CU6" s="201">
        <f t="shared" si="11"/>
        <v>2415274.7995013366</v>
      </c>
      <c r="CV6" s="201">
        <f t="shared" si="11"/>
        <v>2415274.7995013366</v>
      </c>
      <c r="CW6" s="201">
        <f t="shared" si="11"/>
        <v>2415274.7995013366</v>
      </c>
      <c r="CX6" s="201">
        <f t="shared" si="11"/>
        <v>2415274.7995013366</v>
      </c>
      <c r="CY6" s="201">
        <f t="shared" si="11"/>
        <v>2415274.7995013366</v>
      </c>
      <c r="CZ6" s="201">
        <f t="shared" si="11"/>
        <v>2415274.7995013366</v>
      </c>
      <c r="DA6" s="201">
        <f t="shared" si="11"/>
        <v>2415274.7995013366</v>
      </c>
      <c r="DB6" s="201">
        <f t="shared" si="11"/>
        <v>2415274.7995013366</v>
      </c>
      <c r="DC6" s="201">
        <f t="shared" si="11"/>
        <v>2415274.7995013366</v>
      </c>
      <c r="DD6" s="201">
        <f t="shared" si="11"/>
        <v>2415274.7995013366</v>
      </c>
      <c r="DE6" s="201">
        <f t="shared" si="11"/>
        <v>2415274.7995013366</v>
      </c>
      <c r="DF6" s="201">
        <f t="shared" si="11"/>
        <v>2415274.7995013366</v>
      </c>
      <c r="DG6" s="201">
        <f t="shared" si="11"/>
        <v>2415274.7995013366</v>
      </c>
      <c r="DH6" s="201">
        <f t="shared" si="11"/>
        <v>2415274.7995013366</v>
      </c>
      <c r="DI6" s="201">
        <f t="shared" si="11"/>
        <v>2415274.7995013366</v>
      </c>
      <c r="DJ6" s="201">
        <f t="shared" si="11"/>
        <v>2415274.7995013366</v>
      </c>
      <c r="DK6" s="201">
        <f t="shared" si="11"/>
        <v>2415274.7995013366</v>
      </c>
      <c r="DL6" s="201">
        <f t="shared" si="11"/>
        <v>2415274.7995013366</v>
      </c>
      <c r="DM6" s="201">
        <f t="shared" si="11"/>
        <v>2415274.7995013366</v>
      </c>
      <c r="DN6" s="201">
        <f t="shared" si="11"/>
        <v>2415274.7995013366</v>
      </c>
      <c r="DO6" s="201">
        <f t="shared" si="11"/>
        <v>2415274.7995013366</v>
      </c>
      <c r="DP6" s="201">
        <f t="shared" si="11"/>
        <v>2415274.7995013366</v>
      </c>
      <c r="DQ6" s="201">
        <f t="shared" si="11"/>
        <v>2415274.7995013366</v>
      </c>
      <c r="DR6" s="201">
        <f t="shared" si="11"/>
        <v>2415274.7995013366</v>
      </c>
      <c r="DS6" s="201">
        <f t="shared" si="11"/>
        <v>2415274.7995013366</v>
      </c>
      <c r="DT6" s="201">
        <f t="shared" si="11"/>
        <v>2415274.7995013366</v>
      </c>
      <c r="DU6" s="201">
        <f t="shared" si="11"/>
        <v>2415274.7995013366</v>
      </c>
      <c r="DV6" s="201">
        <f t="shared" si="11"/>
        <v>2415274.7995013366</v>
      </c>
      <c r="DW6" s="201">
        <f t="shared" si="11"/>
        <v>2415274.7995013366</v>
      </c>
      <c r="DX6" s="201">
        <f t="shared" si="11"/>
        <v>2415274.7995013366</v>
      </c>
      <c r="DY6" s="201">
        <f t="shared" si="11"/>
        <v>2415274.7995013366</v>
      </c>
      <c r="DZ6" s="201">
        <f t="shared" si="11"/>
        <v>2415274.7995013366</v>
      </c>
      <c r="EA6" s="201">
        <f t="shared" si="11"/>
        <v>2415274.7995013366</v>
      </c>
      <c r="EB6" s="201">
        <f t="shared" si="11"/>
        <v>2415274.7995013366</v>
      </c>
      <c r="EC6" s="201">
        <f t="shared" si="11"/>
        <v>2415274.7995013366</v>
      </c>
      <c r="ED6" s="201">
        <f t="shared" si="11"/>
        <v>2415274.7995013366</v>
      </c>
      <c r="EE6" s="201">
        <f t="shared" si="11"/>
        <v>2415274.7995013366</v>
      </c>
      <c r="EF6" s="201">
        <f t="shared" si="11"/>
        <v>2415274.7995013366</v>
      </c>
      <c r="EG6" s="201">
        <f t="shared" ref="EG6:GR6" si="12">EF6+EG5</f>
        <v>2415274.7995013366</v>
      </c>
      <c r="EH6" s="201">
        <f t="shared" si="12"/>
        <v>2415274.7995013366</v>
      </c>
      <c r="EI6" s="201">
        <f t="shared" si="12"/>
        <v>2415274.7995013366</v>
      </c>
      <c r="EJ6" s="201">
        <f t="shared" si="12"/>
        <v>2415274.7995013366</v>
      </c>
      <c r="EK6" s="201">
        <f t="shared" si="12"/>
        <v>2415274.7995013366</v>
      </c>
      <c r="EL6" s="201">
        <f t="shared" si="12"/>
        <v>2415274.7995013366</v>
      </c>
      <c r="EM6" s="201">
        <f t="shared" si="12"/>
        <v>2415274.7995013366</v>
      </c>
      <c r="EN6" s="201">
        <f t="shared" si="12"/>
        <v>2415274.7995013366</v>
      </c>
      <c r="EO6" s="201">
        <f t="shared" si="12"/>
        <v>2415274.7995013366</v>
      </c>
      <c r="EP6" s="201">
        <f t="shared" si="12"/>
        <v>2415274.7995013366</v>
      </c>
      <c r="EQ6" s="201">
        <f t="shared" si="12"/>
        <v>2415274.7995013366</v>
      </c>
      <c r="ER6" s="201">
        <f t="shared" si="12"/>
        <v>2415274.7995013366</v>
      </c>
      <c r="ES6" s="201">
        <f t="shared" si="12"/>
        <v>2415274.7995013366</v>
      </c>
      <c r="ET6" s="201">
        <f t="shared" si="12"/>
        <v>2415274.7995013366</v>
      </c>
      <c r="EU6" s="201">
        <f t="shared" si="12"/>
        <v>2415274.7995013366</v>
      </c>
      <c r="EV6" s="201">
        <f t="shared" si="12"/>
        <v>2415274.7995013366</v>
      </c>
      <c r="EW6" s="201">
        <f t="shared" si="12"/>
        <v>2415274.7995013366</v>
      </c>
      <c r="EX6" s="201">
        <f t="shared" si="12"/>
        <v>2415274.7995013366</v>
      </c>
      <c r="EY6" s="201">
        <f t="shared" si="12"/>
        <v>2415274.7995013366</v>
      </c>
      <c r="EZ6" s="201">
        <f t="shared" si="12"/>
        <v>2415274.7995013366</v>
      </c>
      <c r="FA6" s="201">
        <f t="shared" si="12"/>
        <v>2415274.7995013366</v>
      </c>
      <c r="FB6" s="201">
        <f t="shared" si="12"/>
        <v>2415274.7995013366</v>
      </c>
      <c r="FC6" s="201">
        <f t="shared" si="12"/>
        <v>2415274.7995013366</v>
      </c>
      <c r="FD6" s="201">
        <f t="shared" si="12"/>
        <v>2415274.7995013366</v>
      </c>
      <c r="FE6" s="201">
        <f t="shared" si="12"/>
        <v>2415274.7995013366</v>
      </c>
      <c r="FF6" s="201">
        <f t="shared" si="12"/>
        <v>2415274.7995013366</v>
      </c>
      <c r="FG6" s="201">
        <f t="shared" si="12"/>
        <v>2415274.7995013366</v>
      </c>
      <c r="FH6" s="201">
        <f t="shared" si="12"/>
        <v>2415274.7995013366</v>
      </c>
      <c r="FI6" s="201">
        <f t="shared" si="12"/>
        <v>2415274.7995013366</v>
      </c>
      <c r="FJ6" s="201">
        <f t="shared" si="12"/>
        <v>2415274.7995013366</v>
      </c>
      <c r="FK6" s="201">
        <f t="shared" si="12"/>
        <v>2415274.7995013366</v>
      </c>
      <c r="FL6" s="201">
        <f t="shared" si="12"/>
        <v>2415274.7995013366</v>
      </c>
      <c r="FM6" s="201">
        <f t="shared" si="12"/>
        <v>2415274.7995013366</v>
      </c>
      <c r="FN6" s="201">
        <f t="shared" si="12"/>
        <v>2415274.7995013366</v>
      </c>
      <c r="FO6" s="201">
        <f t="shared" si="12"/>
        <v>2415274.7995013366</v>
      </c>
      <c r="FP6" s="201">
        <f t="shared" si="12"/>
        <v>2415274.7995013366</v>
      </c>
      <c r="FQ6" s="201">
        <f t="shared" si="12"/>
        <v>2415274.7995013366</v>
      </c>
      <c r="FR6" s="201">
        <f t="shared" si="12"/>
        <v>2415274.7995013366</v>
      </c>
      <c r="FS6" s="201">
        <f t="shared" si="12"/>
        <v>2415274.7995013366</v>
      </c>
      <c r="FT6" s="201">
        <f t="shared" si="12"/>
        <v>2415274.7995013366</v>
      </c>
      <c r="FU6" s="201">
        <f t="shared" si="12"/>
        <v>2415274.7995013366</v>
      </c>
      <c r="FV6" s="201">
        <f t="shared" si="12"/>
        <v>2415274.7995013366</v>
      </c>
      <c r="FW6" s="201">
        <f t="shared" si="12"/>
        <v>2415274.7995013366</v>
      </c>
      <c r="FX6" s="201">
        <f t="shared" si="12"/>
        <v>2415274.7995013366</v>
      </c>
      <c r="FY6" s="201">
        <f t="shared" si="12"/>
        <v>2415274.7995013366</v>
      </c>
      <c r="FZ6" s="201">
        <f t="shared" si="12"/>
        <v>2415274.7995013366</v>
      </c>
      <c r="GA6" s="201">
        <f t="shared" si="12"/>
        <v>2415274.7995013366</v>
      </c>
      <c r="GB6" s="201">
        <f t="shared" si="12"/>
        <v>2415274.7995013366</v>
      </c>
      <c r="GC6" s="201">
        <f t="shared" si="12"/>
        <v>2415274.7995013366</v>
      </c>
      <c r="GD6" s="201">
        <f t="shared" si="12"/>
        <v>2415274.7995013366</v>
      </c>
      <c r="GE6" s="201">
        <f t="shared" si="12"/>
        <v>2415274.7995013366</v>
      </c>
      <c r="GF6" s="201">
        <f t="shared" si="12"/>
        <v>2415274.7995013366</v>
      </c>
      <c r="GG6" s="201">
        <f t="shared" si="12"/>
        <v>2415274.7995013366</v>
      </c>
      <c r="GH6" s="201">
        <f t="shared" si="12"/>
        <v>2415274.7995013366</v>
      </c>
      <c r="GI6" s="201">
        <f t="shared" si="12"/>
        <v>2415274.7995013366</v>
      </c>
      <c r="GJ6" s="201">
        <f t="shared" si="12"/>
        <v>2415274.7995013366</v>
      </c>
      <c r="GK6" s="201">
        <f t="shared" si="12"/>
        <v>2415274.7995013366</v>
      </c>
      <c r="GL6" s="201">
        <f t="shared" si="12"/>
        <v>2415274.7995013366</v>
      </c>
      <c r="GM6" s="201">
        <f t="shared" si="12"/>
        <v>2415274.7995013366</v>
      </c>
      <c r="GN6" s="201">
        <f t="shared" si="12"/>
        <v>2415274.7995013366</v>
      </c>
      <c r="GO6" s="201">
        <f t="shared" si="12"/>
        <v>2415274.7995013366</v>
      </c>
      <c r="GP6" s="201">
        <f t="shared" si="12"/>
        <v>2415274.7995013366</v>
      </c>
      <c r="GQ6" s="201">
        <f t="shared" si="12"/>
        <v>2415274.7995013366</v>
      </c>
      <c r="GR6" s="201">
        <f t="shared" si="12"/>
        <v>2415274.7995013366</v>
      </c>
      <c r="GS6" s="201">
        <f t="shared" ref="GS6:JD6" si="13">GR6+GS5</f>
        <v>2415274.7995013366</v>
      </c>
      <c r="GT6" s="201">
        <f t="shared" si="13"/>
        <v>2415274.7995013366</v>
      </c>
      <c r="GU6" s="201">
        <f t="shared" si="13"/>
        <v>2415274.7995013366</v>
      </c>
      <c r="GV6" s="201">
        <f t="shared" si="13"/>
        <v>2415274.7995013366</v>
      </c>
      <c r="GW6" s="201">
        <f t="shared" si="13"/>
        <v>2415274.7995013366</v>
      </c>
      <c r="GX6" s="201">
        <f t="shared" si="13"/>
        <v>2415274.7995013366</v>
      </c>
      <c r="GY6" s="201">
        <f t="shared" si="13"/>
        <v>2415274.7995013366</v>
      </c>
      <c r="GZ6" s="201">
        <f t="shared" si="13"/>
        <v>2415274.7995013366</v>
      </c>
      <c r="HA6" s="201">
        <f t="shared" si="13"/>
        <v>2415274.7995013366</v>
      </c>
      <c r="HB6" s="201">
        <f t="shared" si="13"/>
        <v>2415274.7995013366</v>
      </c>
      <c r="HC6" s="201">
        <f t="shared" si="13"/>
        <v>2415274.7995013366</v>
      </c>
      <c r="HD6" s="201">
        <f t="shared" si="13"/>
        <v>2415274.7995013366</v>
      </c>
      <c r="HE6" s="201">
        <f t="shared" si="13"/>
        <v>2415274.7995013366</v>
      </c>
      <c r="HF6" s="201">
        <f t="shared" si="13"/>
        <v>2415274.7995013366</v>
      </c>
      <c r="HG6" s="201">
        <f t="shared" si="13"/>
        <v>2415274.7995013366</v>
      </c>
      <c r="HH6" s="201">
        <f t="shared" si="13"/>
        <v>2415274.7995013366</v>
      </c>
      <c r="HI6" s="201">
        <f t="shared" si="13"/>
        <v>2415274.7995013366</v>
      </c>
      <c r="HJ6" s="201">
        <f t="shared" si="13"/>
        <v>2415274.7995013366</v>
      </c>
      <c r="HK6" s="201">
        <f t="shared" si="13"/>
        <v>2415274.7995013366</v>
      </c>
      <c r="HL6" s="201">
        <f t="shared" si="13"/>
        <v>2415274.7995013366</v>
      </c>
      <c r="HM6" s="201">
        <f t="shared" si="13"/>
        <v>2415274.7995013366</v>
      </c>
      <c r="HN6" s="201">
        <f t="shared" si="13"/>
        <v>2415274.7995013366</v>
      </c>
      <c r="HO6" s="201">
        <f t="shared" si="13"/>
        <v>2415274.7995013366</v>
      </c>
      <c r="HP6" s="201">
        <f t="shared" si="13"/>
        <v>2415274.7995013366</v>
      </c>
      <c r="HQ6" s="201">
        <f t="shared" si="13"/>
        <v>2415274.7995013366</v>
      </c>
      <c r="HR6" s="201">
        <f t="shared" si="13"/>
        <v>2415274.7995013366</v>
      </c>
      <c r="HS6" s="201">
        <f t="shared" si="13"/>
        <v>2415274.7995013366</v>
      </c>
      <c r="HT6" s="201">
        <f t="shared" si="13"/>
        <v>2415274.7995013366</v>
      </c>
      <c r="HU6" s="201">
        <f t="shared" si="13"/>
        <v>2415274.7995013366</v>
      </c>
      <c r="HV6" s="201">
        <f t="shared" si="13"/>
        <v>2415274.7995013366</v>
      </c>
      <c r="HW6" s="201">
        <f t="shared" si="13"/>
        <v>2415274.7995013366</v>
      </c>
      <c r="HX6" s="201">
        <f t="shared" si="13"/>
        <v>2415274.7995013366</v>
      </c>
      <c r="HY6" s="201">
        <f t="shared" si="13"/>
        <v>2415274.7995013366</v>
      </c>
      <c r="HZ6" s="201">
        <f t="shared" si="13"/>
        <v>2415274.7995013366</v>
      </c>
      <c r="IA6" s="201">
        <f t="shared" si="13"/>
        <v>2415274.7995013366</v>
      </c>
      <c r="IB6" s="201">
        <f t="shared" si="13"/>
        <v>2415274.7995013366</v>
      </c>
      <c r="IC6" s="201">
        <f t="shared" si="13"/>
        <v>2415274.7995013366</v>
      </c>
      <c r="ID6" s="201">
        <f t="shared" si="13"/>
        <v>2415274.7995013366</v>
      </c>
      <c r="IE6" s="201">
        <f t="shared" si="13"/>
        <v>2415274.7995013366</v>
      </c>
      <c r="IF6" s="201">
        <f t="shared" si="13"/>
        <v>2415274.7995013366</v>
      </c>
      <c r="IG6" s="201">
        <f t="shared" si="13"/>
        <v>2415274.7995013366</v>
      </c>
      <c r="IH6" s="201">
        <f t="shared" si="13"/>
        <v>2415274.7995013366</v>
      </c>
      <c r="II6" s="201">
        <f t="shared" si="13"/>
        <v>2415274.7995013366</v>
      </c>
      <c r="IJ6" s="201">
        <f t="shared" si="13"/>
        <v>2415274.7995013366</v>
      </c>
      <c r="IK6" s="201">
        <f t="shared" si="13"/>
        <v>2415274.7995013366</v>
      </c>
      <c r="IL6" s="201">
        <f t="shared" si="13"/>
        <v>2415274.7995013366</v>
      </c>
      <c r="IM6" s="201">
        <f t="shared" si="13"/>
        <v>2415274.7995013366</v>
      </c>
      <c r="IN6" s="201">
        <f t="shared" si="13"/>
        <v>2415274.7995013366</v>
      </c>
      <c r="IO6" s="201">
        <f t="shared" si="13"/>
        <v>2415274.7995013366</v>
      </c>
      <c r="IP6" s="201">
        <f t="shared" si="13"/>
        <v>2415274.7995013366</v>
      </c>
      <c r="IQ6" s="201">
        <f t="shared" si="13"/>
        <v>2415274.7995013366</v>
      </c>
      <c r="IR6" s="201">
        <f t="shared" si="13"/>
        <v>2415274.7995013366</v>
      </c>
      <c r="IS6" s="201">
        <f t="shared" si="13"/>
        <v>2415274.7995013366</v>
      </c>
      <c r="IT6" s="201">
        <f t="shared" si="13"/>
        <v>2415274.7995013366</v>
      </c>
      <c r="IU6" s="201">
        <f t="shared" si="13"/>
        <v>2415274.7995013366</v>
      </c>
      <c r="IV6" s="201">
        <f t="shared" si="13"/>
        <v>2415274.7995013366</v>
      </c>
      <c r="IW6" s="201">
        <f t="shared" si="13"/>
        <v>2415274.7995013366</v>
      </c>
      <c r="IX6" s="201">
        <f t="shared" si="13"/>
        <v>2415274.7995013366</v>
      </c>
      <c r="IY6" s="201">
        <f t="shared" si="13"/>
        <v>2415274.7995013366</v>
      </c>
      <c r="IZ6" s="201">
        <f t="shared" si="13"/>
        <v>2415274.7995013366</v>
      </c>
      <c r="JA6" s="201">
        <f t="shared" si="13"/>
        <v>2415274.7995013366</v>
      </c>
      <c r="JB6" s="201">
        <f t="shared" si="13"/>
        <v>2415274.7995013366</v>
      </c>
      <c r="JC6" s="201">
        <f t="shared" si="13"/>
        <v>2415274.7995013366</v>
      </c>
      <c r="JD6" s="201">
        <f t="shared" si="13"/>
        <v>2415274.7995013366</v>
      </c>
      <c r="JE6" s="201">
        <f t="shared" ref="JE6:LD6" si="14">JD6+JE5</f>
        <v>2415274.7995013366</v>
      </c>
      <c r="JF6" s="201">
        <f t="shared" si="14"/>
        <v>2415274.7995013366</v>
      </c>
      <c r="JG6" s="201">
        <f t="shared" si="14"/>
        <v>2415274.7995013366</v>
      </c>
      <c r="JH6" s="201">
        <f t="shared" si="14"/>
        <v>2415274.7995013366</v>
      </c>
      <c r="JI6" s="201">
        <f t="shared" si="14"/>
        <v>2415274.7995013366</v>
      </c>
      <c r="JJ6" s="201">
        <f t="shared" si="14"/>
        <v>2415274.7995013366</v>
      </c>
      <c r="JK6" s="201">
        <f t="shared" si="14"/>
        <v>2415274.7995013366</v>
      </c>
      <c r="JL6" s="201">
        <f t="shared" si="14"/>
        <v>2415274.7995013366</v>
      </c>
      <c r="JM6" s="201">
        <f t="shared" si="14"/>
        <v>2415274.7995013366</v>
      </c>
      <c r="JN6" s="201">
        <f t="shared" si="14"/>
        <v>2415274.7995013366</v>
      </c>
      <c r="JO6" s="201">
        <f t="shared" si="14"/>
        <v>2415274.7995013366</v>
      </c>
      <c r="JP6" s="201">
        <f t="shared" si="14"/>
        <v>2415274.7995013366</v>
      </c>
      <c r="JQ6" s="201">
        <f t="shared" si="14"/>
        <v>2415274.7995013366</v>
      </c>
      <c r="JR6" s="201">
        <f t="shared" si="14"/>
        <v>2415274.7995013366</v>
      </c>
      <c r="JS6" s="201">
        <f t="shared" si="14"/>
        <v>2415274.7995013366</v>
      </c>
      <c r="JT6" s="201">
        <f t="shared" si="14"/>
        <v>2415274.7995013366</v>
      </c>
      <c r="JU6" s="201">
        <f t="shared" si="14"/>
        <v>2415274.7995013366</v>
      </c>
      <c r="JV6" s="201">
        <f t="shared" si="14"/>
        <v>2415274.7995013366</v>
      </c>
      <c r="JW6" s="201">
        <f t="shared" si="14"/>
        <v>2415274.7995013366</v>
      </c>
      <c r="JX6" s="201">
        <f t="shared" si="14"/>
        <v>2415274.7995013366</v>
      </c>
      <c r="JY6" s="201">
        <f t="shared" si="14"/>
        <v>2415274.7995013366</v>
      </c>
      <c r="JZ6" s="201">
        <f t="shared" si="14"/>
        <v>2415274.7995013366</v>
      </c>
      <c r="KA6" s="201">
        <f t="shared" si="14"/>
        <v>2415274.7995013366</v>
      </c>
      <c r="KB6" s="201">
        <f t="shared" si="14"/>
        <v>2415274.7995013366</v>
      </c>
      <c r="KC6" s="201">
        <f t="shared" si="14"/>
        <v>2415274.7995013366</v>
      </c>
      <c r="KD6" s="201">
        <f t="shared" si="14"/>
        <v>2415274.7995013366</v>
      </c>
      <c r="KE6" s="201">
        <f t="shared" si="14"/>
        <v>2415274.7995013366</v>
      </c>
      <c r="KF6" s="201">
        <f t="shared" si="14"/>
        <v>2415274.7995013366</v>
      </c>
      <c r="KG6" s="201">
        <f t="shared" si="14"/>
        <v>2415274.7995013366</v>
      </c>
      <c r="KH6" s="201">
        <f t="shared" si="14"/>
        <v>2415274.7995013366</v>
      </c>
      <c r="KI6" s="201">
        <f t="shared" si="14"/>
        <v>2415274.7995013366</v>
      </c>
      <c r="KJ6" s="201">
        <f t="shared" si="14"/>
        <v>2415274.7995013366</v>
      </c>
      <c r="KK6" s="201">
        <f t="shared" si="14"/>
        <v>2415274.7995013366</v>
      </c>
      <c r="KL6" s="201">
        <f t="shared" si="14"/>
        <v>2415274.7995013366</v>
      </c>
      <c r="KM6" s="201">
        <f t="shared" si="14"/>
        <v>2415274.7995013366</v>
      </c>
      <c r="KN6" s="201">
        <f t="shared" si="14"/>
        <v>2415274.7995013366</v>
      </c>
      <c r="KO6" s="201">
        <f t="shared" si="14"/>
        <v>2415274.7995013366</v>
      </c>
      <c r="KP6" s="201">
        <f t="shared" si="14"/>
        <v>2415274.7995013366</v>
      </c>
      <c r="KQ6" s="201">
        <f t="shared" si="14"/>
        <v>2415274.7995013366</v>
      </c>
      <c r="KR6" s="201">
        <f t="shared" si="14"/>
        <v>2415274.7995013366</v>
      </c>
      <c r="KS6" s="201">
        <f t="shared" si="14"/>
        <v>2415274.7995013366</v>
      </c>
      <c r="KT6" s="201">
        <f t="shared" si="14"/>
        <v>2415274.7995013366</v>
      </c>
      <c r="KU6" s="201">
        <f t="shared" si="14"/>
        <v>2415274.7995013366</v>
      </c>
      <c r="KV6" s="201">
        <f t="shared" si="14"/>
        <v>2415274.7995013366</v>
      </c>
      <c r="KW6" s="201">
        <f t="shared" si="14"/>
        <v>2415274.7995013366</v>
      </c>
      <c r="KX6" s="201">
        <f t="shared" si="14"/>
        <v>2415274.7995013366</v>
      </c>
      <c r="KY6" s="201">
        <f t="shared" si="14"/>
        <v>2415274.7995013366</v>
      </c>
      <c r="KZ6" s="201">
        <f t="shared" si="14"/>
        <v>2415274.7995013366</v>
      </c>
      <c r="LA6" s="201">
        <f t="shared" si="14"/>
        <v>2415274.7995013366</v>
      </c>
      <c r="LB6" s="201">
        <f t="shared" si="14"/>
        <v>2415274.7995013366</v>
      </c>
      <c r="LC6" s="201">
        <f t="shared" si="14"/>
        <v>2415274.7995013366</v>
      </c>
      <c r="LD6" s="201">
        <f t="shared" si="14"/>
        <v>2415274.7995013366</v>
      </c>
      <c r="LE6" s="191"/>
      <c r="LF6" s="202"/>
    </row>
    <row r="7" spans="1:794">
      <c r="A7" s="777"/>
      <c r="B7" s="204" t="s">
        <v>403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-18000</v>
      </c>
      <c r="R7" s="207">
        <f t="shared" si="16"/>
        <v>-18000</v>
      </c>
      <c r="S7" s="207">
        <f t="shared" si="16"/>
        <v>-18000</v>
      </c>
      <c r="T7" s="207">
        <f t="shared" si="16"/>
        <v>513181.26013260998</v>
      </c>
      <c r="U7" s="207">
        <f t="shared" si="16"/>
        <v>508806.26013260998</v>
      </c>
      <c r="V7" s="207">
        <f t="shared" si="16"/>
        <v>508806.26013260998</v>
      </c>
      <c r="W7" s="207">
        <f t="shared" si="16"/>
        <v>508806.26013260998</v>
      </c>
      <c r="X7" s="207">
        <f t="shared" si="16"/>
        <v>493806.26013260998</v>
      </c>
      <c r="Y7" s="207">
        <f t="shared" si="16"/>
        <v>187054.44274130563</v>
      </c>
      <c r="Z7" s="207">
        <f t="shared" si="16"/>
        <v>187054.44274130563</v>
      </c>
      <c r="AA7" s="207">
        <f t="shared" si="16"/>
        <v>40754.442741305626</v>
      </c>
      <c r="AB7" s="207">
        <f t="shared" si="16"/>
        <v>40754.442741305626</v>
      </c>
      <c r="AC7" s="207">
        <f t="shared" si="16"/>
        <v>439140.38784076314</v>
      </c>
      <c r="AD7" s="207">
        <f t="shared" si="16"/>
        <v>139140.3878407632</v>
      </c>
      <c r="AE7" s="207">
        <f t="shared" si="16"/>
        <v>636321.64797337307</v>
      </c>
      <c r="AF7" s="207">
        <f t="shared" si="16"/>
        <v>636321.64797337307</v>
      </c>
      <c r="AG7" s="207">
        <f t="shared" si="16"/>
        <v>658512.76823859336</v>
      </c>
      <c r="AH7" s="207">
        <f t="shared" si="16"/>
        <v>658512.76823859336</v>
      </c>
      <c r="AI7" s="207">
        <f t="shared" si="16"/>
        <v>658512.76823859336</v>
      </c>
      <c r="AJ7" s="207">
        <f t="shared" si="16"/>
        <v>658512.76823859336</v>
      </c>
      <c r="AK7" s="207">
        <f t="shared" si="16"/>
        <v>493582.85279522743</v>
      </c>
      <c r="AL7" s="207">
        <f t="shared" si="16"/>
        <v>493582.85279522743</v>
      </c>
      <c r="AM7" s="207">
        <f t="shared" si="16"/>
        <v>493582.85279522743</v>
      </c>
      <c r="AN7" s="207">
        <f t="shared" si="16"/>
        <v>482582.85279522743</v>
      </c>
      <c r="AO7" s="207">
        <f t="shared" si="16"/>
        <v>482582.85279522743</v>
      </c>
      <c r="AP7" s="207">
        <f t="shared" si="16"/>
        <v>107836.18612856092</v>
      </c>
      <c r="AQ7" s="207">
        <f t="shared" si="16"/>
        <v>107836.18612856092</v>
      </c>
      <c r="AR7" s="207">
        <f t="shared" si="16"/>
        <v>107836.18612856092</v>
      </c>
      <c r="AS7" s="207">
        <f t="shared" si="16"/>
        <v>107836.18612856092</v>
      </c>
      <c r="AT7" s="207">
        <f t="shared" si="16"/>
        <v>107836.18612856092</v>
      </c>
      <c r="AU7" s="207">
        <f t="shared" si="16"/>
        <v>107836.18612856092</v>
      </c>
      <c r="AV7" s="207">
        <f t="shared" si="16"/>
        <v>107836.18612856092</v>
      </c>
      <c r="AW7" s="207">
        <f t="shared" si="16"/>
        <v>107836.18612856092</v>
      </c>
      <c r="AX7" s="207">
        <f t="shared" si="16"/>
        <v>107836.18612856092</v>
      </c>
      <c r="AY7" s="207">
        <f t="shared" si="16"/>
        <v>107836.18612856092</v>
      </c>
      <c r="AZ7" s="207">
        <f t="shared" si="16"/>
        <v>107836.18612856092</v>
      </c>
      <c r="BA7" s="207">
        <f t="shared" si="16"/>
        <v>107836.18612856092</v>
      </c>
      <c r="BB7" s="207">
        <f t="shared" si="16"/>
        <v>107836.18612856092</v>
      </c>
      <c r="BC7" s="207">
        <f t="shared" si="16"/>
        <v>107836.18612856092</v>
      </c>
      <c r="BD7" s="207">
        <f t="shared" si="16"/>
        <v>107836.18612856092</v>
      </c>
      <c r="BE7" s="207">
        <f t="shared" si="16"/>
        <v>107836.18612856092</v>
      </c>
      <c r="BF7" s="207">
        <f t="shared" si="16"/>
        <v>107836.18612856092</v>
      </c>
      <c r="BG7" s="207">
        <f t="shared" si="16"/>
        <v>107836.18612856092</v>
      </c>
      <c r="BH7" s="207">
        <f t="shared" si="16"/>
        <v>240631.50116171362</v>
      </c>
      <c r="BI7" s="207">
        <f t="shared" si="16"/>
        <v>240631.50116171362</v>
      </c>
      <c r="BJ7" s="207">
        <f t="shared" si="16"/>
        <v>240631.50116171362</v>
      </c>
      <c r="BK7" s="207">
        <f t="shared" si="16"/>
        <v>240631.50116171362</v>
      </c>
      <c r="BL7" s="207">
        <f t="shared" si="16"/>
        <v>240631.50116171362</v>
      </c>
      <c r="BM7" s="207">
        <f t="shared" si="16"/>
        <v>240631.50116171362</v>
      </c>
      <c r="BN7" s="207">
        <f t="shared" si="16"/>
        <v>240631.50116171362</v>
      </c>
      <c r="BO7" s="207">
        <f t="shared" si="16"/>
        <v>240631.50116171362</v>
      </c>
      <c r="BP7" s="207">
        <f t="shared" si="16"/>
        <v>240631.50116171362</v>
      </c>
      <c r="BQ7" s="207">
        <f t="shared" si="16"/>
        <v>240631.50116171362</v>
      </c>
      <c r="BR7" s="207">
        <f t="shared" si="16"/>
        <v>240631.50116171362</v>
      </c>
      <c r="BS7" s="207">
        <f t="shared" si="16"/>
        <v>240631.50116171362</v>
      </c>
      <c r="BT7" s="207">
        <f t="shared" si="16"/>
        <v>240631.50116171362</v>
      </c>
      <c r="BU7" s="207">
        <f t="shared" ref="BU7:EF7" si="17">BU4-BU6</f>
        <v>240631.50116171362</v>
      </c>
      <c r="BV7" s="207">
        <f t="shared" si="17"/>
        <v>240631.50116171362</v>
      </c>
      <c r="BW7" s="207">
        <f t="shared" si="17"/>
        <v>240631.50116171362</v>
      </c>
      <c r="BX7" s="207">
        <f t="shared" si="17"/>
        <v>240631.50116171362</v>
      </c>
      <c r="BY7" s="207">
        <f t="shared" si="17"/>
        <v>240631.50116171362</v>
      </c>
      <c r="BZ7" s="207">
        <f t="shared" si="17"/>
        <v>240631.50116171362</v>
      </c>
      <c r="CA7" s="207">
        <f t="shared" si="17"/>
        <v>240631.50116171362</v>
      </c>
      <c r="CB7" s="207">
        <f t="shared" si="17"/>
        <v>240631.50116171362</v>
      </c>
      <c r="CC7" s="207">
        <f t="shared" si="17"/>
        <v>240631.50116171362</v>
      </c>
      <c r="CD7" s="207">
        <f t="shared" si="17"/>
        <v>240631.50116171362</v>
      </c>
      <c r="CE7" s="207">
        <f t="shared" si="17"/>
        <v>240631.50116171362</v>
      </c>
      <c r="CF7" s="207">
        <f t="shared" si="17"/>
        <v>240631.50116171362</v>
      </c>
      <c r="CG7" s="207">
        <f t="shared" si="17"/>
        <v>240631.50116171362</v>
      </c>
      <c r="CH7" s="207">
        <f t="shared" si="17"/>
        <v>240631.50116171362</v>
      </c>
      <c r="CI7" s="207">
        <f t="shared" si="17"/>
        <v>240631.50116171362</v>
      </c>
      <c r="CJ7" s="207">
        <f t="shared" si="17"/>
        <v>240631.50116171362</v>
      </c>
      <c r="CK7" s="207">
        <f t="shared" si="17"/>
        <v>240631.50116171362</v>
      </c>
      <c r="CL7" s="207">
        <f t="shared" si="17"/>
        <v>240631.50116171362</v>
      </c>
      <c r="CM7" s="207">
        <f t="shared" si="17"/>
        <v>240631.50116171362</v>
      </c>
      <c r="CN7" s="207">
        <f t="shared" si="17"/>
        <v>240631.50116171362</v>
      </c>
      <c r="CO7" s="207">
        <f t="shared" si="17"/>
        <v>240631.50116171362</v>
      </c>
      <c r="CP7" s="207">
        <f t="shared" si="17"/>
        <v>240631.50116171362</v>
      </c>
      <c r="CQ7" s="207">
        <f t="shared" si="17"/>
        <v>240631.50116171362</v>
      </c>
      <c r="CR7" s="207">
        <f t="shared" si="17"/>
        <v>240631.50116171362</v>
      </c>
      <c r="CS7" s="207">
        <f t="shared" si="17"/>
        <v>240631.50116171362</v>
      </c>
      <c r="CT7" s="207">
        <f t="shared" si="17"/>
        <v>240631.50116171362</v>
      </c>
      <c r="CU7" s="207">
        <f t="shared" si="17"/>
        <v>240631.50116171362</v>
      </c>
      <c r="CV7" s="207">
        <f t="shared" si="17"/>
        <v>240631.50116171362</v>
      </c>
      <c r="CW7" s="207">
        <f t="shared" si="17"/>
        <v>240631.50116171362</v>
      </c>
      <c r="CX7" s="207">
        <f t="shared" si="17"/>
        <v>240631.50116171362</v>
      </c>
      <c r="CY7" s="207">
        <f t="shared" si="17"/>
        <v>240631.50116171362</v>
      </c>
      <c r="CZ7" s="207">
        <f t="shared" si="17"/>
        <v>240631.50116171362</v>
      </c>
      <c r="DA7" s="207">
        <f t="shared" si="17"/>
        <v>240631.50116171362</v>
      </c>
      <c r="DB7" s="207">
        <f t="shared" si="17"/>
        <v>240631.50116171362</v>
      </c>
      <c r="DC7" s="207">
        <f t="shared" si="17"/>
        <v>240631.50116171362</v>
      </c>
      <c r="DD7" s="207">
        <f t="shared" si="17"/>
        <v>240631.50116171362</v>
      </c>
      <c r="DE7" s="207">
        <f t="shared" si="17"/>
        <v>240631.50116171362</v>
      </c>
      <c r="DF7" s="207">
        <f t="shared" si="17"/>
        <v>240631.50116171362</v>
      </c>
      <c r="DG7" s="207">
        <f t="shared" si="17"/>
        <v>240631.50116171362</v>
      </c>
      <c r="DH7" s="207">
        <f t="shared" si="17"/>
        <v>240631.50116171362</v>
      </c>
      <c r="DI7" s="207">
        <f t="shared" si="17"/>
        <v>240631.50116171362</v>
      </c>
      <c r="DJ7" s="207">
        <f t="shared" si="17"/>
        <v>240631.50116171362</v>
      </c>
      <c r="DK7" s="207">
        <f t="shared" si="17"/>
        <v>240631.50116171362</v>
      </c>
      <c r="DL7" s="207">
        <f t="shared" si="17"/>
        <v>240631.50116171362</v>
      </c>
      <c r="DM7" s="207">
        <f t="shared" si="17"/>
        <v>240631.50116171362</v>
      </c>
      <c r="DN7" s="207">
        <f t="shared" si="17"/>
        <v>240631.50116171362</v>
      </c>
      <c r="DO7" s="207">
        <f t="shared" si="17"/>
        <v>240631.50116171362</v>
      </c>
      <c r="DP7" s="207">
        <f t="shared" si="17"/>
        <v>240631.50116171362</v>
      </c>
      <c r="DQ7" s="207">
        <f t="shared" si="17"/>
        <v>240631.50116171362</v>
      </c>
      <c r="DR7" s="207">
        <f t="shared" si="17"/>
        <v>240631.50116171362</v>
      </c>
      <c r="DS7" s="207">
        <f t="shared" si="17"/>
        <v>240631.50116171362</v>
      </c>
      <c r="DT7" s="207">
        <f t="shared" si="17"/>
        <v>240631.50116171362</v>
      </c>
      <c r="DU7" s="207">
        <f t="shared" si="17"/>
        <v>240631.50116171362</v>
      </c>
      <c r="DV7" s="207">
        <f t="shared" si="17"/>
        <v>240631.50116171362</v>
      </c>
      <c r="DW7" s="207">
        <f t="shared" si="17"/>
        <v>240631.50116171362</v>
      </c>
      <c r="DX7" s="207">
        <f t="shared" si="17"/>
        <v>240631.50116171362</v>
      </c>
      <c r="DY7" s="207">
        <f t="shared" si="17"/>
        <v>240631.50116171362</v>
      </c>
      <c r="DZ7" s="207">
        <f t="shared" si="17"/>
        <v>240631.50116171362</v>
      </c>
      <c r="EA7" s="207">
        <f t="shared" si="17"/>
        <v>240631.50116171362</v>
      </c>
      <c r="EB7" s="207">
        <f t="shared" si="17"/>
        <v>240631.50116171362</v>
      </c>
      <c r="EC7" s="207">
        <f t="shared" si="17"/>
        <v>240631.50116171362</v>
      </c>
      <c r="ED7" s="207">
        <f t="shared" si="17"/>
        <v>240631.50116171362</v>
      </c>
      <c r="EE7" s="207">
        <f t="shared" si="17"/>
        <v>240631.50116171362</v>
      </c>
      <c r="EF7" s="207">
        <f t="shared" si="17"/>
        <v>240631.50116171362</v>
      </c>
      <c r="EG7" s="207">
        <f t="shared" ref="EG7:GR7" si="18">EG4-EG6</f>
        <v>240631.50116171362</v>
      </c>
      <c r="EH7" s="207">
        <f t="shared" si="18"/>
        <v>240631.50116171362</v>
      </c>
      <c r="EI7" s="207">
        <f t="shared" si="18"/>
        <v>240631.50116171362</v>
      </c>
      <c r="EJ7" s="207">
        <f t="shared" si="18"/>
        <v>240631.50116171362</v>
      </c>
      <c r="EK7" s="207">
        <f t="shared" si="18"/>
        <v>240631.50116171362</v>
      </c>
      <c r="EL7" s="207">
        <f t="shared" si="18"/>
        <v>240631.50116171362</v>
      </c>
      <c r="EM7" s="207">
        <f t="shared" si="18"/>
        <v>240631.50116171362</v>
      </c>
      <c r="EN7" s="207">
        <f t="shared" si="18"/>
        <v>240631.50116171362</v>
      </c>
      <c r="EO7" s="207">
        <f t="shared" si="18"/>
        <v>240631.50116171362</v>
      </c>
      <c r="EP7" s="207">
        <f t="shared" si="18"/>
        <v>240631.50116171362</v>
      </c>
      <c r="EQ7" s="207">
        <f t="shared" si="18"/>
        <v>240631.50116171362</v>
      </c>
      <c r="ER7" s="207">
        <f t="shared" si="18"/>
        <v>240631.50116171362</v>
      </c>
      <c r="ES7" s="207">
        <f t="shared" si="18"/>
        <v>240631.50116171362</v>
      </c>
      <c r="ET7" s="207">
        <f t="shared" si="18"/>
        <v>240631.50116171362</v>
      </c>
      <c r="EU7" s="207">
        <f t="shared" si="18"/>
        <v>240631.50116171362</v>
      </c>
      <c r="EV7" s="207">
        <f t="shared" si="18"/>
        <v>240631.50116171362</v>
      </c>
      <c r="EW7" s="207">
        <f t="shared" si="18"/>
        <v>240631.50116171362</v>
      </c>
      <c r="EX7" s="207">
        <f t="shared" si="18"/>
        <v>240631.50116171362</v>
      </c>
      <c r="EY7" s="207">
        <f t="shared" si="18"/>
        <v>240631.50116171362</v>
      </c>
      <c r="EZ7" s="207">
        <f t="shared" si="18"/>
        <v>240631.50116171362</v>
      </c>
      <c r="FA7" s="207">
        <f t="shared" si="18"/>
        <v>240631.50116171362</v>
      </c>
      <c r="FB7" s="207">
        <f t="shared" si="18"/>
        <v>240631.50116171362</v>
      </c>
      <c r="FC7" s="207">
        <f t="shared" si="18"/>
        <v>240631.50116171362</v>
      </c>
      <c r="FD7" s="207">
        <f t="shared" si="18"/>
        <v>240631.50116171362</v>
      </c>
      <c r="FE7" s="207">
        <f t="shared" si="18"/>
        <v>240631.50116171362</v>
      </c>
      <c r="FF7" s="207">
        <f t="shared" si="18"/>
        <v>240631.50116171362</v>
      </c>
      <c r="FG7" s="207">
        <f t="shared" si="18"/>
        <v>240631.50116171362</v>
      </c>
      <c r="FH7" s="207">
        <f t="shared" si="18"/>
        <v>240631.50116171362</v>
      </c>
      <c r="FI7" s="207">
        <f t="shared" si="18"/>
        <v>240631.50116171362</v>
      </c>
      <c r="FJ7" s="207">
        <f t="shared" si="18"/>
        <v>240631.50116171362</v>
      </c>
      <c r="FK7" s="207">
        <f t="shared" si="18"/>
        <v>240631.50116171362</v>
      </c>
      <c r="FL7" s="207">
        <f t="shared" si="18"/>
        <v>240631.50116171362</v>
      </c>
      <c r="FM7" s="207">
        <f t="shared" si="18"/>
        <v>240631.50116171362</v>
      </c>
      <c r="FN7" s="207">
        <f t="shared" si="18"/>
        <v>240631.50116171362</v>
      </c>
      <c r="FO7" s="207">
        <f t="shared" si="18"/>
        <v>240631.50116171362</v>
      </c>
      <c r="FP7" s="207">
        <f t="shared" si="18"/>
        <v>240631.50116171362</v>
      </c>
      <c r="FQ7" s="207">
        <f t="shared" si="18"/>
        <v>240631.50116171362</v>
      </c>
      <c r="FR7" s="207">
        <f t="shared" si="18"/>
        <v>240631.50116171362</v>
      </c>
      <c r="FS7" s="207">
        <f t="shared" si="18"/>
        <v>240631.50116171362</v>
      </c>
      <c r="FT7" s="207">
        <f t="shared" si="18"/>
        <v>240631.50116171362</v>
      </c>
      <c r="FU7" s="207">
        <f t="shared" si="18"/>
        <v>240631.50116171362</v>
      </c>
      <c r="FV7" s="207">
        <f t="shared" si="18"/>
        <v>240631.50116171362</v>
      </c>
      <c r="FW7" s="207">
        <f t="shared" si="18"/>
        <v>240631.50116171362</v>
      </c>
      <c r="FX7" s="207">
        <f t="shared" si="18"/>
        <v>240631.50116171362</v>
      </c>
      <c r="FY7" s="207">
        <f t="shared" si="18"/>
        <v>240631.50116171362</v>
      </c>
      <c r="FZ7" s="207">
        <f t="shared" si="18"/>
        <v>240631.50116171362</v>
      </c>
      <c r="GA7" s="207">
        <f t="shared" si="18"/>
        <v>240631.50116171362</v>
      </c>
      <c r="GB7" s="207">
        <f t="shared" si="18"/>
        <v>240631.50116171362</v>
      </c>
      <c r="GC7" s="207">
        <f t="shared" si="18"/>
        <v>240631.50116171362</v>
      </c>
      <c r="GD7" s="207">
        <f t="shared" si="18"/>
        <v>240631.50116171362</v>
      </c>
      <c r="GE7" s="207">
        <f t="shared" si="18"/>
        <v>240631.50116171362</v>
      </c>
      <c r="GF7" s="207">
        <f t="shared" si="18"/>
        <v>240631.50116171362</v>
      </c>
      <c r="GG7" s="207">
        <f t="shared" si="18"/>
        <v>240631.50116171362</v>
      </c>
      <c r="GH7" s="207">
        <f t="shared" si="18"/>
        <v>240631.50116171362</v>
      </c>
      <c r="GI7" s="207">
        <f t="shared" si="18"/>
        <v>240631.50116171362</v>
      </c>
      <c r="GJ7" s="207">
        <f t="shared" si="18"/>
        <v>240631.50116171362</v>
      </c>
      <c r="GK7" s="207">
        <f t="shared" si="18"/>
        <v>240631.50116171362</v>
      </c>
      <c r="GL7" s="207">
        <f t="shared" si="18"/>
        <v>240631.50116171362</v>
      </c>
      <c r="GM7" s="207">
        <f t="shared" si="18"/>
        <v>240631.50116171362</v>
      </c>
      <c r="GN7" s="207">
        <f t="shared" si="18"/>
        <v>240631.50116171362</v>
      </c>
      <c r="GO7" s="207">
        <f t="shared" si="18"/>
        <v>240631.50116171362</v>
      </c>
      <c r="GP7" s="207">
        <f t="shared" si="18"/>
        <v>240631.50116171362</v>
      </c>
      <c r="GQ7" s="207">
        <f t="shared" si="18"/>
        <v>240631.50116171362</v>
      </c>
      <c r="GR7" s="207">
        <f t="shared" si="18"/>
        <v>240631.50116171362</v>
      </c>
      <c r="GS7" s="207">
        <f t="shared" ref="GS7:JD7" si="19">GS4-GS6</f>
        <v>240631.50116171362</v>
      </c>
      <c r="GT7" s="207">
        <f t="shared" si="19"/>
        <v>240631.50116171362</v>
      </c>
      <c r="GU7" s="207">
        <f t="shared" si="19"/>
        <v>240631.50116171362</v>
      </c>
      <c r="GV7" s="207">
        <f t="shared" si="19"/>
        <v>240631.50116171362</v>
      </c>
      <c r="GW7" s="207">
        <f t="shared" si="19"/>
        <v>240631.50116171362</v>
      </c>
      <c r="GX7" s="207">
        <f t="shared" si="19"/>
        <v>240631.50116171362</v>
      </c>
      <c r="GY7" s="207">
        <f t="shared" si="19"/>
        <v>240631.50116171362</v>
      </c>
      <c r="GZ7" s="207">
        <f t="shared" si="19"/>
        <v>240631.50116171362</v>
      </c>
      <c r="HA7" s="207">
        <f t="shared" si="19"/>
        <v>240631.50116171362</v>
      </c>
      <c r="HB7" s="207">
        <f t="shared" si="19"/>
        <v>240631.50116171362</v>
      </c>
      <c r="HC7" s="207">
        <f t="shared" si="19"/>
        <v>240631.50116171362</v>
      </c>
      <c r="HD7" s="207">
        <f t="shared" si="19"/>
        <v>240631.50116171362</v>
      </c>
      <c r="HE7" s="207">
        <f t="shared" si="19"/>
        <v>240631.50116171362</v>
      </c>
      <c r="HF7" s="207">
        <f t="shared" si="19"/>
        <v>240631.50116171362</v>
      </c>
      <c r="HG7" s="207">
        <f t="shared" si="19"/>
        <v>240631.50116171362</v>
      </c>
      <c r="HH7" s="207">
        <f t="shared" si="19"/>
        <v>240631.50116171362</v>
      </c>
      <c r="HI7" s="207">
        <f t="shared" si="19"/>
        <v>240631.50116171362</v>
      </c>
      <c r="HJ7" s="207">
        <f t="shared" si="19"/>
        <v>240631.50116171362</v>
      </c>
      <c r="HK7" s="207">
        <f t="shared" si="19"/>
        <v>240631.50116171362</v>
      </c>
      <c r="HL7" s="207">
        <f t="shared" si="19"/>
        <v>240631.50116171362</v>
      </c>
      <c r="HM7" s="207">
        <f t="shared" si="19"/>
        <v>240631.50116171362</v>
      </c>
      <c r="HN7" s="207">
        <f t="shared" si="19"/>
        <v>240631.50116171362</v>
      </c>
      <c r="HO7" s="207">
        <f t="shared" si="19"/>
        <v>240631.50116171362</v>
      </c>
      <c r="HP7" s="207">
        <f t="shared" si="19"/>
        <v>240631.50116171362</v>
      </c>
      <c r="HQ7" s="207">
        <f t="shared" si="19"/>
        <v>240631.50116171362</v>
      </c>
      <c r="HR7" s="207">
        <f t="shared" si="19"/>
        <v>240631.50116171362</v>
      </c>
      <c r="HS7" s="207">
        <f t="shared" si="19"/>
        <v>240631.50116171362</v>
      </c>
      <c r="HT7" s="207">
        <f t="shared" si="19"/>
        <v>240631.50116171362</v>
      </c>
      <c r="HU7" s="207">
        <f t="shared" si="19"/>
        <v>240631.50116171362</v>
      </c>
      <c r="HV7" s="207">
        <f t="shared" si="19"/>
        <v>240631.50116171362</v>
      </c>
      <c r="HW7" s="207">
        <f t="shared" si="19"/>
        <v>240631.50116171362</v>
      </c>
      <c r="HX7" s="207">
        <f t="shared" si="19"/>
        <v>240631.50116171362</v>
      </c>
      <c r="HY7" s="207">
        <f t="shared" si="19"/>
        <v>240631.50116171362</v>
      </c>
      <c r="HZ7" s="207">
        <f t="shared" si="19"/>
        <v>240631.50116171362</v>
      </c>
      <c r="IA7" s="207">
        <f t="shared" si="19"/>
        <v>240631.50116171362</v>
      </c>
      <c r="IB7" s="207">
        <f t="shared" si="19"/>
        <v>240631.50116171362</v>
      </c>
      <c r="IC7" s="207">
        <f t="shared" si="19"/>
        <v>240631.50116171362</v>
      </c>
      <c r="ID7" s="207">
        <f t="shared" si="19"/>
        <v>240631.50116171362</v>
      </c>
      <c r="IE7" s="207">
        <f t="shared" si="19"/>
        <v>240631.50116171362</v>
      </c>
      <c r="IF7" s="207">
        <f t="shared" si="19"/>
        <v>240631.50116171362</v>
      </c>
      <c r="IG7" s="207">
        <f t="shared" si="19"/>
        <v>240631.50116171362</v>
      </c>
      <c r="IH7" s="207">
        <f t="shared" si="19"/>
        <v>240631.50116171362</v>
      </c>
      <c r="II7" s="207">
        <f t="shared" si="19"/>
        <v>240631.50116171362</v>
      </c>
      <c r="IJ7" s="207">
        <f t="shared" si="19"/>
        <v>240631.50116171362</v>
      </c>
      <c r="IK7" s="207">
        <f t="shared" si="19"/>
        <v>240631.50116171362</v>
      </c>
      <c r="IL7" s="207">
        <f t="shared" si="19"/>
        <v>240631.50116171362</v>
      </c>
      <c r="IM7" s="207">
        <f t="shared" si="19"/>
        <v>240631.50116171362</v>
      </c>
      <c r="IN7" s="207">
        <f t="shared" si="19"/>
        <v>240631.50116171362</v>
      </c>
      <c r="IO7" s="207">
        <f t="shared" si="19"/>
        <v>240631.50116171362</v>
      </c>
      <c r="IP7" s="207">
        <f t="shared" si="19"/>
        <v>240631.50116171362</v>
      </c>
      <c r="IQ7" s="207">
        <f t="shared" si="19"/>
        <v>240631.50116171362</v>
      </c>
      <c r="IR7" s="207">
        <f t="shared" si="19"/>
        <v>240631.50116171362</v>
      </c>
      <c r="IS7" s="207">
        <f t="shared" si="19"/>
        <v>240631.50116171362</v>
      </c>
      <c r="IT7" s="207">
        <f t="shared" si="19"/>
        <v>240631.50116171362</v>
      </c>
      <c r="IU7" s="207">
        <f t="shared" si="19"/>
        <v>240631.50116171362</v>
      </c>
      <c r="IV7" s="207">
        <f t="shared" si="19"/>
        <v>240631.50116171362</v>
      </c>
      <c r="IW7" s="207">
        <f t="shared" si="19"/>
        <v>240631.50116171362</v>
      </c>
      <c r="IX7" s="207">
        <f t="shared" si="19"/>
        <v>240631.50116171362</v>
      </c>
      <c r="IY7" s="207">
        <f t="shared" si="19"/>
        <v>240631.50116171362</v>
      </c>
      <c r="IZ7" s="207">
        <f t="shared" si="19"/>
        <v>240631.50116171362</v>
      </c>
      <c r="JA7" s="207">
        <f t="shared" si="19"/>
        <v>240631.50116171362</v>
      </c>
      <c r="JB7" s="207">
        <f t="shared" si="19"/>
        <v>240631.50116171362</v>
      </c>
      <c r="JC7" s="207">
        <f t="shared" si="19"/>
        <v>240631.50116171362</v>
      </c>
      <c r="JD7" s="207">
        <f t="shared" si="19"/>
        <v>240631.50116171362</v>
      </c>
      <c r="JE7" s="207">
        <f t="shared" ref="JE7:LD7" si="20">JE4-JE6</f>
        <v>240631.50116171362</v>
      </c>
      <c r="JF7" s="207">
        <f t="shared" si="20"/>
        <v>240631.50116171362</v>
      </c>
      <c r="JG7" s="207">
        <f t="shared" si="20"/>
        <v>240631.50116171362</v>
      </c>
      <c r="JH7" s="207">
        <f t="shared" si="20"/>
        <v>240631.50116171362</v>
      </c>
      <c r="JI7" s="207">
        <f t="shared" si="20"/>
        <v>240631.50116171362</v>
      </c>
      <c r="JJ7" s="207">
        <f t="shared" si="20"/>
        <v>240631.50116171362</v>
      </c>
      <c r="JK7" s="207">
        <f t="shared" si="20"/>
        <v>240631.50116171362</v>
      </c>
      <c r="JL7" s="207">
        <f t="shared" si="20"/>
        <v>240631.50116171362</v>
      </c>
      <c r="JM7" s="207">
        <f t="shared" si="20"/>
        <v>240631.50116171362</v>
      </c>
      <c r="JN7" s="207">
        <f t="shared" si="20"/>
        <v>240631.50116171362</v>
      </c>
      <c r="JO7" s="207">
        <f t="shared" si="20"/>
        <v>240631.50116171362</v>
      </c>
      <c r="JP7" s="207">
        <f t="shared" si="20"/>
        <v>240631.50116171362</v>
      </c>
      <c r="JQ7" s="207">
        <f t="shared" si="20"/>
        <v>240631.50116171362</v>
      </c>
      <c r="JR7" s="207">
        <f t="shared" si="20"/>
        <v>240631.50116171362</v>
      </c>
      <c r="JS7" s="207">
        <f t="shared" si="20"/>
        <v>240631.50116171362</v>
      </c>
      <c r="JT7" s="207">
        <f t="shared" si="20"/>
        <v>240631.50116171362</v>
      </c>
      <c r="JU7" s="207">
        <f t="shared" si="20"/>
        <v>240631.50116171362</v>
      </c>
      <c r="JV7" s="207">
        <f t="shared" si="20"/>
        <v>240631.50116171362</v>
      </c>
      <c r="JW7" s="207">
        <f t="shared" si="20"/>
        <v>240631.50116171362</v>
      </c>
      <c r="JX7" s="207">
        <f t="shared" si="20"/>
        <v>240631.50116171362</v>
      </c>
      <c r="JY7" s="207">
        <f t="shared" si="20"/>
        <v>240631.50116171362</v>
      </c>
      <c r="JZ7" s="207">
        <f t="shared" si="20"/>
        <v>240631.50116171362</v>
      </c>
      <c r="KA7" s="207">
        <f t="shared" si="20"/>
        <v>240631.50116171362</v>
      </c>
      <c r="KB7" s="207">
        <f t="shared" si="20"/>
        <v>240631.50116171362</v>
      </c>
      <c r="KC7" s="207">
        <f t="shared" si="20"/>
        <v>240631.50116171362</v>
      </c>
      <c r="KD7" s="207">
        <f t="shared" si="20"/>
        <v>240631.50116171362</v>
      </c>
      <c r="KE7" s="207">
        <f t="shared" si="20"/>
        <v>240631.50116171362</v>
      </c>
      <c r="KF7" s="207">
        <f t="shared" si="20"/>
        <v>240631.50116171362</v>
      </c>
      <c r="KG7" s="207">
        <f t="shared" si="20"/>
        <v>240631.50116171362</v>
      </c>
      <c r="KH7" s="207">
        <f t="shared" si="20"/>
        <v>240631.50116171362</v>
      </c>
      <c r="KI7" s="207">
        <f t="shared" si="20"/>
        <v>240631.50116171362</v>
      </c>
      <c r="KJ7" s="207">
        <f t="shared" si="20"/>
        <v>240631.50116171362</v>
      </c>
      <c r="KK7" s="207">
        <f t="shared" si="20"/>
        <v>240631.50116171362</v>
      </c>
      <c r="KL7" s="207">
        <f t="shared" si="20"/>
        <v>240631.50116171362</v>
      </c>
      <c r="KM7" s="207">
        <f t="shared" si="20"/>
        <v>240631.50116171362</v>
      </c>
      <c r="KN7" s="207">
        <f t="shared" si="20"/>
        <v>240631.50116171362</v>
      </c>
      <c r="KO7" s="207">
        <f t="shared" si="20"/>
        <v>240631.50116171362</v>
      </c>
      <c r="KP7" s="207">
        <f t="shared" si="20"/>
        <v>240631.50116171362</v>
      </c>
      <c r="KQ7" s="207">
        <f t="shared" si="20"/>
        <v>240631.50116171362</v>
      </c>
      <c r="KR7" s="207">
        <f t="shared" si="20"/>
        <v>240631.50116171362</v>
      </c>
      <c r="KS7" s="207">
        <f t="shared" si="20"/>
        <v>240631.50116171362</v>
      </c>
      <c r="KT7" s="207">
        <f t="shared" si="20"/>
        <v>240631.50116171362</v>
      </c>
      <c r="KU7" s="207">
        <f t="shared" si="20"/>
        <v>240631.50116171362</v>
      </c>
      <c r="KV7" s="207">
        <f t="shared" si="20"/>
        <v>240631.50116171362</v>
      </c>
      <c r="KW7" s="207">
        <f t="shared" si="20"/>
        <v>240631.50116171362</v>
      </c>
      <c r="KX7" s="207">
        <f t="shared" si="20"/>
        <v>240631.50116171362</v>
      </c>
      <c r="KY7" s="207">
        <f t="shared" si="20"/>
        <v>240631.50116171362</v>
      </c>
      <c r="KZ7" s="207">
        <f t="shared" si="20"/>
        <v>240631.50116171362</v>
      </c>
      <c r="LA7" s="207">
        <f t="shared" si="20"/>
        <v>240631.50116171362</v>
      </c>
      <c r="LB7" s="207">
        <f t="shared" si="20"/>
        <v>240631.50116171362</v>
      </c>
      <c r="LC7" s="207">
        <f t="shared" si="20"/>
        <v>240631.50116171362</v>
      </c>
      <c r="LD7" s="207">
        <f t="shared" si="20"/>
        <v>240631.50116171362</v>
      </c>
    </row>
    <row r="8" spans="1:794" s="191" customFormat="1">
      <c r="A8" s="776" t="s">
        <v>144</v>
      </c>
      <c r="B8" s="192"/>
      <c r="C8" s="193" t="s">
        <v>233</v>
      </c>
      <c r="D8" s="193" t="s">
        <v>233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77"/>
      <c r="B9" s="209" t="s">
        <v>404</v>
      </c>
      <c r="C9" s="210">
        <f>'Revenue Tracking'!F4</f>
        <v>2655906.3006630498</v>
      </c>
      <c r="D9" s="210">
        <f>SUM(F9:LD9)</f>
        <v>2655906.3006630503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531181.26013260998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929567.2052320675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663976.57516576245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398385.94509945746</v>
      </c>
      <c r="AO9" s="211">
        <f>SUMIFS('Revenue Tracking'!$F$13:$F$19, 'Revenue Tracking'!$P$13:$P$19, "&gt;="&amp;AO1,'Revenue Tracking'!$P$13:$P$19, "&lt;"&amp;AP1)</f>
        <v>132795.3150331525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77"/>
      <c r="B10" s="209" t="s">
        <v>405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531181.26013260998</v>
      </c>
      <c r="U10" s="211">
        <f t="shared" si="21"/>
        <v>531181.26013260998</v>
      </c>
      <c r="V10" s="211">
        <f t="shared" si="21"/>
        <v>531181.26013260998</v>
      </c>
      <c r="W10" s="211">
        <f t="shared" si="21"/>
        <v>531181.26013260998</v>
      </c>
      <c r="X10" s="211">
        <f t="shared" si="21"/>
        <v>531181.26013260998</v>
      </c>
      <c r="Y10" s="211">
        <f t="shared" si="21"/>
        <v>531181.26013260998</v>
      </c>
      <c r="Z10" s="211">
        <f t="shared" si="21"/>
        <v>531181.26013260998</v>
      </c>
      <c r="AA10" s="211">
        <f t="shared" si="21"/>
        <v>531181.26013260998</v>
      </c>
      <c r="AB10" s="211">
        <f t="shared" si="21"/>
        <v>531181.26013260998</v>
      </c>
      <c r="AC10" s="211">
        <f t="shared" si="21"/>
        <v>1460748.4653646774</v>
      </c>
      <c r="AD10" s="211">
        <f t="shared" si="21"/>
        <v>1460748.4653646774</v>
      </c>
      <c r="AE10" s="211">
        <f t="shared" si="21"/>
        <v>1460748.4653646774</v>
      </c>
      <c r="AF10" s="211">
        <f t="shared" si="21"/>
        <v>1460748.4653646774</v>
      </c>
      <c r="AG10" s="211">
        <f t="shared" si="21"/>
        <v>1460748.4653646774</v>
      </c>
      <c r="AH10" s="211">
        <f t="shared" si="21"/>
        <v>1460748.4653646774</v>
      </c>
      <c r="AI10" s="211">
        <f t="shared" si="21"/>
        <v>1460748.4653646774</v>
      </c>
      <c r="AJ10" s="211">
        <f t="shared" si="21"/>
        <v>2124725.0405304399</v>
      </c>
      <c r="AK10" s="211">
        <f t="shared" si="21"/>
        <v>2124725.0405304399</v>
      </c>
      <c r="AL10" s="211">
        <f t="shared" si="21"/>
        <v>2124725.0405304399</v>
      </c>
      <c r="AM10" s="211">
        <f t="shared" si="21"/>
        <v>2124725.0405304399</v>
      </c>
      <c r="AN10" s="211">
        <f t="shared" si="21"/>
        <v>2523110.9856298976</v>
      </c>
      <c r="AO10" s="211">
        <f t="shared" si="21"/>
        <v>2655906.3006630503</v>
      </c>
      <c r="AP10" s="211">
        <f t="shared" si="21"/>
        <v>2655906.3006630503</v>
      </c>
      <c r="AQ10" s="211">
        <f t="shared" si="21"/>
        <v>2655906.3006630503</v>
      </c>
      <c r="AR10" s="211">
        <f t="shared" si="21"/>
        <v>2655906.3006630503</v>
      </c>
      <c r="AS10" s="211">
        <f t="shared" si="21"/>
        <v>2655906.3006630503</v>
      </c>
      <c r="AT10" s="211">
        <f t="shared" si="21"/>
        <v>2655906.3006630503</v>
      </c>
      <c r="AU10" s="211">
        <f t="shared" si="21"/>
        <v>2655906.3006630503</v>
      </c>
      <c r="AV10" s="211">
        <f t="shared" si="21"/>
        <v>2655906.3006630503</v>
      </c>
      <c r="AW10" s="211">
        <f t="shared" si="21"/>
        <v>2655906.3006630503</v>
      </c>
      <c r="AX10" s="211">
        <f t="shared" si="21"/>
        <v>2655906.3006630503</v>
      </c>
      <c r="AY10" s="211">
        <f t="shared" si="21"/>
        <v>2655906.3006630503</v>
      </c>
      <c r="AZ10" s="211">
        <f t="shared" si="21"/>
        <v>2655906.3006630503</v>
      </c>
      <c r="BA10" s="211">
        <f t="shared" si="21"/>
        <v>2655906.3006630503</v>
      </c>
      <c r="BB10" s="211">
        <f t="shared" si="21"/>
        <v>2655906.3006630503</v>
      </c>
      <c r="BC10" s="211">
        <f t="shared" si="21"/>
        <v>2655906.3006630503</v>
      </c>
      <c r="BD10" s="211">
        <f t="shared" si="21"/>
        <v>2655906.3006630503</v>
      </c>
      <c r="BE10" s="211">
        <f t="shared" si="21"/>
        <v>2655906.3006630503</v>
      </c>
      <c r="BF10" s="211">
        <f t="shared" si="21"/>
        <v>2655906.3006630503</v>
      </c>
      <c r="BG10" s="211">
        <f t="shared" si="21"/>
        <v>2655906.3006630503</v>
      </c>
      <c r="BH10" s="211">
        <f t="shared" si="21"/>
        <v>2655906.3006630503</v>
      </c>
      <c r="BI10" s="211">
        <f t="shared" si="21"/>
        <v>2655906.3006630503</v>
      </c>
      <c r="BJ10" s="211">
        <f t="shared" si="21"/>
        <v>2655906.3006630503</v>
      </c>
      <c r="BK10" s="211">
        <f t="shared" si="21"/>
        <v>2655906.3006630503</v>
      </c>
      <c r="BL10" s="211">
        <f t="shared" si="21"/>
        <v>2655906.3006630503</v>
      </c>
      <c r="BM10" s="211">
        <f t="shared" si="21"/>
        <v>2655906.3006630503</v>
      </c>
      <c r="BN10" s="211">
        <f t="shared" si="21"/>
        <v>2655906.3006630503</v>
      </c>
      <c r="BO10" s="211">
        <f t="shared" si="21"/>
        <v>2655906.3006630503</v>
      </c>
      <c r="BP10" s="211">
        <f t="shared" si="21"/>
        <v>2655906.3006630503</v>
      </c>
      <c r="BQ10" s="211">
        <f t="shared" si="21"/>
        <v>2655906.3006630503</v>
      </c>
      <c r="BR10" s="211">
        <f t="shared" si="21"/>
        <v>2655906.3006630503</v>
      </c>
      <c r="BS10" s="211">
        <f t="shared" si="21"/>
        <v>2655906.3006630503</v>
      </c>
      <c r="BT10" s="211">
        <f t="shared" si="21"/>
        <v>2655906.3006630503</v>
      </c>
      <c r="BU10" s="211">
        <f t="shared" ref="BU10:EF10" si="22">BT10+BU9</f>
        <v>2655906.3006630503</v>
      </c>
      <c r="BV10" s="211">
        <f t="shared" si="22"/>
        <v>2655906.3006630503</v>
      </c>
      <c r="BW10" s="211">
        <f t="shared" si="22"/>
        <v>2655906.3006630503</v>
      </c>
      <c r="BX10" s="211">
        <f t="shared" si="22"/>
        <v>2655906.3006630503</v>
      </c>
      <c r="BY10" s="211">
        <f t="shared" si="22"/>
        <v>2655906.3006630503</v>
      </c>
      <c r="BZ10" s="211">
        <f t="shared" si="22"/>
        <v>2655906.3006630503</v>
      </c>
      <c r="CA10" s="211">
        <f t="shared" si="22"/>
        <v>2655906.3006630503</v>
      </c>
      <c r="CB10" s="211">
        <f t="shared" si="22"/>
        <v>2655906.3006630503</v>
      </c>
      <c r="CC10" s="211">
        <f t="shared" si="22"/>
        <v>2655906.3006630503</v>
      </c>
      <c r="CD10" s="211">
        <f t="shared" si="22"/>
        <v>2655906.3006630503</v>
      </c>
      <c r="CE10" s="211">
        <f t="shared" si="22"/>
        <v>2655906.3006630503</v>
      </c>
      <c r="CF10" s="211">
        <f t="shared" si="22"/>
        <v>2655906.3006630503</v>
      </c>
      <c r="CG10" s="211">
        <f t="shared" si="22"/>
        <v>2655906.3006630503</v>
      </c>
      <c r="CH10" s="211">
        <f t="shared" si="22"/>
        <v>2655906.3006630503</v>
      </c>
      <c r="CI10" s="211">
        <f t="shared" si="22"/>
        <v>2655906.3006630503</v>
      </c>
      <c r="CJ10" s="211">
        <f t="shared" si="22"/>
        <v>2655906.3006630503</v>
      </c>
      <c r="CK10" s="211">
        <f t="shared" si="22"/>
        <v>2655906.3006630503</v>
      </c>
      <c r="CL10" s="211">
        <f t="shared" si="22"/>
        <v>2655906.3006630503</v>
      </c>
      <c r="CM10" s="211">
        <f t="shared" si="22"/>
        <v>2655906.3006630503</v>
      </c>
      <c r="CN10" s="211">
        <f t="shared" si="22"/>
        <v>2655906.3006630503</v>
      </c>
      <c r="CO10" s="211">
        <f t="shared" si="22"/>
        <v>2655906.3006630503</v>
      </c>
      <c r="CP10" s="211">
        <f t="shared" si="22"/>
        <v>2655906.3006630503</v>
      </c>
      <c r="CQ10" s="211">
        <f t="shared" si="22"/>
        <v>2655906.3006630503</v>
      </c>
      <c r="CR10" s="211">
        <f t="shared" si="22"/>
        <v>2655906.3006630503</v>
      </c>
      <c r="CS10" s="211">
        <f t="shared" si="22"/>
        <v>2655906.3006630503</v>
      </c>
      <c r="CT10" s="211">
        <f t="shared" si="22"/>
        <v>2655906.3006630503</v>
      </c>
      <c r="CU10" s="211">
        <f t="shared" si="22"/>
        <v>2655906.3006630503</v>
      </c>
      <c r="CV10" s="211">
        <f t="shared" si="22"/>
        <v>2655906.3006630503</v>
      </c>
      <c r="CW10" s="211">
        <f t="shared" si="22"/>
        <v>2655906.3006630503</v>
      </c>
      <c r="CX10" s="211">
        <f t="shared" si="22"/>
        <v>2655906.3006630503</v>
      </c>
      <c r="CY10" s="211">
        <f t="shared" si="22"/>
        <v>2655906.3006630503</v>
      </c>
      <c r="CZ10" s="211">
        <f t="shared" si="22"/>
        <v>2655906.3006630503</v>
      </c>
      <c r="DA10" s="211">
        <f t="shared" si="22"/>
        <v>2655906.3006630503</v>
      </c>
      <c r="DB10" s="211">
        <f t="shared" si="22"/>
        <v>2655906.3006630503</v>
      </c>
      <c r="DC10" s="211">
        <f t="shared" si="22"/>
        <v>2655906.3006630503</v>
      </c>
      <c r="DD10" s="211">
        <f t="shared" si="22"/>
        <v>2655906.3006630503</v>
      </c>
      <c r="DE10" s="211">
        <f t="shared" si="22"/>
        <v>2655906.3006630503</v>
      </c>
      <c r="DF10" s="211">
        <f t="shared" si="22"/>
        <v>2655906.3006630503</v>
      </c>
      <c r="DG10" s="211">
        <f t="shared" si="22"/>
        <v>2655906.3006630503</v>
      </c>
      <c r="DH10" s="211">
        <f t="shared" si="22"/>
        <v>2655906.3006630503</v>
      </c>
      <c r="DI10" s="211">
        <f t="shared" si="22"/>
        <v>2655906.3006630503</v>
      </c>
      <c r="DJ10" s="211">
        <f t="shared" si="22"/>
        <v>2655906.3006630503</v>
      </c>
      <c r="DK10" s="211">
        <f t="shared" si="22"/>
        <v>2655906.3006630503</v>
      </c>
      <c r="DL10" s="211">
        <f t="shared" si="22"/>
        <v>2655906.3006630503</v>
      </c>
      <c r="DM10" s="211">
        <f t="shared" si="22"/>
        <v>2655906.3006630503</v>
      </c>
      <c r="DN10" s="211">
        <f t="shared" si="22"/>
        <v>2655906.3006630503</v>
      </c>
      <c r="DO10" s="211">
        <f t="shared" si="22"/>
        <v>2655906.3006630503</v>
      </c>
      <c r="DP10" s="211">
        <f t="shared" si="22"/>
        <v>2655906.3006630503</v>
      </c>
      <c r="DQ10" s="211">
        <f t="shared" si="22"/>
        <v>2655906.3006630503</v>
      </c>
      <c r="DR10" s="211">
        <f t="shared" si="22"/>
        <v>2655906.3006630503</v>
      </c>
      <c r="DS10" s="211">
        <f t="shared" si="22"/>
        <v>2655906.3006630503</v>
      </c>
      <c r="DT10" s="211">
        <f t="shared" si="22"/>
        <v>2655906.3006630503</v>
      </c>
      <c r="DU10" s="211">
        <f t="shared" si="22"/>
        <v>2655906.3006630503</v>
      </c>
      <c r="DV10" s="211">
        <f t="shared" si="22"/>
        <v>2655906.3006630503</v>
      </c>
      <c r="DW10" s="211">
        <f t="shared" si="22"/>
        <v>2655906.3006630503</v>
      </c>
      <c r="DX10" s="211">
        <f t="shared" si="22"/>
        <v>2655906.3006630503</v>
      </c>
      <c r="DY10" s="211">
        <f t="shared" si="22"/>
        <v>2655906.3006630503</v>
      </c>
      <c r="DZ10" s="211">
        <f t="shared" si="22"/>
        <v>2655906.3006630503</v>
      </c>
      <c r="EA10" s="211">
        <f t="shared" si="22"/>
        <v>2655906.3006630503</v>
      </c>
      <c r="EB10" s="211">
        <f t="shared" si="22"/>
        <v>2655906.3006630503</v>
      </c>
      <c r="EC10" s="211">
        <f t="shared" si="22"/>
        <v>2655906.3006630503</v>
      </c>
      <c r="ED10" s="211">
        <f t="shared" si="22"/>
        <v>2655906.3006630503</v>
      </c>
      <c r="EE10" s="211">
        <f t="shared" si="22"/>
        <v>2655906.3006630503</v>
      </c>
      <c r="EF10" s="211">
        <f t="shared" si="22"/>
        <v>2655906.3006630503</v>
      </c>
      <c r="EG10" s="211">
        <f t="shared" ref="EG10:GR10" si="23">EF10+EG9</f>
        <v>2655906.3006630503</v>
      </c>
      <c r="EH10" s="211">
        <f t="shared" si="23"/>
        <v>2655906.3006630503</v>
      </c>
      <c r="EI10" s="211">
        <f t="shared" si="23"/>
        <v>2655906.3006630503</v>
      </c>
      <c r="EJ10" s="211">
        <f t="shared" si="23"/>
        <v>2655906.3006630503</v>
      </c>
      <c r="EK10" s="211">
        <f t="shared" si="23"/>
        <v>2655906.3006630503</v>
      </c>
      <c r="EL10" s="211">
        <f t="shared" si="23"/>
        <v>2655906.3006630503</v>
      </c>
      <c r="EM10" s="211">
        <f t="shared" si="23"/>
        <v>2655906.3006630503</v>
      </c>
      <c r="EN10" s="211">
        <f t="shared" si="23"/>
        <v>2655906.3006630503</v>
      </c>
      <c r="EO10" s="211">
        <f t="shared" si="23"/>
        <v>2655906.3006630503</v>
      </c>
      <c r="EP10" s="211">
        <f t="shared" si="23"/>
        <v>2655906.3006630503</v>
      </c>
      <c r="EQ10" s="211">
        <f t="shared" si="23"/>
        <v>2655906.3006630503</v>
      </c>
      <c r="ER10" s="211">
        <f t="shared" si="23"/>
        <v>2655906.3006630503</v>
      </c>
      <c r="ES10" s="211">
        <f t="shared" si="23"/>
        <v>2655906.3006630503</v>
      </c>
      <c r="ET10" s="211">
        <f t="shared" si="23"/>
        <v>2655906.3006630503</v>
      </c>
      <c r="EU10" s="211">
        <f t="shared" si="23"/>
        <v>2655906.3006630503</v>
      </c>
      <c r="EV10" s="211">
        <f t="shared" si="23"/>
        <v>2655906.3006630503</v>
      </c>
      <c r="EW10" s="211">
        <f t="shared" si="23"/>
        <v>2655906.3006630503</v>
      </c>
      <c r="EX10" s="211">
        <f t="shared" si="23"/>
        <v>2655906.3006630503</v>
      </c>
      <c r="EY10" s="211">
        <f t="shared" si="23"/>
        <v>2655906.3006630503</v>
      </c>
      <c r="EZ10" s="211">
        <f t="shared" si="23"/>
        <v>2655906.3006630503</v>
      </c>
      <c r="FA10" s="211">
        <f t="shared" si="23"/>
        <v>2655906.3006630503</v>
      </c>
      <c r="FB10" s="211">
        <f t="shared" si="23"/>
        <v>2655906.3006630503</v>
      </c>
      <c r="FC10" s="211">
        <f t="shared" si="23"/>
        <v>2655906.3006630503</v>
      </c>
      <c r="FD10" s="211">
        <f t="shared" si="23"/>
        <v>2655906.3006630503</v>
      </c>
      <c r="FE10" s="211">
        <f t="shared" si="23"/>
        <v>2655906.3006630503</v>
      </c>
      <c r="FF10" s="211">
        <f t="shared" si="23"/>
        <v>2655906.3006630503</v>
      </c>
      <c r="FG10" s="211">
        <f t="shared" si="23"/>
        <v>2655906.3006630503</v>
      </c>
      <c r="FH10" s="211">
        <f t="shared" si="23"/>
        <v>2655906.3006630503</v>
      </c>
      <c r="FI10" s="211">
        <f t="shared" si="23"/>
        <v>2655906.3006630503</v>
      </c>
      <c r="FJ10" s="211">
        <f t="shared" si="23"/>
        <v>2655906.3006630503</v>
      </c>
      <c r="FK10" s="211">
        <f t="shared" si="23"/>
        <v>2655906.3006630503</v>
      </c>
      <c r="FL10" s="211">
        <f t="shared" si="23"/>
        <v>2655906.3006630503</v>
      </c>
      <c r="FM10" s="211">
        <f t="shared" si="23"/>
        <v>2655906.3006630503</v>
      </c>
      <c r="FN10" s="211">
        <f t="shared" si="23"/>
        <v>2655906.3006630503</v>
      </c>
      <c r="FO10" s="211">
        <f t="shared" si="23"/>
        <v>2655906.3006630503</v>
      </c>
      <c r="FP10" s="211">
        <f t="shared" si="23"/>
        <v>2655906.3006630503</v>
      </c>
      <c r="FQ10" s="211">
        <f t="shared" si="23"/>
        <v>2655906.3006630503</v>
      </c>
      <c r="FR10" s="211">
        <f t="shared" si="23"/>
        <v>2655906.3006630503</v>
      </c>
      <c r="FS10" s="211">
        <f t="shared" si="23"/>
        <v>2655906.3006630503</v>
      </c>
      <c r="FT10" s="211">
        <f t="shared" si="23"/>
        <v>2655906.3006630503</v>
      </c>
      <c r="FU10" s="211">
        <f t="shared" si="23"/>
        <v>2655906.3006630503</v>
      </c>
      <c r="FV10" s="211">
        <f t="shared" si="23"/>
        <v>2655906.3006630503</v>
      </c>
      <c r="FW10" s="211">
        <f t="shared" si="23"/>
        <v>2655906.3006630503</v>
      </c>
      <c r="FX10" s="211">
        <f t="shared" si="23"/>
        <v>2655906.3006630503</v>
      </c>
      <c r="FY10" s="211">
        <f t="shared" si="23"/>
        <v>2655906.3006630503</v>
      </c>
      <c r="FZ10" s="211">
        <f t="shared" si="23"/>
        <v>2655906.3006630503</v>
      </c>
      <c r="GA10" s="211">
        <f t="shared" si="23"/>
        <v>2655906.3006630503</v>
      </c>
      <c r="GB10" s="211">
        <f t="shared" si="23"/>
        <v>2655906.3006630503</v>
      </c>
      <c r="GC10" s="211">
        <f t="shared" si="23"/>
        <v>2655906.3006630503</v>
      </c>
      <c r="GD10" s="211">
        <f t="shared" si="23"/>
        <v>2655906.3006630503</v>
      </c>
      <c r="GE10" s="211">
        <f t="shared" si="23"/>
        <v>2655906.3006630503</v>
      </c>
      <c r="GF10" s="211">
        <f t="shared" si="23"/>
        <v>2655906.3006630503</v>
      </c>
      <c r="GG10" s="211">
        <f t="shared" si="23"/>
        <v>2655906.3006630503</v>
      </c>
      <c r="GH10" s="211">
        <f t="shared" si="23"/>
        <v>2655906.3006630503</v>
      </c>
      <c r="GI10" s="211">
        <f t="shared" si="23"/>
        <v>2655906.3006630503</v>
      </c>
      <c r="GJ10" s="211">
        <f t="shared" si="23"/>
        <v>2655906.3006630503</v>
      </c>
      <c r="GK10" s="211">
        <f t="shared" si="23"/>
        <v>2655906.3006630503</v>
      </c>
      <c r="GL10" s="211">
        <f t="shared" si="23"/>
        <v>2655906.3006630503</v>
      </c>
      <c r="GM10" s="211">
        <f t="shared" si="23"/>
        <v>2655906.3006630503</v>
      </c>
      <c r="GN10" s="211">
        <f t="shared" si="23"/>
        <v>2655906.3006630503</v>
      </c>
      <c r="GO10" s="211">
        <f t="shared" si="23"/>
        <v>2655906.3006630503</v>
      </c>
      <c r="GP10" s="211">
        <f t="shared" si="23"/>
        <v>2655906.3006630503</v>
      </c>
      <c r="GQ10" s="211">
        <f t="shared" si="23"/>
        <v>2655906.3006630503</v>
      </c>
      <c r="GR10" s="211">
        <f t="shared" si="23"/>
        <v>2655906.3006630503</v>
      </c>
      <c r="GS10" s="211">
        <f t="shared" ref="GS10:JD10" si="24">GR10+GS9</f>
        <v>2655906.3006630503</v>
      </c>
      <c r="GT10" s="211">
        <f t="shared" si="24"/>
        <v>2655906.3006630503</v>
      </c>
      <c r="GU10" s="211">
        <f t="shared" si="24"/>
        <v>2655906.3006630503</v>
      </c>
      <c r="GV10" s="211">
        <f t="shared" si="24"/>
        <v>2655906.3006630503</v>
      </c>
      <c r="GW10" s="211">
        <f t="shared" si="24"/>
        <v>2655906.3006630503</v>
      </c>
      <c r="GX10" s="211">
        <f t="shared" si="24"/>
        <v>2655906.3006630503</v>
      </c>
      <c r="GY10" s="211">
        <f t="shared" si="24"/>
        <v>2655906.3006630503</v>
      </c>
      <c r="GZ10" s="211">
        <f t="shared" si="24"/>
        <v>2655906.3006630503</v>
      </c>
      <c r="HA10" s="211">
        <f t="shared" si="24"/>
        <v>2655906.3006630503</v>
      </c>
      <c r="HB10" s="211">
        <f t="shared" si="24"/>
        <v>2655906.3006630503</v>
      </c>
      <c r="HC10" s="211">
        <f t="shared" si="24"/>
        <v>2655906.3006630503</v>
      </c>
      <c r="HD10" s="211">
        <f t="shared" si="24"/>
        <v>2655906.3006630503</v>
      </c>
      <c r="HE10" s="211">
        <f t="shared" si="24"/>
        <v>2655906.3006630503</v>
      </c>
      <c r="HF10" s="211">
        <f t="shared" si="24"/>
        <v>2655906.3006630503</v>
      </c>
      <c r="HG10" s="211">
        <f t="shared" si="24"/>
        <v>2655906.3006630503</v>
      </c>
      <c r="HH10" s="211">
        <f t="shared" si="24"/>
        <v>2655906.3006630503</v>
      </c>
      <c r="HI10" s="211">
        <f t="shared" si="24"/>
        <v>2655906.3006630503</v>
      </c>
      <c r="HJ10" s="211">
        <f t="shared" si="24"/>
        <v>2655906.3006630503</v>
      </c>
      <c r="HK10" s="211">
        <f t="shared" si="24"/>
        <v>2655906.3006630503</v>
      </c>
      <c r="HL10" s="211">
        <f t="shared" si="24"/>
        <v>2655906.3006630503</v>
      </c>
      <c r="HM10" s="211">
        <f t="shared" si="24"/>
        <v>2655906.3006630503</v>
      </c>
      <c r="HN10" s="211">
        <f t="shared" si="24"/>
        <v>2655906.3006630503</v>
      </c>
      <c r="HO10" s="211">
        <f t="shared" si="24"/>
        <v>2655906.3006630503</v>
      </c>
      <c r="HP10" s="211">
        <f t="shared" si="24"/>
        <v>2655906.3006630503</v>
      </c>
      <c r="HQ10" s="211">
        <f t="shared" si="24"/>
        <v>2655906.3006630503</v>
      </c>
      <c r="HR10" s="211">
        <f t="shared" si="24"/>
        <v>2655906.3006630503</v>
      </c>
      <c r="HS10" s="211">
        <f t="shared" si="24"/>
        <v>2655906.3006630503</v>
      </c>
      <c r="HT10" s="211">
        <f t="shared" si="24"/>
        <v>2655906.3006630503</v>
      </c>
      <c r="HU10" s="211">
        <f t="shared" si="24"/>
        <v>2655906.3006630503</v>
      </c>
      <c r="HV10" s="211">
        <f t="shared" si="24"/>
        <v>2655906.3006630503</v>
      </c>
      <c r="HW10" s="211">
        <f t="shared" si="24"/>
        <v>2655906.3006630503</v>
      </c>
      <c r="HX10" s="211">
        <f t="shared" si="24"/>
        <v>2655906.3006630503</v>
      </c>
      <c r="HY10" s="211">
        <f t="shared" si="24"/>
        <v>2655906.3006630503</v>
      </c>
      <c r="HZ10" s="211">
        <f t="shared" si="24"/>
        <v>2655906.3006630503</v>
      </c>
      <c r="IA10" s="211">
        <f t="shared" si="24"/>
        <v>2655906.3006630503</v>
      </c>
      <c r="IB10" s="211">
        <f t="shared" si="24"/>
        <v>2655906.3006630503</v>
      </c>
      <c r="IC10" s="211">
        <f t="shared" si="24"/>
        <v>2655906.3006630503</v>
      </c>
      <c r="ID10" s="211">
        <f t="shared" si="24"/>
        <v>2655906.3006630503</v>
      </c>
      <c r="IE10" s="211">
        <f t="shared" si="24"/>
        <v>2655906.3006630503</v>
      </c>
      <c r="IF10" s="211">
        <f t="shared" si="24"/>
        <v>2655906.3006630503</v>
      </c>
      <c r="IG10" s="211">
        <f t="shared" si="24"/>
        <v>2655906.3006630503</v>
      </c>
      <c r="IH10" s="211">
        <f t="shared" si="24"/>
        <v>2655906.3006630503</v>
      </c>
      <c r="II10" s="211">
        <f t="shared" si="24"/>
        <v>2655906.3006630503</v>
      </c>
      <c r="IJ10" s="211">
        <f t="shared" si="24"/>
        <v>2655906.3006630503</v>
      </c>
      <c r="IK10" s="211">
        <f t="shared" si="24"/>
        <v>2655906.3006630503</v>
      </c>
      <c r="IL10" s="211">
        <f t="shared" si="24"/>
        <v>2655906.3006630503</v>
      </c>
      <c r="IM10" s="211">
        <f t="shared" si="24"/>
        <v>2655906.3006630503</v>
      </c>
      <c r="IN10" s="211">
        <f t="shared" si="24"/>
        <v>2655906.3006630503</v>
      </c>
      <c r="IO10" s="211">
        <f t="shared" si="24"/>
        <v>2655906.3006630503</v>
      </c>
      <c r="IP10" s="211">
        <f t="shared" si="24"/>
        <v>2655906.3006630503</v>
      </c>
      <c r="IQ10" s="211">
        <f t="shared" si="24"/>
        <v>2655906.3006630503</v>
      </c>
      <c r="IR10" s="211">
        <f t="shared" si="24"/>
        <v>2655906.3006630503</v>
      </c>
      <c r="IS10" s="211">
        <f t="shared" si="24"/>
        <v>2655906.3006630503</v>
      </c>
      <c r="IT10" s="211">
        <f t="shared" si="24"/>
        <v>2655906.3006630503</v>
      </c>
      <c r="IU10" s="211">
        <f t="shared" si="24"/>
        <v>2655906.3006630503</v>
      </c>
      <c r="IV10" s="211">
        <f t="shared" si="24"/>
        <v>2655906.3006630503</v>
      </c>
      <c r="IW10" s="211">
        <f t="shared" si="24"/>
        <v>2655906.3006630503</v>
      </c>
      <c r="IX10" s="211">
        <f t="shared" si="24"/>
        <v>2655906.3006630503</v>
      </c>
      <c r="IY10" s="211">
        <f t="shared" si="24"/>
        <v>2655906.3006630503</v>
      </c>
      <c r="IZ10" s="211">
        <f t="shared" si="24"/>
        <v>2655906.3006630503</v>
      </c>
      <c r="JA10" s="211">
        <f t="shared" si="24"/>
        <v>2655906.3006630503</v>
      </c>
      <c r="JB10" s="211">
        <f t="shared" si="24"/>
        <v>2655906.3006630503</v>
      </c>
      <c r="JC10" s="211">
        <f t="shared" si="24"/>
        <v>2655906.3006630503</v>
      </c>
      <c r="JD10" s="211">
        <f t="shared" si="24"/>
        <v>2655906.3006630503</v>
      </c>
      <c r="JE10" s="211">
        <f t="shared" ref="JE10:LD10" si="25">JD10+JE9</f>
        <v>2655906.3006630503</v>
      </c>
      <c r="JF10" s="211">
        <f t="shared" si="25"/>
        <v>2655906.3006630503</v>
      </c>
      <c r="JG10" s="211">
        <f t="shared" si="25"/>
        <v>2655906.3006630503</v>
      </c>
      <c r="JH10" s="211">
        <f t="shared" si="25"/>
        <v>2655906.3006630503</v>
      </c>
      <c r="JI10" s="211">
        <f t="shared" si="25"/>
        <v>2655906.3006630503</v>
      </c>
      <c r="JJ10" s="211">
        <f t="shared" si="25"/>
        <v>2655906.3006630503</v>
      </c>
      <c r="JK10" s="211">
        <f t="shared" si="25"/>
        <v>2655906.3006630503</v>
      </c>
      <c r="JL10" s="211">
        <f t="shared" si="25"/>
        <v>2655906.3006630503</v>
      </c>
      <c r="JM10" s="211">
        <f t="shared" si="25"/>
        <v>2655906.3006630503</v>
      </c>
      <c r="JN10" s="211">
        <f t="shared" si="25"/>
        <v>2655906.3006630503</v>
      </c>
      <c r="JO10" s="211">
        <f t="shared" si="25"/>
        <v>2655906.3006630503</v>
      </c>
      <c r="JP10" s="211">
        <f t="shared" si="25"/>
        <v>2655906.3006630503</v>
      </c>
      <c r="JQ10" s="211">
        <f t="shared" si="25"/>
        <v>2655906.3006630503</v>
      </c>
      <c r="JR10" s="211">
        <f t="shared" si="25"/>
        <v>2655906.3006630503</v>
      </c>
      <c r="JS10" s="211">
        <f t="shared" si="25"/>
        <v>2655906.3006630503</v>
      </c>
      <c r="JT10" s="211">
        <f t="shared" si="25"/>
        <v>2655906.3006630503</v>
      </c>
      <c r="JU10" s="211">
        <f t="shared" si="25"/>
        <v>2655906.3006630503</v>
      </c>
      <c r="JV10" s="211">
        <f t="shared" si="25"/>
        <v>2655906.3006630503</v>
      </c>
      <c r="JW10" s="211">
        <f t="shared" si="25"/>
        <v>2655906.3006630503</v>
      </c>
      <c r="JX10" s="211">
        <f t="shared" si="25"/>
        <v>2655906.3006630503</v>
      </c>
      <c r="JY10" s="211">
        <f t="shared" si="25"/>
        <v>2655906.3006630503</v>
      </c>
      <c r="JZ10" s="211">
        <f t="shared" si="25"/>
        <v>2655906.3006630503</v>
      </c>
      <c r="KA10" s="211">
        <f t="shared" si="25"/>
        <v>2655906.3006630503</v>
      </c>
      <c r="KB10" s="211">
        <f t="shared" si="25"/>
        <v>2655906.3006630503</v>
      </c>
      <c r="KC10" s="211">
        <f t="shared" si="25"/>
        <v>2655906.3006630503</v>
      </c>
      <c r="KD10" s="211">
        <f t="shared" si="25"/>
        <v>2655906.3006630503</v>
      </c>
      <c r="KE10" s="211">
        <f t="shared" si="25"/>
        <v>2655906.3006630503</v>
      </c>
      <c r="KF10" s="211">
        <f t="shared" si="25"/>
        <v>2655906.3006630503</v>
      </c>
      <c r="KG10" s="211">
        <f t="shared" si="25"/>
        <v>2655906.3006630503</v>
      </c>
      <c r="KH10" s="211">
        <f t="shared" si="25"/>
        <v>2655906.3006630503</v>
      </c>
      <c r="KI10" s="211">
        <f t="shared" si="25"/>
        <v>2655906.3006630503</v>
      </c>
      <c r="KJ10" s="211">
        <f t="shared" si="25"/>
        <v>2655906.3006630503</v>
      </c>
      <c r="KK10" s="211">
        <f t="shared" si="25"/>
        <v>2655906.3006630503</v>
      </c>
      <c r="KL10" s="211">
        <f t="shared" si="25"/>
        <v>2655906.3006630503</v>
      </c>
      <c r="KM10" s="211">
        <f t="shared" si="25"/>
        <v>2655906.3006630503</v>
      </c>
      <c r="KN10" s="211">
        <f t="shared" si="25"/>
        <v>2655906.3006630503</v>
      </c>
      <c r="KO10" s="211">
        <f t="shared" si="25"/>
        <v>2655906.3006630503</v>
      </c>
      <c r="KP10" s="211">
        <f t="shared" si="25"/>
        <v>2655906.3006630503</v>
      </c>
      <c r="KQ10" s="211">
        <f t="shared" si="25"/>
        <v>2655906.3006630503</v>
      </c>
      <c r="KR10" s="211">
        <f t="shared" si="25"/>
        <v>2655906.3006630503</v>
      </c>
      <c r="KS10" s="211">
        <f t="shared" si="25"/>
        <v>2655906.3006630503</v>
      </c>
      <c r="KT10" s="211">
        <f t="shared" si="25"/>
        <v>2655906.3006630503</v>
      </c>
      <c r="KU10" s="211">
        <f t="shared" si="25"/>
        <v>2655906.3006630503</v>
      </c>
      <c r="KV10" s="211">
        <f t="shared" si="25"/>
        <v>2655906.3006630503</v>
      </c>
      <c r="KW10" s="211">
        <f t="shared" si="25"/>
        <v>2655906.3006630503</v>
      </c>
      <c r="KX10" s="211">
        <f t="shared" si="25"/>
        <v>2655906.3006630503</v>
      </c>
      <c r="KY10" s="211">
        <f t="shared" si="25"/>
        <v>2655906.3006630503</v>
      </c>
      <c r="KZ10" s="211">
        <f t="shared" si="25"/>
        <v>2655906.3006630503</v>
      </c>
      <c r="LA10" s="211">
        <f t="shared" si="25"/>
        <v>2655906.3006630503</v>
      </c>
      <c r="LB10" s="211">
        <f t="shared" si="25"/>
        <v>2655906.3006630503</v>
      </c>
      <c r="LC10" s="211">
        <f t="shared" si="25"/>
        <v>2655906.3006630503</v>
      </c>
      <c r="LD10" s="211">
        <f t="shared" si="25"/>
        <v>2655906.3006630503</v>
      </c>
    </row>
    <row r="11" spans="1:794" s="203" customFormat="1">
      <c r="A11" s="777"/>
      <c r="B11" s="212" t="s">
        <v>406</v>
      </c>
      <c r="C11" s="213">
        <f>'Revenue Tracking'!F5</f>
        <v>2220751.0867582881</v>
      </c>
      <c r="D11" s="213">
        <f>SUM(F11:LD11)</f>
        <v>2229349.4367582882</v>
      </c>
      <c r="E11" s="197"/>
      <c r="F11" s="214">
        <f>SUMIFS('Expenditure Breakdown'!$Q$6:$Q$184, 'Expenditure Breakdown'!$W$6:$W$184, "&gt;="&amp;F1,'Expenditure Breakdown'!$W$6:$W$184, "&lt;"&amp;G1)</f>
        <v>0</v>
      </c>
      <c r="G11" s="214">
        <f>SUMIFS('Expenditure Breakdown'!$Q$6:$Q$184, 'Expenditure Breakdown'!$W$6:$W$184, "&gt;="&amp;G1,'Expenditure Breakdown'!$W$6:$W$184, "&lt;"&amp;H1)</f>
        <v>0</v>
      </c>
      <c r="H11" s="214">
        <f>SUMIFS('Expenditure Breakdown'!$Q$6:$Q$184, 'Expenditure Breakdown'!$W$6:$W$184, "&gt;="&amp;H1,'Expenditure Breakdown'!$W$6:$W$184, "&lt;"&amp;I1)</f>
        <v>0</v>
      </c>
      <c r="I11" s="214">
        <f>SUMIFS('Expenditure Breakdown'!$Q$6:$Q$184, 'Expenditure Breakdown'!$W$6:$W$184, "&gt;="&amp;I1,'Expenditure Breakdown'!$W$6:$W$184, "&lt;"&amp;J1)</f>
        <v>0</v>
      </c>
      <c r="J11" s="214">
        <f>SUMIFS('Expenditure Breakdown'!$Q$6:$Q$184, 'Expenditure Breakdown'!$W$6:$W$184, "&gt;="&amp;J1,'Expenditure Breakdown'!$W$6:$W$184, "&lt;"&amp;K1)</f>
        <v>0</v>
      </c>
      <c r="K11" s="214">
        <f>SUMIFS('Expenditure Breakdown'!$Q$6:$Q$184, 'Expenditure Breakdown'!$W$6:$W$184, "&gt;="&amp;K1,'Expenditure Breakdown'!$W$6:$W$184, "&lt;"&amp;L1)</f>
        <v>0</v>
      </c>
      <c r="L11" s="214">
        <f>SUMIFS('Expenditure Breakdown'!$Q$6:$Q$184, 'Expenditure Breakdown'!$W$6:$W$184, "&gt;="&amp;L1,'Expenditure Breakdown'!$W$6:$W$184, "&lt;"&amp;M1)</f>
        <v>0</v>
      </c>
      <c r="M11" s="214">
        <f>SUMIFS('Expenditure Breakdown'!$Q$6:$Q$184, 'Expenditure Breakdown'!$W$6:$W$184, "&gt;="&amp;M1,'Expenditure Breakdown'!$W$6:$W$184, "&lt;"&amp;N1)</f>
        <v>0</v>
      </c>
      <c r="N11" s="214">
        <f>SUMIFS('Expenditure Breakdown'!$Q$6:$Q$184, 'Expenditure Breakdown'!$W$6:$W$184, "&gt;="&amp;N1,'Expenditure Breakdown'!$W$6:$W$184, "&lt;"&amp;O1)</f>
        <v>0</v>
      </c>
      <c r="O11" s="214">
        <f>SUMIFS('Expenditure Breakdown'!$Q$6:$Q$184, 'Expenditure Breakdown'!$W$6:$W$184, "&gt;="&amp;O1,'Expenditure Breakdown'!$W$6:$W$184, "&lt;"&amp;P1)</f>
        <v>0</v>
      </c>
      <c r="P11" s="214">
        <f>SUMIFS('Expenditure Breakdown'!$Q$6:$Q$184, 'Expenditure Breakdown'!$W$6:$W$184, "&gt;="&amp;P1,'Expenditure Breakdown'!$W$6:$W$184, "&lt;"&amp;Q1)</f>
        <v>0</v>
      </c>
      <c r="Q11" s="214">
        <f>SUMIFS('Expenditure Breakdown'!$Q$6:$Q$184, 'Expenditure Breakdown'!$W$6:$W$184, "&gt;="&amp;Q1,'Expenditure Breakdown'!$W$6:$W$184, "&lt;"&amp;R1)</f>
        <v>9019.6</v>
      </c>
      <c r="R11" s="214">
        <f>SUMIFS('Expenditure Breakdown'!$Q$6:$Q$184, 'Expenditure Breakdown'!$W$6:$W$184, "&gt;="&amp;R1,'Expenditure Breakdown'!$W$6:$W$184, "&lt;"&amp;S1)</f>
        <v>0</v>
      </c>
      <c r="S11" s="214">
        <f>SUMIFS('Expenditure Breakdown'!$Q$6:$Q$184, 'Expenditure Breakdown'!$W$6:$W$184, "&gt;="&amp;S1,'Expenditure Breakdown'!$W$6:$W$184, "&lt;"&amp;T1)</f>
        <v>0</v>
      </c>
      <c r="T11" s="214">
        <f>SUMIFS('Expenditure Breakdown'!$Q$6:$Q$184, 'Expenditure Breakdown'!$W$6:$W$184, "&gt;="&amp;T1,'Expenditure Breakdown'!$W$6:$W$184, "&lt;"&amp;U1)</f>
        <v>0</v>
      </c>
      <c r="U11" s="214">
        <f>SUMIFS('Expenditure Breakdown'!$Q$6:$Q$184, 'Expenditure Breakdown'!$W$6:$W$184, "&gt;="&amp;U1,'Expenditure Breakdown'!$W$6:$W$184, "&lt;"&amp;V1)</f>
        <v>7750</v>
      </c>
      <c r="V11" s="214">
        <f>SUMIFS('Expenditure Breakdown'!$Q$6:$Q$184, 'Expenditure Breakdown'!$W$6:$W$184, "&gt;="&amp;V1,'Expenditure Breakdown'!$W$6:$W$184, "&lt;"&amp;W1)</f>
        <v>0</v>
      </c>
      <c r="W11" s="214">
        <f>SUMIFS('Expenditure Breakdown'!$Q$6:$Q$184, 'Expenditure Breakdown'!$W$6:$W$184, "&gt;="&amp;W1,'Expenditure Breakdown'!$W$6:$W$184, "&lt;"&amp;X1)</f>
        <v>2250.5</v>
      </c>
      <c r="X11" s="214">
        <f>SUMIFS('Expenditure Breakdown'!$Q$6:$Q$184, 'Expenditure Breakdown'!$W$6:$W$184, "&gt;="&amp;X1,'Expenditure Breakdown'!$W$6:$W$184, "&lt;"&amp;Y1)</f>
        <v>27555</v>
      </c>
      <c r="Y11" s="214">
        <f>SUMIFS('Expenditure Breakdown'!$Q$6:$Q$184, 'Expenditure Breakdown'!$W$6:$W$184, "&gt;="&amp;Y1,'Expenditure Breakdown'!$W$6:$W$184, "&lt;"&amp;Z1)</f>
        <v>7534.56</v>
      </c>
      <c r="Z11" s="214">
        <f>SUMIFS('Expenditure Breakdown'!$Q$6:$Q$184, 'Expenditure Breakdown'!$W$6:$W$184, "&gt;="&amp;Z1,'Expenditure Breakdown'!$W$6:$W$184, "&lt;"&amp;AA1)</f>
        <v>7624.0500000000011</v>
      </c>
      <c r="AA11" s="214">
        <f>SUMIFS('Expenditure Breakdown'!$Q$6:$Q$184, 'Expenditure Breakdown'!$W$6:$W$184, "&gt;="&amp;AA1,'Expenditure Breakdown'!$W$6:$W$184, "&lt;"&amp;AB1)</f>
        <v>45307.69</v>
      </c>
      <c r="AB11" s="214">
        <f>SUMIFS('Expenditure Breakdown'!$Q$6:$Q$184, 'Expenditure Breakdown'!$W$6:$W$184, "&gt;="&amp;AB1,'Expenditure Breakdown'!$W$6:$W$184, "&lt;"&amp;AC1)</f>
        <v>98751.773000000001</v>
      </c>
      <c r="AC11" s="214">
        <f>SUMIFS('Expenditure Breakdown'!$Q$6:$Q$184, 'Expenditure Breakdown'!$W$6:$W$184, "&gt;="&amp;AC1,'Expenditure Breakdown'!$W$6:$W$184, "&lt;"&amp;AD1)</f>
        <v>12174.800000000001</v>
      </c>
      <c r="AD11" s="214">
        <f>SUMIFS('Expenditure Breakdown'!$Q$6:$Q$184, 'Expenditure Breakdown'!$W$6:$W$184, "&gt;="&amp;AD1,'Expenditure Breakdown'!$W$6:$W$184, "&lt;"&amp;AE1)</f>
        <v>199000</v>
      </c>
      <c r="AE11" s="214">
        <f>SUMIFS('Expenditure Breakdown'!$Q$6:$Q$184, 'Expenditure Breakdown'!$W$6:$W$184, "&gt;="&amp;AE1,'Expenditure Breakdown'!$W$6:$W$184, "&lt;"&amp;AF1)</f>
        <v>8598.35</v>
      </c>
      <c r="AF11" s="214">
        <f>SUMIFS('Expenditure Breakdown'!$Q$6:$Q$184, 'Expenditure Breakdown'!$W$6:$W$184, "&gt;="&amp;AF1,'Expenditure Breakdown'!$W$6:$W$184, "&lt;"&amp;AG1)</f>
        <v>0</v>
      </c>
      <c r="AG11" s="214">
        <f>SUMIFS('Expenditure Breakdown'!$Q$6:$Q$184, 'Expenditure Breakdown'!$W$6:$W$184, "&gt;="&amp;AG1,'Expenditure Breakdown'!$W$6:$W$184, "&lt;"&amp;AH1)</f>
        <v>813039.39</v>
      </c>
      <c r="AH11" s="214">
        <f>SUMIFS('Expenditure Breakdown'!$Q$6:$Q$184, 'Expenditure Breakdown'!$W$6:$W$184, "&gt;="&amp;AH1,'Expenditure Breakdown'!$W$6:$W$184, "&lt;"&amp;AI1)</f>
        <v>0</v>
      </c>
      <c r="AI11" s="214">
        <f>SUMIFS('Expenditure Breakdown'!$Q$6:$Q$184, 'Expenditure Breakdown'!$W$6:$W$184, "&gt;="&amp;AI1,'Expenditure Breakdown'!$W$6:$W$184, "&lt;"&amp;AJ1)</f>
        <v>0</v>
      </c>
      <c r="AJ11" s="214">
        <f>SUMIFS('Expenditure Breakdown'!$Q$6:$Q$184, 'Expenditure Breakdown'!$W$6:$W$184, "&gt;="&amp;AJ1,'Expenditure Breakdown'!$W$6:$W$184, "&lt;"&amp;AK1)</f>
        <v>0</v>
      </c>
      <c r="AK11" s="214">
        <f>SUMIFS('Expenditure Breakdown'!$Q$6:$Q$184, 'Expenditure Breakdown'!$W$6:$W$184, "&gt;="&amp;AK1,'Expenditure Breakdown'!$W$6:$W$184, "&lt;"&amp;AL1)</f>
        <v>83844.558758288127</v>
      </c>
      <c r="AL11" s="214">
        <f>SUMIFS('Expenditure Breakdown'!$Q$6:$Q$184, 'Expenditure Breakdown'!$W$6:$W$184, "&gt;="&amp;AL1,'Expenditure Breakdown'!$W$6:$W$184, "&lt;"&amp;AM1)</f>
        <v>3061.43</v>
      </c>
      <c r="AM11" s="214">
        <f>SUMIFS('Expenditure Breakdown'!$Q$6:$Q$184, 'Expenditure Breakdown'!$W$6:$W$184, "&gt;="&amp;AM1,'Expenditure Breakdown'!$W$6:$W$184, "&lt;"&amp;AN1)</f>
        <v>0</v>
      </c>
      <c r="AN11" s="214">
        <f>SUMIFS('Expenditure Breakdown'!$Q$6:$Q$184, 'Expenditure Breakdown'!$W$6:$W$184, "&gt;="&amp;AN1,'Expenditure Breakdown'!$W$6:$W$184, "&lt;"&amp;AO1)</f>
        <v>7057.63</v>
      </c>
      <c r="AO11" s="214">
        <f>SUMIFS('Expenditure Breakdown'!$Q$6:$Q$184, 'Expenditure Breakdown'!$W$6:$W$184, "&gt;="&amp;AO1,'Expenditure Breakdown'!$W$6:$W$184, "&lt;"&amp;AP1)</f>
        <v>584750.18300000008</v>
      </c>
      <c r="AP11" s="214">
        <f>SUMIFS('Expenditure Breakdown'!$Q$6:$Q$184, 'Expenditure Breakdown'!$W$6:$W$184, "&gt;="&amp;AP1,'Expenditure Breakdown'!$W$6:$W$184, "&lt;"&amp;AQ1)</f>
        <v>110836.51</v>
      </c>
      <c r="AQ11" s="214">
        <f>SUMIFS('Expenditure Breakdown'!$Q$6:$Q$184, 'Expenditure Breakdown'!$W$6:$W$184, "&gt;="&amp;AQ1,'Expenditure Breakdown'!$W$6:$W$184, "&lt;"&amp;AR1)</f>
        <v>1307.83</v>
      </c>
      <c r="AR11" s="214">
        <f>SUMIFS('Expenditure Breakdown'!$Q$6:$Q$184, 'Expenditure Breakdown'!$W$6:$W$184, "&gt;="&amp;AR1,'Expenditure Breakdown'!$W$6:$W$184, "&lt;"&amp;AS1)</f>
        <v>0</v>
      </c>
      <c r="AS11" s="214">
        <f>SUMIFS('Expenditure Breakdown'!$Q$6:$Q$184, 'Expenditure Breakdown'!$W$6:$W$184, "&gt;="&amp;AS1,'Expenditure Breakdown'!$W$6:$W$184, "&lt;"&amp;AT1)</f>
        <v>0</v>
      </c>
      <c r="AT11" s="214">
        <f>SUMIFS('Expenditure Breakdown'!$Q$6:$Q$184, 'Expenditure Breakdown'!$W$6:$W$184, "&gt;="&amp;AT1,'Expenditure Breakdown'!$W$6:$W$184, "&lt;"&amp;AU1)</f>
        <v>237.1</v>
      </c>
      <c r="AU11" s="214">
        <f>SUMIFS('Expenditure Breakdown'!$Q$6:$Q$184, 'Expenditure Breakdown'!$W$6:$W$184, "&gt;="&amp;AU1,'Expenditure Breakdown'!$W$6:$W$184, "&lt;"&amp;AV1)</f>
        <v>51235.08</v>
      </c>
      <c r="AV11" s="214">
        <f>SUMIFS('Expenditure Breakdown'!$Q$6:$Q$184, 'Expenditure Breakdown'!$W$6:$W$184, "&gt;="&amp;AV1,'Expenditure Breakdown'!$W$6:$W$184, "&lt;"&amp;AW1)</f>
        <v>0</v>
      </c>
      <c r="AW11" s="214">
        <f>SUMIFS('Expenditure Breakdown'!$Q$6:$Q$184, 'Expenditure Breakdown'!$W$6:$W$184, "&gt;="&amp;AW1,'Expenditure Breakdown'!$W$6:$W$184, "&lt;"&amp;AX1)</f>
        <v>0</v>
      </c>
      <c r="AX11" s="214">
        <f>SUMIFS('Expenditure Breakdown'!$Q$6:$Q$184, 'Expenditure Breakdown'!$W$6:$W$184, "&gt;="&amp;AX1,'Expenditure Breakdown'!$W$6:$W$184, "&lt;"&amp;AY1)</f>
        <v>35079.22</v>
      </c>
      <c r="AY11" s="214">
        <f>SUMIFS('Expenditure Breakdown'!$Q$6:$Q$184, 'Expenditure Breakdown'!$W$6:$W$184, "&gt;="&amp;AY1,'Expenditure Breakdown'!$W$6:$W$184, "&lt;"&amp;AZ1)</f>
        <v>0</v>
      </c>
      <c r="AZ11" s="214">
        <f>SUMIFS('Expenditure Breakdown'!$Q$6:$Q$184, 'Expenditure Breakdown'!$W$6:$W$184, "&gt;="&amp;AZ1,'Expenditure Breakdown'!$W$6:$W$184, "&lt;"&amp;BA1)</f>
        <v>0</v>
      </c>
      <c r="BA11" s="214">
        <f>SUMIFS('Expenditure Breakdown'!$Q$6:$Q$184, 'Expenditure Breakdown'!$W$6:$W$184, "&gt;="&amp;BA1,'Expenditure Breakdown'!$W$6:$W$184, "&lt;"&amp;BB1)</f>
        <v>23380.978000000003</v>
      </c>
      <c r="BB11" s="214">
        <f>SUMIFS('Expenditure Breakdown'!$Q$6:$Q$184, 'Expenditure Breakdown'!$W$6:$W$184, "&gt;="&amp;BB1,'Expenditure Breakdown'!$W$6:$W$184, "&lt;"&amp;BC1)</f>
        <v>0</v>
      </c>
      <c r="BC11" s="214">
        <f>SUMIFS('Expenditure Breakdown'!$Q$6:$Q$184, 'Expenditure Breakdown'!$W$6:$W$184, "&gt;="&amp;BC1,'Expenditure Breakdown'!$W$6:$W$184, "&lt;"&amp;BD1)</f>
        <v>0</v>
      </c>
      <c r="BD11" s="214">
        <f>SUMIFS('Expenditure Breakdown'!$Q$6:$Q$184, 'Expenditure Breakdown'!$W$6:$W$184, "&gt;="&amp;BD1,'Expenditure Breakdown'!$W$6:$W$184, "&lt;"&amp;BE1)</f>
        <v>8850</v>
      </c>
      <c r="BE11" s="214">
        <f>SUMIFS('Expenditure Breakdown'!$Q$6:$Q$184, 'Expenditure Breakdown'!$W$6:$W$184, "&gt;="&amp;BE1,'Expenditure Breakdown'!$W$6:$W$184, "&lt;"&amp;BF1)</f>
        <v>35965.203999999998</v>
      </c>
      <c r="BF11" s="214">
        <f>SUMIFS('Expenditure Breakdown'!$Q$6:$Q$184, 'Expenditure Breakdown'!$W$6:$W$184, "&gt;="&amp;BF1,'Expenditure Breakdown'!$W$6:$W$184, "&lt;"&amp;BG1)</f>
        <v>0</v>
      </c>
      <c r="BG11" s="214">
        <f>SUMIFS('Expenditure Breakdown'!$Q$6:$Q$184, 'Expenditure Breakdown'!$W$6:$W$184, "&gt;="&amp;BG1,'Expenditure Breakdown'!$W$6:$W$184, "&lt;"&amp;BH1)</f>
        <v>0</v>
      </c>
      <c r="BH11" s="214">
        <f>SUMIFS('Expenditure Breakdown'!$Q$6:$Q$184, 'Expenditure Breakdown'!$W$6:$W$184, "&gt;="&amp;BH1,'Expenditure Breakdown'!$W$6:$W$184, "&lt;"&amp;BI1)</f>
        <v>39935</v>
      </c>
      <c r="BI11" s="214">
        <f>SUMIFS('Expenditure Breakdown'!$Q$6:$Q$184, 'Expenditure Breakdown'!$W$6:$W$184, "&gt;="&amp;BI1,'Expenditure Breakdown'!$W$6:$W$184, "&lt;"&amp;BJ1)</f>
        <v>5203</v>
      </c>
      <c r="BJ11" s="214">
        <f>SUMIFS('Expenditure Breakdown'!$Q$6:$Q$184, 'Expenditure Breakdown'!$W$6:$W$184, "&gt;="&amp;BJ1,'Expenditure Breakdown'!$W$6:$W$184, "&lt;"&amp;BK1)</f>
        <v>0</v>
      </c>
      <c r="BK11" s="214">
        <f>SUMIFS('Expenditure Breakdown'!$Q$6:$Q$184, 'Expenditure Breakdown'!$W$6:$W$184, "&gt;="&amp;BK1,'Expenditure Breakdown'!$W$6:$W$184, "&lt;"&amp;BL1)</f>
        <v>0</v>
      </c>
      <c r="BL11" s="214">
        <f>SUMIFS('Expenditure Breakdown'!$Q$6:$Q$184, 'Expenditure Breakdown'!$W$6:$W$184, "&gt;="&amp;BL1,'Expenditure Breakdown'!$W$6:$W$184, "&lt;"&amp;BM1)</f>
        <v>0</v>
      </c>
      <c r="BM11" s="214">
        <f>SUMIFS('Expenditure Breakdown'!$Q$6:$Q$184, 'Expenditure Breakdown'!$W$6:$W$184, "&gt;="&amp;BM1,'Expenditure Breakdown'!$W$6:$W$184, "&lt;"&amp;BN1)</f>
        <v>0</v>
      </c>
      <c r="BN11" s="214">
        <f>SUMIFS('Expenditure Breakdown'!$Q$6:$Q$184, 'Expenditure Breakdown'!$W$6:$W$184, "&gt;="&amp;BN1,'Expenditure Breakdown'!$W$6:$W$184, "&lt;"&amp;BO1)</f>
        <v>0</v>
      </c>
      <c r="BO11" s="214">
        <f>SUMIFS('Expenditure Breakdown'!$Q$6:$Q$184, 'Expenditure Breakdown'!$W$6:$W$184, "&gt;="&amp;BO1,'Expenditure Breakdown'!$W$6:$W$184, "&lt;"&amp;BP1)</f>
        <v>0</v>
      </c>
      <c r="BP11" s="214">
        <f>SUMIFS('Expenditure Breakdown'!$Q$6:$Q$184, 'Expenditure Breakdown'!$W$6:$W$184, "&gt;="&amp;BP1,'Expenditure Breakdown'!$W$6:$W$184, "&lt;"&amp;BQ1)</f>
        <v>0</v>
      </c>
      <c r="BQ11" s="214">
        <f>SUMIFS('Expenditure Breakdown'!$Q$6:$Q$184, 'Expenditure Breakdown'!$W$6:$W$184, "&gt;="&amp;BQ1,'Expenditure Breakdown'!$W$6:$W$184, "&lt;"&amp;BR1)</f>
        <v>0</v>
      </c>
      <c r="BR11" s="214">
        <f>SUMIFS('Expenditure Breakdown'!$Q$6:$Q$184, 'Expenditure Breakdown'!$W$6:$W$184, "&gt;="&amp;BR1,'Expenditure Breakdown'!$W$6:$W$184, "&lt;"&amp;BS1)</f>
        <v>0</v>
      </c>
      <c r="BS11" s="214">
        <f>SUMIFS('Expenditure Breakdown'!$Q$6:$Q$184, 'Expenditure Breakdown'!$W$6:$W$184, "&gt;="&amp;BS1,'Expenditure Breakdown'!$W$6:$W$184, "&lt;"&amp;BT1)</f>
        <v>0</v>
      </c>
      <c r="BT11" s="214">
        <f>SUMIFS('Expenditure Breakdown'!$Q$6:$Q$184, 'Expenditure Breakdown'!$W$6:$W$184, "&gt;="&amp;BT1,'Expenditure Breakdown'!$W$6:$W$184, "&lt;"&amp;BU1)</f>
        <v>0</v>
      </c>
      <c r="BU11" s="214">
        <f>SUMIFS('Expenditure Breakdown'!$Q$6:$Q$184, 'Expenditure Breakdown'!$W$6:$W$184, "&gt;="&amp;BU1,'Expenditure Breakdown'!$W$6:$W$184, "&lt;"&amp;BV1)</f>
        <v>0</v>
      </c>
      <c r="BV11" s="214">
        <f>SUMIFS('Expenditure Breakdown'!$Q$6:$Q$184, 'Expenditure Breakdown'!$W$6:$W$184, "&gt;="&amp;BV1,'Expenditure Breakdown'!$W$6:$W$184, "&lt;"&amp;BW1)</f>
        <v>0</v>
      </c>
      <c r="BW11" s="214">
        <f>SUMIFS('Expenditure Breakdown'!$Q$6:$Q$184, 'Expenditure Breakdown'!$W$6:$W$184, "&gt;="&amp;BW1,'Expenditure Breakdown'!$W$6:$W$184, "&lt;"&amp;BX1)</f>
        <v>0</v>
      </c>
      <c r="BX11" s="214">
        <f>SUMIFS('Expenditure Breakdown'!$Q$6:$Q$184, 'Expenditure Breakdown'!$W$6:$W$184, "&gt;="&amp;BX1,'Expenditure Breakdown'!$W$6:$W$184, "&lt;"&amp;BY1)</f>
        <v>0</v>
      </c>
      <c r="BY11" s="214">
        <f>SUMIFS('Expenditure Breakdown'!$Q$6:$Q$184, 'Expenditure Breakdown'!$W$6:$W$184, "&gt;="&amp;BY1,'Expenditure Breakdown'!$W$6:$W$184, "&lt;"&amp;BZ1)</f>
        <v>0</v>
      </c>
      <c r="BZ11" s="214">
        <f>SUMIFS('Expenditure Breakdown'!$Q$6:$Q$184, 'Expenditure Breakdown'!$W$6:$W$184, "&gt;="&amp;BZ1,'Expenditure Breakdown'!$W$6:$W$184, "&lt;"&amp;CA1)</f>
        <v>0</v>
      </c>
      <c r="CA11" s="214">
        <f>SUMIFS('Expenditure Breakdown'!$Q$6:$Q$184, 'Expenditure Breakdown'!$W$6:$W$184, "&gt;="&amp;CA1,'Expenditure Breakdown'!$W$6:$W$184, "&lt;"&amp;CB1)</f>
        <v>0</v>
      </c>
      <c r="CB11" s="214">
        <f>SUMIFS('Expenditure Breakdown'!$Q$6:$Q$184, 'Expenditure Breakdown'!$W$6:$W$184, "&gt;="&amp;CB1,'Expenditure Breakdown'!$W$6:$W$184, "&lt;"&amp;CC1)</f>
        <v>0</v>
      </c>
      <c r="CC11" s="214">
        <f>SUMIFS('Expenditure Breakdown'!$Q$6:$Q$184, 'Expenditure Breakdown'!$W$6:$W$184, "&gt;="&amp;CC1,'Expenditure Breakdown'!$W$6:$W$184, "&lt;"&amp;CD1)</f>
        <v>0</v>
      </c>
      <c r="CD11" s="214">
        <f>SUMIFS('Expenditure Breakdown'!$Q$6:$Q$184, 'Expenditure Breakdown'!$W$6:$W$184, "&gt;="&amp;CD1,'Expenditure Breakdown'!$W$6:$W$184, "&lt;"&amp;CE1)</f>
        <v>0</v>
      </c>
      <c r="CE11" s="214">
        <f>SUMIFS('Expenditure Breakdown'!$Q$6:$Q$184, 'Expenditure Breakdown'!$W$6:$W$184, "&gt;="&amp;CE1,'Expenditure Breakdown'!$W$6:$W$184, "&lt;"&amp;CF1)</f>
        <v>0</v>
      </c>
      <c r="CF11" s="214">
        <f>SUMIFS('Expenditure Breakdown'!$Q$6:$Q$184, 'Expenditure Breakdown'!$W$6:$W$184, "&gt;="&amp;CF1,'Expenditure Breakdown'!$W$6:$W$184, "&lt;"&amp;CG1)</f>
        <v>0</v>
      </c>
      <c r="CG11" s="214">
        <f>SUMIFS('Expenditure Breakdown'!$Q$6:$Q$184, 'Expenditure Breakdown'!$W$6:$W$184, "&gt;="&amp;CG1,'Expenditure Breakdown'!$W$6:$W$184, "&lt;"&amp;CH1)</f>
        <v>0</v>
      </c>
      <c r="CH11" s="214">
        <f>SUMIFS('Expenditure Breakdown'!$Q$6:$Q$184, 'Expenditure Breakdown'!$W$6:$W$184, "&gt;="&amp;CH1,'Expenditure Breakdown'!$W$6:$W$184, "&lt;"&amp;CI1)</f>
        <v>0</v>
      </c>
      <c r="CI11" s="214">
        <f>SUMIFS('Expenditure Breakdown'!$Q$6:$Q$184, 'Expenditure Breakdown'!$W$6:$W$184, "&gt;="&amp;CI1,'Expenditure Breakdown'!$W$6:$W$184, "&lt;"&amp;CJ1)</f>
        <v>0</v>
      </c>
      <c r="CJ11" s="214">
        <f>SUMIFS('Expenditure Breakdown'!$Q$6:$Q$184, 'Expenditure Breakdown'!$W$6:$W$184, "&gt;="&amp;CJ1,'Expenditure Breakdown'!$W$6:$W$184, "&lt;"&amp;CK1)</f>
        <v>0</v>
      </c>
      <c r="CK11" s="214">
        <f>SUMIFS('Expenditure Breakdown'!$Q$6:$Q$184, 'Expenditure Breakdown'!$W$6:$W$184, "&gt;="&amp;CK1,'Expenditure Breakdown'!$W$6:$W$184, "&lt;"&amp;CL1)</f>
        <v>0</v>
      </c>
      <c r="CL11" s="214">
        <f>SUMIFS('Expenditure Breakdown'!$Q$6:$Q$184, 'Expenditure Breakdown'!$W$6:$W$184, "&gt;="&amp;CL1,'Expenditure Breakdown'!$W$6:$W$184, "&lt;"&amp;CM1)</f>
        <v>0</v>
      </c>
      <c r="CM11" s="214">
        <f>SUMIFS('Expenditure Breakdown'!$Q$6:$Q$184, 'Expenditure Breakdown'!$W$6:$W$184, "&gt;="&amp;CM1,'Expenditure Breakdown'!$W$6:$W$184, "&lt;"&amp;CN1)</f>
        <v>0</v>
      </c>
      <c r="CN11" s="214">
        <f>SUMIFS('Expenditure Breakdown'!$Q$6:$Q$184, 'Expenditure Breakdown'!$W$6:$W$184, "&gt;="&amp;CN1,'Expenditure Breakdown'!$W$6:$W$184, "&lt;"&amp;CO1)</f>
        <v>0</v>
      </c>
      <c r="CO11" s="214">
        <f>SUMIFS('Expenditure Breakdown'!$Q$6:$Q$184, 'Expenditure Breakdown'!$W$6:$W$184, "&gt;="&amp;CO1,'Expenditure Breakdown'!$W$6:$W$184, "&lt;"&amp;CP1)</f>
        <v>0</v>
      </c>
      <c r="CP11" s="214">
        <f>SUMIFS('Expenditure Breakdown'!$Q$6:$Q$184, 'Expenditure Breakdown'!$W$6:$W$184, "&gt;="&amp;CP1,'Expenditure Breakdown'!$W$6:$W$184, "&lt;"&amp;CQ1)</f>
        <v>0</v>
      </c>
      <c r="CQ11" s="214">
        <f>SUMIFS('Expenditure Breakdown'!$Q$6:$Q$184, 'Expenditure Breakdown'!$W$6:$W$184, "&gt;="&amp;CQ1,'Expenditure Breakdown'!$W$6:$W$184, "&lt;"&amp;CR1)</f>
        <v>0</v>
      </c>
      <c r="CR11" s="214">
        <f>SUMIFS('Expenditure Breakdown'!$Q$6:$Q$184, 'Expenditure Breakdown'!$W$6:$W$184, "&gt;="&amp;CR1,'Expenditure Breakdown'!$W$6:$W$184, "&lt;"&amp;CS1)</f>
        <v>0</v>
      </c>
      <c r="CS11" s="214">
        <f>SUMIFS('Expenditure Breakdown'!$Q$6:$Q$184, 'Expenditure Breakdown'!$W$6:$W$184, "&gt;="&amp;CS1,'Expenditure Breakdown'!$W$6:$W$184, "&lt;"&amp;CT1)</f>
        <v>0</v>
      </c>
      <c r="CT11" s="214">
        <f>SUMIFS('Expenditure Breakdown'!$Q$6:$Q$184, 'Expenditure Breakdown'!$W$6:$W$184, "&gt;="&amp;CT1,'Expenditure Breakdown'!$W$6:$W$184, "&lt;"&amp;CU1)</f>
        <v>0</v>
      </c>
      <c r="CU11" s="214">
        <f>SUMIFS('Expenditure Breakdown'!$Q$6:$Q$184, 'Expenditure Breakdown'!$W$6:$W$184, "&gt;="&amp;CU1,'Expenditure Breakdown'!$W$6:$W$184, "&lt;"&amp;CV1)</f>
        <v>0</v>
      </c>
      <c r="CV11" s="214">
        <f>SUMIFS('Expenditure Breakdown'!$Q$6:$Q$184, 'Expenditure Breakdown'!$W$6:$W$184, "&gt;="&amp;CV1,'Expenditure Breakdown'!$W$6:$W$184, "&lt;"&amp;CW1)</f>
        <v>0</v>
      </c>
      <c r="CW11" s="214">
        <f>SUMIFS('Expenditure Breakdown'!$Q$6:$Q$184, 'Expenditure Breakdown'!$W$6:$W$184, "&gt;="&amp;CW1,'Expenditure Breakdown'!$W$6:$W$184, "&lt;"&amp;CX1)</f>
        <v>0</v>
      </c>
      <c r="CX11" s="214">
        <f>SUMIFS('Expenditure Breakdown'!$Q$6:$Q$184, 'Expenditure Breakdown'!$W$6:$W$184, "&gt;="&amp;CX1,'Expenditure Breakdown'!$W$6:$W$184, "&lt;"&amp;CY1)</f>
        <v>0</v>
      </c>
      <c r="CY11" s="214">
        <f>SUMIFS('Expenditure Breakdown'!$Q$6:$Q$184, 'Expenditure Breakdown'!$W$6:$W$184, "&gt;="&amp;CY1,'Expenditure Breakdown'!$W$6:$W$184, "&lt;"&amp;CZ1)</f>
        <v>0</v>
      </c>
      <c r="CZ11" s="214">
        <f>SUMIFS('Expenditure Breakdown'!$Q$6:$Q$184, 'Expenditure Breakdown'!$W$6:$W$184, "&gt;="&amp;CZ1,'Expenditure Breakdown'!$W$6:$W$184, "&lt;"&amp;DA1)</f>
        <v>0</v>
      </c>
      <c r="DA11" s="214">
        <f>SUMIFS('Expenditure Breakdown'!$Q$6:$Q$184, 'Expenditure Breakdown'!$W$6:$W$184, "&gt;="&amp;DA1,'Expenditure Breakdown'!$W$6:$W$184, "&lt;"&amp;DB1)</f>
        <v>0</v>
      </c>
      <c r="DB11" s="214">
        <f>SUMIFS('Expenditure Breakdown'!$Q$6:$Q$184, 'Expenditure Breakdown'!$W$6:$W$184, "&gt;="&amp;DB1,'Expenditure Breakdown'!$W$6:$W$184, "&lt;"&amp;DC1)</f>
        <v>0</v>
      </c>
      <c r="DC11" s="214">
        <f>SUMIFS('Expenditure Breakdown'!$Q$6:$Q$184, 'Expenditure Breakdown'!$W$6:$W$184, "&gt;="&amp;DC1,'Expenditure Breakdown'!$W$6:$W$184, "&lt;"&amp;DD1)</f>
        <v>0</v>
      </c>
      <c r="DD11" s="214">
        <f>SUMIFS('Expenditure Breakdown'!$Q$6:$Q$184, 'Expenditure Breakdown'!$W$6:$W$184, "&gt;="&amp;DD1,'Expenditure Breakdown'!$W$6:$W$184, "&lt;"&amp;DE1)</f>
        <v>0</v>
      </c>
      <c r="DE11" s="214">
        <f>SUMIFS('Expenditure Breakdown'!$Q$6:$Q$184, 'Expenditure Breakdown'!$W$6:$W$184, "&gt;="&amp;DE1,'Expenditure Breakdown'!$W$6:$W$184, "&lt;"&amp;DF1)</f>
        <v>0</v>
      </c>
      <c r="DF11" s="214">
        <f>SUMIFS('Expenditure Breakdown'!$Q$6:$Q$184, 'Expenditure Breakdown'!$W$6:$W$184, "&gt;="&amp;DF1,'Expenditure Breakdown'!$W$6:$W$184, "&lt;"&amp;DG1)</f>
        <v>0</v>
      </c>
      <c r="DG11" s="214">
        <f>SUMIFS('Expenditure Breakdown'!$Q$6:$Q$184, 'Expenditure Breakdown'!$W$6:$W$184, "&gt;="&amp;DG1,'Expenditure Breakdown'!$W$6:$W$184, "&lt;"&amp;DH1)</f>
        <v>0</v>
      </c>
      <c r="DH11" s="214">
        <f>SUMIFS('Expenditure Breakdown'!$Q$6:$Q$184, 'Expenditure Breakdown'!$W$6:$W$184, "&gt;="&amp;DH1,'Expenditure Breakdown'!$W$6:$W$184, "&lt;"&amp;DI1)</f>
        <v>0</v>
      </c>
      <c r="DI11" s="214">
        <f>SUMIFS('Expenditure Breakdown'!$Q$6:$Q$184, 'Expenditure Breakdown'!$W$6:$W$184, "&gt;="&amp;DI1,'Expenditure Breakdown'!$W$6:$W$184, "&lt;"&amp;DJ1)</f>
        <v>0</v>
      </c>
      <c r="DJ11" s="214">
        <f>SUMIFS('Expenditure Breakdown'!$Q$6:$Q$184, 'Expenditure Breakdown'!$W$6:$W$184, "&gt;="&amp;DJ1,'Expenditure Breakdown'!$W$6:$W$184, "&lt;"&amp;DK1)</f>
        <v>0</v>
      </c>
      <c r="DK11" s="214">
        <f>SUMIFS('Expenditure Breakdown'!$Q$6:$Q$184, 'Expenditure Breakdown'!$W$6:$W$184, "&gt;="&amp;DK1,'Expenditure Breakdown'!$W$6:$W$184, "&lt;"&amp;DL1)</f>
        <v>0</v>
      </c>
      <c r="DL11" s="214">
        <f>SUMIFS('Expenditure Breakdown'!$Q$6:$Q$184, 'Expenditure Breakdown'!$W$6:$W$184, "&gt;="&amp;DL1,'Expenditure Breakdown'!$W$6:$W$184, "&lt;"&amp;DM1)</f>
        <v>0</v>
      </c>
      <c r="DM11" s="214">
        <f>SUMIFS('Expenditure Breakdown'!$Q$6:$Q$184, 'Expenditure Breakdown'!$W$6:$W$184, "&gt;="&amp;DM1,'Expenditure Breakdown'!$W$6:$W$184, "&lt;"&amp;DN1)</f>
        <v>0</v>
      </c>
      <c r="DN11" s="214">
        <f>SUMIFS('Expenditure Breakdown'!$Q$6:$Q$184, 'Expenditure Breakdown'!$W$6:$W$184, "&gt;="&amp;DN1,'Expenditure Breakdown'!$W$6:$W$184, "&lt;"&amp;DO1)</f>
        <v>0</v>
      </c>
      <c r="DO11" s="214">
        <f>SUMIFS('Expenditure Breakdown'!$Q$6:$Q$184, 'Expenditure Breakdown'!$W$6:$W$184, "&gt;="&amp;DO1,'Expenditure Breakdown'!$W$6:$W$184, "&lt;"&amp;DP1)</f>
        <v>0</v>
      </c>
      <c r="DP11" s="214">
        <f>SUMIFS('Expenditure Breakdown'!$Q$6:$Q$184, 'Expenditure Breakdown'!$W$6:$W$184, "&gt;="&amp;DP1,'Expenditure Breakdown'!$W$6:$W$184, "&lt;"&amp;DQ1)</f>
        <v>0</v>
      </c>
      <c r="DQ11" s="214">
        <f>SUMIFS('Expenditure Breakdown'!$Q$6:$Q$184, 'Expenditure Breakdown'!$W$6:$W$184, "&gt;="&amp;DQ1,'Expenditure Breakdown'!$W$6:$W$184, "&lt;"&amp;DR1)</f>
        <v>0</v>
      </c>
      <c r="DR11" s="214">
        <f>SUMIFS('Expenditure Breakdown'!$Q$6:$Q$184, 'Expenditure Breakdown'!$W$6:$W$184, "&gt;="&amp;DR1,'Expenditure Breakdown'!$W$6:$W$184, "&lt;"&amp;DS1)</f>
        <v>0</v>
      </c>
      <c r="DS11" s="214">
        <f>SUMIFS('Expenditure Breakdown'!$Q$6:$Q$184, 'Expenditure Breakdown'!$W$6:$W$184, "&gt;="&amp;DS1,'Expenditure Breakdown'!$W$6:$W$184, "&lt;"&amp;DT1)</f>
        <v>0</v>
      </c>
      <c r="DT11" s="214">
        <f>SUMIFS('Expenditure Breakdown'!$Q$6:$Q$184, 'Expenditure Breakdown'!$W$6:$W$184, "&gt;="&amp;DT1,'Expenditure Breakdown'!$W$6:$W$184, "&lt;"&amp;DU1)</f>
        <v>0</v>
      </c>
      <c r="DU11" s="214">
        <f>SUMIFS('Expenditure Breakdown'!$Q$6:$Q$184, 'Expenditure Breakdown'!$W$6:$W$184, "&gt;="&amp;DU1,'Expenditure Breakdown'!$W$6:$W$184, "&lt;"&amp;DV1)</f>
        <v>0</v>
      </c>
      <c r="DV11" s="214">
        <f>SUMIFS('Expenditure Breakdown'!$Q$6:$Q$184, 'Expenditure Breakdown'!$W$6:$W$184, "&gt;="&amp;DV1,'Expenditure Breakdown'!$W$6:$W$184, "&lt;"&amp;DW1)</f>
        <v>0</v>
      </c>
      <c r="DW11" s="214">
        <f>SUMIFS('Expenditure Breakdown'!$Q$6:$Q$184, 'Expenditure Breakdown'!$W$6:$W$184, "&gt;="&amp;DW1,'Expenditure Breakdown'!$W$6:$W$184, "&lt;"&amp;DX1)</f>
        <v>0</v>
      </c>
      <c r="DX11" s="214">
        <f>SUMIFS('Expenditure Breakdown'!$Q$6:$Q$184, 'Expenditure Breakdown'!$W$6:$W$184, "&gt;="&amp;DX1,'Expenditure Breakdown'!$W$6:$W$184, "&lt;"&amp;DY1)</f>
        <v>0</v>
      </c>
      <c r="DY11" s="214">
        <f>SUMIFS('Expenditure Breakdown'!$Q$6:$Q$184, 'Expenditure Breakdown'!$W$6:$W$184, "&gt;="&amp;DY1,'Expenditure Breakdown'!$W$6:$W$184, "&lt;"&amp;DZ1)</f>
        <v>0</v>
      </c>
      <c r="DZ11" s="214">
        <f>SUMIFS('Expenditure Breakdown'!$Q$6:$Q$184, 'Expenditure Breakdown'!$W$6:$W$184, "&gt;="&amp;DZ1,'Expenditure Breakdown'!$W$6:$W$184, "&lt;"&amp;EA1)</f>
        <v>0</v>
      </c>
      <c r="EA11" s="214">
        <f>SUMIFS('Expenditure Breakdown'!$Q$6:$Q$184, 'Expenditure Breakdown'!$W$6:$W$184, "&gt;="&amp;EA1,'Expenditure Breakdown'!$W$6:$W$184, "&lt;"&amp;EB1)</f>
        <v>0</v>
      </c>
      <c r="EB11" s="214">
        <f>SUMIFS('Expenditure Breakdown'!$Q$6:$Q$184, 'Expenditure Breakdown'!$W$6:$W$184, "&gt;="&amp;EB1,'Expenditure Breakdown'!$W$6:$W$184, "&lt;"&amp;EC1)</f>
        <v>0</v>
      </c>
      <c r="EC11" s="214">
        <f>SUMIFS('Expenditure Breakdown'!$Q$6:$Q$184, 'Expenditure Breakdown'!$W$6:$W$184, "&gt;="&amp;EC1,'Expenditure Breakdown'!$W$6:$W$184, "&lt;"&amp;ED1)</f>
        <v>0</v>
      </c>
      <c r="ED11" s="214">
        <f>SUMIFS('Expenditure Breakdown'!$Q$6:$Q$184, 'Expenditure Breakdown'!$W$6:$W$184, "&gt;="&amp;ED1,'Expenditure Breakdown'!$W$6:$W$184, "&lt;"&amp;EE1)</f>
        <v>0</v>
      </c>
      <c r="EE11" s="214">
        <f>SUMIFS('Expenditure Breakdown'!$Q$6:$Q$184, 'Expenditure Breakdown'!$W$6:$W$184, "&gt;="&amp;EE1,'Expenditure Breakdown'!$W$6:$W$184, "&lt;"&amp;EF1)</f>
        <v>0</v>
      </c>
      <c r="EF11" s="214">
        <f>SUMIFS('Expenditure Breakdown'!$Q$6:$Q$184, 'Expenditure Breakdown'!$W$6:$W$184, "&gt;="&amp;EF1,'Expenditure Breakdown'!$W$6:$W$184, "&lt;"&amp;EG1)</f>
        <v>0</v>
      </c>
      <c r="EG11" s="214">
        <f>SUMIFS('Expenditure Breakdown'!$Q$6:$Q$184, 'Expenditure Breakdown'!$W$6:$W$184, "&gt;="&amp;EG1,'Expenditure Breakdown'!$W$6:$W$184, "&lt;"&amp;EH1)</f>
        <v>0</v>
      </c>
      <c r="EH11" s="214">
        <f>SUMIFS('Expenditure Breakdown'!$Q$6:$Q$184, 'Expenditure Breakdown'!$W$6:$W$184, "&gt;="&amp;EH1,'Expenditure Breakdown'!$W$6:$W$184, "&lt;"&amp;EI1)</f>
        <v>0</v>
      </c>
      <c r="EI11" s="214">
        <f>SUMIFS('Expenditure Breakdown'!$Q$6:$Q$184, 'Expenditure Breakdown'!$W$6:$W$184, "&gt;="&amp;EI1,'Expenditure Breakdown'!$W$6:$W$184, "&lt;"&amp;EJ1)</f>
        <v>0</v>
      </c>
      <c r="EJ11" s="214">
        <f>SUMIFS('Expenditure Breakdown'!$Q$6:$Q$184, 'Expenditure Breakdown'!$W$6:$W$184, "&gt;="&amp;EJ1,'Expenditure Breakdown'!$W$6:$W$184, "&lt;"&amp;EK1)</f>
        <v>0</v>
      </c>
      <c r="EK11" s="214">
        <f>SUMIFS('Expenditure Breakdown'!$Q$6:$Q$184, 'Expenditure Breakdown'!$W$6:$W$184, "&gt;="&amp;EK1,'Expenditure Breakdown'!$W$6:$W$184, "&lt;"&amp;EL1)</f>
        <v>0</v>
      </c>
      <c r="EL11" s="214">
        <f>SUMIFS('Expenditure Breakdown'!$Q$6:$Q$184, 'Expenditure Breakdown'!$W$6:$W$184, "&gt;="&amp;EL1,'Expenditure Breakdown'!$W$6:$W$184, "&lt;"&amp;EM1)</f>
        <v>0</v>
      </c>
      <c r="EM11" s="214">
        <f>SUMIFS('Expenditure Breakdown'!$Q$6:$Q$184, 'Expenditure Breakdown'!$W$6:$W$184, "&gt;="&amp;EM1,'Expenditure Breakdown'!$W$6:$W$184, "&lt;"&amp;EN1)</f>
        <v>0</v>
      </c>
      <c r="EN11" s="214">
        <f>SUMIFS('Expenditure Breakdown'!$Q$6:$Q$184, 'Expenditure Breakdown'!$W$6:$W$184, "&gt;="&amp;EN1,'Expenditure Breakdown'!$W$6:$W$184, "&lt;"&amp;EO1)</f>
        <v>0</v>
      </c>
      <c r="EO11" s="214">
        <f>SUMIFS('Expenditure Breakdown'!$Q$6:$Q$184, 'Expenditure Breakdown'!$W$6:$W$184, "&gt;="&amp;EO1,'Expenditure Breakdown'!$W$6:$W$184, "&lt;"&amp;EP1)</f>
        <v>0</v>
      </c>
      <c r="EP11" s="214">
        <f>SUMIFS('Expenditure Breakdown'!$Q$6:$Q$184, 'Expenditure Breakdown'!$W$6:$W$184, "&gt;="&amp;EP1,'Expenditure Breakdown'!$W$6:$W$184, "&lt;"&amp;EQ1)</f>
        <v>0</v>
      </c>
      <c r="EQ11" s="214">
        <f>SUMIFS('Expenditure Breakdown'!$Q$6:$Q$184, 'Expenditure Breakdown'!$W$6:$W$184, "&gt;="&amp;EQ1,'Expenditure Breakdown'!$W$6:$W$184, "&lt;"&amp;ER1)</f>
        <v>0</v>
      </c>
      <c r="ER11" s="214">
        <f>SUMIFS('Expenditure Breakdown'!$Q$6:$Q$184, 'Expenditure Breakdown'!$W$6:$W$184, "&gt;="&amp;ER1,'Expenditure Breakdown'!$W$6:$W$184, "&lt;"&amp;ES1)</f>
        <v>0</v>
      </c>
      <c r="ES11" s="214">
        <f>SUMIFS('Expenditure Breakdown'!$Q$6:$Q$184, 'Expenditure Breakdown'!$W$6:$W$184, "&gt;="&amp;ES1,'Expenditure Breakdown'!$W$6:$W$184, "&lt;"&amp;ET1)</f>
        <v>0</v>
      </c>
      <c r="ET11" s="214">
        <f>SUMIFS('Expenditure Breakdown'!$Q$6:$Q$184, 'Expenditure Breakdown'!$W$6:$W$184, "&gt;="&amp;ET1,'Expenditure Breakdown'!$W$6:$W$184, "&lt;"&amp;EU1)</f>
        <v>0</v>
      </c>
      <c r="EU11" s="214">
        <f>SUMIFS('Expenditure Breakdown'!$Q$6:$Q$184, 'Expenditure Breakdown'!$W$6:$W$184, "&gt;="&amp;EU1,'Expenditure Breakdown'!$W$6:$W$184, "&lt;"&amp;EV1)</f>
        <v>0</v>
      </c>
      <c r="EV11" s="214">
        <f>SUMIFS('Expenditure Breakdown'!$Q$6:$Q$184, 'Expenditure Breakdown'!$W$6:$W$184, "&gt;="&amp;EV1,'Expenditure Breakdown'!$W$6:$W$184, "&lt;"&amp;EW1)</f>
        <v>0</v>
      </c>
      <c r="EW11" s="214">
        <f>SUMIFS('Expenditure Breakdown'!$Q$6:$Q$184, 'Expenditure Breakdown'!$W$6:$W$184, "&gt;="&amp;EW1,'Expenditure Breakdown'!$W$6:$W$184, "&lt;"&amp;EX1)</f>
        <v>0</v>
      </c>
      <c r="EX11" s="214">
        <f>SUMIFS('Expenditure Breakdown'!$Q$6:$Q$184, 'Expenditure Breakdown'!$W$6:$W$184, "&gt;="&amp;EX1,'Expenditure Breakdown'!$W$6:$W$184, "&lt;"&amp;EY1)</f>
        <v>0</v>
      </c>
      <c r="EY11" s="214">
        <f>SUMIFS('Expenditure Breakdown'!$Q$6:$Q$184, 'Expenditure Breakdown'!$W$6:$W$184, "&gt;="&amp;EY1,'Expenditure Breakdown'!$W$6:$W$184, "&lt;"&amp;EZ1)</f>
        <v>0</v>
      </c>
      <c r="EZ11" s="214">
        <f>SUMIFS('Expenditure Breakdown'!$Q$6:$Q$184, 'Expenditure Breakdown'!$W$6:$W$184, "&gt;="&amp;EZ1,'Expenditure Breakdown'!$W$6:$W$184, "&lt;"&amp;FA1)</f>
        <v>0</v>
      </c>
      <c r="FA11" s="214">
        <f>SUMIFS('Expenditure Breakdown'!$Q$6:$Q$184, 'Expenditure Breakdown'!$W$6:$W$184, "&gt;="&amp;FA1,'Expenditure Breakdown'!$W$6:$W$184, "&lt;"&amp;FB1)</f>
        <v>0</v>
      </c>
      <c r="FB11" s="214">
        <f>SUMIFS('Expenditure Breakdown'!$Q$6:$Q$184, 'Expenditure Breakdown'!$W$6:$W$184, "&gt;="&amp;FB1,'Expenditure Breakdown'!$W$6:$W$184, "&lt;"&amp;FC1)</f>
        <v>0</v>
      </c>
      <c r="FC11" s="214">
        <f>SUMIFS('Expenditure Breakdown'!$Q$6:$Q$184, 'Expenditure Breakdown'!$W$6:$W$184, "&gt;="&amp;FC1,'Expenditure Breakdown'!$W$6:$W$184, "&lt;"&amp;FD1)</f>
        <v>0</v>
      </c>
      <c r="FD11" s="214">
        <f>SUMIFS('Expenditure Breakdown'!$Q$6:$Q$184, 'Expenditure Breakdown'!$W$6:$W$184, "&gt;="&amp;FD1,'Expenditure Breakdown'!$W$6:$W$184, "&lt;"&amp;FE1)</f>
        <v>0</v>
      </c>
      <c r="FE11" s="214">
        <f>SUMIFS('Expenditure Breakdown'!$Q$6:$Q$184, 'Expenditure Breakdown'!$W$6:$W$184, "&gt;="&amp;FE1,'Expenditure Breakdown'!$W$6:$W$184, "&lt;"&amp;FF1)</f>
        <v>0</v>
      </c>
      <c r="FF11" s="214">
        <f>SUMIFS('Expenditure Breakdown'!$Q$6:$Q$184, 'Expenditure Breakdown'!$W$6:$W$184, "&gt;="&amp;FF1,'Expenditure Breakdown'!$W$6:$W$184, "&lt;"&amp;FG1)</f>
        <v>0</v>
      </c>
      <c r="FG11" s="214">
        <f>SUMIFS('Expenditure Breakdown'!$Q$6:$Q$184, 'Expenditure Breakdown'!$W$6:$W$184, "&gt;="&amp;FG1,'Expenditure Breakdown'!$W$6:$W$184, "&lt;"&amp;FH1)</f>
        <v>0</v>
      </c>
      <c r="FH11" s="214">
        <f>SUMIFS('Expenditure Breakdown'!$Q$6:$Q$184, 'Expenditure Breakdown'!$W$6:$W$184, "&gt;="&amp;FH1,'Expenditure Breakdown'!$W$6:$W$184, "&lt;"&amp;FI1)</f>
        <v>0</v>
      </c>
      <c r="FI11" s="214">
        <f>SUMIFS('Expenditure Breakdown'!$Q$6:$Q$184, 'Expenditure Breakdown'!$W$6:$W$184, "&gt;="&amp;FI1,'Expenditure Breakdown'!$W$6:$W$184, "&lt;"&amp;FJ1)</f>
        <v>0</v>
      </c>
      <c r="FJ11" s="214">
        <f>SUMIFS('Expenditure Breakdown'!$Q$6:$Q$184, 'Expenditure Breakdown'!$W$6:$W$184, "&gt;="&amp;FJ1,'Expenditure Breakdown'!$W$6:$W$184, "&lt;"&amp;FK1)</f>
        <v>0</v>
      </c>
      <c r="FK11" s="214">
        <f>SUMIFS('Expenditure Breakdown'!$Q$6:$Q$184, 'Expenditure Breakdown'!$W$6:$W$184, "&gt;="&amp;FK1,'Expenditure Breakdown'!$W$6:$W$184, "&lt;"&amp;FL1)</f>
        <v>0</v>
      </c>
      <c r="FL11" s="214">
        <f>SUMIFS('Expenditure Breakdown'!$Q$6:$Q$184, 'Expenditure Breakdown'!$W$6:$W$184, "&gt;="&amp;FL1,'Expenditure Breakdown'!$W$6:$W$184, "&lt;"&amp;FM1)</f>
        <v>0</v>
      </c>
      <c r="FM11" s="214">
        <f>SUMIFS('Expenditure Breakdown'!$Q$6:$Q$184, 'Expenditure Breakdown'!$W$6:$W$184, "&gt;="&amp;FM1,'Expenditure Breakdown'!$W$6:$W$184, "&lt;"&amp;FN1)</f>
        <v>0</v>
      </c>
      <c r="FN11" s="214">
        <f>SUMIFS('Expenditure Breakdown'!$Q$6:$Q$184, 'Expenditure Breakdown'!$W$6:$W$184, "&gt;="&amp;FN1,'Expenditure Breakdown'!$W$6:$W$184, "&lt;"&amp;FO1)</f>
        <v>0</v>
      </c>
      <c r="FO11" s="214">
        <f>SUMIFS('Expenditure Breakdown'!$Q$6:$Q$184, 'Expenditure Breakdown'!$W$6:$W$184, "&gt;="&amp;FO1,'Expenditure Breakdown'!$W$6:$W$184, "&lt;"&amp;FP1)</f>
        <v>0</v>
      </c>
      <c r="FP11" s="214">
        <f>SUMIFS('Expenditure Breakdown'!$Q$6:$Q$184, 'Expenditure Breakdown'!$W$6:$W$184, "&gt;="&amp;FP1,'Expenditure Breakdown'!$W$6:$W$184, "&lt;"&amp;FQ1)</f>
        <v>0</v>
      </c>
      <c r="FQ11" s="214">
        <f>SUMIFS('Expenditure Breakdown'!$Q$6:$Q$184, 'Expenditure Breakdown'!$W$6:$W$184, "&gt;="&amp;FQ1,'Expenditure Breakdown'!$W$6:$W$184, "&lt;"&amp;FR1)</f>
        <v>0</v>
      </c>
      <c r="FR11" s="214">
        <f>SUMIFS('Expenditure Breakdown'!$Q$6:$Q$184, 'Expenditure Breakdown'!$W$6:$W$184, "&gt;="&amp;FR1,'Expenditure Breakdown'!$W$6:$W$184, "&lt;"&amp;FS1)</f>
        <v>0</v>
      </c>
      <c r="FS11" s="214">
        <f>SUMIFS('Expenditure Breakdown'!$Q$6:$Q$184, 'Expenditure Breakdown'!$W$6:$W$184, "&gt;="&amp;FS1,'Expenditure Breakdown'!$W$6:$W$184, "&lt;"&amp;FT1)</f>
        <v>0</v>
      </c>
      <c r="FT11" s="214">
        <f>SUMIFS('Expenditure Breakdown'!$Q$6:$Q$184, 'Expenditure Breakdown'!$W$6:$W$184, "&gt;="&amp;FT1,'Expenditure Breakdown'!$W$6:$W$184, "&lt;"&amp;FU1)</f>
        <v>0</v>
      </c>
      <c r="FU11" s="214">
        <f>SUMIFS('Expenditure Breakdown'!$Q$6:$Q$184, 'Expenditure Breakdown'!$W$6:$W$184, "&gt;="&amp;FU1,'Expenditure Breakdown'!$W$6:$W$184, "&lt;"&amp;FV1)</f>
        <v>0</v>
      </c>
      <c r="FV11" s="214">
        <f>SUMIFS('Expenditure Breakdown'!$Q$6:$Q$184, 'Expenditure Breakdown'!$W$6:$W$184, "&gt;="&amp;FV1,'Expenditure Breakdown'!$W$6:$W$184, "&lt;"&amp;FW1)</f>
        <v>0</v>
      </c>
      <c r="FW11" s="214">
        <f>SUMIFS('Expenditure Breakdown'!$Q$6:$Q$184, 'Expenditure Breakdown'!$W$6:$W$184, "&gt;="&amp;FW1,'Expenditure Breakdown'!$W$6:$W$184, "&lt;"&amp;FX1)</f>
        <v>0</v>
      </c>
      <c r="FX11" s="214">
        <f>SUMIFS('Expenditure Breakdown'!$Q$6:$Q$184, 'Expenditure Breakdown'!$W$6:$W$184, "&gt;="&amp;FX1,'Expenditure Breakdown'!$W$6:$W$184, "&lt;"&amp;FY1)</f>
        <v>0</v>
      </c>
      <c r="FY11" s="214">
        <f>SUMIFS('Expenditure Breakdown'!$Q$6:$Q$184, 'Expenditure Breakdown'!$W$6:$W$184, "&gt;="&amp;FY1,'Expenditure Breakdown'!$W$6:$W$184, "&lt;"&amp;FZ1)</f>
        <v>0</v>
      </c>
      <c r="FZ11" s="214">
        <f>SUMIFS('Expenditure Breakdown'!$Q$6:$Q$184, 'Expenditure Breakdown'!$W$6:$W$184, "&gt;="&amp;FZ1,'Expenditure Breakdown'!$W$6:$W$184, "&lt;"&amp;GA1)</f>
        <v>0</v>
      </c>
      <c r="GA11" s="214">
        <f>SUMIFS('Expenditure Breakdown'!$Q$6:$Q$184, 'Expenditure Breakdown'!$W$6:$W$184, "&gt;="&amp;GA1,'Expenditure Breakdown'!$W$6:$W$184, "&lt;"&amp;GB1)</f>
        <v>0</v>
      </c>
      <c r="GB11" s="214">
        <f>SUMIFS('Expenditure Breakdown'!$Q$6:$Q$184, 'Expenditure Breakdown'!$W$6:$W$184, "&gt;="&amp;GB1,'Expenditure Breakdown'!$W$6:$W$184, "&lt;"&amp;GC1)</f>
        <v>0</v>
      </c>
      <c r="GC11" s="214">
        <f>SUMIFS('Expenditure Breakdown'!$Q$6:$Q$184, 'Expenditure Breakdown'!$W$6:$W$184, "&gt;="&amp;GC1,'Expenditure Breakdown'!$W$6:$W$184, "&lt;"&amp;GD1)</f>
        <v>0</v>
      </c>
      <c r="GD11" s="214">
        <f>SUMIFS('Expenditure Breakdown'!$Q$6:$Q$184, 'Expenditure Breakdown'!$W$6:$W$184, "&gt;="&amp;GD1,'Expenditure Breakdown'!$W$6:$W$184, "&lt;"&amp;GE1)</f>
        <v>0</v>
      </c>
      <c r="GE11" s="214">
        <f>SUMIFS('Expenditure Breakdown'!$Q$6:$Q$184, 'Expenditure Breakdown'!$W$6:$W$184, "&gt;="&amp;GE1,'Expenditure Breakdown'!$W$6:$W$184, "&lt;"&amp;GF1)</f>
        <v>0</v>
      </c>
      <c r="GF11" s="214">
        <f>SUMIFS('Expenditure Breakdown'!$Q$6:$Q$184, 'Expenditure Breakdown'!$W$6:$W$184, "&gt;="&amp;GF1,'Expenditure Breakdown'!$W$6:$W$184, "&lt;"&amp;GG1)</f>
        <v>0</v>
      </c>
      <c r="GG11" s="214">
        <f>SUMIFS('Expenditure Breakdown'!$Q$6:$Q$184, 'Expenditure Breakdown'!$W$6:$W$184, "&gt;="&amp;GG1,'Expenditure Breakdown'!$W$6:$W$184, "&lt;"&amp;GH1)</f>
        <v>0</v>
      </c>
      <c r="GH11" s="214">
        <f>SUMIFS('Expenditure Breakdown'!$Q$6:$Q$184, 'Expenditure Breakdown'!$W$6:$W$184, "&gt;="&amp;GH1,'Expenditure Breakdown'!$W$6:$W$184, "&lt;"&amp;GI1)</f>
        <v>0</v>
      </c>
      <c r="GI11" s="214">
        <f>SUMIFS('Expenditure Breakdown'!$Q$6:$Q$184, 'Expenditure Breakdown'!$W$6:$W$184, "&gt;="&amp;GI1,'Expenditure Breakdown'!$W$6:$W$184, "&lt;"&amp;GJ1)</f>
        <v>0</v>
      </c>
      <c r="GJ11" s="214">
        <f>SUMIFS('Expenditure Breakdown'!$Q$6:$Q$184, 'Expenditure Breakdown'!$W$6:$W$184, "&gt;="&amp;GJ1,'Expenditure Breakdown'!$W$6:$W$184, "&lt;"&amp;GK1)</f>
        <v>0</v>
      </c>
      <c r="GK11" s="214">
        <f>SUMIFS('Expenditure Breakdown'!$Q$6:$Q$184, 'Expenditure Breakdown'!$W$6:$W$184, "&gt;="&amp;GK1,'Expenditure Breakdown'!$W$6:$W$184, "&lt;"&amp;GL1)</f>
        <v>0</v>
      </c>
      <c r="GL11" s="214">
        <f>SUMIFS('Expenditure Breakdown'!$Q$6:$Q$184, 'Expenditure Breakdown'!$W$6:$W$184, "&gt;="&amp;GL1,'Expenditure Breakdown'!$W$6:$W$184, "&lt;"&amp;GM1)</f>
        <v>0</v>
      </c>
      <c r="GM11" s="214">
        <f>SUMIFS('Expenditure Breakdown'!$Q$6:$Q$184, 'Expenditure Breakdown'!$W$6:$W$184, "&gt;="&amp;GM1,'Expenditure Breakdown'!$W$6:$W$184, "&lt;"&amp;GN1)</f>
        <v>0</v>
      </c>
      <c r="GN11" s="214">
        <f>SUMIFS('Expenditure Breakdown'!$Q$6:$Q$184, 'Expenditure Breakdown'!$W$6:$W$184, "&gt;="&amp;GN1,'Expenditure Breakdown'!$W$6:$W$184, "&lt;"&amp;GO1)</f>
        <v>0</v>
      </c>
      <c r="GO11" s="214">
        <f>SUMIFS('Expenditure Breakdown'!$Q$6:$Q$184, 'Expenditure Breakdown'!$W$6:$W$184, "&gt;="&amp;GO1,'Expenditure Breakdown'!$W$6:$W$184, "&lt;"&amp;GP1)</f>
        <v>0</v>
      </c>
      <c r="GP11" s="214">
        <f>SUMIFS('Expenditure Breakdown'!$Q$6:$Q$184, 'Expenditure Breakdown'!$W$6:$W$184, "&gt;="&amp;GP1,'Expenditure Breakdown'!$W$6:$W$184, "&lt;"&amp;GQ1)</f>
        <v>0</v>
      </c>
      <c r="GQ11" s="214">
        <f>SUMIFS('Expenditure Breakdown'!$Q$6:$Q$184, 'Expenditure Breakdown'!$W$6:$W$184, "&gt;="&amp;GQ1,'Expenditure Breakdown'!$W$6:$W$184, "&lt;"&amp;GR1)</f>
        <v>0</v>
      </c>
      <c r="GR11" s="214">
        <f>SUMIFS('Expenditure Breakdown'!$Q$6:$Q$184, 'Expenditure Breakdown'!$W$6:$W$184, "&gt;="&amp;GR1,'Expenditure Breakdown'!$W$6:$W$184, "&lt;"&amp;GS1)</f>
        <v>0</v>
      </c>
      <c r="GS11" s="214">
        <f>SUMIFS('Expenditure Breakdown'!$Q$6:$Q$184, 'Expenditure Breakdown'!$W$6:$W$184, "&gt;="&amp;GS1,'Expenditure Breakdown'!$W$6:$W$184, "&lt;"&amp;GT1)</f>
        <v>0</v>
      </c>
      <c r="GT11" s="214">
        <f>SUMIFS('Expenditure Breakdown'!$Q$6:$Q$184, 'Expenditure Breakdown'!$W$6:$W$184, "&gt;="&amp;GT1,'Expenditure Breakdown'!$W$6:$W$184, "&lt;"&amp;GU1)</f>
        <v>0</v>
      </c>
      <c r="GU11" s="214">
        <f>SUMIFS('Expenditure Breakdown'!$Q$6:$Q$184, 'Expenditure Breakdown'!$W$6:$W$184, "&gt;="&amp;GU1,'Expenditure Breakdown'!$W$6:$W$184, "&lt;"&amp;GV1)</f>
        <v>0</v>
      </c>
      <c r="GV11" s="214">
        <f>SUMIFS('Expenditure Breakdown'!$Q$6:$Q$184, 'Expenditure Breakdown'!$W$6:$W$184, "&gt;="&amp;GV1,'Expenditure Breakdown'!$W$6:$W$184, "&lt;"&amp;GW1)</f>
        <v>0</v>
      </c>
      <c r="GW11" s="214">
        <f>SUMIFS('Expenditure Breakdown'!$Q$6:$Q$184, 'Expenditure Breakdown'!$W$6:$W$184, "&gt;="&amp;GW1,'Expenditure Breakdown'!$W$6:$W$184, "&lt;"&amp;GX1)</f>
        <v>0</v>
      </c>
      <c r="GX11" s="214">
        <f>SUMIFS('Expenditure Breakdown'!$Q$6:$Q$184, 'Expenditure Breakdown'!$W$6:$W$184, "&gt;="&amp;GX1,'Expenditure Breakdown'!$W$6:$W$184, "&lt;"&amp;GY1)</f>
        <v>0</v>
      </c>
      <c r="GY11" s="214">
        <f>SUMIFS('Expenditure Breakdown'!$Q$6:$Q$184, 'Expenditure Breakdown'!$W$6:$W$184, "&gt;="&amp;GY1,'Expenditure Breakdown'!$W$6:$W$184, "&lt;"&amp;GZ1)</f>
        <v>0</v>
      </c>
      <c r="GZ11" s="214">
        <f>SUMIFS('Expenditure Breakdown'!$Q$6:$Q$184, 'Expenditure Breakdown'!$W$6:$W$184, "&gt;="&amp;GZ1,'Expenditure Breakdown'!$W$6:$W$184, "&lt;"&amp;HA1)</f>
        <v>0</v>
      </c>
      <c r="HA11" s="214">
        <f>SUMIFS('Expenditure Breakdown'!$Q$6:$Q$184, 'Expenditure Breakdown'!$W$6:$W$184, "&gt;="&amp;HA1,'Expenditure Breakdown'!$W$6:$W$184, "&lt;"&amp;HB1)</f>
        <v>0</v>
      </c>
      <c r="HB11" s="214">
        <f>SUMIFS('Expenditure Breakdown'!$Q$6:$Q$184, 'Expenditure Breakdown'!$W$6:$W$184, "&gt;="&amp;HB1,'Expenditure Breakdown'!$W$6:$W$184, "&lt;"&amp;HC1)</f>
        <v>0</v>
      </c>
      <c r="HC11" s="214">
        <f>SUMIFS('Expenditure Breakdown'!$Q$6:$Q$184, 'Expenditure Breakdown'!$W$6:$W$184, "&gt;="&amp;HC1,'Expenditure Breakdown'!$W$6:$W$184, "&lt;"&amp;HD1)</f>
        <v>0</v>
      </c>
      <c r="HD11" s="214">
        <f>SUMIFS('Expenditure Breakdown'!$Q$6:$Q$184, 'Expenditure Breakdown'!$W$6:$W$184, "&gt;="&amp;HD1,'Expenditure Breakdown'!$W$6:$W$184, "&lt;"&amp;HE1)</f>
        <v>0</v>
      </c>
      <c r="HE11" s="214">
        <f>SUMIFS('Expenditure Breakdown'!$Q$6:$Q$184, 'Expenditure Breakdown'!$W$6:$W$184, "&gt;="&amp;HE1,'Expenditure Breakdown'!$W$6:$W$184, "&lt;"&amp;HF1)</f>
        <v>0</v>
      </c>
      <c r="HF11" s="214">
        <f>SUMIFS('Expenditure Breakdown'!$Q$6:$Q$184, 'Expenditure Breakdown'!$W$6:$W$184, "&gt;="&amp;HF1,'Expenditure Breakdown'!$W$6:$W$184, "&lt;"&amp;HG1)</f>
        <v>0</v>
      </c>
      <c r="HG11" s="214">
        <f>SUMIFS('Expenditure Breakdown'!$Q$6:$Q$184, 'Expenditure Breakdown'!$W$6:$W$184, "&gt;="&amp;HG1,'Expenditure Breakdown'!$W$6:$W$184, "&lt;"&amp;HH1)</f>
        <v>0</v>
      </c>
      <c r="HH11" s="214">
        <f>SUMIFS('Expenditure Breakdown'!$Q$6:$Q$184, 'Expenditure Breakdown'!$W$6:$W$184, "&gt;="&amp;HH1,'Expenditure Breakdown'!$W$6:$W$184, "&lt;"&amp;HI1)</f>
        <v>0</v>
      </c>
      <c r="HI11" s="214">
        <f>SUMIFS('Expenditure Breakdown'!$Q$6:$Q$184, 'Expenditure Breakdown'!$W$6:$W$184, "&gt;="&amp;HI1,'Expenditure Breakdown'!$W$6:$W$184, "&lt;"&amp;HJ1)</f>
        <v>0</v>
      </c>
      <c r="HJ11" s="214">
        <f>SUMIFS('Expenditure Breakdown'!$Q$6:$Q$184, 'Expenditure Breakdown'!$W$6:$W$184, "&gt;="&amp;HJ1,'Expenditure Breakdown'!$W$6:$W$184, "&lt;"&amp;HK1)</f>
        <v>0</v>
      </c>
      <c r="HK11" s="214">
        <f>SUMIFS('Expenditure Breakdown'!$Q$6:$Q$184, 'Expenditure Breakdown'!$W$6:$W$184, "&gt;="&amp;HK1,'Expenditure Breakdown'!$W$6:$W$184, "&lt;"&amp;HL1)</f>
        <v>0</v>
      </c>
      <c r="HL11" s="214">
        <f>SUMIFS('Expenditure Breakdown'!$Q$6:$Q$184, 'Expenditure Breakdown'!$W$6:$W$184, "&gt;="&amp;HL1,'Expenditure Breakdown'!$W$6:$W$184, "&lt;"&amp;HM1)</f>
        <v>0</v>
      </c>
      <c r="HM11" s="214">
        <f>SUMIFS('Expenditure Breakdown'!$Q$6:$Q$184, 'Expenditure Breakdown'!$W$6:$W$184, "&gt;="&amp;HM1,'Expenditure Breakdown'!$W$6:$W$184, "&lt;"&amp;HN1)</f>
        <v>0</v>
      </c>
      <c r="HN11" s="214">
        <f>SUMIFS('Expenditure Breakdown'!$Q$6:$Q$184, 'Expenditure Breakdown'!$W$6:$W$184, "&gt;="&amp;HN1,'Expenditure Breakdown'!$W$6:$W$184, "&lt;"&amp;HO1)</f>
        <v>0</v>
      </c>
      <c r="HO11" s="214">
        <f>SUMIFS('Expenditure Breakdown'!$Q$6:$Q$184, 'Expenditure Breakdown'!$W$6:$W$184, "&gt;="&amp;HO1,'Expenditure Breakdown'!$W$6:$W$184, "&lt;"&amp;HP1)</f>
        <v>0</v>
      </c>
      <c r="HP11" s="214">
        <f>SUMIFS('Expenditure Breakdown'!$Q$6:$Q$184, 'Expenditure Breakdown'!$W$6:$W$184, "&gt;="&amp;HP1,'Expenditure Breakdown'!$W$6:$W$184, "&lt;"&amp;HQ1)</f>
        <v>0</v>
      </c>
      <c r="HQ11" s="214">
        <f>SUMIFS('Expenditure Breakdown'!$Q$6:$Q$184, 'Expenditure Breakdown'!$W$6:$W$184, "&gt;="&amp;HQ1,'Expenditure Breakdown'!$W$6:$W$184, "&lt;"&amp;HR1)</f>
        <v>0</v>
      </c>
      <c r="HR11" s="214">
        <f>SUMIFS('Expenditure Breakdown'!$Q$6:$Q$184, 'Expenditure Breakdown'!$W$6:$W$184, "&gt;="&amp;HR1,'Expenditure Breakdown'!$W$6:$W$184, "&lt;"&amp;HS1)</f>
        <v>0</v>
      </c>
      <c r="HS11" s="214">
        <f>SUMIFS('Expenditure Breakdown'!$Q$6:$Q$184, 'Expenditure Breakdown'!$W$6:$W$184, "&gt;="&amp;HS1,'Expenditure Breakdown'!$W$6:$W$184, "&lt;"&amp;HT1)</f>
        <v>0</v>
      </c>
      <c r="HT11" s="214">
        <f>SUMIFS('Expenditure Breakdown'!$Q$6:$Q$184, 'Expenditure Breakdown'!$W$6:$W$184, "&gt;="&amp;HT1,'Expenditure Breakdown'!$W$6:$W$184, "&lt;"&amp;HU1)</f>
        <v>0</v>
      </c>
      <c r="HU11" s="214">
        <f>SUMIFS('Expenditure Breakdown'!$Q$6:$Q$184, 'Expenditure Breakdown'!$W$6:$W$184, "&gt;="&amp;HU1,'Expenditure Breakdown'!$W$6:$W$184, "&lt;"&amp;HV1)</f>
        <v>0</v>
      </c>
      <c r="HV11" s="214">
        <f>SUMIFS('Expenditure Breakdown'!$Q$6:$Q$184, 'Expenditure Breakdown'!$W$6:$W$184, "&gt;="&amp;HV1,'Expenditure Breakdown'!$W$6:$W$184, "&lt;"&amp;HW1)</f>
        <v>0</v>
      </c>
      <c r="HW11" s="214">
        <f>SUMIFS('Expenditure Breakdown'!$Q$6:$Q$184, 'Expenditure Breakdown'!$W$6:$W$184, "&gt;="&amp;HW1,'Expenditure Breakdown'!$W$6:$W$184, "&lt;"&amp;HX1)</f>
        <v>0</v>
      </c>
      <c r="HX11" s="214">
        <f>SUMIFS('Expenditure Breakdown'!$Q$6:$Q$184, 'Expenditure Breakdown'!$W$6:$W$184, "&gt;="&amp;HX1,'Expenditure Breakdown'!$W$6:$W$184, "&lt;"&amp;HY1)</f>
        <v>0</v>
      </c>
      <c r="HY11" s="214">
        <f>SUMIFS('Expenditure Breakdown'!$Q$6:$Q$184, 'Expenditure Breakdown'!$W$6:$W$184, "&gt;="&amp;HY1,'Expenditure Breakdown'!$W$6:$W$184, "&lt;"&amp;HZ1)</f>
        <v>0</v>
      </c>
      <c r="HZ11" s="214">
        <f>SUMIFS('Expenditure Breakdown'!$Q$6:$Q$184, 'Expenditure Breakdown'!$W$6:$W$184, "&gt;="&amp;HZ1,'Expenditure Breakdown'!$W$6:$W$184, "&lt;"&amp;IA1)</f>
        <v>0</v>
      </c>
      <c r="IA11" s="214">
        <f>SUMIFS('Expenditure Breakdown'!$Q$6:$Q$184, 'Expenditure Breakdown'!$W$6:$W$184, "&gt;="&amp;IA1,'Expenditure Breakdown'!$W$6:$W$184, "&lt;"&amp;IB1)</f>
        <v>0</v>
      </c>
      <c r="IB11" s="214">
        <f>SUMIFS('Expenditure Breakdown'!$Q$6:$Q$184, 'Expenditure Breakdown'!$W$6:$W$184, "&gt;="&amp;IB1,'Expenditure Breakdown'!$W$6:$W$184, "&lt;"&amp;IC1)</f>
        <v>0</v>
      </c>
      <c r="IC11" s="214">
        <f>SUMIFS('Expenditure Breakdown'!$Q$6:$Q$184, 'Expenditure Breakdown'!$W$6:$W$184, "&gt;="&amp;IC1,'Expenditure Breakdown'!$W$6:$W$184, "&lt;"&amp;ID1)</f>
        <v>0</v>
      </c>
      <c r="ID11" s="214">
        <f>SUMIFS('Expenditure Breakdown'!$Q$6:$Q$184, 'Expenditure Breakdown'!$W$6:$W$184, "&gt;="&amp;ID1,'Expenditure Breakdown'!$W$6:$W$184, "&lt;"&amp;IE1)</f>
        <v>0</v>
      </c>
      <c r="IE11" s="214">
        <f>SUMIFS('Expenditure Breakdown'!$Q$6:$Q$184, 'Expenditure Breakdown'!$W$6:$W$184, "&gt;="&amp;IE1,'Expenditure Breakdown'!$W$6:$W$184, "&lt;"&amp;IF1)</f>
        <v>0</v>
      </c>
      <c r="IF11" s="214">
        <f>SUMIFS('Expenditure Breakdown'!$Q$6:$Q$184, 'Expenditure Breakdown'!$W$6:$W$184, "&gt;="&amp;IF1,'Expenditure Breakdown'!$W$6:$W$184, "&lt;"&amp;IG1)</f>
        <v>0</v>
      </c>
      <c r="IG11" s="214">
        <f>SUMIFS('Expenditure Breakdown'!$Q$6:$Q$184, 'Expenditure Breakdown'!$W$6:$W$184, "&gt;="&amp;IG1,'Expenditure Breakdown'!$W$6:$W$184, "&lt;"&amp;IH1)</f>
        <v>0</v>
      </c>
      <c r="IH11" s="214">
        <f>SUMIFS('Expenditure Breakdown'!$Q$6:$Q$184, 'Expenditure Breakdown'!$W$6:$W$184, "&gt;="&amp;IH1,'Expenditure Breakdown'!$W$6:$W$184, "&lt;"&amp;II1)</f>
        <v>0</v>
      </c>
      <c r="II11" s="214">
        <f>SUMIFS('Expenditure Breakdown'!$Q$6:$Q$184, 'Expenditure Breakdown'!$W$6:$W$184, "&gt;="&amp;II1,'Expenditure Breakdown'!$W$6:$W$184, "&lt;"&amp;IJ1)</f>
        <v>0</v>
      </c>
      <c r="IJ11" s="214">
        <f>SUMIFS('Expenditure Breakdown'!$Q$6:$Q$184, 'Expenditure Breakdown'!$W$6:$W$184, "&gt;="&amp;IJ1,'Expenditure Breakdown'!$W$6:$W$184, "&lt;"&amp;IK1)</f>
        <v>0</v>
      </c>
      <c r="IK11" s="214">
        <f>SUMIFS('Expenditure Breakdown'!$Q$6:$Q$184, 'Expenditure Breakdown'!$W$6:$W$184, "&gt;="&amp;IK1,'Expenditure Breakdown'!$W$6:$W$184, "&lt;"&amp;IL1)</f>
        <v>0</v>
      </c>
      <c r="IL11" s="214">
        <f>SUMIFS('Expenditure Breakdown'!$Q$6:$Q$184, 'Expenditure Breakdown'!$W$6:$W$184, "&gt;="&amp;IL1,'Expenditure Breakdown'!$W$6:$W$184, "&lt;"&amp;IM1)</f>
        <v>0</v>
      </c>
      <c r="IM11" s="214">
        <f>SUMIFS('Expenditure Breakdown'!$Q$6:$Q$184, 'Expenditure Breakdown'!$W$6:$W$184, "&gt;="&amp;IM1,'Expenditure Breakdown'!$W$6:$W$184, "&lt;"&amp;IN1)</f>
        <v>0</v>
      </c>
      <c r="IN11" s="214">
        <f>SUMIFS('Expenditure Breakdown'!$Q$6:$Q$184, 'Expenditure Breakdown'!$W$6:$W$184, "&gt;="&amp;IN1,'Expenditure Breakdown'!$W$6:$W$184, "&lt;"&amp;IO1)</f>
        <v>0</v>
      </c>
      <c r="IO11" s="214">
        <f>SUMIFS('Expenditure Breakdown'!$Q$6:$Q$184, 'Expenditure Breakdown'!$W$6:$W$184, "&gt;="&amp;IO1,'Expenditure Breakdown'!$W$6:$W$184, "&lt;"&amp;IP1)</f>
        <v>0</v>
      </c>
      <c r="IP11" s="214">
        <f>SUMIFS('Expenditure Breakdown'!$Q$6:$Q$184, 'Expenditure Breakdown'!$W$6:$W$184, "&gt;="&amp;IP1,'Expenditure Breakdown'!$W$6:$W$184, "&lt;"&amp;IQ1)</f>
        <v>0</v>
      </c>
      <c r="IQ11" s="214">
        <f>SUMIFS('Expenditure Breakdown'!$Q$6:$Q$184, 'Expenditure Breakdown'!$W$6:$W$184, "&gt;="&amp;IQ1,'Expenditure Breakdown'!$W$6:$W$184, "&lt;"&amp;IR1)</f>
        <v>0</v>
      </c>
      <c r="IR11" s="214">
        <f>SUMIFS('Expenditure Breakdown'!$Q$6:$Q$184, 'Expenditure Breakdown'!$W$6:$W$184, "&gt;="&amp;IR1,'Expenditure Breakdown'!$W$6:$W$184, "&lt;"&amp;IS1)</f>
        <v>0</v>
      </c>
      <c r="IS11" s="214">
        <f>SUMIFS('Expenditure Breakdown'!$Q$6:$Q$184, 'Expenditure Breakdown'!$W$6:$W$184, "&gt;="&amp;IS1,'Expenditure Breakdown'!$W$6:$W$184, "&lt;"&amp;IT1)</f>
        <v>0</v>
      </c>
      <c r="IT11" s="214">
        <f>SUMIFS('Expenditure Breakdown'!$Q$6:$Q$184, 'Expenditure Breakdown'!$W$6:$W$184, "&gt;="&amp;IT1,'Expenditure Breakdown'!$W$6:$W$184, "&lt;"&amp;IU1)</f>
        <v>0</v>
      </c>
      <c r="IU11" s="214">
        <f>SUMIFS('Expenditure Breakdown'!$Q$6:$Q$184, 'Expenditure Breakdown'!$W$6:$W$184, "&gt;="&amp;IU1,'Expenditure Breakdown'!$W$6:$W$184, "&lt;"&amp;IV1)</f>
        <v>0</v>
      </c>
      <c r="IV11" s="214">
        <f>SUMIFS('Expenditure Breakdown'!$Q$6:$Q$184, 'Expenditure Breakdown'!$W$6:$W$184, "&gt;="&amp;IV1,'Expenditure Breakdown'!$W$6:$W$184, "&lt;"&amp;IW1)</f>
        <v>0</v>
      </c>
      <c r="IW11" s="214">
        <f>SUMIFS('Expenditure Breakdown'!$Q$6:$Q$184, 'Expenditure Breakdown'!$W$6:$W$184, "&gt;="&amp;IW1,'Expenditure Breakdown'!$W$6:$W$184, "&lt;"&amp;IX1)</f>
        <v>0</v>
      </c>
      <c r="IX11" s="214">
        <f>SUMIFS('Expenditure Breakdown'!$Q$6:$Q$184, 'Expenditure Breakdown'!$W$6:$W$184, "&gt;="&amp;IX1,'Expenditure Breakdown'!$W$6:$W$184, "&lt;"&amp;IY1)</f>
        <v>0</v>
      </c>
      <c r="IY11" s="214">
        <f>SUMIFS('Expenditure Breakdown'!$Q$6:$Q$184, 'Expenditure Breakdown'!$W$6:$W$184, "&gt;="&amp;IY1,'Expenditure Breakdown'!$W$6:$W$184, "&lt;"&amp;IZ1)</f>
        <v>0</v>
      </c>
      <c r="IZ11" s="214">
        <f>SUMIFS('Expenditure Breakdown'!$Q$6:$Q$184, 'Expenditure Breakdown'!$W$6:$W$184, "&gt;="&amp;IZ1,'Expenditure Breakdown'!$W$6:$W$184, "&lt;"&amp;JA1)</f>
        <v>0</v>
      </c>
      <c r="JA11" s="214">
        <f>SUMIFS('Expenditure Breakdown'!$Q$6:$Q$184, 'Expenditure Breakdown'!$W$6:$W$184, "&gt;="&amp;JA1,'Expenditure Breakdown'!$W$6:$W$184, "&lt;"&amp;JB1)</f>
        <v>0</v>
      </c>
      <c r="JB11" s="214">
        <f>SUMIFS('Expenditure Breakdown'!$Q$6:$Q$184, 'Expenditure Breakdown'!$W$6:$W$184, "&gt;="&amp;JB1,'Expenditure Breakdown'!$W$6:$W$184, "&lt;"&amp;JC1)</f>
        <v>0</v>
      </c>
      <c r="JC11" s="214">
        <f>SUMIFS('Expenditure Breakdown'!$Q$6:$Q$184, 'Expenditure Breakdown'!$W$6:$W$184, "&gt;="&amp;JC1,'Expenditure Breakdown'!$W$6:$W$184, "&lt;"&amp;JD1)</f>
        <v>0</v>
      </c>
      <c r="JD11" s="214">
        <f>SUMIFS('Expenditure Breakdown'!$Q$6:$Q$184, 'Expenditure Breakdown'!$W$6:$W$184, "&gt;="&amp;JD1,'Expenditure Breakdown'!$W$6:$W$184, "&lt;"&amp;JE1)</f>
        <v>0</v>
      </c>
      <c r="JE11" s="214">
        <f>SUMIFS('Expenditure Breakdown'!$Q$6:$Q$184, 'Expenditure Breakdown'!$W$6:$W$184, "&gt;="&amp;JE1,'Expenditure Breakdown'!$W$6:$W$184, "&lt;"&amp;JF1)</f>
        <v>0</v>
      </c>
      <c r="JF11" s="214">
        <f>SUMIFS('Expenditure Breakdown'!$Q$6:$Q$184, 'Expenditure Breakdown'!$W$6:$W$184, "&gt;="&amp;JF1,'Expenditure Breakdown'!$W$6:$W$184, "&lt;"&amp;JG1)</f>
        <v>0</v>
      </c>
      <c r="JG11" s="214">
        <f>SUMIFS('Expenditure Breakdown'!$Q$6:$Q$184, 'Expenditure Breakdown'!$W$6:$W$184, "&gt;="&amp;JG1,'Expenditure Breakdown'!$W$6:$W$184, "&lt;"&amp;JH1)</f>
        <v>0</v>
      </c>
      <c r="JH11" s="214">
        <f>SUMIFS('Expenditure Breakdown'!$Q$6:$Q$184, 'Expenditure Breakdown'!$W$6:$W$184, "&gt;="&amp;JH1,'Expenditure Breakdown'!$W$6:$W$184, "&lt;"&amp;JI1)</f>
        <v>0</v>
      </c>
      <c r="JI11" s="214">
        <f>SUMIFS('Expenditure Breakdown'!$Q$6:$Q$184, 'Expenditure Breakdown'!$W$6:$W$184, "&gt;="&amp;JI1,'Expenditure Breakdown'!$W$6:$W$184, "&lt;"&amp;JJ1)</f>
        <v>0</v>
      </c>
      <c r="JJ11" s="214">
        <f>SUMIFS('Expenditure Breakdown'!$Q$6:$Q$184, 'Expenditure Breakdown'!$W$6:$W$184, "&gt;="&amp;JJ1,'Expenditure Breakdown'!$W$6:$W$184, "&lt;"&amp;JK1)</f>
        <v>0</v>
      </c>
      <c r="JK11" s="214">
        <f>SUMIFS('Expenditure Breakdown'!$Q$6:$Q$184, 'Expenditure Breakdown'!$W$6:$W$184, "&gt;="&amp;JK1,'Expenditure Breakdown'!$W$6:$W$184, "&lt;"&amp;JL1)</f>
        <v>0</v>
      </c>
      <c r="JL11" s="214">
        <f>SUMIFS('Expenditure Breakdown'!$Q$6:$Q$184, 'Expenditure Breakdown'!$W$6:$W$184, "&gt;="&amp;JL1,'Expenditure Breakdown'!$W$6:$W$184, "&lt;"&amp;JM1)</f>
        <v>0</v>
      </c>
      <c r="JM11" s="214">
        <f>SUMIFS('Expenditure Breakdown'!$Q$6:$Q$184, 'Expenditure Breakdown'!$W$6:$W$184, "&gt;="&amp;JM1,'Expenditure Breakdown'!$W$6:$W$184, "&lt;"&amp;JN1)</f>
        <v>0</v>
      </c>
      <c r="JN11" s="214">
        <f>SUMIFS('Expenditure Breakdown'!$Q$6:$Q$184, 'Expenditure Breakdown'!$W$6:$W$184, "&gt;="&amp;JN1,'Expenditure Breakdown'!$W$6:$W$184, "&lt;"&amp;JO1)</f>
        <v>0</v>
      </c>
      <c r="JO11" s="214">
        <f>SUMIFS('Expenditure Breakdown'!$Q$6:$Q$184, 'Expenditure Breakdown'!$W$6:$W$184, "&gt;="&amp;JO1,'Expenditure Breakdown'!$W$6:$W$184, "&lt;"&amp;JP1)</f>
        <v>0</v>
      </c>
      <c r="JP11" s="214">
        <f>SUMIFS('Expenditure Breakdown'!$Q$6:$Q$184, 'Expenditure Breakdown'!$W$6:$W$184, "&gt;="&amp;JP1,'Expenditure Breakdown'!$W$6:$W$184, "&lt;"&amp;JQ1)</f>
        <v>0</v>
      </c>
      <c r="JQ11" s="214">
        <f>SUMIFS('Expenditure Breakdown'!$Q$6:$Q$184, 'Expenditure Breakdown'!$W$6:$W$184, "&gt;="&amp;JQ1,'Expenditure Breakdown'!$W$6:$W$184, "&lt;"&amp;JR1)</f>
        <v>0</v>
      </c>
      <c r="JR11" s="214">
        <f>SUMIFS('Expenditure Breakdown'!$Q$6:$Q$184, 'Expenditure Breakdown'!$W$6:$W$184, "&gt;="&amp;JR1,'Expenditure Breakdown'!$W$6:$W$184, "&lt;"&amp;JS1)</f>
        <v>0</v>
      </c>
      <c r="JS11" s="214">
        <f>SUMIFS('Expenditure Breakdown'!$Q$6:$Q$184, 'Expenditure Breakdown'!$W$6:$W$184, "&gt;="&amp;JS1,'Expenditure Breakdown'!$W$6:$W$184, "&lt;"&amp;JT1)</f>
        <v>0</v>
      </c>
      <c r="JT11" s="214">
        <f>SUMIFS('Expenditure Breakdown'!$Q$6:$Q$184, 'Expenditure Breakdown'!$W$6:$W$184, "&gt;="&amp;JT1,'Expenditure Breakdown'!$W$6:$W$184, "&lt;"&amp;JU1)</f>
        <v>0</v>
      </c>
      <c r="JU11" s="214">
        <f>SUMIFS('Expenditure Breakdown'!$Q$6:$Q$184, 'Expenditure Breakdown'!$W$6:$W$184, "&gt;="&amp;JU1,'Expenditure Breakdown'!$W$6:$W$184, "&lt;"&amp;JV1)</f>
        <v>0</v>
      </c>
      <c r="JV11" s="214">
        <f>SUMIFS('Expenditure Breakdown'!$Q$6:$Q$184, 'Expenditure Breakdown'!$W$6:$W$184, "&gt;="&amp;JV1,'Expenditure Breakdown'!$W$6:$W$184, "&lt;"&amp;JW1)</f>
        <v>0</v>
      </c>
      <c r="JW11" s="214">
        <f>SUMIFS('Expenditure Breakdown'!$Q$6:$Q$184, 'Expenditure Breakdown'!$W$6:$W$184, "&gt;="&amp;JW1,'Expenditure Breakdown'!$W$6:$W$184, "&lt;"&amp;JX1)</f>
        <v>0</v>
      </c>
      <c r="JX11" s="214">
        <f>SUMIFS('Expenditure Breakdown'!$Q$6:$Q$184, 'Expenditure Breakdown'!$W$6:$W$184, "&gt;="&amp;JX1,'Expenditure Breakdown'!$W$6:$W$184, "&lt;"&amp;JY1)</f>
        <v>0</v>
      </c>
      <c r="JY11" s="214">
        <f>SUMIFS('Expenditure Breakdown'!$Q$6:$Q$184, 'Expenditure Breakdown'!$W$6:$W$184, "&gt;="&amp;JY1,'Expenditure Breakdown'!$W$6:$W$184, "&lt;"&amp;JZ1)</f>
        <v>0</v>
      </c>
      <c r="JZ11" s="214">
        <f>SUMIFS('Expenditure Breakdown'!$Q$6:$Q$184, 'Expenditure Breakdown'!$W$6:$W$184, "&gt;="&amp;JZ1,'Expenditure Breakdown'!$W$6:$W$184, "&lt;"&amp;KA1)</f>
        <v>0</v>
      </c>
      <c r="KA11" s="214">
        <f>SUMIFS('Expenditure Breakdown'!$Q$6:$Q$184, 'Expenditure Breakdown'!$W$6:$W$184, "&gt;="&amp;KA1,'Expenditure Breakdown'!$W$6:$W$184, "&lt;"&amp;KB1)</f>
        <v>0</v>
      </c>
      <c r="KB11" s="214">
        <f>SUMIFS('Expenditure Breakdown'!$Q$6:$Q$184, 'Expenditure Breakdown'!$W$6:$W$184, "&gt;="&amp;KB1,'Expenditure Breakdown'!$W$6:$W$184, "&lt;"&amp;KC1)</f>
        <v>0</v>
      </c>
      <c r="KC11" s="214">
        <f>SUMIFS('Expenditure Breakdown'!$Q$6:$Q$184, 'Expenditure Breakdown'!$W$6:$W$184, "&gt;="&amp;KC1,'Expenditure Breakdown'!$W$6:$W$184, "&lt;"&amp;KD1)</f>
        <v>0</v>
      </c>
      <c r="KD11" s="214">
        <f>SUMIFS('Expenditure Breakdown'!$Q$6:$Q$184, 'Expenditure Breakdown'!$W$6:$W$184, "&gt;="&amp;KD1,'Expenditure Breakdown'!$W$6:$W$184, "&lt;"&amp;KE1)</f>
        <v>0</v>
      </c>
      <c r="KE11" s="214">
        <f>SUMIFS('Expenditure Breakdown'!$Q$6:$Q$184, 'Expenditure Breakdown'!$W$6:$W$184, "&gt;="&amp;KE1,'Expenditure Breakdown'!$W$6:$W$184, "&lt;"&amp;KF1)</f>
        <v>0</v>
      </c>
      <c r="KF11" s="214">
        <f>SUMIFS('Expenditure Breakdown'!$Q$6:$Q$184, 'Expenditure Breakdown'!$W$6:$W$184, "&gt;="&amp;KF1,'Expenditure Breakdown'!$W$6:$W$184, "&lt;"&amp;KG1)</f>
        <v>0</v>
      </c>
      <c r="KG11" s="214">
        <f>SUMIFS('Expenditure Breakdown'!$Q$6:$Q$184, 'Expenditure Breakdown'!$W$6:$W$184, "&gt;="&amp;KG1,'Expenditure Breakdown'!$W$6:$W$184, "&lt;"&amp;KH1)</f>
        <v>0</v>
      </c>
      <c r="KH11" s="214">
        <f>SUMIFS('Expenditure Breakdown'!$Q$6:$Q$184, 'Expenditure Breakdown'!$W$6:$W$184, "&gt;="&amp;KH1,'Expenditure Breakdown'!$W$6:$W$184, "&lt;"&amp;KI1)</f>
        <v>0</v>
      </c>
      <c r="KI11" s="214">
        <f>SUMIFS('Expenditure Breakdown'!$Q$6:$Q$184, 'Expenditure Breakdown'!$W$6:$W$184, "&gt;="&amp;KI1,'Expenditure Breakdown'!$W$6:$W$184, "&lt;"&amp;KJ1)</f>
        <v>0</v>
      </c>
      <c r="KJ11" s="214">
        <f>SUMIFS('Expenditure Breakdown'!$Q$6:$Q$184, 'Expenditure Breakdown'!$W$6:$W$184, "&gt;="&amp;KJ1,'Expenditure Breakdown'!$W$6:$W$184, "&lt;"&amp;KK1)</f>
        <v>0</v>
      </c>
      <c r="KK11" s="214">
        <f>SUMIFS('Expenditure Breakdown'!$Q$6:$Q$184, 'Expenditure Breakdown'!$W$6:$W$184, "&gt;="&amp;KK1,'Expenditure Breakdown'!$W$6:$W$184, "&lt;"&amp;KL1)</f>
        <v>0</v>
      </c>
      <c r="KL11" s="214">
        <f>SUMIFS('Expenditure Breakdown'!$Q$6:$Q$184, 'Expenditure Breakdown'!$W$6:$W$184, "&gt;="&amp;KL1,'Expenditure Breakdown'!$W$6:$W$184, "&lt;"&amp;KM1)</f>
        <v>0</v>
      </c>
      <c r="KM11" s="214">
        <f>SUMIFS('Expenditure Breakdown'!$Q$6:$Q$184, 'Expenditure Breakdown'!$W$6:$W$184, "&gt;="&amp;KM1,'Expenditure Breakdown'!$W$6:$W$184, "&lt;"&amp;KN1)</f>
        <v>0</v>
      </c>
      <c r="KN11" s="214">
        <f>SUMIFS('Expenditure Breakdown'!$Q$6:$Q$184, 'Expenditure Breakdown'!$W$6:$W$184, "&gt;="&amp;KN1,'Expenditure Breakdown'!$W$6:$W$184, "&lt;"&amp;KO1)</f>
        <v>0</v>
      </c>
      <c r="KO11" s="214">
        <f>SUMIFS('Expenditure Breakdown'!$Q$6:$Q$184, 'Expenditure Breakdown'!$W$6:$W$184, "&gt;="&amp;KO1,'Expenditure Breakdown'!$W$6:$W$184, "&lt;"&amp;KP1)</f>
        <v>0</v>
      </c>
      <c r="KP11" s="214">
        <f>SUMIFS('Expenditure Breakdown'!$Q$6:$Q$184, 'Expenditure Breakdown'!$W$6:$W$184, "&gt;="&amp;KP1,'Expenditure Breakdown'!$W$6:$W$184, "&lt;"&amp;KQ1)</f>
        <v>0</v>
      </c>
      <c r="KQ11" s="214">
        <f>SUMIFS('Expenditure Breakdown'!$Q$6:$Q$184, 'Expenditure Breakdown'!$W$6:$W$184, "&gt;="&amp;KQ1,'Expenditure Breakdown'!$W$6:$W$184, "&lt;"&amp;KR1)</f>
        <v>0</v>
      </c>
      <c r="KR11" s="214">
        <f>SUMIFS('Expenditure Breakdown'!$Q$6:$Q$184, 'Expenditure Breakdown'!$W$6:$W$184, "&gt;="&amp;KR1,'Expenditure Breakdown'!$W$6:$W$184, "&lt;"&amp;KS1)</f>
        <v>0</v>
      </c>
      <c r="KS11" s="214">
        <f>SUMIFS('Expenditure Breakdown'!$Q$6:$Q$184, 'Expenditure Breakdown'!$W$6:$W$184, "&gt;="&amp;KS1,'Expenditure Breakdown'!$W$6:$W$184, "&lt;"&amp;KT1)</f>
        <v>0</v>
      </c>
      <c r="KT11" s="214">
        <f>SUMIFS('Expenditure Breakdown'!$Q$6:$Q$184, 'Expenditure Breakdown'!$W$6:$W$184, "&gt;="&amp;KT1,'Expenditure Breakdown'!$W$6:$W$184, "&lt;"&amp;KU1)</f>
        <v>0</v>
      </c>
      <c r="KU11" s="214">
        <f>SUMIFS('Expenditure Breakdown'!$Q$6:$Q$184, 'Expenditure Breakdown'!$W$6:$W$184, "&gt;="&amp;KU1,'Expenditure Breakdown'!$W$6:$W$184, "&lt;"&amp;KV1)</f>
        <v>0</v>
      </c>
      <c r="KV11" s="214">
        <f>SUMIFS('Expenditure Breakdown'!$Q$6:$Q$184, 'Expenditure Breakdown'!$W$6:$W$184, "&gt;="&amp;KV1,'Expenditure Breakdown'!$W$6:$W$184, "&lt;"&amp;KW1)</f>
        <v>0</v>
      </c>
      <c r="KW11" s="214">
        <f>SUMIFS('Expenditure Breakdown'!$Q$6:$Q$184, 'Expenditure Breakdown'!$W$6:$W$184, "&gt;="&amp;KW1,'Expenditure Breakdown'!$W$6:$W$184, "&lt;"&amp;KX1)</f>
        <v>0</v>
      </c>
      <c r="KX11" s="214">
        <f>SUMIFS('Expenditure Breakdown'!$Q$6:$Q$184, 'Expenditure Breakdown'!$W$6:$W$184, "&gt;="&amp;KX1,'Expenditure Breakdown'!$W$6:$W$184, "&lt;"&amp;KY1)</f>
        <v>0</v>
      </c>
      <c r="KY11" s="214">
        <f>SUMIFS('Expenditure Breakdown'!$Q$6:$Q$184, 'Expenditure Breakdown'!$W$6:$W$184, "&gt;="&amp;KY1,'Expenditure Breakdown'!$W$6:$W$184, "&lt;"&amp;KZ1)</f>
        <v>0</v>
      </c>
      <c r="KZ11" s="214">
        <f>SUMIFS('Expenditure Breakdown'!$Q$6:$Q$184, 'Expenditure Breakdown'!$W$6:$W$184, "&gt;="&amp;KZ1,'Expenditure Breakdown'!$W$6:$W$184, "&lt;"&amp;LA1)</f>
        <v>0</v>
      </c>
      <c r="LA11" s="214">
        <f>SUMIFS('Expenditure Breakdown'!$Q$6:$Q$184, 'Expenditure Breakdown'!$W$6:$W$184, "&gt;="&amp;LA1,'Expenditure Breakdown'!$W$6:$W$184, "&lt;"&amp;LB1)</f>
        <v>0</v>
      </c>
      <c r="LB11" s="214">
        <f>SUMIFS('Expenditure Breakdown'!$Q$6:$Q$184, 'Expenditure Breakdown'!$W$6:$W$184, "&gt;="&amp;LB1,'Expenditure Breakdown'!$W$6:$W$184, "&lt;"&amp;LC1)</f>
        <v>0</v>
      </c>
      <c r="LC11" s="214">
        <f>SUMIFS('Expenditure Breakdown'!$Q$6:$Q$184, 'Expenditure Breakdown'!$W$6:$W$184, "&gt;="&amp;LC1,'Expenditure Breakdown'!$W$6:$W$184, "&lt;"&amp;LD1)</f>
        <v>0</v>
      </c>
      <c r="LD11" s="214">
        <f>SUMIFS('Expenditure Breakdown'!$Q$6:$Q$184, 'Expenditure Breakdown'!$W$6:$W$184, "&gt;="&amp;LD1,'Expenditure Breakdown'!$W$6:$W$184, "&lt;"&amp;#REF!)</f>
        <v>0</v>
      </c>
      <c r="LE11" s="191"/>
      <c r="LF11" s="202"/>
      <c r="LG11" s="202"/>
    </row>
    <row r="12" spans="1:794" s="203" customFormat="1">
      <c r="A12" s="777"/>
      <c r="B12" s="212" t="s">
        <v>407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9019.6</v>
      </c>
      <c r="R12" s="214">
        <f t="shared" si="26"/>
        <v>9019.6</v>
      </c>
      <c r="S12" s="214">
        <f t="shared" si="26"/>
        <v>9019.6</v>
      </c>
      <c r="T12" s="214">
        <f t="shared" si="26"/>
        <v>9019.6</v>
      </c>
      <c r="U12" s="214">
        <f t="shared" si="26"/>
        <v>16769.599999999999</v>
      </c>
      <c r="V12" s="214">
        <f t="shared" si="26"/>
        <v>16769.599999999999</v>
      </c>
      <c r="W12" s="214">
        <f t="shared" si="26"/>
        <v>19020.099999999999</v>
      </c>
      <c r="X12" s="214">
        <f t="shared" si="26"/>
        <v>46575.1</v>
      </c>
      <c r="Y12" s="214">
        <f t="shared" si="26"/>
        <v>54109.659999999996</v>
      </c>
      <c r="Z12" s="214">
        <f t="shared" si="26"/>
        <v>61733.71</v>
      </c>
      <c r="AA12" s="214">
        <f t="shared" si="26"/>
        <v>107041.4</v>
      </c>
      <c r="AB12" s="214">
        <f t="shared" si="26"/>
        <v>205793.17300000001</v>
      </c>
      <c r="AC12" s="214">
        <f t="shared" si="26"/>
        <v>217967.973</v>
      </c>
      <c r="AD12" s="214">
        <f t="shared" si="26"/>
        <v>416967.973</v>
      </c>
      <c r="AE12" s="214">
        <f t="shared" si="26"/>
        <v>425566.32299999997</v>
      </c>
      <c r="AF12" s="214">
        <f t="shared" si="26"/>
        <v>425566.32299999997</v>
      </c>
      <c r="AG12" s="214">
        <f t="shared" si="26"/>
        <v>1238605.713</v>
      </c>
      <c r="AH12" s="214">
        <f t="shared" si="26"/>
        <v>1238605.713</v>
      </c>
      <c r="AI12" s="214">
        <f t="shared" si="26"/>
        <v>1238605.713</v>
      </c>
      <c r="AJ12" s="214">
        <f t="shared" si="26"/>
        <v>1238605.713</v>
      </c>
      <c r="AK12" s="214">
        <f t="shared" si="26"/>
        <v>1322450.2717582881</v>
      </c>
      <c r="AL12" s="214">
        <f t="shared" si="26"/>
        <v>1325511.7017582881</v>
      </c>
      <c r="AM12" s="214">
        <f t="shared" si="26"/>
        <v>1325511.7017582881</v>
      </c>
      <c r="AN12" s="214">
        <f t="shared" si="26"/>
        <v>1332569.331758288</v>
      </c>
      <c r="AO12" s="214">
        <f t="shared" si="26"/>
        <v>1917319.5147582879</v>
      </c>
      <c r="AP12" s="214">
        <f t="shared" si="26"/>
        <v>2028156.0247582879</v>
      </c>
      <c r="AQ12" s="214">
        <f t="shared" si="26"/>
        <v>2029463.854758288</v>
      </c>
      <c r="AR12" s="214">
        <f t="shared" si="26"/>
        <v>2029463.854758288</v>
      </c>
      <c r="AS12" s="214">
        <f t="shared" si="26"/>
        <v>2029463.854758288</v>
      </c>
      <c r="AT12" s="214">
        <f t="shared" si="26"/>
        <v>2029700.9547582881</v>
      </c>
      <c r="AU12" s="214">
        <f t="shared" si="26"/>
        <v>2080936.0347582882</v>
      </c>
      <c r="AV12" s="214">
        <f t="shared" si="26"/>
        <v>2080936.0347582882</v>
      </c>
      <c r="AW12" s="214">
        <f t="shared" si="26"/>
        <v>2080936.0347582882</v>
      </c>
      <c r="AX12" s="214">
        <f t="shared" si="26"/>
        <v>2116015.2547582882</v>
      </c>
      <c r="AY12" s="214">
        <f t="shared" si="26"/>
        <v>2116015.2547582882</v>
      </c>
      <c r="AZ12" s="214">
        <f t="shared" si="26"/>
        <v>2116015.2547582882</v>
      </c>
      <c r="BA12" s="214">
        <f t="shared" si="26"/>
        <v>2139396.2327582883</v>
      </c>
      <c r="BB12" s="214">
        <f t="shared" si="26"/>
        <v>2139396.2327582883</v>
      </c>
      <c r="BC12" s="214">
        <f t="shared" si="26"/>
        <v>2139396.2327582883</v>
      </c>
      <c r="BD12" s="214">
        <f t="shared" si="26"/>
        <v>2148246.2327582883</v>
      </c>
      <c r="BE12" s="214">
        <f t="shared" si="26"/>
        <v>2184211.4367582882</v>
      </c>
      <c r="BF12" s="214">
        <f t="shared" si="26"/>
        <v>2184211.4367582882</v>
      </c>
      <c r="BG12" s="214">
        <f t="shared" si="26"/>
        <v>2184211.4367582882</v>
      </c>
      <c r="BH12" s="214">
        <f t="shared" si="26"/>
        <v>2224146.4367582882</v>
      </c>
      <c r="BI12" s="214">
        <f t="shared" si="26"/>
        <v>2229349.4367582882</v>
      </c>
      <c r="BJ12" s="214">
        <f t="shared" si="26"/>
        <v>2229349.4367582882</v>
      </c>
      <c r="BK12" s="214">
        <f t="shared" si="26"/>
        <v>2229349.4367582882</v>
      </c>
      <c r="BL12" s="214">
        <f t="shared" si="26"/>
        <v>2229349.4367582882</v>
      </c>
      <c r="BM12" s="214">
        <f t="shared" si="26"/>
        <v>2229349.4367582882</v>
      </c>
      <c r="BN12" s="214">
        <f t="shared" si="26"/>
        <v>2229349.4367582882</v>
      </c>
      <c r="BO12" s="214">
        <f t="shared" si="26"/>
        <v>2229349.4367582882</v>
      </c>
      <c r="BP12" s="214">
        <f t="shared" si="26"/>
        <v>2229349.4367582882</v>
      </c>
      <c r="BQ12" s="214">
        <f t="shared" si="26"/>
        <v>2229349.4367582882</v>
      </c>
      <c r="BR12" s="214">
        <f t="shared" si="26"/>
        <v>2229349.4367582882</v>
      </c>
      <c r="BS12" s="214">
        <f t="shared" si="26"/>
        <v>2229349.4367582882</v>
      </c>
      <c r="BT12" s="214">
        <f t="shared" si="26"/>
        <v>2229349.4367582882</v>
      </c>
      <c r="BU12" s="214">
        <f t="shared" ref="BU12:EF12" si="27">BT12+BU11</f>
        <v>2229349.4367582882</v>
      </c>
      <c r="BV12" s="214">
        <f t="shared" si="27"/>
        <v>2229349.4367582882</v>
      </c>
      <c r="BW12" s="214">
        <f t="shared" si="27"/>
        <v>2229349.4367582882</v>
      </c>
      <c r="BX12" s="214">
        <f t="shared" si="27"/>
        <v>2229349.4367582882</v>
      </c>
      <c r="BY12" s="214">
        <f t="shared" si="27"/>
        <v>2229349.4367582882</v>
      </c>
      <c r="BZ12" s="214">
        <f t="shared" si="27"/>
        <v>2229349.4367582882</v>
      </c>
      <c r="CA12" s="214">
        <f t="shared" si="27"/>
        <v>2229349.4367582882</v>
      </c>
      <c r="CB12" s="214">
        <f t="shared" si="27"/>
        <v>2229349.4367582882</v>
      </c>
      <c r="CC12" s="214">
        <f t="shared" si="27"/>
        <v>2229349.4367582882</v>
      </c>
      <c r="CD12" s="214">
        <f t="shared" si="27"/>
        <v>2229349.4367582882</v>
      </c>
      <c r="CE12" s="214">
        <f t="shared" si="27"/>
        <v>2229349.4367582882</v>
      </c>
      <c r="CF12" s="214">
        <f t="shared" si="27"/>
        <v>2229349.4367582882</v>
      </c>
      <c r="CG12" s="214">
        <f t="shared" si="27"/>
        <v>2229349.4367582882</v>
      </c>
      <c r="CH12" s="214">
        <f t="shared" si="27"/>
        <v>2229349.4367582882</v>
      </c>
      <c r="CI12" s="214">
        <f t="shared" si="27"/>
        <v>2229349.4367582882</v>
      </c>
      <c r="CJ12" s="214">
        <f t="shared" si="27"/>
        <v>2229349.4367582882</v>
      </c>
      <c r="CK12" s="214">
        <f t="shared" si="27"/>
        <v>2229349.4367582882</v>
      </c>
      <c r="CL12" s="214">
        <f t="shared" si="27"/>
        <v>2229349.4367582882</v>
      </c>
      <c r="CM12" s="214">
        <f t="shared" si="27"/>
        <v>2229349.4367582882</v>
      </c>
      <c r="CN12" s="214">
        <f t="shared" si="27"/>
        <v>2229349.4367582882</v>
      </c>
      <c r="CO12" s="214">
        <f t="shared" si="27"/>
        <v>2229349.4367582882</v>
      </c>
      <c r="CP12" s="214">
        <f t="shared" si="27"/>
        <v>2229349.4367582882</v>
      </c>
      <c r="CQ12" s="214">
        <f t="shared" si="27"/>
        <v>2229349.4367582882</v>
      </c>
      <c r="CR12" s="214">
        <f t="shared" si="27"/>
        <v>2229349.4367582882</v>
      </c>
      <c r="CS12" s="214">
        <f t="shared" si="27"/>
        <v>2229349.4367582882</v>
      </c>
      <c r="CT12" s="214">
        <f t="shared" si="27"/>
        <v>2229349.4367582882</v>
      </c>
      <c r="CU12" s="214">
        <f t="shared" si="27"/>
        <v>2229349.4367582882</v>
      </c>
      <c r="CV12" s="214">
        <f t="shared" si="27"/>
        <v>2229349.4367582882</v>
      </c>
      <c r="CW12" s="214">
        <f t="shared" si="27"/>
        <v>2229349.4367582882</v>
      </c>
      <c r="CX12" s="214">
        <f t="shared" si="27"/>
        <v>2229349.4367582882</v>
      </c>
      <c r="CY12" s="214">
        <f t="shared" si="27"/>
        <v>2229349.4367582882</v>
      </c>
      <c r="CZ12" s="214">
        <f t="shared" si="27"/>
        <v>2229349.4367582882</v>
      </c>
      <c r="DA12" s="214">
        <f t="shared" si="27"/>
        <v>2229349.4367582882</v>
      </c>
      <c r="DB12" s="214">
        <f t="shared" si="27"/>
        <v>2229349.4367582882</v>
      </c>
      <c r="DC12" s="214">
        <f t="shared" si="27"/>
        <v>2229349.4367582882</v>
      </c>
      <c r="DD12" s="214">
        <f t="shared" si="27"/>
        <v>2229349.4367582882</v>
      </c>
      <c r="DE12" s="214">
        <f t="shared" si="27"/>
        <v>2229349.4367582882</v>
      </c>
      <c r="DF12" s="214">
        <f t="shared" si="27"/>
        <v>2229349.4367582882</v>
      </c>
      <c r="DG12" s="214">
        <f t="shared" si="27"/>
        <v>2229349.4367582882</v>
      </c>
      <c r="DH12" s="214">
        <f t="shared" si="27"/>
        <v>2229349.4367582882</v>
      </c>
      <c r="DI12" s="214">
        <f t="shared" si="27"/>
        <v>2229349.4367582882</v>
      </c>
      <c r="DJ12" s="214">
        <f t="shared" si="27"/>
        <v>2229349.4367582882</v>
      </c>
      <c r="DK12" s="214">
        <f t="shared" si="27"/>
        <v>2229349.4367582882</v>
      </c>
      <c r="DL12" s="214">
        <f t="shared" si="27"/>
        <v>2229349.4367582882</v>
      </c>
      <c r="DM12" s="214">
        <f t="shared" si="27"/>
        <v>2229349.4367582882</v>
      </c>
      <c r="DN12" s="214">
        <f t="shared" si="27"/>
        <v>2229349.4367582882</v>
      </c>
      <c r="DO12" s="214">
        <f t="shared" si="27"/>
        <v>2229349.4367582882</v>
      </c>
      <c r="DP12" s="214">
        <f t="shared" si="27"/>
        <v>2229349.4367582882</v>
      </c>
      <c r="DQ12" s="214">
        <f t="shared" si="27"/>
        <v>2229349.4367582882</v>
      </c>
      <c r="DR12" s="214">
        <f t="shared" si="27"/>
        <v>2229349.4367582882</v>
      </c>
      <c r="DS12" s="214">
        <f t="shared" si="27"/>
        <v>2229349.4367582882</v>
      </c>
      <c r="DT12" s="214">
        <f t="shared" si="27"/>
        <v>2229349.4367582882</v>
      </c>
      <c r="DU12" s="214">
        <f t="shared" si="27"/>
        <v>2229349.4367582882</v>
      </c>
      <c r="DV12" s="214">
        <f t="shared" si="27"/>
        <v>2229349.4367582882</v>
      </c>
      <c r="DW12" s="214">
        <f t="shared" si="27"/>
        <v>2229349.4367582882</v>
      </c>
      <c r="DX12" s="214">
        <f t="shared" si="27"/>
        <v>2229349.4367582882</v>
      </c>
      <c r="DY12" s="214">
        <f t="shared" si="27"/>
        <v>2229349.4367582882</v>
      </c>
      <c r="DZ12" s="214">
        <f t="shared" si="27"/>
        <v>2229349.4367582882</v>
      </c>
      <c r="EA12" s="214">
        <f t="shared" si="27"/>
        <v>2229349.4367582882</v>
      </c>
      <c r="EB12" s="214">
        <f t="shared" si="27"/>
        <v>2229349.4367582882</v>
      </c>
      <c r="EC12" s="214">
        <f t="shared" si="27"/>
        <v>2229349.4367582882</v>
      </c>
      <c r="ED12" s="214">
        <f t="shared" si="27"/>
        <v>2229349.4367582882</v>
      </c>
      <c r="EE12" s="214">
        <f t="shared" si="27"/>
        <v>2229349.4367582882</v>
      </c>
      <c r="EF12" s="214">
        <f t="shared" si="27"/>
        <v>2229349.4367582882</v>
      </c>
      <c r="EG12" s="214">
        <f t="shared" ref="EG12:GR12" si="28">EF12+EG11</f>
        <v>2229349.4367582882</v>
      </c>
      <c r="EH12" s="214">
        <f t="shared" si="28"/>
        <v>2229349.4367582882</v>
      </c>
      <c r="EI12" s="214">
        <f t="shared" si="28"/>
        <v>2229349.4367582882</v>
      </c>
      <c r="EJ12" s="214">
        <f t="shared" si="28"/>
        <v>2229349.4367582882</v>
      </c>
      <c r="EK12" s="214">
        <f t="shared" si="28"/>
        <v>2229349.4367582882</v>
      </c>
      <c r="EL12" s="214">
        <f t="shared" si="28"/>
        <v>2229349.4367582882</v>
      </c>
      <c r="EM12" s="214">
        <f t="shared" si="28"/>
        <v>2229349.4367582882</v>
      </c>
      <c r="EN12" s="214">
        <f t="shared" si="28"/>
        <v>2229349.4367582882</v>
      </c>
      <c r="EO12" s="214">
        <f t="shared" si="28"/>
        <v>2229349.4367582882</v>
      </c>
      <c r="EP12" s="214">
        <f t="shared" si="28"/>
        <v>2229349.4367582882</v>
      </c>
      <c r="EQ12" s="214">
        <f t="shared" si="28"/>
        <v>2229349.4367582882</v>
      </c>
      <c r="ER12" s="214">
        <f t="shared" si="28"/>
        <v>2229349.4367582882</v>
      </c>
      <c r="ES12" s="214">
        <f t="shared" si="28"/>
        <v>2229349.4367582882</v>
      </c>
      <c r="ET12" s="214">
        <f t="shared" si="28"/>
        <v>2229349.4367582882</v>
      </c>
      <c r="EU12" s="214">
        <f t="shared" si="28"/>
        <v>2229349.4367582882</v>
      </c>
      <c r="EV12" s="214">
        <f t="shared" si="28"/>
        <v>2229349.4367582882</v>
      </c>
      <c r="EW12" s="214">
        <f t="shared" si="28"/>
        <v>2229349.4367582882</v>
      </c>
      <c r="EX12" s="214">
        <f t="shared" si="28"/>
        <v>2229349.4367582882</v>
      </c>
      <c r="EY12" s="214">
        <f t="shared" si="28"/>
        <v>2229349.4367582882</v>
      </c>
      <c r="EZ12" s="214">
        <f t="shared" si="28"/>
        <v>2229349.4367582882</v>
      </c>
      <c r="FA12" s="214">
        <f t="shared" si="28"/>
        <v>2229349.4367582882</v>
      </c>
      <c r="FB12" s="214">
        <f t="shared" si="28"/>
        <v>2229349.4367582882</v>
      </c>
      <c r="FC12" s="214">
        <f t="shared" si="28"/>
        <v>2229349.4367582882</v>
      </c>
      <c r="FD12" s="214">
        <f t="shared" si="28"/>
        <v>2229349.4367582882</v>
      </c>
      <c r="FE12" s="214">
        <f t="shared" si="28"/>
        <v>2229349.4367582882</v>
      </c>
      <c r="FF12" s="214">
        <f t="shared" si="28"/>
        <v>2229349.4367582882</v>
      </c>
      <c r="FG12" s="214">
        <f t="shared" si="28"/>
        <v>2229349.4367582882</v>
      </c>
      <c r="FH12" s="214">
        <f t="shared" si="28"/>
        <v>2229349.4367582882</v>
      </c>
      <c r="FI12" s="214">
        <f t="shared" si="28"/>
        <v>2229349.4367582882</v>
      </c>
      <c r="FJ12" s="214">
        <f t="shared" si="28"/>
        <v>2229349.4367582882</v>
      </c>
      <c r="FK12" s="214">
        <f t="shared" si="28"/>
        <v>2229349.4367582882</v>
      </c>
      <c r="FL12" s="214">
        <f t="shared" si="28"/>
        <v>2229349.4367582882</v>
      </c>
      <c r="FM12" s="214">
        <f t="shared" si="28"/>
        <v>2229349.4367582882</v>
      </c>
      <c r="FN12" s="214">
        <f t="shared" si="28"/>
        <v>2229349.4367582882</v>
      </c>
      <c r="FO12" s="214">
        <f t="shared" si="28"/>
        <v>2229349.4367582882</v>
      </c>
      <c r="FP12" s="214">
        <f t="shared" si="28"/>
        <v>2229349.4367582882</v>
      </c>
      <c r="FQ12" s="214">
        <f t="shared" si="28"/>
        <v>2229349.4367582882</v>
      </c>
      <c r="FR12" s="214">
        <f t="shared" si="28"/>
        <v>2229349.4367582882</v>
      </c>
      <c r="FS12" s="214">
        <f t="shared" si="28"/>
        <v>2229349.4367582882</v>
      </c>
      <c r="FT12" s="214">
        <f t="shared" si="28"/>
        <v>2229349.4367582882</v>
      </c>
      <c r="FU12" s="214">
        <f t="shared" si="28"/>
        <v>2229349.4367582882</v>
      </c>
      <c r="FV12" s="214">
        <f t="shared" si="28"/>
        <v>2229349.4367582882</v>
      </c>
      <c r="FW12" s="214">
        <f t="shared" si="28"/>
        <v>2229349.4367582882</v>
      </c>
      <c r="FX12" s="214">
        <f t="shared" si="28"/>
        <v>2229349.4367582882</v>
      </c>
      <c r="FY12" s="214">
        <f t="shared" si="28"/>
        <v>2229349.4367582882</v>
      </c>
      <c r="FZ12" s="214">
        <f t="shared" si="28"/>
        <v>2229349.4367582882</v>
      </c>
      <c r="GA12" s="214">
        <f t="shared" si="28"/>
        <v>2229349.4367582882</v>
      </c>
      <c r="GB12" s="214">
        <f t="shared" si="28"/>
        <v>2229349.4367582882</v>
      </c>
      <c r="GC12" s="214">
        <f t="shared" si="28"/>
        <v>2229349.4367582882</v>
      </c>
      <c r="GD12" s="214">
        <f t="shared" si="28"/>
        <v>2229349.4367582882</v>
      </c>
      <c r="GE12" s="214">
        <f t="shared" si="28"/>
        <v>2229349.4367582882</v>
      </c>
      <c r="GF12" s="214">
        <f t="shared" si="28"/>
        <v>2229349.4367582882</v>
      </c>
      <c r="GG12" s="214">
        <f t="shared" si="28"/>
        <v>2229349.4367582882</v>
      </c>
      <c r="GH12" s="214">
        <f t="shared" si="28"/>
        <v>2229349.4367582882</v>
      </c>
      <c r="GI12" s="214">
        <f t="shared" si="28"/>
        <v>2229349.4367582882</v>
      </c>
      <c r="GJ12" s="214">
        <f t="shared" si="28"/>
        <v>2229349.4367582882</v>
      </c>
      <c r="GK12" s="214">
        <f t="shared" si="28"/>
        <v>2229349.4367582882</v>
      </c>
      <c r="GL12" s="214">
        <f t="shared" si="28"/>
        <v>2229349.4367582882</v>
      </c>
      <c r="GM12" s="214">
        <f t="shared" si="28"/>
        <v>2229349.4367582882</v>
      </c>
      <c r="GN12" s="214">
        <f t="shared" si="28"/>
        <v>2229349.4367582882</v>
      </c>
      <c r="GO12" s="214">
        <f t="shared" si="28"/>
        <v>2229349.4367582882</v>
      </c>
      <c r="GP12" s="214">
        <f t="shared" si="28"/>
        <v>2229349.4367582882</v>
      </c>
      <c r="GQ12" s="214">
        <f t="shared" si="28"/>
        <v>2229349.4367582882</v>
      </c>
      <c r="GR12" s="214">
        <f t="shared" si="28"/>
        <v>2229349.4367582882</v>
      </c>
      <c r="GS12" s="214">
        <f t="shared" ref="GS12:JD12" si="29">GR12+GS11</f>
        <v>2229349.4367582882</v>
      </c>
      <c r="GT12" s="214">
        <f t="shared" si="29"/>
        <v>2229349.4367582882</v>
      </c>
      <c r="GU12" s="214">
        <f t="shared" si="29"/>
        <v>2229349.4367582882</v>
      </c>
      <c r="GV12" s="214">
        <f t="shared" si="29"/>
        <v>2229349.4367582882</v>
      </c>
      <c r="GW12" s="214">
        <f t="shared" si="29"/>
        <v>2229349.4367582882</v>
      </c>
      <c r="GX12" s="214">
        <f t="shared" si="29"/>
        <v>2229349.4367582882</v>
      </c>
      <c r="GY12" s="214">
        <f t="shared" si="29"/>
        <v>2229349.4367582882</v>
      </c>
      <c r="GZ12" s="214">
        <f t="shared" si="29"/>
        <v>2229349.4367582882</v>
      </c>
      <c r="HA12" s="214">
        <f t="shared" si="29"/>
        <v>2229349.4367582882</v>
      </c>
      <c r="HB12" s="214">
        <f t="shared" si="29"/>
        <v>2229349.4367582882</v>
      </c>
      <c r="HC12" s="214">
        <f t="shared" si="29"/>
        <v>2229349.4367582882</v>
      </c>
      <c r="HD12" s="214">
        <f t="shared" si="29"/>
        <v>2229349.4367582882</v>
      </c>
      <c r="HE12" s="214">
        <f t="shared" si="29"/>
        <v>2229349.4367582882</v>
      </c>
      <c r="HF12" s="214">
        <f t="shared" si="29"/>
        <v>2229349.4367582882</v>
      </c>
      <c r="HG12" s="214">
        <f t="shared" si="29"/>
        <v>2229349.4367582882</v>
      </c>
      <c r="HH12" s="214">
        <f t="shared" si="29"/>
        <v>2229349.4367582882</v>
      </c>
      <c r="HI12" s="214">
        <f t="shared" si="29"/>
        <v>2229349.4367582882</v>
      </c>
      <c r="HJ12" s="214">
        <f t="shared" si="29"/>
        <v>2229349.4367582882</v>
      </c>
      <c r="HK12" s="214">
        <f t="shared" si="29"/>
        <v>2229349.4367582882</v>
      </c>
      <c r="HL12" s="214">
        <f t="shared" si="29"/>
        <v>2229349.4367582882</v>
      </c>
      <c r="HM12" s="214">
        <f t="shared" si="29"/>
        <v>2229349.4367582882</v>
      </c>
      <c r="HN12" s="214">
        <f t="shared" si="29"/>
        <v>2229349.4367582882</v>
      </c>
      <c r="HO12" s="214">
        <f t="shared" si="29"/>
        <v>2229349.4367582882</v>
      </c>
      <c r="HP12" s="214">
        <f t="shared" si="29"/>
        <v>2229349.4367582882</v>
      </c>
      <c r="HQ12" s="214">
        <f t="shared" si="29"/>
        <v>2229349.4367582882</v>
      </c>
      <c r="HR12" s="214">
        <f t="shared" si="29"/>
        <v>2229349.4367582882</v>
      </c>
      <c r="HS12" s="214">
        <f t="shared" si="29"/>
        <v>2229349.4367582882</v>
      </c>
      <c r="HT12" s="214">
        <f t="shared" si="29"/>
        <v>2229349.4367582882</v>
      </c>
      <c r="HU12" s="214">
        <f t="shared" si="29"/>
        <v>2229349.4367582882</v>
      </c>
      <c r="HV12" s="214">
        <f t="shared" si="29"/>
        <v>2229349.4367582882</v>
      </c>
      <c r="HW12" s="214">
        <f t="shared" si="29"/>
        <v>2229349.4367582882</v>
      </c>
      <c r="HX12" s="214">
        <f t="shared" si="29"/>
        <v>2229349.4367582882</v>
      </c>
      <c r="HY12" s="214">
        <f t="shared" si="29"/>
        <v>2229349.4367582882</v>
      </c>
      <c r="HZ12" s="214">
        <f t="shared" si="29"/>
        <v>2229349.4367582882</v>
      </c>
      <c r="IA12" s="214">
        <f t="shared" si="29"/>
        <v>2229349.4367582882</v>
      </c>
      <c r="IB12" s="214">
        <f t="shared" si="29"/>
        <v>2229349.4367582882</v>
      </c>
      <c r="IC12" s="214">
        <f t="shared" si="29"/>
        <v>2229349.4367582882</v>
      </c>
      <c r="ID12" s="214">
        <f t="shared" si="29"/>
        <v>2229349.4367582882</v>
      </c>
      <c r="IE12" s="214">
        <f t="shared" si="29"/>
        <v>2229349.4367582882</v>
      </c>
      <c r="IF12" s="214">
        <f t="shared" si="29"/>
        <v>2229349.4367582882</v>
      </c>
      <c r="IG12" s="214">
        <f t="shared" si="29"/>
        <v>2229349.4367582882</v>
      </c>
      <c r="IH12" s="214">
        <f t="shared" si="29"/>
        <v>2229349.4367582882</v>
      </c>
      <c r="II12" s="214">
        <f t="shared" si="29"/>
        <v>2229349.4367582882</v>
      </c>
      <c r="IJ12" s="214">
        <f t="shared" si="29"/>
        <v>2229349.4367582882</v>
      </c>
      <c r="IK12" s="214">
        <f t="shared" si="29"/>
        <v>2229349.4367582882</v>
      </c>
      <c r="IL12" s="214">
        <f t="shared" si="29"/>
        <v>2229349.4367582882</v>
      </c>
      <c r="IM12" s="214">
        <f t="shared" si="29"/>
        <v>2229349.4367582882</v>
      </c>
      <c r="IN12" s="214">
        <f t="shared" si="29"/>
        <v>2229349.4367582882</v>
      </c>
      <c r="IO12" s="214">
        <f t="shared" si="29"/>
        <v>2229349.4367582882</v>
      </c>
      <c r="IP12" s="214">
        <f t="shared" si="29"/>
        <v>2229349.4367582882</v>
      </c>
      <c r="IQ12" s="214">
        <f t="shared" si="29"/>
        <v>2229349.4367582882</v>
      </c>
      <c r="IR12" s="214">
        <f t="shared" si="29"/>
        <v>2229349.4367582882</v>
      </c>
      <c r="IS12" s="214">
        <f t="shared" si="29"/>
        <v>2229349.4367582882</v>
      </c>
      <c r="IT12" s="214">
        <f t="shared" si="29"/>
        <v>2229349.4367582882</v>
      </c>
      <c r="IU12" s="214">
        <f t="shared" si="29"/>
        <v>2229349.4367582882</v>
      </c>
      <c r="IV12" s="214">
        <f t="shared" si="29"/>
        <v>2229349.4367582882</v>
      </c>
      <c r="IW12" s="214">
        <f t="shared" si="29"/>
        <v>2229349.4367582882</v>
      </c>
      <c r="IX12" s="214">
        <f t="shared" si="29"/>
        <v>2229349.4367582882</v>
      </c>
      <c r="IY12" s="214">
        <f t="shared" si="29"/>
        <v>2229349.4367582882</v>
      </c>
      <c r="IZ12" s="214">
        <f t="shared" si="29"/>
        <v>2229349.4367582882</v>
      </c>
      <c r="JA12" s="214">
        <f t="shared" si="29"/>
        <v>2229349.4367582882</v>
      </c>
      <c r="JB12" s="214">
        <f t="shared" si="29"/>
        <v>2229349.4367582882</v>
      </c>
      <c r="JC12" s="214">
        <f t="shared" si="29"/>
        <v>2229349.4367582882</v>
      </c>
      <c r="JD12" s="214">
        <f t="shared" si="29"/>
        <v>2229349.4367582882</v>
      </c>
      <c r="JE12" s="214">
        <f t="shared" ref="JE12:LD12" si="30">JD12+JE11</f>
        <v>2229349.4367582882</v>
      </c>
      <c r="JF12" s="214">
        <f t="shared" si="30"/>
        <v>2229349.4367582882</v>
      </c>
      <c r="JG12" s="214">
        <f t="shared" si="30"/>
        <v>2229349.4367582882</v>
      </c>
      <c r="JH12" s="214">
        <f t="shared" si="30"/>
        <v>2229349.4367582882</v>
      </c>
      <c r="JI12" s="214">
        <f t="shared" si="30"/>
        <v>2229349.4367582882</v>
      </c>
      <c r="JJ12" s="214">
        <f t="shared" si="30"/>
        <v>2229349.4367582882</v>
      </c>
      <c r="JK12" s="214">
        <f t="shared" si="30"/>
        <v>2229349.4367582882</v>
      </c>
      <c r="JL12" s="214">
        <f t="shared" si="30"/>
        <v>2229349.4367582882</v>
      </c>
      <c r="JM12" s="214">
        <f t="shared" si="30"/>
        <v>2229349.4367582882</v>
      </c>
      <c r="JN12" s="214">
        <f t="shared" si="30"/>
        <v>2229349.4367582882</v>
      </c>
      <c r="JO12" s="214">
        <f t="shared" si="30"/>
        <v>2229349.4367582882</v>
      </c>
      <c r="JP12" s="214">
        <f t="shared" si="30"/>
        <v>2229349.4367582882</v>
      </c>
      <c r="JQ12" s="214">
        <f t="shared" si="30"/>
        <v>2229349.4367582882</v>
      </c>
      <c r="JR12" s="214">
        <f t="shared" si="30"/>
        <v>2229349.4367582882</v>
      </c>
      <c r="JS12" s="214">
        <f t="shared" si="30"/>
        <v>2229349.4367582882</v>
      </c>
      <c r="JT12" s="214">
        <f t="shared" si="30"/>
        <v>2229349.4367582882</v>
      </c>
      <c r="JU12" s="214">
        <f t="shared" si="30"/>
        <v>2229349.4367582882</v>
      </c>
      <c r="JV12" s="214">
        <f t="shared" si="30"/>
        <v>2229349.4367582882</v>
      </c>
      <c r="JW12" s="214">
        <f t="shared" si="30"/>
        <v>2229349.4367582882</v>
      </c>
      <c r="JX12" s="214">
        <f t="shared" si="30"/>
        <v>2229349.4367582882</v>
      </c>
      <c r="JY12" s="214">
        <f t="shared" si="30"/>
        <v>2229349.4367582882</v>
      </c>
      <c r="JZ12" s="214">
        <f t="shared" si="30"/>
        <v>2229349.4367582882</v>
      </c>
      <c r="KA12" s="214">
        <f t="shared" si="30"/>
        <v>2229349.4367582882</v>
      </c>
      <c r="KB12" s="214">
        <f t="shared" si="30"/>
        <v>2229349.4367582882</v>
      </c>
      <c r="KC12" s="214">
        <f t="shared" si="30"/>
        <v>2229349.4367582882</v>
      </c>
      <c r="KD12" s="214">
        <f t="shared" si="30"/>
        <v>2229349.4367582882</v>
      </c>
      <c r="KE12" s="214">
        <f t="shared" si="30"/>
        <v>2229349.4367582882</v>
      </c>
      <c r="KF12" s="214">
        <f t="shared" si="30"/>
        <v>2229349.4367582882</v>
      </c>
      <c r="KG12" s="214">
        <f t="shared" si="30"/>
        <v>2229349.4367582882</v>
      </c>
      <c r="KH12" s="214">
        <f t="shared" si="30"/>
        <v>2229349.4367582882</v>
      </c>
      <c r="KI12" s="214">
        <f t="shared" si="30"/>
        <v>2229349.4367582882</v>
      </c>
      <c r="KJ12" s="214">
        <f t="shared" si="30"/>
        <v>2229349.4367582882</v>
      </c>
      <c r="KK12" s="214">
        <f t="shared" si="30"/>
        <v>2229349.4367582882</v>
      </c>
      <c r="KL12" s="214">
        <f t="shared" si="30"/>
        <v>2229349.4367582882</v>
      </c>
      <c r="KM12" s="214">
        <f t="shared" si="30"/>
        <v>2229349.4367582882</v>
      </c>
      <c r="KN12" s="214">
        <f t="shared" si="30"/>
        <v>2229349.4367582882</v>
      </c>
      <c r="KO12" s="214">
        <f t="shared" si="30"/>
        <v>2229349.4367582882</v>
      </c>
      <c r="KP12" s="214">
        <f t="shared" si="30"/>
        <v>2229349.4367582882</v>
      </c>
      <c r="KQ12" s="214">
        <f t="shared" si="30"/>
        <v>2229349.4367582882</v>
      </c>
      <c r="KR12" s="214">
        <f t="shared" si="30"/>
        <v>2229349.4367582882</v>
      </c>
      <c r="KS12" s="214">
        <f t="shared" si="30"/>
        <v>2229349.4367582882</v>
      </c>
      <c r="KT12" s="214">
        <f t="shared" si="30"/>
        <v>2229349.4367582882</v>
      </c>
      <c r="KU12" s="214">
        <f t="shared" si="30"/>
        <v>2229349.4367582882</v>
      </c>
      <c r="KV12" s="214">
        <f t="shared" si="30"/>
        <v>2229349.4367582882</v>
      </c>
      <c r="KW12" s="214">
        <f t="shared" si="30"/>
        <v>2229349.4367582882</v>
      </c>
      <c r="KX12" s="214">
        <f t="shared" si="30"/>
        <v>2229349.4367582882</v>
      </c>
      <c r="KY12" s="214">
        <f t="shared" si="30"/>
        <v>2229349.4367582882</v>
      </c>
      <c r="KZ12" s="214">
        <f t="shared" si="30"/>
        <v>2229349.4367582882</v>
      </c>
      <c r="LA12" s="214">
        <f t="shared" si="30"/>
        <v>2229349.4367582882</v>
      </c>
      <c r="LB12" s="214">
        <f t="shared" si="30"/>
        <v>2229349.4367582882</v>
      </c>
      <c r="LC12" s="214">
        <f t="shared" si="30"/>
        <v>2229349.4367582882</v>
      </c>
      <c r="LD12" s="214">
        <f t="shared" si="30"/>
        <v>2229349.4367582882</v>
      </c>
      <c r="LE12" s="191"/>
      <c r="LF12" s="202"/>
    </row>
    <row r="13" spans="1:794" s="191" customFormat="1">
      <c r="A13" s="77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77"/>
      <c r="B14" s="204" t="s">
        <v>408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-9019.6</v>
      </c>
      <c r="R14" s="207">
        <f t="shared" si="32"/>
        <v>-9019.6</v>
      </c>
      <c r="S14" s="207">
        <f t="shared" si="32"/>
        <v>-9019.6</v>
      </c>
      <c r="T14" s="207">
        <f t="shared" si="32"/>
        <v>522161.66013261001</v>
      </c>
      <c r="U14" s="207">
        <f t="shared" si="32"/>
        <v>514411.66013261001</v>
      </c>
      <c r="V14" s="207">
        <f t="shared" si="32"/>
        <v>514411.66013261001</v>
      </c>
      <c r="W14" s="207">
        <f t="shared" si="32"/>
        <v>512161.16013261001</v>
      </c>
      <c r="X14" s="207">
        <f t="shared" si="32"/>
        <v>484606.16013261001</v>
      </c>
      <c r="Y14" s="207">
        <f t="shared" si="32"/>
        <v>477071.60013261001</v>
      </c>
      <c r="Z14" s="207">
        <f t="shared" si="32"/>
        <v>469447.55013260996</v>
      </c>
      <c r="AA14" s="207">
        <f t="shared" si="32"/>
        <v>424139.86013260996</v>
      </c>
      <c r="AB14" s="207">
        <f t="shared" si="32"/>
        <v>325388.08713260997</v>
      </c>
      <c r="AC14" s="207">
        <f t="shared" si="32"/>
        <v>1242780.4923646774</v>
      </c>
      <c r="AD14" s="207">
        <f t="shared" si="32"/>
        <v>1043780.4923646774</v>
      </c>
      <c r="AE14" s="207">
        <f t="shared" si="32"/>
        <v>1035182.1423646774</v>
      </c>
      <c r="AF14" s="207">
        <f t="shared" si="32"/>
        <v>1035182.1423646774</v>
      </c>
      <c r="AG14" s="207">
        <f t="shared" si="32"/>
        <v>222142.75236467738</v>
      </c>
      <c r="AH14" s="207">
        <f t="shared" si="32"/>
        <v>222142.75236467738</v>
      </c>
      <c r="AI14" s="207">
        <f t="shared" si="32"/>
        <v>222142.75236467738</v>
      </c>
      <c r="AJ14" s="207">
        <f t="shared" si="32"/>
        <v>886119.32753043994</v>
      </c>
      <c r="AK14" s="207">
        <f t="shared" si="32"/>
        <v>802274.76877215179</v>
      </c>
      <c r="AL14" s="207">
        <f t="shared" si="32"/>
        <v>799213.33877215185</v>
      </c>
      <c r="AM14" s="207">
        <f t="shared" si="32"/>
        <v>799213.33877215185</v>
      </c>
      <c r="AN14" s="207">
        <f t="shared" si="32"/>
        <v>1190541.6538716096</v>
      </c>
      <c r="AO14" s="207">
        <f t="shared" si="32"/>
        <v>738586.78590476234</v>
      </c>
      <c r="AP14" s="207">
        <f t="shared" si="32"/>
        <v>627750.27590476233</v>
      </c>
      <c r="AQ14" s="207">
        <f t="shared" si="32"/>
        <v>626442.44590476225</v>
      </c>
      <c r="AR14" s="207">
        <f t="shared" si="32"/>
        <v>626442.44590476225</v>
      </c>
      <c r="AS14" s="207">
        <f t="shared" si="32"/>
        <v>626442.44590476225</v>
      </c>
      <c r="AT14" s="207">
        <f t="shared" si="32"/>
        <v>626205.34590476216</v>
      </c>
      <c r="AU14" s="207">
        <f t="shared" si="32"/>
        <v>574970.26590476208</v>
      </c>
      <c r="AV14" s="207">
        <f t="shared" si="32"/>
        <v>574970.26590476208</v>
      </c>
      <c r="AW14" s="207">
        <f t="shared" si="32"/>
        <v>574970.26590476208</v>
      </c>
      <c r="AX14" s="207">
        <f t="shared" si="32"/>
        <v>539891.04590476211</v>
      </c>
      <c r="AY14" s="207">
        <f t="shared" si="32"/>
        <v>539891.04590476211</v>
      </c>
      <c r="AZ14" s="207">
        <f t="shared" si="32"/>
        <v>539891.04590476211</v>
      </c>
      <c r="BA14" s="207">
        <f t="shared" si="32"/>
        <v>516510.06790476199</v>
      </c>
      <c r="BB14" s="207">
        <f t="shared" si="32"/>
        <v>516510.06790476199</v>
      </c>
      <c r="BC14" s="207">
        <f t="shared" si="32"/>
        <v>516510.06790476199</v>
      </c>
      <c r="BD14" s="207">
        <f t="shared" si="32"/>
        <v>507660.06790476199</v>
      </c>
      <c r="BE14" s="207">
        <f t="shared" si="32"/>
        <v>471694.86390476208</v>
      </c>
      <c r="BF14" s="207">
        <f t="shared" si="32"/>
        <v>471694.86390476208</v>
      </c>
      <c r="BG14" s="207">
        <f t="shared" si="32"/>
        <v>471694.86390476208</v>
      </c>
      <c r="BH14" s="207">
        <f t="shared" si="32"/>
        <v>431759.86390476208</v>
      </c>
      <c r="BI14" s="207">
        <f t="shared" si="32"/>
        <v>426556.86390476208</v>
      </c>
      <c r="BJ14" s="207">
        <f t="shared" si="32"/>
        <v>426556.86390476208</v>
      </c>
      <c r="BK14" s="207">
        <f t="shared" si="32"/>
        <v>426556.86390476208</v>
      </c>
      <c r="BL14" s="207">
        <f t="shared" si="32"/>
        <v>426556.86390476208</v>
      </c>
      <c r="BM14" s="207">
        <f t="shared" si="32"/>
        <v>426556.86390476208</v>
      </c>
      <c r="BN14" s="207">
        <f t="shared" si="32"/>
        <v>426556.86390476208</v>
      </c>
      <c r="BO14" s="207">
        <f t="shared" si="32"/>
        <v>426556.86390476208</v>
      </c>
      <c r="BP14" s="207">
        <f t="shared" si="32"/>
        <v>426556.86390476208</v>
      </c>
      <c r="BQ14" s="207">
        <f t="shared" si="32"/>
        <v>426556.86390476208</v>
      </c>
      <c r="BR14" s="207">
        <f t="shared" si="32"/>
        <v>426556.86390476208</v>
      </c>
      <c r="BS14" s="207">
        <f t="shared" si="32"/>
        <v>426556.86390476208</v>
      </c>
      <c r="BT14" s="207">
        <f t="shared" si="32"/>
        <v>426556.86390476208</v>
      </c>
      <c r="BU14" s="207">
        <f t="shared" ref="BU14:EF14" si="33">BU10-BU12</f>
        <v>426556.86390476208</v>
      </c>
      <c r="BV14" s="207">
        <f t="shared" si="33"/>
        <v>426556.86390476208</v>
      </c>
      <c r="BW14" s="207">
        <f t="shared" si="33"/>
        <v>426556.86390476208</v>
      </c>
      <c r="BX14" s="207">
        <f t="shared" si="33"/>
        <v>426556.86390476208</v>
      </c>
      <c r="BY14" s="207">
        <f t="shared" si="33"/>
        <v>426556.86390476208</v>
      </c>
      <c r="BZ14" s="207">
        <f t="shared" si="33"/>
        <v>426556.86390476208</v>
      </c>
      <c r="CA14" s="207">
        <f t="shared" si="33"/>
        <v>426556.86390476208</v>
      </c>
      <c r="CB14" s="207">
        <f t="shared" si="33"/>
        <v>426556.86390476208</v>
      </c>
      <c r="CC14" s="207">
        <f t="shared" si="33"/>
        <v>426556.86390476208</v>
      </c>
      <c r="CD14" s="207">
        <f t="shared" si="33"/>
        <v>426556.86390476208</v>
      </c>
      <c r="CE14" s="207">
        <f t="shared" si="33"/>
        <v>426556.86390476208</v>
      </c>
      <c r="CF14" s="207">
        <f t="shared" si="33"/>
        <v>426556.86390476208</v>
      </c>
      <c r="CG14" s="207">
        <f t="shared" si="33"/>
        <v>426556.86390476208</v>
      </c>
      <c r="CH14" s="207">
        <f t="shared" si="33"/>
        <v>426556.86390476208</v>
      </c>
      <c r="CI14" s="207">
        <f t="shared" si="33"/>
        <v>426556.86390476208</v>
      </c>
      <c r="CJ14" s="207">
        <f t="shared" si="33"/>
        <v>426556.86390476208</v>
      </c>
      <c r="CK14" s="207">
        <f t="shared" si="33"/>
        <v>426556.86390476208</v>
      </c>
      <c r="CL14" s="207">
        <f t="shared" si="33"/>
        <v>426556.86390476208</v>
      </c>
      <c r="CM14" s="207">
        <f t="shared" si="33"/>
        <v>426556.86390476208</v>
      </c>
      <c r="CN14" s="207">
        <f t="shared" si="33"/>
        <v>426556.86390476208</v>
      </c>
      <c r="CO14" s="207">
        <f t="shared" si="33"/>
        <v>426556.86390476208</v>
      </c>
      <c r="CP14" s="207">
        <f t="shared" si="33"/>
        <v>426556.86390476208</v>
      </c>
      <c r="CQ14" s="207">
        <f t="shared" si="33"/>
        <v>426556.86390476208</v>
      </c>
      <c r="CR14" s="207">
        <f t="shared" si="33"/>
        <v>426556.86390476208</v>
      </c>
      <c r="CS14" s="207">
        <f t="shared" si="33"/>
        <v>426556.86390476208</v>
      </c>
      <c r="CT14" s="207">
        <f t="shared" si="33"/>
        <v>426556.86390476208</v>
      </c>
      <c r="CU14" s="207">
        <f t="shared" si="33"/>
        <v>426556.86390476208</v>
      </c>
      <c r="CV14" s="207">
        <f t="shared" si="33"/>
        <v>426556.86390476208</v>
      </c>
      <c r="CW14" s="207">
        <f t="shared" si="33"/>
        <v>426556.86390476208</v>
      </c>
      <c r="CX14" s="207">
        <f t="shared" si="33"/>
        <v>426556.86390476208</v>
      </c>
      <c r="CY14" s="207">
        <f t="shared" si="33"/>
        <v>426556.86390476208</v>
      </c>
      <c r="CZ14" s="207">
        <f t="shared" si="33"/>
        <v>426556.86390476208</v>
      </c>
      <c r="DA14" s="207">
        <f t="shared" si="33"/>
        <v>426556.86390476208</v>
      </c>
      <c r="DB14" s="207">
        <f t="shared" si="33"/>
        <v>426556.86390476208</v>
      </c>
      <c r="DC14" s="207">
        <f t="shared" si="33"/>
        <v>426556.86390476208</v>
      </c>
      <c r="DD14" s="207">
        <f t="shared" si="33"/>
        <v>426556.86390476208</v>
      </c>
      <c r="DE14" s="207">
        <f t="shared" si="33"/>
        <v>426556.86390476208</v>
      </c>
      <c r="DF14" s="207">
        <f t="shared" si="33"/>
        <v>426556.86390476208</v>
      </c>
      <c r="DG14" s="207">
        <f t="shared" si="33"/>
        <v>426556.86390476208</v>
      </c>
      <c r="DH14" s="207">
        <f t="shared" si="33"/>
        <v>426556.86390476208</v>
      </c>
      <c r="DI14" s="207">
        <f t="shared" si="33"/>
        <v>426556.86390476208</v>
      </c>
      <c r="DJ14" s="207">
        <f t="shared" si="33"/>
        <v>426556.86390476208</v>
      </c>
      <c r="DK14" s="207">
        <f t="shared" si="33"/>
        <v>426556.86390476208</v>
      </c>
      <c r="DL14" s="207">
        <f t="shared" si="33"/>
        <v>426556.86390476208</v>
      </c>
      <c r="DM14" s="207">
        <f t="shared" si="33"/>
        <v>426556.86390476208</v>
      </c>
      <c r="DN14" s="207">
        <f t="shared" si="33"/>
        <v>426556.86390476208</v>
      </c>
      <c r="DO14" s="207">
        <f t="shared" si="33"/>
        <v>426556.86390476208</v>
      </c>
      <c r="DP14" s="207">
        <f t="shared" si="33"/>
        <v>426556.86390476208</v>
      </c>
      <c r="DQ14" s="207">
        <f t="shared" si="33"/>
        <v>426556.86390476208</v>
      </c>
      <c r="DR14" s="207">
        <f t="shared" si="33"/>
        <v>426556.86390476208</v>
      </c>
      <c r="DS14" s="207">
        <f t="shared" si="33"/>
        <v>426556.86390476208</v>
      </c>
      <c r="DT14" s="207">
        <f t="shared" si="33"/>
        <v>426556.86390476208</v>
      </c>
      <c r="DU14" s="207">
        <f t="shared" si="33"/>
        <v>426556.86390476208</v>
      </c>
      <c r="DV14" s="207">
        <f t="shared" si="33"/>
        <v>426556.86390476208</v>
      </c>
      <c r="DW14" s="207">
        <f t="shared" si="33"/>
        <v>426556.86390476208</v>
      </c>
      <c r="DX14" s="207">
        <f t="shared" si="33"/>
        <v>426556.86390476208</v>
      </c>
      <c r="DY14" s="207">
        <f t="shared" si="33"/>
        <v>426556.86390476208</v>
      </c>
      <c r="DZ14" s="207">
        <f t="shared" si="33"/>
        <v>426556.86390476208</v>
      </c>
      <c r="EA14" s="207">
        <f t="shared" si="33"/>
        <v>426556.86390476208</v>
      </c>
      <c r="EB14" s="207">
        <f t="shared" si="33"/>
        <v>426556.86390476208</v>
      </c>
      <c r="EC14" s="207">
        <f t="shared" si="33"/>
        <v>426556.86390476208</v>
      </c>
      <c r="ED14" s="207">
        <f t="shared" si="33"/>
        <v>426556.86390476208</v>
      </c>
      <c r="EE14" s="207">
        <f t="shared" si="33"/>
        <v>426556.86390476208</v>
      </c>
      <c r="EF14" s="207">
        <f t="shared" si="33"/>
        <v>426556.86390476208</v>
      </c>
      <c r="EG14" s="207">
        <f t="shared" ref="EG14:GR14" si="34">EG10-EG12</f>
        <v>426556.86390476208</v>
      </c>
      <c r="EH14" s="207">
        <f t="shared" si="34"/>
        <v>426556.86390476208</v>
      </c>
      <c r="EI14" s="207">
        <f t="shared" si="34"/>
        <v>426556.86390476208</v>
      </c>
      <c r="EJ14" s="207">
        <f t="shared" si="34"/>
        <v>426556.86390476208</v>
      </c>
      <c r="EK14" s="207">
        <f t="shared" si="34"/>
        <v>426556.86390476208</v>
      </c>
      <c r="EL14" s="207">
        <f t="shared" si="34"/>
        <v>426556.86390476208</v>
      </c>
      <c r="EM14" s="207">
        <f t="shared" si="34"/>
        <v>426556.86390476208</v>
      </c>
      <c r="EN14" s="207">
        <f t="shared" si="34"/>
        <v>426556.86390476208</v>
      </c>
      <c r="EO14" s="207">
        <f t="shared" si="34"/>
        <v>426556.86390476208</v>
      </c>
      <c r="EP14" s="207">
        <f t="shared" si="34"/>
        <v>426556.86390476208</v>
      </c>
      <c r="EQ14" s="207">
        <f t="shared" si="34"/>
        <v>426556.86390476208</v>
      </c>
      <c r="ER14" s="207">
        <f t="shared" si="34"/>
        <v>426556.86390476208</v>
      </c>
      <c r="ES14" s="207">
        <f t="shared" si="34"/>
        <v>426556.86390476208</v>
      </c>
      <c r="ET14" s="207">
        <f t="shared" si="34"/>
        <v>426556.86390476208</v>
      </c>
      <c r="EU14" s="207">
        <f t="shared" si="34"/>
        <v>426556.86390476208</v>
      </c>
      <c r="EV14" s="207">
        <f t="shared" si="34"/>
        <v>426556.86390476208</v>
      </c>
      <c r="EW14" s="207">
        <f t="shared" si="34"/>
        <v>426556.86390476208</v>
      </c>
      <c r="EX14" s="207">
        <f t="shared" si="34"/>
        <v>426556.86390476208</v>
      </c>
      <c r="EY14" s="207">
        <f t="shared" si="34"/>
        <v>426556.86390476208</v>
      </c>
      <c r="EZ14" s="207">
        <f t="shared" si="34"/>
        <v>426556.86390476208</v>
      </c>
      <c r="FA14" s="207">
        <f t="shared" si="34"/>
        <v>426556.86390476208</v>
      </c>
      <c r="FB14" s="207">
        <f t="shared" si="34"/>
        <v>426556.86390476208</v>
      </c>
      <c r="FC14" s="207">
        <f t="shared" si="34"/>
        <v>426556.86390476208</v>
      </c>
      <c r="FD14" s="207">
        <f t="shared" si="34"/>
        <v>426556.86390476208</v>
      </c>
      <c r="FE14" s="207">
        <f t="shared" si="34"/>
        <v>426556.86390476208</v>
      </c>
      <c r="FF14" s="207">
        <f t="shared" si="34"/>
        <v>426556.86390476208</v>
      </c>
      <c r="FG14" s="207">
        <f t="shared" si="34"/>
        <v>426556.86390476208</v>
      </c>
      <c r="FH14" s="207">
        <f t="shared" si="34"/>
        <v>426556.86390476208</v>
      </c>
      <c r="FI14" s="207">
        <f t="shared" si="34"/>
        <v>426556.86390476208</v>
      </c>
      <c r="FJ14" s="207">
        <f t="shared" si="34"/>
        <v>426556.86390476208</v>
      </c>
      <c r="FK14" s="207">
        <f t="shared" si="34"/>
        <v>426556.86390476208</v>
      </c>
      <c r="FL14" s="207">
        <f t="shared" si="34"/>
        <v>426556.86390476208</v>
      </c>
      <c r="FM14" s="207">
        <f t="shared" si="34"/>
        <v>426556.86390476208</v>
      </c>
      <c r="FN14" s="207">
        <f t="shared" si="34"/>
        <v>426556.86390476208</v>
      </c>
      <c r="FO14" s="207">
        <f t="shared" si="34"/>
        <v>426556.86390476208</v>
      </c>
      <c r="FP14" s="207">
        <f t="shared" si="34"/>
        <v>426556.86390476208</v>
      </c>
      <c r="FQ14" s="207">
        <f t="shared" si="34"/>
        <v>426556.86390476208</v>
      </c>
      <c r="FR14" s="207">
        <f t="shared" si="34"/>
        <v>426556.86390476208</v>
      </c>
      <c r="FS14" s="207">
        <f t="shared" si="34"/>
        <v>426556.86390476208</v>
      </c>
      <c r="FT14" s="207">
        <f t="shared" si="34"/>
        <v>426556.86390476208</v>
      </c>
      <c r="FU14" s="207">
        <f t="shared" si="34"/>
        <v>426556.86390476208</v>
      </c>
      <c r="FV14" s="207">
        <f t="shared" si="34"/>
        <v>426556.86390476208</v>
      </c>
      <c r="FW14" s="207">
        <f t="shared" si="34"/>
        <v>426556.86390476208</v>
      </c>
      <c r="FX14" s="207">
        <f t="shared" si="34"/>
        <v>426556.86390476208</v>
      </c>
      <c r="FY14" s="207">
        <f t="shared" si="34"/>
        <v>426556.86390476208</v>
      </c>
      <c r="FZ14" s="207">
        <f t="shared" si="34"/>
        <v>426556.86390476208</v>
      </c>
      <c r="GA14" s="207">
        <f t="shared" si="34"/>
        <v>426556.86390476208</v>
      </c>
      <c r="GB14" s="207">
        <f t="shared" si="34"/>
        <v>426556.86390476208</v>
      </c>
      <c r="GC14" s="207">
        <f t="shared" si="34"/>
        <v>426556.86390476208</v>
      </c>
      <c r="GD14" s="207">
        <f t="shared" si="34"/>
        <v>426556.86390476208</v>
      </c>
      <c r="GE14" s="207">
        <f t="shared" si="34"/>
        <v>426556.86390476208</v>
      </c>
      <c r="GF14" s="207">
        <f t="shared" si="34"/>
        <v>426556.86390476208</v>
      </c>
      <c r="GG14" s="207">
        <f t="shared" si="34"/>
        <v>426556.86390476208</v>
      </c>
      <c r="GH14" s="207">
        <f t="shared" si="34"/>
        <v>426556.86390476208</v>
      </c>
      <c r="GI14" s="207">
        <f t="shared" si="34"/>
        <v>426556.86390476208</v>
      </c>
      <c r="GJ14" s="207">
        <f t="shared" si="34"/>
        <v>426556.86390476208</v>
      </c>
      <c r="GK14" s="207">
        <f t="shared" si="34"/>
        <v>426556.86390476208</v>
      </c>
      <c r="GL14" s="207">
        <f t="shared" si="34"/>
        <v>426556.86390476208</v>
      </c>
      <c r="GM14" s="207">
        <f t="shared" si="34"/>
        <v>426556.86390476208</v>
      </c>
      <c r="GN14" s="207">
        <f t="shared" si="34"/>
        <v>426556.86390476208</v>
      </c>
      <c r="GO14" s="207">
        <f t="shared" si="34"/>
        <v>426556.86390476208</v>
      </c>
      <c r="GP14" s="207">
        <f t="shared" si="34"/>
        <v>426556.86390476208</v>
      </c>
      <c r="GQ14" s="207">
        <f t="shared" si="34"/>
        <v>426556.86390476208</v>
      </c>
      <c r="GR14" s="207">
        <f t="shared" si="34"/>
        <v>426556.86390476208</v>
      </c>
      <c r="GS14" s="207">
        <f t="shared" ref="GS14:JD14" si="35">GS10-GS12</f>
        <v>426556.86390476208</v>
      </c>
      <c r="GT14" s="207">
        <f t="shared" si="35"/>
        <v>426556.86390476208</v>
      </c>
      <c r="GU14" s="207">
        <f t="shared" si="35"/>
        <v>426556.86390476208</v>
      </c>
      <c r="GV14" s="207">
        <f t="shared" si="35"/>
        <v>426556.86390476208</v>
      </c>
      <c r="GW14" s="207">
        <f t="shared" si="35"/>
        <v>426556.86390476208</v>
      </c>
      <c r="GX14" s="207">
        <f t="shared" si="35"/>
        <v>426556.86390476208</v>
      </c>
      <c r="GY14" s="207">
        <f t="shared" si="35"/>
        <v>426556.86390476208</v>
      </c>
      <c r="GZ14" s="207">
        <f t="shared" si="35"/>
        <v>426556.86390476208</v>
      </c>
      <c r="HA14" s="207">
        <f t="shared" si="35"/>
        <v>426556.86390476208</v>
      </c>
      <c r="HB14" s="207">
        <f t="shared" si="35"/>
        <v>426556.86390476208</v>
      </c>
      <c r="HC14" s="207">
        <f t="shared" si="35"/>
        <v>426556.86390476208</v>
      </c>
      <c r="HD14" s="207">
        <f t="shared" si="35"/>
        <v>426556.86390476208</v>
      </c>
      <c r="HE14" s="207">
        <f t="shared" si="35"/>
        <v>426556.86390476208</v>
      </c>
      <c r="HF14" s="207">
        <f t="shared" si="35"/>
        <v>426556.86390476208</v>
      </c>
      <c r="HG14" s="207">
        <f t="shared" si="35"/>
        <v>426556.86390476208</v>
      </c>
      <c r="HH14" s="207">
        <f t="shared" si="35"/>
        <v>426556.86390476208</v>
      </c>
      <c r="HI14" s="207">
        <f t="shared" si="35"/>
        <v>426556.86390476208</v>
      </c>
      <c r="HJ14" s="207">
        <f t="shared" si="35"/>
        <v>426556.86390476208</v>
      </c>
      <c r="HK14" s="207">
        <f t="shared" si="35"/>
        <v>426556.86390476208</v>
      </c>
      <c r="HL14" s="207">
        <f t="shared" si="35"/>
        <v>426556.86390476208</v>
      </c>
      <c r="HM14" s="207">
        <f t="shared" si="35"/>
        <v>426556.86390476208</v>
      </c>
      <c r="HN14" s="207">
        <f t="shared" si="35"/>
        <v>426556.86390476208</v>
      </c>
      <c r="HO14" s="207">
        <f t="shared" si="35"/>
        <v>426556.86390476208</v>
      </c>
      <c r="HP14" s="207">
        <f t="shared" si="35"/>
        <v>426556.86390476208</v>
      </c>
      <c r="HQ14" s="207">
        <f t="shared" si="35"/>
        <v>426556.86390476208</v>
      </c>
      <c r="HR14" s="207">
        <f t="shared" si="35"/>
        <v>426556.86390476208</v>
      </c>
      <c r="HS14" s="207">
        <f t="shared" si="35"/>
        <v>426556.86390476208</v>
      </c>
      <c r="HT14" s="207">
        <f t="shared" si="35"/>
        <v>426556.86390476208</v>
      </c>
      <c r="HU14" s="207">
        <f t="shared" si="35"/>
        <v>426556.86390476208</v>
      </c>
      <c r="HV14" s="207">
        <f t="shared" si="35"/>
        <v>426556.86390476208</v>
      </c>
      <c r="HW14" s="207">
        <f t="shared" si="35"/>
        <v>426556.86390476208</v>
      </c>
      <c r="HX14" s="207">
        <f t="shared" si="35"/>
        <v>426556.86390476208</v>
      </c>
      <c r="HY14" s="207">
        <f t="shared" si="35"/>
        <v>426556.86390476208</v>
      </c>
      <c r="HZ14" s="207">
        <f t="shared" si="35"/>
        <v>426556.86390476208</v>
      </c>
      <c r="IA14" s="207">
        <f t="shared" si="35"/>
        <v>426556.86390476208</v>
      </c>
      <c r="IB14" s="207">
        <f t="shared" si="35"/>
        <v>426556.86390476208</v>
      </c>
      <c r="IC14" s="207">
        <f t="shared" si="35"/>
        <v>426556.86390476208</v>
      </c>
      <c r="ID14" s="207">
        <f t="shared" si="35"/>
        <v>426556.86390476208</v>
      </c>
      <c r="IE14" s="207">
        <f t="shared" si="35"/>
        <v>426556.86390476208</v>
      </c>
      <c r="IF14" s="207">
        <f t="shared" si="35"/>
        <v>426556.86390476208</v>
      </c>
      <c r="IG14" s="207">
        <f t="shared" si="35"/>
        <v>426556.86390476208</v>
      </c>
      <c r="IH14" s="207">
        <f t="shared" si="35"/>
        <v>426556.86390476208</v>
      </c>
      <c r="II14" s="207">
        <f t="shared" si="35"/>
        <v>426556.86390476208</v>
      </c>
      <c r="IJ14" s="207">
        <f t="shared" si="35"/>
        <v>426556.86390476208</v>
      </c>
      <c r="IK14" s="207">
        <f t="shared" si="35"/>
        <v>426556.86390476208</v>
      </c>
      <c r="IL14" s="207">
        <f t="shared" si="35"/>
        <v>426556.86390476208</v>
      </c>
      <c r="IM14" s="207">
        <f t="shared" si="35"/>
        <v>426556.86390476208</v>
      </c>
      <c r="IN14" s="207">
        <f t="shared" si="35"/>
        <v>426556.86390476208</v>
      </c>
      <c r="IO14" s="207">
        <f t="shared" si="35"/>
        <v>426556.86390476208</v>
      </c>
      <c r="IP14" s="207">
        <f t="shared" si="35"/>
        <v>426556.86390476208</v>
      </c>
      <c r="IQ14" s="207">
        <f t="shared" si="35"/>
        <v>426556.86390476208</v>
      </c>
      <c r="IR14" s="207">
        <f t="shared" si="35"/>
        <v>426556.86390476208</v>
      </c>
      <c r="IS14" s="207">
        <f t="shared" si="35"/>
        <v>426556.86390476208</v>
      </c>
      <c r="IT14" s="207">
        <f t="shared" si="35"/>
        <v>426556.86390476208</v>
      </c>
      <c r="IU14" s="207">
        <f t="shared" si="35"/>
        <v>426556.86390476208</v>
      </c>
      <c r="IV14" s="207">
        <f t="shared" si="35"/>
        <v>426556.86390476208</v>
      </c>
      <c r="IW14" s="207">
        <f t="shared" si="35"/>
        <v>426556.86390476208</v>
      </c>
      <c r="IX14" s="207">
        <f t="shared" si="35"/>
        <v>426556.86390476208</v>
      </c>
      <c r="IY14" s="207">
        <f t="shared" si="35"/>
        <v>426556.86390476208</v>
      </c>
      <c r="IZ14" s="207">
        <f t="shared" si="35"/>
        <v>426556.86390476208</v>
      </c>
      <c r="JA14" s="207">
        <f t="shared" si="35"/>
        <v>426556.86390476208</v>
      </c>
      <c r="JB14" s="207">
        <f t="shared" si="35"/>
        <v>426556.86390476208</v>
      </c>
      <c r="JC14" s="207">
        <f t="shared" si="35"/>
        <v>426556.86390476208</v>
      </c>
      <c r="JD14" s="207">
        <f t="shared" si="35"/>
        <v>426556.86390476208</v>
      </c>
      <c r="JE14" s="207">
        <f t="shared" ref="JE14:LD14" si="36">JE10-JE12</f>
        <v>426556.86390476208</v>
      </c>
      <c r="JF14" s="207">
        <f t="shared" si="36"/>
        <v>426556.86390476208</v>
      </c>
      <c r="JG14" s="207">
        <f t="shared" si="36"/>
        <v>426556.86390476208</v>
      </c>
      <c r="JH14" s="207">
        <f t="shared" si="36"/>
        <v>426556.86390476208</v>
      </c>
      <c r="JI14" s="207">
        <f t="shared" si="36"/>
        <v>426556.86390476208</v>
      </c>
      <c r="JJ14" s="207">
        <f t="shared" si="36"/>
        <v>426556.86390476208</v>
      </c>
      <c r="JK14" s="207">
        <f t="shared" si="36"/>
        <v>426556.86390476208</v>
      </c>
      <c r="JL14" s="207">
        <f t="shared" si="36"/>
        <v>426556.86390476208</v>
      </c>
      <c r="JM14" s="207">
        <f t="shared" si="36"/>
        <v>426556.86390476208</v>
      </c>
      <c r="JN14" s="207">
        <f t="shared" si="36"/>
        <v>426556.86390476208</v>
      </c>
      <c r="JO14" s="207">
        <f t="shared" si="36"/>
        <v>426556.86390476208</v>
      </c>
      <c r="JP14" s="207">
        <f t="shared" si="36"/>
        <v>426556.86390476208</v>
      </c>
      <c r="JQ14" s="207">
        <f t="shared" si="36"/>
        <v>426556.86390476208</v>
      </c>
      <c r="JR14" s="207">
        <f t="shared" si="36"/>
        <v>426556.86390476208</v>
      </c>
      <c r="JS14" s="207">
        <f t="shared" si="36"/>
        <v>426556.86390476208</v>
      </c>
      <c r="JT14" s="207">
        <f t="shared" si="36"/>
        <v>426556.86390476208</v>
      </c>
      <c r="JU14" s="207">
        <f t="shared" si="36"/>
        <v>426556.86390476208</v>
      </c>
      <c r="JV14" s="207">
        <f t="shared" si="36"/>
        <v>426556.86390476208</v>
      </c>
      <c r="JW14" s="207">
        <f t="shared" si="36"/>
        <v>426556.86390476208</v>
      </c>
      <c r="JX14" s="207">
        <f t="shared" si="36"/>
        <v>426556.86390476208</v>
      </c>
      <c r="JY14" s="207">
        <f t="shared" si="36"/>
        <v>426556.86390476208</v>
      </c>
      <c r="JZ14" s="207">
        <f t="shared" si="36"/>
        <v>426556.86390476208</v>
      </c>
      <c r="KA14" s="207">
        <f t="shared" si="36"/>
        <v>426556.86390476208</v>
      </c>
      <c r="KB14" s="207">
        <f t="shared" si="36"/>
        <v>426556.86390476208</v>
      </c>
      <c r="KC14" s="207">
        <f t="shared" si="36"/>
        <v>426556.86390476208</v>
      </c>
      <c r="KD14" s="207">
        <f t="shared" si="36"/>
        <v>426556.86390476208</v>
      </c>
      <c r="KE14" s="207">
        <f t="shared" si="36"/>
        <v>426556.86390476208</v>
      </c>
      <c r="KF14" s="207">
        <f t="shared" si="36"/>
        <v>426556.86390476208</v>
      </c>
      <c r="KG14" s="207">
        <f t="shared" si="36"/>
        <v>426556.86390476208</v>
      </c>
      <c r="KH14" s="207">
        <f t="shared" si="36"/>
        <v>426556.86390476208</v>
      </c>
      <c r="KI14" s="207">
        <f t="shared" si="36"/>
        <v>426556.86390476208</v>
      </c>
      <c r="KJ14" s="207">
        <f t="shared" si="36"/>
        <v>426556.86390476208</v>
      </c>
      <c r="KK14" s="207">
        <f t="shared" si="36"/>
        <v>426556.86390476208</v>
      </c>
      <c r="KL14" s="207">
        <f t="shared" si="36"/>
        <v>426556.86390476208</v>
      </c>
      <c r="KM14" s="207">
        <f t="shared" si="36"/>
        <v>426556.86390476208</v>
      </c>
      <c r="KN14" s="207">
        <f t="shared" si="36"/>
        <v>426556.86390476208</v>
      </c>
      <c r="KO14" s="207">
        <f t="shared" si="36"/>
        <v>426556.86390476208</v>
      </c>
      <c r="KP14" s="207">
        <f t="shared" si="36"/>
        <v>426556.86390476208</v>
      </c>
      <c r="KQ14" s="207">
        <f t="shared" si="36"/>
        <v>426556.86390476208</v>
      </c>
      <c r="KR14" s="207">
        <f t="shared" si="36"/>
        <v>426556.86390476208</v>
      </c>
      <c r="KS14" s="207">
        <f t="shared" si="36"/>
        <v>426556.86390476208</v>
      </c>
      <c r="KT14" s="207">
        <f t="shared" si="36"/>
        <v>426556.86390476208</v>
      </c>
      <c r="KU14" s="207">
        <f t="shared" si="36"/>
        <v>426556.86390476208</v>
      </c>
      <c r="KV14" s="207">
        <f t="shared" si="36"/>
        <v>426556.86390476208</v>
      </c>
      <c r="KW14" s="207">
        <f t="shared" si="36"/>
        <v>426556.86390476208</v>
      </c>
      <c r="KX14" s="207">
        <f t="shared" si="36"/>
        <v>426556.86390476208</v>
      </c>
      <c r="KY14" s="207">
        <f t="shared" si="36"/>
        <v>426556.86390476208</v>
      </c>
      <c r="KZ14" s="207">
        <f t="shared" si="36"/>
        <v>426556.86390476208</v>
      </c>
      <c r="LA14" s="207">
        <f t="shared" si="36"/>
        <v>426556.86390476208</v>
      </c>
      <c r="LB14" s="207">
        <f t="shared" si="36"/>
        <v>426556.86390476208</v>
      </c>
      <c r="LC14" s="207">
        <f t="shared" si="36"/>
        <v>426556.86390476208</v>
      </c>
      <c r="LD14" s="207">
        <f t="shared" si="36"/>
        <v>426556.86390476208</v>
      </c>
    </row>
    <row r="15" spans="1:794" s="191" customFormat="1"/>
    <row r="16" spans="1:794" s="191" customFormat="1">
      <c r="C16" s="193" t="s">
        <v>233</v>
      </c>
      <c r="D16" s="193" t="s">
        <v>233</v>
      </c>
    </row>
    <row r="17" spans="1:316">
      <c r="A17" s="778"/>
      <c r="B17" s="195" t="s">
        <v>409</v>
      </c>
      <c r="C17" s="375">
        <f>C3-D17</f>
        <v>3.0123223550617695E-3</v>
      </c>
      <c r="D17" s="196">
        <f>SUM(F17:LD17)</f>
        <v>2655906.2976507274</v>
      </c>
      <c r="E17" s="206"/>
      <c r="F17" s="214">
        <f>SUMIFS('Expenditure Breakdown'!$U$6:$U$184, 'Expenditure Breakdown'!$T$6:$T$184, "&gt;="&amp;F1,'Expenditure Breakdown'!$T$6:$T$184, "&lt;"&amp;G1)</f>
        <v>0</v>
      </c>
      <c r="G17" s="214">
        <f>SUMIFS('Expenditure Breakdown'!$U$6:$U$184, 'Expenditure Breakdown'!$T$6:$T$184, "&gt;="&amp;G1,'Expenditure Breakdown'!$T$6:$T$184, "&lt;"&amp;H1)</f>
        <v>0</v>
      </c>
      <c r="H17" s="214">
        <f>SUMIFS('Expenditure Breakdown'!$U$6:$U$184, 'Expenditure Breakdown'!$T$6:$T$184, "&gt;="&amp;H1,'Expenditure Breakdown'!$T$6:$T$184, "&lt;"&amp;I1)</f>
        <v>0</v>
      </c>
      <c r="I17" s="214">
        <f>SUMIFS('Expenditure Breakdown'!$U$6:$U$184, 'Expenditure Breakdown'!$T$6:$T$184, "&gt;="&amp;I1,'Expenditure Breakdown'!$T$6:$T$184, "&lt;"&amp;J1)</f>
        <v>0</v>
      </c>
      <c r="J17" s="214">
        <f>SUMIFS('Expenditure Breakdown'!$U$6:$U$184, 'Expenditure Breakdown'!$T$6:$T$184, "&gt;="&amp;J1,'Expenditure Breakdown'!$T$6:$T$184, "&lt;"&amp;K1)</f>
        <v>0</v>
      </c>
      <c r="K17" s="214">
        <f>SUMIFS('Expenditure Breakdown'!$U$6:$U$184, 'Expenditure Breakdown'!$T$6:$T$184, "&gt;="&amp;K1,'Expenditure Breakdown'!$T$6:$T$184, "&lt;"&amp;L1)</f>
        <v>0</v>
      </c>
      <c r="L17" s="214">
        <f>SUMIFS('Expenditure Breakdown'!$U$6:$U$184, 'Expenditure Breakdown'!$T$6:$T$184, "&gt;="&amp;L1,'Expenditure Breakdown'!$T$6:$T$184, "&lt;"&amp;M1)</f>
        <v>0</v>
      </c>
      <c r="M17" s="214">
        <f>SUMIFS('Expenditure Breakdown'!$U$6:$U$184, 'Expenditure Breakdown'!$T$6:$T$184, "&gt;="&amp;M1,'Expenditure Breakdown'!$T$6:$T$184, "&lt;"&amp;N1)</f>
        <v>0</v>
      </c>
      <c r="N17" s="214">
        <f>SUMIFS('Expenditure Breakdown'!$U$6:$U$184, 'Expenditure Breakdown'!$T$6:$T$184, "&gt;="&amp;N1,'Expenditure Breakdown'!$T$6:$T$184, "&lt;"&amp;O1)</f>
        <v>0</v>
      </c>
      <c r="O17" s="214">
        <f>SUMIFS('Expenditure Breakdown'!$U$6:$U$184, 'Expenditure Breakdown'!$T$6:$T$184, "&gt;="&amp;O1,'Expenditure Breakdown'!$T$6:$T$184, "&lt;"&amp;P1)</f>
        <v>0</v>
      </c>
      <c r="P17" s="214">
        <f>SUMIFS('Expenditure Breakdown'!$U$6:$U$184, 'Expenditure Breakdown'!$T$6:$T$184, "&gt;="&amp;P1,'Expenditure Breakdown'!$T$6:$T$184, "&lt;"&amp;Q1)</f>
        <v>0</v>
      </c>
      <c r="Q17" s="214">
        <f>SUMIFS('Expenditure Breakdown'!$U$6:$U$184, 'Expenditure Breakdown'!$T$6:$T$184, "&gt;="&amp;Q1,'Expenditure Breakdown'!$T$6:$T$184, "&lt;"&amp;R1)</f>
        <v>0</v>
      </c>
      <c r="R17" s="214">
        <f>SUMIFS('Expenditure Breakdown'!$U$6:$U$184, 'Expenditure Breakdown'!$T$6:$T$184, "&gt;="&amp;R1,'Expenditure Breakdown'!$T$6:$T$184, "&lt;"&amp;S1)</f>
        <v>0</v>
      </c>
      <c r="S17" s="214">
        <f>SUMIFS('Expenditure Breakdown'!$U$6:$U$184, 'Expenditure Breakdown'!$T$6:$T$184, "&gt;="&amp;S1,'Expenditure Breakdown'!$T$6:$T$184, "&lt;"&amp;T1)</f>
        <v>0</v>
      </c>
      <c r="T17" s="214">
        <f>SUMIFS('Expenditure Breakdown'!$U$6:$U$184, 'Expenditure Breakdown'!$T$6:$T$184, "&gt;="&amp;T1,'Expenditure Breakdown'!$T$6:$T$184, "&lt;"&amp;U1)</f>
        <v>26045.617307974175</v>
      </c>
      <c r="U17" s="214">
        <f>SUMIFS('Expenditure Breakdown'!$U$6:$U$184, 'Expenditure Breakdown'!$T$6:$T$184, "&gt;="&amp;U1,'Expenditure Breakdown'!$T$6:$T$184, "&lt;"&amp;V1)</f>
        <v>0</v>
      </c>
      <c r="V17" s="214">
        <f>SUMIFS('Expenditure Breakdown'!$U$6:$U$184, 'Expenditure Breakdown'!$T$6:$T$184, "&gt;="&amp;V1,'Expenditure Breakdown'!$T$6:$T$184, "&lt;"&amp;W1)</f>
        <v>0</v>
      </c>
      <c r="W17" s="214">
        <f>SUMIFS('Expenditure Breakdown'!$U$6:$U$184, 'Expenditure Breakdown'!$T$6:$T$184, "&gt;="&amp;W1,'Expenditure Breakdown'!$T$6:$T$184, "&lt;"&amp;X1)</f>
        <v>0</v>
      </c>
      <c r="X17" s="214">
        <f>SUMIFS('Expenditure Breakdown'!$U$6:$U$184, 'Expenditure Breakdown'!$T$6:$T$184, "&gt;="&amp;X1,'Expenditure Breakdown'!$T$6:$T$184, "&lt;"&amp;Y1)</f>
        <v>11708.516607128533</v>
      </c>
      <c r="Y17" s="214">
        <f>SUMIFS('Expenditure Breakdown'!$U$6:$U$184, 'Expenditure Breakdown'!$T$6:$T$184, "&gt;="&amp;Y1,'Expenditure Breakdown'!$T$6:$T$184, "&lt;"&amp;Z1)</f>
        <v>0</v>
      </c>
      <c r="Z17" s="214">
        <f>SUMIFS('Expenditure Breakdown'!$U$6:$U$184, 'Expenditure Breakdown'!$T$6:$T$184, "&gt;="&amp;Z1,'Expenditure Breakdown'!$T$6:$T$184, "&lt;"&amp;AA1)</f>
        <v>0</v>
      </c>
      <c r="AA17" s="214">
        <f>SUMIFS('Expenditure Breakdown'!$U$6:$U$184, 'Expenditure Breakdown'!$T$6:$T$184, "&gt;="&amp;AA1,'Expenditure Breakdown'!$T$6:$T$184, "&lt;"&amp;AB1)</f>
        <v>0</v>
      </c>
      <c r="AB17" s="214">
        <f>SUMIFS('Expenditure Breakdown'!$U$6:$U$184, 'Expenditure Breakdown'!$T$6:$T$184, "&gt;="&amp;AB1,'Expenditure Breakdown'!$T$6:$T$184, "&lt;"&amp;AC1)</f>
        <v>0</v>
      </c>
      <c r="AC17" s="214">
        <f>SUMIFS('Expenditure Breakdown'!$U$6:$U$184, 'Expenditure Breakdown'!$T$6:$T$184, "&gt;="&amp;AC1,'Expenditure Breakdown'!$T$6:$T$184, "&lt;"&amp;AD1)</f>
        <v>1497219.728691245</v>
      </c>
      <c r="AD17" s="214">
        <f>SUMIFS('Expenditure Breakdown'!$U$6:$U$184, 'Expenditure Breakdown'!$T$6:$T$184, "&gt;="&amp;AD1,'Expenditure Breakdown'!$T$6:$T$184, "&lt;"&amp;AE1)</f>
        <v>0</v>
      </c>
      <c r="AE17" s="214">
        <f>SUMIFS('Expenditure Breakdown'!$U$6:$U$184, 'Expenditure Breakdown'!$T$6:$T$184, "&gt;="&amp;AE1,'Expenditure Breakdown'!$T$6:$T$184, "&lt;"&amp;AF1)</f>
        <v>0</v>
      </c>
      <c r="AF17" s="214">
        <f>SUMIFS('Expenditure Breakdown'!$U$6:$U$184, 'Expenditure Breakdown'!$T$6:$T$184, "&gt;="&amp;AF1,'Expenditure Breakdown'!$T$6:$T$184, "&lt;"&amp;AG1)</f>
        <v>0</v>
      </c>
      <c r="AG17" s="214">
        <f>SUMIFS('Expenditure Breakdown'!$U$6:$U$184, 'Expenditure Breakdown'!$T$6:$T$184, "&gt;="&amp;AG1,'Expenditure Breakdown'!$T$6:$T$184, "&lt;"&amp;AH1)</f>
        <v>341988.47101534472</v>
      </c>
      <c r="AH17" s="214">
        <f>SUMIFS('Expenditure Breakdown'!$U$6:$U$184, 'Expenditure Breakdown'!$T$6:$T$184, "&gt;="&amp;AH1,'Expenditure Breakdown'!$T$6:$T$184, "&lt;"&amp;AI1)</f>
        <v>0</v>
      </c>
      <c r="AI17" s="214">
        <f>SUMIFS('Expenditure Breakdown'!$U$6:$U$184, 'Expenditure Breakdown'!$T$6:$T$184, "&gt;="&amp;AI1,'Expenditure Breakdown'!$T$6:$T$184, "&lt;"&amp;AJ1)</f>
        <v>0</v>
      </c>
      <c r="AJ17" s="214">
        <f>SUMIFS('Expenditure Breakdown'!$U$6:$U$184, 'Expenditure Breakdown'!$T$6:$T$184, "&gt;="&amp;AJ1,'Expenditure Breakdown'!$T$6:$T$184, "&lt;"&amp;AK1)</f>
        <v>0</v>
      </c>
      <c r="AK17" s="214">
        <f>SUMIFS('Expenditure Breakdown'!$U$6:$U$184, 'Expenditure Breakdown'!$T$6:$T$184, "&gt;="&amp;AK1,'Expenditure Breakdown'!$T$6:$T$184, "&lt;"&amp;AL1)</f>
        <v>494853.05403362756</v>
      </c>
      <c r="AL17" s="214">
        <f>SUMIFS('Expenditure Breakdown'!$U$6:$U$184, 'Expenditure Breakdown'!$T$6:$T$184, "&gt;="&amp;AL1,'Expenditure Breakdown'!$T$6:$T$184, "&lt;"&amp;AM1)</f>
        <v>0</v>
      </c>
      <c r="AM17" s="214">
        <f>SUMIFS('Expenditure Breakdown'!$U$6:$U$184, 'Expenditure Breakdown'!$T$6:$T$184, "&gt;="&amp;AM1,'Expenditure Breakdown'!$T$6:$T$184, "&lt;"&amp;AN1)</f>
        <v>0</v>
      </c>
      <c r="AN17" s="214">
        <f>SUMIFS('Expenditure Breakdown'!$U$6:$U$184, 'Expenditure Breakdown'!$T$6:$T$184, "&gt;="&amp;AN1,'Expenditure Breakdown'!$T$6:$T$184, "&lt;"&amp;AO1)</f>
        <v>0</v>
      </c>
      <c r="AO17" s="214">
        <f>SUMIFS('Expenditure Breakdown'!$U$6:$U$184, 'Expenditure Breakdown'!$T$6:$T$184, "&gt;="&amp;AO1,'Expenditure Breakdown'!$T$6:$T$184, "&lt;"&amp;AP1)</f>
        <v>0</v>
      </c>
      <c r="AP17" s="214">
        <f>SUMIFS('Expenditure Breakdown'!$U$6:$U$184, 'Expenditure Breakdown'!$T$6:$T$184, "&gt;="&amp;AP1,'Expenditure Breakdown'!$T$6:$T$184, "&lt;"&amp;AQ1)</f>
        <v>0</v>
      </c>
      <c r="AQ17" s="214">
        <f>SUMIFS('Expenditure Breakdown'!$U$6:$U$184, 'Expenditure Breakdown'!$T$6:$T$184, "&gt;="&amp;AQ1,'Expenditure Breakdown'!$T$6:$T$184, "&lt;"&amp;AR1)</f>
        <v>0</v>
      </c>
      <c r="AR17" s="214">
        <f>SUMIFS('Expenditure Breakdown'!$U$6:$U$184, 'Expenditure Breakdown'!$T$6:$T$184, "&gt;="&amp;AR1,'Expenditure Breakdown'!$T$6:$T$184, "&lt;"&amp;AS1)</f>
        <v>0</v>
      </c>
      <c r="AS17" s="214">
        <f>SUMIFS('Expenditure Breakdown'!$U$6:$U$184, 'Expenditure Breakdown'!$T$6:$T$184, "&gt;="&amp;AS1,'Expenditure Breakdown'!$T$6:$T$184, "&lt;"&amp;AT1)</f>
        <v>0</v>
      </c>
      <c r="AT17" s="214">
        <f>SUMIFS('Expenditure Breakdown'!$U$6:$U$184, 'Expenditure Breakdown'!$T$6:$T$184, "&gt;="&amp;AT1,'Expenditure Breakdown'!$T$6:$T$184, "&lt;"&amp;AU1)</f>
        <v>43965.978351903774</v>
      </c>
      <c r="AU17" s="214">
        <f>SUMIFS('Expenditure Breakdown'!$U$6:$U$184, 'Expenditure Breakdown'!$T$6:$T$184, "&gt;="&amp;AU1,'Expenditure Breakdown'!$T$6:$T$184, "&lt;"&amp;AV1)</f>
        <v>0</v>
      </c>
      <c r="AV17" s="214">
        <f>SUMIFS('Expenditure Breakdown'!$U$6:$U$184, 'Expenditure Breakdown'!$T$6:$T$184, "&gt;="&amp;AV1,'Expenditure Breakdown'!$T$6:$T$184, "&lt;"&amp;AW1)</f>
        <v>0</v>
      </c>
      <c r="AW17" s="214">
        <f>SUMIFS('Expenditure Breakdown'!$U$6:$U$184, 'Expenditure Breakdown'!$T$6:$T$184, "&gt;="&amp;AW1,'Expenditure Breakdown'!$T$6:$T$184, "&lt;"&amp;AX1)</f>
        <v>0</v>
      </c>
      <c r="AX17" s="214">
        <f>SUMIFS('Expenditure Breakdown'!$U$6:$U$184, 'Expenditure Breakdown'!$T$6:$T$184, "&gt;="&amp;AX1,'Expenditure Breakdown'!$T$6:$T$184, "&lt;"&amp;AY1)</f>
        <v>188952.71623262769</v>
      </c>
      <c r="AY17" s="214">
        <f>SUMIFS('Expenditure Breakdown'!$U$6:$U$184, 'Expenditure Breakdown'!$T$6:$T$184, "&gt;="&amp;AY1,'Expenditure Breakdown'!$T$6:$T$184, "&lt;"&amp;AZ1)</f>
        <v>0</v>
      </c>
      <c r="AZ17" s="214">
        <f>SUMIFS('Expenditure Breakdown'!$U$6:$U$184, 'Expenditure Breakdown'!$T$6:$T$184, "&gt;="&amp;AZ1,'Expenditure Breakdown'!$T$6:$T$184, "&lt;"&amp;BA1)</f>
        <v>0</v>
      </c>
      <c r="BA17" s="214">
        <f>SUMIFS('Expenditure Breakdown'!$U$6:$U$184, 'Expenditure Breakdown'!$T$6:$T$184, "&gt;="&amp;BA1,'Expenditure Breakdown'!$T$6:$T$184, "&lt;"&amp;BB1)</f>
        <v>0</v>
      </c>
      <c r="BB17" s="214">
        <f>SUMIFS('Expenditure Breakdown'!$U$6:$U$184, 'Expenditure Breakdown'!$T$6:$T$184, "&gt;="&amp;BB1,'Expenditure Breakdown'!$T$6:$T$184, "&lt;"&amp;BC1)</f>
        <v>0</v>
      </c>
      <c r="BC17" s="214">
        <f>SUMIFS('Expenditure Breakdown'!$U$6:$U$184, 'Expenditure Breakdown'!$T$6:$T$184, "&gt;="&amp;BC1,'Expenditure Breakdown'!$T$6:$T$184, "&lt;"&amp;BD1)</f>
        <v>51172.215410875899</v>
      </c>
      <c r="BD17" s="214">
        <f>SUMIFS('Expenditure Breakdown'!$U$6:$U$184, 'Expenditure Breakdown'!$T$6:$T$184, "&gt;="&amp;BD1,'Expenditure Breakdown'!$T$6:$T$184, "&lt;"&amp;BE1)</f>
        <v>0</v>
      </c>
      <c r="BE17" s="214">
        <f>SUMIFS('Expenditure Breakdown'!$U$6:$U$184, 'Expenditure Breakdown'!$T$6:$T$184, "&gt;="&amp;BE1,'Expenditure Breakdown'!$T$6:$T$184, "&lt;"&amp;BF1)</f>
        <v>0</v>
      </c>
      <c r="BF17" s="214">
        <f>SUMIFS('Expenditure Breakdown'!$U$6:$U$184, 'Expenditure Breakdown'!$T$6:$T$184, "&gt;="&amp;BF1,'Expenditure Breakdown'!$T$6:$T$184, "&lt;"&amp;BG1)</f>
        <v>0</v>
      </c>
      <c r="BG17" s="214">
        <f>SUMIFS('Expenditure Breakdown'!$U$6:$U$184, 'Expenditure Breakdown'!$T$6:$T$184, "&gt;="&amp;BG1,'Expenditure Breakdown'!$T$6:$T$184, "&lt;"&amp;BH1)</f>
        <v>0</v>
      </c>
      <c r="BH17" s="214">
        <f>SUMIFS('Expenditure Breakdown'!$U$6:$U$184, 'Expenditure Breakdown'!$T$6:$T$184, "&gt;="&amp;BH1,'Expenditure Breakdown'!$T$6:$T$184, "&lt;"&amp;BI1)</f>
        <v>0</v>
      </c>
      <c r="BI17" s="214">
        <f>SUMIFS('Expenditure Breakdown'!$U$6:$U$184, 'Expenditure Breakdown'!$T$6:$T$184, "&gt;="&amp;BI1,'Expenditure Breakdown'!$T$6:$T$184, "&lt;"&amp;BJ1)</f>
        <v>0</v>
      </c>
      <c r="BJ17" s="214">
        <f>SUMIFS('Expenditure Breakdown'!$U$6:$U$184, 'Expenditure Breakdown'!$T$6:$T$184, "&gt;="&amp;BJ1,'Expenditure Breakdown'!$T$6:$T$184, "&lt;"&amp;BK1)</f>
        <v>0</v>
      </c>
      <c r="BK17" s="214">
        <f>SUMIFS('Expenditure Breakdown'!$U$6:$U$184, 'Expenditure Breakdown'!$T$6:$T$184, "&gt;="&amp;BK1,'Expenditure Breakdown'!$T$6:$T$184, "&lt;"&amp;BL1)</f>
        <v>0</v>
      </c>
      <c r="BL17" s="214">
        <f>SUMIFS('Expenditure Breakdown'!$U$6:$U$184, 'Expenditure Breakdown'!$T$6:$T$184, "&gt;="&amp;BL1,'Expenditure Breakdown'!$T$6:$T$184, "&lt;"&amp;BM1)</f>
        <v>0</v>
      </c>
      <c r="BM17" s="214">
        <f>SUMIFS('Expenditure Breakdown'!$U$6:$U$184, 'Expenditure Breakdown'!$T$6:$T$184, "&gt;="&amp;BM1,'Expenditure Breakdown'!$T$6:$T$184, "&lt;"&amp;BN1)</f>
        <v>0</v>
      </c>
      <c r="BN17" s="214">
        <f>SUMIFS('Expenditure Breakdown'!$U$6:$U$184, 'Expenditure Breakdown'!$T$6:$T$184, "&gt;="&amp;BN1,'Expenditure Breakdown'!$T$6:$T$184, "&lt;"&amp;BO1)</f>
        <v>0</v>
      </c>
      <c r="BO17" s="214">
        <f>SUMIFS('Expenditure Breakdown'!$U$6:$U$184, 'Expenditure Breakdown'!$T$6:$T$184, "&gt;="&amp;BO1,'Expenditure Breakdown'!$T$6:$T$184, "&lt;"&amp;BP1)</f>
        <v>0</v>
      </c>
      <c r="BP17" s="214">
        <f>SUMIFS('Expenditure Breakdown'!$U$6:$U$184, 'Expenditure Breakdown'!$T$6:$T$184, "&gt;="&amp;BP1,'Expenditure Breakdown'!$T$6:$T$184, "&lt;"&amp;BQ1)</f>
        <v>0</v>
      </c>
      <c r="BQ17" s="214">
        <f>SUMIFS('Expenditure Breakdown'!$U$6:$U$184, 'Expenditure Breakdown'!$T$6:$T$184, "&gt;="&amp;BQ1,'Expenditure Breakdown'!$T$6:$T$184, "&lt;"&amp;BR1)</f>
        <v>0</v>
      </c>
      <c r="BR17" s="214">
        <f>SUMIFS('Expenditure Breakdown'!$U$6:$U$184, 'Expenditure Breakdown'!$T$6:$T$184, "&gt;="&amp;BR1,'Expenditure Breakdown'!$T$6:$T$184, "&lt;"&amp;BS1)</f>
        <v>0</v>
      </c>
      <c r="BS17" s="214">
        <f>SUMIFS('Expenditure Breakdown'!$U$6:$U$184, 'Expenditure Breakdown'!$T$6:$T$184, "&gt;="&amp;BS1,'Expenditure Breakdown'!$T$6:$T$184, "&lt;"&amp;BT1)</f>
        <v>0</v>
      </c>
      <c r="BT17" s="214">
        <f>SUMIFS('Expenditure Breakdown'!$U$6:$U$184, 'Expenditure Breakdown'!$T$6:$T$184, "&gt;="&amp;BT1,'Expenditure Breakdown'!$T$6:$T$184, "&lt;"&amp;BU1)</f>
        <v>0</v>
      </c>
      <c r="BU17" s="214">
        <f>SUMIFS('Expenditure Breakdown'!$U$6:$U$184, 'Expenditure Breakdown'!$T$6:$T$184, "&gt;="&amp;BU1,'Expenditure Breakdown'!$T$6:$T$184, "&lt;"&amp;BV1)</f>
        <v>0</v>
      </c>
      <c r="BV17" s="214">
        <f>SUMIFS('Expenditure Breakdown'!$U$6:$U$184, 'Expenditure Breakdown'!$T$6:$T$184, "&gt;="&amp;BV1,'Expenditure Breakdown'!$T$6:$T$184, "&lt;"&amp;BW1)</f>
        <v>0</v>
      </c>
      <c r="BW17" s="214">
        <f>SUMIFS('Expenditure Breakdown'!$U$6:$U$184, 'Expenditure Breakdown'!$T$6:$T$184, "&gt;="&amp;BW1,'Expenditure Breakdown'!$T$6:$T$184, "&lt;"&amp;BX1)</f>
        <v>0</v>
      </c>
      <c r="BX17" s="214">
        <f>SUMIFS('Expenditure Breakdown'!$U$6:$U$184, 'Expenditure Breakdown'!$T$6:$T$184, "&gt;="&amp;BX1,'Expenditure Breakdown'!$T$6:$T$184, "&lt;"&amp;BY1)</f>
        <v>0</v>
      </c>
      <c r="BY17" s="214">
        <f>SUMIFS('Expenditure Breakdown'!$U$6:$U$184, 'Expenditure Breakdown'!$T$6:$T$184, "&gt;="&amp;BY1,'Expenditure Breakdown'!$T$6:$T$184, "&lt;"&amp;BZ1)</f>
        <v>0</v>
      </c>
      <c r="BZ17" s="214">
        <f>SUMIFS('Expenditure Breakdown'!$U$6:$U$184, 'Expenditure Breakdown'!$T$6:$T$184, "&gt;="&amp;BZ1,'Expenditure Breakdown'!$T$6:$T$184, "&lt;"&amp;CA1)</f>
        <v>0</v>
      </c>
      <c r="CA17" s="214">
        <f>SUMIFS('Expenditure Breakdown'!$U$6:$U$184, 'Expenditure Breakdown'!$T$6:$T$184, "&gt;="&amp;CA1,'Expenditure Breakdown'!$T$6:$T$184, "&lt;"&amp;CB1)</f>
        <v>0</v>
      </c>
      <c r="CB17" s="214">
        <f>SUMIFS('Expenditure Breakdown'!$U$6:$U$184, 'Expenditure Breakdown'!$T$6:$T$184, "&gt;="&amp;CB1,'Expenditure Breakdown'!$T$6:$T$184, "&lt;"&amp;CC1)</f>
        <v>0</v>
      </c>
      <c r="CC17" s="214">
        <f>SUMIFS('Expenditure Breakdown'!$U$6:$U$184, 'Expenditure Breakdown'!$T$6:$T$184, "&gt;="&amp;CC1,'Expenditure Breakdown'!$T$6:$T$184, "&lt;"&amp;CD1)</f>
        <v>0</v>
      </c>
      <c r="CD17" s="214">
        <f>SUMIFS('Expenditure Breakdown'!$U$6:$U$184, 'Expenditure Breakdown'!$T$6:$T$184, "&gt;="&amp;CD1,'Expenditure Breakdown'!$T$6:$T$184, "&lt;"&amp;CE1)</f>
        <v>0</v>
      </c>
      <c r="CE17" s="214">
        <f>SUMIFS('Expenditure Breakdown'!$U$6:$U$184, 'Expenditure Breakdown'!$T$6:$T$184, "&gt;="&amp;CE1,'Expenditure Breakdown'!$T$6:$T$184, "&lt;"&amp;CF1)</f>
        <v>0</v>
      </c>
      <c r="CF17" s="214">
        <f>SUMIFS('Expenditure Breakdown'!$U$6:$U$184, 'Expenditure Breakdown'!$T$6:$T$184, "&gt;="&amp;CF1,'Expenditure Breakdown'!$T$6:$T$184, "&lt;"&amp;CG1)</f>
        <v>0</v>
      </c>
      <c r="CG17" s="214">
        <f>SUMIFS('Expenditure Breakdown'!$U$6:$U$184, 'Expenditure Breakdown'!$T$6:$T$184, "&gt;="&amp;CG1,'Expenditure Breakdown'!$T$6:$T$184, "&lt;"&amp;CH1)</f>
        <v>0</v>
      </c>
      <c r="CH17" s="214">
        <f>SUMIFS('Expenditure Breakdown'!$U$6:$U$184, 'Expenditure Breakdown'!$T$6:$T$184, "&gt;="&amp;CH1,'Expenditure Breakdown'!$T$6:$T$184, "&lt;"&amp;CI1)</f>
        <v>0</v>
      </c>
      <c r="CI17" s="214">
        <f>SUMIFS('Expenditure Breakdown'!$U$6:$U$184, 'Expenditure Breakdown'!$T$6:$T$184, "&gt;="&amp;CI1,'Expenditure Breakdown'!$T$6:$T$184, "&lt;"&amp;CJ1)</f>
        <v>0</v>
      </c>
      <c r="CJ17" s="214">
        <f>SUMIFS('Expenditure Breakdown'!$U$6:$U$184, 'Expenditure Breakdown'!$T$6:$T$184, "&gt;="&amp;CJ1,'Expenditure Breakdown'!$T$6:$T$184, "&lt;"&amp;CK1)</f>
        <v>0</v>
      </c>
      <c r="CK17" s="214">
        <f>SUMIFS('Expenditure Breakdown'!$U$6:$U$184, 'Expenditure Breakdown'!$T$6:$T$184, "&gt;="&amp;CK1,'Expenditure Breakdown'!$T$6:$T$184, "&lt;"&amp;CL1)</f>
        <v>0</v>
      </c>
      <c r="CL17" s="214">
        <f>SUMIFS('Expenditure Breakdown'!$U$6:$U$184, 'Expenditure Breakdown'!$T$6:$T$184, "&gt;="&amp;CL1,'Expenditure Breakdown'!$T$6:$T$184, "&lt;"&amp;CM1)</f>
        <v>0</v>
      </c>
      <c r="CM17" s="214">
        <f>SUMIFS('Expenditure Breakdown'!$U$6:$U$184, 'Expenditure Breakdown'!$T$6:$T$184, "&gt;="&amp;CM1,'Expenditure Breakdown'!$T$6:$T$184, "&lt;"&amp;CN1)</f>
        <v>0</v>
      </c>
      <c r="CN17" s="214">
        <f>SUMIFS('Expenditure Breakdown'!$U$6:$U$184, 'Expenditure Breakdown'!$T$6:$T$184, "&gt;="&amp;CN1,'Expenditure Breakdown'!$T$6:$T$184, "&lt;"&amp;CO1)</f>
        <v>0</v>
      </c>
      <c r="CO17" s="214">
        <f>SUMIFS('Expenditure Breakdown'!$U$6:$U$184, 'Expenditure Breakdown'!$T$6:$T$184, "&gt;="&amp;CO1,'Expenditure Breakdown'!$T$6:$T$184, "&lt;"&amp;CP1)</f>
        <v>0</v>
      </c>
      <c r="CP17" s="214">
        <f>SUMIFS('Expenditure Breakdown'!$U$6:$U$184, 'Expenditure Breakdown'!$T$6:$T$184, "&gt;="&amp;CP1,'Expenditure Breakdown'!$T$6:$T$184, "&lt;"&amp;CQ1)</f>
        <v>0</v>
      </c>
      <c r="CQ17" s="214">
        <f>SUMIFS('Expenditure Breakdown'!$U$6:$U$184, 'Expenditure Breakdown'!$T$6:$T$184, "&gt;="&amp;CQ1,'Expenditure Breakdown'!$T$6:$T$184, "&lt;"&amp;CR1)</f>
        <v>0</v>
      </c>
      <c r="CR17" s="214">
        <f>SUMIFS('Expenditure Breakdown'!$U$6:$U$184, 'Expenditure Breakdown'!$T$6:$T$184, "&gt;="&amp;CR1,'Expenditure Breakdown'!$T$6:$T$184, "&lt;"&amp;CS1)</f>
        <v>0</v>
      </c>
      <c r="CS17" s="214">
        <f>SUMIFS('Expenditure Breakdown'!$U$6:$U$184, 'Expenditure Breakdown'!$T$6:$T$184, "&gt;="&amp;CS1,'Expenditure Breakdown'!$T$6:$T$184, "&lt;"&amp;CT1)</f>
        <v>0</v>
      </c>
      <c r="CT17" s="214">
        <f>SUMIFS('Expenditure Breakdown'!$U$6:$U$184, 'Expenditure Breakdown'!$T$6:$T$184, "&gt;="&amp;CT1,'Expenditure Breakdown'!$T$6:$T$184, "&lt;"&amp;CU1)</f>
        <v>0</v>
      </c>
      <c r="CU17" s="214">
        <f>SUMIFS('Expenditure Breakdown'!$U$6:$U$184, 'Expenditure Breakdown'!$T$6:$T$184, "&gt;="&amp;CU1,'Expenditure Breakdown'!$T$6:$T$184, "&lt;"&amp;CV1)</f>
        <v>0</v>
      </c>
      <c r="CV17" s="214">
        <f>SUMIFS('Expenditure Breakdown'!$U$6:$U$184, 'Expenditure Breakdown'!$T$6:$T$184, "&gt;="&amp;CV1,'Expenditure Breakdown'!$T$6:$T$184, "&lt;"&amp;CW1)</f>
        <v>0</v>
      </c>
      <c r="CW17" s="214">
        <f>SUMIFS('Expenditure Breakdown'!$U$6:$U$184, 'Expenditure Breakdown'!$T$6:$T$184, "&gt;="&amp;CW1,'Expenditure Breakdown'!$T$6:$T$184, "&lt;"&amp;CX1)</f>
        <v>0</v>
      </c>
      <c r="CX17" s="214">
        <f>SUMIFS('Expenditure Breakdown'!$U$6:$U$184, 'Expenditure Breakdown'!$T$6:$T$184, "&gt;="&amp;CX1,'Expenditure Breakdown'!$T$6:$T$184, "&lt;"&amp;CY1)</f>
        <v>0</v>
      </c>
      <c r="CY17" s="214">
        <f>SUMIFS('Expenditure Breakdown'!$U$6:$U$184, 'Expenditure Breakdown'!$T$6:$T$184, "&gt;="&amp;CY1,'Expenditure Breakdown'!$T$6:$T$184, "&lt;"&amp;CZ1)</f>
        <v>0</v>
      </c>
      <c r="CZ17" s="214">
        <f>SUMIFS('Expenditure Breakdown'!$U$6:$U$184, 'Expenditure Breakdown'!$T$6:$T$184, "&gt;="&amp;CZ1,'Expenditure Breakdown'!$T$6:$T$184, "&lt;"&amp;DA1)</f>
        <v>0</v>
      </c>
      <c r="DA17" s="214">
        <f>SUMIFS('Expenditure Breakdown'!$U$6:$U$184, 'Expenditure Breakdown'!$T$6:$T$184, "&gt;="&amp;DA1,'Expenditure Breakdown'!$T$6:$T$184, "&lt;"&amp;DB1)</f>
        <v>0</v>
      </c>
      <c r="DB17" s="214">
        <f>SUMIFS('Expenditure Breakdown'!$U$6:$U$184, 'Expenditure Breakdown'!$T$6:$T$184, "&gt;="&amp;DB1,'Expenditure Breakdown'!$T$6:$T$184, "&lt;"&amp;DC1)</f>
        <v>0</v>
      </c>
      <c r="DC17" s="214">
        <f>SUMIFS('Expenditure Breakdown'!$U$6:$U$184, 'Expenditure Breakdown'!$T$6:$T$184, "&gt;="&amp;DC1,'Expenditure Breakdown'!$T$6:$T$184, "&lt;"&amp;DD1)</f>
        <v>0</v>
      </c>
      <c r="DD17" s="214">
        <f>SUMIFS('Expenditure Breakdown'!$U$6:$U$184, 'Expenditure Breakdown'!$T$6:$T$184, "&gt;="&amp;DD1,'Expenditure Breakdown'!$T$6:$T$184, "&lt;"&amp;DE1)</f>
        <v>0</v>
      </c>
      <c r="DE17" s="214">
        <f>SUMIFS('Expenditure Breakdown'!$U$6:$U$184, 'Expenditure Breakdown'!$T$6:$T$184, "&gt;="&amp;DE1,'Expenditure Breakdown'!$T$6:$T$184, "&lt;"&amp;DF1)</f>
        <v>0</v>
      </c>
      <c r="DF17" s="214">
        <f>SUMIFS('Expenditure Breakdown'!$U$6:$U$184, 'Expenditure Breakdown'!$T$6:$T$184, "&gt;="&amp;DF1,'Expenditure Breakdown'!$T$6:$T$184, "&lt;"&amp;DG1)</f>
        <v>0</v>
      </c>
      <c r="DG17" s="214">
        <f>SUMIFS('Expenditure Breakdown'!$U$6:$U$184, 'Expenditure Breakdown'!$T$6:$T$184, "&gt;="&amp;DG1,'Expenditure Breakdown'!$T$6:$T$184, "&lt;"&amp;DH1)</f>
        <v>0</v>
      </c>
      <c r="DH17" s="214">
        <f>SUMIFS('Expenditure Breakdown'!$U$6:$U$184, 'Expenditure Breakdown'!$T$6:$T$184, "&gt;="&amp;DH1,'Expenditure Breakdown'!$T$6:$T$184, "&lt;"&amp;DI1)</f>
        <v>0</v>
      </c>
      <c r="DI17" s="214">
        <f>SUMIFS('Expenditure Breakdown'!$U$6:$U$184, 'Expenditure Breakdown'!$T$6:$T$184, "&gt;="&amp;DI1,'Expenditure Breakdown'!$T$6:$T$184, "&lt;"&amp;DJ1)</f>
        <v>0</v>
      </c>
      <c r="DJ17" s="214">
        <f>SUMIFS('Expenditure Breakdown'!$U$6:$U$184, 'Expenditure Breakdown'!$T$6:$T$184, "&gt;="&amp;DJ1,'Expenditure Breakdown'!$T$6:$T$184, "&lt;"&amp;DK1)</f>
        <v>0</v>
      </c>
      <c r="DK17" s="214">
        <f>SUMIFS('Expenditure Breakdown'!$U$6:$U$184, 'Expenditure Breakdown'!$T$6:$T$184, "&gt;="&amp;DK1,'Expenditure Breakdown'!$T$6:$T$184, "&lt;"&amp;DL1)</f>
        <v>0</v>
      </c>
      <c r="DL17" s="214">
        <f>SUMIFS('Expenditure Breakdown'!$U$6:$U$184, 'Expenditure Breakdown'!$T$6:$T$184, "&gt;="&amp;DL1,'Expenditure Breakdown'!$T$6:$T$184, "&lt;"&amp;DM1)</f>
        <v>0</v>
      </c>
      <c r="DM17" s="214">
        <f>SUMIFS('Expenditure Breakdown'!$U$6:$U$184, 'Expenditure Breakdown'!$T$6:$T$184, "&gt;="&amp;DM1,'Expenditure Breakdown'!$T$6:$T$184, "&lt;"&amp;DN1)</f>
        <v>0</v>
      </c>
      <c r="DN17" s="214">
        <f>SUMIFS('Expenditure Breakdown'!$U$6:$U$184, 'Expenditure Breakdown'!$T$6:$T$184, "&gt;="&amp;DN1,'Expenditure Breakdown'!$T$6:$T$184, "&lt;"&amp;DO1)</f>
        <v>0</v>
      </c>
      <c r="DO17" s="214">
        <f>SUMIFS('Expenditure Breakdown'!$U$6:$U$184, 'Expenditure Breakdown'!$T$6:$T$184, "&gt;="&amp;DO1,'Expenditure Breakdown'!$T$6:$T$184, "&lt;"&amp;DP1)</f>
        <v>0</v>
      </c>
      <c r="DP17" s="214">
        <f>SUMIFS('Expenditure Breakdown'!$U$6:$U$184, 'Expenditure Breakdown'!$T$6:$T$184, "&gt;="&amp;DP1,'Expenditure Breakdown'!$T$6:$T$184, "&lt;"&amp;DQ1)</f>
        <v>0</v>
      </c>
      <c r="DQ17" s="214">
        <f>SUMIFS('Expenditure Breakdown'!$U$6:$U$184, 'Expenditure Breakdown'!$T$6:$T$184, "&gt;="&amp;DQ1,'Expenditure Breakdown'!$T$6:$T$184, "&lt;"&amp;DR1)</f>
        <v>0</v>
      </c>
      <c r="DR17" s="214">
        <f>SUMIFS('Expenditure Breakdown'!$U$6:$U$184, 'Expenditure Breakdown'!$T$6:$T$184, "&gt;="&amp;DR1,'Expenditure Breakdown'!$T$6:$T$184, "&lt;"&amp;DS1)</f>
        <v>0</v>
      </c>
      <c r="DS17" s="214">
        <f>SUMIFS('Expenditure Breakdown'!$U$6:$U$184, 'Expenditure Breakdown'!$T$6:$T$184, "&gt;="&amp;DS1,'Expenditure Breakdown'!$T$6:$T$184, "&lt;"&amp;DT1)</f>
        <v>0</v>
      </c>
      <c r="DT17" s="214">
        <f>SUMIFS('Expenditure Breakdown'!$U$6:$U$184, 'Expenditure Breakdown'!$T$6:$T$184, "&gt;="&amp;DT1,'Expenditure Breakdown'!$T$6:$T$184, "&lt;"&amp;DU1)</f>
        <v>0</v>
      </c>
      <c r="DU17" s="214">
        <f>SUMIFS('Expenditure Breakdown'!$U$6:$U$184, 'Expenditure Breakdown'!$T$6:$T$184, "&gt;="&amp;DU1,'Expenditure Breakdown'!$T$6:$T$184, "&lt;"&amp;DV1)</f>
        <v>0</v>
      </c>
      <c r="DV17" s="214">
        <f>SUMIFS('Expenditure Breakdown'!$U$6:$U$184, 'Expenditure Breakdown'!$T$6:$T$184, "&gt;="&amp;DV1,'Expenditure Breakdown'!$T$6:$T$184, "&lt;"&amp;DW1)</f>
        <v>0</v>
      </c>
      <c r="DW17" s="214">
        <f>SUMIFS('Expenditure Breakdown'!$U$6:$U$184, 'Expenditure Breakdown'!$T$6:$T$184, "&gt;="&amp;DW1,'Expenditure Breakdown'!$T$6:$T$184, "&lt;"&amp;DX1)</f>
        <v>0</v>
      </c>
      <c r="DX17" s="214">
        <f>SUMIFS('Expenditure Breakdown'!$U$6:$U$184, 'Expenditure Breakdown'!$T$6:$T$184, "&gt;="&amp;DX1,'Expenditure Breakdown'!$T$6:$T$184, "&lt;"&amp;DY1)</f>
        <v>0</v>
      </c>
      <c r="DY17" s="214">
        <f>SUMIFS('Expenditure Breakdown'!$U$6:$U$184, 'Expenditure Breakdown'!$T$6:$T$184, "&gt;="&amp;DY1,'Expenditure Breakdown'!$T$6:$T$184, "&lt;"&amp;DZ1)</f>
        <v>0</v>
      </c>
      <c r="DZ17" s="214">
        <f>SUMIFS('Expenditure Breakdown'!$U$6:$U$184, 'Expenditure Breakdown'!$T$6:$T$184, "&gt;="&amp;DZ1,'Expenditure Breakdown'!$T$6:$T$184, "&lt;"&amp;EA1)</f>
        <v>0</v>
      </c>
      <c r="EA17" s="214">
        <f>SUMIFS('Expenditure Breakdown'!$U$6:$U$184, 'Expenditure Breakdown'!$T$6:$T$184, "&gt;="&amp;EA1,'Expenditure Breakdown'!$T$6:$T$184, "&lt;"&amp;EB1)</f>
        <v>0</v>
      </c>
      <c r="EB17" s="214">
        <f>SUMIFS('Expenditure Breakdown'!$U$6:$U$184, 'Expenditure Breakdown'!$T$6:$T$184, "&gt;="&amp;EB1,'Expenditure Breakdown'!$T$6:$T$184, "&lt;"&amp;EC1)</f>
        <v>0</v>
      </c>
      <c r="EC17" s="214">
        <f>SUMIFS('Expenditure Breakdown'!$U$6:$U$184, 'Expenditure Breakdown'!$T$6:$T$184, "&gt;="&amp;EC1,'Expenditure Breakdown'!$T$6:$T$184, "&lt;"&amp;ED1)</f>
        <v>0</v>
      </c>
      <c r="ED17" s="214">
        <f>SUMIFS('Expenditure Breakdown'!$U$6:$U$184, 'Expenditure Breakdown'!$T$6:$T$184, "&gt;="&amp;ED1,'Expenditure Breakdown'!$T$6:$T$184, "&lt;"&amp;EE1)</f>
        <v>0</v>
      </c>
      <c r="EE17" s="214">
        <f>SUMIFS('Expenditure Breakdown'!$U$6:$U$184, 'Expenditure Breakdown'!$T$6:$T$184, "&gt;="&amp;EE1,'Expenditure Breakdown'!$T$6:$T$184, "&lt;"&amp;EF1)</f>
        <v>0</v>
      </c>
      <c r="EF17" s="214">
        <f>SUMIFS('Expenditure Breakdown'!$U$6:$U$184, 'Expenditure Breakdown'!$T$6:$T$184, "&gt;="&amp;EF1,'Expenditure Breakdown'!$T$6:$T$184, "&lt;"&amp;EG1)</f>
        <v>0</v>
      </c>
      <c r="EG17" s="214">
        <f>SUMIFS('Expenditure Breakdown'!$U$6:$U$184, 'Expenditure Breakdown'!$T$6:$T$184, "&gt;="&amp;EG1,'Expenditure Breakdown'!$T$6:$T$184, "&lt;"&amp;EH1)</f>
        <v>0</v>
      </c>
      <c r="EH17" s="214">
        <f>SUMIFS('Expenditure Breakdown'!$U$6:$U$184, 'Expenditure Breakdown'!$T$6:$T$184, "&gt;="&amp;EH1,'Expenditure Breakdown'!$T$6:$T$184, "&lt;"&amp;EI1)</f>
        <v>0</v>
      </c>
      <c r="EI17" s="214">
        <f>SUMIFS('Expenditure Breakdown'!$U$6:$U$184, 'Expenditure Breakdown'!$T$6:$T$184, "&gt;="&amp;EI1,'Expenditure Breakdown'!$T$6:$T$184, "&lt;"&amp;EJ1)</f>
        <v>0</v>
      </c>
      <c r="EJ17" s="214">
        <f>SUMIFS('Expenditure Breakdown'!$U$6:$U$184, 'Expenditure Breakdown'!$T$6:$T$184, "&gt;="&amp;EJ1,'Expenditure Breakdown'!$T$6:$T$184, "&lt;"&amp;EK1)</f>
        <v>0</v>
      </c>
      <c r="EK17" s="214">
        <f>SUMIFS('Expenditure Breakdown'!$U$6:$U$184, 'Expenditure Breakdown'!$T$6:$T$184, "&gt;="&amp;EK1,'Expenditure Breakdown'!$T$6:$T$184, "&lt;"&amp;EL1)</f>
        <v>0</v>
      </c>
      <c r="EL17" s="214">
        <f>SUMIFS('Expenditure Breakdown'!$U$6:$U$184, 'Expenditure Breakdown'!$T$6:$T$184, "&gt;="&amp;EL1,'Expenditure Breakdown'!$T$6:$T$184, "&lt;"&amp;EM1)</f>
        <v>0</v>
      </c>
      <c r="EM17" s="214">
        <f>SUMIFS('Expenditure Breakdown'!$U$6:$U$184, 'Expenditure Breakdown'!$T$6:$T$184, "&gt;="&amp;EM1,'Expenditure Breakdown'!$T$6:$T$184, "&lt;"&amp;EN1)</f>
        <v>0</v>
      </c>
      <c r="EN17" s="214">
        <f>SUMIFS('Expenditure Breakdown'!$U$6:$U$184, 'Expenditure Breakdown'!$T$6:$T$184, "&gt;="&amp;EN1,'Expenditure Breakdown'!$T$6:$T$184, "&lt;"&amp;EO1)</f>
        <v>0</v>
      </c>
      <c r="EO17" s="214">
        <f>SUMIFS('Expenditure Breakdown'!$U$6:$U$184, 'Expenditure Breakdown'!$T$6:$T$184, "&gt;="&amp;EO1,'Expenditure Breakdown'!$T$6:$T$184, "&lt;"&amp;EP1)</f>
        <v>0</v>
      </c>
      <c r="EP17" s="214">
        <f>SUMIFS('Expenditure Breakdown'!$U$6:$U$184, 'Expenditure Breakdown'!$T$6:$T$184, "&gt;="&amp;EP1,'Expenditure Breakdown'!$T$6:$T$184, "&lt;"&amp;EQ1)</f>
        <v>0</v>
      </c>
      <c r="EQ17" s="214">
        <f>SUMIFS('Expenditure Breakdown'!$U$6:$U$184, 'Expenditure Breakdown'!$T$6:$T$184, "&gt;="&amp;EQ1,'Expenditure Breakdown'!$T$6:$T$184, "&lt;"&amp;ER1)</f>
        <v>0</v>
      </c>
      <c r="ER17" s="214">
        <f>SUMIFS('Expenditure Breakdown'!$U$6:$U$184, 'Expenditure Breakdown'!$T$6:$T$184, "&gt;="&amp;ER1,'Expenditure Breakdown'!$T$6:$T$184, "&lt;"&amp;ES1)</f>
        <v>0</v>
      </c>
      <c r="ES17" s="214">
        <f>SUMIFS('Expenditure Breakdown'!$U$6:$U$184, 'Expenditure Breakdown'!$T$6:$T$184, "&gt;="&amp;ES1,'Expenditure Breakdown'!$T$6:$T$184, "&lt;"&amp;ET1)</f>
        <v>0</v>
      </c>
      <c r="ET17" s="214">
        <f>SUMIFS('Expenditure Breakdown'!$U$6:$U$184, 'Expenditure Breakdown'!$T$6:$T$184, "&gt;="&amp;ET1,'Expenditure Breakdown'!$T$6:$T$184, "&lt;"&amp;EU1)</f>
        <v>0</v>
      </c>
      <c r="EU17" s="214">
        <f>SUMIFS('Expenditure Breakdown'!$U$6:$U$184, 'Expenditure Breakdown'!$T$6:$T$184, "&gt;="&amp;EU1,'Expenditure Breakdown'!$T$6:$T$184, "&lt;"&amp;EV1)</f>
        <v>0</v>
      </c>
      <c r="EV17" s="214">
        <f>SUMIFS('Expenditure Breakdown'!$U$6:$U$184, 'Expenditure Breakdown'!$T$6:$T$184, "&gt;="&amp;EV1,'Expenditure Breakdown'!$T$6:$T$184, "&lt;"&amp;EW1)</f>
        <v>0</v>
      </c>
      <c r="EW17" s="214">
        <f>SUMIFS('Expenditure Breakdown'!$U$6:$U$184, 'Expenditure Breakdown'!$T$6:$T$184, "&gt;="&amp;EW1,'Expenditure Breakdown'!$T$6:$T$184, "&lt;"&amp;EX1)</f>
        <v>0</v>
      </c>
      <c r="EX17" s="214">
        <f>SUMIFS('Expenditure Breakdown'!$U$6:$U$184, 'Expenditure Breakdown'!$T$6:$T$184, "&gt;="&amp;EX1,'Expenditure Breakdown'!$T$6:$T$184, "&lt;"&amp;EY1)</f>
        <v>0</v>
      </c>
      <c r="EY17" s="214">
        <f>SUMIFS('Expenditure Breakdown'!$U$6:$U$184, 'Expenditure Breakdown'!$T$6:$T$184, "&gt;="&amp;EY1,'Expenditure Breakdown'!$T$6:$T$184, "&lt;"&amp;EZ1)</f>
        <v>0</v>
      </c>
      <c r="EZ17" s="214">
        <f>SUMIFS('Expenditure Breakdown'!$U$6:$U$184, 'Expenditure Breakdown'!$T$6:$T$184, "&gt;="&amp;EZ1,'Expenditure Breakdown'!$T$6:$T$184, "&lt;"&amp;FA1)</f>
        <v>0</v>
      </c>
      <c r="FA17" s="214">
        <f>SUMIFS('Expenditure Breakdown'!$U$6:$U$184, 'Expenditure Breakdown'!$T$6:$T$184, "&gt;="&amp;FA1,'Expenditure Breakdown'!$T$6:$T$184, "&lt;"&amp;FB1)</f>
        <v>0</v>
      </c>
      <c r="FB17" s="214">
        <f>SUMIFS('Expenditure Breakdown'!$U$6:$U$184, 'Expenditure Breakdown'!$T$6:$T$184, "&gt;="&amp;FB1,'Expenditure Breakdown'!$T$6:$T$184, "&lt;"&amp;FC1)</f>
        <v>0</v>
      </c>
      <c r="FC17" s="214">
        <f>SUMIFS('Expenditure Breakdown'!$U$6:$U$184, 'Expenditure Breakdown'!$T$6:$T$184, "&gt;="&amp;FC1,'Expenditure Breakdown'!$T$6:$T$184, "&lt;"&amp;FD1)</f>
        <v>0</v>
      </c>
      <c r="FD17" s="214">
        <f>SUMIFS('Expenditure Breakdown'!$U$6:$U$184, 'Expenditure Breakdown'!$T$6:$T$184, "&gt;="&amp;FD1,'Expenditure Breakdown'!$T$6:$T$184, "&lt;"&amp;FE1)</f>
        <v>0</v>
      </c>
      <c r="FE17" s="214">
        <f>SUMIFS('Expenditure Breakdown'!$U$6:$U$184, 'Expenditure Breakdown'!$T$6:$T$184, "&gt;="&amp;FE1,'Expenditure Breakdown'!$T$6:$T$184, "&lt;"&amp;FF1)</f>
        <v>0</v>
      </c>
      <c r="FF17" s="214">
        <f>SUMIFS('Expenditure Breakdown'!$U$6:$U$184, 'Expenditure Breakdown'!$T$6:$T$184, "&gt;="&amp;FF1,'Expenditure Breakdown'!$T$6:$T$184, "&lt;"&amp;FG1)</f>
        <v>0</v>
      </c>
      <c r="FG17" s="214">
        <f>SUMIFS('Expenditure Breakdown'!$U$6:$U$184, 'Expenditure Breakdown'!$T$6:$T$184, "&gt;="&amp;FG1,'Expenditure Breakdown'!$T$6:$T$184, "&lt;"&amp;FH1)</f>
        <v>0</v>
      </c>
      <c r="FH17" s="214">
        <f>SUMIFS('Expenditure Breakdown'!$U$6:$U$184, 'Expenditure Breakdown'!$T$6:$T$184, "&gt;="&amp;FH1,'Expenditure Breakdown'!$T$6:$T$184, "&lt;"&amp;FI1)</f>
        <v>0</v>
      </c>
      <c r="FI17" s="214">
        <f>SUMIFS('Expenditure Breakdown'!$U$6:$U$184, 'Expenditure Breakdown'!$T$6:$T$184, "&gt;="&amp;FI1,'Expenditure Breakdown'!$T$6:$T$184, "&lt;"&amp;FJ1)</f>
        <v>0</v>
      </c>
      <c r="FJ17" s="214">
        <f>SUMIFS('Expenditure Breakdown'!$U$6:$U$184, 'Expenditure Breakdown'!$T$6:$T$184, "&gt;="&amp;FJ1,'Expenditure Breakdown'!$T$6:$T$184, "&lt;"&amp;FK1)</f>
        <v>0</v>
      </c>
      <c r="FK17" s="214">
        <f>SUMIFS('Expenditure Breakdown'!$U$6:$U$184, 'Expenditure Breakdown'!$T$6:$T$184, "&gt;="&amp;FK1,'Expenditure Breakdown'!$T$6:$T$184, "&lt;"&amp;FL1)</f>
        <v>0</v>
      </c>
      <c r="FL17" s="214">
        <f>SUMIFS('Expenditure Breakdown'!$U$6:$U$184, 'Expenditure Breakdown'!$T$6:$T$184, "&gt;="&amp;FL1,'Expenditure Breakdown'!$T$6:$T$184, "&lt;"&amp;FM1)</f>
        <v>0</v>
      </c>
      <c r="FM17" s="214">
        <f>SUMIFS('Expenditure Breakdown'!$U$6:$U$184, 'Expenditure Breakdown'!$T$6:$T$184, "&gt;="&amp;FM1,'Expenditure Breakdown'!$T$6:$T$184, "&lt;"&amp;FN1)</f>
        <v>0</v>
      </c>
      <c r="FN17" s="214">
        <f>SUMIFS('Expenditure Breakdown'!$U$6:$U$184, 'Expenditure Breakdown'!$T$6:$T$184, "&gt;="&amp;FN1,'Expenditure Breakdown'!$T$6:$T$184, "&lt;"&amp;FO1)</f>
        <v>0</v>
      </c>
      <c r="FO17" s="214">
        <f>SUMIFS('Expenditure Breakdown'!$U$6:$U$184, 'Expenditure Breakdown'!$T$6:$T$184, "&gt;="&amp;FO1,'Expenditure Breakdown'!$T$6:$T$184, "&lt;"&amp;FP1)</f>
        <v>0</v>
      </c>
      <c r="FP17" s="214">
        <f>SUMIFS('Expenditure Breakdown'!$U$6:$U$184, 'Expenditure Breakdown'!$T$6:$T$184, "&gt;="&amp;FP1,'Expenditure Breakdown'!$T$6:$T$184, "&lt;"&amp;FQ1)</f>
        <v>0</v>
      </c>
      <c r="FQ17" s="214">
        <f>SUMIFS('Expenditure Breakdown'!$U$6:$U$184, 'Expenditure Breakdown'!$T$6:$T$184, "&gt;="&amp;FQ1,'Expenditure Breakdown'!$T$6:$T$184, "&lt;"&amp;FR1)</f>
        <v>0</v>
      </c>
      <c r="FR17" s="214">
        <f>SUMIFS('Expenditure Breakdown'!$U$6:$U$184, 'Expenditure Breakdown'!$T$6:$T$184, "&gt;="&amp;FR1,'Expenditure Breakdown'!$T$6:$T$184, "&lt;"&amp;FS1)</f>
        <v>0</v>
      </c>
      <c r="FS17" s="214">
        <f>SUMIFS('Expenditure Breakdown'!$U$6:$U$184, 'Expenditure Breakdown'!$T$6:$T$184, "&gt;="&amp;FS1,'Expenditure Breakdown'!$T$6:$T$184, "&lt;"&amp;FT1)</f>
        <v>0</v>
      </c>
      <c r="FT17" s="214">
        <f>SUMIFS('Expenditure Breakdown'!$U$6:$U$184, 'Expenditure Breakdown'!$T$6:$T$184, "&gt;="&amp;FT1,'Expenditure Breakdown'!$T$6:$T$184, "&lt;"&amp;FU1)</f>
        <v>0</v>
      </c>
      <c r="FU17" s="214">
        <f>SUMIFS('Expenditure Breakdown'!$U$6:$U$184, 'Expenditure Breakdown'!$T$6:$T$184, "&gt;="&amp;FU1,'Expenditure Breakdown'!$T$6:$T$184, "&lt;"&amp;FV1)</f>
        <v>0</v>
      </c>
      <c r="FV17" s="214">
        <f>SUMIFS('Expenditure Breakdown'!$U$6:$U$184, 'Expenditure Breakdown'!$T$6:$T$184, "&gt;="&amp;FV1,'Expenditure Breakdown'!$T$6:$T$184, "&lt;"&amp;FW1)</f>
        <v>0</v>
      </c>
      <c r="FW17" s="214">
        <f>SUMIFS('Expenditure Breakdown'!$U$6:$U$184, 'Expenditure Breakdown'!$T$6:$T$184, "&gt;="&amp;FW1,'Expenditure Breakdown'!$T$6:$T$184, "&lt;"&amp;FX1)</f>
        <v>0</v>
      </c>
      <c r="FX17" s="214">
        <f>SUMIFS('Expenditure Breakdown'!$U$6:$U$184, 'Expenditure Breakdown'!$T$6:$T$184, "&gt;="&amp;FX1,'Expenditure Breakdown'!$T$6:$T$184, "&lt;"&amp;FY1)</f>
        <v>0</v>
      </c>
      <c r="FY17" s="214">
        <f>SUMIFS('Expenditure Breakdown'!$U$6:$U$184, 'Expenditure Breakdown'!$T$6:$T$184, "&gt;="&amp;FY1,'Expenditure Breakdown'!$T$6:$T$184, "&lt;"&amp;FZ1)</f>
        <v>0</v>
      </c>
      <c r="FZ17" s="214">
        <f>SUMIFS('Expenditure Breakdown'!$U$6:$U$184, 'Expenditure Breakdown'!$T$6:$T$184, "&gt;="&amp;FZ1,'Expenditure Breakdown'!$T$6:$T$184, "&lt;"&amp;GA1)</f>
        <v>0</v>
      </c>
      <c r="GA17" s="214">
        <f>SUMIFS('Expenditure Breakdown'!$U$6:$U$184, 'Expenditure Breakdown'!$T$6:$T$184, "&gt;="&amp;GA1,'Expenditure Breakdown'!$T$6:$T$184, "&lt;"&amp;GB1)</f>
        <v>0</v>
      </c>
      <c r="GB17" s="214">
        <f>SUMIFS('Expenditure Breakdown'!$U$6:$U$184, 'Expenditure Breakdown'!$T$6:$T$184, "&gt;="&amp;GB1,'Expenditure Breakdown'!$T$6:$T$184, "&lt;"&amp;GC1)</f>
        <v>0</v>
      </c>
      <c r="GC17" s="214">
        <f>SUMIFS('Expenditure Breakdown'!$U$6:$U$184, 'Expenditure Breakdown'!$T$6:$T$184, "&gt;="&amp;GC1,'Expenditure Breakdown'!$T$6:$T$184, "&lt;"&amp;GD1)</f>
        <v>0</v>
      </c>
      <c r="GD17" s="214">
        <f>SUMIFS('Expenditure Breakdown'!$U$6:$U$184, 'Expenditure Breakdown'!$T$6:$T$184, "&gt;="&amp;GD1,'Expenditure Breakdown'!$T$6:$T$184, "&lt;"&amp;GE1)</f>
        <v>0</v>
      </c>
      <c r="GE17" s="214">
        <f>SUMIFS('Expenditure Breakdown'!$U$6:$U$184, 'Expenditure Breakdown'!$T$6:$T$184, "&gt;="&amp;GE1,'Expenditure Breakdown'!$T$6:$T$184, "&lt;"&amp;GF1)</f>
        <v>0</v>
      </c>
      <c r="GF17" s="214">
        <f>SUMIFS('Expenditure Breakdown'!$U$6:$U$184, 'Expenditure Breakdown'!$T$6:$T$184, "&gt;="&amp;GF1,'Expenditure Breakdown'!$T$6:$T$184, "&lt;"&amp;GG1)</f>
        <v>0</v>
      </c>
      <c r="GG17" s="214">
        <f>SUMIFS('Expenditure Breakdown'!$U$6:$U$184, 'Expenditure Breakdown'!$T$6:$T$184, "&gt;="&amp;GG1,'Expenditure Breakdown'!$T$6:$T$184, "&lt;"&amp;GH1)</f>
        <v>0</v>
      </c>
      <c r="GH17" s="214">
        <f>SUMIFS('Expenditure Breakdown'!$U$6:$U$184, 'Expenditure Breakdown'!$T$6:$T$184, "&gt;="&amp;GH1,'Expenditure Breakdown'!$T$6:$T$184, "&lt;"&amp;GI1)</f>
        <v>0</v>
      </c>
      <c r="GI17" s="214">
        <f>SUMIFS('Expenditure Breakdown'!$U$6:$U$184, 'Expenditure Breakdown'!$T$6:$T$184, "&gt;="&amp;GI1,'Expenditure Breakdown'!$T$6:$T$184, "&lt;"&amp;GJ1)</f>
        <v>0</v>
      </c>
      <c r="GJ17" s="214">
        <f>SUMIFS('Expenditure Breakdown'!$U$6:$U$184, 'Expenditure Breakdown'!$T$6:$T$184, "&gt;="&amp;GJ1,'Expenditure Breakdown'!$T$6:$T$184, "&lt;"&amp;GK1)</f>
        <v>0</v>
      </c>
      <c r="GK17" s="214">
        <f>SUMIFS('Expenditure Breakdown'!$U$6:$U$184, 'Expenditure Breakdown'!$T$6:$T$184, "&gt;="&amp;GK1,'Expenditure Breakdown'!$T$6:$T$184, "&lt;"&amp;GL1)</f>
        <v>0</v>
      </c>
      <c r="GL17" s="214">
        <f>SUMIFS('Expenditure Breakdown'!$U$6:$U$184, 'Expenditure Breakdown'!$T$6:$T$184, "&gt;="&amp;GL1,'Expenditure Breakdown'!$T$6:$T$184, "&lt;"&amp;GM1)</f>
        <v>0</v>
      </c>
      <c r="GM17" s="214">
        <f>SUMIFS('Expenditure Breakdown'!$U$6:$U$184, 'Expenditure Breakdown'!$T$6:$T$184, "&gt;="&amp;GM1,'Expenditure Breakdown'!$T$6:$T$184, "&lt;"&amp;GN1)</f>
        <v>0</v>
      </c>
      <c r="GN17" s="214">
        <f>SUMIFS('Expenditure Breakdown'!$U$6:$U$184, 'Expenditure Breakdown'!$T$6:$T$184, "&gt;="&amp;GN1,'Expenditure Breakdown'!$T$6:$T$184, "&lt;"&amp;GO1)</f>
        <v>0</v>
      </c>
      <c r="GO17" s="214">
        <f>SUMIFS('Expenditure Breakdown'!$U$6:$U$184, 'Expenditure Breakdown'!$T$6:$T$184, "&gt;="&amp;GO1,'Expenditure Breakdown'!$T$6:$T$184, "&lt;"&amp;GP1)</f>
        <v>0</v>
      </c>
      <c r="GP17" s="214">
        <f>SUMIFS('Expenditure Breakdown'!$U$6:$U$184, 'Expenditure Breakdown'!$T$6:$T$184, "&gt;="&amp;GP1,'Expenditure Breakdown'!$T$6:$T$184, "&lt;"&amp;GQ1)</f>
        <v>0</v>
      </c>
      <c r="GQ17" s="214">
        <f>SUMIFS('Expenditure Breakdown'!$U$6:$U$184, 'Expenditure Breakdown'!$T$6:$T$184, "&gt;="&amp;GQ1,'Expenditure Breakdown'!$T$6:$T$184, "&lt;"&amp;GR1)</f>
        <v>0</v>
      </c>
      <c r="GR17" s="214">
        <f>SUMIFS('Expenditure Breakdown'!$U$6:$U$184, 'Expenditure Breakdown'!$T$6:$T$184, "&gt;="&amp;GR1,'Expenditure Breakdown'!$T$6:$T$184, "&lt;"&amp;GS1)</f>
        <v>0</v>
      </c>
      <c r="GS17" s="214">
        <f>SUMIFS('Expenditure Breakdown'!$U$6:$U$184, 'Expenditure Breakdown'!$T$6:$T$184, "&gt;="&amp;GS1,'Expenditure Breakdown'!$T$6:$T$184, "&lt;"&amp;GT1)</f>
        <v>0</v>
      </c>
      <c r="GT17" s="214">
        <f>SUMIFS('Expenditure Breakdown'!$U$6:$U$184, 'Expenditure Breakdown'!$T$6:$T$184, "&gt;="&amp;GT1,'Expenditure Breakdown'!$T$6:$T$184, "&lt;"&amp;GU1)</f>
        <v>0</v>
      </c>
      <c r="GU17" s="214">
        <f>SUMIFS('Expenditure Breakdown'!$U$6:$U$184, 'Expenditure Breakdown'!$T$6:$T$184, "&gt;="&amp;GU1,'Expenditure Breakdown'!$T$6:$T$184, "&lt;"&amp;GV1)</f>
        <v>0</v>
      </c>
      <c r="GV17" s="214">
        <f>SUMIFS('Expenditure Breakdown'!$U$6:$U$184, 'Expenditure Breakdown'!$T$6:$T$184, "&gt;="&amp;GV1,'Expenditure Breakdown'!$T$6:$T$184, "&lt;"&amp;GW1)</f>
        <v>0</v>
      </c>
      <c r="GW17" s="214">
        <f>SUMIFS('Expenditure Breakdown'!$U$6:$U$184, 'Expenditure Breakdown'!$T$6:$T$184, "&gt;="&amp;GW1,'Expenditure Breakdown'!$T$6:$T$184, "&lt;"&amp;GX1)</f>
        <v>0</v>
      </c>
      <c r="GX17" s="214">
        <f>SUMIFS('Expenditure Breakdown'!$U$6:$U$184, 'Expenditure Breakdown'!$T$6:$T$184, "&gt;="&amp;GX1,'Expenditure Breakdown'!$T$6:$T$184, "&lt;"&amp;GY1)</f>
        <v>0</v>
      </c>
      <c r="GY17" s="214">
        <f>SUMIFS('Expenditure Breakdown'!$U$6:$U$184, 'Expenditure Breakdown'!$T$6:$T$184, "&gt;="&amp;GY1,'Expenditure Breakdown'!$T$6:$T$184, "&lt;"&amp;GZ1)</f>
        <v>0</v>
      </c>
      <c r="GZ17" s="214">
        <f>SUMIFS('Expenditure Breakdown'!$U$6:$U$184, 'Expenditure Breakdown'!$T$6:$T$184, "&gt;="&amp;GZ1,'Expenditure Breakdown'!$T$6:$T$184, "&lt;"&amp;HA1)</f>
        <v>0</v>
      </c>
      <c r="HA17" s="214">
        <f>SUMIFS('Expenditure Breakdown'!$U$6:$U$184, 'Expenditure Breakdown'!$T$6:$T$184, "&gt;="&amp;HA1,'Expenditure Breakdown'!$T$6:$T$184, "&lt;"&amp;HB1)</f>
        <v>0</v>
      </c>
      <c r="HB17" s="214">
        <f>SUMIFS('Expenditure Breakdown'!$U$6:$U$184, 'Expenditure Breakdown'!$T$6:$T$184, "&gt;="&amp;HB1,'Expenditure Breakdown'!$T$6:$T$184, "&lt;"&amp;HC1)</f>
        <v>0</v>
      </c>
      <c r="HC17" s="214">
        <f>SUMIFS('Expenditure Breakdown'!$U$6:$U$184, 'Expenditure Breakdown'!$T$6:$T$184, "&gt;="&amp;HC1,'Expenditure Breakdown'!$T$6:$T$184, "&lt;"&amp;HD1)</f>
        <v>0</v>
      </c>
      <c r="HD17" s="214">
        <f>SUMIFS('Expenditure Breakdown'!$U$6:$U$184, 'Expenditure Breakdown'!$T$6:$T$184, "&gt;="&amp;HD1,'Expenditure Breakdown'!$T$6:$T$184, "&lt;"&amp;HE1)</f>
        <v>0</v>
      </c>
      <c r="HE17" s="214">
        <f>SUMIFS('Expenditure Breakdown'!$U$6:$U$184, 'Expenditure Breakdown'!$T$6:$T$184, "&gt;="&amp;HE1,'Expenditure Breakdown'!$T$6:$T$184, "&lt;"&amp;HF1)</f>
        <v>0</v>
      </c>
      <c r="HF17" s="214">
        <f>SUMIFS('Expenditure Breakdown'!$U$6:$U$184, 'Expenditure Breakdown'!$T$6:$T$184, "&gt;="&amp;HF1,'Expenditure Breakdown'!$T$6:$T$184, "&lt;"&amp;HG1)</f>
        <v>0</v>
      </c>
      <c r="HG17" s="214">
        <f>SUMIFS('Expenditure Breakdown'!$U$6:$U$184, 'Expenditure Breakdown'!$T$6:$T$184, "&gt;="&amp;HG1,'Expenditure Breakdown'!$T$6:$T$184, "&lt;"&amp;HH1)</f>
        <v>0</v>
      </c>
      <c r="HH17" s="214">
        <f>SUMIFS('Expenditure Breakdown'!$U$6:$U$184, 'Expenditure Breakdown'!$T$6:$T$184, "&gt;="&amp;HH1,'Expenditure Breakdown'!$T$6:$T$184, "&lt;"&amp;HI1)</f>
        <v>0</v>
      </c>
      <c r="HI17" s="214">
        <f>SUMIFS('Expenditure Breakdown'!$U$6:$U$184, 'Expenditure Breakdown'!$T$6:$T$184, "&gt;="&amp;HI1,'Expenditure Breakdown'!$T$6:$T$184, "&lt;"&amp;HJ1)</f>
        <v>0</v>
      </c>
      <c r="HJ17" s="214">
        <f>SUMIFS('Expenditure Breakdown'!$U$6:$U$184, 'Expenditure Breakdown'!$T$6:$T$184, "&gt;="&amp;HJ1,'Expenditure Breakdown'!$T$6:$T$184, "&lt;"&amp;HK1)</f>
        <v>0</v>
      </c>
      <c r="HK17" s="214">
        <f>SUMIFS('Expenditure Breakdown'!$U$6:$U$184, 'Expenditure Breakdown'!$T$6:$T$184, "&gt;="&amp;HK1,'Expenditure Breakdown'!$T$6:$T$184, "&lt;"&amp;HL1)</f>
        <v>0</v>
      </c>
      <c r="HL17" s="214">
        <f>SUMIFS('Expenditure Breakdown'!$U$6:$U$184, 'Expenditure Breakdown'!$T$6:$T$184, "&gt;="&amp;HL1,'Expenditure Breakdown'!$T$6:$T$184, "&lt;"&amp;HM1)</f>
        <v>0</v>
      </c>
      <c r="HM17" s="214">
        <f>SUMIFS('Expenditure Breakdown'!$U$6:$U$184, 'Expenditure Breakdown'!$T$6:$T$184, "&gt;="&amp;HM1,'Expenditure Breakdown'!$T$6:$T$184, "&lt;"&amp;HN1)</f>
        <v>0</v>
      </c>
      <c r="HN17" s="214">
        <f>SUMIFS('Expenditure Breakdown'!$U$6:$U$184, 'Expenditure Breakdown'!$T$6:$T$184, "&gt;="&amp;HN1,'Expenditure Breakdown'!$T$6:$T$184, "&lt;"&amp;HO1)</f>
        <v>0</v>
      </c>
      <c r="HO17" s="214">
        <f>SUMIFS('Expenditure Breakdown'!$U$6:$U$184, 'Expenditure Breakdown'!$T$6:$T$184, "&gt;="&amp;HO1,'Expenditure Breakdown'!$T$6:$T$184, "&lt;"&amp;HP1)</f>
        <v>0</v>
      </c>
      <c r="HP17" s="214">
        <f>SUMIFS('Expenditure Breakdown'!$U$6:$U$184, 'Expenditure Breakdown'!$T$6:$T$184, "&gt;="&amp;HP1,'Expenditure Breakdown'!$T$6:$T$184, "&lt;"&amp;HQ1)</f>
        <v>0</v>
      </c>
      <c r="HQ17" s="214">
        <f>SUMIFS('Expenditure Breakdown'!$U$6:$U$184, 'Expenditure Breakdown'!$T$6:$T$184, "&gt;="&amp;HQ1,'Expenditure Breakdown'!$T$6:$T$184, "&lt;"&amp;HR1)</f>
        <v>0</v>
      </c>
      <c r="HR17" s="214">
        <f>SUMIFS('Expenditure Breakdown'!$U$6:$U$184, 'Expenditure Breakdown'!$T$6:$T$184, "&gt;="&amp;HR1,'Expenditure Breakdown'!$T$6:$T$184, "&lt;"&amp;HS1)</f>
        <v>0</v>
      </c>
      <c r="HS17" s="214">
        <f>SUMIFS('Expenditure Breakdown'!$U$6:$U$184, 'Expenditure Breakdown'!$T$6:$T$184, "&gt;="&amp;HS1,'Expenditure Breakdown'!$T$6:$T$184, "&lt;"&amp;HT1)</f>
        <v>0</v>
      </c>
      <c r="HT17" s="214">
        <f>SUMIFS('Expenditure Breakdown'!$U$6:$U$184, 'Expenditure Breakdown'!$T$6:$T$184, "&gt;="&amp;HT1,'Expenditure Breakdown'!$T$6:$T$184, "&lt;"&amp;HU1)</f>
        <v>0</v>
      </c>
      <c r="HU17" s="214">
        <f>SUMIFS('Expenditure Breakdown'!$U$6:$U$184, 'Expenditure Breakdown'!$T$6:$T$184, "&gt;="&amp;HU1,'Expenditure Breakdown'!$T$6:$T$184, "&lt;"&amp;HV1)</f>
        <v>0</v>
      </c>
      <c r="HV17" s="214">
        <f>SUMIFS('Expenditure Breakdown'!$U$6:$U$184, 'Expenditure Breakdown'!$T$6:$T$184, "&gt;="&amp;HV1,'Expenditure Breakdown'!$T$6:$T$184, "&lt;"&amp;HW1)</f>
        <v>0</v>
      </c>
      <c r="HW17" s="214">
        <f>SUMIFS('Expenditure Breakdown'!$U$6:$U$184, 'Expenditure Breakdown'!$T$6:$T$184, "&gt;="&amp;HW1,'Expenditure Breakdown'!$T$6:$T$184, "&lt;"&amp;HX1)</f>
        <v>0</v>
      </c>
      <c r="HX17" s="214">
        <f>SUMIFS('Expenditure Breakdown'!$U$6:$U$184, 'Expenditure Breakdown'!$T$6:$T$184, "&gt;="&amp;HX1,'Expenditure Breakdown'!$T$6:$T$184, "&lt;"&amp;HY1)</f>
        <v>0</v>
      </c>
      <c r="HY17" s="214">
        <f>SUMIFS('Expenditure Breakdown'!$U$6:$U$184, 'Expenditure Breakdown'!$T$6:$T$184, "&gt;="&amp;HY1,'Expenditure Breakdown'!$T$6:$T$184, "&lt;"&amp;HZ1)</f>
        <v>0</v>
      </c>
      <c r="HZ17" s="214">
        <f>SUMIFS('Expenditure Breakdown'!$U$6:$U$184, 'Expenditure Breakdown'!$T$6:$T$184, "&gt;="&amp;HZ1,'Expenditure Breakdown'!$T$6:$T$184, "&lt;"&amp;IA1)</f>
        <v>0</v>
      </c>
      <c r="IA17" s="214">
        <f>SUMIFS('Expenditure Breakdown'!$U$6:$U$184, 'Expenditure Breakdown'!$T$6:$T$184, "&gt;="&amp;IA1,'Expenditure Breakdown'!$T$6:$T$184, "&lt;"&amp;IB1)</f>
        <v>0</v>
      </c>
      <c r="IB17" s="214">
        <f>SUMIFS('Expenditure Breakdown'!$U$6:$U$184, 'Expenditure Breakdown'!$T$6:$T$184, "&gt;="&amp;IB1,'Expenditure Breakdown'!$T$6:$T$184, "&lt;"&amp;IC1)</f>
        <v>0</v>
      </c>
      <c r="IC17" s="214">
        <f>SUMIFS('Expenditure Breakdown'!$U$6:$U$184, 'Expenditure Breakdown'!$T$6:$T$184, "&gt;="&amp;IC1,'Expenditure Breakdown'!$T$6:$T$184, "&lt;"&amp;ID1)</f>
        <v>0</v>
      </c>
      <c r="ID17" s="214">
        <f>SUMIFS('Expenditure Breakdown'!$U$6:$U$184, 'Expenditure Breakdown'!$T$6:$T$184, "&gt;="&amp;ID1,'Expenditure Breakdown'!$T$6:$T$184, "&lt;"&amp;IE1)</f>
        <v>0</v>
      </c>
      <c r="IE17" s="214">
        <f>SUMIFS('Expenditure Breakdown'!$U$6:$U$184, 'Expenditure Breakdown'!$T$6:$T$184, "&gt;="&amp;IE1,'Expenditure Breakdown'!$T$6:$T$184, "&lt;"&amp;IF1)</f>
        <v>0</v>
      </c>
      <c r="IF17" s="214">
        <f>SUMIFS('Expenditure Breakdown'!$U$6:$U$184, 'Expenditure Breakdown'!$T$6:$T$184, "&gt;="&amp;IF1,'Expenditure Breakdown'!$T$6:$T$184, "&lt;"&amp;IG1)</f>
        <v>0</v>
      </c>
      <c r="IG17" s="214">
        <f>SUMIFS('Expenditure Breakdown'!$U$6:$U$184, 'Expenditure Breakdown'!$T$6:$T$184, "&gt;="&amp;IG1,'Expenditure Breakdown'!$T$6:$T$184, "&lt;"&amp;IH1)</f>
        <v>0</v>
      </c>
      <c r="IH17" s="214">
        <f>SUMIFS('Expenditure Breakdown'!$U$6:$U$184, 'Expenditure Breakdown'!$T$6:$T$184, "&gt;="&amp;IH1,'Expenditure Breakdown'!$T$6:$T$184, "&lt;"&amp;II1)</f>
        <v>0</v>
      </c>
      <c r="II17" s="214">
        <f>SUMIFS('Expenditure Breakdown'!$U$6:$U$184, 'Expenditure Breakdown'!$T$6:$T$184, "&gt;="&amp;II1,'Expenditure Breakdown'!$T$6:$T$184, "&lt;"&amp;IJ1)</f>
        <v>0</v>
      </c>
      <c r="IJ17" s="214">
        <f>SUMIFS('Expenditure Breakdown'!$U$6:$U$184, 'Expenditure Breakdown'!$T$6:$T$184, "&gt;="&amp;IJ1,'Expenditure Breakdown'!$T$6:$T$184, "&lt;"&amp;IK1)</f>
        <v>0</v>
      </c>
      <c r="IK17" s="214">
        <f>SUMIFS('Expenditure Breakdown'!$U$6:$U$184, 'Expenditure Breakdown'!$T$6:$T$184, "&gt;="&amp;IK1,'Expenditure Breakdown'!$T$6:$T$184, "&lt;"&amp;IL1)</f>
        <v>0</v>
      </c>
      <c r="IL17" s="214">
        <f>SUMIFS('Expenditure Breakdown'!$U$6:$U$184, 'Expenditure Breakdown'!$T$6:$T$184, "&gt;="&amp;IL1,'Expenditure Breakdown'!$T$6:$T$184, "&lt;"&amp;IM1)</f>
        <v>0</v>
      </c>
      <c r="IM17" s="214">
        <f>SUMIFS('Expenditure Breakdown'!$U$6:$U$184, 'Expenditure Breakdown'!$T$6:$T$184, "&gt;="&amp;IM1,'Expenditure Breakdown'!$T$6:$T$184, "&lt;"&amp;IN1)</f>
        <v>0</v>
      </c>
      <c r="IN17" s="214">
        <f>SUMIFS('Expenditure Breakdown'!$U$6:$U$184, 'Expenditure Breakdown'!$T$6:$T$184, "&gt;="&amp;IN1,'Expenditure Breakdown'!$T$6:$T$184, "&lt;"&amp;IO1)</f>
        <v>0</v>
      </c>
      <c r="IO17" s="214">
        <f>SUMIFS('Expenditure Breakdown'!$U$6:$U$184, 'Expenditure Breakdown'!$T$6:$T$184, "&gt;="&amp;IO1,'Expenditure Breakdown'!$T$6:$T$184, "&lt;"&amp;IP1)</f>
        <v>0</v>
      </c>
      <c r="IP17" s="214">
        <f>SUMIFS('Expenditure Breakdown'!$U$6:$U$184, 'Expenditure Breakdown'!$T$6:$T$184, "&gt;="&amp;IP1,'Expenditure Breakdown'!$T$6:$T$184, "&lt;"&amp;IQ1)</f>
        <v>0</v>
      </c>
      <c r="IQ17" s="214">
        <f>SUMIFS('Expenditure Breakdown'!$U$6:$U$184, 'Expenditure Breakdown'!$T$6:$T$184, "&gt;="&amp;IQ1,'Expenditure Breakdown'!$T$6:$T$184, "&lt;"&amp;IR1)</f>
        <v>0</v>
      </c>
      <c r="IR17" s="214">
        <f>SUMIFS('Expenditure Breakdown'!$U$6:$U$184, 'Expenditure Breakdown'!$T$6:$T$184, "&gt;="&amp;IR1,'Expenditure Breakdown'!$T$6:$T$184, "&lt;"&amp;IS1)</f>
        <v>0</v>
      </c>
      <c r="IS17" s="214">
        <f>SUMIFS('Expenditure Breakdown'!$U$6:$U$184, 'Expenditure Breakdown'!$T$6:$T$184, "&gt;="&amp;IS1,'Expenditure Breakdown'!$T$6:$T$184, "&lt;"&amp;IT1)</f>
        <v>0</v>
      </c>
      <c r="IT17" s="214">
        <f>SUMIFS('Expenditure Breakdown'!$U$6:$U$184, 'Expenditure Breakdown'!$T$6:$T$184, "&gt;="&amp;IT1,'Expenditure Breakdown'!$T$6:$T$184, "&lt;"&amp;IU1)</f>
        <v>0</v>
      </c>
      <c r="IU17" s="214">
        <f>SUMIFS('Expenditure Breakdown'!$U$6:$U$184, 'Expenditure Breakdown'!$T$6:$T$184, "&gt;="&amp;IU1,'Expenditure Breakdown'!$T$6:$T$184, "&lt;"&amp;IV1)</f>
        <v>0</v>
      </c>
      <c r="IV17" s="214">
        <f>SUMIFS('Expenditure Breakdown'!$U$6:$U$184, 'Expenditure Breakdown'!$T$6:$T$184, "&gt;="&amp;IV1,'Expenditure Breakdown'!$T$6:$T$184, "&lt;"&amp;IW1)</f>
        <v>0</v>
      </c>
      <c r="IW17" s="214">
        <f>SUMIFS('Expenditure Breakdown'!$U$6:$U$184, 'Expenditure Breakdown'!$T$6:$T$184, "&gt;="&amp;IW1,'Expenditure Breakdown'!$T$6:$T$184, "&lt;"&amp;IX1)</f>
        <v>0</v>
      </c>
      <c r="IX17" s="214">
        <f>SUMIFS('Expenditure Breakdown'!$U$6:$U$184, 'Expenditure Breakdown'!$T$6:$T$184, "&gt;="&amp;IX1,'Expenditure Breakdown'!$T$6:$T$184, "&lt;"&amp;IY1)</f>
        <v>0</v>
      </c>
      <c r="IY17" s="214">
        <f>SUMIFS('Expenditure Breakdown'!$U$6:$U$184, 'Expenditure Breakdown'!$T$6:$T$184, "&gt;="&amp;IY1,'Expenditure Breakdown'!$T$6:$T$184, "&lt;"&amp;IZ1)</f>
        <v>0</v>
      </c>
      <c r="IZ17" s="214">
        <f>SUMIFS('Expenditure Breakdown'!$U$6:$U$184, 'Expenditure Breakdown'!$T$6:$T$184, "&gt;="&amp;IZ1,'Expenditure Breakdown'!$T$6:$T$184, "&lt;"&amp;JA1)</f>
        <v>0</v>
      </c>
      <c r="JA17" s="214">
        <f>SUMIFS('Expenditure Breakdown'!$U$6:$U$184, 'Expenditure Breakdown'!$T$6:$T$184, "&gt;="&amp;JA1,'Expenditure Breakdown'!$T$6:$T$184, "&lt;"&amp;JB1)</f>
        <v>0</v>
      </c>
      <c r="JB17" s="214">
        <f>SUMIFS('Expenditure Breakdown'!$U$6:$U$184, 'Expenditure Breakdown'!$T$6:$T$184, "&gt;="&amp;JB1,'Expenditure Breakdown'!$T$6:$T$184, "&lt;"&amp;JC1)</f>
        <v>0</v>
      </c>
      <c r="JC17" s="214">
        <f>SUMIFS('Expenditure Breakdown'!$U$6:$U$184, 'Expenditure Breakdown'!$T$6:$T$184, "&gt;="&amp;JC1,'Expenditure Breakdown'!$T$6:$T$184, "&lt;"&amp;JD1)</f>
        <v>0</v>
      </c>
      <c r="JD17" s="214">
        <f>SUMIFS('Expenditure Breakdown'!$U$6:$U$184, 'Expenditure Breakdown'!$T$6:$T$184, "&gt;="&amp;JD1,'Expenditure Breakdown'!$T$6:$T$184, "&lt;"&amp;JE1)</f>
        <v>0</v>
      </c>
      <c r="JE17" s="214">
        <f>SUMIFS('Expenditure Breakdown'!$U$6:$U$184, 'Expenditure Breakdown'!$T$6:$T$184, "&gt;="&amp;JE1,'Expenditure Breakdown'!$T$6:$T$184, "&lt;"&amp;JF1)</f>
        <v>0</v>
      </c>
      <c r="JF17" s="214">
        <f>SUMIFS('Expenditure Breakdown'!$U$6:$U$184, 'Expenditure Breakdown'!$T$6:$T$184, "&gt;="&amp;JF1,'Expenditure Breakdown'!$T$6:$T$184, "&lt;"&amp;JG1)</f>
        <v>0</v>
      </c>
      <c r="JG17" s="214">
        <f>SUMIFS('Expenditure Breakdown'!$U$6:$U$184, 'Expenditure Breakdown'!$T$6:$T$184, "&gt;="&amp;JG1,'Expenditure Breakdown'!$T$6:$T$184, "&lt;"&amp;JH1)</f>
        <v>0</v>
      </c>
      <c r="JH17" s="214">
        <f>SUMIFS('Expenditure Breakdown'!$U$6:$U$184, 'Expenditure Breakdown'!$T$6:$T$184, "&gt;="&amp;JH1,'Expenditure Breakdown'!$T$6:$T$184, "&lt;"&amp;JI1)</f>
        <v>0</v>
      </c>
      <c r="JI17" s="214">
        <f>SUMIFS('Expenditure Breakdown'!$U$6:$U$184, 'Expenditure Breakdown'!$T$6:$T$184, "&gt;="&amp;JI1,'Expenditure Breakdown'!$T$6:$T$184, "&lt;"&amp;JJ1)</f>
        <v>0</v>
      </c>
      <c r="JJ17" s="214">
        <f>SUMIFS('Expenditure Breakdown'!$U$6:$U$184, 'Expenditure Breakdown'!$T$6:$T$184, "&gt;="&amp;JJ1,'Expenditure Breakdown'!$T$6:$T$184, "&lt;"&amp;JK1)</f>
        <v>0</v>
      </c>
      <c r="JK17" s="214">
        <f>SUMIFS('Expenditure Breakdown'!$U$6:$U$184, 'Expenditure Breakdown'!$T$6:$T$184, "&gt;="&amp;JK1,'Expenditure Breakdown'!$T$6:$T$184, "&lt;"&amp;JL1)</f>
        <v>0</v>
      </c>
      <c r="JL17" s="214">
        <f>SUMIFS('Expenditure Breakdown'!$U$6:$U$184, 'Expenditure Breakdown'!$T$6:$T$184, "&gt;="&amp;JL1,'Expenditure Breakdown'!$T$6:$T$184, "&lt;"&amp;JM1)</f>
        <v>0</v>
      </c>
      <c r="JM17" s="214">
        <f>SUMIFS('Expenditure Breakdown'!$U$6:$U$184, 'Expenditure Breakdown'!$T$6:$T$184, "&gt;="&amp;JM1,'Expenditure Breakdown'!$T$6:$T$184, "&lt;"&amp;JN1)</f>
        <v>0</v>
      </c>
      <c r="JN17" s="214">
        <f>SUMIFS('Expenditure Breakdown'!$U$6:$U$184, 'Expenditure Breakdown'!$T$6:$T$184, "&gt;="&amp;JN1,'Expenditure Breakdown'!$T$6:$T$184, "&lt;"&amp;JO1)</f>
        <v>0</v>
      </c>
      <c r="JO17" s="214">
        <f>SUMIFS('Expenditure Breakdown'!$U$6:$U$184, 'Expenditure Breakdown'!$T$6:$T$184, "&gt;="&amp;JO1,'Expenditure Breakdown'!$T$6:$T$184, "&lt;"&amp;JP1)</f>
        <v>0</v>
      </c>
      <c r="JP17" s="214">
        <f>SUMIFS('Expenditure Breakdown'!$U$6:$U$184, 'Expenditure Breakdown'!$T$6:$T$184, "&gt;="&amp;JP1,'Expenditure Breakdown'!$T$6:$T$184, "&lt;"&amp;JQ1)</f>
        <v>0</v>
      </c>
      <c r="JQ17" s="214">
        <f>SUMIFS('Expenditure Breakdown'!$U$6:$U$184, 'Expenditure Breakdown'!$T$6:$T$184, "&gt;="&amp;JQ1,'Expenditure Breakdown'!$T$6:$T$184, "&lt;"&amp;JR1)</f>
        <v>0</v>
      </c>
      <c r="JR17" s="214">
        <f>SUMIFS('Expenditure Breakdown'!$U$6:$U$184, 'Expenditure Breakdown'!$T$6:$T$184, "&gt;="&amp;JR1,'Expenditure Breakdown'!$T$6:$T$184, "&lt;"&amp;JS1)</f>
        <v>0</v>
      </c>
      <c r="JS17" s="214">
        <f>SUMIFS('Expenditure Breakdown'!$U$6:$U$184, 'Expenditure Breakdown'!$T$6:$T$184, "&gt;="&amp;JS1,'Expenditure Breakdown'!$T$6:$T$184, "&lt;"&amp;JT1)</f>
        <v>0</v>
      </c>
      <c r="JT17" s="214">
        <f>SUMIFS('Expenditure Breakdown'!$U$6:$U$184, 'Expenditure Breakdown'!$T$6:$T$184, "&gt;="&amp;JT1,'Expenditure Breakdown'!$T$6:$T$184, "&lt;"&amp;JU1)</f>
        <v>0</v>
      </c>
      <c r="JU17" s="214">
        <f>SUMIFS('Expenditure Breakdown'!$U$6:$U$184, 'Expenditure Breakdown'!$T$6:$T$184, "&gt;="&amp;JU1,'Expenditure Breakdown'!$T$6:$T$184, "&lt;"&amp;JV1)</f>
        <v>0</v>
      </c>
      <c r="JV17" s="214">
        <f>SUMIFS('Expenditure Breakdown'!$U$6:$U$184, 'Expenditure Breakdown'!$T$6:$T$184, "&gt;="&amp;JV1,'Expenditure Breakdown'!$T$6:$T$184, "&lt;"&amp;JW1)</f>
        <v>0</v>
      </c>
      <c r="JW17" s="214">
        <f>SUMIFS('Expenditure Breakdown'!$U$6:$U$184, 'Expenditure Breakdown'!$T$6:$T$184, "&gt;="&amp;JW1,'Expenditure Breakdown'!$T$6:$T$184, "&lt;"&amp;JX1)</f>
        <v>0</v>
      </c>
      <c r="JX17" s="214">
        <f>SUMIFS('Expenditure Breakdown'!$U$6:$U$184, 'Expenditure Breakdown'!$T$6:$T$184, "&gt;="&amp;JX1,'Expenditure Breakdown'!$T$6:$T$184, "&lt;"&amp;JY1)</f>
        <v>0</v>
      </c>
      <c r="JY17" s="214">
        <f>SUMIFS('Expenditure Breakdown'!$U$6:$U$184, 'Expenditure Breakdown'!$T$6:$T$184, "&gt;="&amp;JY1,'Expenditure Breakdown'!$T$6:$T$184, "&lt;"&amp;JZ1)</f>
        <v>0</v>
      </c>
      <c r="JZ17" s="214">
        <f>SUMIFS('Expenditure Breakdown'!$U$6:$U$184, 'Expenditure Breakdown'!$T$6:$T$184, "&gt;="&amp;JZ1,'Expenditure Breakdown'!$T$6:$T$184, "&lt;"&amp;KA1)</f>
        <v>0</v>
      </c>
      <c r="KA17" s="214">
        <f>SUMIFS('Expenditure Breakdown'!$U$6:$U$184, 'Expenditure Breakdown'!$T$6:$T$184, "&gt;="&amp;KA1,'Expenditure Breakdown'!$T$6:$T$184, "&lt;"&amp;KB1)</f>
        <v>0</v>
      </c>
      <c r="KB17" s="214">
        <f>SUMIFS('Expenditure Breakdown'!$U$6:$U$184, 'Expenditure Breakdown'!$T$6:$T$184, "&gt;="&amp;KB1,'Expenditure Breakdown'!$T$6:$T$184, "&lt;"&amp;KC1)</f>
        <v>0</v>
      </c>
      <c r="KC17" s="214">
        <f>SUMIFS('Expenditure Breakdown'!$U$6:$U$184, 'Expenditure Breakdown'!$T$6:$T$184, "&gt;="&amp;KC1,'Expenditure Breakdown'!$T$6:$T$184, "&lt;"&amp;KD1)</f>
        <v>0</v>
      </c>
      <c r="KD17" s="214">
        <f>SUMIFS('Expenditure Breakdown'!$U$6:$U$184, 'Expenditure Breakdown'!$T$6:$T$184, "&gt;="&amp;KD1,'Expenditure Breakdown'!$T$6:$T$184, "&lt;"&amp;KE1)</f>
        <v>0</v>
      </c>
      <c r="KE17" s="214">
        <f>SUMIFS('Expenditure Breakdown'!$U$6:$U$184, 'Expenditure Breakdown'!$T$6:$T$184, "&gt;="&amp;KE1,'Expenditure Breakdown'!$T$6:$T$184, "&lt;"&amp;KF1)</f>
        <v>0</v>
      </c>
      <c r="KF17" s="214">
        <f>SUMIFS('Expenditure Breakdown'!$U$6:$U$184, 'Expenditure Breakdown'!$T$6:$T$184, "&gt;="&amp;KF1,'Expenditure Breakdown'!$T$6:$T$184, "&lt;"&amp;KG1)</f>
        <v>0</v>
      </c>
      <c r="KG17" s="214">
        <f>SUMIFS('Expenditure Breakdown'!$U$6:$U$184, 'Expenditure Breakdown'!$T$6:$T$184, "&gt;="&amp;KG1,'Expenditure Breakdown'!$T$6:$T$184, "&lt;"&amp;KH1)</f>
        <v>0</v>
      </c>
      <c r="KH17" s="214">
        <f>SUMIFS('Expenditure Breakdown'!$U$6:$U$184, 'Expenditure Breakdown'!$T$6:$T$184, "&gt;="&amp;KH1,'Expenditure Breakdown'!$T$6:$T$184, "&lt;"&amp;KI1)</f>
        <v>0</v>
      </c>
      <c r="KI17" s="214">
        <f>SUMIFS('Expenditure Breakdown'!$U$6:$U$184, 'Expenditure Breakdown'!$T$6:$T$184, "&gt;="&amp;KI1,'Expenditure Breakdown'!$T$6:$T$184, "&lt;"&amp;KJ1)</f>
        <v>0</v>
      </c>
      <c r="KJ17" s="214">
        <f>SUMIFS('Expenditure Breakdown'!$U$6:$U$184, 'Expenditure Breakdown'!$T$6:$T$184, "&gt;="&amp;KJ1,'Expenditure Breakdown'!$T$6:$T$184, "&lt;"&amp;KK1)</f>
        <v>0</v>
      </c>
      <c r="KK17" s="214">
        <f>SUMIFS('Expenditure Breakdown'!$U$6:$U$184, 'Expenditure Breakdown'!$T$6:$T$184, "&gt;="&amp;KK1,'Expenditure Breakdown'!$T$6:$T$184, "&lt;"&amp;KL1)</f>
        <v>0</v>
      </c>
      <c r="KL17" s="214">
        <f>SUMIFS('Expenditure Breakdown'!$U$6:$U$184, 'Expenditure Breakdown'!$T$6:$T$184, "&gt;="&amp;KL1,'Expenditure Breakdown'!$T$6:$T$184, "&lt;"&amp;KM1)</f>
        <v>0</v>
      </c>
      <c r="KM17" s="214">
        <f>SUMIFS('Expenditure Breakdown'!$U$6:$U$184, 'Expenditure Breakdown'!$T$6:$T$184, "&gt;="&amp;KM1,'Expenditure Breakdown'!$T$6:$T$184, "&lt;"&amp;KN1)</f>
        <v>0</v>
      </c>
      <c r="KN17" s="214">
        <f>SUMIFS('Expenditure Breakdown'!$U$6:$U$184, 'Expenditure Breakdown'!$T$6:$T$184, "&gt;="&amp;KN1,'Expenditure Breakdown'!$T$6:$T$184, "&lt;"&amp;KO1)</f>
        <v>0</v>
      </c>
      <c r="KO17" s="214">
        <f>SUMIFS('Expenditure Breakdown'!$U$6:$U$184, 'Expenditure Breakdown'!$T$6:$T$184, "&gt;="&amp;KO1,'Expenditure Breakdown'!$T$6:$T$184, "&lt;"&amp;KP1)</f>
        <v>0</v>
      </c>
      <c r="KP17" s="214">
        <f>SUMIFS('Expenditure Breakdown'!$U$6:$U$184, 'Expenditure Breakdown'!$T$6:$T$184, "&gt;="&amp;KP1,'Expenditure Breakdown'!$T$6:$T$184, "&lt;"&amp;KQ1)</f>
        <v>0</v>
      </c>
      <c r="KQ17" s="214">
        <f>SUMIFS('Expenditure Breakdown'!$U$6:$U$184, 'Expenditure Breakdown'!$T$6:$T$184, "&gt;="&amp;KQ1,'Expenditure Breakdown'!$T$6:$T$184, "&lt;"&amp;KR1)</f>
        <v>0</v>
      </c>
      <c r="KR17" s="214">
        <f>SUMIFS('Expenditure Breakdown'!$U$6:$U$184, 'Expenditure Breakdown'!$T$6:$T$184, "&gt;="&amp;KR1,'Expenditure Breakdown'!$T$6:$T$184, "&lt;"&amp;KS1)</f>
        <v>0</v>
      </c>
      <c r="KS17" s="214">
        <f>SUMIFS('Expenditure Breakdown'!$U$6:$U$184, 'Expenditure Breakdown'!$T$6:$T$184, "&gt;="&amp;KS1,'Expenditure Breakdown'!$T$6:$T$184, "&lt;"&amp;KT1)</f>
        <v>0</v>
      </c>
      <c r="KT17" s="214">
        <f>SUMIFS('Expenditure Breakdown'!$U$6:$U$184, 'Expenditure Breakdown'!$T$6:$T$184, "&gt;="&amp;KT1,'Expenditure Breakdown'!$T$6:$T$184, "&lt;"&amp;KU1)</f>
        <v>0</v>
      </c>
      <c r="KU17" s="214">
        <f>SUMIFS('Expenditure Breakdown'!$U$6:$U$184, 'Expenditure Breakdown'!$T$6:$T$184, "&gt;="&amp;KU1,'Expenditure Breakdown'!$T$6:$T$184, "&lt;"&amp;KV1)</f>
        <v>0</v>
      </c>
      <c r="KV17" s="214">
        <f>SUMIFS('Expenditure Breakdown'!$U$6:$U$184, 'Expenditure Breakdown'!$T$6:$T$184, "&gt;="&amp;KV1,'Expenditure Breakdown'!$T$6:$T$184, "&lt;"&amp;KW1)</f>
        <v>0</v>
      </c>
      <c r="KW17" s="214">
        <f>SUMIFS('Expenditure Breakdown'!$U$6:$U$184, 'Expenditure Breakdown'!$T$6:$T$184, "&gt;="&amp;KW1,'Expenditure Breakdown'!$T$6:$T$184, "&lt;"&amp;KX1)</f>
        <v>0</v>
      </c>
      <c r="KX17" s="214">
        <f>SUMIFS('Expenditure Breakdown'!$U$6:$U$184, 'Expenditure Breakdown'!$T$6:$T$184, "&gt;="&amp;KX1,'Expenditure Breakdown'!$T$6:$T$184, "&lt;"&amp;KY1)</f>
        <v>0</v>
      </c>
      <c r="KY17" s="214">
        <f>SUMIFS('Expenditure Breakdown'!$U$6:$U$184, 'Expenditure Breakdown'!$T$6:$T$184, "&gt;="&amp;KY1,'Expenditure Breakdown'!$T$6:$T$184, "&lt;"&amp;KZ1)</f>
        <v>0</v>
      </c>
      <c r="KZ17" s="214">
        <f>SUMIFS('Expenditure Breakdown'!$U$6:$U$184, 'Expenditure Breakdown'!$T$6:$T$184, "&gt;="&amp;KZ1,'Expenditure Breakdown'!$T$6:$T$184, "&lt;"&amp;LA1)</f>
        <v>0</v>
      </c>
      <c r="LA17" s="214">
        <f>SUMIFS('Expenditure Breakdown'!$U$6:$U$184, 'Expenditure Breakdown'!$T$6:$T$184, "&gt;="&amp;LA1,'Expenditure Breakdown'!$T$6:$T$184, "&lt;"&amp;LB1)</f>
        <v>0</v>
      </c>
      <c r="LB17" s="214">
        <f>SUMIFS('Expenditure Breakdown'!$U$6:$U$184, 'Expenditure Breakdown'!$T$6:$T$184, "&gt;="&amp;LB1,'Expenditure Breakdown'!$T$6:$T$184, "&lt;"&amp;LC1)</f>
        <v>0</v>
      </c>
      <c r="LC17" s="214">
        <f>SUMIFS('Expenditure Breakdown'!$U$6:$U$184, 'Expenditure Breakdown'!$T$6:$T$184, "&gt;="&amp;LC1,'Expenditure Breakdown'!$T$6:$T$184, "&lt;"&amp;LD1)</f>
        <v>0</v>
      </c>
      <c r="LD17" s="214">
        <f>SUMIFS('Expenditure Breakdown'!$U$6:$U$184, 'Expenditure Breakdown'!$T$6:$T$184, "&gt;="&amp;LD1,'Expenditure Breakdown'!$T$6:$T$184, "&lt;"&amp;#REF!)</f>
        <v>0</v>
      </c>
    </row>
    <row r="18" spans="1:316">
      <c r="A18" s="778"/>
      <c r="B18" s="195" t="s">
        <v>410</v>
      </c>
      <c r="C18" s="375">
        <f>D17-D18</f>
        <v>0</v>
      </c>
      <c r="D18" s="196">
        <f>MAX(F18:LD18)</f>
        <v>2655906.2976507274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26045.617307974175</v>
      </c>
      <c r="U18" s="214">
        <f t="shared" si="37"/>
        <v>26045.617307974175</v>
      </c>
      <c r="V18" s="214">
        <f t="shared" si="37"/>
        <v>26045.617307974175</v>
      </c>
      <c r="W18" s="214">
        <f t="shared" si="37"/>
        <v>26045.617307974175</v>
      </c>
      <c r="X18" s="214">
        <f t="shared" si="37"/>
        <v>37754.133915102706</v>
      </c>
      <c r="Y18" s="214">
        <f t="shared" si="37"/>
        <v>37754.133915102706</v>
      </c>
      <c r="Z18" s="214">
        <f t="shared" si="37"/>
        <v>37754.133915102706</v>
      </c>
      <c r="AA18" s="214">
        <f t="shared" si="37"/>
        <v>37754.133915102706</v>
      </c>
      <c r="AB18" s="214">
        <f t="shared" si="37"/>
        <v>37754.133915102706</v>
      </c>
      <c r="AC18" s="214">
        <f t="shared" si="37"/>
        <v>1534973.8626063478</v>
      </c>
      <c r="AD18" s="214">
        <f t="shared" si="37"/>
        <v>1534973.8626063478</v>
      </c>
      <c r="AE18" s="214">
        <f t="shared" si="37"/>
        <v>1534973.8626063478</v>
      </c>
      <c r="AF18" s="214">
        <f t="shared" si="37"/>
        <v>1534973.8626063478</v>
      </c>
      <c r="AG18" s="214">
        <f t="shared" si="37"/>
        <v>1876962.3336216924</v>
      </c>
      <c r="AH18" s="214">
        <f t="shared" si="37"/>
        <v>1876962.3336216924</v>
      </c>
      <c r="AI18" s="214">
        <f t="shared" si="37"/>
        <v>1876962.3336216924</v>
      </c>
      <c r="AJ18" s="214">
        <f t="shared" si="37"/>
        <v>1876962.3336216924</v>
      </c>
      <c r="AK18" s="214">
        <f t="shared" si="37"/>
        <v>2371815.3876553201</v>
      </c>
      <c r="AL18" s="214">
        <f t="shared" si="37"/>
        <v>2371815.3876553201</v>
      </c>
      <c r="AM18" s="214">
        <f t="shared" si="37"/>
        <v>2371815.3876553201</v>
      </c>
      <c r="AN18" s="214">
        <f t="shared" si="37"/>
        <v>2371815.3876553201</v>
      </c>
      <c r="AO18" s="214">
        <f t="shared" si="37"/>
        <v>2371815.3876553201</v>
      </c>
      <c r="AP18" s="214">
        <f t="shared" si="37"/>
        <v>2371815.3876553201</v>
      </c>
      <c r="AQ18" s="214">
        <f t="shared" si="37"/>
        <v>2371815.3876553201</v>
      </c>
      <c r="AR18" s="214">
        <f t="shared" si="37"/>
        <v>2371815.3876553201</v>
      </c>
      <c r="AS18" s="214">
        <f t="shared" si="37"/>
        <v>2371815.3876553201</v>
      </c>
      <c r="AT18" s="214">
        <f t="shared" si="37"/>
        <v>2415781.3660072237</v>
      </c>
      <c r="AU18" s="214">
        <f t="shared" si="37"/>
        <v>2415781.3660072237</v>
      </c>
      <c r="AV18" s="214">
        <f t="shared" si="37"/>
        <v>2415781.3660072237</v>
      </c>
      <c r="AW18" s="214">
        <f t="shared" si="37"/>
        <v>2415781.3660072237</v>
      </c>
      <c r="AX18" s="214">
        <f t="shared" si="37"/>
        <v>2604734.0822398514</v>
      </c>
      <c r="AY18" s="214">
        <f t="shared" si="37"/>
        <v>2604734.0822398514</v>
      </c>
      <c r="AZ18" s="214">
        <f t="shared" si="37"/>
        <v>2604734.0822398514</v>
      </c>
      <c r="BA18" s="214">
        <f t="shared" si="37"/>
        <v>2604734.0822398514</v>
      </c>
      <c r="BB18" s="214">
        <f t="shared" si="37"/>
        <v>2604734.0822398514</v>
      </c>
      <c r="BC18" s="214">
        <f t="shared" si="37"/>
        <v>2655906.2976507274</v>
      </c>
      <c r="BD18" s="214">
        <f t="shared" si="37"/>
        <v>2655906.2976507274</v>
      </c>
      <c r="BE18" s="214">
        <f t="shared" si="37"/>
        <v>2655906.2976507274</v>
      </c>
      <c r="BF18" s="214">
        <f t="shared" si="37"/>
        <v>2655906.2976507274</v>
      </c>
      <c r="BG18" s="214">
        <f t="shared" si="37"/>
        <v>2655906.2976507274</v>
      </c>
      <c r="BH18" s="214">
        <f t="shared" si="37"/>
        <v>2655906.2976507274</v>
      </c>
      <c r="BI18" s="214">
        <f t="shared" si="37"/>
        <v>2655906.2976507274</v>
      </c>
      <c r="BJ18" s="214">
        <f t="shared" si="37"/>
        <v>2655906.2976507274</v>
      </c>
      <c r="BK18" s="214">
        <f t="shared" si="37"/>
        <v>2655906.2976507274</v>
      </c>
      <c r="BL18" s="214">
        <f t="shared" si="37"/>
        <v>2655906.2976507274</v>
      </c>
      <c r="BM18" s="214">
        <f t="shared" si="37"/>
        <v>2655906.2976507274</v>
      </c>
      <c r="BN18" s="214">
        <f t="shared" si="37"/>
        <v>2655906.2976507274</v>
      </c>
      <c r="BO18" s="214">
        <f t="shared" si="37"/>
        <v>2655906.2976507274</v>
      </c>
      <c r="BP18" s="214">
        <f t="shared" si="37"/>
        <v>2655906.2976507274</v>
      </c>
      <c r="BQ18" s="214">
        <f t="shared" si="37"/>
        <v>2655906.2976507274</v>
      </c>
      <c r="BR18" s="214">
        <f t="shared" si="37"/>
        <v>2655906.2976507274</v>
      </c>
      <c r="BS18" s="214">
        <f t="shared" si="37"/>
        <v>2655906.2976507274</v>
      </c>
      <c r="BT18" s="214">
        <f t="shared" si="37"/>
        <v>2655906.2976507274</v>
      </c>
      <c r="BU18" s="214">
        <f t="shared" ref="BU18:EF18" si="38">BT18+BU17</f>
        <v>2655906.2976507274</v>
      </c>
      <c r="BV18" s="214">
        <f t="shared" si="38"/>
        <v>2655906.2976507274</v>
      </c>
      <c r="BW18" s="214">
        <f t="shared" si="38"/>
        <v>2655906.2976507274</v>
      </c>
      <c r="BX18" s="214">
        <f t="shared" si="38"/>
        <v>2655906.2976507274</v>
      </c>
      <c r="BY18" s="214">
        <f t="shared" si="38"/>
        <v>2655906.2976507274</v>
      </c>
      <c r="BZ18" s="214">
        <f t="shared" si="38"/>
        <v>2655906.2976507274</v>
      </c>
      <c r="CA18" s="214">
        <f t="shared" si="38"/>
        <v>2655906.2976507274</v>
      </c>
      <c r="CB18" s="214">
        <f t="shared" si="38"/>
        <v>2655906.2976507274</v>
      </c>
      <c r="CC18" s="214">
        <f t="shared" si="38"/>
        <v>2655906.2976507274</v>
      </c>
      <c r="CD18" s="214">
        <f t="shared" si="38"/>
        <v>2655906.2976507274</v>
      </c>
      <c r="CE18" s="214">
        <f t="shared" si="38"/>
        <v>2655906.2976507274</v>
      </c>
      <c r="CF18" s="214">
        <f t="shared" si="38"/>
        <v>2655906.2976507274</v>
      </c>
      <c r="CG18" s="214">
        <f t="shared" si="38"/>
        <v>2655906.2976507274</v>
      </c>
      <c r="CH18" s="214">
        <f t="shared" si="38"/>
        <v>2655906.2976507274</v>
      </c>
      <c r="CI18" s="214">
        <f t="shared" si="38"/>
        <v>2655906.2976507274</v>
      </c>
      <c r="CJ18" s="214">
        <f t="shared" si="38"/>
        <v>2655906.2976507274</v>
      </c>
      <c r="CK18" s="214">
        <f t="shared" si="38"/>
        <v>2655906.2976507274</v>
      </c>
      <c r="CL18" s="214">
        <f t="shared" si="38"/>
        <v>2655906.2976507274</v>
      </c>
      <c r="CM18" s="214">
        <f t="shared" si="38"/>
        <v>2655906.2976507274</v>
      </c>
      <c r="CN18" s="214">
        <f t="shared" si="38"/>
        <v>2655906.2976507274</v>
      </c>
      <c r="CO18" s="214">
        <f t="shared" si="38"/>
        <v>2655906.2976507274</v>
      </c>
      <c r="CP18" s="214">
        <f t="shared" si="38"/>
        <v>2655906.2976507274</v>
      </c>
      <c r="CQ18" s="214">
        <f t="shared" si="38"/>
        <v>2655906.2976507274</v>
      </c>
      <c r="CR18" s="214">
        <f t="shared" si="38"/>
        <v>2655906.2976507274</v>
      </c>
      <c r="CS18" s="214">
        <f t="shared" si="38"/>
        <v>2655906.2976507274</v>
      </c>
      <c r="CT18" s="214">
        <f t="shared" si="38"/>
        <v>2655906.2976507274</v>
      </c>
      <c r="CU18" s="214">
        <f t="shared" si="38"/>
        <v>2655906.2976507274</v>
      </c>
      <c r="CV18" s="214">
        <f t="shared" si="38"/>
        <v>2655906.2976507274</v>
      </c>
      <c r="CW18" s="214">
        <f t="shared" si="38"/>
        <v>2655906.2976507274</v>
      </c>
      <c r="CX18" s="214">
        <f t="shared" si="38"/>
        <v>2655906.2976507274</v>
      </c>
      <c r="CY18" s="214">
        <f t="shared" si="38"/>
        <v>2655906.2976507274</v>
      </c>
      <c r="CZ18" s="214">
        <f t="shared" si="38"/>
        <v>2655906.2976507274</v>
      </c>
      <c r="DA18" s="214">
        <f t="shared" si="38"/>
        <v>2655906.2976507274</v>
      </c>
      <c r="DB18" s="214">
        <f t="shared" si="38"/>
        <v>2655906.2976507274</v>
      </c>
      <c r="DC18" s="214">
        <f t="shared" si="38"/>
        <v>2655906.2976507274</v>
      </c>
      <c r="DD18" s="214">
        <f t="shared" si="38"/>
        <v>2655906.2976507274</v>
      </c>
      <c r="DE18" s="214">
        <f t="shared" si="38"/>
        <v>2655906.2976507274</v>
      </c>
      <c r="DF18" s="214">
        <f t="shared" si="38"/>
        <v>2655906.2976507274</v>
      </c>
      <c r="DG18" s="214">
        <f t="shared" si="38"/>
        <v>2655906.2976507274</v>
      </c>
      <c r="DH18" s="214">
        <f t="shared" si="38"/>
        <v>2655906.2976507274</v>
      </c>
      <c r="DI18" s="214">
        <f t="shared" si="38"/>
        <v>2655906.2976507274</v>
      </c>
      <c r="DJ18" s="214">
        <f t="shared" si="38"/>
        <v>2655906.2976507274</v>
      </c>
      <c r="DK18" s="214">
        <f t="shared" si="38"/>
        <v>2655906.2976507274</v>
      </c>
      <c r="DL18" s="214">
        <f t="shared" si="38"/>
        <v>2655906.2976507274</v>
      </c>
      <c r="DM18" s="214">
        <f t="shared" si="38"/>
        <v>2655906.2976507274</v>
      </c>
      <c r="DN18" s="214">
        <f t="shared" si="38"/>
        <v>2655906.2976507274</v>
      </c>
      <c r="DO18" s="214">
        <f t="shared" si="38"/>
        <v>2655906.2976507274</v>
      </c>
      <c r="DP18" s="214">
        <f t="shared" si="38"/>
        <v>2655906.2976507274</v>
      </c>
      <c r="DQ18" s="214">
        <f t="shared" si="38"/>
        <v>2655906.2976507274</v>
      </c>
      <c r="DR18" s="214">
        <f t="shared" si="38"/>
        <v>2655906.2976507274</v>
      </c>
      <c r="DS18" s="214">
        <f t="shared" si="38"/>
        <v>2655906.2976507274</v>
      </c>
      <c r="DT18" s="214">
        <f t="shared" si="38"/>
        <v>2655906.2976507274</v>
      </c>
      <c r="DU18" s="214">
        <f t="shared" si="38"/>
        <v>2655906.2976507274</v>
      </c>
      <c r="DV18" s="214">
        <f t="shared" si="38"/>
        <v>2655906.2976507274</v>
      </c>
      <c r="DW18" s="214">
        <f t="shared" si="38"/>
        <v>2655906.2976507274</v>
      </c>
      <c r="DX18" s="214">
        <f t="shared" si="38"/>
        <v>2655906.2976507274</v>
      </c>
      <c r="DY18" s="214">
        <f t="shared" si="38"/>
        <v>2655906.2976507274</v>
      </c>
      <c r="DZ18" s="214">
        <f t="shared" si="38"/>
        <v>2655906.2976507274</v>
      </c>
      <c r="EA18" s="214">
        <f t="shared" si="38"/>
        <v>2655906.2976507274</v>
      </c>
      <c r="EB18" s="214">
        <f t="shared" si="38"/>
        <v>2655906.2976507274</v>
      </c>
      <c r="EC18" s="214">
        <f t="shared" si="38"/>
        <v>2655906.2976507274</v>
      </c>
      <c r="ED18" s="214">
        <f t="shared" si="38"/>
        <v>2655906.2976507274</v>
      </c>
      <c r="EE18" s="214">
        <f t="shared" si="38"/>
        <v>2655906.2976507274</v>
      </c>
      <c r="EF18" s="214">
        <f t="shared" si="38"/>
        <v>2655906.2976507274</v>
      </c>
      <c r="EG18" s="214">
        <f t="shared" ref="EG18:GR18" si="39">EF18+EG17</f>
        <v>2655906.2976507274</v>
      </c>
      <c r="EH18" s="214">
        <f t="shared" si="39"/>
        <v>2655906.2976507274</v>
      </c>
      <c r="EI18" s="214">
        <f t="shared" si="39"/>
        <v>2655906.2976507274</v>
      </c>
      <c r="EJ18" s="214">
        <f t="shared" si="39"/>
        <v>2655906.2976507274</v>
      </c>
      <c r="EK18" s="214">
        <f t="shared" si="39"/>
        <v>2655906.2976507274</v>
      </c>
      <c r="EL18" s="214">
        <f t="shared" si="39"/>
        <v>2655906.2976507274</v>
      </c>
      <c r="EM18" s="214">
        <f t="shared" si="39"/>
        <v>2655906.2976507274</v>
      </c>
      <c r="EN18" s="214">
        <f t="shared" si="39"/>
        <v>2655906.2976507274</v>
      </c>
      <c r="EO18" s="214">
        <f t="shared" si="39"/>
        <v>2655906.2976507274</v>
      </c>
      <c r="EP18" s="214">
        <f t="shared" si="39"/>
        <v>2655906.2976507274</v>
      </c>
      <c r="EQ18" s="214">
        <f t="shared" si="39"/>
        <v>2655906.2976507274</v>
      </c>
      <c r="ER18" s="214">
        <f t="shared" si="39"/>
        <v>2655906.2976507274</v>
      </c>
      <c r="ES18" s="214">
        <f t="shared" si="39"/>
        <v>2655906.2976507274</v>
      </c>
      <c r="ET18" s="214">
        <f t="shared" si="39"/>
        <v>2655906.2976507274</v>
      </c>
      <c r="EU18" s="214">
        <f t="shared" si="39"/>
        <v>2655906.2976507274</v>
      </c>
      <c r="EV18" s="214">
        <f t="shared" si="39"/>
        <v>2655906.2976507274</v>
      </c>
      <c r="EW18" s="214">
        <f t="shared" si="39"/>
        <v>2655906.2976507274</v>
      </c>
      <c r="EX18" s="214">
        <f t="shared" si="39"/>
        <v>2655906.2976507274</v>
      </c>
      <c r="EY18" s="214">
        <f t="shared" si="39"/>
        <v>2655906.2976507274</v>
      </c>
      <c r="EZ18" s="214">
        <f t="shared" si="39"/>
        <v>2655906.2976507274</v>
      </c>
      <c r="FA18" s="214">
        <f t="shared" si="39"/>
        <v>2655906.2976507274</v>
      </c>
      <c r="FB18" s="214">
        <f t="shared" si="39"/>
        <v>2655906.2976507274</v>
      </c>
      <c r="FC18" s="214">
        <f t="shared" si="39"/>
        <v>2655906.2976507274</v>
      </c>
      <c r="FD18" s="214">
        <f t="shared" si="39"/>
        <v>2655906.2976507274</v>
      </c>
      <c r="FE18" s="214">
        <f t="shared" si="39"/>
        <v>2655906.2976507274</v>
      </c>
      <c r="FF18" s="214">
        <f t="shared" si="39"/>
        <v>2655906.2976507274</v>
      </c>
      <c r="FG18" s="214">
        <f t="shared" si="39"/>
        <v>2655906.2976507274</v>
      </c>
      <c r="FH18" s="214">
        <f t="shared" si="39"/>
        <v>2655906.2976507274</v>
      </c>
      <c r="FI18" s="214">
        <f t="shared" si="39"/>
        <v>2655906.2976507274</v>
      </c>
      <c r="FJ18" s="214">
        <f t="shared" si="39"/>
        <v>2655906.2976507274</v>
      </c>
      <c r="FK18" s="214">
        <f t="shared" si="39"/>
        <v>2655906.2976507274</v>
      </c>
      <c r="FL18" s="214">
        <f t="shared" si="39"/>
        <v>2655906.2976507274</v>
      </c>
      <c r="FM18" s="214">
        <f t="shared" si="39"/>
        <v>2655906.2976507274</v>
      </c>
      <c r="FN18" s="214">
        <f t="shared" si="39"/>
        <v>2655906.2976507274</v>
      </c>
      <c r="FO18" s="214">
        <f t="shared" si="39"/>
        <v>2655906.2976507274</v>
      </c>
      <c r="FP18" s="214">
        <f t="shared" si="39"/>
        <v>2655906.2976507274</v>
      </c>
      <c r="FQ18" s="214">
        <f t="shared" si="39"/>
        <v>2655906.2976507274</v>
      </c>
      <c r="FR18" s="214">
        <f t="shared" si="39"/>
        <v>2655906.2976507274</v>
      </c>
      <c r="FS18" s="214">
        <f t="shared" si="39"/>
        <v>2655906.2976507274</v>
      </c>
      <c r="FT18" s="214">
        <f t="shared" si="39"/>
        <v>2655906.2976507274</v>
      </c>
      <c r="FU18" s="214">
        <f t="shared" si="39"/>
        <v>2655906.2976507274</v>
      </c>
      <c r="FV18" s="214">
        <f t="shared" si="39"/>
        <v>2655906.2976507274</v>
      </c>
      <c r="FW18" s="214">
        <f t="shared" si="39"/>
        <v>2655906.2976507274</v>
      </c>
      <c r="FX18" s="214">
        <f t="shared" si="39"/>
        <v>2655906.2976507274</v>
      </c>
      <c r="FY18" s="214">
        <f t="shared" si="39"/>
        <v>2655906.2976507274</v>
      </c>
      <c r="FZ18" s="214">
        <f t="shared" si="39"/>
        <v>2655906.2976507274</v>
      </c>
      <c r="GA18" s="214">
        <f t="shared" si="39"/>
        <v>2655906.2976507274</v>
      </c>
      <c r="GB18" s="214">
        <f t="shared" si="39"/>
        <v>2655906.2976507274</v>
      </c>
      <c r="GC18" s="214">
        <f t="shared" si="39"/>
        <v>2655906.2976507274</v>
      </c>
      <c r="GD18" s="214">
        <f t="shared" si="39"/>
        <v>2655906.2976507274</v>
      </c>
      <c r="GE18" s="214">
        <f t="shared" si="39"/>
        <v>2655906.2976507274</v>
      </c>
      <c r="GF18" s="214">
        <f t="shared" si="39"/>
        <v>2655906.2976507274</v>
      </c>
      <c r="GG18" s="214">
        <f t="shared" si="39"/>
        <v>2655906.2976507274</v>
      </c>
      <c r="GH18" s="214">
        <f t="shared" si="39"/>
        <v>2655906.2976507274</v>
      </c>
      <c r="GI18" s="214">
        <f t="shared" si="39"/>
        <v>2655906.2976507274</v>
      </c>
      <c r="GJ18" s="214">
        <f t="shared" si="39"/>
        <v>2655906.2976507274</v>
      </c>
      <c r="GK18" s="214">
        <f t="shared" si="39"/>
        <v>2655906.2976507274</v>
      </c>
      <c r="GL18" s="214">
        <f t="shared" si="39"/>
        <v>2655906.2976507274</v>
      </c>
      <c r="GM18" s="214">
        <f t="shared" si="39"/>
        <v>2655906.2976507274</v>
      </c>
      <c r="GN18" s="214">
        <f t="shared" si="39"/>
        <v>2655906.2976507274</v>
      </c>
      <c r="GO18" s="214">
        <f t="shared" si="39"/>
        <v>2655906.2976507274</v>
      </c>
      <c r="GP18" s="214">
        <f t="shared" si="39"/>
        <v>2655906.2976507274</v>
      </c>
      <c r="GQ18" s="214">
        <f t="shared" si="39"/>
        <v>2655906.2976507274</v>
      </c>
      <c r="GR18" s="214">
        <f t="shared" si="39"/>
        <v>2655906.2976507274</v>
      </c>
      <c r="GS18" s="214">
        <f t="shared" ref="GS18:JD18" si="40">GR18+GS17</f>
        <v>2655906.2976507274</v>
      </c>
      <c r="GT18" s="214">
        <f t="shared" si="40"/>
        <v>2655906.2976507274</v>
      </c>
      <c r="GU18" s="214">
        <f t="shared" si="40"/>
        <v>2655906.2976507274</v>
      </c>
      <c r="GV18" s="214">
        <f t="shared" si="40"/>
        <v>2655906.2976507274</v>
      </c>
      <c r="GW18" s="214">
        <f t="shared" si="40"/>
        <v>2655906.2976507274</v>
      </c>
      <c r="GX18" s="214">
        <f t="shared" si="40"/>
        <v>2655906.2976507274</v>
      </c>
      <c r="GY18" s="214">
        <f t="shared" si="40"/>
        <v>2655906.2976507274</v>
      </c>
      <c r="GZ18" s="214">
        <f t="shared" si="40"/>
        <v>2655906.2976507274</v>
      </c>
      <c r="HA18" s="214">
        <f t="shared" si="40"/>
        <v>2655906.2976507274</v>
      </c>
      <c r="HB18" s="214">
        <f t="shared" si="40"/>
        <v>2655906.2976507274</v>
      </c>
      <c r="HC18" s="214">
        <f t="shared" si="40"/>
        <v>2655906.2976507274</v>
      </c>
      <c r="HD18" s="214">
        <f t="shared" si="40"/>
        <v>2655906.2976507274</v>
      </c>
      <c r="HE18" s="214">
        <f t="shared" si="40"/>
        <v>2655906.2976507274</v>
      </c>
      <c r="HF18" s="214">
        <f t="shared" si="40"/>
        <v>2655906.2976507274</v>
      </c>
      <c r="HG18" s="214">
        <f t="shared" si="40"/>
        <v>2655906.2976507274</v>
      </c>
      <c r="HH18" s="214">
        <f t="shared" si="40"/>
        <v>2655906.2976507274</v>
      </c>
      <c r="HI18" s="214">
        <f t="shared" si="40"/>
        <v>2655906.2976507274</v>
      </c>
      <c r="HJ18" s="214">
        <f t="shared" si="40"/>
        <v>2655906.2976507274</v>
      </c>
      <c r="HK18" s="214">
        <f t="shared" si="40"/>
        <v>2655906.2976507274</v>
      </c>
      <c r="HL18" s="214">
        <f t="shared" si="40"/>
        <v>2655906.2976507274</v>
      </c>
      <c r="HM18" s="214">
        <f t="shared" si="40"/>
        <v>2655906.2976507274</v>
      </c>
      <c r="HN18" s="214">
        <f t="shared" si="40"/>
        <v>2655906.2976507274</v>
      </c>
      <c r="HO18" s="214">
        <f t="shared" si="40"/>
        <v>2655906.2976507274</v>
      </c>
      <c r="HP18" s="214">
        <f t="shared" si="40"/>
        <v>2655906.2976507274</v>
      </c>
      <c r="HQ18" s="214">
        <f t="shared" si="40"/>
        <v>2655906.2976507274</v>
      </c>
      <c r="HR18" s="214">
        <f t="shared" si="40"/>
        <v>2655906.2976507274</v>
      </c>
      <c r="HS18" s="214">
        <f t="shared" si="40"/>
        <v>2655906.2976507274</v>
      </c>
      <c r="HT18" s="214">
        <f t="shared" si="40"/>
        <v>2655906.2976507274</v>
      </c>
      <c r="HU18" s="214">
        <f t="shared" si="40"/>
        <v>2655906.2976507274</v>
      </c>
      <c r="HV18" s="214">
        <f t="shared" si="40"/>
        <v>2655906.2976507274</v>
      </c>
      <c r="HW18" s="214">
        <f t="shared" si="40"/>
        <v>2655906.2976507274</v>
      </c>
      <c r="HX18" s="214">
        <f t="shared" si="40"/>
        <v>2655906.2976507274</v>
      </c>
      <c r="HY18" s="214">
        <f t="shared" si="40"/>
        <v>2655906.2976507274</v>
      </c>
      <c r="HZ18" s="214">
        <f t="shared" si="40"/>
        <v>2655906.2976507274</v>
      </c>
      <c r="IA18" s="214">
        <f t="shared" si="40"/>
        <v>2655906.2976507274</v>
      </c>
      <c r="IB18" s="214">
        <f t="shared" si="40"/>
        <v>2655906.2976507274</v>
      </c>
      <c r="IC18" s="214">
        <f t="shared" si="40"/>
        <v>2655906.2976507274</v>
      </c>
      <c r="ID18" s="214">
        <f t="shared" si="40"/>
        <v>2655906.2976507274</v>
      </c>
      <c r="IE18" s="214">
        <f t="shared" si="40"/>
        <v>2655906.2976507274</v>
      </c>
      <c r="IF18" s="214">
        <f t="shared" si="40"/>
        <v>2655906.2976507274</v>
      </c>
      <c r="IG18" s="214">
        <f t="shared" si="40"/>
        <v>2655906.2976507274</v>
      </c>
      <c r="IH18" s="214">
        <f t="shared" si="40"/>
        <v>2655906.2976507274</v>
      </c>
      <c r="II18" s="214">
        <f t="shared" si="40"/>
        <v>2655906.2976507274</v>
      </c>
      <c r="IJ18" s="214">
        <f t="shared" si="40"/>
        <v>2655906.2976507274</v>
      </c>
      <c r="IK18" s="214">
        <f t="shared" si="40"/>
        <v>2655906.2976507274</v>
      </c>
      <c r="IL18" s="214">
        <f t="shared" si="40"/>
        <v>2655906.2976507274</v>
      </c>
      <c r="IM18" s="214">
        <f t="shared" si="40"/>
        <v>2655906.2976507274</v>
      </c>
      <c r="IN18" s="214">
        <f t="shared" si="40"/>
        <v>2655906.2976507274</v>
      </c>
      <c r="IO18" s="214">
        <f t="shared" si="40"/>
        <v>2655906.2976507274</v>
      </c>
      <c r="IP18" s="214">
        <f t="shared" si="40"/>
        <v>2655906.2976507274</v>
      </c>
      <c r="IQ18" s="214">
        <f t="shared" si="40"/>
        <v>2655906.2976507274</v>
      </c>
      <c r="IR18" s="214">
        <f t="shared" si="40"/>
        <v>2655906.2976507274</v>
      </c>
      <c r="IS18" s="214">
        <f t="shared" si="40"/>
        <v>2655906.2976507274</v>
      </c>
      <c r="IT18" s="214">
        <f t="shared" si="40"/>
        <v>2655906.2976507274</v>
      </c>
      <c r="IU18" s="214">
        <f t="shared" si="40"/>
        <v>2655906.2976507274</v>
      </c>
      <c r="IV18" s="214">
        <f t="shared" si="40"/>
        <v>2655906.2976507274</v>
      </c>
      <c r="IW18" s="214">
        <f t="shared" si="40"/>
        <v>2655906.2976507274</v>
      </c>
      <c r="IX18" s="214">
        <f t="shared" si="40"/>
        <v>2655906.2976507274</v>
      </c>
      <c r="IY18" s="214">
        <f t="shared" si="40"/>
        <v>2655906.2976507274</v>
      </c>
      <c r="IZ18" s="214">
        <f t="shared" si="40"/>
        <v>2655906.2976507274</v>
      </c>
      <c r="JA18" s="214">
        <f t="shared" si="40"/>
        <v>2655906.2976507274</v>
      </c>
      <c r="JB18" s="214">
        <f t="shared" si="40"/>
        <v>2655906.2976507274</v>
      </c>
      <c r="JC18" s="214">
        <f t="shared" si="40"/>
        <v>2655906.2976507274</v>
      </c>
      <c r="JD18" s="214">
        <f t="shared" si="40"/>
        <v>2655906.2976507274</v>
      </c>
      <c r="JE18" s="214">
        <f t="shared" ref="JE18:LD18" si="41">JD18+JE17</f>
        <v>2655906.2976507274</v>
      </c>
      <c r="JF18" s="214">
        <f t="shared" si="41"/>
        <v>2655906.2976507274</v>
      </c>
      <c r="JG18" s="214">
        <f t="shared" si="41"/>
        <v>2655906.2976507274</v>
      </c>
      <c r="JH18" s="214">
        <f t="shared" si="41"/>
        <v>2655906.2976507274</v>
      </c>
      <c r="JI18" s="214">
        <f t="shared" si="41"/>
        <v>2655906.2976507274</v>
      </c>
      <c r="JJ18" s="214">
        <f t="shared" si="41"/>
        <v>2655906.2976507274</v>
      </c>
      <c r="JK18" s="214">
        <f t="shared" si="41"/>
        <v>2655906.2976507274</v>
      </c>
      <c r="JL18" s="214">
        <f t="shared" si="41"/>
        <v>2655906.2976507274</v>
      </c>
      <c r="JM18" s="214">
        <f t="shared" si="41"/>
        <v>2655906.2976507274</v>
      </c>
      <c r="JN18" s="214">
        <f t="shared" si="41"/>
        <v>2655906.2976507274</v>
      </c>
      <c r="JO18" s="214">
        <f t="shared" si="41"/>
        <v>2655906.2976507274</v>
      </c>
      <c r="JP18" s="214">
        <f t="shared" si="41"/>
        <v>2655906.2976507274</v>
      </c>
      <c r="JQ18" s="214">
        <f t="shared" si="41"/>
        <v>2655906.2976507274</v>
      </c>
      <c r="JR18" s="214">
        <f t="shared" si="41"/>
        <v>2655906.2976507274</v>
      </c>
      <c r="JS18" s="214">
        <f t="shared" si="41"/>
        <v>2655906.2976507274</v>
      </c>
      <c r="JT18" s="214">
        <f t="shared" si="41"/>
        <v>2655906.2976507274</v>
      </c>
      <c r="JU18" s="214">
        <f t="shared" si="41"/>
        <v>2655906.2976507274</v>
      </c>
      <c r="JV18" s="214">
        <f t="shared" si="41"/>
        <v>2655906.2976507274</v>
      </c>
      <c r="JW18" s="214">
        <f t="shared" si="41"/>
        <v>2655906.2976507274</v>
      </c>
      <c r="JX18" s="214">
        <f t="shared" si="41"/>
        <v>2655906.2976507274</v>
      </c>
      <c r="JY18" s="214">
        <f t="shared" si="41"/>
        <v>2655906.2976507274</v>
      </c>
      <c r="JZ18" s="214">
        <f t="shared" si="41"/>
        <v>2655906.2976507274</v>
      </c>
      <c r="KA18" s="214">
        <f t="shared" si="41"/>
        <v>2655906.2976507274</v>
      </c>
      <c r="KB18" s="214">
        <f t="shared" si="41"/>
        <v>2655906.2976507274</v>
      </c>
      <c r="KC18" s="214">
        <f t="shared" si="41"/>
        <v>2655906.2976507274</v>
      </c>
      <c r="KD18" s="214">
        <f t="shared" si="41"/>
        <v>2655906.2976507274</v>
      </c>
      <c r="KE18" s="214">
        <f t="shared" si="41"/>
        <v>2655906.2976507274</v>
      </c>
      <c r="KF18" s="214">
        <f t="shared" si="41"/>
        <v>2655906.2976507274</v>
      </c>
      <c r="KG18" s="214">
        <f t="shared" si="41"/>
        <v>2655906.2976507274</v>
      </c>
      <c r="KH18" s="214">
        <f t="shared" si="41"/>
        <v>2655906.2976507274</v>
      </c>
      <c r="KI18" s="214">
        <f t="shared" si="41"/>
        <v>2655906.2976507274</v>
      </c>
      <c r="KJ18" s="214">
        <f t="shared" si="41"/>
        <v>2655906.2976507274</v>
      </c>
      <c r="KK18" s="214">
        <f t="shared" si="41"/>
        <v>2655906.2976507274</v>
      </c>
      <c r="KL18" s="214">
        <f t="shared" si="41"/>
        <v>2655906.2976507274</v>
      </c>
      <c r="KM18" s="214">
        <f t="shared" si="41"/>
        <v>2655906.2976507274</v>
      </c>
      <c r="KN18" s="214">
        <f t="shared" si="41"/>
        <v>2655906.2976507274</v>
      </c>
      <c r="KO18" s="214">
        <f t="shared" si="41"/>
        <v>2655906.2976507274</v>
      </c>
      <c r="KP18" s="214">
        <f t="shared" si="41"/>
        <v>2655906.2976507274</v>
      </c>
      <c r="KQ18" s="214">
        <f t="shared" si="41"/>
        <v>2655906.2976507274</v>
      </c>
      <c r="KR18" s="214">
        <f t="shared" si="41"/>
        <v>2655906.2976507274</v>
      </c>
      <c r="KS18" s="214">
        <f t="shared" si="41"/>
        <v>2655906.2976507274</v>
      </c>
      <c r="KT18" s="214">
        <f t="shared" si="41"/>
        <v>2655906.2976507274</v>
      </c>
      <c r="KU18" s="214">
        <f t="shared" si="41"/>
        <v>2655906.2976507274</v>
      </c>
      <c r="KV18" s="214">
        <f t="shared" si="41"/>
        <v>2655906.2976507274</v>
      </c>
      <c r="KW18" s="214">
        <f t="shared" si="41"/>
        <v>2655906.2976507274</v>
      </c>
      <c r="KX18" s="214">
        <f t="shared" si="41"/>
        <v>2655906.2976507274</v>
      </c>
      <c r="KY18" s="214">
        <f t="shared" si="41"/>
        <v>2655906.2976507274</v>
      </c>
      <c r="KZ18" s="214">
        <f t="shared" si="41"/>
        <v>2655906.2976507274</v>
      </c>
      <c r="LA18" s="214">
        <f t="shared" si="41"/>
        <v>2655906.2976507274</v>
      </c>
      <c r="LB18" s="214">
        <f t="shared" si="41"/>
        <v>2655906.2976507274</v>
      </c>
      <c r="LC18" s="214">
        <f t="shared" si="41"/>
        <v>2655906.2976507274</v>
      </c>
      <c r="LD18" s="214">
        <f t="shared" si="41"/>
        <v>2655906.2976507274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2" sqref="K22"/>
    </sheetView>
  </sheetViews>
  <sheetFormatPr defaultColWidth="12.5546875" defaultRowHeight="14.4"/>
  <cols>
    <col min="1" max="1" width="39.44140625" style="366" bestFit="1" customWidth="1"/>
    <col min="2" max="2" width="17.21875" style="367" bestFit="1" customWidth="1"/>
    <col min="3" max="4" width="12" style="366" bestFit="1" customWidth="1"/>
    <col min="5" max="5" width="14.77734375" style="366" bestFit="1" customWidth="1"/>
    <col min="6" max="7" width="13.21875" style="366" bestFit="1" customWidth="1"/>
    <col min="8" max="8" width="10.5546875" style="366" bestFit="1" customWidth="1"/>
    <col min="9" max="9" width="12" style="366" bestFit="1" customWidth="1"/>
    <col min="10" max="10" width="13" style="366" bestFit="1" customWidth="1"/>
    <col min="11" max="11" width="12" style="366" bestFit="1" customWidth="1"/>
    <col min="12" max="12" width="4.77734375" style="366" bestFit="1" customWidth="1"/>
    <col min="13" max="13" width="14.77734375" style="366" bestFit="1" customWidth="1"/>
    <col min="14" max="14" width="14.5546875" style="366" bestFit="1" customWidth="1"/>
    <col min="15" max="15" width="14.44140625" style="366" bestFit="1" customWidth="1"/>
    <col min="16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411</v>
      </c>
      <c r="B3" s="447" t="s">
        <v>412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413</v>
      </c>
      <c r="B4" t="s">
        <v>414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415</v>
      </c>
      <c r="N4"/>
      <c r="O4"/>
      <c r="P4"/>
      <c r="Q4"/>
      <c r="R4"/>
      <c r="S4"/>
      <c r="T4"/>
    </row>
    <row r="5" spans="1:20">
      <c r="A5" s="448" t="s">
        <v>414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/>
      <c r="O5"/>
      <c r="P5"/>
      <c r="Q5"/>
      <c r="R5"/>
      <c r="S5"/>
      <c r="T5"/>
    </row>
    <row r="6" spans="1:20">
      <c r="A6" s="448" t="s">
        <v>236</v>
      </c>
      <c r="B6" s="371"/>
      <c r="C6" s="371"/>
      <c r="D6" s="371"/>
      <c r="E6" s="371">
        <v>637269.77272727271</v>
      </c>
      <c r="F6" s="371"/>
      <c r="G6" s="371"/>
      <c r="H6" s="371">
        <v>0</v>
      </c>
      <c r="I6" s="371"/>
      <c r="J6" s="371"/>
      <c r="K6" s="371"/>
      <c r="L6" s="371">
        <v>0</v>
      </c>
      <c r="M6" s="371">
        <v>637269.77272727271</v>
      </c>
      <c r="N6" s="371"/>
      <c r="O6"/>
      <c r="P6"/>
      <c r="Q6"/>
      <c r="R6"/>
      <c r="S6"/>
      <c r="T6"/>
    </row>
    <row r="7" spans="1:20">
      <c r="A7" s="448" t="s">
        <v>247</v>
      </c>
      <c r="B7" s="371"/>
      <c r="C7" s="371"/>
      <c r="D7" s="371"/>
      <c r="E7" s="371">
        <v>181818.18181818182</v>
      </c>
      <c r="F7" s="371"/>
      <c r="G7" s="371"/>
      <c r="H7" s="371"/>
      <c r="I7" s="371"/>
      <c r="J7" s="371"/>
      <c r="K7" s="371"/>
      <c r="L7" s="371">
        <v>0</v>
      </c>
      <c r="M7" s="371">
        <v>181818.18181818182</v>
      </c>
      <c r="N7" s="371"/>
      <c r="O7"/>
      <c r="P7"/>
      <c r="Q7"/>
      <c r="R7"/>
      <c r="S7"/>
      <c r="T7"/>
    </row>
    <row r="8" spans="1:20">
      <c r="A8" s="448" t="s">
        <v>258</v>
      </c>
      <c r="B8" s="371"/>
      <c r="C8" s="371"/>
      <c r="D8" s="371"/>
      <c r="E8" s="371">
        <v>131624.99999999997</v>
      </c>
      <c r="F8" s="371"/>
      <c r="G8" s="371"/>
      <c r="H8" s="371"/>
      <c r="I8" s="371"/>
      <c r="J8" s="371"/>
      <c r="K8" s="371"/>
      <c r="L8" s="371">
        <v>0</v>
      </c>
      <c r="M8" s="371">
        <v>131624.99999999997</v>
      </c>
      <c r="N8" s="371"/>
      <c r="O8"/>
      <c r="P8"/>
      <c r="Q8"/>
      <c r="R8"/>
      <c r="S8"/>
      <c r="T8"/>
    </row>
    <row r="9" spans="1:20">
      <c r="A9" s="448" t="s">
        <v>267</v>
      </c>
      <c r="B9" s="371"/>
      <c r="C9" s="371"/>
      <c r="D9" s="371"/>
      <c r="E9" s="371">
        <v>124493.68152155273</v>
      </c>
      <c r="F9" s="371">
        <v>105848.75102757795</v>
      </c>
      <c r="G9" s="371"/>
      <c r="H9" s="371"/>
      <c r="I9" s="371"/>
      <c r="J9" s="371"/>
      <c r="K9" s="371"/>
      <c r="L9" s="371">
        <v>0</v>
      </c>
      <c r="M9" s="371">
        <v>230342.4325491307</v>
      </c>
      <c r="N9" s="371"/>
      <c r="O9"/>
      <c r="P9"/>
      <c r="Q9"/>
      <c r="R9"/>
      <c r="S9"/>
      <c r="T9"/>
    </row>
    <row r="10" spans="1:20">
      <c r="A10" s="448" t="s">
        <v>285</v>
      </c>
      <c r="B10" s="371">
        <v>0</v>
      </c>
      <c r="C10" s="371">
        <v>10673.10702236444</v>
      </c>
      <c r="D10" s="371">
        <v>10512.056132522974</v>
      </c>
      <c r="E10" s="371">
        <v>4265.5317833155405</v>
      </c>
      <c r="F10" s="371">
        <v>22474.819277098901</v>
      </c>
      <c r="G10" s="371">
        <v>7756.3025778548217</v>
      </c>
      <c r="H10" s="371">
        <v>0</v>
      </c>
      <c r="I10" s="371"/>
      <c r="J10" s="371"/>
      <c r="K10" s="371"/>
      <c r="L10" s="371"/>
      <c r="M10" s="371">
        <v>55681.816793156671</v>
      </c>
      <c r="N10" s="371"/>
      <c r="O10"/>
      <c r="P10"/>
      <c r="Q10"/>
      <c r="R10"/>
      <c r="S10"/>
      <c r="T10"/>
    </row>
    <row r="11" spans="1:20">
      <c r="A11" s="448" t="s">
        <v>312</v>
      </c>
      <c r="B11" s="371"/>
      <c r="C11" s="371"/>
      <c r="D11" s="371"/>
      <c r="E11" s="371">
        <v>46095.897241278064</v>
      </c>
      <c r="F11" s="371">
        <v>136637.35010881574</v>
      </c>
      <c r="G11" s="371">
        <v>165848.36050240585</v>
      </c>
      <c r="H11" s="371"/>
      <c r="I11" s="371"/>
      <c r="J11" s="371"/>
      <c r="K11" s="371"/>
      <c r="L11" s="371">
        <v>0</v>
      </c>
      <c r="M11" s="371">
        <v>348581.60785249964</v>
      </c>
      <c r="N11" s="371"/>
      <c r="O11"/>
      <c r="P11"/>
      <c r="Q11"/>
      <c r="R11"/>
      <c r="S11"/>
      <c r="T11"/>
    </row>
    <row r="12" spans="1:20">
      <c r="A12" s="448" t="s">
        <v>319</v>
      </c>
      <c r="B12" s="371">
        <v>0</v>
      </c>
      <c r="C12" s="371"/>
      <c r="D12" s="371"/>
      <c r="E12" s="371"/>
      <c r="F12" s="371"/>
      <c r="G12" s="371"/>
      <c r="H12" s="371"/>
      <c r="I12" s="371">
        <v>43965.978351903774</v>
      </c>
      <c r="J12" s="371">
        <v>188952.71623262769</v>
      </c>
      <c r="K12" s="371">
        <v>51172.215410875899</v>
      </c>
      <c r="L12" s="371">
        <v>0</v>
      </c>
      <c r="M12" s="371">
        <v>284090.90999540739</v>
      </c>
      <c r="N12" s="371"/>
      <c r="O12" s="371"/>
      <c r="P12"/>
      <c r="Q12"/>
      <c r="R12"/>
      <c r="S12"/>
      <c r="T12"/>
    </row>
    <row r="13" spans="1:20">
      <c r="A13" s="448" t="s">
        <v>334</v>
      </c>
      <c r="B13" s="371"/>
      <c r="C13" s="371"/>
      <c r="D13" s="371"/>
      <c r="E13" s="371">
        <v>61955.882352941175</v>
      </c>
      <c r="F13" s="371"/>
      <c r="G13" s="371">
        <v>185867.64705882352</v>
      </c>
      <c r="H13" s="371"/>
      <c r="I13" s="371"/>
      <c r="J13" s="371"/>
      <c r="K13" s="371"/>
      <c r="L13" s="371">
        <v>0</v>
      </c>
      <c r="M13" s="371">
        <v>247823.5294117647</v>
      </c>
      <c r="N13" s="371"/>
      <c r="O13"/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/>
      <c r="E14" s="371">
        <v>8450.8710320158389</v>
      </c>
      <c r="F14" s="371">
        <v>62604.034573663419</v>
      </c>
      <c r="G14" s="371">
        <v>0</v>
      </c>
      <c r="H14" s="371"/>
      <c r="I14" s="371"/>
      <c r="J14" s="371"/>
      <c r="K14" s="371"/>
      <c r="L14" s="371">
        <v>0</v>
      </c>
      <c r="M14" s="371">
        <v>71054.905605679261</v>
      </c>
      <c r="N14" s="371"/>
      <c r="O14"/>
      <c r="P14"/>
      <c r="Q14"/>
      <c r="R14"/>
      <c r="S14"/>
      <c r="T14"/>
    </row>
    <row r="15" spans="1:20">
      <c r="A15" s="448" t="s">
        <v>342</v>
      </c>
      <c r="B15" s="371"/>
      <c r="C15" s="371">
        <v>11826.758651622806</v>
      </c>
      <c r="D15" s="371"/>
      <c r="E15" s="371"/>
      <c r="F15" s="371">
        <v>14423.516028188707</v>
      </c>
      <c r="G15" s="371">
        <v>7867.3729765120524</v>
      </c>
      <c r="H15" s="371"/>
      <c r="I15" s="371"/>
      <c r="J15" s="371"/>
      <c r="K15" s="371"/>
      <c r="L15" s="371">
        <v>0</v>
      </c>
      <c r="M15" s="371">
        <v>34117.647656323563</v>
      </c>
      <c r="N15" s="371"/>
      <c r="O15"/>
      <c r="P15"/>
      <c r="Q15"/>
      <c r="R15"/>
      <c r="S15"/>
      <c r="T15"/>
    </row>
    <row r="16" spans="1:20">
      <c r="A16" s="448" t="s">
        <v>355</v>
      </c>
      <c r="B16" s="371">
        <v>0</v>
      </c>
      <c r="C16" s="371"/>
      <c r="D16" s="371"/>
      <c r="E16" s="371"/>
      <c r="F16" s="371"/>
      <c r="G16" s="371">
        <v>127395.87091803124</v>
      </c>
      <c r="H16" s="371"/>
      <c r="I16" s="371"/>
      <c r="J16" s="371"/>
      <c r="K16" s="371"/>
      <c r="L16" s="371">
        <v>0</v>
      </c>
      <c r="M16" s="371">
        <v>127395.87091803124</v>
      </c>
      <c r="N16" s="371"/>
      <c r="O16"/>
      <c r="P16"/>
      <c r="Q16"/>
      <c r="R16"/>
      <c r="S16"/>
      <c r="T16"/>
    </row>
    <row r="17" spans="1:20">
      <c r="A17" s="448" t="s">
        <v>364</v>
      </c>
      <c r="B17" s="371">
        <v>0</v>
      </c>
      <c r="C17" s="371">
        <v>3545.751633986928</v>
      </c>
      <c r="D17" s="371">
        <v>1196.46047460556</v>
      </c>
      <c r="E17" s="371">
        <v>287.34276381743746</v>
      </c>
      <c r="F17" s="371">
        <v>0</v>
      </c>
      <c r="G17" s="371">
        <v>117.5</v>
      </c>
      <c r="H17" s="371">
        <v>0</v>
      </c>
      <c r="I17" s="371">
        <v>0</v>
      </c>
      <c r="J17" s="371"/>
      <c r="K17" s="371"/>
      <c r="L17" s="371">
        <v>0</v>
      </c>
      <c r="M17" s="371">
        <v>5147.0548724099253</v>
      </c>
      <c r="N17" s="371"/>
      <c r="O17"/>
      <c r="P17"/>
      <c r="Q17"/>
      <c r="R17"/>
      <c r="S17"/>
      <c r="T17"/>
    </row>
    <row r="18" spans="1:20">
      <c r="A18" s="448" t="s">
        <v>370</v>
      </c>
      <c r="B18" s="371"/>
      <c r="C18" s="371"/>
      <c r="D18" s="371"/>
      <c r="E18" s="371">
        <v>300000</v>
      </c>
      <c r="F18" s="371"/>
      <c r="G18" s="371"/>
      <c r="H18" s="371">
        <v>0</v>
      </c>
      <c r="I18" s="371"/>
      <c r="J18" s="371"/>
      <c r="K18" s="371"/>
      <c r="L18" s="371">
        <v>0</v>
      </c>
      <c r="M18" s="371">
        <v>300000</v>
      </c>
      <c r="N18" s="371"/>
      <c r="O18"/>
      <c r="P18"/>
      <c r="Q18"/>
      <c r="R18"/>
      <c r="S18"/>
      <c r="T18"/>
    </row>
    <row r="19" spans="1:20">
      <c r="A19" s="448" t="s">
        <v>351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317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273</v>
      </c>
      <c r="B21" s="371"/>
      <c r="C21" s="371"/>
      <c r="D21" s="371"/>
      <c r="E21" s="371">
        <v>957.56745086933302</v>
      </c>
      <c r="F21" s="371"/>
      <c r="G21" s="371"/>
      <c r="H21" s="371"/>
      <c r="I21" s="371"/>
      <c r="J21" s="371"/>
      <c r="K21" s="371"/>
      <c r="L21" s="371"/>
      <c r="M21" s="371">
        <v>957.56745086933302</v>
      </c>
      <c r="N21" s="371"/>
      <c r="O21"/>
      <c r="P21"/>
      <c r="Q21"/>
      <c r="R21"/>
      <c r="S21"/>
      <c r="T21"/>
    </row>
    <row r="22" spans="1:20">
      <c r="A22" s="448" t="s">
        <v>415</v>
      </c>
      <c r="B22" s="371">
        <v>0</v>
      </c>
      <c r="C22" s="371">
        <v>26045.617307974175</v>
      </c>
      <c r="D22" s="371">
        <v>11708.516607128533</v>
      </c>
      <c r="E22" s="371">
        <v>1497219.7286912447</v>
      </c>
      <c r="F22" s="371">
        <v>341988.47101534472</v>
      </c>
      <c r="G22" s="371">
        <v>494853.05403362756</v>
      </c>
      <c r="H22" s="371">
        <v>0</v>
      </c>
      <c r="I22" s="371">
        <v>43965.978351903774</v>
      </c>
      <c r="J22" s="371">
        <v>188952.71623262769</v>
      </c>
      <c r="K22" s="371">
        <v>51172.215410875899</v>
      </c>
      <c r="L22" s="371">
        <v>0</v>
      </c>
      <c r="M22" s="371">
        <v>2655906.297650727</v>
      </c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22" sqref="K22"/>
    </sheetView>
  </sheetViews>
  <sheetFormatPr defaultColWidth="8.44140625" defaultRowHeight="14.4"/>
  <cols>
    <col min="1" max="1" width="21.77734375" bestFit="1" customWidth="1"/>
    <col min="2" max="2" width="17.21875" style="408" bestFit="1" customWidth="1"/>
    <col min="3" max="4" width="12" style="408" bestFit="1" customWidth="1"/>
    <col min="5" max="5" width="14.77734375" style="408" bestFit="1" customWidth="1"/>
    <col min="6" max="7" width="13.21875" style="408" bestFit="1" customWidth="1"/>
    <col min="8" max="9" width="12" style="408" bestFit="1" customWidth="1"/>
    <col min="10" max="10" width="12" bestFit="1" customWidth="1"/>
    <col min="11" max="11" width="11.77734375" bestFit="1" customWidth="1"/>
    <col min="12" max="12" width="13" bestFit="1" customWidth="1"/>
    <col min="13" max="13" width="14.77734375" bestFit="1" customWidth="1"/>
    <col min="14" max="15" width="17.21875" bestFit="1" customWidth="1"/>
    <col min="16" max="16" width="10.21875" bestFit="1" customWidth="1"/>
    <col min="17" max="18" width="11.5546875" bestFit="1" customWidth="1"/>
    <col min="19" max="19" width="13.44140625" bestFit="1" customWidth="1"/>
  </cols>
  <sheetData>
    <row r="3" spans="1:15">
      <c r="A3" s="447" t="s">
        <v>416</v>
      </c>
      <c r="B3" s="447" t="s">
        <v>412</v>
      </c>
      <c r="C3"/>
      <c r="D3"/>
      <c r="E3"/>
      <c r="F3"/>
      <c r="G3"/>
      <c r="H3"/>
      <c r="I3"/>
    </row>
    <row r="4" spans="1:15">
      <c r="A4" s="447" t="s">
        <v>413</v>
      </c>
      <c r="B4" t="s">
        <v>414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415</v>
      </c>
    </row>
    <row r="5" spans="1:15">
      <c r="A5" s="448" t="s">
        <v>414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</row>
    <row r="6" spans="1:15">
      <c r="A6" s="448" t="s">
        <v>236</v>
      </c>
      <c r="B6" s="450"/>
      <c r="C6" s="450"/>
      <c r="D6" s="450"/>
      <c r="E6" s="450">
        <v>512027</v>
      </c>
      <c r="F6" s="450"/>
      <c r="G6" s="450"/>
      <c r="H6" s="450">
        <v>800</v>
      </c>
      <c r="I6" s="450"/>
      <c r="J6" s="450"/>
      <c r="K6" s="450"/>
      <c r="L6" s="450"/>
      <c r="M6" s="450">
        <v>512827</v>
      </c>
      <c r="N6" s="450"/>
    </row>
    <row r="7" spans="1:15">
      <c r="A7" s="448" t="s">
        <v>247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>
        <v>137740.70000000001</v>
      </c>
      <c r="N7" s="450"/>
    </row>
    <row r="8" spans="1:15">
      <c r="A8" s="448" t="s">
        <v>258</v>
      </c>
      <c r="B8" s="450"/>
      <c r="C8" s="450"/>
      <c r="D8" s="450"/>
      <c r="E8" s="450">
        <v>82657.399999999994</v>
      </c>
      <c r="F8" s="450"/>
      <c r="G8" s="450"/>
      <c r="H8" s="450"/>
      <c r="I8" s="450"/>
      <c r="J8" s="450"/>
      <c r="K8" s="450"/>
      <c r="L8" s="450"/>
      <c r="M8" s="450">
        <v>82657.399999999994</v>
      </c>
      <c r="N8" s="450"/>
    </row>
    <row r="9" spans="1:15">
      <c r="A9" s="448" t="s">
        <v>267</v>
      </c>
      <c r="B9" s="450"/>
      <c r="C9" s="450"/>
      <c r="D9" s="450"/>
      <c r="E9" s="450">
        <v>111006.739</v>
      </c>
      <c r="F9" s="450">
        <v>94381.694999999992</v>
      </c>
      <c r="G9" s="450"/>
      <c r="H9" s="450"/>
      <c r="I9" s="450"/>
      <c r="J9" s="450"/>
      <c r="K9" s="450"/>
      <c r="L9" s="450"/>
      <c r="M9" s="450">
        <v>205388.43400000001</v>
      </c>
      <c r="N9" s="450"/>
    </row>
    <row r="10" spans="1:15">
      <c r="A10" s="448" t="s">
        <v>285</v>
      </c>
      <c r="B10" s="450">
        <v>-8598.35</v>
      </c>
      <c r="C10" s="450">
        <v>27555</v>
      </c>
      <c r="D10" s="450">
        <v>10848.85</v>
      </c>
      <c r="E10" s="450">
        <v>7748.85</v>
      </c>
      <c r="F10" s="450">
        <v>44000</v>
      </c>
      <c r="G10" s="450">
        <v>11362.15</v>
      </c>
      <c r="H10" s="450">
        <v>8598.34</v>
      </c>
      <c r="I10" s="450">
        <v>0</v>
      </c>
      <c r="J10" s="450"/>
      <c r="K10" s="450"/>
      <c r="L10" s="450"/>
      <c r="M10" s="450">
        <v>101514.84</v>
      </c>
      <c r="N10" s="450"/>
    </row>
    <row r="11" spans="1:15">
      <c r="A11" s="448" t="s">
        <v>312</v>
      </c>
      <c r="B11" s="450"/>
      <c r="C11" s="450"/>
      <c r="D11" s="450"/>
      <c r="E11" s="450">
        <v>27227.644</v>
      </c>
      <c r="F11" s="450">
        <v>81682.920000000013</v>
      </c>
      <c r="G11" s="450">
        <v>99474.36</v>
      </c>
      <c r="H11" s="450"/>
      <c r="I11" s="450"/>
      <c r="J11" s="450"/>
      <c r="K11" s="450"/>
      <c r="L11" s="450"/>
      <c r="M11" s="450">
        <v>208384.924</v>
      </c>
      <c r="N11" s="450"/>
    </row>
    <row r="12" spans="1:15">
      <c r="A12" s="448" t="s">
        <v>319</v>
      </c>
      <c r="B12" s="450"/>
      <c r="C12" s="450"/>
      <c r="D12" s="450"/>
      <c r="E12" s="450"/>
      <c r="F12" s="450"/>
      <c r="G12" s="450"/>
      <c r="H12" s="450"/>
      <c r="I12" s="450">
        <v>13732.22</v>
      </c>
      <c r="J12" s="450">
        <v>26550</v>
      </c>
      <c r="K12" s="450">
        <v>8850</v>
      </c>
      <c r="L12" s="450"/>
      <c r="M12" s="450">
        <v>49132.22</v>
      </c>
      <c r="N12" s="450"/>
      <c r="O12" s="450"/>
    </row>
    <row r="13" spans="1:15">
      <c r="A13" s="448" t="s">
        <v>334</v>
      </c>
      <c r="B13" s="450"/>
      <c r="C13" s="450"/>
      <c r="D13" s="450"/>
      <c r="E13" s="450">
        <v>72281</v>
      </c>
      <c r="F13" s="450"/>
      <c r="G13" s="675">
        <v>216843.00000000003</v>
      </c>
      <c r="H13" s="450"/>
      <c r="I13" s="450"/>
      <c r="J13" s="450"/>
      <c r="K13" s="450"/>
      <c r="L13" s="450"/>
      <c r="M13" s="450">
        <v>289124</v>
      </c>
      <c r="N13" s="450"/>
    </row>
    <row r="14" spans="1:15">
      <c r="A14" s="448" t="s">
        <v>337</v>
      </c>
      <c r="B14" s="450"/>
      <c r="C14" s="450"/>
      <c r="D14" s="450"/>
      <c r="E14" s="450">
        <v>13090.25</v>
      </c>
      <c r="F14" s="450">
        <v>52188.75</v>
      </c>
      <c r="G14" s="450">
        <v>645.72999999999956</v>
      </c>
      <c r="H14" s="450"/>
      <c r="I14" s="450"/>
      <c r="J14" s="450"/>
      <c r="K14" s="450"/>
      <c r="L14" s="450"/>
      <c r="M14" s="450">
        <v>65924.73</v>
      </c>
      <c r="N14" s="450"/>
    </row>
    <row r="15" spans="1:15">
      <c r="A15" s="448" t="s">
        <v>342</v>
      </c>
      <c r="B15" s="450"/>
      <c r="C15" s="450">
        <v>9019.6</v>
      </c>
      <c r="D15" s="450"/>
      <c r="E15" s="450"/>
      <c r="F15" s="450">
        <v>7057.63</v>
      </c>
      <c r="G15" s="450">
        <v>6000</v>
      </c>
      <c r="H15" s="450"/>
      <c r="I15" s="450"/>
      <c r="J15" s="450"/>
      <c r="K15" s="450"/>
      <c r="L15" s="450"/>
      <c r="M15" s="450">
        <v>22077.23</v>
      </c>
      <c r="N15" s="450"/>
    </row>
    <row r="16" spans="1:15">
      <c r="A16" s="448" t="s">
        <v>355</v>
      </c>
      <c r="B16" s="450">
        <v>0</v>
      </c>
      <c r="C16" s="450"/>
      <c r="D16" s="450"/>
      <c r="E16" s="450"/>
      <c r="F16" s="450"/>
      <c r="G16" s="450">
        <v>33198.828758288124</v>
      </c>
      <c r="H16" s="450"/>
      <c r="I16" s="450"/>
      <c r="J16" s="450"/>
      <c r="K16" s="450"/>
      <c r="L16" s="450"/>
      <c r="M16" s="450">
        <v>33198.828758288124</v>
      </c>
      <c r="N16" s="450"/>
    </row>
    <row r="17" spans="1:14">
      <c r="A17" s="448" t="s">
        <v>364</v>
      </c>
      <c r="B17" s="450">
        <v>0</v>
      </c>
      <c r="C17" s="450">
        <v>7750</v>
      </c>
      <c r="D17" s="450">
        <v>7624.0500000000011</v>
      </c>
      <c r="E17" s="450">
        <v>12174.800000000001</v>
      </c>
      <c r="F17" s="450">
        <v>0</v>
      </c>
      <c r="G17" s="450">
        <v>3061.43</v>
      </c>
      <c r="H17" s="450">
        <v>1307.83</v>
      </c>
      <c r="I17" s="450">
        <v>1901.74</v>
      </c>
      <c r="J17" s="450"/>
      <c r="K17" s="450"/>
      <c r="L17" s="450"/>
      <c r="M17" s="450">
        <v>33819.85</v>
      </c>
      <c r="N17" s="450"/>
    </row>
    <row r="18" spans="1:14">
      <c r="A18" s="448" t="s">
        <v>370</v>
      </c>
      <c r="B18" s="450"/>
      <c r="C18" s="450"/>
      <c r="D18" s="450"/>
      <c r="E18" s="450">
        <v>398000</v>
      </c>
      <c r="F18" s="450"/>
      <c r="G18" s="450"/>
      <c r="H18" s="450">
        <v>237.1</v>
      </c>
      <c r="I18" s="450">
        <v>79870</v>
      </c>
      <c r="J18" s="450"/>
      <c r="K18" s="450"/>
      <c r="L18" s="450"/>
      <c r="M18" s="450">
        <v>478107.1</v>
      </c>
      <c r="N18" s="450"/>
    </row>
    <row r="19" spans="1:14">
      <c r="A19" s="448" t="s">
        <v>351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317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273</v>
      </c>
      <c r="B21" s="450"/>
      <c r="C21" s="450"/>
      <c r="D21" s="450"/>
      <c r="E21" s="450">
        <v>853.83</v>
      </c>
      <c r="F21" s="450"/>
      <c r="G21" s="450"/>
      <c r="H21" s="450"/>
      <c r="I21" s="450"/>
      <c r="J21" s="450"/>
      <c r="K21" s="450"/>
      <c r="L21" s="450"/>
      <c r="M21" s="450">
        <v>853.83</v>
      </c>
      <c r="N21" s="450"/>
    </row>
    <row r="22" spans="1:14">
      <c r="A22" s="448" t="s">
        <v>415</v>
      </c>
      <c r="B22" s="450">
        <v>-8598.35</v>
      </c>
      <c r="C22" s="450">
        <v>44324.6</v>
      </c>
      <c r="D22" s="450">
        <v>18472.900000000001</v>
      </c>
      <c r="E22" s="450">
        <v>1374808.213</v>
      </c>
      <c r="F22" s="450">
        <v>279310.995</v>
      </c>
      <c r="G22" s="450">
        <v>370585.4987582881</v>
      </c>
      <c r="H22" s="450">
        <v>10943.27</v>
      </c>
      <c r="I22" s="450">
        <v>95503.959999999992</v>
      </c>
      <c r="J22" s="450">
        <v>26550</v>
      </c>
      <c r="K22" s="450">
        <v>8850</v>
      </c>
      <c r="L22" s="450"/>
      <c r="M22" s="450">
        <v>2220751.0867582881</v>
      </c>
      <c r="N22" s="450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417</v>
      </c>
    </row>
    <row r="2" spans="1:4">
      <c r="A2" s="780"/>
      <c r="B2" s="780"/>
      <c r="C2" s="780"/>
      <c r="D2" s="71"/>
    </row>
    <row r="3" spans="1:4">
      <c r="A3" s="779" t="s">
        <v>418</v>
      </c>
      <c r="B3" s="779"/>
      <c r="C3" s="779"/>
      <c r="D3" s="111">
        <v>0.32</v>
      </c>
    </row>
    <row r="4" spans="1:4">
      <c r="A4" s="779" t="s">
        <v>386</v>
      </c>
      <c r="B4" s="779"/>
      <c r="C4" s="779"/>
      <c r="D4" s="111">
        <v>0.5</v>
      </c>
    </row>
    <row r="5" spans="1:4">
      <c r="A5" s="779" t="s">
        <v>397</v>
      </c>
      <c r="B5" s="779"/>
      <c r="C5" s="779"/>
      <c r="D5" s="111">
        <v>0.15</v>
      </c>
    </row>
    <row r="6" spans="1:4">
      <c r="A6" s="779" t="s">
        <v>419</v>
      </c>
      <c r="B6" s="779"/>
      <c r="C6" s="77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2187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781" t="s">
        <v>420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</row>
    <row r="4" spans="2:14">
      <c r="B4" s="92" t="s">
        <v>421</v>
      </c>
      <c r="C4" s="86"/>
      <c r="D4" s="90" t="s">
        <v>422</v>
      </c>
      <c r="E4" s="95"/>
      <c r="F4" s="90" t="s">
        <v>423</v>
      </c>
      <c r="H4" s="90" t="s">
        <v>424</v>
      </c>
      <c r="I4" s="95"/>
      <c r="J4" s="90" t="s">
        <v>425</v>
      </c>
      <c r="L4" s="90" t="s">
        <v>424</v>
      </c>
      <c r="M4" s="90"/>
      <c r="N4" s="90" t="s">
        <v>426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427</v>
      </c>
      <c r="H7" s="99"/>
      <c r="I7" s="95"/>
      <c r="J7" s="107" t="s">
        <v>427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428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429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430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427</v>
      </c>
      <c r="H15" s="99"/>
      <c r="I15" s="95"/>
      <c r="J15" s="107" t="s">
        <v>427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431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427</v>
      </c>
      <c r="H21" s="99"/>
      <c r="I21" s="95"/>
      <c r="J21" s="107" t="s">
        <v>427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432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430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427</v>
      </c>
      <c r="H27" s="99"/>
      <c r="I27" s="95"/>
      <c r="J27" s="107" t="s">
        <v>427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433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427</v>
      </c>
      <c r="H34" s="99"/>
      <c r="I34" s="95"/>
      <c r="J34" s="107" t="s">
        <v>427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434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435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436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437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438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439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440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777343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781" t="s">
        <v>442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</row>
    <row r="4" spans="2:15">
      <c r="B4" s="92" t="s">
        <v>421</v>
      </c>
      <c r="C4" s="86"/>
      <c r="D4" s="90" t="s">
        <v>422</v>
      </c>
      <c r="E4" s="95"/>
      <c r="F4" s="95"/>
      <c r="G4" s="90" t="s">
        <v>443</v>
      </c>
      <c r="H4" s="96"/>
      <c r="J4" s="90" t="s">
        <v>424</v>
      </c>
      <c r="L4" s="90" t="s">
        <v>444</v>
      </c>
      <c r="M4" s="96"/>
      <c r="O4" s="90" t="s">
        <v>424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1.0812953696498053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0.55314494163424122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0.3742178988326848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0.8955642023346303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445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440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421</v>
      </c>
      <c r="C18" s="86"/>
      <c r="D18" s="90" t="s">
        <v>422</v>
      </c>
      <c r="E18" s="95"/>
      <c r="F18" s="95"/>
      <c r="G18" s="90" t="s">
        <v>446</v>
      </c>
      <c r="H18" s="96"/>
      <c r="J18" s="90" t="s">
        <v>424</v>
      </c>
      <c r="L18" s="90" t="s">
        <v>447</v>
      </c>
      <c r="M18" s="96"/>
      <c r="O18" s="90" t="s">
        <v>424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448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449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450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451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440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453</v>
      </c>
      <c r="C32" s="103"/>
      <c r="D32" s="103"/>
    </row>
    <row r="33" spans="2:4" ht="13.8" thickTop="1"/>
    <row r="34" spans="2:4">
      <c r="B34" s="88" t="s">
        <v>422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454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>
      <c r="B1" s="783" t="str">
        <f>D15</f>
        <v>Corporate Park</v>
      </c>
      <c r="C1" s="783"/>
      <c r="D1" s="783"/>
      <c r="E1" s="782" t="s">
        <v>455</v>
      </c>
      <c r="F1" s="782"/>
      <c r="G1" s="782"/>
      <c r="H1" s="782"/>
      <c r="I1" s="782"/>
      <c r="J1" s="782"/>
      <c r="K1" s="77"/>
      <c r="L1" s="77"/>
      <c r="M1" s="77"/>
      <c r="N1" s="77"/>
    </row>
    <row r="2" spans="2:14" ht="6.75" customHeight="1"/>
    <row r="3" spans="2:14">
      <c r="B3" s="72" t="s">
        <v>456</v>
      </c>
      <c r="C3" s="72" t="s">
        <v>457</v>
      </c>
      <c r="D3" s="72" t="s">
        <v>458</v>
      </c>
      <c r="E3" s="78" t="s">
        <v>459</v>
      </c>
      <c r="F3" s="78" t="s">
        <v>460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463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464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465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466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467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468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469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Corporate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B88B86-B128-47FF-9008-D9A8F22297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2026-02-16T08:17:56Z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