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79" documentId="13_ncr:1_{B3D11D9D-ACDC-4ADD-A33B-74D9022BB6CF}" xr6:coauthVersionLast="47" xr6:coauthVersionMax="47" xr10:uidLastSave="{29CA3642-0B57-4B69-B963-E855861AA0AC}"/>
  <bookViews>
    <workbookView xWindow="-60" yWindow="-60" windowWidth="21720" windowHeight="12900" tabRatio="661" firstSheet="6" activeTab="6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95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AA30" i="18"/>
  <c r="AA29" i="18"/>
  <c r="W98" i="18"/>
  <c r="H6" i="5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I104" i="18" s="1"/>
  <c r="F18" i="3" s="1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 s="1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ZS3" i="6" l="1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U122" i="18"/>
  <c r="U143" i="18"/>
  <c r="J15" i="3"/>
  <c r="U124" i="18"/>
  <c r="T109" i="18"/>
  <c r="T60" i="18"/>
  <c r="W4" i="5" s="1"/>
  <c r="X53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U4" i="5" s="1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6" i="18" l="1"/>
  <c r="H9" i="3" s="1"/>
  <c r="X4" i="5"/>
  <c r="V4" i="5"/>
  <c r="U3" i="6"/>
  <c r="F21" i="5"/>
  <c r="O3" i="6"/>
  <c r="AA3" i="6"/>
  <c r="D3" i="6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ASJ17" i="6"/>
  <c r="AAA17" i="6"/>
  <c r="RW17" i="6"/>
  <c r="IP17" i="6"/>
  <c r="NK17" i="6"/>
  <c r="ADZ17" i="6"/>
  <c r="AMP17" i="6"/>
  <c r="F5" i="3"/>
  <c r="D5" i="5" s="1"/>
  <c r="D6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 s="1"/>
  <c r="I49" i="2"/>
  <c r="V18" i="2"/>
  <c r="F25" i="3" l="1"/>
  <c r="D7" i="5"/>
  <c r="G6" i="5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/>
  <c r="J7" i="6" l="1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<sst xmlns="http://schemas.openxmlformats.org/spreadsheetml/2006/main" count="934" uniqueCount="538">
  <si>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</si>
  <si>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</si>
  <si>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</si>
  <si>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</si>
  <si>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</si>
  <si>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</si>
  <si>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</si>
  <si>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</si>
  <si>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</si>
  <si>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</si>
  <si>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</si>
  <si>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</si>
  <si>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</si>
  <si>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</si>
  <si>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</si>
  <si>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</si>
  <si>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</si>
  <si>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</si>
  <si>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</si>
  <si>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</si>
  <si>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</si>
  <si>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</si>
  <si>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</si>
  <si>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</si>
  <si>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</si>
  <si>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</si>
  <si>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</si>
  <si>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</si>
  <si>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</si>
  <si>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</si>
  <si>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</si>
  <si>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</si>
  <si>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</si>
  <si>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</si>
  <si>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</si>
  <si>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</si>
  <si>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</si>
  <si>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</si>
  <si>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</si>
  <si>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</si>
  <si>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</si>
  <si>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</si>
  <si>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</si>
  <si>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</si>
  <si>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</si>
  <si>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</si>
  <si>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</si>
  <si>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</si>
  <si>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</si>
  <si>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</si>
  <si>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</si>
  <si>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</si>
  <si>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</si>
  <si>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</si>
  <si>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</si>
  <si>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</si>
  <si>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</si>
  <si>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</si>
  <si>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</si>
  <si>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</si>
  <si>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</si>
  <si>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</si>
  <si>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</si>
  <si>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</si>
  <si>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</si>
  <si>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</si>
  <si>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</si>
  <si>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</si>
  <si>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</si>
  <si>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</si>
  <si>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</si>
  <si>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</si>
  <si>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</si>
  <si>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</si>
  <si>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</si>
  <si>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</si>
  <si>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</si>
  <si>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</si>
  <si>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</si>
  <si>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</si>
  <si>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</si>
  <si>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</si>
  <si>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</si>
  <si>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</si>
  <si>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</si>
  <si>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</si>
  <si>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</si>
  <si>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</si>
  <si>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</si>
  <si>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</si>
  <si>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</si>
  <si>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</si>
  <si>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</si>
  <si>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</si>
  <si>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</si>
  <si>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</si>
  <si>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</si>
  <si>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</si>
  <si>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</si>
  <si>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</si>
  <si>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</si>
  <si>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</si>
  <si>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</si>
  <si>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</si>
  <si>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</si>
  <si>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</si>
  <si>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</si>
  <si>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</si>
  <si>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</si>
  <si>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</si>
  <si>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</si>
  <si>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</si>
  <si>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</si>
  <si>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</si>
  <si>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</si>
  <si>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</si>
  <si>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</si>
  <si>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</si>
  <si>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</si>
  <si>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</si>
  <si>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</si>
  <si>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</si>
  <si>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</si>
  <si>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</si>
  <si>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</si>
  <si>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</si>
  <si>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</si>
  <si>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</si>
  <si>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</si>
  <si>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</si>
  <si>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</si>
  <si>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</si>
  <si>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</si>
  <si>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</si>
  <si>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</si>
  <si>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</si>
  <si>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</si>
  <si>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</si>
  <si>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</si>
  <si>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</si>
  <si>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</si>
  <si>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</si>
  <si>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</si>
  <si>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</si>
  <si>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</si>
  <si>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</si>
  <si>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</si>
  <si>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</si>
  <si>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</si>
  <si>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</si>
  <si>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</si>
  <si>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</si>
  <si>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</si>
  <si>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</si>
  <si>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</si>
  <si>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</si>
  <si>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</si>
  <si>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</si>
  <si>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</si>
  <si>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</si>
  <si>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</si>
  <si>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</si>
  <si>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</si>
  <si>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</si>
  <si>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</si>
  <si>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</si>
  <si>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</si>
  <si>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</si>
  <si>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</si>
  <si>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</si>
  <si>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</si>
  <si>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</si>
  <si>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</si>
  <si>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</si>
  <si>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</si>
  <si>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</si>
  <si>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</si>
  <si>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</si>
  <si>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</si>
  <si>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</si>
  <si>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</si>
  <si>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</si>
  <si>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</si>
  <si>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</si>
  <si>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</si>
  <si>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</si>
  <si>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</si>
  <si>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</si>
  <si>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</si>
  <si>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</si>
  <si>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</si>
  <si>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</si>
  <si>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</si>
  <si>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</si>
  <si>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</si>
  <si>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</si>
  <si>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</si>
  <si>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</si>
  <si>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</si>
  <si>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</si>
  <si>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</si>
  <si>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</si>
  <si>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Project handed over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</si>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</sst>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46033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2791238.9674999998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655139.49349999987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1" t="s">
        <v>57</v>
      </c>
      <c r="E47" s="741"/>
      <c r="F47" s="742"/>
      <c r="G47" s="67"/>
      <c r="I47" s="68"/>
      <c r="J47" s="68"/>
    </row>
    <row r="48" spans="1:49" ht="13.9" thickBot="1">
      <c r="C48" s="69">
        <v>44014</v>
      </c>
      <c r="D48" s="743"/>
      <c r="E48" s="743"/>
      <c r="F48" s="7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747" t="s">
        <v>58</v>
      </c>
      <c r="C2" s="747"/>
      <c r="D2" s="747"/>
      <c r="E2" s="747"/>
      <c r="H2" s="748" t="s">
        <v>59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61</v>
      </c>
      <c r="C5" s="683" t="s">
        <v>62</v>
      </c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65</v>
      </c>
      <c r="C7" s="683" t="s">
        <v>66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1"/>
      <c r="H8" s="751"/>
      <c r="I8" s="752"/>
      <c r="J8" s="752"/>
      <c r="K8" s="752"/>
      <c r="L8" s="752"/>
      <c r="M8" s="752"/>
      <c r="N8" s="752"/>
      <c r="O8" s="753"/>
    </row>
    <row r="9" spans="2:15">
      <c r="B9" s="757" t="s">
        <v>67</v>
      </c>
      <c r="C9" s="757"/>
      <c r="D9" s="757"/>
      <c r="E9" s="757"/>
      <c r="H9" s="751"/>
      <c r="I9" s="752"/>
      <c r="J9" s="752"/>
      <c r="K9" s="752"/>
      <c r="L9" s="752"/>
      <c r="M9" s="752"/>
      <c r="N9" s="752"/>
      <c r="O9" s="753"/>
    </row>
    <row r="10" spans="2:15" ht="14.65" thickBot="1">
      <c r="B10" s="757" t="s">
        <v>68</v>
      </c>
      <c r="C10" s="757"/>
      <c r="D10" s="757"/>
      <c r="E10" s="757"/>
      <c r="H10" s="754"/>
      <c r="I10" s="755"/>
      <c r="J10" s="755"/>
      <c r="K10" s="755"/>
      <c r="L10" s="755"/>
      <c r="M10" s="755"/>
      <c r="N10" s="755"/>
      <c r="O10" s="756"/>
    </row>
    <row r="11" spans="2:15">
      <c r="B11" s="684" t="s">
        <v>69</v>
      </c>
      <c r="C11" s="745" t="s">
        <v>70</v>
      </c>
      <c r="D11" s="745"/>
      <c r="E11" s="745"/>
    </row>
    <row r="12" spans="2:15">
      <c r="B12" s="684" t="s">
        <v>71</v>
      </c>
      <c r="C12" s="745" t="s">
        <v>70</v>
      </c>
      <c r="D12" s="745"/>
      <c r="E12" s="745"/>
    </row>
    <row r="13" spans="2:15">
      <c r="B13" s="684" t="s">
        <v>72</v>
      </c>
      <c r="C13" s="745" t="s">
        <v>70</v>
      </c>
      <c r="D13" s="745"/>
      <c r="E13" s="745"/>
    </row>
    <row r="14" spans="2:15">
      <c r="B14" s="684" t="s">
        <v>73</v>
      </c>
      <c r="C14" s="745" t="s">
        <v>74</v>
      </c>
      <c r="D14" s="745"/>
      <c r="E14" s="745"/>
    </row>
    <row r="15" spans="2:15">
      <c r="B15" s="684" t="s">
        <v>75</v>
      </c>
      <c r="C15" s="745" t="s">
        <v>76</v>
      </c>
      <c r="D15" s="745"/>
      <c r="E15" s="745"/>
    </row>
    <row r="16" spans="2:15" ht="15" customHeight="1">
      <c r="B16" s="684" t="s">
        <v>77</v>
      </c>
      <c r="C16" s="745" t="s">
        <v>78</v>
      </c>
      <c r="D16" s="745"/>
      <c r="E16" s="745"/>
    </row>
    <row r="17" spans="2:5">
      <c r="B17" s="681"/>
    </row>
    <row r="18" spans="2:5">
      <c r="B18" s="746" t="s">
        <v>79</v>
      </c>
      <c r="C18" s="746"/>
      <c r="D18" s="746"/>
      <c r="E18" s="74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747" t="s">
        <v>87</v>
      </c>
      <c r="C2" s="747"/>
      <c r="D2" s="747"/>
      <c r="E2" s="747"/>
      <c r="H2" s="748" t="s">
        <v>88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89</v>
      </c>
      <c r="C5" s="683"/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90</v>
      </c>
      <c r="C7" s="683" t="s">
        <v>91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2" t="s">
        <v>92</v>
      </c>
      <c r="C8" s="683"/>
      <c r="H8" s="751"/>
      <c r="I8" s="752"/>
      <c r="J8" s="752"/>
      <c r="K8" s="752"/>
      <c r="L8" s="752"/>
      <c r="M8" s="752"/>
      <c r="N8" s="752"/>
      <c r="O8" s="753"/>
    </row>
    <row r="9" spans="2:15">
      <c r="B9" s="681"/>
      <c r="H9" s="751"/>
      <c r="I9" s="752"/>
      <c r="J9" s="752"/>
      <c r="K9" s="752"/>
      <c r="L9" s="752"/>
      <c r="M9" s="752"/>
      <c r="N9" s="752"/>
      <c r="O9" s="753"/>
    </row>
    <row r="10" spans="2:15">
      <c r="B10" s="757" t="s">
        <v>67</v>
      </c>
      <c r="C10" s="757"/>
      <c r="D10" s="757"/>
      <c r="E10" s="757"/>
      <c r="H10" s="751"/>
      <c r="I10" s="752"/>
      <c r="J10" s="752"/>
      <c r="K10" s="752"/>
      <c r="L10" s="752"/>
      <c r="M10" s="752"/>
      <c r="N10" s="752"/>
      <c r="O10" s="753"/>
    </row>
    <row r="11" spans="2:15" ht="14.65" thickBot="1">
      <c r="B11" s="757" t="s">
        <v>68</v>
      </c>
      <c r="C11" s="757"/>
      <c r="D11" s="757"/>
      <c r="E11" s="757"/>
      <c r="H11" s="754"/>
      <c r="I11" s="755"/>
      <c r="J11" s="755"/>
      <c r="K11" s="755"/>
      <c r="L11" s="755"/>
      <c r="M11" s="755"/>
      <c r="N11" s="755"/>
      <c r="O11" s="756"/>
    </row>
    <row r="12" spans="2:15" ht="25.5">
      <c r="B12" s="684" t="s">
        <v>93</v>
      </c>
      <c r="C12" s="745"/>
      <c r="D12" s="745"/>
      <c r="E12" s="745"/>
    </row>
    <row r="13" spans="2:15">
      <c r="B13" s="684" t="s">
        <v>94</v>
      </c>
      <c r="C13" s="745"/>
      <c r="D13" s="745"/>
      <c r="E13" s="745"/>
    </row>
    <row r="14" spans="2:15">
      <c r="B14" s="684" t="s">
        <v>95</v>
      </c>
      <c r="C14" s="745"/>
      <c r="D14" s="745"/>
      <c r="E14" s="745"/>
    </row>
    <row r="15" spans="2:15">
      <c r="B15" s="684" t="s">
        <v>96</v>
      </c>
      <c r="C15" s="745"/>
      <c r="D15" s="745"/>
      <c r="E15" s="745"/>
    </row>
    <row r="16" spans="2:15" ht="25.5">
      <c r="B16" s="684" t="s">
        <v>97</v>
      </c>
      <c r="C16" s="745"/>
      <c r="D16" s="745"/>
      <c r="E16" s="745"/>
    </row>
    <row r="17" spans="2:5">
      <c r="B17" s="684" t="s">
        <v>98</v>
      </c>
      <c r="C17" s="745"/>
      <c r="D17" s="745"/>
      <c r="E17" s="745"/>
    </row>
    <row r="18" spans="2:5">
      <c r="B18" s="684" t="s">
        <v>99</v>
      </c>
      <c r="C18" s="745"/>
      <c r="D18" s="745"/>
      <c r="E18" s="745"/>
    </row>
    <row r="19" spans="2:5">
      <c r="B19" s="684" t="s">
        <v>100</v>
      </c>
      <c r="C19" s="745"/>
      <c r="D19" s="745"/>
      <c r="E19" s="745"/>
    </row>
    <row r="20" spans="2:5">
      <c r="B20" s="684" t="s">
        <v>101</v>
      </c>
      <c r="C20" s="745"/>
      <c r="D20" s="745"/>
      <c r="E20" s="745"/>
    </row>
    <row r="21" spans="2:5">
      <c r="B21" s="684" t="s">
        <v>102</v>
      </c>
      <c r="C21" s="745"/>
      <c r="D21" s="745"/>
      <c r="E21" s="745"/>
    </row>
    <row r="22" spans="2:5" ht="15" customHeight="1">
      <c r="B22" s="684" t="s">
        <v>77</v>
      </c>
      <c r="C22" s="745"/>
      <c r="D22" s="745"/>
      <c r="E22" s="745"/>
    </row>
    <row r="23" spans="2:5">
      <c r="B23" s="681"/>
    </row>
    <row r="24" spans="2:5">
      <c r="B24" s="746" t="s">
        <v>79</v>
      </c>
      <c r="C24" s="746"/>
      <c r="D24" s="746"/>
      <c r="E24" s="74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2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758"/>
      <c r="C1" s="759"/>
      <c r="D1" s="759"/>
      <c r="E1" s="760" t="s">
        <v>103</v>
      </c>
      <c r="F1" s="760"/>
      <c r="G1" s="760"/>
      <c r="H1" s="760"/>
      <c r="I1" s="760"/>
      <c r="J1" s="76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1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1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5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2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 ht="13.9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abSelected="1" topLeftCell="B1" zoomScale="82" zoomScaleNormal="115" workbookViewId="0">
      <selection activeCell="L27" sqref="L27"/>
    </sheetView>
  </sheetViews>
  <sheetFormatPr defaultColWidth="8.42578125" defaultRowHeight="14.2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140625" style="129" bestFit="1" customWidth="1"/>
    <col min="8" max="8" width="19.140625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2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764" t="s">
        <v>193</v>
      </c>
      <c r="D13" s="76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4" t="s">
        <v>195</v>
      </c>
      <c r="D14" s="76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764" t="s">
        <v>197</v>
      </c>
      <c r="D15" s="76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762" t="s">
        <v>198</v>
      </c>
      <c r="D16" s="76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762" t="s">
        <v>54</v>
      </c>
      <c r="D17" s="76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3">
        <f>N17+7</f>
        <v>46079</v>
      </c>
      <c r="R17" s="378" t="s">
        <v>202</v>
      </c>
      <c r="S17" s="730" t="b">
        <v>1</v>
      </c>
      <c r="T17" s="141"/>
    </row>
    <row r="18" spans="2:20" s="354" customFormat="1" ht="13.15">
      <c r="B18" s="154">
        <v>6</v>
      </c>
      <c r="C18" s="762" t="s">
        <v>203</v>
      </c>
      <c r="D18" s="763"/>
      <c r="E18" s="135">
        <v>0</v>
      </c>
      <c r="F18" s="136">
        <v>93594.2</v>
      </c>
      <c r="H18" s="138">
        <f>H16</f>
        <v>45986</v>
      </c>
      <c r="J18" s="734"/>
      <c r="L18" s="368" t="s">
        <v>204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.15">
      <c r="B19" s="351">
        <v>7</v>
      </c>
      <c r="C19" s="764" t="s">
        <v>205</v>
      </c>
      <c r="D19" s="76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20" s="93" customFormat="1" ht="12.75">
      <c r="C24" s="147" t="s">
        <v>208</v>
      </c>
      <c r="D24" s="148"/>
      <c r="F24" s="149"/>
    </row>
    <row r="25" spans="2:20" s="93" customFormat="1" ht="12.75">
      <c r="C25" s="147" t="s">
        <v>209</v>
      </c>
      <c r="D25" s="148"/>
    </row>
    <row r="26" spans="2:20" s="93" customFormat="1" ht="12.75">
      <c r="C26" s="150" t="s">
        <v>210</v>
      </c>
      <c r="D26" s="151"/>
      <c r="L26" s="673"/>
    </row>
    <row r="27" spans="2:20" s="93" customFormat="1" ht="12.75">
      <c r="C27" s="152" t="s">
        <v>211</v>
      </c>
      <c r="D27" s="148"/>
      <c r="L27" s="673"/>
    </row>
    <row r="28" spans="2:20" s="93" customFormat="1" ht="12.75">
      <c r="B28" s="117"/>
      <c r="C28" s="152" t="s">
        <v>212</v>
      </c>
      <c r="D28" s="148"/>
    </row>
    <row r="29" spans="2:20" s="93" customFormat="1" ht="12.75">
      <c r="B29" s="117"/>
      <c r="C29" s="93" t="s">
        <v>213</v>
      </c>
    </row>
    <row r="30" spans="2:20" s="93" customFormat="1" ht="27.75" customHeight="1">
      <c r="B30" s="117"/>
      <c r="C30" s="153" t="s">
        <v>214</v>
      </c>
      <c r="D30" s="153"/>
      <c r="F30" s="149"/>
    </row>
    <row r="31" spans="2:20" s="93" customFormat="1" ht="12.75">
      <c r="B31" s="117"/>
      <c r="F31" s="146"/>
      <c r="N31" s="673"/>
    </row>
    <row r="32" spans="2:20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25"/>
  <cols>
    <col min="1" max="1" width="7.42578125" customWidth="1"/>
    <col min="2" max="2" width="38" customWidth="1"/>
    <col min="3" max="3" width="9.42578125" bestFit="1" customWidth="1"/>
    <col min="4" max="4" width="12" bestFit="1" customWidth="1"/>
    <col min="5" max="5" width="10" customWidth="1"/>
    <col min="6" max="6" width="34" customWidth="1"/>
  </cols>
  <sheetData>
    <row r="1" spans="2:10" ht="14.65" thickBot="1"/>
    <row r="2" spans="2:10" ht="15" thickTop="1" thickBot="1">
      <c r="B2" s="766" t="s">
        <v>218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219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220</v>
      </c>
      <c r="C5" s="76" t="s">
        <v>125</v>
      </c>
      <c r="D5" s="76" t="s">
        <v>221</v>
      </c>
      <c r="E5" s="76"/>
      <c r="F5" s="71"/>
    </row>
    <row r="6" spans="2:10">
      <c r="B6" s="74" t="s">
        <v>222</v>
      </c>
      <c r="C6" s="76" t="s">
        <v>125</v>
      </c>
      <c r="D6" s="76" t="s">
        <v>223</v>
      </c>
      <c r="E6" s="76"/>
      <c r="F6" s="71"/>
    </row>
    <row r="7" spans="2:10">
      <c r="B7" s="74" t="s">
        <v>224</v>
      </c>
      <c r="C7" s="76" t="s">
        <v>125</v>
      </c>
      <c r="D7" s="76" t="s">
        <v>223</v>
      </c>
      <c r="E7" s="76"/>
      <c r="F7" s="71"/>
    </row>
    <row r="8" spans="2:10">
      <c r="B8" s="74" t="s">
        <v>225</v>
      </c>
      <c r="C8" s="76" t="s">
        <v>125</v>
      </c>
      <c r="D8" s="76" t="s">
        <v>226</v>
      </c>
      <c r="E8" s="76"/>
      <c r="F8" s="71"/>
    </row>
    <row r="9" spans="2:10">
      <c r="B9" s="75" t="s">
        <v>227</v>
      </c>
      <c r="C9" s="75" t="s">
        <v>125</v>
      </c>
      <c r="D9" s="705" t="s">
        <v>226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6" t="s">
        <v>228</v>
      </c>
      <c r="C16" s="767"/>
      <c r="D16" s="767"/>
      <c r="E16" s="767"/>
      <c r="F16" s="768"/>
    </row>
    <row r="17" spans="2:6" ht="14.65" thickTop="1"/>
    <row r="18" spans="2:6">
      <c r="B18" s="72" t="s">
        <v>219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229</v>
      </c>
      <c r="D19" s="76"/>
      <c r="E19" s="76"/>
      <c r="F19" s="71" t="s">
        <v>230</v>
      </c>
    </row>
    <row r="20" spans="2:6">
      <c r="B20" s="74" t="s">
        <v>231</v>
      </c>
      <c r="C20" s="76" t="s">
        <v>229</v>
      </c>
      <c r="D20" s="76"/>
      <c r="E20" s="76"/>
      <c r="F20" s="71" t="s">
        <v>232</v>
      </c>
    </row>
    <row r="21" spans="2:6">
      <c r="B21" s="74" t="s">
        <v>233</v>
      </c>
      <c r="C21" s="76"/>
      <c r="D21" s="76"/>
      <c r="E21" s="76"/>
      <c r="F21" s="71"/>
    </row>
    <row r="22" spans="2:6">
      <c r="B22" s="74" t="s">
        <v>234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E12" zoomScaleNormal="100" workbookViewId="0">
      <selection activeCell="N4" sqref="N4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" style="112" customWidth="1"/>
    <col min="5" max="5" width="14.5703125" style="24" customWidth="1"/>
    <col min="6" max="6" width="12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46072</v>
      </c>
      <c r="O1" s="403">
        <f ca="1">TODAY()</f>
        <v>46072</v>
      </c>
      <c r="Q1" s="3"/>
    </row>
    <row r="2" spans="2:28" ht="15" customHeight="1" thickBot="1">
      <c r="B2" s="176"/>
      <c r="C2" s="177" t="s">
        <v>0</v>
      </c>
      <c r="D2" s="178"/>
      <c r="E2" s="776" t="s">
        <v>235</v>
      </c>
      <c r="F2" s="777"/>
      <c r="G2" s="777"/>
      <c r="H2" s="777"/>
      <c r="I2" s="769" t="s">
        <v>236</v>
      </c>
      <c r="J2" s="77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25" thickBot="1">
      <c r="B3" s="179"/>
      <c r="C3" s="180" t="s">
        <v>237</v>
      </c>
      <c r="D3" s="178"/>
      <c r="E3" s="410">
        <v>366</v>
      </c>
      <c r="F3" s="181"/>
      <c r="G3" s="182"/>
      <c r="H3" s="182"/>
      <c r="I3" s="769" t="s">
        <v>238</v>
      </c>
      <c r="J3" s="770"/>
      <c r="K3" s="679">
        <f>K2/5</f>
        <v>14.2</v>
      </c>
      <c r="Q3" s="3"/>
    </row>
    <row r="4" spans="2:28" s="112" customFormat="1" ht="14.25" thickBot="1">
      <c r="B4" s="179"/>
      <c r="C4" s="180" t="s">
        <v>239</v>
      </c>
      <c r="D4" s="178"/>
      <c r="E4" s="778" t="s">
        <v>91</v>
      </c>
      <c r="F4" s="779"/>
      <c r="G4" s="779"/>
      <c r="H4" s="779"/>
      <c r="I4" s="769" t="s">
        <v>240</v>
      </c>
      <c r="J4" s="770"/>
      <c r="K4" s="680">
        <f>E3/K3</f>
        <v>25.774647887323944</v>
      </c>
      <c r="Q4" s="3"/>
    </row>
    <row r="5" spans="2:28" s="112" customFormat="1" ht="13.9">
      <c r="B5" s="179"/>
      <c r="C5" s="180" t="s">
        <v>241</v>
      </c>
      <c r="D5" s="178"/>
      <c r="E5" s="778" t="s">
        <v>91</v>
      </c>
      <c r="F5" s="779"/>
      <c r="G5" s="779"/>
      <c r="H5" s="780"/>
      <c r="J5" s="113"/>
      <c r="Q5" s="3"/>
    </row>
    <row r="6" spans="2:28" ht="22.5" customHeight="1" thickBot="1">
      <c r="B6" s="183"/>
      <c r="C6" s="184" t="s">
        <v>242</v>
      </c>
      <c r="D6" s="178"/>
      <c r="E6" s="781">
        <v>3283810.55</v>
      </c>
      <c r="F6" s="782"/>
      <c r="G6" s="782"/>
      <c r="H6" s="783"/>
    </row>
    <row r="7" spans="2:28" s="112" customFormat="1" ht="14.25" thickBot="1">
      <c r="B7" s="167"/>
      <c r="C7" s="727" t="s">
        <v>243</v>
      </c>
      <c r="D7" s="728"/>
      <c r="E7" s="739" t="s">
        <v>244</v>
      </c>
      <c r="F7" s="740"/>
      <c r="G7" s="185"/>
      <c r="J7" s="113"/>
      <c r="Q7" s="3"/>
    </row>
    <row r="8" spans="2:28" ht="30" customHeight="1">
      <c r="B8" s="773" t="s">
        <v>183</v>
      </c>
      <c r="C8" s="774" t="s">
        <v>245</v>
      </c>
      <c r="D8" s="214"/>
      <c r="E8" s="775" t="s">
        <v>246</v>
      </c>
      <c r="F8" s="236" t="s">
        <v>247</v>
      </c>
      <c r="G8" s="775" t="s">
        <v>248</v>
      </c>
      <c r="H8" s="237"/>
      <c r="I8" s="775" t="s">
        <v>249</v>
      </c>
      <c r="J8" s="236" t="s">
        <v>247</v>
      </c>
      <c r="K8" s="775" t="s">
        <v>250</v>
      </c>
      <c r="M8" s="703" t="s">
        <v>109</v>
      </c>
      <c r="N8" s="703" t="s">
        <v>109</v>
      </c>
      <c r="O8" s="771" t="s">
        <v>251</v>
      </c>
      <c r="Z8" s="112"/>
      <c r="AA8" s="112"/>
      <c r="AB8" s="112"/>
    </row>
    <row r="9" spans="2:28" ht="13.9">
      <c r="B9" s="773"/>
      <c r="C9" s="774"/>
      <c r="D9" s="214"/>
      <c r="E9" s="775"/>
      <c r="F9" s="126">
        <f>G41-E19</f>
        <v>35</v>
      </c>
      <c r="G9" s="775"/>
      <c r="H9" s="237"/>
      <c r="I9" s="775"/>
      <c r="J9" s="127">
        <f>K41-I19</f>
        <v>101</v>
      </c>
      <c r="K9" s="775"/>
      <c r="M9" s="361">
        <f>AVERAGE(M11,M18,M21,M28,M35,M39,M46,M43)</f>
        <v>0.99568965517241381</v>
      </c>
      <c r="N9" s="361">
        <f ca="1">AVERAGE(N11,N18,N21,N28,N35,N39,N46,N43)</f>
        <v>0.99568965517241381</v>
      </c>
      <c r="O9" s="77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252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253</v>
      </c>
      <c r="C12" s="248" t="s">
        <v>254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255</v>
      </c>
      <c r="T12" s="666" t="s">
        <v>175</v>
      </c>
      <c r="U12" s="666" t="s">
        <v>256</v>
      </c>
      <c r="V12" s="666" t="s">
        <v>257</v>
      </c>
      <c r="X12" s="669">
        <f ca="1">TODAY()</f>
        <v>46072</v>
      </c>
      <c r="Y12" s="669">
        <f ca="1">TODAY()</f>
        <v>46072</v>
      </c>
    </row>
    <row r="13" spans="2:28" s="112" customFormat="1" ht="13.9">
      <c r="B13" s="247" t="s">
        <v>258</v>
      </c>
      <c r="C13" s="248" t="s">
        <v>259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 ht="13.9">
      <c r="B14" s="247" t="s">
        <v>260</v>
      </c>
      <c r="C14" s="248" t="s">
        <v>218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261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 ht="13.9">
      <c r="B15" s="247" t="s">
        <v>262</v>
      </c>
      <c r="C15" s="248" t="s">
        <v>263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 ht="13.9">
      <c r="B16" s="247" t="s">
        <v>264</v>
      </c>
      <c r="C16" s="248" t="s">
        <v>265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 ht="13.9">
      <c r="B18" s="243">
        <v>2</v>
      </c>
      <c r="C18" s="244" t="s">
        <v>266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 ht="13.9">
      <c r="B19" s="247" t="s">
        <v>267</v>
      </c>
      <c r="C19" s="248" t="s">
        <v>268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18</v>
      </c>
      <c r="U20" s="668">
        <f>J46</f>
        <v>46033</v>
      </c>
      <c r="V20" s="667">
        <f>K46</f>
        <v>46051</v>
      </c>
    </row>
    <row r="21" spans="2:28" s="114" customFormat="1" ht="13.9">
      <c r="B21" s="243">
        <v>3</v>
      </c>
      <c r="C21" s="244" t="s">
        <v>269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ht="13.9">
      <c r="B22" s="247" t="s">
        <v>270</v>
      </c>
      <c r="C22" s="248" t="s">
        <v>271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272</v>
      </c>
      <c r="C23" s="248" t="s">
        <v>273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274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275</v>
      </c>
      <c r="C24" s="248" t="s">
        <v>276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277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278</v>
      </c>
      <c r="C26" s="248" t="s">
        <v>279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280</v>
      </c>
      <c r="C30" s="248" t="s">
        <v>281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282</v>
      </c>
      <c r="C31" s="248" t="s">
        <v>283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284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285</v>
      </c>
      <c r="C32" s="248" t="s">
        <v>286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25">
      <c r="B33" s="247" t="s">
        <v>287</v>
      </c>
      <c r="C33" s="242" t="s">
        <v>288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289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290</v>
      </c>
      <c r="C36" s="248" t="s">
        <v>291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292</v>
      </c>
      <c r="C37" s="248" t="s">
        <v>293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294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295</v>
      </c>
      <c r="C40" s="242" t="s">
        <v>294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296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297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298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299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18</v>
      </c>
      <c r="J46" s="246">
        <f>K46-I46</f>
        <v>46033</v>
      </c>
      <c r="K46" s="245">
        <f>MAX(K47:K52)</f>
        <v>46051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300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7">
        <v>8.1999999999999993</v>
      </c>
      <c r="C48" s="242" t="s">
        <v>301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 ht="13.9">
      <c r="B49" s="247">
        <v>8.3000000000000007</v>
      </c>
      <c r="C49" s="242" t="s">
        <v>302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 ht="13.9">
      <c r="B50" s="247">
        <v>8.4</v>
      </c>
      <c r="C50" s="242" t="s">
        <v>303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 ht="13.9">
      <c r="B51" s="247">
        <v>8.5</v>
      </c>
      <c r="C51" s="242" t="s">
        <v>304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18</v>
      </c>
      <c r="J51" s="250">
        <v>1</v>
      </c>
      <c r="K51" s="252">
        <f>WORKDAY.INTL(I51,J51,1,Data!$C$3:$C$14)</f>
        <v>19</v>
      </c>
      <c r="M51" s="253">
        <v>1</v>
      </c>
      <c r="N51" s="253">
        <f t="shared" ca="1" si="5"/>
        <v>1</v>
      </c>
      <c r="O51" s="122"/>
      <c r="Y51" s="24"/>
    </row>
    <row r="52" spans="2:28" ht="13.9">
      <c r="B52" s="247">
        <v>8.6</v>
      </c>
      <c r="C52" s="242" t="s">
        <v>305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18</v>
      </c>
      <c r="J52" s="250">
        <v>3</v>
      </c>
      <c r="K52" s="252">
        <f>WORKDAY.INTL(I52,J52,1,Data!$C$3:$C$14)</f>
        <v>23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25" thickBot="1">
      <c r="A5" s="214"/>
      <c r="B5" s="785" t="s">
        <v>308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 ht="13.9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 ht="13.9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 ht="13.9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 ht="13.9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 ht="13.9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 ht="13.9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 ht="13.9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60" zoomScaleNormal="60" workbookViewId="0">
      <pane ySplit="4" topLeftCell="A5" activePane="bottomLeft" state="frozen"/>
      <selection pane="bottomLeft" activeCell="AA123" sqref="AA123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3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92" t="s">
        <v>314</v>
      </c>
      <c r="C2" s="793"/>
      <c r="D2" s="793"/>
      <c r="E2" s="793"/>
      <c r="F2" s="793"/>
      <c r="G2" s="793"/>
      <c r="H2" s="500"/>
      <c r="I2" s="257">
        <f>SUM(I6:I163)</f>
        <v>2763016.5280978265</v>
      </c>
      <c r="J2" s="257">
        <f>SUM(J6:J163)</f>
        <v>3283810.5522112595</v>
      </c>
      <c r="L2" s="794" t="s">
        <v>315</v>
      </c>
      <c r="M2" s="795"/>
      <c r="N2" s="795"/>
      <c r="O2" s="795"/>
      <c r="P2" s="795"/>
      <c r="Q2" s="795"/>
      <c r="R2" s="796" t="s">
        <v>316</v>
      </c>
      <c r="S2" s="797"/>
      <c r="T2" s="797"/>
      <c r="U2" s="797"/>
      <c r="V2" s="797"/>
      <c r="W2" s="798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86">
        <f>SUM(G6:G11)</f>
        <v>838063.00000000012</v>
      </c>
      <c r="J6" s="786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808">
        <f>J6-SUM(U6:U11)</f>
        <v>0</v>
      </c>
      <c r="W6" s="722">
        <v>46009</v>
      </c>
      <c r="X6" s="799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87"/>
      <c r="J7" s="787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809"/>
      <c r="W7" s="690">
        <f>W6</f>
        <v>46009</v>
      </c>
      <c r="X7" s="800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7"/>
      <c r="J8" s="787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809"/>
      <c r="W8" s="690">
        <f>W6</f>
        <v>46009</v>
      </c>
      <c r="X8" s="800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7"/>
      <c r="J9" s="787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809"/>
      <c r="W9" s="726">
        <v>46022</v>
      </c>
      <c r="X9" s="800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7"/>
      <c r="J10" s="787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809"/>
      <c r="W10" s="576"/>
      <c r="X10" s="800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88"/>
      <c r="J11" s="788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10"/>
      <c r="W11" s="577"/>
      <c r="X11" s="801"/>
      <c r="Y11" s="608" t="s">
        <v>341</v>
      </c>
      <c r="Z11" s="609" t="s">
        <v>342</v>
      </c>
    </row>
    <row r="12" spans="1:76" ht="14.2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802">
        <f>SUM(G13:G19)</f>
        <v>210000</v>
      </c>
      <c r="J13" s="802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811">
        <f>J13-SUM(U13:U19)</f>
        <v>0</v>
      </c>
      <c r="W13" s="723">
        <f>W6</f>
        <v>46009</v>
      </c>
      <c r="X13" s="805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3"/>
      <c r="J14" s="803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12"/>
      <c r="W14" s="654"/>
      <c r="X14" s="806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3"/>
      <c r="J15" s="803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12"/>
      <c r="W15" s="580"/>
      <c r="X15" s="806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3"/>
      <c r="J16" s="803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12"/>
      <c r="W16" s="580"/>
      <c r="X16" s="806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3"/>
      <c r="J17" s="803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12"/>
      <c r="W17" s="580"/>
      <c r="X17" s="806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3"/>
      <c r="J18" s="803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12"/>
      <c r="W18" s="580"/>
      <c r="X18" s="806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04"/>
      <c r="J19" s="804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13"/>
      <c r="W19" s="581"/>
      <c r="X19" s="807"/>
      <c r="Y19" s="610" t="s">
        <v>353</v>
      </c>
      <c r="Z19" s="611">
        <v>0</v>
      </c>
      <c r="AA19" s="655"/>
    </row>
    <row r="20" spans="1:27" ht="14.2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86">
        <f>SUM(G21:G26)</f>
        <v>146400</v>
      </c>
      <c r="J21" s="786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808">
        <f>J21-SUM(U21:U26)</f>
        <v>0</v>
      </c>
      <c r="W21" s="704">
        <f>T21+30</f>
        <v>45960</v>
      </c>
      <c r="X21" s="799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7"/>
      <c r="J22" s="787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809"/>
      <c r="W22" s="575"/>
      <c r="X22" s="800"/>
      <c r="Y22" s="610" t="s">
        <v>217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7"/>
      <c r="J23" s="787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809"/>
      <c r="W23" s="575"/>
      <c r="X23" s="800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7"/>
      <c r="J24" s="787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809"/>
      <c r="W24" s="576"/>
      <c r="X24" s="800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7"/>
      <c r="J25" s="787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809"/>
      <c r="W25" s="576"/>
      <c r="X25" s="800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88"/>
      <c r="J26" s="788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10"/>
      <c r="W26" s="577"/>
      <c r="X26" s="801"/>
      <c r="Y26" s="616" t="s">
        <v>167</v>
      </c>
      <c r="Z26" s="617" t="s">
        <v>363</v>
      </c>
    </row>
    <row r="27" spans="1:27" ht="14.2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2">
        <f>SUM(G28:G42)</f>
        <v>286300</v>
      </c>
      <c r="J28" s="802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811">
        <f>J28-SUM(U28:U42)</f>
        <v>0</v>
      </c>
      <c r="W28" s="537">
        <v>46003</v>
      </c>
      <c r="X28" s="805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803"/>
      <c r="J29" s="803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12"/>
      <c r="W29" s="580"/>
      <c r="X29" s="806"/>
      <c r="Y29" s="618" t="s">
        <v>348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3"/>
      <c r="J30" s="803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12"/>
      <c r="W30" s="580"/>
      <c r="X30" s="806"/>
      <c r="Y30" s="618" t="s">
        <v>349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3"/>
      <c r="J31" s="803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12"/>
      <c r="W31" s="580"/>
      <c r="X31" s="806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3"/>
      <c r="J32" s="803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789" t="s">
        <v>371</v>
      </c>
      <c r="S32" s="633" t="s">
        <v>372</v>
      </c>
      <c r="T32" s="674">
        <f>T92</f>
        <v>45961</v>
      </c>
      <c r="U32" s="694">
        <v>30132.370821974633</v>
      </c>
      <c r="V32" s="812"/>
      <c r="W32" s="538">
        <f>W92</f>
        <v>45939</v>
      </c>
      <c r="X32" s="806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3"/>
      <c r="J33" s="803"/>
      <c r="K33" s="300"/>
      <c r="L33" s="297">
        <v>4</v>
      </c>
      <c r="M33" s="424" t="s">
        <v>365</v>
      </c>
      <c r="N33" s="407" t="s">
        <v>266</v>
      </c>
      <c r="O33" s="560"/>
      <c r="P33" s="570">
        <v>0.15</v>
      </c>
      <c r="Q33" s="299">
        <f t="shared" ref="Q33:Q39" si="2">$O$32*P33</f>
        <v>22193.234999999997</v>
      </c>
      <c r="R33" s="790"/>
      <c r="S33" s="633" t="s">
        <v>373</v>
      </c>
      <c r="T33" s="674">
        <f t="shared" ref="T33:T36" si="3">T93</f>
        <v>45961</v>
      </c>
      <c r="U33" s="694">
        <v>30132.370821974633</v>
      </c>
      <c r="V33" s="812"/>
      <c r="W33" s="538">
        <f t="shared" ref="W33:W39" si="4">W93</f>
        <v>45939</v>
      </c>
      <c r="X33" s="806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3"/>
      <c r="J34" s="803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790"/>
      <c r="S34" s="633" t="s">
        <v>376</v>
      </c>
      <c r="T34" s="674">
        <f t="shared" si="3"/>
        <v>45991</v>
      </c>
      <c r="U34" s="694">
        <v>40176.494429299513</v>
      </c>
      <c r="V34" s="812"/>
      <c r="W34" s="654">
        <f t="shared" si="4"/>
        <v>45999</v>
      </c>
      <c r="X34" s="806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3"/>
      <c r="J35" s="803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790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12"/>
      <c r="W35" s="654">
        <f t="shared" si="4"/>
        <v>46015</v>
      </c>
      <c r="X35" s="806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3"/>
      <c r="J36" s="803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790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12"/>
      <c r="W36" s="654">
        <f>W96</f>
        <v>46015</v>
      </c>
      <c r="X36" s="806"/>
      <c r="Y36" s="618" t="s">
        <v>218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3"/>
      <c r="J37" s="803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790"/>
      <c r="S37" s="633" t="s">
        <v>382</v>
      </c>
      <c r="T37" s="691">
        <v>46022</v>
      </c>
      <c r="U37" s="694">
        <v>20088.247214649757</v>
      </c>
      <c r="V37" s="812"/>
      <c r="W37" s="538">
        <f t="shared" si="4"/>
        <v>46052</v>
      </c>
      <c r="X37" s="806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3"/>
      <c r="J38" s="803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790"/>
      <c r="S38" s="633" t="s">
        <v>384</v>
      </c>
      <c r="T38" s="691">
        <v>46022</v>
      </c>
      <c r="U38" s="694">
        <v>10044.123607324878</v>
      </c>
      <c r="V38" s="812"/>
      <c r="W38" s="538">
        <f t="shared" si="4"/>
        <v>46058</v>
      </c>
      <c r="X38" s="806"/>
      <c r="Y38" s="618" t="s">
        <v>217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3"/>
      <c r="J39" s="803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791"/>
      <c r="S39" s="721" t="s">
        <v>386</v>
      </c>
      <c r="T39" s="691">
        <v>46022</v>
      </c>
      <c r="U39" s="694">
        <v>10044.123607324878</v>
      </c>
      <c r="V39" s="812"/>
      <c r="W39" s="580">
        <f t="shared" si="4"/>
        <v>46109</v>
      </c>
      <c r="X39" s="806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3"/>
      <c r="J40" s="803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12"/>
      <c r="W40" s="580"/>
      <c r="X40" s="806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3"/>
      <c r="J41" s="803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12"/>
      <c r="W41" s="580"/>
      <c r="X41" s="806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04"/>
      <c r="J42" s="804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13"/>
      <c r="W42" s="581"/>
      <c r="X42" s="807"/>
      <c r="Y42" s="479"/>
    </row>
    <row r="43" spans="1:26" ht="13.9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86">
        <f>SUM(G44:G51)</f>
        <v>49000</v>
      </c>
      <c r="J44" s="786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808">
        <f>J44-SUM(U44:U51)</f>
        <v>1.9763820091611706E-3</v>
      </c>
      <c r="W44" s="704">
        <f>H44</f>
        <v>46004</v>
      </c>
      <c r="X44" s="799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87"/>
      <c r="J45" s="787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809"/>
      <c r="W45" s="533">
        <f>T45+30</f>
        <v>45960</v>
      </c>
      <c r="X45" s="800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7"/>
      <c r="J46" s="787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809"/>
      <c r="W46" s="533">
        <v>45974</v>
      </c>
      <c r="X46" s="800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7"/>
      <c r="J47" s="787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809"/>
      <c r="W47" s="690">
        <v>45991</v>
      </c>
      <c r="X47" s="800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7"/>
      <c r="J48" s="787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809"/>
      <c r="W48" s="690">
        <v>45939</v>
      </c>
      <c r="X48" s="800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7"/>
      <c r="J49" s="787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809"/>
      <c r="W49" s="726">
        <v>46022</v>
      </c>
      <c r="X49" s="800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7"/>
      <c r="J50" s="787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809"/>
      <c r="W50" s="576"/>
      <c r="X50" s="800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88"/>
      <c r="J51" s="788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10"/>
      <c r="W51" s="577"/>
      <c r="X51" s="801"/>
      <c r="Y51" s="479"/>
    </row>
    <row r="52" spans="1:25" ht="14.2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802">
        <f>SUM(G53:G69)</f>
        <v>497053.59565217391</v>
      </c>
      <c r="J53" s="802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11">
        <f>J53-SUM(U53:U69)</f>
        <v>0</v>
      </c>
      <c r="W53" s="579"/>
      <c r="X53" s="805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3"/>
      <c r="J54" s="803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812"/>
      <c r="W54" s="712">
        <f>T54+30</f>
        <v>46021</v>
      </c>
      <c r="X54" s="806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3"/>
      <c r="J55" s="803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12"/>
      <c r="W55" s="580"/>
      <c r="X55" s="806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3"/>
      <c r="J56" s="803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12"/>
      <c r="W56" s="580"/>
      <c r="X56" s="806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3"/>
      <c r="J57" s="803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12"/>
      <c r="W57" s="580"/>
      <c r="X57" s="806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3"/>
      <c r="J58" s="803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12"/>
      <c r="W58" s="580"/>
      <c r="X58" s="806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3"/>
      <c r="J59" s="803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789" t="s">
        <v>371</v>
      </c>
      <c r="S59" s="633" t="s">
        <v>372</v>
      </c>
      <c r="T59" s="697">
        <f>T92</f>
        <v>45961</v>
      </c>
      <c r="U59" s="694">
        <v>42903.640276760721</v>
      </c>
      <c r="V59" s="812"/>
      <c r="W59" s="538">
        <f>W92</f>
        <v>45939</v>
      </c>
      <c r="X59" s="806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3"/>
      <c r="J60" s="803"/>
      <c r="K60" s="300"/>
      <c r="L60" s="297">
        <v>6</v>
      </c>
      <c r="M60" s="428" t="s">
        <v>402</v>
      </c>
      <c r="N60" s="407" t="s">
        <v>266</v>
      </c>
      <c r="O60" s="560"/>
      <c r="P60" s="570">
        <v>0.15</v>
      </c>
      <c r="Q60" s="299">
        <f t="shared" ref="Q60:Q66" si="7">$O$59*P60</f>
        <v>17533.549500000001</v>
      </c>
      <c r="R60" s="790"/>
      <c r="S60" s="633" t="s">
        <v>373</v>
      </c>
      <c r="T60" s="697">
        <f t="shared" ref="T60:T63" si="8">T93</f>
        <v>45961</v>
      </c>
      <c r="U60" s="694">
        <v>42903.640276760721</v>
      </c>
      <c r="V60" s="812"/>
      <c r="W60" s="538">
        <f t="shared" ref="W60:W66" si="9">W93</f>
        <v>45939</v>
      </c>
      <c r="X60" s="806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3"/>
      <c r="J61" s="803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790"/>
      <c r="S61" s="633" t="s">
        <v>376</v>
      </c>
      <c r="T61" s="697">
        <f t="shared" si="8"/>
        <v>45991</v>
      </c>
      <c r="U61" s="694">
        <v>57204.853702347631</v>
      </c>
      <c r="V61" s="812"/>
      <c r="W61" s="654">
        <f t="shared" si="9"/>
        <v>45999</v>
      </c>
      <c r="X61" s="806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3"/>
      <c r="J62" s="803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790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12"/>
      <c r="W62" s="654">
        <f t="shared" si="9"/>
        <v>46015</v>
      </c>
      <c r="X62" s="806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3"/>
      <c r="J63" s="803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790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12"/>
      <c r="W63" s="654">
        <f t="shared" si="9"/>
        <v>46015</v>
      </c>
      <c r="X63" s="806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3"/>
      <c r="J64" s="803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790"/>
      <c r="S64" s="633" t="s">
        <v>382</v>
      </c>
      <c r="T64" s="717">
        <v>46022</v>
      </c>
      <c r="U64" s="709">
        <v>28602.426851173816</v>
      </c>
      <c r="V64" s="812"/>
      <c r="W64" s="538">
        <f t="shared" si="9"/>
        <v>46052</v>
      </c>
      <c r="X64" s="806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3"/>
      <c r="J65" s="803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790"/>
      <c r="S65" s="716" t="s">
        <v>384</v>
      </c>
      <c r="T65" s="717">
        <v>46022</v>
      </c>
      <c r="U65" s="709">
        <v>14301.213425586908</v>
      </c>
      <c r="V65" s="812"/>
      <c r="W65" s="538">
        <f t="shared" si="9"/>
        <v>46058</v>
      </c>
      <c r="X65" s="806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3"/>
      <c r="J66" s="803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791"/>
      <c r="S66" s="716" t="s">
        <v>386</v>
      </c>
      <c r="T66" s="717">
        <v>46022</v>
      </c>
      <c r="U66" s="709">
        <v>14301.213425586908</v>
      </c>
      <c r="V66" s="812"/>
      <c r="W66" s="580">
        <f t="shared" si="9"/>
        <v>46109</v>
      </c>
      <c r="X66" s="806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3"/>
      <c r="J67" s="803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12"/>
      <c r="W67" s="583"/>
      <c r="X67" s="806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3"/>
      <c r="J68" s="803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12"/>
      <c r="W68" s="583"/>
      <c r="X68" s="806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04"/>
      <c r="J69" s="804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13"/>
      <c r="W69" s="581"/>
      <c r="X69" s="807"/>
      <c r="Y69" s="479"/>
    </row>
    <row r="70" spans="1:25" ht="13.9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86">
        <f>SUM(G71:G78)</f>
        <v>0</v>
      </c>
      <c r="J71" s="786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814">
        <f>J71-SUM(U71:U78)</f>
        <v>0</v>
      </c>
      <c r="W71" s="585"/>
      <c r="X71" s="799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7"/>
      <c r="J72" s="787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815"/>
      <c r="W72" s="576"/>
      <c r="X72" s="800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7"/>
      <c r="J73" s="787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815"/>
      <c r="W73" s="576"/>
      <c r="X73" s="800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7"/>
      <c r="J74" s="787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815"/>
      <c r="W74" s="576"/>
      <c r="X74" s="800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7"/>
      <c r="J75" s="787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815"/>
      <c r="W75" s="576"/>
      <c r="X75" s="800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7"/>
      <c r="J76" s="787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815"/>
      <c r="W76" s="576"/>
      <c r="X76" s="800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7"/>
      <c r="J77" s="787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815"/>
      <c r="W77" s="576"/>
      <c r="X77" s="800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88"/>
      <c r="J78" s="788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816"/>
      <c r="W78" s="577"/>
      <c r="X78" s="801"/>
      <c r="Y78" s="479"/>
    </row>
    <row r="79" spans="1:25" ht="13.9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802">
        <f>SUM(G80:G89)</f>
        <v>208000</v>
      </c>
      <c r="J80" s="802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32">
        <f>J80-SUM(U80:U89)</f>
        <v>0</v>
      </c>
      <c r="W80" s="579"/>
      <c r="X80" s="805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803"/>
      <c r="J81" s="803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33"/>
      <c r="W81" s="580"/>
      <c r="X81" s="806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3"/>
      <c r="J82" s="803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833"/>
      <c r="W82" s="654">
        <v>45960</v>
      </c>
      <c r="X82" s="806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3"/>
      <c r="J83" s="803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33"/>
      <c r="W83" s="580"/>
      <c r="X83" s="806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803"/>
      <c r="J84" s="803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789" t="s">
        <v>415</v>
      </c>
      <c r="S84" s="633" t="s">
        <v>416</v>
      </c>
      <c r="T84" s="674">
        <v>45961</v>
      </c>
      <c r="U84" s="694">
        <v>75668.143320264106</v>
      </c>
      <c r="V84" s="833"/>
      <c r="W84" s="538">
        <v>45939</v>
      </c>
      <c r="X84" s="806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3"/>
      <c r="J85" s="803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791"/>
      <c r="S85" s="633" t="s">
        <v>416</v>
      </c>
      <c r="T85" s="674">
        <v>45961</v>
      </c>
      <c r="U85" s="694">
        <v>75668.143320264106</v>
      </c>
      <c r="V85" s="833"/>
      <c r="W85" s="538">
        <v>45974</v>
      </c>
      <c r="X85" s="806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3"/>
      <c r="J86" s="803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833"/>
      <c r="W86" s="712">
        <v>45980</v>
      </c>
      <c r="X86" s="806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803"/>
      <c r="J87" s="803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833"/>
      <c r="W87" s="538">
        <v>45974</v>
      </c>
      <c r="X87" s="806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3"/>
      <c r="J88" s="803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833"/>
      <c r="W88" s="542">
        <v>46043</v>
      </c>
      <c r="X88" s="806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04"/>
      <c r="J89" s="804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834"/>
      <c r="W89" s="725">
        <v>46031</v>
      </c>
      <c r="X89" s="807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823">
        <f>SUM(G91:G102)</f>
        <v>291000</v>
      </c>
      <c r="J91" s="786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808">
        <f>J91-SUM(U91:U102)</f>
        <v>0</v>
      </c>
      <c r="W91" s="582"/>
      <c r="X91" s="826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824"/>
      <c r="J92" s="787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838" t="s">
        <v>371</v>
      </c>
      <c r="S92" s="628" t="s">
        <v>372</v>
      </c>
      <c r="T92" s="699">
        <v>45961</v>
      </c>
      <c r="U92" s="692">
        <v>48499.999999999993</v>
      </c>
      <c r="V92" s="809"/>
      <c r="W92" s="533">
        <v>45939</v>
      </c>
      <c r="X92" s="827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24"/>
      <c r="J93" s="787"/>
      <c r="K93" s="287"/>
      <c r="L93" s="382">
        <v>9</v>
      </c>
      <c r="M93" s="499" t="s">
        <v>430</v>
      </c>
      <c r="N93" s="384" t="s">
        <v>266</v>
      </c>
      <c r="O93" s="556"/>
      <c r="P93" s="571">
        <v>0.15</v>
      </c>
      <c r="Q93" s="314">
        <f t="shared" ref="Q93:Q99" si="12">$O$92*P93</f>
        <v>48187.5</v>
      </c>
      <c r="R93" s="839"/>
      <c r="S93" s="629" t="s">
        <v>373</v>
      </c>
      <c r="T93" s="699">
        <f t="shared" si="10"/>
        <v>45961</v>
      </c>
      <c r="U93" s="692">
        <v>48499.999999999993</v>
      </c>
      <c r="V93" s="809"/>
      <c r="W93" s="534">
        <v>45939</v>
      </c>
      <c r="X93" s="827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24"/>
      <c r="J94" s="787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839"/>
      <c r="S94" s="629" t="s">
        <v>376</v>
      </c>
      <c r="T94" s="699">
        <v>45991</v>
      </c>
      <c r="U94" s="692">
        <v>64666.666666666664</v>
      </c>
      <c r="V94" s="809"/>
      <c r="W94" s="714">
        <f>'Project Plan'!K21+7</f>
        <v>45999</v>
      </c>
      <c r="X94" s="827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24"/>
      <c r="J95" s="787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839"/>
      <c r="S95" s="629" t="s">
        <v>432</v>
      </c>
      <c r="T95" s="699">
        <v>46022</v>
      </c>
      <c r="U95" s="692">
        <v>64666.666666666664</v>
      </c>
      <c r="V95" s="809"/>
      <c r="W95" s="714">
        <v>46015</v>
      </c>
      <c r="X95" s="827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24"/>
      <c r="J96" s="787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839"/>
      <c r="S96" s="629" t="s">
        <v>433</v>
      </c>
      <c r="T96" s="699">
        <v>46022</v>
      </c>
      <c r="U96" s="692">
        <v>32333.333333333332</v>
      </c>
      <c r="V96" s="809"/>
      <c r="W96" s="714">
        <v>46015</v>
      </c>
      <c r="X96" s="827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24"/>
      <c r="J97" s="787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839"/>
      <c r="S97" s="718" t="s">
        <v>382</v>
      </c>
      <c r="T97" s="719">
        <v>46022</v>
      </c>
      <c r="U97" s="692">
        <v>32333.333333333332</v>
      </c>
      <c r="V97" s="809"/>
      <c r="W97" s="534">
        <f>'Project Plan'!K41+7</f>
        <v>46052</v>
      </c>
      <c r="X97" s="827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24"/>
      <c r="J98" s="787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839"/>
      <c r="S98" s="718" t="s">
        <v>384</v>
      </c>
      <c r="T98" s="719">
        <v>46022</v>
      </c>
      <c r="U98" s="692">
        <v>16166.666666666666</v>
      </c>
      <c r="V98" s="809"/>
      <c r="W98" s="534">
        <f>'Project Plan'!K48+9</f>
        <v>46058</v>
      </c>
      <c r="X98" s="827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24"/>
      <c r="J99" s="787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840"/>
      <c r="S99" s="718" t="s">
        <v>386</v>
      </c>
      <c r="T99" s="719">
        <v>46022</v>
      </c>
      <c r="U99" s="692">
        <v>16166.666666666666</v>
      </c>
      <c r="V99" s="809"/>
      <c r="W99" s="576">
        <f>'Project Plan'!K48+60</f>
        <v>46109</v>
      </c>
      <c r="X99" s="827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24"/>
      <c r="J100" s="787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809"/>
      <c r="W100" s="576"/>
      <c r="X100" s="827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24"/>
      <c r="J101" s="787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809"/>
      <c r="W101" s="576"/>
      <c r="X101" s="827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25"/>
      <c r="J102" s="788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10"/>
      <c r="W102" s="577"/>
      <c r="X102" s="828"/>
      <c r="Y102" s="479"/>
    </row>
    <row r="103" spans="1:25" ht="13.9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817">
        <f>SUM(G104:G118)</f>
        <v>76945.466666666674</v>
      </c>
      <c r="J104" s="817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29">
        <f>J104-SUM(U104:U118)</f>
        <v>0</v>
      </c>
      <c r="W104" s="586"/>
      <c r="X104" s="820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818"/>
      <c r="J105" s="818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30"/>
      <c r="W105" s="587"/>
      <c r="X105" s="821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818"/>
      <c r="J106" s="818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30"/>
      <c r="W106" s="587"/>
      <c r="X106" s="821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818"/>
      <c r="J107" s="818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30"/>
      <c r="W107" s="587"/>
      <c r="X107" s="821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818"/>
      <c r="J108" s="818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35" t="s">
        <v>371</v>
      </c>
      <c r="S108" s="642" t="s">
        <v>372</v>
      </c>
      <c r="T108" s="698">
        <v>45961</v>
      </c>
      <c r="U108" s="711">
        <v>12824.244444444445</v>
      </c>
      <c r="V108" s="830"/>
      <c r="W108" s="548">
        <f>W92</f>
        <v>45939</v>
      </c>
      <c r="X108" s="821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818"/>
      <c r="J109" s="818"/>
      <c r="K109" s="271"/>
      <c r="L109" s="339">
        <v>10</v>
      </c>
      <c r="M109" s="433" t="s">
        <v>435</v>
      </c>
      <c r="N109" s="340" t="s">
        <v>266</v>
      </c>
      <c r="O109" s="567"/>
      <c r="P109" s="574">
        <v>0.15</v>
      </c>
      <c r="Q109" s="342">
        <f t="shared" ref="Q109:Q115" si="14">$O$108*P109</f>
        <v>13859.353499999999</v>
      </c>
      <c r="R109" s="836"/>
      <c r="S109" s="647" t="s">
        <v>373</v>
      </c>
      <c r="T109" s="698">
        <f t="shared" ref="T109:T112" si="15">T93</f>
        <v>45961</v>
      </c>
      <c r="U109" s="711">
        <v>12824.244444444445</v>
      </c>
      <c r="V109" s="830"/>
      <c r="W109" s="548">
        <f t="shared" ref="W109:W115" si="16">W93</f>
        <v>45939</v>
      </c>
      <c r="X109" s="821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818"/>
      <c r="J110" s="818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836"/>
      <c r="S110" s="642" t="s">
        <v>376</v>
      </c>
      <c r="T110" s="698">
        <f t="shared" si="15"/>
        <v>45991</v>
      </c>
      <c r="U110" s="711">
        <v>17098.992592592593</v>
      </c>
      <c r="V110" s="830"/>
      <c r="W110" s="715">
        <f t="shared" si="16"/>
        <v>45999</v>
      </c>
      <c r="X110" s="821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818"/>
      <c r="J111" s="818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836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30"/>
      <c r="W111" s="715">
        <f t="shared" si="16"/>
        <v>46015</v>
      </c>
      <c r="X111" s="821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818"/>
      <c r="J112" s="818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836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30"/>
      <c r="W112" s="715">
        <f t="shared" si="16"/>
        <v>46015</v>
      </c>
      <c r="X112" s="821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818"/>
      <c r="J113" s="818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836"/>
      <c r="S113" s="720" t="s">
        <v>382</v>
      </c>
      <c r="T113" s="706">
        <v>46022</v>
      </c>
      <c r="U113" s="711">
        <v>8549.4962962962964</v>
      </c>
      <c r="V113" s="830"/>
      <c r="W113" s="548">
        <f t="shared" si="16"/>
        <v>46052</v>
      </c>
      <c r="X113" s="821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818"/>
      <c r="J114" s="818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836"/>
      <c r="S114" s="720" t="s">
        <v>384</v>
      </c>
      <c r="T114" s="706">
        <v>46022</v>
      </c>
      <c r="U114" s="711">
        <v>4274.7481481481482</v>
      </c>
      <c r="V114" s="830"/>
      <c r="W114" s="548">
        <f t="shared" si="16"/>
        <v>46058</v>
      </c>
      <c r="X114" s="821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818"/>
      <c r="J115" s="818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837"/>
      <c r="S115" s="720" t="s">
        <v>386</v>
      </c>
      <c r="T115" s="706">
        <v>46022</v>
      </c>
      <c r="U115" s="711">
        <v>4274.7481481481482</v>
      </c>
      <c r="V115" s="830"/>
      <c r="W115" s="588">
        <f t="shared" si="16"/>
        <v>46109</v>
      </c>
      <c r="X115" s="821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818"/>
      <c r="J116" s="818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30"/>
      <c r="W116" s="588"/>
      <c r="X116" s="821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818"/>
      <c r="J117" s="818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30"/>
      <c r="W117" s="588"/>
      <c r="X117" s="821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819"/>
      <c r="J118" s="819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31"/>
      <c r="W118" s="589"/>
      <c r="X118" s="822"/>
      <c r="Y118" s="479"/>
    </row>
    <row r="119" spans="1:25" ht="13.9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86">
        <f>SUM(G120:G124)</f>
        <v>109300</v>
      </c>
      <c r="J120" s="786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692">
        <v>72043.314500941618</v>
      </c>
      <c r="V120" s="808">
        <f>J120-SUM(U120:U124)</f>
        <v>0</v>
      </c>
      <c r="W120" s="540">
        <v>46066</v>
      </c>
      <c r="X120" s="799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87"/>
      <c r="J121" s="787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809"/>
      <c r="W121" s="690">
        <f>T121</f>
        <v>45991</v>
      </c>
      <c r="X121" s="800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87"/>
      <c r="J122" s="787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809"/>
      <c r="W122" s="575"/>
      <c r="X122" s="800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7"/>
      <c r="J123" s="787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809"/>
      <c r="W123" s="576">
        <f>T123+30</f>
        <v>46111</v>
      </c>
      <c r="X123" s="800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88"/>
      <c r="J124" s="788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10"/>
      <c r="W124" s="577"/>
      <c r="X124" s="801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817">
        <f>SUM(G126:G127)</f>
        <v>13353.69</v>
      </c>
      <c r="J126" s="817">
        <v>0</v>
      </c>
      <c r="K126" s="841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20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819"/>
      <c r="J127" s="819"/>
      <c r="K127" s="842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22"/>
      <c r="Y127" s="479"/>
    </row>
    <row r="128" spans="1:25" ht="14.2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86">
        <f>SUM(G129:G133)</f>
        <v>31300.775778985513</v>
      </c>
      <c r="J129" s="786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808">
        <f>J129-SUM(U129:U134)</f>
        <v>0</v>
      </c>
      <c r="W129" s="582">
        <f>T129+31</f>
        <v>46112</v>
      </c>
      <c r="X129" s="799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7"/>
      <c r="J130" s="787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809"/>
      <c r="W130" s="575"/>
      <c r="X130" s="800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7"/>
      <c r="J131" s="787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809"/>
      <c r="W131" s="575"/>
      <c r="X131" s="800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7"/>
      <c r="J132" s="787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809"/>
      <c r="W132" s="575"/>
      <c r="X132" s="800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7"/>
      <c r="J133" s="787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809"/>
      <c r="W133" s="575"/>
      <c r="X133" s="800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88"/>
      <c r="J134" s="788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10"/>
      <c r="W134" s="577"/>
      <c r="X134" s="801"/>
      <c r="Y134" s="479"/>
    </row>
    <row r="135" spans="1:25" ht="14.2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817">
        <f>SUM(G136:G147)</f>
        <v>6300</v>
      </c>
      <c r="J136" s="817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829">
        <f>J136-SUM(U136:U147)</f>
        <v>-3.0106972481007688E-3</v>
      </c>
      <c r="W136" s="689">
        <v>45940</v>
      </c>
      <c r="X136" s="843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818"/>
      <c r="J137" s="818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830"/>
      <c r="W137" s="689">
        <v>45967</v>
      </c>
      <c r="X137" s="844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818"/>
      <c r="J138" s="818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830"/>
      <c r="W138" s="689">
        <v>45996</v>
      </c>
      <c r="X138" s="844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818"/>
      <c r="J139" s="818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830"/>
      <c r="W139" s="689">
        <v>46030</v>
      </c>
      <c r="X139" s="844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818"/>
      <c r="J140" s="818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109.48</v>
      </c>
      <c r="R140" s="606"/>
      <c r="S140" s="646" t="s">
        <v>456</v>
      </c>
      <c r="T140" s="706">
        <v>46053</v>
      </c>
      <c r="U140" s="711">
        <v>520.69245611270446</v>
      </c>
      <c r="V140" s="830"/>
      <c r="W140" s="689">
        <v>46058</v>
      </c>
      <c r="X140" s="844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818"/>
      <c r="J141" s="818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30"/>
      <c r="W141" s="588">
        <v>46086</v>
      </c>
      <c r="X141" s="844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818"/>
      <c r="J142" s="818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830"/>
      <c r="W142" s="588">
        <v>46121</v>
      </c>
      <c r="X142" s="844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818"/>
      <c r="J143" s="818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830"/>
      <c r="W143" s="588"/>
      <c r="X143" s="844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818"/>
      <c r="J144" s="818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30"/>
      <c r="W144" s="588"/>
      <c r="X144" s="844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818"/>
      <c r="J145" s="818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30"/>
      <c r="W145" s="588"/>
      <c r="X145" s="844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818"/>
      <c r="J146" s="818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30"/>
      <c r="W146" s="588"/>
      <c r="X146" s="844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819"/>
      <c r="J147" s="819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31"/>
      <c r="W147" s="589"/>
      <c r="X147" s="845"/>
      <c r="Y147" s="479"/>
    </row>
    <row r="148" spans="1:25" ht="14.2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86">
        <f>SUM(G149:G162)</f>
        <v>0</v>
      </c>
      <c r="J149" s="786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808">
        <v>0</v>
      </c>
      <c r="W149" s="582"/>
      <c r="X149" s="799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7"/>
      <c r="J150" s="787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809"/>
      <c r="W150" s="575"/>
      <c r="X150" s="800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7"/>
      <c r="J151" s="787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809"/>
      <c r="W151" s="575"/>
      <c r="X151" s="800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7"/>
      <c r="J152" s="787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809"/>
      <c r="W152" s="575"/>
      <c r="X152" s="800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7"/>
      <c r="J153" s="787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809"/>
      <c r="W153" s="575"/>
      <c r="X153" s="800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7"/>
      <c r="J154" s="787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809"/>
      <c r="W154" s="575"/>
      <c r="X154" s="800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7"/>
      <c r="J155" s="787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809"/>
      <c r="W155" s="575"/>
      <c r="X155" s="800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7"/>
      <c r="J156" s="787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809"/>
      <c r="W156" s="575"/>
      <c r="X156" s="800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7"/>
      <c r="J157" s="787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809"/>
      <c r="W157" s="575"/>
      <c r="X157" s="800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7"/>
      <c r="J158" s="787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809"/>
      <c r="W158" s="575"/>
      <c r="X158" s="800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7"/>
      <c r="J159" s="787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809"/>
      <c r="W159" s="575"/>
      <c r="X159" s="800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7"/>
      <c r="J160" s="787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809"/>
      <c r="W160" s="576"/>
      <c r="X160" s="800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7"/>
      <c r="J161" s="787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809"/>
      <c r="W161" s="576"/>
      <c r="X161" s="800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88"/>
      <c r="J162" s="788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10"/>
      <c r="W162" s="577"/>
      <c r="X162" s="801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164190.5275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2791238.9674999998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488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655139.49349999987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8"/>
      <c r="B17" s="194" t="s">
        <v>491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492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25"/>
  <cols>
    <col min="1" max="1" width="39.42578125" style="365" bestFit="1" customWidth="1"/>
    <col min="2" max="2" width="17.140625" style="366" bestFit="1" customWidth="1"/>
    <col min="3" max="3" width="13.140625" style="365" bestFit="1" customWidth="1"/>
    <col min="4" max="4" width="15" style="365" bestFit="1" customWidth="1"/>
    <col min="5" max="6" width="13.140625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5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2578125" defaultRowHeight="14.25"/>
  <cols>
    <col min="1" max="1" width="21.85546875" bestFit="1" customWidth="1"/>
    <col min="2" max="2" width="17.140625" style="406" bestFit="1" customWidth="1"/>
    <col min="3" max="3" width="13.140625" style="406" bestFit="1" customWidth="1"/>
    <col min="4" max="4" width="15" style="406" bestFit="1" customWidth="1"/>
    <col min="5" max="6" width="13.140625" style="406" bestFit="1" customWidth="1"/>
    <col min="7" max="9" width="12" style="406" bestFit="1" customWidth="1"/>
    <col min="10" max="10" width="10.5703125" bestFit="1" customWidth="1"/>
    <col min="11" max="11" width="15" bestFit="1" customWidth="1"/>
    <col min="12" max="12" width="10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" bestFit="1" customWidth="1"/>
    <col min="17" max="18" width="11.5703125" bestFit="1" customWidth="1"/>
    <col min="19" max="19" width="13.42578125" bestFit="1" customWidth="1"/>
  </cols>
  <sheetData>
    <row r="3" spans="1:11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1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</row>
    <row r="5" spans="1:11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499</v>
      </c>
    </row>
    <row r="2" spans="1:4">
      <c r="A2" s="850"/>
      <c r="B2" s="850"/>
      <c r="C2" s="850"/>
      <c r="D2" s="71"/>
    </row>
    <row r="3" spans="1:4">
      <c r="A3" s="849" t="s">
        <v>500</v>
      </c>
      <c r="B3" s="849"/>
      <c r="C3" s="849"/>
      <c r="D3" s="111">
        <v>0.32</v>
      </c>
    </row>
    <row r="4" spans="1:4">
      <c r="A4" s="849" t="s">
        <v>468</v>
      </c>
      <c r="B4" s="849"/>
      <c r="C4" s="849"/>
      <c r="D4" s="111">
        <v>0.5</v>
      </c>
    </row>
    <row r="5" spans="1:4">
      <c r="A5" s="849" t="s">
        <v>479</v>
      </c>
      <c r="B5" s="849"/>
      <c r="C5" s="849"/>
      <c r="D5" s="111">
        <v>0.15</v>
      </c>
    </row>
    <row r="6" spans="1:4">
      <c r="A6" s="849" t="s">
        <v>501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51" t="s">
        <v>502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 ht="13.15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51" t="s">
        <v>522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 ht="13.15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533</v>
      </c>
      <c r="C32" s="103"/>
      <c r="D32" s="103"/>
    </row>
    <row r="33" spans="2:4" ht="13.15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" customWidth="1"/>
    <col min="10" max="10" width="19.5703125" bestFit="1" customWidth="1"/>
  </cols>
  <sheetData>
    <row r="1" spans="2:14">
      <c r="B1" s="853" t="str">
        <f>D15</f>
        <v>1 Bolt Ave</v>
      </c>
      <c r="C1" s="853"/>
      <c r="D1" s="853"/>
      <c r="E1" s="852" t="s">
        <v>535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82BD4C9-7750-43A0-9F40-C2EC90C0B97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2026-02-19T11:29:19Z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