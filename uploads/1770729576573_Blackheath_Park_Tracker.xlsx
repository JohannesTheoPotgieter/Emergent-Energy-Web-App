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7" documentId="13_ncr:1_{FE5F7524-D858-4FC3-BA72-44A20322F279}" xr6:coauthVersionLast="47" xr6:coauthVersionMax="47" xr10:uidLastSave="{B0E30402-2C0D-429C-9E35-8427F31E35D9}"/>
  <bookViews>
    <workbookView xWindow="28680" yWindow="-120" windowWidth="29040" windowHeight="15720" tabRatio="633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651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C24" i="13"/>
  <c r="E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<sst xmlns="http://schemas.openxmlformats.org/spreadsheetml/2006/main" count="935" uniqueCount="543">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</sst>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6037582.4209914161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1385763.9309914159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35682754626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5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5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4.45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716" t="s">
        <v>58</v>
      </c>
      <c r="C2" s="716"/>
      <c r="D2" s="716"/>
      <c r="E2" s="716"/>
      <c r="H2" s="717" t="s">
        <v>59</v>
      </c>
      <c r="I2" s="718"/>
      <c r="J2" s="718"/>
      <c r="K2" s="718"/>
      <c r="L2" s="718"/>
      <c r="M2" s="718"/>
      <c r="N2" s="718"/>
      <c r="O2" s="719"/>
    </row>
    <row r="3" spans="2:15">
      <c r="B3" s="686"/>
      <c r="H3" s="720"/>
      <c r="I3" s="721"/>
      <c r="J3" s="721"/>
      <c r="K3" s="721"/>
      <c r="L3" s="721"/>
      <c r="M3" s="721"/>
      <c r="N3" s="721"/>
      <c r="O3" s="722"/>
    </row>
    <row r="4" spans="2:15">
      <c r="B4" s="687" t="s">
        <v>60</v>
      </c>
      <c r="C4" s="688" t="str">
        <f>'Project Plan'!E2</f>
        <v>Blackheath Park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87" t="s">
        <v>61</v>
      </c>
      <c r="C5" s="688" t="s">
        <v>62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87" t="s">
        <v>63</v>
      </c>
      <c r="C6" s="688" t="s">
        <v>64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87" t="s">
        <v>65</v>
      </c>
      <c r="C7" s="688" t="s">
        <v>66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86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67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5" thickBot="1">
      <c r="B10" s="726" t="s">
        <v>68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89" t="s">
        <v>69</v>
      </c>
      <c r="C11" s="714" t="s">
        <v>70</v>
      </c>
      <c r="D11" s="714"/>
      <c r="E11" s="714"/>
    </row>
    <row r="12" spans="2:15">
      <c r="B12" s="689" t="s">
        <v>71</v>
      </c>
      <c r="C12" s="714" t="s">
        <v>72</v>
      </c>
      <c r="D12" s="714"/>
      <c r="E12" s="714"/>
    </row>
    <row r="13" spans="2:15">
      <c r="B13" s="689" t="s">
        <v>73</v>
      </c>
      <c r="C13" s="714" t="s">
        <v>70</v>
      </c>
      <c r="D13" s="714"/>
      <c r="E13" s="714"/>
    </row>
    <row r="14" spans="2:15">
      <c r="B14" s="689" t="s">
        <v>74</v>
      </c>
      <c r="C14" s="714" t="s">
        <v>72</v>
      </c>
      <c r="D14" s="714"/>
      <c r="E14" s="714"/>
    </row>
    <row r="15" spans="2:15">
      <c r="B15" s="689" t="s">
        <v>75</v>
      </c>
      <c r="C15" s="714" t="s">
        <v>72</v>
      </c>
      <c r="D15" s="714"/>
      <c r="E15" s="714"/>
    </row>
    <row r="16" spans="2:15" ht="15" customHeight="1">
      <c r="B16" s="689" t="s">
        <v>76</v>
      </c>
      <c r="C16" s="714" t="s">
        <v>77</v>
      </c>
      <c r="D16" s="714"/>
      <c r="E16" s="714"/>
    </row>
    <row r="17" spans="2:5">
      <c r="B17" s="686"/>
    </row>
    <row r="18" spans="2:5">
      <c r="B18" s="715" t="s">
        <v>78</v>
      </c>
      <c r="C18" s="715"/>
      <c r="D18" s="715"/>
      <c r="E18" s="715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5.710937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0.28515625" customWidth="1"/>
    <col min="11" max="11" width="75.28515625" customWidth="1"/>
  </cols>
  <sheetData>
    <row r="1" spans="2:15">
      <c r="B1" s="727"/>
      <c r="C1" s="728"/>
      <c r="D1" s="728"/>
      <c r="E1" s="728"/>
      <c r="F1" s="729" t="s">
        <v>86</v>
      </c>
      <c r="G1" s="729"/>
      <c r="H1" s="729"/>
      <c r="I1" s="729"/>
      <c r="J1" s="729"/>
      <c r="K1" s="730"/>
      <c r="L1" s="77"/>
      <c r="M1" s="77"/>
      <c r="N1" s="77"/>
      <c r="O1" s="77"/>
    </row>
    <row r="2" spans="2:15" ht="6.75" customHeight="1"/>
    <row r="3" spans="2:15" ht="43.15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pane="bottomLeft" activeCell="E7" sqref="E7"/>
      <selection activeCell="E7" sqref="E7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710937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26" zoomScaleNormal="100" workbookViewId="0">
      <selection activeCell="N53" sqref="I53:N53"/>
    </sheetView>
  </sheetViews>
  <sheetFormatPr defaultColWidth="8.42578125" defaultRowHeight="13.9"/>
  <cols>
    <col min="1" max="1" width="1.42578125" style="112" customWidth="1"/>
    <col min="2" max="2" width="6.42578125" style="163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0" customWidth="1"/>
    <col min="7" max="7" width="13.5703125" style="64" customWidth="1"/>
    <col min="8" max="8" width="7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5.2851562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46063</v>
      </c>
      <c r="O1" s="396">
        <f ca="1">TODAY()</f>
        <v>46063</v>
      </c>
      <c r="Q1" s="3"/>
    </row>
    <row r="2" spans="2:28">
      <c r="B2" s="168"/>
      <c r="C2" s="169" t="s">
        <v>0</v>
      </c>
      <c r="D2" s="170"/>
      <c r="E2" s="731" t="s">
        <v>129</v>
      </c>
      <c r="F2" s="732"/>
      <c r="G2" s="732"/>
      <c r="H2" s="733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34" t="s">
        <v>132</v>
      </c>
      <c r="F4" s="735"/>
      <c r="G4" s="735"/>
      <c r="H4" s="736"/>
      <c r="Q4" s="3"/>
    </row>
    <row r="5" spans="2:28" s="112" customFormat="1">
      <c r="B5" s="171"/>
      <c r="C5" s="172" t="s">
        <v>133</v>
      </c>
      <c r="D5" s="170"/>
      <c r="E5" s="734" t="s">
        <v>134</v>
      </c>
      <c r="F5" s="735"/>
      <c r="G5" s="735"/>
      <c r="H5" s="736"/>
      <c r="J5" s="113"/>
      <c r="Q5" s="3"/>
    </row>
    <row r="6" spans="2:28">
      <c r="B6" s="176"/>
      <c r="C6" s="177" t="s">
        <v>135</v>
      </c>
      <c r="D6" s="170"/>
      <c r="E6" s="737">
        <v>6355349.9168330701</v>
      </c>
      <c r="F6" s="738"/>
      <c r="G6" s="738"/>
      <c r="H6" s="739"/>
      <c r="M6" s="24"/>
      <c r="N6" s="649" t="s">
        <v>136</v>
      </c>
      <c r="O6" s="650">
        <v>45869</v>
      </c>
    </row>
    <row r="7" spans="2:28" s="112" customFormat="1" ht="14.45">
      <c r="B7" s="159"/>
      <c r="C7" s="703" t="s">
        <v>137</v>
      </c>
      <c r="D7" s="701"/>
      <c r="E7" s="704" t="s">
        <v>54</v>
      </c>
      <c r="F7" s="160"/>
      <c r="G7" s="178"/>
      <c r="J7" s="113"/>
      <c r="M7"/>
      <c r="N7"/>
      <c r="Q7" s="3"/>
    </row>
    <row r="8" spans="2:28" ht="30" customHeight="1">
      <c r="B8" s="743" t="s">
        <v>138</v>
      </c>
      <c r="C8" s="744" t="s">
        <v>139</v>
      </c>
      <c r="D8" s="207"/>
      <c r="E8" s="742" t="s">
        <v>140</v>
      </c>
      <c r="F8" s="229" t="s">
        <v>141</v>
      </c>
      <c r="G8" s="742" t="s">
        <v>142</v>
      </c>
      <c r="H8" s="230"/>
      <c r="I8" s="742" t="s">
        <v>143</v>
      </c>
      <c r="J8" s="229" t="s">
        <v>141</v>
      </c>
      <c r="K8" s="742" t="s">
        <v>144</v>
      </c>
      <c r="M8" s="403" t="s">
        <v>93</v>
      </c>
      <c r="N8" s="676" t="s">
        <v>145</v>
      </c>
      <c r="O8" s="740" t="s">
        <v>146</v>
      </c>
      <c r="Z8" s="112"/>
      <c r="AA8" s="112"/>
      <c r="AB8" s="112"/>
    </row>
    <row r="9" spans="2:28">
      <c r="B9" s="743"/>
      <c r="C9" s="744"/>
      <c r="D9" s="207"/>
      <c r="E9" s="742"/>
      <c r="F9" s="126">
        <f>G42-E19</f>
        <v>85</v>
      </c>
      <c r="G9" s="742"/>
      <c r="H9" s="230"/>
      <c r="I9" s="742"/>
      <c r="J9" s="127">
        <f>K42-I19</f>
        <v>80</v>
      </c>
      <c r="K9" s="742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741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147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148</v>
      </c>
      <c r="C12" s="241" t="s">
        <v>149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150</v>
      </c>
      <c r="C13" s="241" t="s">
        <v>151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152</v>
      </c>
      <c r="C14" s="241" t="s">
        <v>153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154</v>
      </c>
      <c r="C15" s="241" t="s">
        <v>155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156</v>
      </c>
      <c r="C16" s="241" t="s">
        <v>157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158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159</v>
      </c>
      <c r="C19" s="241" t="s">
        <v>160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162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164</v>
      </c>
      <c r="C22" s="241" t="s">
        <v>165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167</v>
      </c>
      <c r="C23" s="241" t="s">
        <v>168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169</v>
      </c>
      <c r="C24" s="241" t="s">
        <v>170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171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172</v>
      </c>
      <c r="C26" s="241" t="s">
        <v>173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174</v>
      </c>
      <c r="C29" s="241" t="s">
        <v>175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174</v>
      </c>
      <c r="C30" s="241" t="s">
        <v>176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177</v>
      </c>
      <c r="C31" s="241" t="s">
        <v>178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179</v>
      </c>
      <c r="C32" s="241" t="s">
        <v>180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181</v>
      </c>
      <c r="C33" s="241" t="s">
        <v>182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183</v>
      </c>
      <c r="C34" s="235" t="s">
        <v>184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185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186</v>
      </c>
      <c r="C37" s="241" t="s">
        <v>187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188</v>
      </c>
      <c r="C38" s="241" t="s">
        <v>189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190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191</v>
      </c>
      <c r="C41" s="235" t="s">
        <v>190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192</v>
      </c>
      <c r="C42" s="235" t="s">
        <v>193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194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195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196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197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198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199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200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201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202</v>
      </c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204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D4" sqref="D4"/>
    </sheetView>
  </sheetViews>
  <sheetFormatPr defaultColWidth="8.42578125" defaultRowHeight="14.45"/>
  <cols>
    <col min="1" max="1" width="5.28515625" style="93" customWidth="1"/>
    <col min="2" max="2" width="5.28515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.7109375" style="129" bestFit="1" customWidth="1"/>
    <col min="9" max="9" width="1.7109375" style="129" customWidth="1"/>
    <col min="10" max="10" width="3.42578125" style="93" customWidth="1"/>
    <col min="11" max="11" width="1.7109375" style="167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7109375" style="129" customWidth="1"/>
    <col min="17" max="17" width="5.28515625" style="129" customWidth="1"/>
    <col min="18" max="18" width="112.28515625" style="129" bestFit="1" customWidth="1"/>
    <col min="19" max="19" width="4.42578125" style="129" customWidth="1"/>
    <col min="20" max="20" width="14.42578125" style="129" customWidth="1"/>
    <col min="21" max="25" width="15.28515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15">
      <c r="B3" s="117"/>
      <c r="D3" s="125" t="s">
        <v>206</v>
      </c>
      <c r="F3" s="125" t="s">
        <v>207</v>
      </c>
      <c r="J3" s="142"/>
      <c r="L3" s="401" t="s">
        <v>208</v>
      </c>
      <c r="N3" s="401" t="s">
        <v>209</v>
      </c>
      <c r="S3" s="142"/>
      <c r="T3" s="684" t="s">
        <v>210</v>
      </c>
      <c r="U3" s="684" t="s">
        <v>211</v>
      </c>
      <c r="V3" s="684" t="s">
        <v>212</v>
      </c>
      <c r="W3" s="684" t="s">
        <v>213</v>
      </c>
      <c r="X3" s="684" t="s">
        <v>214</v>
      </c>
      <c r="Y3" s="684" t="s">
        <v>215</v>
      </c>
    </row>
    <row r="4" spans="1:25" s="93" customFormat="1" ht="13.15">
      <c r="B4" s="344">
        <v>1</v>
      </c>
      <c r="C4" s="345" t="s">
        <v>216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217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218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219</v>
      </c>
      <c r="H5" s="684" t="s">
        <v>220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221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222</v>
      </c>
      <c r="S6" s="142"/>
    </row>
    <row r="7" spans="1:25" s="93" customFormat="1" ht="15" customHeight="1" thickBot="1">
      <c r="B7" s="344">
        <v>4</v>
      </c>
      <c r="C7" s="345" t="s">
        <v>223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15">
      <c r="B10" s="128" t="s">
        <v>224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5">
      <c r="B12" s="132" t="s">
        <v>138</v>
      </c>
      <c r="C12" s="133" t="s">
        <v>225</v>
      </c>
      <c r="D12" s="134"/>
      <c r="E12" s="132" t="s">
        <v>226</v>
      </c>
      <c r="F12" s="132" t="s">
        <v>227</v>
      </c>
      <c r="H12" s="349" t="s">
        <v>228</v>
      </c>
      <c r="J12" s="142"/>
      <c r="L12" s="158" t="s">
        <v>229</v>
      </c>
      <c r="M12" s="135"/>
      <c r="N12" s="158" t="s">
        <v>230</v>
      </c>
      <c r="O12" s="129"/>
      <c r="P12" s="158" t="s">
        <v>231</v>
      </c>
      <c r="R12" s="370" t="s">
        <v>232</v>
      </c>
      <c r="S12" s="142"/>
    </row>
    <row r="13" spans="1:25" s="93" customFormat="1" ht="13.15">
      <c r="B13" s="344">
        <v>1</v>
      </c>
      <c r="C13" s="747" t="s">
        <v>233</v>
      </c>
      <c r="D13" s="748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234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15">
      <c r="B14" s="155">
        <v>2</v>
      </c>
      <c r="C14" s="747" t="s">
        <v>235</v>
      </c>
      <c r="D14" s="748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236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15">
      <c r="B15" s="344">
        <v>3</v>
      </c>
      <c r="C15" s="747" t="s">
        <v>237</v>
      </c>
      <c r="D15" s="748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236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15">
      <c r="B16" s="344">
        <v>4</v>
      </c>
      <c r="C16" s="745" t="s">
        <v>193</v>
      </c>
      <c r="D16" s="746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238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15">
      <c r="B17" s="344">
        <v>5</v>
      </c>
      <c r="C17" s="745" t="s">
        <v>54</v>
      </c>
      <c r="D17" s="746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239</v>
      </c>
      <c r="N17" s="697">
        <v>46055</v>
      </c>
      <c r="O17" s="129"/>
      <c r="P17" s="140">
        <v>46069</v>
      </c>
      <c r="R17" s="371"/>
      <c r="S17" s="142"/>
    </row>
    <row r="18" spans="2:19" s="93" customFormat="1" ht="13.15">
      <c r="B18" s="344">
        <v>6</v>
      </c>
      <c r="C18" s="745" t="s">
        <v>240</v>
      </c>
      <c r="D18" s="746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15">
      <c r="B19" s="344">
        <v>7</v>
      </c>
      <c r="C19" s="747" t="s">
        <v>240</v>
      </c>
      <c r="D19" s="748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241</v>
      </c>
      <c r="C23" s="146" t="s">
        <v>242</v>
      </c>
      <c r="D23" s="146"/>
      <c r="F23" s="147"/>
      <c r="L23" s="116">
        <f>F13*1.15</f>
        <v>2558028.3415253102</v>
      </c>
    </row>
    <row r="24" spans="2:19" s="93" customFormat="1" ht="13.15">
      <c r="C24" s="148" t="s">
        <v>243</v>
      </c>
      <c r="D24" s="149"/>
      <c r="F24" s="150"/>
    </row>
    <row r="25" spans="2:19" s="93" customFormat="1" ht="13.15">
      <c r="C25" s="148" t="s">
        <v>244</v>
      </c>
      <c r="D25" s="149"/>
    </row>
    <row r="26" spans="2:19" s="93" customFormat="1" ht="13.15">
      <c r="C26" s="151" t="s">
        <v>245</v>
      </c>
      <c r="D26" s="152"/>
    </row>
    <row r="27" spans="2:19" s="93" customFormat="1" ht="13.15">
      <c r="C27" s="153" t="s">
        <v>246</v>
      </c>
      <c r="D27" s="149"/>
    </row>
    <row r="28" spans="2:19" s="93" customFormat="1" ht="13.15">
      <c r="B28" s="117"/>
      <c r="C28" s="153" t="s">
        <v>247</v>
      </c>
      <c r="D28" s="149"/>
    </row>
    <row r="29" spans="2:19" s="93" customFormat="1" ht="13.15">
      <c r="B29" s="117"/>
      <c r="C29" s="93" t="s">
        <v>248</v>
      </c>
    </row>
    <row r="30" spans="2:19" s="93" customFormat="1" ht="27.75" customHeight="1">
      <c r="B30" s="117"/>
      <c r="C30" s="154" t="s">
        <v>249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49" t="s">
        <v>153</v>
      </c>
      <c r="C2" s="750"/>
      <c r="D2" s="750"/>
      <c r="E2" s="750"/>
      <c r="F2" s="751"/>
      <c r="G2" s="77"/>
      <c r="H2" s="77"/>
      <c r="I2" s="77"/>
      <c r="J2" s="77"/>
    </row>
    <row r="3" spans="2:10" ht="6.75" customHeight="1" thickTop="1"/>
    <row r="4" spans="2:10">
      <c r="B4" s="72" t="s">
        <v>250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251</v>
      </c>
      <c r="C5" s="76"/>
      <c r="D5" s="76"/>
      <c r="E5" s="76"/>
      <c r="F5" s="71"/>
    </row>
    <row r="6" spans="2:10">
      <c r="B6" s="74" t="s">
        <v>252</v>
      </c>
      <c r="C6" s="76"/>
      <c r="D6" s="76"/>
      <c r="E6" s="76"/>
      <c r="F6" s="71"/>
    </row>
    <row r="7" spans="2:10">
      <c r="B7" s="74" t="s">
        <v>253</v>
      </c>
      <c r="C7" s="76"/>
      <c r="D7" s="76"/>
      <c r="E7" s="76"/>
      <c r="F7" s="71"/>
    </row>
    <row r="8" spans="2:10">
      <c r="B8" s="74" t="s">
        <v>254</v>
      </c>
      <c r="C8" s="76"/>
      <c r="D8" s="76"/>
      <c r="E8" s="76"/>
      <c r="F8" s="71"/>
    </row>
    <row r="9" spans="2:10">
      <c r="B9" s="75" t="s">
        <v>255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9" t="s">
        <v>256</v>
      </c>
      <c r="C16" s="750"/>
      <c r="D16" s="750"/>
      <c r="E16" s="750"/>
      <c r="F16" s="751"/>
    </row>
    <row r="17" spans="2:6" ht="15" thickTop="1"/>
    <row r="18" spans="2:6">
      <c r="B18" s="72" t="s">
        <v>250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257</v>
      </c>
      <c r="C19" s="76"/>
      <c r="D19" s="76"/>
      <c r="E19" s="76"/>
      <c r="F19" s="71"/>
    </row>
    <row r="20" spans="2:6">
      <c r="B20" s="74" t="s">
        <v>258</v>
      </c>
      <c r="C20" s="76"/>
      <c r="D20" s="76"/>
      <c r="E20" s="76"/>
      <c r="F20" s="71"/>
    </row>
    <row r="21" spans="2:6">
      <c r="B21" s="74" t="s">
        <v>259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.9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.9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X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280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5" thickBot="1">
      <c r="A4" s="207"/>
      <c r="B4" s="752"/>
      <c r="C4" s="752"/>
      <c r="D4" s="752"/>
      <c r="E4" s="405"/>
      <c r="F4" s="212" t="s">
        <v>206</v>
      </c>
      <c r="G4" s="207"/>
      <c r="H4" s="212" t="s">
        <v>207</v>
      </c>
      <c r="I4" s="207"/>
      <c r="J4" s="213" t="s">
        <v>281</v>
      </c>
      <c r="K4" s="112"/>
      <c r="L4" s="112"/>
    </row>
    <row r="5" spans="1:12" ht="14.45" thickBot="1">
      <c r="A5" s="207"/>
      <c r="B5" s="753" t="s">
        <v>282</v>
      </c>
      <c r="C5" s="753"/>
      <c r="D5" s="753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138</v>
      </c>
      <c r="C7" s="218"/>
      <c r="D7" s="217" t="s">
        <v>106</v>
      </c>
      <c r="E7" s="218"/>
      <c r="F7" s="219" t="s">
        <v>283</v>
      </c>
      <c r="G7" s="220"/>
      <c r="H7" s="219" t="s">
        <v>284</v>
      </c>
      <c r="I7" s="220"/>
      <c r="J7" s="219" t="s">
        <v>285</v>
      </c>
      <c r="K7" s="164"/>
      <c r="L7" s="115" t="s">
        <v>286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287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K1" zoomScale="70" zoomScaleNormal="70" workbookViewId="0">
      <pane ySplit="4" topLeftCell="J150" activePane="bottomLeft" state="frozen"/>
      <selection pane="bottomLeft" activeCell="O166" sqref="O166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66" hidden="1" customWidth="1"/>
    <col min="7" max="7" width="17.42578125" style="24" hidden="1" customWidth="1"/>
    <col min="8" max="8" width="17.42578125" style="112" hidden="1" customWidth="1"/>
    <col min="9" max="9" width="22.42578125" style="342" hidden="1" customWidth="1"/>
    <col min="10" max="10" width="22.42578125" style="342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6.28515625" style="112" bestFit="1" customWidth="1"/>
    <col min="19" max="19" width="39.42578125" style="112" bestFit="1" customWidth="1"/>
    <col min="20" max="21" width="17.42578125" style="549" customWidth="1"/>
    <col min="22" max="22" width="17.42578125" style="112" customWidth="1"/>
    <col min="23" max="23" width="17.42578125" style="549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805" t="s">
        <v>288</v>
      </c>
      <c r="C2" s="806"/>
      <c r="D2" s="806"/>
      <c r="E2" s="806"/>
      <c r="F2" s="806"/>
      <c r="G2" s="806"/>
      <c r="H2" s="494"/>
      <c r="I2" s="250">
        <f>SUM(I6:I176)</f>
        <v>5466419.9740652163</v>
      </c>
      <c r="J2" s="250">
        <f>SUM(J6:J176)</f>
        <v>6355349.9168330664</v>
      </c>
      <c r="L2" s="807" t="s">
        <v>289</v>
      </c>
      <c r="M2" s="808"/>
      <c r="N2" s="808"/>
      <c r="O2" s="808"/>
      <c r="P2" s="808"/>
      <c r="Q2" s="808"/>
      <c r="R2" s="809" t="s">
        <v>290</v>
      </c>
      <c r="S2" s="810"/>
      <c r="T2" s="810"/>
      <c r="U2" s="810"/>
      <c r="V2" s="810"/>
      <c r="W2" s="811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291</v>
      </c>
      <c r="C4" s="252" t="s">
        <v>292</v>
      </c>
      <c r="D4" s="252" t="s">
        <v>293</v>
      </c>
      <c r="E4" s="252" t="s">
        <v>294</v>
      </c>
      <c r="F4" s="457" t="s">
        <v>295</v>
      </c>
      <c r="G4" s="253" t="s">
        <v>296</v>
      </c>
      <c r="H4" s="364" t="s">
        <v>297</v>
      </c>
      <c r="I4" s="254" t="s">
        <v>298</v>
      </c>
      <c r="J4" s="254" t="str">
        <f>IF(J2-'Revenue Tracking'!D4&gt;=0, "Total Revenue", "ERROR on REV" )</f>
        <v>ERROR on REV</v>
      </c>
      <c r="K4" s="157"/>
      <c r="L4" s="251" t="s">
        <v>291</v>
      </c>
      <c r="M4" s="252" t="s">
        <v>299</v>
      </c>
      <c r="N4" s="252" t="s">
        <v>293</v>
      </c>
      <c r="O4" s="252" t="s">
        <v>294</v>
      </c>
      <c r="P4" s="457" t="s">
        <v>295</v>
      </c>
      <c r="Q4" s="365" t="s">
        <v>300</v>
      </c>
      <c r="R4" s="622" t="s">
        <v>301</v>
      </c>
      <c r="S4" s="623" t="s">
        <v>229</v>
      </c>
      <c r="T4" s="647" t="s">
        <v>230</v>
      </c>
      <c r="U4" s="648" t="s">
        <v>302</v>
      </c>
      <c r="V4" s="365" t="s">
        <v>303</v>
      </c>
      <c r="W4" s="647" t="s">
        <v>304</v>
      </c>
      <c r="X4" s="472" t="s">
        <v>298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305</v>
      </c>
      <c r="D6" s="274" t="s">
        <v>306</v>
      </c>
      <c r="E6" s="275"/>
      <c r="F6" s="429"/>
      <c r="G6" s="383">
        <f>D177</f>
        <v>1702080.56</v>
      </c>
      <c r="H6" s="526">
        <f>'Project Plan'!E37+60</f>
        <v>45898</v>
      </c>
      <c r="I6" s="754">
        <f>SUM(G6:G11)</f>
        <v>1702080.56</v>
      </c>
      <c r="J6" s="754">
        <f>F177</f>
        <v>1979163.4418604653</v>
      </c>
      <c r="K6" s="380"/>
      <c r="L6" s="273">
        <v>1</v>
      </c>
      <c r="M6" s="409" t="s">
        <v>307</v>
      </c>
      <c r="N6" s="274" t="s">
        <v>308</v>
      </c>
      <c r="O6" s="646">
        <v>1356</v>
      </c>
      <c r="P6" s="429">
        <v>1168.2</v>
      </c>
      <c r="Q6" s="383">
        <f>O6*P6</f>
        <v>1584079.2</v>
      </c>
      <c r="R6" s="588" t="s">
        <v>309</v>
      </c>
      <c r="S6" s="625" t="s">
        <v>310</v>
      </c>
      <c r="T6" s="653">
        <v>45838</v>
      </c>
      <c r="U6" s="657">
        <v>1979163.4418604653</v>
      </c>
      <c r="V6" s="766">
        <f>J6-SUM(U6:U11)</f>
        <v>0</v>
      </c>
      <c r="W6" s="526">
        <v>45900</v>
      </c>
      <c r="X6" s="757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311</v>
      </c>
      <c r="E7" s="382"/>
      <c r="F7" s="451"/>
      <c r="G7" s="307"/>
      <c r="H7" s="527"/>
      <c r="I7" s="755"/>
      <c r="J7" s="755"/>
      <c r="K7" s="280"/>
      <c r="L7" s="303">
        <v>1</v>
      </c>
      <c r="M7" s="305" t="s">
        <v>307</v>
      </c>
      <c r="N7" s="381" t="s">
        <v>312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313</v>
      </c>
      <c r="T7" s="696">
        <v>45991</v>
      </c>
      <c r="U7" s="657">
        <v>0</v>
      </c>
      <c r="V7" s="767"/>
      <c r="W7" s="707">
        <v>46037</v>
      </c>
      <c r="X7" s="758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55"/>
      <c r="J8" s="755"/>
      <c r="K8" s="280"/>
      <c r="L8" s="303">
        <v>1</v>
      </c>
      <c r="M8" s="305" t="s">
        <v>307</v>
      </c>
      <c r="N8" s="477" t="s">
        <v>314</v>
      </c>
      <c r="O8" s="552"/>
      <c r="P8" s="436"/>
      <c r="Q8" s="307">
        <v>700</v>
      </c>
      <c r="R8" s="589"/>
      <c r="S8" s="626" t="s">
        <v>313</v>
      </c>
      <c r="T8" s="696">
        <v>45991</v>
      </c>
      <c r="U8" s="657">
        <v>0</v>
      </c>
      <c r="V8" s="767"/>
      <c r="W8" s="707">
        <v>46037</v>
      </c>
      <c r="X8" s="758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55"/>
      <c r="J9" s="755"/>
      <c r="K9" s="280"/>
      <c r="L9" s="303">
        <v>1</v>
      </c>
      <c r="M9" s="305" t="s">
        <v>307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67"/>
      <c r="W9" s="574"/>
      <c r="X9" s="758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55"/>
      <c r="J10" s="755"/>
      <c r="K10" s="280"/>
      <c r="L10" s="303">
        <v>1</v>
      </c>
      <c r="M10" s="305" t="s">
        <v>307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67"/>
      <c r="W10" s="574"/>
      <c r="X10" s="758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56"/>
      <c r="J11" s="756"/>
      <c r="K11" s="281"/>
      <c r="L11" s="308">
        <v>1</v>
      </c>
      <c r="M11" s="411" t="s">
        <v>307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68"/>
      <c r="W11" s="575"/>
      <c r="X11" s="759"/>
      <c r="Y11" s="606" t="s">
        <v>315</v>
      </c>
      <c r="Z11" s="607" t="s">
        <v>316</v>
      </c>
    </row>
    <row r="12" spans="1:76" ht="14.4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317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318</v>
      </c>
      <c r="E13" s="357"/>
      <c r="F13" s="449"/>
      <c r="G13" s="288">
        <f>D178</f>
        <v>420000</v>
      </c>
      <c r="H13" s="531">
        <f>'Project Plan'!E22+60</f>
        <v>45898</v>
      </c>
      <c r="I13" s="776">
        <f>SUM(G13:G19)</f>
        <v>420000</v>
      </c>
      <c r="J13" s="776">
        <f>F178</f>
        <v>488372.09302325582</v>
      </c>
      <c r="K13" s="289"/>
      <c r="L13" s="285">
        <v>2</v>
      </c>
      <c r="M13" s="412" t="s">
        <v>319</v>
      </c>
      <c r="N13" s="311" t="s">
        <v>320</v>
      </c>
      <c r="O13" s="555">
        <v>6</v>
      </c>
      <c r="P13" s="449">
        <v>68870.357999999993</v>
      </c>
      <c r="Q13" s="288">
        <v>413222.15</v>
      </c>
      <c r="R13" s="593" t="s">
        <v>309</v>
      </c>
      <c r="S13" s="630" t="s">
        <v>310</v>
      </c>
      <c r="T13" s="654">
        <f>T6</f>
        <v>45838</v>
      </c>
      <c r="U13" s="658">
        <v>488372.09302325582</v>
      </c>
      <c r="V13" s="799">
        <f>J13-SUM(U13:U19)</f>
        <v>0</v>
      </c>
      <c r="W13" s="531">
        <f>W6</f>
        <v>45900</v>
      </c>
      <c r="X13" s="779">
        <f>SUM(Q13:Q19)</f>
        <v>413222.15</v>
      </c>
      <c r="Y13" s="608" t="s">
        <v>321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77"/>
      <c r="J14" s="777"/>
      <c r="K14" s="293"/>
      <c r="L14" s="290">
        <v>2</v>
      </c>
      <c r="M14" s="418" t="s">
        <v>319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800"/>
      <c r="W14" s="578"/>
      <c r="X14" s="780"/>
      <c r="Y14" s="608" t="s">
        <v>322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77"/>
      <c r="J15" s="777"/>
      <c r="K15" s="293"/>
      <c r="L15" s="290">
        <v>2</v>
      </c>
      <c r="M15" s="418" t="s">
        <v>319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800"/>
      <c r="W15" s="578"/>
      <c r="X15" s="780"/>
      <c r="Y15" s="608" t="s">
        <v>323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77"/>
      <c r="J16" s="777"/>
      <c r="K16" s="293"/>
      <c r="L16" s="290">
        <v>2</v>
      </c>
      <c r="M16" s="418" t="s">
        <v>319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800"/>
      <c r="W16" s="578"/>
      <c r="X16" s="780"/>
      <c r="Y16" s="608" t="s">
        <v>324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77"/>
      <c r="J17" s="777"/>
      <c r="K17" s="293"/>
      <c r="L17" s="290">
        <v>2</v>
      </c>
      <c r="M17" s="418" t="s">
        <v>319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800"/>
      <c r="W17" s="578"/>
      <c r="X17" s="780"/>
      <c r="Y17" s="608" t="s">
        <v>325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77"/>
      <c r="J18" s="777"/>
      <c r="K18" s="293"/>
      <c r="L18" s="290">
        <v>2</v>
      </c>
      <c r="M18" s="418" t="s">
        <v>319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800"/>
      <c r="W18" s="578"/>
      <c r="X18" s="780"/>
      <c r="Y18" s="608" t="s">
        <v>326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78"/>
      <c r="J19" s="778"/>
      <c r="K19" s="298"/>
      <c r="L19" s="387">
        <v>2</v>
      </c>
      <c r="M19" s="413" t="s">
        <v>319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801"/>
      <c r="W19" s="579"/>
      <c r="X19" s="781"/>
      <c r="Y19" s="608" t="s">
        <v>327</v>
      </c>
      <c r="Z19" s="609">
        <v>0</v>
      </c>
    </row>
    <row r="20" spans="1:28" ht="14.4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328</v>
      </c>
      <c r="D21" s="319" t="s">
        <v>329</v>
      </c>
      <c r="E21" s="275"/>
      <c r="F21" s="429"/>
      <c r="G21" s="276">
        <f>D179</f>
        <v>320128</v>
      </c>
      <c r="H21" s="534">
        <f>'Project Plan'!E30+30</f>
        <v>45910</v>
      </c>
      <c r="I21" s="754">
        <f>SUM(G21:G26)</f>
        <v>320128</v>
      </c>
      <c r="J21" s="754">
        <f>F179</f>
        <v>372241.86046511628</v>
      </c>
      <c r="K21" s="277"/>
      <c r="L21" s="273">
        <v>3</v>
      </c>
      <c r="M21" s="414" t="s">
        <v>330</v>
      </c>
      <c r="N21" s="319" t="s">
        <v>331</v>
      </c>
      <c r="O21" s="550"/>
      <c r="P21" s="429"/>
      <c r="Q21" s="276">
        <v>161835</v>
      </c>
      <c r="R21" s="596" t="s">
        <v>332</v>
      </c>
      <c r="S21" s="633" t="s">
        <v>333</v>
      </c>
      <c r="T21" s="663">
        <v>45869</v>
      </c>
      <c r="U21" s="657">
        <v>372241.86046511628</v>
      </c>
      <c r="V21" s="766">
        <f>J21-SUM(U21:U26)</f>
        <v>0</v>
      </c>
      <c r="W21" s="534">
        <v>45899</v>
      </c>
      <c r="X21" s="757">
        <f>SUM(Q21:Q26)</f>
        <v>161835</v>
      </c>
      <c r="Y21" s="608" t="s">
        <v>334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55"/>
      <c r="J22" s="755"/>
      <c r="K22" s="280"/>
      <c r="L22" s="303">
        <v>3</v>
      </c>
      <c r="M22" s="415" t="s">
        <v>330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67"/>
      <c r="W22" s="573"/>
      <c r="X22" s="758"/>
      <c r="Y22" s="608" t="s">
        <v>335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55"/>
      <c r="J23" s="755"/>
      <c r="K23" s="280"/>
      <c r="L23" s="303">
        <v>3</v>
      </c>
      <c r="M23" s="415" t="s">
        <v>330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67"/>
      <c r="W23" s="573"/>
      <c r="X23" s="758"/>
      <c r="Y23" s="608" t="s">
        <v>336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55"/>
      <c r="J24" s="755"/>
      <c r="K24" s="280"/>
      <c r="L24" s="303">
        <v>3</v>
      </c>
      <c r="M24" s="415" t="s">
        <v>330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67"/>
      <c r="W24" s="574"/>
      <c r="X24" s="758"/>
      <c r="Y24" s="613" t="s">
        <v>337</v>
      </c>
      <c r="Z24" s="611">
        <f>Z23/'Project Plan'!$E$3/1000</f>
        <v>2.121794930253623</v>
      </c>
      <c r="AB24" s="114" t="s">
        <v>338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55"/>
      <c r="J25" s="755"/>
      <c r="K25" s="280"/>
      <c r="L25" s="303">
        <v>3</v>
      </c>
      <c r="M25" s="415" t="s">
        <v>330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67"/>
      <c r="W25" s="574"/>
      <c r="X25" s="758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56"/>
      <c r="J26" s="756"/>
      <c r="K26" s="281"/>
      <c r="L26" s="308">
        <v>3</v>
      </c>
      <c r="M26" s="416" t="s">
        <v>330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68"/>
      <c r="W26" s="575"/>
      <c r="X26" s="759"/>
      <c r="Y26" s="614" t="s">
        <v>339</v>
      </c>
      <c r="Z26" s="615" t="s">
        <v>340</v>
      </c>
    </row>
    <row r="27" spans="1:28" ht="14.4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321</v>
      </c>
      <c r="D28" s="286" t="s">
        <v>341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76">
        <f>SUM(G28:G44)</f>
        <v>635424.19999999995</v>
      </c>
      <c r="J28" s="776">
        <f>F180</f>
        <v>738865.34883720928</v>
      </c>
      <c r="K28" s="289"/>
      <c r="L28" s="285">
        <v>4</v>
      </c>
      <c r="M28" s="417" t="s">
        <v>342</v>
      </c>
      <c r="N28" s="286" t="s">
        <v>343</v>
      </c>
      <c r="O28" s="547">
        <v>20000</v>
      </c>
      <c r="P28" s="449">
        <v>13.5</v>
      </c>
      <c r="Q28" s="288">
        <f>O28*P28</f>
        <v>270000</v>
      </c>
      <c r="R28" s="593" t="s">
        <v>309</v>
      </c>
      <c r="S28" s="630" t="s">
        <v>310</v>
      </c>
      <c r="T28" s="654">
        <f>T6</f>
        <v>45838</v>
      </c>
      <c r="U28" s="658">
        <v>371547.09388589539</v>
      </c>
      <c r="V28" s="799">
        <f>J28-SUM(U28:U44)</f>
        <v>1.0556925553828478E-4</v>
      </c>
      <c r="W28" s="531">
        <f>W6</f>
        <v>45900</v>
      </c>
      <c r="X28" s="779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344</v>
      </c>
      <c r="E29" s="386"/>
      <c r="F29" s="445"/>
      <c r="G29" s="642">
        <f>D180-G28</f>
        <v>381324.19999999995</v>
      </c>
      <c r="H29" s="532">
        <f>H28</f>
        <v>45898</v>
      </c>
      <c r="I29" s="777"/>
      <c r="J29" s="777"/>
      <c r="K29" s="293"/>
      <c r="L29" s="290">
        <v>4</v>
      </c>
      <c r="M29" s="418" t="s">
        <v>342</v>
      </c>
      <c r="N29" s="400" t="s">
        <v>345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346</v>
      </c>
      <c r="T29" s="677">
        <v>45930</v>
      </c>
      <c r="U29" s="693">
        <v>0</v>
      </c>
      <c r="V29" s="800"/>
      <c r="W29" s="678">
        <v>45930</v>
      </c>
      <c r="X29" s="780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77"/>
      <c r="J30" s="777"/>
      <c r="K30" s="293"/>
      <c r="L30" s="290">
        <v>4</v>
      </c>
      <c r="M30" s="418" t="s">
        <v>342</v>
      </c>
      <c r="N30" s="400" t="s">
        <v>347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348</v>
      </c>
      <c r="T30" s="677">
        <v>45961</v>
      </c>
      <c r="U30" s="693">
        <v>0</v>
      </c>
      <c r="V30" s="800"/>
      <c r="W30" s="532">
        <v>46003</v>
      </c>
      <c r="X30" s="780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77"/>
      <c r="J31" s="777"/>
      <c r="K31" s="293"/>
      <c r="L31" s="290">
        <v>4</v>
      </c>
      <c r="M31" s="418" t="s">
        <v>342</v>
      </c>
      <c r="N31" s="400" t="s">
        <v>347</v>
      </c>
      <c r="O31" s="556"/>
      <c r="P31" s="445"/>
      <c r="Q31" s="292">
        <v>246400</v>
      </c>
      <c r="R31" s="594"/>
      <c r="S31" s="631" t="s">
        <v>349</v>
      </c>
      <c r="T31" s="677">
        <v>45991</v>
      </c>
      <c r="U31" s="693">
        <v>0</v>
      </c>
      <c r="V31" s="800"/>
      <c r="W31" s="678">
        <v>46031</v>
      </c>
      <c r="X31" s="780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77"/>
      <c r="J32" s="777"/>
      <c r="K32" s="293"/>
      <c r="L32" s="290">
        <v>4</v>
      </c>
      <c r="M32" s="418" t="s">
        <v>342</v>
      </c>
      <c r="N32" s="400" t="s">
        <v>350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351</v>
      </c>
      <c r="T32" s="677">
        <v>45991</v>
      </c>
      <c r="U32" s="693">
        <v>0</v>
      </c>
      <c r="V32" s="800"/>
      <c r="W32" s="678">
        <v>45991</v>
      </c>
      <c r="X32" s="780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77"/>
      <c r="J33" s="777"/>
      <c r="K33" s="293"/>
      <c r="L33" s="290">
        <v>4</v>
      </c>
      <c r="M33" s="418" t="s">
        <v>342</v>
      </c>
      <c r="N33" s="400" t="s">
        <v>352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351</v>
      </c>
      <c r="T33" s="677">
        <v>45991</v>
      </c>
      <c r="U33" s="693">
        <v>0</v>
      </c>
      <c r="V33" s="800"/>
      <c r="W33" s="678">
        <v>45991</v>
      </c>
      <c r="X33" s="780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77"/>
      <c r="J34" s="777"/>
      <c r="K34" s="293"/>
      <c r="L34" s="290">
        <v>4</v>
      </c>
      <c r="M34" s="418" t="s">
        <v>342</v>
      </c>
      <c r="N34" s="400" t="s">
        <v>353</v>
      </c>
      <c r="O34" s="567">
        <f>Z28</f>
        <v>356584.25</v>
      </c>
      <c r="P34" s="568">
        <v>0.1</v>
      </c>
      <c r="Q34" s="292">
        <v>35658.43</v>
      </c>
      <c r="R34" s="802"/>
      <c r="S34" s="631" t="s">
        <v>354</v>
      </c>
      <c r="T34" s="665">
        <v>45869</v>
      </c>
      <c r="U34" s="658">
        <v>42048.26138055211</v>
      </c>
      <c r="V34" s="800"/>
      <c r="W34" s="532">
        <f>W93</f>
        <v>45899</v>
      </c>
      <c r="X34" s="780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77"/>
      <c r="J35" s="777"/>
      <c r="K35" s="293"/>
      <c r="L35" s="290">
        <v>4</v>
      </c>
      <c r="M35" s="418" t="s">
        <v>342</v>
      </c>
      <c r="N35" s="400" t="s">
        <v>158</v>
      </c>
      <c r="O35" s="556"/>
      <c r="P35" s="568">
        <v>0.15</v>
      </c>
      <c r="Q35" s="292">
        <v>53487.64</v>
      </c>
      <c r="R35" s="803"/>
      <c r="S35" s="631" t="s">
        <v>354</v>
      </c>
      <c r="T35" s="665">
        <v>45869</v>
      </c>
      <c r="U35" s="658">
        <v>63072.386174850493</v>
      </c>
      <c r="V35" s="800"/>
      <c r="W35" s="532">
        <f t="shared" ref="W35" si="2">W94</f>
        <v>45939</v>
      </c>
      <c r="X35" s="780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77"/>
      <c r="J36" s="777"/>
      <c r="K36" s="293"/>
      <c r="L36" s="290">
        <v>4</v>
      </c>
      <c r="M36" s="418" t="s">
        <v>342</v>
      </c>
      <c r="N36" s="400" t="s">
        <v>355</v>
      </c>
      <c r="O36" s="556"/>
      <c r="P36" s="568">
        <v>0.2</v>
      </c>
      <c r="Q36" s="292">
        <v>71316.850000000006</v>
      </c>
      <c r="R36" s="803"/>
      <c r="S36" s="631" t="s">
        <v>354</v>
      </c>
      <c r="T36" s="665">
        <v>45869</v>
      </c>
      <c r="U36" s="658">
        <v>84096.510969148891</v>
      </c>
      <c r="V36" s="800"/>
      <c r="W36" s="532">
        <v>45974</v>
      </c>
      <c r="X36" s="780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77"/>
      <c r="J37" s="777"/>
      <c r="K37" s="293"/>
      <c r="L37" s="290">
        <v>4</v>
      </c>
      <c r="M37" s="418" t="s">
        <v>342</v>
      </c>
      <c r="N37" s="400" t="s">
        <v>356</v>
      </c>
      <c r="O37" s="556"/>
      <c r="P37" s="568">
        <v>0.25</v>
      </c>
      <c r="Q37" s="292">
        <v>89146.05</v>
      </c>
      <c r="R37" s="803"/>
      <c r="S37" s="631" t="s">
        <v>354</v>
      </c>
      <c r="T37" s="665">
        <v>45869</v>
      </c>
      <c r="U37" s="658">
        <v>51956.323971491947</v>
      </c>
      <c r="V37" s="800"/>
      <c r="W37" s="678">
        <v>45980</v>
      </c>
      <c r="X37" s="780"/>
      <c r="Y37" s="616" t="s">
        <v>153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77"/>
      <c r="J38" s="777"/>
      <c r="K38" s="293"/>
      <c r="L38" s="290">
        <v>4</v>
      </c>
      <c r="M38" s="418" t="s">
        <v>342</v>
      </c>
      <c r="N38" s="400" t="s">
        <v>357</v>
      </c>
      <c r="O38" s="556"/>
      <c r="P38" s="568">
        <v>0.1</v>
      </c>
      <c r="Q38" s="292">
        <v>35658.43</v>
      </c>
      <c r="R38" s="803"/>
      <c r="S38" s="631" t="s">
        <v>354</v>
      </c>
      <c r="T38" s="665">
        <v>45869</v>
      </c>
      <c r="U38" s="658">
        <v>42048.26138055211</v>
      </c>
      <c r="V38" s="800"/>
      <c r="W38" s="678">
        <v>45989</v>
      </c>
      <c r="X38" s="780"/>
      <c r="Y38" s="616" t="s">
        <v>334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77"/>
      <c r="J39" s="777"/>
      <c r="K39" s="293"/>
      <c r="L39" s="290">
        <v>4</v>
      </c>
      <c r="M39" s="418" t="s">
        <v>342</v>
      </c>
      <c r="N39" s="400" t="s">
        <v>358</v>
      </c>
      <c r="O39" s="556"/>
      <c r="P39" s="568">
        <v>0.1</v>
      </c>
      <c r="Q39" s="292">
        <v>35658.43</v>
      </c>
      <c r="R39" s="803"/>
      <c r="S39" s="631" t="s">
        <v>354</v>
      </c>
      <c r="T39" s="665">
        <v>45869</v>
      </c>
      <c r="U39" s="658">
        <v>42048.26138055211</v>
      </c>
      <c r="V39" s="800"/>
      <c r="W39" s="678">
        <v>45989</v>
      </c>
      <c r="X39" s="780"/>
      <c r="Y39" s="616" t="s">
        <v>334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77"/>
      <c r="J40" s="777"/>
      <c r="K40" s="293"/>
      <c r="L40" s="290">
        <v>4</v>
      </c>
      <c r="M40" s="418" t="s">
        <v>342</v>
      </c>
      <c r="N40" s="400" t="s">
        <v>359</v>
      </c>
      <c r="O40" s="556"/>
      <c r="P40" s="568">
        <v>0.05</v>
      </c>
      <c r="Q40" s="292">
        <v>17829.21</v>
      </c>
      <c r="R40" s="803"/>
      <c r="S40" s="631" t="s">
        <v>354</v>
      </c>
      <c r="T40" s="665">
        <v>45869</v>
      </c>
      <c r="U40" s="658">
        <v>21024.12479429839</v>
      </c>
      <c r="V40" s="800"/>
      <c r="W40" s="532">
        <f>W100</f>
        <v>46003</v>
      </c>
      <c r="X40" s="780"/>
      <c r="Y40" s="616" t="s">
        <v>335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77"/>
      <c r="J41" s="777"/>
      <c r="K41" s="293"/>
      <c r="L41" s="290">
        <v>4</v>
      </c>
      <c r="M41" s="418" t="s">
        <v>342</v>
      </c>
      <c r="N41" s="400" t="s">
        <v>360</v>
      </c>
      <c r="O41" s="699">
        <f>Q41+Q68+Q128</f>
        <v>29121.71</v>
      </c>
      <c r="P41" s="568">
        <v>0.05</v>
      </c>
      <c r="Q41" s="292">
        <v>17829.21</v>
      </c>
      <c r="R41" s="804"/>
      <c r="S41" s="631" t="s">
        <v>354</v>
      </c>
      <c r="T41" s="665">
        <v>45869</v>
      </c>
      <c r="U41" s="658">
        <v>21024.12479429839</v>
      </c>
      <c r="V41" s="800"/>
      <c r="W41" s="578">
        <f>W101</f>
        <v>46085</v>
      </c>
      <c r="X41" s="780"/>
      <c r="Y41" s="619" t="s">
        <v>337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77"/>
      <c r="J42" s="777"/>
      <c r="K42" s="293"/>
      <c r="L42" s="290">
        <v>4</v>
      </c>
      <c r="M42" s="418" t="s">
        <v>342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800"/>
      <c r="W42" s="578"/>
      <c r="X42" s="780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77"/>
      <c r="J43" s="777"/>
      <c r="K43" s="293"/>
      <c r="L43" s="290">
        <v>4</v>
      </c>
      <c r="M43" s="418" t="s">
        <v>342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800"/>
      <c r="W43" s="578"/>
      <c r="X43" s="780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78"/>
      <c r="J44" s="778"/>
      <c r="K44" s="298"/>
      <c r="L44" s="294">
        <v>4</v>
      </c>
      <c r="M44" s="419" t="s">
        <v>342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801"/>
      <c r="W44" s="579"/>
      <c r="X44" s="781"/>
      <c r="Y44" s="474"/>
    </row>
    <row r="45" spans="1:26" ht="14.4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361</v>
      </c>
      <c r="D46" s="319" t="s">
        <v>362</v>
      </c>
      <c r="E46" s="275"/>
      <c r="F46" s="429"/>
      <c r="G46" s="276">
        <f>D182-G47</f>
        <v>34000</v>
      </c>
      <c r="H46" s="534">
        <v>45869</v>
      </c>
      <c r="I46" s="754">
        <f>SUM(G46:G53)</f>
        <v>49000</v>
      </c>
      <c r="J46" s="754">
        <f>F182</f>
        <v>56976.744186046511</v>
      </c>
      <c r="K46" s="277"/>
      <c r="L46" s="273">
        <v>5</v>
      </c>
      <c r="M46" s="414" t="s">
        <v>363</v>
      </c>
      <c r="N46" s="319" t="s">
        <v>364</v>
      </c>
      <c r="O46" s="550"/>
      <c r="P46" s="429"/>
      <c r="Q46" s="276">
        <v>8598.34</v>
      </c>
      <c r="R46" s="596" t="s">
        <v>309</v>
      </c>
      <c r="S46" s="633" t="s">
        <v>310</v>
      </c>
      <c r="T46" s="655">
        <f>T6</f>
        <v>45838</v>
      </c>
      <c r="U46" s="660">
        <v>3373.3923102699632</v>
      </c>
      <c r="V46" s="766">
        <f>J46-SUM(U46:U53)</f>
        <v>2.7633971330942586E-3</v>
      </c>
      <c r="W46" s="534">
        <f>W6</f>
        <v>45900</v>
      </c>
      <c r="X46" s="757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365</v>
      </c>
      <c r="E47" s="443"/>
      <c r="F47" s="444"/>
      <c r="G47" s="307">
        <v>15000</v>
      </c>
      <c r="H47" s="527">
        <f>H46</f>
        <v>45869</v>
      </c>
      <c r="I47" s="755"/>
      <c r="J47" s="755"/>
      <c r="K47" s="280"/>
      <c r="L47" s="278">
        <v>5</v>
      </c>
      <c r="M47" s="420" t="s">
        <v>363</v>
      </c>
      <c r="N47" s="279" t="s">
        <v>366</v>
      </c>
      <c r="O47" s="558"/>
      <c r="P47" s="444"/>
      <c r="Q47" s="307">
        <v>21628</v>
      </c>
      <c r="R47" s="643" t="s">
        <v>367</v>
      </c>
      <c r="S47" s="626" t="s">
        <v>368</v>
      </c>
      <c r="T47" s="655">
        <v>45838</v>
      </c>
      <c r="U47" s="660">
        <v>8485.3272709056364</v>
      </c>
      <c r="V47" s="767"/>
      <c r="W47" s="664">
        <v>45867</v>
      </c>
      <c r="X47" s="758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55"/>
      <c r="J48" s="755"/>
      <c r="K48" s="280"/>
      <c r="L48" s="278">
        <v>5</v>
      </c>
      <c r="M48" s="420" t="s">
        <v>363</v>
      </c>
      <c r="N48" s="305" t="s">
        <v>128</v>
      </c>
      <c r="O48" s="551"/>
      <c r="P48" s="451"/>
      <c r="Q48" s="307">
        <v>11169</v>
      </c>
      <c r="R48" s="589"/>
      <c r="S48" s="626" t="s">
        <v>369</v>
      </c>
      <c r="T48" s="655">
        <v>45869</v>
      </c>
      <c r="U48" s="660">
        <v>44834.550955435981</v>
      </c>
      <c r="V48" s="767"/>
      <c r="W48" s="655">
        <v>45869</v>
      </c>
      <c r="X48" s="758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55"/>
      <c r="J49" s="755"/>
      <c r="K49" s="280"/>
      <c r="L49" s="303">
        <v>5</v>
      </c>
      <c r="M49" s="420" t="s">
        <v>363</v>
      </c>
      <c r="N49" s="305" t="s">
        <v>370</v>
      </c>
      <c r="O49" s="551"/>
      <c r="P49" s="451"/>
      <c r="Q49" s="307">
        <v>206.98</v>
      </c>
      <c r="R49" s="589"/>
      <c r="S49" s="626" t="s">
        <v>371</v>
      </c>
      <c r="T49" s="655">
        <v>45869</v>
      </c>
      <c r="U49" s="660">
        <v>283.47088603779565</v>
      </c>
      <c r="V49" s="767"/>
      <c r="W49" s="527">
        <v>45898</v>
      </c>
      <c r="X49" s="758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55"/>
      <c r="J50" s="755"/>
      <c r="K50" s="280"/>
      <c r="L50" s="303">
        <v>5</v>
      </c>
      <c r="M50" s="420" t="s">
        <v>363</v>
      </c>
      <c r="N50" s="379" t="s">
        <v>372</v>
      </c>
      <c r="O50" s="552"/>
      <c r="P50" s="436"/>
      <c r="Q50" s="378">
        <v>2360</v>
      </c>
      <c r="R50" s="590" t="s">
        <v>373</v>
      </c>
      <c r="S50" s="627" t="s">
        <v>374</v>
      </c>
      <c r="T50" s="666">
        <v>45900</v>
      </c>
      <c r="U50" s="682">
        <v>0</v>
      </c>
      <c r="V50" s="767"/>
      <c r="W50" s="528">
        <v>45930</v>
      </c>
      <c r="X50" s="758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55"/>
      <c r="J51" s="755"/>
      <c r="K51" s="280"/>
      <c r="L51" s="303">
        <v>5</v>
      </c>
      <c r="M51" s="420" t="s">
        <v>363</v>
      </c>
      <c r="N51" s="379" t="s">
        <v>375</v>
      </c>
      <c r="O51" s="552"/>
      <c r="P51" s="436"/>
      <c r="Q51" s="378">
        <v>975</v>
      </c>
      <c r="R51" s="590"/>
      <c r="S51" s="627" t="s">
        <v>376</v>
      </c>
      <c r="T51" s="675">
        <v>45930</v>
      </c>
      <c r="U51" s="683">
        <v>0</v>
      </c>
      <c r="V51" s="767"/>
      <c r="W51" s="692">
        <v>45925</v>
      </c>
      <c r="X51" s="758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55"/>
      <c r="J52" s="755"/>
      <c r="K52" s="280"/>
      <c r="L52" s="375"/>
      <c r="M52" s="420" t="s">
        <v>363</v>
      </c>
      <c r="N52" s="379" t="s">
        <v>377</v>
      </c>
      <c r="O52" s="552"/>
      <c r="P52" s="436"/>
      <c r="Q52" s="378">
        <v>850</v>
      </c>
      <c r="R52" s="590"/>
      <c r="S52" s="627" t="s">
        <v>378</v>
      </c>
      <c r="T52" s="675">
        <v>46022</v>
      </c>
      <c r="U52" s="683"/>
      <c r="V52" s="767"/>
      <c r="W52" s="692">
        <v>46022</v>
      </c>
      <c r="X52" s="758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56"/>
      <c r="J53" s="756"/>
      <c r="K53" s="281"/>
      <c r="L53" s="308">
        <v>5</v>
      </c>
      <c r="M53" s="416" t="s">
        <v>363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68"/>
      <c r="W53" s="575"/>
      <c r="X53" s="759"/>
      <c r="Y53" s="474"/>
    </row>
    <row r="54" spans="1:25" ht="14.4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317</v>
      </c>
      <c r="D55" s="287" t="s">
        <v>379</v>
      </c>
      <c r="E55" s="467"/>
      <c r="F55" s="449"/>
      <c r="G55" s="288">
        <f>D181</f>
        <v>918851.93043478252</v>
      </c>
      <c r="H55" s="531">
        <v>45838</v>
      </c>
      <c r="I55" s="776">
        <f>SUM(G55:G71)</f>
        <v>918851.93043478252</v>
      </c>
      <c r="J55" s="776">
        <f>F181</f>
        <v>1134385.0993022006</v>
      </c>
      <c r="K55" s="289"/>
      <c r="L55" s="285">
        <v>6</v>
      </c>
      <c r="M55" s="423" t="s">
        <v>380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99">
        <f>J55-SUM(U55:U71)</f>
        <v>-2.729443134739995E-3</v>
      </c>
      <c r="W55" s="577"/>
      <c r="X55" s="779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77"/>
      <c r="J56" s="777"/>
      <c r="K56" s="293"/>
      <c r="L56" s="290">
        <v>6</v>
      </c>
      <c r="M56" s="421" t="s">
        <v>380</v>
      </c>
      <c r="N56" s="435" t="s">
        <v>120</v>
      </c>
      <c r="O56" s="556"/>
      <c r="P56" s="445"/>
      <c r="Q56" s="313">
        <v>177868.46</v>
      </c>
      <c r="R56" s="594" t="s">
        <v>381</v>
      </c>
      <c r="S56" s="631" t="s">
        <v>382</v>
      </c>
      <c r="T56" s="665">
        <v>45900</v>
      </c>
      <c r="U56" s="658">
        <v>399377.33147836546</v>
      </c>
      <c r="V56" s="800"/>
      <c r="W56" s="532">
        <v>45930</v>
      </c>
      <c r="X56" s="780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77"/>
      <c r="J57" s="777"/>
      <c r="K57" s="293"/>
      <c r="L57" s="290">
        <v>6</v>
      </c>
      <c r="M57" s="421" t="s">
        <v>380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800"/>
      <c r="W57" s="578"/>
      <c r="X57" s="780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77"/>
      <c r="J58" s="777"/>
      <c r="K58" s="293"/>
      <c r="L58" s="290">
        <v>6</v>
      </c>
      <c r="M58" s="421" t="s">
        <v>380</v>
      </c>
      <c r="N58" s="435" t="s">
        <v>383</v>
      </c>
      <c r="O58" s="567">
        <v>148321.32</v>
      </c>
      <c r="P58" s="651">
        <v>0.5</v>
      </c>
      <c r="Q58" s="313">
        <v>70885.66</v>
      </c>
      <c r="R58" s="802" t="s">
        <v>384</v>
      </c>
      <c r="S58" s="631" t="s">
        <v>385</v>
      </c>
      <c r="T58" s="665">
        <v>45961</v>
      </c>
      <c r="U58" s="693">
        <v>162840.03057415099</v>
      </c>
      <c r="V58" s="800"/>
      <c r="W58" s="532">
        <v>45841</v>
      </c>
      <c r="X58" s="780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77"/>
      <c r="J59" s="777"/>
      <c r="K59" s="293"/>
      <c r="L59" s="290">
        <v>6</v>
      </c>
      <c r="M59" s="421" t="s">
        <v>380</v>
      </c>
      <c r="N59" s="435"/>
      <c r="O59" s="556"/>
      <c r="P59" s="651">
        <v>0.5</v>
      </c>
      <c r="Q59" s="313">
        <v>70885.66</v>
      </c>
      <c r="R59" s="804"/>
      <c r="S59" s="631" t="s">
        <v>386</v>
      </c>
      <c r="T59" s="665">
        <v>45961</v>
      </c>
      <c r="U59" s="693">
        <v>162840.040574151</v>
      </c>
      <c r="V59" s="800"/>
      <c r="W59" s="532">
        <v>45989</v>
      </c>
      <c r="X59" s="780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77"/>
      <c r="J60" s="777"/>
      <c r="K60" s="293"/>
      <c r="L60" s="290">
        <v>6</v>
      </c>
      <c r="M60" s="421" t="s">
        <v>380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800"/>
      <c r="W60" s="578"/>
      <c r="X60" s="780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77"/>
      <c r="J61" s="777"/>
      <c r="K61" s="293"/>
      <c r="L61" s="290">
        <v>6</v>
      </c>
      <c r="M61" s="421" t="s">
        <v>380</v>
      </c>
      <c r="N61" s="400" t="s">
        <v>353</v>
      </c>
      <c r="O61" s="567">
        <f>Z27</f>
        <v>182300</v>
      </c>
      <c r="P61" s="568">
        <v>0.1</v>
      </c>
      <c r="Q61" s="292">
        <f>$O$61*P61</f>
        <v>18230</v>
      </c>
      <c r="R61" s="802"/>
      <c r="S61" s="631" t="s">
        <v>354</v>
      </c>
      <c r="T61" s="665">
        <v>45869</v>
      </c>
      <c r="U61" s="658">
        <v>40932.769940497616</v>
      </c>
      <c r="V61" s="800"/>
      <c r="W61" s="532">
        <f>W93</f>
        <v>45899</v>
      </c>
      <c r="X61" s="780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77"/>
      <c r="J62" s="777"/>
      <c r="K62" s="293"/>
      <c r="L62" s="290">
        <v>6</v>
      </c>
      <c r="M62" s="422" t="s">
        <v>380</v>
      </c>
      <c r="N62" s="400" t="s">
        <v>158</v>
      </c>
      <c r="O62" s="556"/>
      <c r="P62" s="568">
        <v>0.15</v>
      </c>
      <c r="Q62" s="292">
        <f t="shared" ref="Q62:Q68" si="3">$O$61*P62</f>
        <v>27345</v>
      </c>
      <c r="R62" s="803"/>
      <c r="S62" s="631" t="s">
        <v>354</v>
      </c>
      <c r="T62" s="665">
        <v>45869</v>
      </c>
      <c r="U62" s="658">
        <v>61399.154910746416</v>
      </c>
      <c r="V62" s="800"/>
      <c r="W62" s="532">
        <f t="shared" ref="W62" si="4">W94</f>
        <v>45939</v>
      </c>
      <c r="X62" s="780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77"/>
      <c r="J63" s="777"/>
      <c r="K63" s="293"/>
      <c r="L63" s="290">
        <v>6</v>
      </c>
      <c r="M63" s="422" t="s">
        <v>380</v>
      </c>
      <c r="N63" s="400" t="s">
        <v>355</v>
      </c>
      <c r="O63" s="556"/>
      <c r="P63" s="568">
        <v>0.2</v>
      </c>
      <c r="Q63" s="292">
        <f>$O$61*P63</f>
        <v>36460</v>
      </c>
      <c r="R63" s="803"/>
      <c r="S63" s="631" t="s">
        <v>354</v>
      </c>
      <c r="T63" s="665">
        <v>45869</v>
      </c>
      <c r="U63" s="658">
        <v>81865.539880995231</v>
      </c>
      <c r="V63" s="800"/>
      <c r="W63" s="532">
        <v>45974</v>
      </c>
      <c r="X63" s="780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77"/>
      <c r="J64" s="777"/>
      <c r="K64" s="293"/>
      <c r="L64" s="290">
        <v>6</v>
      </c>
      <c r="M64" s="422" t="s">
        <v>380</v>
      </c>
      <c r="N64" s="400" t="s">
        <v>356</v>
      </c>
      <c r="O64" s="556"/>
      <c r="P64" s="568">
        <v>0.25</v>
      </c>
      <c r="Q64" s="292">
        <f>$O$61*P64</f>
        <v>45575</v>
      </c>
      <c r="R64" s="803"/>
      <c r="S64" s="631" t="s">
        <v>354</v>
      </c>
      <c r="T64" s="665">
        <v>45869</v>
      </c>
      <c r="U64" s="658">
        <v>102331.92485124404</v>
      </c>
      <c r="V64" s="800"/>
      <c r="W64" s="678">
        <v>45980</v>
      </c>
      <c r="X64" s="780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77"/>
      <c r="J65" s="777"/>
      <c r="K65" s="293"/>
      <c r="L65" s="290">
        <v>6</v>
      </c>
      <c r="M65" s="422" t="s">
        <v>380</v>
      </c>
      <c r="N65" s="400" t="s">
        <v>357</v>
      </c>
      <c r="O65" s="556"/>
      <c r="P65" s="568">
        <v>0.1</v>
      </c>
      <c r="Q65" s="292">
        <f t="shared" si="3"/>
        <v>18230</v>
      </c>
      <c r="R65" s="803"/>
      <c r="S65" s="631" t="s">
        <v>354</v>
      </c>
      <c r="T65" s="665">
        <v>45869</v>
      </c>
      <c r="U65" s="658">
        <v>40932.769940497616</v>
      </c>
      <c r="V65" s="800"/>
      <c r="W65" s="678">
        <v>45989</v>
      </c>
      <c r="X65" s="780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77"/>
      <c r="J66" s="777"/>
      <c r="K66" s="293"/>
      <c r="L66" s="290">
        <v>6</v>
      </c>
      <c r="M66" s="422" t="s">
        <v>380</v>
      </c>
      <c r="N66" s="400" t="s">
        <v>358</v>
      </c>
      <c r="O66" s="556"/>
      <c r="P66" s="568">
        <v>0.1</v>
      </c>
      <c r="Q66" s="292">
        <f t="shared" si="3"/>
        <v>18230</v>
      </c>
      <c r="R66" s="803"/>
      <c r="S66" s="635" t="s">
        <v>354</v>
      </c>
      <c r="T66" s="665">
        <v>45869</v>
      </c>
      <c r="U66" s="669">
        <v>40932.769940497616</v>
      </c>
      <c r="V66" s="800"/>
      <c r="W66" s="678">
        <v>45989</v>
      </c>
      <c r="X66" s="780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77"/>
      <c r="J67" s="777"/>
      <c r="K67" s="293"/>
      <c r="L67" s="290">
        <v>6</v>
      </c>
      <c r="M67" s="422" t="s">
        <v>380</v>
      </c>
      <c r="N67" s="400" t="s">
        <v>359</v>
      </c>
      <c r="O67" s="556"/>
      <c r="P67" s="568">
        <v>0.05</v>
      </c>
      <c r="Q67" s="292">
        <f t="shared" si="3"/>
        <v>9115</v>
      </c>
      <c r="R67" s="803"/>
      <c r="S67" s="635" t="s">
        <v>354</v>
      </c>
      <c r="T67" s="665">
        <v>45869</v>
      </c>
      <c r="U67" s="669">
        <v>20466.384970248808</v>
      </c>
      <c r="V67" s="800"/>
      <c r="W67" s="532">
        <f>W100</f>
        <v>46003</v>
      </c>
      <c r="X67" s="780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77"/>
      <c r="J68" s="777"/>
      <c r="K68" s="293"/>
      <c r="L68" s="290">
        <v>6</v>
      </c>
      <c r="M68" s="422" t="s">
        <v>380</v>
      </c>
      <c r="N68" s="400" t="s">
        <v>360</v>
      </c>
      <c r="O68" s="556"/>
      <c r="P68" s="568">
        <v>0.05</v>
      </c>
      <c r="Q68" s="292">
        <f t="shared" si="3"/>
        <v>9115</v>
      </c>
      <c r="R68" s="804"/>
      <c r="S68" s="635" t="s">
        <v>354</v>
      </c>
      <c r="T68" s="665">
        <v>45869</v>
      </c>
      <c r="U68" s="669">
        <v>20466.384970248808</v>
      </c>
      <c r="V68" s="800"/>
      <c r="W68" s="578">
        <f>W101</f>
        <v>46085</v>
      </c>
      <c r="X68" s="780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77"/>
      <c r="J69" s="777"/>
      <c r="K69" s="293"/>
      <c r="L69" s="290">
        <v>6</v>
      </c>
      <c r="M69" s="422" t="s">
        <v>380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800"/>
      <c r="W69" s="581"/>
      <c r="X69" s="780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77"/>
      <c r="J70" s="777"/>
      <c r="K70" s="293"/>
      <c r="L70" s="290">
        <v>6</v>
      </c>
      <c r="M70" s="422" t="s">
        <v>380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800"/>
      <c r="W70" s="581"/>
      <c r="X70" s="780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78"/>
      <c r="J71" s="778"/>
      <c r="K71" s="298"/>
      <c r="L71" s="294">
        <v>6</v>
      </c>
      <c r="M71" s="424" t="s">
        <v>380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801"/>
      <c r="W71" s="579"/>
      <c r="X71" s="781"/>
      <c r="Y71" s="474"/>
    </row>
    <row r="72" spans="1:25" ht="14.4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387</v>
      </c>
      <c r="D73" s="373"/>
      <c r="E73" s="454"/>
      <c r="F73" s="460"/>
      <c r="G73" s="374"/>
      <c r="H73" s="538"/>
      <c r="I73" s="754">
        <f>SUM(G73:G80)</f>
        <v>0</v>
      </c>
      <c r="J73" s="754">
        <v>0</v>
      </c>
      <c r="K73" s="277"/>
      <c r="L73" s="372">
        <v>7</v>
      </c>
      <c r="M73" s="301" t="s">
        <v>388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96">
        <f>J73-SUM(U73:U80)</f>
        <v>0</v>
      </c>
      <c r="W73" s="583"/>
      <c r="X73" s="757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55"/>
      <c r="J74" s="755"/>
      <c r="K74" s="280"/>
      <c r="L74" s="375">
        <v>7</v>
      </c>
      <c r="M74" s="376" t="s">
        <v>388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97"/>
      <c r="W74" s="574"/>
      <c r="X74" s="758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55"/>
      <c r="J75" s="755"/>
      <c r="K75" s="280"/>
      <c r="L75" s="375">
        <v>7</v>
      </c>
      <c r="M75" s="376" t="s">
        <v>388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97"/>
      <c r="W75" s="574"/>
      <c r="X75" s="758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55"/>
      <c r="J76" s="755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97"/>
      <c r="W76" s="574"/>
      <c r="X76" s="758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55"/>
      <c r="J77" s="755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97"/>
      <c r="W77" s="574"/>
      <c r="X77" s="758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55"/>
      <c r="J78" s="755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97"/>
      <c r="W78" s="574"/>
      <c r="X78" s="758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55"/>
      <c r="J79" s="755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97"/>
      <c r="W79" s="574"/>
      <c r="X79" s="758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56"/>
      <c r="J80" s="756"/>
      <c r="K80" s="281"/>
      <c r="L80" s="308">
        <v>7</v>
      </c>
      <c r="M80" s="329" t="s">
        <v>388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98"/>
      <c r="W80" s="575"/>
      <c r="X80" s="759"/>
      <c r="Y80" s="474"/>
    </row>
    <row r="81" spans="1:25" ht="14.4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389</v>
      </c>
      <c r="D82" s="325"/>
      <c r="E82" s="455"/>
      <c r="F82" s="408"/>
      <c r="G82" s="326"/>
      <c r="H82" s="531"/>
      <c r="I82" s="776">
        <f>SUM(G82:G90)</f>
        <v>260000</v>
      </c>
      <c r="J82" s="776">
        <f>F184+F185</f>
        <v>293798.44961240311</v>
      </c>
      <c r="K82" s="289"/>
      <c r="L82" s="324">
        <v>8</v>
      </c>
      <c r="M82" s="417" t="s">
        <v>390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93">
        <f>J82-SUM(U82:U90)</f>
        <v>0</v>
      </c>
      <c r="W82" s="577"/>
      <c r="X82" s="779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391</v>
      </c>
      <c r="E83" s="407"/>
      <c r="F83" s="453"/>
      <c r="G83" s="316">
        <v>80000</v>
      </c>
      <c r="H83" s="532">
        <v>45869</v>
      </c>
      <c r="I83" s="777"/>
      <c r="J83" s="777"/>
      <c r="K83" s="293"/>
      <c r="L83" s="314">
        <v>8</v>
      </c>
      <c r="M83" s="425" t="s">
        <v>390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94"/>
      <c r="W83" s="578"/>
      <c r="X83" s="780"/>
      <c r="Y83" s="474"/>
    </row>
    <row r="84" spans="1:25" ht="14.25" customHeight="1">
      <c r="B84" s="314">
        <v>8</v>
      </c>
      <c r="C84" s="315"/>
      <c r="D84" s="327" t="s">
        <v>392</v>
      </c>
      <c r="E84" s="407"/>
      <c r="F84" s="453"/>
      <c r="G84" s="316">
        <v>85000</v>
      </c>
      <c r="H84" s="532">
        <v>45869</v>
      </c>
      <c r="I84" s="777"/>
      <c r="J84" s="777"/>
      <c r="K84" s="293"/>
      <c r="L84" s="314">
        <v>8</v>
      </c>
      <c r="M84" s="425" t="s">
        <v>390</v>
      </c>
      <c r="N84" s="327" t="s">
        <v>391</v>
      </c>
      <c r="O84" s="407"/>
      <c r="P84" s="453"/>
      <c r="Q84" s="316">
        <v>82302</v>
      </c>
      <c r="R84" s="594" t="s">
        <v>393</v>
      </c>
      <c r="S84" s="631" t="s">
        <v>394</v>
      </c>
      <c r="T84" s="665">
        <v>45900</v>
      </c>
      <c r="U84" s="658">
        <v>293798.44961240311</v>
      </c>
      <c r="V84" s="794"/>
      <c r="W84" s="532">
        <v>45899</v>
      </c>
      <c r="X84" s="780"/>
      <c r="Y84" s="474"/>
    </row>
    <row r="85" spans="1:25" ht="14.25" customHeight="1">
      <c r="B85" s="314">
        <v>8</v>
      </c>
      <c r="C85" s="315"/>
      <c r="D85" s="327" t="s">
        <v>395</v>
      </c>
      <c r="E85" s="407"/>
      <c r="F85" s="453"/>
      <c r="G85" s="316">
        <v>95000</v>
      </c>
      <c r="H85" s="532">
        <v>45869</v>
      </c>
      <c r="I85" s="777"/>
      <c r="J85" s="777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94"/>
      <c r="W85" s="578"/>
      <c r="X85" s="780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77"/>
      <c r="J86" s="777"/>
      <c r="K86" s="293"/>
      <c r="L86" s="314">
        <v>8</v>
      </c>
      <c r="M86" s="425" t="s">
        <v>390</v>
      </c>
      <c r="N86" s="327" t="s">
        <v>396</v>
      </c>
      <c r="O86" s="559"/>
      <c r="P86" s="453"/>
      <c r="Q86" s="316">
        <v>10830</v>
      </c>
      <c r="R86" s="594" t="s">
        <v>397</v>
      </c>
      <c r="S86" s="631" t="s">
        <v>398</v>
      </c>
      <c r="T86" s="665">
        <v>45991</v>
      </c>
      <c r="U86" s="500">
        <v>0</v>
      </c>
      <c r="V86" s="794"/>
      <c r="W86" s="678">
        <v>45980</v>
      </c>
      <c r="X86" s="780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77"/>
      <c r="J87" s="777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94"/>
      <c r="W87" s="578"/>
      <c r="X87" s="780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77"/>
      <c r="J88" s="777"/>
      <c r="K88" s="293"/>
      <c r="L88" s="314">
        <v>8</v>
      </c>
      <c r="M88" s="425" t="s">
        <v>390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94"/>
      <c r="W88" s="578"/>
      <c r="X88" s="780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77"/>
      <c r="J89" s="777"/>
      <c r="K89" s="293"/>
      <c r="L89" s="314">
        <v>8</v>
      </c>
      <c r="M89" s="425" t="s">
        <v>390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94"/>
      <c r="W89" s="581"/>
      <c r="X89" s="780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78"/>
      <c r="J90" s="778"/>
      <c r="K90" s="298"/>
      <c r="L90" s="294">
        <v>8</v>
      </c>
      <c r="M90" s="424" t="s">
        <v>390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795"/>
      <c r="W90" s="579"/>
      <c r="X90" s="781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399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400</v>
      </c>
      <c r="D92" s="319" t="s">
        <v>401</v>
      </c>
      <c r="E92" s="306"/>
      <c r="F92" s="429"/>
      <c r="G92" s="621">
        <f>D190</f>
        <v>200080</v>
      </c>
      <c r="H92" s="534">
        <v>45991</v>
      </c>
      <c r="I92" s="782">
        <f>SUM(G92:G104)</f>
        <v>636320</v>
      </c>
      <c r="J92" s="754">
        <f>F190+F191</f>
        <v>707022.22222222225</v>
      </c>
      <c r="K92" s="280"/>
      <c r="L92" s="303">
        <v>9</v>
      </c>
      <c r="M92" s="415" t="s">
        <v>402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66">
        <f>J92-SUM(U92:U104)</f>
        <v>0</v>
      </c>
      <c r="W92" s="580"/>
      <c r="X92" s="785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403</v>
      </c>
      <c r="E93" s="306"/>
      <c r="F93" s="451"/>
      <c r="G93" s="621">
        <f>D191</f>
        <v>436240</v>
      </c>
      <c r="H93" s="527">
        <f>'Project Plan'!E19-7</f>
        <v>45873</v>
      </c>
      <c r="I93" s="783"/>
      <c r="J93" s="755"/>
      <c r="K93" s="280"/>
      <c r="L93" s="303">
        <v>9</v>
      </c>
      <c r="M93" s="415" t="s">
        <v>402</v>
      </c>
      <c r="N93" s="320" t="s">
        <v>353</v>
      </c>
      <c r="O93" s="570">
        <f>Z30+Z29</f>
        <v>840000</v>
      </c>
      <c r="P93" s="571">
        <v>0.1</v>
      </c>
      <c r="Q93" s="307">
        <f>$O$93*P93</f>
        <v>84000</v>
      </c>
      <c r="R93" s="791"/>
      <c r="S93" s="626" t="s">
        <v>354</v>
      </c>
      <c r="T93" s="666">
        <v>45869</v>
      </c>
      <c r="U93" s="657">
        <v>70702.222222222234</v>
      </c>
      <c r="V93" s="767"/>
      <c r="W93" s="527">
        <v>45899</v>
      </c>
      <c r="X93" s="786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83"/>
      <c r="J94" s="755"/>
      <c r="K94" s="280"/>
      <c r="L94" s="375">
        <v>9</v>
      </c>
      <c r="M94" s="493" t="s">
        <v>402</v>
      </c>
      <c r="N94" s="377" t="s">
        <v>158</v>
      </c>
      <c r="O94" s="552"/>
      <c r="P94" s="569">
        <v>0.15</v>
      </c>
      <c r="Q94" s="307">
        <f t="shared" ref="Q94:Q101" si="7">$O$93*P94</f>
        <v>126000</v>
      </c>
      <c r="R94" s="792"/>
      <c r="S94" s="627" t="s">
        <v>354</v>
      </c>
      <c r="T94" s="666">
        <v>45869</v>
      </c>
      <c r="U94" s="657">
        <v>106053.33333333333</v>
      </c>
      <c r="V94" s="767"/>
      <c r="W94" s="528">
        <v>45939</v>
      </c>
      <c r="X94" s="786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83"/>
      <c r="J95" s="755"/>
      <c r="K95" s="280"/>
      <c r="L95" s="375">
        <v>9</v>
      </c>
      <c r="M95" s="493" t="s">
        <v>402</v>
      </c>
      <c r="N95" s="377" t="s">
        <v>355</v>
      </c>
      <c r="O95" s="552"/>
      <c r="P95" s="569">
        <v>0.2</v>
      </c>
      <c r="Q95" s="307">
        <f t="shared" si="7"/>
        <v>168000</v>
      </c>
      <c r="R95" s="792"/>
      <c r="S95" s="627" t="s">
        <v>404</v>
      </c>
      <c r="T95" s="675">
        <v>45991</v>
      </c>
      <c r="U95" s="683">
        <v>141404.44444444447</v>
      </c>
      <c r="V95" s="767"/>
      <c r="W95" s="692">
        <v>45980</v>
      </c>
      <c r="X95" s="786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83"/>
      <c r="J96" s="755"/>
      <c r="K96" s="280"/>
      <c r="L96" s="375">
        <v>9</v>
      </c>
      <c r="M96" s="493" t="s">
        <v>402</v>
      </c>
      <c r="N96" s="377" t="s">
        <v>356</v>
      </c>
      <c r="O96" s="552"/>
      <c r="P96" s="569">
        <v>0.25</v>
      </c>
      <c r="Q96" s="307">
        <v>193200</v>
      </c>
      <c r="R96" s="792"/>
      <c r="S96" s="627" t="s">
        <v>405</v>
      </c>
      <c r="T96" s="675">
        <v>45991</v>
      </c>
      <c r="U96" s="683">
        <v>162615.11111111112</v>
      </c>
      <c r="V96" s="767"/>
      <c r="W96" s="692">
        <v>45980</v>
      </c>
      <c r="X96" s="786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83"/>
      <c r="J97" s="755"/>
      <c r="K97" s="280"/>
      <c r="L97" s="375">
        <v>9</v>
      </c>
      <c r="M97" s="493" t="s">
        <v>402</v>
      </c>
      <c r="N97" s="377" t="s">
        <v>356</v>
      </c>
      <c r="O97" s="552"/>
      <c r="P97" s="569"/>
      <c r="Q97" s="307">
        <f>210000-Q96</f>
        <v>16800</v>
      </c>
      <c r="R97" s="792"/>
      <c r="S97" s="627" t="s">
        <v>405</v>
      </c>
      <c r="T97" s="675">
        <v>45991</v>
      </c>
      <c r="U97" s="683">
        <v>14140.444444444445</v>
      </c>
      <c r="V97" s="767"/>
      <c r="W97" s="692">
        <v>45980</v>
      </c>
      <c r="X97" s="786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83"/>
      <c r="J98" s="755"/>
      <c r="K98" s="280"/>
      <c r="L98" s="375">
        <v>9</v>
      </c>
      <c r="M98" s="493" t="s">
        <v>402</v>
      </c>
      <c r="N98" s="377" t="s">
        <v>357</v>
      </c>
      <c r="O98" s="552"/>
      <c r="P98" s="569">
        <v>0.1</v>
      </c>
      <c r="Q98" s="307">
        <f t="shared" si="7"/>
        <v>84000</v>
      </c>
      <c r="R98" s="792"/>
      <c r="S98" s="627" t="s">
        <v>406</v>
      </c>
      <c r="T98" s="675">
        <v>45991</v>
      </c>
      <c r="U98" s="683">
        <v>70702.222222222234</v>
      </c>
      <c r="V98" s="767"/>
      <c r="W98" s="692">
        <v>45989</v>
      </c>
      <c r="X98" s="786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83"/>
      <c r="J99" s="755"/>
      <c r="K99" s="280"/>
      <c r="L99" s="375">
        <v>9</v>
      </c>
      <c r="M99" s="493" t="s">
        <v>402</v>
      </c>
      <c r="N99" s="377" t="s">
        <v>358</v>
      </c>
      <c r="O99" s="552"/>
      <c r="P99" s="569">
        <v>0.1</v>
      </c>
      <c r="Q99" s="307">
        <f t="shared" si="7"/>
        <v>84000</v>
      </c>
      <c r="R99" s="792"/>
      <c r="S99" s="627" t="s">
        <v>407</v>
      </c>
      <c r="T99" s="675">
        <v>45991</v>
      </c>
      <c r="U99" s="683">
        <v>70702.222222222234</v>
      </c>
      <c r="V99" s="767"/>
      <c r="W99" s="692">
        <v>45989</v>
      </c>
      <c r="X99" s="786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83"/>
      <c r="J100" s="755"/>
      <c r="K100" s="280"/>
      <c r="L100" s="375">
        <v>9</v>
      </c>
      <c r="M100" s="493" t="s">
        <v>402</v>
      </c>
      <c r="N100" s="377" t="s">
        <v>359</v>
      </c>
      <c r="O100" s="552"/>
      <c r="P100" s="569">
        <v>0.05</v>
      </c>
      <c r="Q100" s="307">
        <f t="shared" si="7"/>
        <v>42000</v>
      </c>
      <c r="R100" s="792"/>
      <c r="S100" s="627" t="s">
        <v>408</v>
      </c>
      <c r="T100" s="666">
        <v>46022</v>
      </c>
      <c r="U100" s="683">
        <v>35351.111111111117</v>
      </c>
      <c r="V100" s="767"/>
      <c r="W100" s="528">
        <v>46003</v>
      </c>
      <c r="X100" s="786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83"/>
      <c r="J101" s="755"/>
      <c r="K101" s="280"/>
      <c r="L101" s="375">
        <v>9</v>
      </c>
      <c r="M101" s="493" t="s">
        <v>402</v>
      </c>
      <c r="N101" s="377" t="s">
        <v>360</v>
      </c>
      <c r="O101" s="552"/>
      <c r="P101" s="569">
        <v>0.05</v>
      </c>
      <c r="Q101" s="307">
        <f t="shared" si="7"/>
        <v>42000</v>
      </c>
      <c r="R101" s="773"/>
      <c r="S101" s="627" t="s">
        <v>409</v>
      </c>
      <c r="T101" s="675">
        <v>46053</v>
      </c>
      <c r="U101" s="683">
        <v>35351.111111111117</v>
      </c>
      <c r="V101" s="767"/>
      <c r="W101" s="574">
        <f>'Project Plan'!K52+30</f>
        <v>46085</v>
      </c>
      <c r="X101" s="786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83"/>
      <c r="J102" s="755"/>
      <c r="K102" s="280"/>
      <c r="L102" s="375">
        <v>9</v>
      </c>
      <c r="M102" s="493" t="s">
        <v>402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1:U104" si="8">(Q102/$X$92*$J$92)</f>
        <v>0</v>
      </c>
      <c r="V102" s="767"/>
      <c r="W102" s="574"/>
      <c r="X102" s="786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83"/>
      <c r="J103" s="755"/>
      <c r="K103" s="280"/>
      <c r="L103" s="375">
        <v>9</v>
      </c>
      <c r="M103" s="493" t="s">
        <v>402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67"/>
      <c r="W103" s="574"/>
      <c r="X103" s="786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84"/>
      <c r="J104" s="756"/>
      <c r="K104" s="356"/>
      <c r="L104" s="308">
        <v>9</v>
      </c>
      <c r="M104" s="433" t="s">
        <v>402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68"/>
      <c r="W104" s="575"/>
      <c r="X104" s="787"/>
      <c r="Y104" s="474"/>
    </row>
    <row r="105" spans="1:25" ht="14.4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410</v>
      </c>
      <c r="D106" s="262" t="s">
        <v>324</v>
      </c>
      <c r="E106" s="263"/>
      <c r="F106" s="462"/>
      <c r="G106" s="330">
        <f>D194</f>
        <v>8500</v>
      </c>
      <c r="H106" s="541">
        <v>45845</v>
      </c>
      <c r="I106" s="760">
        <f>SUM(G106:G131)</f>
        <v>156487.33333333331</v>
      </c>
      <c r="J106" s="760">
        <f>F194+F197+F198+F196</f>
        <v>173874.8148148148</v>
      </c>
      <c r="K106" s="331"/>
      <c r="L106" s="261">
        <v>10</v>
      </c>
      <c r="M106" s="426" t="s">
        <v>411</v>
      </c>
      <c r="N106" s="262" t="s">
        <v>324</v>
      </c>
      <c r="O106" s="564"/>
      <c r="P106" s="462"/>
      <c r="Q106" s="330">
        <v>12508.5</v>
      </c>
      <c r="R106" s="602"/>
      <c r="S106" s="638" t="s">
        <v>412</v>
      </c>
      <c r="T106" s="656">
        <v>45900</v>
      </c>
      <c r="U106" s="483">
        <v>29556.176989436244</v>
      </c>
      <c r="V106" s="769">
        <f>J106-SUM(U106:U131)</f>
        <v>-3.1713130883872509E-3</v>
      </c>
      <c r="W106" s="541">
        <v>45918</v>
      </c>
      <c r="X106" s="763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325</v>
      </c>
      <c r="E107" s="334"/>
      <c r="F107" s="463"/>
      <c r="G107" s="335">
        <f>D198</f>
        <v>42120.666666666664</v>
      </c>
      <c r="H107" s="542">
        <f>H106</f>
        <v>45845</v>
      </c>
      <c r="I107" s="761"/>
      <c r="J107" s="761"/>
      <c r="K107" s="264"/>
      <c r="L107" s="332">
        <v>10</v>
      </c>
      <c r="M107" s="427" t="s">
        <v>411</v>
      </c>
      <c r="N107" s="333" t="s">
        <v>413</v>
      </c>
      <c r="O107" s="565"/>
      <c r="P107" s="463"/>
      <c r="Q107" s="335">
        <v>6400</v>
      </c>
      <c r="R107" s="603"/>
      <c r="S107" s="639" t="s">
        <v>414</v>
      </c>
      <c r="T107" s="652">
        <v>45838</v>
      </c>
      <c r="U107" s="661">
        <v>9662.1722094874967</v>
      </c>
      <c r="V107" s="770"/>
      <c r="W107" s="542">
        <v>45835</v>
      </c>
      <c r="X107" s="764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61"/>
      <c r="J108" s="761"/>
      <c r="K108" s="264"/>
      <c r="L108" s="332">
        <v>10</v>
      </c>
      <c r="M108" s="427" t="s">
        <v>411</v>
      </c>
      <c r="N108" s="333"/>
      <c r="O108" s="565"/>
      <c r="P108" s="463"/>
      <c r="Q108" s="335">
        <v>100</v>
      </c>
      <c r="R108" s="603"/>
      <c r="S108" s="639" t="s">
        <v>415</v>
      </c>
      <c r="T108" s="652">
        <v>45838</v>
      </c>
      <c r="U108" s="662">
        <v>150.97144077324214</v>
      </c>
      <c r="V108" s="770"/>
      <c r="W108" s="542">
        <v>45876</v>
      </c>
      <c r="X108" s="764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61"/>
      <c r="J109" s="761"/>
      <c r="K109" s="264"/>
      <c r="L109" s="332">
        <v>10</v>
      </c>
      <c r="M109" s="427" t="s">
        <v>411</v>
      </c>
      <c r="N109" s="333"/>
      <c r="O109" s="565"/>
      <c r="P109" s="463"/>
      <c r="Q109" s="335">
        <v>5200</v>
      </c>
      <c r="R109" s="603"/>
      <c r="S109" s="639" t="s">
        <v>416</v>
      </c>
      <c r="T109" s="652">
        <v>45869</v>
      </c>
      <c r="U109" s="662">
        <v>12243.047217833948</v>
      </c>
      <c r="V109" s="770"/>
      <c r="W109" s="542">
        <v>45890</v>
      </c>
      <c r="X109" s="764"/>
      <c r="Y109" s="474"/>
    </row>
    <row r="110" spans="1:25" ht="14.25" customHeight="1">
      <c r="B110" s="332">
        <v>10</v>
      </c>
      <c r="C110" s="333"/>
      <c r="D110" s="333" t="s">
        <v>417</v>
      </c>
      <c r="E110" s="334"/>
      <c r="F110" s="463"/>
      <c r="G110" s="335">
        <f>D197</f>
        <v>96000</v>
      </c>
      <c r="H110" s="542">
        <v>45838</v>
      </c>
      <c r="I110" s="761"/>
      <c r="J110" s="761"/>
      <c r="K110" s="264"/>
      <c r="L110" s="332">
        <v>10</v>
      </c>
      <c r="M110" s="427" t="s">
        <v>411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70"/>
      <c r="W110" s="585"/>
      <c r="X110" s="764"/>
      <c r="Y110" s="474"/>
    </row>
    <row r="111" spans="1:25" ht="14.25" customHeight="1">
      <c r="B111" s="332">
        <v>10</v>
      </c>
      <c r="C111" s="333"/>
      <c r="D111" s="333" t="s">
        <v>326</v>
      </c>
      <c r="E111" s="334"/>
      <c r="F111" s="463"/>
      <c r="G111" s="335">
        <f>D196</f>
        <v>9866.6666666666661</v>
      </c>
      <c r="H111" s="542">
        <f>H110</f>
        <v>45838</v>
      </c>
      <c r="I111" s="761"/>
      <c r="J111" s="761"/>
      <c r="K111" s="264"/>
      <c r="L111" s="332">
        <v>10</v>
      </c>
      <c r="M111" s="427" t="s">
        <v>411</v>
      </c>
      <c r="N111" s="333" t="s">
        <v>418</v>
      </c>
      <c r="O111" s="565"/>
      <c r="P111" s="463"/>
      <c r="Q111" s="335">
        <v>620</v>
      </c>
      <c r="R111" s="603"/>
      <c r="S111" s="639" t="s">
        <v>419</v>
      </c>
      <c r="T111" s="652">
        <v>45869</v>
      </c>
      <c r="U111" s="662">
        <v>1459.7479375109704</v>
      </c>
      <c r="V111" s="770"/>
      <c r="W111" s="542">
        <v>45901</v>
      </c>
      <c r="X111" s="764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61"/>
      <c r="J112" s="761"/>
      <c r="K112" s="264"/>
      <c r="L112" s="332">
        <v>10</v>
      </c>
      <c r="M112" s="427" t="s">
        <v>411</v>
      </c>
      <c r="N112" s="333" t="s">
        <v>420</v>
      </c>
      <c r="O112" s="565"/>
      <c r="P112" s="463"/>
      <c r="Q112" s="335">
        <v>600</v>
      </c>
      <c r="R112" s="604"/>
      <c r="S112" s="640" t="s">
        <v>421</v>
      </c>
      <c r="T112" s="667">
        <v>45900</v>
      </c>
      <c r="U112" s="662">
        <v>11750.695154371066</v>
      </c>
      <c r="V112" s="770"/>
      <c r="W112" s="681">
        <f>T112+30</f>
        <v>45930</v>
      </c>
      <c r="X112" s="764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61"/>
      <c r="J113" s="761"/>
      <c r="K113" s="264"/>
      <c r="L113" s="332">
        <v>10</v>
      </c>
      <c r="M113" s="427" t="s">
        <v>411</v>
      </c>
      <c r="N113" s="333"/>
      <c r="O113" s="565"/>
      <c r="P113" s="463"/>
      <c r="Q113" s="335">
        <v>-5400</v>
      </c>
      <c r="R113" s="604"/>
      <c r="S113" s="640" t="s">
        <v>422</v>
      </c>
      <c r="T113" s="667">
        <v>45900</v>
      </c>
      <c r="U113" s="662">
        <v>0</v>
      </c>
      <c r="V113" s="770"/>
      <c r="W113" s="543">
        <f>T113+30</f>
        <v>45930</v>
      </c>
      <c r="X113" s="764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61"/>
      <c r="J114" s="761"/>
      <c r="K114" s="264"/>
      <c r="L114" s="332">
        <v>10</v>
      </c>
      <c r="M114" s="427" t="s">
        <v>411</v>
      </c>
      <c r="N114" s="333"/>
      <c r="O114" s="565"/>
      <c r="P114" s="463"/>
      <c r="Q114" s="335">
        <v>-6400</v>
      </c>
      <c r="R114" s="604"/>
      <c r="S114" s="640" t="s">
        <v>423</v>
      </c>
      <c r="T114" s="667">
        <v>45900</v>
      </c>
      <c r="U114" s="662">
        <v>0</v>
      </c>
      <c r="V114" s="770"/>
      <c r="W114" s="543">
        <f>T114+30</f>
        <v>45930</v>
      </c>
      <c r="X114" s="764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61"/>
      <c r="J115" s="761"/>
      <c r="K115" s="264"/>
      <c r="L115" s="332">
        <v>10</v>
      </c>
      <c r="M115" s="427" t="s">
        <v>411</v>
      </c>
      <c r="N115" s="333"/>
      <c r="O115" s="565"/>
      <c r="P115" s="463"/>
      <c r="Q115" s="335">
        <v>6600</v>
      </c>
      <c r="R115" s="604"/>
      <c r="S115" s="640" t="s">
        <v>424</v>
      </c>
      <c r="T115" s="667">
        <v>45900</v>
      </c>
      <c r="U115" s="662">
        <v>1642.3651543710653</v>
      </c>
      <c r="V115" s="770"/>
      <c r="W115" s="543">
        <f>T115+30</f>
        <v>45930</v>
      </c>
      <c r="X115" s="764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61"/>
      <c r="J116" s="761"/>
      <c r="K116" s="264"/>
      <c r="L116" s="332">
        <v>10</v>
      </c>
      <c r="M116" s="427" t="s">
        <v>411</v>
      </c>
      <c r="N116" s="333" t="s">
        <v>425</v>
      </c>
      <c r="O116" s="565"/>
      <c r="P116" s="463"/>
      <c r="Q116" s="335">
        <v>620</v>
      </c>
      <c r="R116" s="604"/>
      <c r="S116" s="640" t="s">
        <v>426</v>
      </c>
      <c r="T116" s="667">
        <v>45930</v>
      </c>
      <c r="U116" s="680">
        <v>1589.3856332623213</v>
      </c>
      <c r="V116" s="770"/>
      <c r="W116" s="667">
        <v>45930</v>
      </c>
      <c r="X116" s="764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61"/>
      <c r="J117" s="761"/>
      <c r="K117" s="264"/>
      <c r="L117" s="332">
        <v>10</v>
      </c>
      <c r="M117" s="427" t="s">
        <v>411</v>
      </c>
      <c r="N117" s="333" t="s">
        <v>427</v>
      </c>
      <c r="O117" s="565"/>
      <c r="P117" s="463"/>
      <c r="Q117" s="335">
        <v>600</v>
      </c>
      <c r="R117" s="604"/>
      <c r="S117" s="640" t="s">
        <v>428</v>
      </c>
      <c r="T117" s="679">
        <v>45961</v>
      </c>
      <c r="U117" s="680">
        <v>1694.8657342850747</v>
      </c>
      <c r="V117" s="770"/>
      <c r="W117" s="543">
        <v>45974</v>
      </c>
      <c r="X117" s="764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61"/>
      <c r="J118" s="761"/>
      <c r="K118" s="264"/>
      <c r="L118" s="332">
        <v>10</v>
      </c>
      <c r="M118" s="427" t="s">
        <v>411</v>
      </c>
      <c r="N118" s="333" t="s">
        <v>429</v>
      </c>
      <c r="O118" s="565"/>
      <c r="P118" s="463"/>
      <c r="Q118" s="335">
        <v>620</v>
      </c>
      <c r="R118" s="604"/>
      <c r="S118" s="640" t="s">
        <v>430</v>
      </c>
      <c r="T118" s="667">
        <v>45991</v>
      </c>
      <c r="U118" s="680">
        <v>1589.8700654371692</v>
      </c>
      <c r="V118" s="770"/>
      <c r="W118" s="543">
        <v>45995</v>
      </c>
      <c r="X118" s="764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61"/>
      <c r="J119" s="761"/>
      <c r="K119" s="264"/>
      <c r="L119" s="332">
        <v>10</v>
      </c>
      <c r="M119" s="427" t="s">
        <v>411</v>
      </c>
      <c r="N119" s="333" t="s">
        <v>431</v>
      </c>
      <c r="O119" s="565"/>
      <c r="P119" s="463"/>
      <c r="Q119" s="335">
        <v>620</v>
      </c>
      <c r="R119" s="604"/>
      <c r="S119" s="640" t="s">
        <v>432</v>
      </c>
      <c r="T119" s="667">
        <v>46022</v>
      </c>
      <c r="U119" s="680">
        <v>0</v>
      </c>
      <c r="V119" s="770"/>
      <c r="W119" s="681">
        <v>46031</v>
      </c>
      <c r="X119" s="764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61"/>
      <c r="J120" s="761"/>
      <c r="K120" s="264"/>
      <c r="L120" s="332">
        <v>10</v>
      </c>
      <c r="M120" s="427" t="s">
        <v>411</v>
      </c>
      <c r="N120" s="333" t="s">
        <v>433</v>
      </c>
      <c r="O120" s="565"/>
      <c r="P120" s="463"/>
      <c r="Q120" s="335">
        <v>560</v>
      </c>
      <c r="R120" s="604"/>
      <c r="S120" s="640" t="s">
        <v>434</v>
      </c>
      <c r="T120" s="667">
        <v>46053</v>
      </c>
      <c r="U120" s="680">
        <v>0</v>
      </c>
      <c r="V120" s="770"/>
      <c r="W120" s="543">
        <v>46058</v>
      </c>
      <c r="X120" s="764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61"/>
      <c r="J121" s="761"/>
      <c r="K121" s="264"/>
      <c r="L121" s="332">
        <v>10</v>
      </c>
      <c r="M121" s="427" t="s">
        <v>411</v>
      </c>
      <c r="N121" s="333" t="s">
        <v>353</v>
      </c>
      <c r="O121" s="620">
        <f>SUM(Z31:Z37)</f>
        <v>43550</v>
      </c>
      <c r="P121" s="572">
        <v>0.1</v>
      </c>
      <c r="Q121" s="335">
        <v>4355</v>
      </c>
      <c r="R121" s="788"/>
      <c r="S121" s="645" t="s">
        <v>354</v>
      </c>
      <c r="T121" s="667">
        <v>45869</v>
      </c>
      <c r="U121" s="662">
        <v>10253.55204493593</v>
      </c>
      <c r="V121" s="770"/>
      <c r="W121" s="543">
        <f>W93</f>
        <v>45899</v>
      </c>
      <c r="X121" s="764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61"/>
      <c r="J122" s="761"/>
      <c r="K122" s="264"/>
      <c r="L122" s="332">
        <v>10</v>
      </c>
      <c r="M122" s="427" t="s">
        <v>411</v>
      </c>
      <c r="N122" s="333" t="s">
        <v>158</v>
      </c>
      <c r="O122" s="565"/>
      <c r="P122" s="572">
        <v>0.15</v>
      </c>
      <c r="Q122" s="335">
        <v>6532.5</v>
      </c>
      <c r="R122" s="789"/>
      <c r="S122" s="645" t="s">
        <v>354</v>
      </c>
      <c r="T122" s="667">
        <v>45869</v>
      </c>
      <c r="U122" s="662">
        <v>15380.328067403894</v>
      </c>
      <c r="V122" s="770"/>
      <c r="W122" s="543">
        <f>W94</f>
        <v>45939</v>
      </c>
      <c r="X122" s="764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61"/>
      <c r="J123" s="761"/>
      <c r="K123" s="264"/>
      <c r="L123" s="332">
        <v>10</v>
      </c>
      <c r="M123" s="427" t="s">
        <v>411</v>
      </c>
      <c r="N123" s="333" t="s">
        <v>355</v>
      </c>
      <c r="O123" s="565"/>
      <c r="P123" s="572">
        <v>0.2</v>
      </c>
      <c r="Q123" s="335">
        <f t="shared" ref="Q123:Q126" si="9">$O$121*P123</f>
        <v>8710</v>
      </c>
      <c r="R123" s="789"/>
      <c r="S123" s="640" t="s">
        <v>354</v>
      </c>
      <c r="T123" s="667">
        <v>45869</v>
      </c>
      <c r="U123" s="662">
        <v>20507.10408987186</v>
      </c>
      <c r="V123" s="770"/>
      <c r="W123" s="543">
        <v>45974</v>
      </c>
      <c r="X123" s="764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61"/>
      <c r="J124" s="761"/>
      <c r="K124" s="264"/>
      <c r="L124" s="332">
        <v>10</v>
      </c>
      <c r="M124" s="427" t="s">
        <v>411</v>
      </c>
      <c r="N124" s="333" t="s">
        <v>356</v>
      </c>
      <c r="O124" s="565"/>
      <c r="P124" s="572">
        <v>0.25</v>
      </c>
      <c r="Q124" s="335">
        <v>10887.5</v>
      </c>
      <c r="R124" s="789"/>
      <c r="S124" s="640" t="s">
        <v>354</v>
      </c>
      <c r="T124" s="667">
        <v>45869</v>
      </c>
      <c r="U124" s="662">
        <v>25633.880112339826</v>
      </c>
      <c r="V124" s="770"/>
      <c r="W124" s="681">
        <v>45980</v>
      </c>
      <c r="X124" s="764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61"/>
      <c r="J125" s="761"/>
      <c r="K125" s="264"/>
      <c r="L125" s="332">
        <v>10</v>
      </c>
      <c r="M125" s="427" t="s">
        <v>411</v>
      </c>
      <c r="N125" s="333" t="s">
        <v>357</v>
      </c>
      <c r="O125" s="565"/>
      <c r="P125" s="572">
        <v>0.1</v>
      </c>
      <c r="Q125" s="335">
        <f t="shared" si="9"/>
        <v>4355</v>
      </c>
      <c r="R125" s="789"/>
      <c r="S125" s="640" t="s">
        <v>354</v>
      </c>
      <c r="T125" s="667">
        <v>45869</v>
      </c>
      <c r="U125" s="662">
        <v>10253.55204493593</v>
      </c>
      <c r="V125" s="770"/>
      <c r="W125" s="681">
        <v>45989</v>
      </c>
      <c r="X125" s="764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61"/>
      <c r="J126" s="761"/>
      <c r="K126" s="264"/>
      <c r="L126" s="332">
        <v>10</v>
      </c>
      <c r="M126" s="427" t="s">
        <v>411</v>
      </c>
      <c r="N126" s="333" t="s">
        <v>358</v>
      </c>
      <c r="O126" s="565"/>
      <c r="P126" s="572">
        <v>0.1</v>
      </c>
      <c r="Q126" s="335">
        <f t="shared" si="9"/>
        <v>4355</v>
      </c>
      <c r="R126" s="789"/>
      <c r="S126" s="640" t="s">
        <v>354</v>
      </c>
      <c r="T126" s="667">
        <v>45869</v>
      </c>
      <c r="U126" s="662">
        <v>10253.55204493593</v>
      </c>
      <c r="V126" s="770"/>
      <c r="W126" s="681">
        <v>45989</v>
      </c>
      <c r="X126" s="764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61"/>
      <c r="J127" s="761"/>
      <c r="K127" s="264"/>
      <c r="L127" s="332">
        <v>10</v>
      </c>
      <c r="M127" s="427" t="s">
        <v>411</v>
      </c>
      <c r="N127" s="333" t="s">
        <v>359</v>
      </c>
      <c r="O127" s="565"/>
      <c r="P127" s="572">
        <v>0.05</v>
      </c>
      <c r="Q127" s="335">
        <v>2177.5</v>
      </c>
      <c r="R127" s="789"/>
      <c r="S127" s="640" t="s">
        <v>354</v>
      </c>
      <c r="T127" s="667">
        <v>45869</v>
      </c>
      <c r="U127" s="662">
        <v>5126.776022467965</v>
      </c>
      <c r="V127" s="770"/>
      <c r="W127" s="543">
        <f>W100</f>
        <v>46003</v>
      </c>
      <c r="X127" s="764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61"/>
      <c r="J128" s="761"/>
      <c r="K128" s="264"/>
      <c r="L128" s="332">
        <v>10</v>
      </c>
      <c r="M128" s="427" t="s">
        <v>411</v>
      </c>
      <c r="N128" s="333" t="s">
        <v>360</v>
      </c>
      <c r="O128" s="565"/>
      <c r="P128" s="572">
        <v>0.05</v>
      </c>
      <c r="Q128" s="335">
        <v>2177.5</v>
      </c>
      <c r="R128" s="790"/>
      <c r="S128" s="640" t="s">
        <v>354</v>
      </c>
      <c r="T128" s="667">
        <v>45869</v>
      </c>
      <c r="U128" s="662">
        <v>5126.776022467965</v>
      </c>
      <c r="V128" s="770"/>
      <c r="W128" s="586">
        <f>W101</f>
        <v>46085</v>
      </c>
      <c r="X128" s="764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61"/>
      <c r="J129" s="761"/>
      <c r="K129" s="264"/>
      <c r="L129" s="332">
        <v>10</v>
      </c>
      <c r="M129" s="427" t="s">
        <v>411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70"/>
      <c r="W129" s="586"/>
      <c r="X129" s="764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61"/>
      <c r="J130" s="761"/>
      <c r="K130" s="264"/>
      <c r="L130" s="332">
        <v>10</v>
      </c>
      <c r="M130" s="427" t="s">
        <v>411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70"/>
      <c r="W130" s="586"/>
      <c r="X130" s="764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62"/>
      <c r="J131" s="762"/>
      <c r="K131" s="267"/>
      <c r="L131" s="265">
        <v>10</v>
      </c>
      <c r="M131" s="428" t="s">
        <v>411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71"/>
      <c r="W131" s="587"/>
      <c r="X131" s="765"/>
      <c r="Y131" s="474"/>
    </row>
    <row r="132" spans="1:25" ht="14.4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435</v>
      </c>
      <c r="D133" s="343" t="s">
        <v>436</v>
      </c>
      <c r="E133" s="275"/>
      <c r="F133" s="429"/>
      <c r="G133" s="276">
        <v>20008.000000000004</v>
      </c>
      <c r="H133" s="534">
        <v>45894</v>
      </c>
      <c r="I133" s="754">
        <f>SUM(G133:G137)</f>
        <v>290024</v>
      </c>
      <c r="J133" s="754">
        <f>F193</f>
        <v>322248.88888888888</v>
      </c>
      <c r="K133" s="277"/>
      <c r="L133" s="273">
        <v>11</v>
      </c>
      <c r="M133" s="343" t="s">
        <v>437</v>
      </c>
      <c r="N133" s="343" t="s">
        <v>436</v>
      </c>
      <c r="O133" s="275"/>
      <c r="P133" s="429"/>
      <c r="Q133" s="276">
        <v>12250</v>
      </c>
      <c r="R133" s="596"/>
      <c r="S133" s="633" t="s">
        <v>438</v>
      </c>
      <c r="T133" s="663">
        <v>46022</v>
      </c>
      <c r="U133" s="706">
        <v>282226.89760821866</v>
      </c>
      <c r="V133" s="766">
        <f>J133-SUM(U133:U137)</f>
        <v>1.4194645336829126E-3</v>
      </c>
      <c r="W133" s="534">
        <v>46045</v>
      </c>
      <c r="X133" s="757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439</v>
      </c>
      <c r="E134" s="306"/>
      <c r="F134" s="451"/>
      <c r="G134" s="307">
        <v>40016.000000000007</v>
      </c>
      <c r="H134" s="534">
        <v>45894</v>
      </c>
      <c r="I134" s="755"/>
      <c r="J134" s="755"/>
      <c r="K134" s="280"/>
      <c r="L134" s="303">
        <v>11</v>
      </c>
      <c r="M134" s="381" t="s">
        <v>437</v>
      </c>
      <c r="N134" s="305" t="s">
        <v>439</v>
      </c>
      <c r="O134" s="306"/>
      <c r="P134" s="451"/>
      <c r="Q134" s="307">
        <v>7500</v>
      </c>
      <c r="R134" s="643"/>
      <c r="S134" s="626" t="s">
        <v>440</v>
      </c>
      <c r="T134" s="655">
        <v>45869</v>
      </c>
      <c r="U134" s="657">
        <v>13028.368947251152</v>
      </c>
      <c r="V134" s="767"/>
      <c r="W134" s="527">
        <v>45899</v>
      </c>
      <c r="X134" s="758"/>
      <c r="Y134" s="474"/>
    </row>
    <row r="135" spans="1:25" ht="15" customHeight="1">
      <c r="B135" s="303">
        <v>11</v>
      </c>
      <c r="C135" s="305"/>
      <c r="D135" s="305" t="s">
        <v>441</v>
      </c>
      <c r="E135" s="306"/>
      <c r="F135" s="451"/>
      <c r="G135" s="307">
        <v>150000</v>
      </c>
      <c r="H135" s="534">
        <v>45894</v>
      </c>
      <c r="I135" s="755"/>
      <c r="J135" s="755"/>
      <c r="K135" s="280"/>
      <c r="L135" s="303">
        <v>11</v>
      </c>
      <c r="M135" s="381" t="s">
        <v>437</v>
      </c>
      <c r="N135" s="305" t="s">
        <v>441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67"/>
      <c r="W135" s="573"/>
      <c r="X135" s="758"/>
      <c r="Y135" s="474"/>
    </row>
    <row r="136" spans="1:25" ht="15" customHeight="1">
      <c r="B136" s="303">
        <v>11</v>
      </c>
      <c r="C136" s="379"/>
      <c r="D136" s="379" t="s">
        <v>442</v>
      </c>
      <c r="E136" s="398"/>
      <c r="F136" s="436"/>
      <c r="G136" s="378">
        <v>80000</v>
      </c>
      <c r="H136" s="528">
        <v>45894</v>
      </c>
      <c r="I136" s="755"/>
      <c r="J136" s="755"/>
      <c r="K136" s="280"/>
      <c r="L136" s="303">
        <v>11</v>
      </c>
      <c r="M136" s="381" t="s">
        <v>437</v>
      </c>
      <c r="N136" s="379" t="s">
        <v>443</v>
      </c>
      <c r="O136" s="398"/>
      <c r="P136" s="436"/>
      <c r="Q136" s="378">
        <v>8100</v>
      </c>
      <c r="R136" s="590" t="s">
        <v>444</v>
      </c>
      <c r="S136" s="627" t="s">
        <v>445</v>
      </c>
      <c r="T136" s="666">
        <v>45991</v>
      </c>
      <c r="U136" s="683">
        <v>26993.620913954528</v>
      </c>
      <c r="V136" s="767"/>
      <c r="W136" s="692">
        <v>46009</v>
      </c>
      <c r="X136" s="758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56"/>
      <c r="J137" s="756"/>
      <c r="K137" s="281"/>
      <c r="L137" s="308">
        <v>11</v>
      </c>
      <c r="M137" s="411" t="s">
        <v>437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68"/>
      <c r="W137" s="575"/>
      <c r="X137" s="759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446</v>
      </c>
      <c r="D139" s="262"/>
      <c r="E139" s="263"/>
      <c r="F139" s="462"/>
      <c r="G139" s="330"/>
      <c r="H139" s="541"/>
      <c r="I139" s="760">
        <f>SUM(G139:G140)</f>
        <v>0</v>
      </c>
      <c r="J139" s="760">
        <v>0</v>
      </c>
      <c r="K139" s="774"/>
      <c r="L139" s="261">
        <v>12</v>
      </c>
      <c r="M139" s="262" t="s">
        <v>447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63">
        <f>SUM(Q139:Q140)</f>
        <v>0</v>
      </c>
      <c r="Y139" s="474"/>
    </row>
    <row r="140" spans="1:25" ht="15" customHeight="1" thickBot="1">
      <c r="B140" s="265">
        <v>12</v>
      </c>
      <c r="C140" s="336" t="s">
        <v>446</v>
      </c>
      <c r="D140" s="336"/>
      <c r="E140" s="337"/>
      <c r="F140" s="464"/>
      <c r="G140" s="266"/>
      <c r="H140" s="544"/>
      <c r="I140" s="762"/>
      <c r="J140" s="762"/>
      <c r="K140" s="775"/>
      <c r="L140" s="265">
        <v>12</v>
      </c>
      <c r="M140" s="336" t="s">
        <v>447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65"/>
      <c r="Y140" s="474"/>
    </row>
    <row r="141" spans="1:25" ht="14.4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448</v>
      </c>
      <c r="D142" s="343" t="s">
        <v>449</v>
      </c>
      <c r="E142" s="275"/>
      <c r="F142" s="429"/>
      <c r="G142" s="276">
        <v>64103.950297101452</v>
      </c>
      <c r="H142" s="534">
        <v>45900</v>
      </c>
      <c r="I142" s="754">
        <f>SUM(G142:G146)</f>
        <v>64103.950297101452</v>
      </c>
      <c r="J142" s="754">
        <f>F192</f>
        <v>72845.39806488801</v>
      </c>
      <c r="K142" s="277"/>
      <c r="L142" s="273">
        <v>13</v>
      </c>
      <c r="M142" s="343" t="s">
        <v>450</v>
      </c>
      <c r="N142" s="343" t="s">
        <v>451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66">
        <f>J142-SUM(U142:U147)</f>
        <v>0</v>
      </c>
      <c r="W142" s="580">
        <v>46112</v>
      </c>
      <c r="X142" s="757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55"/>
      <c r="J143" s="755"/>
      <c r="K143" s="280"/>
      <c r="L143" s="303">
        <v>13</v>
      </c>
      <c r="M143" s="381" t="s">
        <v>450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67"/>
      <c r="W143" s="573"/>
      <c r="X143" s="758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55"/>
      <c r="J144" s="755"/>
      <c r="K144" s="280"/>
      <c r="L144" s="303">
        <v>13</v>
      </c>
      <c r="M144" s="381" t="s">
        <v>450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67"/>
      <c r="W144" s="573"/>
      <c r="X144" s="758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55"/>
      <c r="J145" s="755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67"/>
      <c r="W145" s="573"/>
      <c r="X145" s="758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55"/>
      <c r="J146" s="755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67"/>
      <c r="W146" s="573"/>
      <c r="X146" s="758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56"/>
      <c r="J147" s="756"/>
      <c r="K147" s="356"/>
      <c r="L147" s="308">
        <v>13</v>
      </c>
      <c r="M147" s="411" t="s">
        <v>450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68"/>
      <c r="W147" s="575"/>
      <c r="X147" s="759"/>
      <c r="Y147" s="474"/>
    </row>
    <row r="148" spans="1:25" ht="14.4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760">
        <f>SUM(G149:G160)</f>
        <v>14000</v>
      </c>
      <c r="J149" s="760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769">
        <f>J149-SUM(U149:U160)</f>
        <v>-4.9699080955178943E-3</v>
      </c>
      <c r="W149" s="543">
        <v>45842</v>
      </c>
      <c r="X149" s="763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61"/>
      <c r="J150" s="761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770"/>
      <c r="W150" s="543">
        <v>45876</v>
      </c>
      <c r="X150" s="764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61"/>
      <c r="J151" s="761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770"/>
      <c r="W151" s="543">
        <v>45905</v>
      </c>
      <c r="X151" s="764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61"/>
      <c r="J152" s="761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770"/>
      <c r="W152" s="681">
        <v>45930</v>
      </c>
      <c r="X152" s="764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61"/>
      <c r="J153" s="761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770"/>
      <c r="W153" s="681">
        <v>45961</v>
      </c>
      <c r="X153" s="764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61"/>
      <c r="J154" s="761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770"/>
      <c r="W154" s="681">
        <v>45996</v>
      </c>
      <c r="X154" s="764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61"/>
      <c r="J155" s="761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770"/>
      <c r="W155" s="681">
        <v>46031</v>
      </c>
      <c r="X155" s="764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61"/>
      <c r="J156" s="761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770"/>
      <c r="W156" s="681">
        <f>T156+7</f>
        <v>46060</v>
      </c>
      <c r="X156" s="764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61"/>
      <c r="J157" s="761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70"/>
      <c r="W157" s="586">
        <f t="shared" ref="W157:W158" si="12">T157+7</f>
        <v>46088</v>
      </c>
      <c r="X157" s="764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61"/>
      <c r="J158" s="761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70"/>
      <c r="W158" s="586">
        <f t="shared" si="12"/>
        <v>46119</v>
      </c>
      <c r="X158" s="764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61"/>
      <c r="J159" s="761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70"/>
      <c r="W159" s="586"/>
      <c r="X159" s="764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62"/>
      <c r="J160" s="762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71"/>
      <c r="W160" s="587"/>
      <c r="X160" s="765"/>
      <c r="Y160" s="474"/>
    </row>
    <row r="161" spans="1:25" ht="14.4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 ht="14.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54">
        <f>SUM(G162:G175)</f>
        <v>0</v>
      </c>
      <c r="J162" s="754">
        <f>F200</f>
        <v>0</v>
      </c>
      <c r="K162" s="277"/>
      <c r="L162" s="825">
        <v>15</v>
      </c>
      <c r="M162" s="826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772" t="s">
        <v>460</v>
      </c>
      <c r="S162" s="633" t="s">
        <v>461</v>
      </c>
      <c r="T162" s="663">
        <v>46022</v>
      </c>
      <c r="U162" s="503"/>
      <c r="V162" s="766">
        <v>0</v>
      </c>
      <c r="W162" s="700">
        <v>46015</v>
      </c>
      <c r="X162" s="757">
        <f>SUM(Q162:Q175)</f>
        <v>37134.080000000002</v>
      </c>
      <c r="Y162" s="474"/>
    </row>
    <row r="163" spans="1:25" ht="14.25">
      <c r="B163" s="278"/>
      <c r="C163" s="279"/>
      <c r="D163" s="279"/>
      <c r="E163" s="443"/>
      <c r="F163" s="444"/>
      <c r="G163" s="820"/>
      <c r="H163" s="534"/>
      <c r="I163" s="755"/>
      <c r="J163" s="755"/>
      <c r="K163" s="821"/>
      <c r="L163" s="278">
        <v>15</v>
      </c>
      <c r="M163" s="822" t="s">
        <v>458</v>
      </c>
      <c r="N163" s="279"/>
      <c r="O163" s="823"/>
      <c r="P163" s="444"/>
      <c r="Q163" s="820">
        <f>-Q162</f>
        <v>-15292.07</v>
      </c>
      <c r="R163" s="792"/>
      <c r="S163" s="633" t="s">
        <v>461</v>
      </c>
      <c r="T163" s="663">
        <v>46053</v>
      </c>
      <c r="U163" s="503"/>
      <c r="V163" s="767"/>
      <c r="W163" s="700">
        <v>46053</v>
      </c>
      <c r="X163" s="824"/>
      <c r="Y163" s="474"/>
    </row>
    <row r="164" spans="1:25" ht="14.25">
      <c r="B164" s="278"/>
      <c r="C164" s="279"/>
      <c r="D164" s="279"/>
      <c r="E164" s="443"/>
      <c r="F164" s="444"/>
      <c r="G164" s="820"/>
      <c r="H164" s="534"/>
      <c r="I164" s="755"/>
      <c r="J164" s="755"/>
      <c r="K164" s="821"/>
      <c r="L164" s="278">
        <v>15</v>
      </c>
      <c r="M164" s="822" t="s">
        <v>458</v>
      </c>
      <c r="N164" s="279"/>
      <c r="O164" s="823"/>
      <c r="P164" s="444"/>
      <c r="Q164" s="820">
        <v>15292.04</v>
      </c>
      <c r="R164" s="792"/>
      <c r="S164" s="633" t="s">
        <v>461</v>
      </c>
      <c r="T164" s="663">
        <v>46053</v>
      </c>
      <c r="U164" s="503"/>
      <c r="V164" s="767"/>
      <c r="W164" s="700">
        <v>46053</v>
      </c>
      <c r="X164" s="824"/>
      <c r="Y164" s="474"/>
    </row>
    <row r="165" spans="1:25" ht="14.25">
      <c r="B165" s="303">
        <v>15</v>
      </c>
      <c r="C165" s="305"/>
      <c r="D165" s="305"/>
      <c r="E165" s="306"/>
      <c r="F165" s="451"/>
      <c r="G165" s="307"/>
      <c r="H165" s="527"/>
      <c r="I165" s="755"/>
      <c r="J165" s="755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773"/>
      <c r="S165" s="633" t="s">
        <v>463</v>
      </c>
      <c r="T165" s="655">
        <v>46053</v>
      </c>
      <c r="U165" s="495"/>
      <c r="V165" s="767"/>
      <c r="W165" s="527">
        <v>46051</v>
      </c>
      <c r="X165" s="758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55"/>
      <c r="J166" s="755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67"/>
      <c r="W166" s="527">
        <v>46052</v>
      </c>
      <c r="X166" s="758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55"/>
      <c r="J167" s="755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67"/>
      <c r="W167" s="573"/>
      <c r="X167" s="758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55"/>
      <c r="J168" s="755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67"/>
      <c r="W168" s="573"/>
      <c r="X168" s="758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55"/>
      <c r="J169" s="755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67"/>
      <c r="W169" s="573"/>
      <c r="X169" s="758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55"/>
      <c r="J170" s="755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67"/>
      <c r="W170" s="573"/>
      <c r="X170" s="758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55"/>
      <c r="J171" s="755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67"/>
      <c r="W171" s="573"/>
      <c r="X171" s="758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55"/>
      <c r="J172" s="755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67"/>
      <c r="W172" s="573"/>
      <c r="X172" s="758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55"/>
      <c r="J173" s="755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67"/>
      <c r="W173" s="573"/>
      <c r="X173" s="758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55"/>
      <c r="J174" s="755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67"/>
      <c r="W174" s="573"/>
      <c r="X174" s="758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56"/>
      <c r="J175" s="756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68"/>
      <c r="W175" s="575"/>
      <c r="X175" s="759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344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379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362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B2:G2"/>
    <mergeCell ref="L2:Q2"/>
    <mergeCell ref="I6:I11"/>
    <mergeCell ref="J6:J11"/>
    <mergeCell ref="R2:W2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I139:I140"/>
    <mergeCell ref="J139:J140"/>
    <mergeCell ref="K139:K140"/>
    <mergeCell ref="X139:X140"/>
    <mergeCell ref="V133:V137"/>
    <mergeCell ref="I133:I137"/>
    <mergeCell ref="J133:J137"/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bottomRight" activeCell="BH11" sqref="BH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2" t="s">
        <v>488</v>
      </c>
      <c r="B2" s="184"/>
      <c r="C2" s="185" t="s">
        <v>303</v>
      </c>
      <c r="D2" s="185" t="s">
        <v>303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3"/>
      <c r="B3" s="187" t="s">
        <v>216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3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3"/>
      <c r="B5" s="191" t="s">
        <v>218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3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3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2" t="s">
        <v>207</v>
      </c>
      <c r="B8" s="184"/>
      <c r="C8" s="185" t="s">
        <v>303</v>
      </c>
      <c r="D8" s="185" t="s">
        <v>303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3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0</v>
      </c>
      <c r="BJ9" s="203">
        <f>SUMIFS('Revenue Tracking'!$F$13:$F$19, 'Revenue Tracking'!$P$13:$P$19, "&gt;="&amp;BJ1,'Revenue Tracking'!$P$13:$P$19, "&lt;"&amp;BK1)</f>
        <v>317767.49584165355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3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6037582.4209914161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3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3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3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3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1385763.9309914159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303</v>
      </c>
      <c r="D16" s="185" t="s">
        <v>303</v>
      </c>
    </row>
    <row r="17" spans="1:1359">
      <c r="A17" s="814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4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28515625" defaultRowHeight="14.45"/>
  <cols>
    <col min="1" max="1" width="39.42578125" style="358" bestFit="1" customWidth="1"/>
    <col min="2" max="2" width="17.28515625" style="359" bestFit="1" customWidth="1"/>
    <col min="3" max="4" width="14.85546875" style="358" bestFit="1" customWidth="1"/>
    <col min="5" max="5" width="13.28515625" style="358" bestFit="1" customWidth="1"/>
    <col min="6" max="6" width="10.85546875" style="358" bestFit="1" customWidth="1"/>
    <col min="7" max="9" width="13.28515625" style="358" bestFit="1" customWidth="1"/>
    <col min="10" max="10" width="4.85546875" style="358" bestFit="1" customWidth="1"/>
    <col min="11" max="12" width="12" style="358" bestFit="1" customWidth="1"/>
    <col min="13" max="13" width="10.85546875" style="358" bestFit="1" customWidth="1"/>
    <col min="14" max="14" width="14.85546875" style="358" bestFit="1" customWidth="1"/>
    <col min="15" max="15" width="14.7109375" style="358" bestFit="1" customWidth="1"/>
    <col min="16" max="18" width="11.42578125" style="358" bestFit="1" customWidth="1"/>
    <col min="19" max="19" width="13.5703125" style="358" bestFit="1" customWidth="1"/>
    <col min="20" max="16384" width="12.285156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307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319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330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342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K21" sqref="K21"/>
    </sheetView>
  </sheetViews>
  <sheetFormatPr defaultColWidth="8.42578125" defaultRowHeight="14.45"/>
  <cols>
    <col min="1" max="1" width="21.7109375" bestFit="1" customWidth="1"/>
    <col min="2" max="2" width="17.28515625" style="399" bestFit="1" customWidth="1"/>
    <col min="3" max="3" width="14.85546875" style="399" bestFit="1" customWidth="1"/>
    <col min="4" max="5" width="13.28515625" style="399" bestFit="1" customWidth="1"/>
    <col min="6" max="6" width="12.140625" style="399" bestFit="1" customWidth="1"/>
    <col min="7" max="8" width="13.28515625" style="399" bestFit="1" customWidth="1"/>
    <col min="9" max="9" width="12" style="399" bestFit="1" customWidth="1"/>
    <col min="10" max="12" width="12" bestFit="1" customWidth="1"/>
    <col min="13" max="13" width="10.5703125" bestFit="1" customWidth="1"/>
    <col min="14" max="14" width="14.85546875" bestFit="1" customWidth="1"/>
    <col min="15" max="15" width="14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307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319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330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342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505</v>
      </c>
    </row>
    <row r="2" spans="1:4">
      <c r="A2" s="816"/>
      <c r="B2" s="816"/>
      <c r="C2" s="816"/>
      <c r="D2" s="71"/>
    </row>
    <row r="3" spans="1:4">
      <c r="A3" s="815" t="s">
        <v>506</v>
      </c>
      <c r="B3" s="815"/>
      <c r="C3" s="815"/>
      <c r="D3" s="111">
        <v>0.32</v>
      </c>
    </row>
    <row r="4" spans="1:4">
      <c r="A4" s="815" t="s">
        <v>474</v>
      </c>
      <c r="B4" s="815"/>
      <c r="C4" s="815"/>
      <c r="D4" s="111">
        <v>0.5</v>
      </c>
    </row>
    <row r="5" spans="1:4">
      <c r="A5" s="815" t="s">
        <v>485</v>
      </c>
      <c r="B5" s="815"/>
      <c r="C5" s="815"/>
      <c r="D5" s="111">
        <v>0.15</v>
      </c>
    </row>
    <row r="6" spans="1:4">
      <c r="A6" s="815" t="s">
        <v>507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7" t="s">
        <v>508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7" t="s">
        <v>527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538</v>
      </c>
      <c r="C32" s="103"/>
      <c r="D32" s="103"/>
    </row>
    <row r="33" spans="2:4" ht="13.9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5703125" bestFit="1" customWidth="1"/>
  </cols>
  <sheetData>
    <row r="1" spans="2:14">
      <c r="B1" s="819" t="str">
        <f>D15</f>
        <v>Blackheath Park</v>
      </c>
      <c r="C1" s="819"/>
      <c r="D1" s="819"/>
      <c r="E1" s="818" t="s">
        <v>540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D141CE4B-00FB-40F8-9406-5904CF8D506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2026-02-10T13:18:01Z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