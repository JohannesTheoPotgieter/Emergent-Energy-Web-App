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6" documentId="13_ncr:1_{BFCB88FB-4ECB-4A9D-BFD8-6B30597D7892}" xr6:coauthVersionLast="47" xr6:coauthVersionMax="47" xr10:uidLastSave="{D663415B-AA7F-4BDC-A6CB-4C80CAB242D1}"/>
  <bookViews>
    <workbookView xWindow="-28920" yWindow="720" windowWidth="29040" windowHeight="15720" tabRatio="779" firstSheet="1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1" i="6" l="1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Q83" i="4"/>
  <c r="Q82" i="4"/>
  <c r="R10" i="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8" i="5"/>
  <c r="E49" i="5"/>
  <c r="E23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CG9" i="6" l="1"/>
  <c r="CH9" i="6"/>
  <c r="CI9" i="6"/>
  <c r="CJ9" i="6"/>
  <c r="CK9" i="6"/>
  <c r="CM9" i="6"/>
  <c r="CN9" i="6"/>
  <c r="CO9" i="6"/>
  <c r="CP9" i="6"/>
  <c r="CQ9" i="6"/>
  <c r="CR9" i="6"/>
  <c r="CS9" i="6"/>
  <c r="CT9" i="6"/>
  <c r="CU9" i="6"/>
  <c r="CV9" i="6"/>
  <c r="CW9" i="6"/>
  <c r="N36" i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CL9" i="6" s="1"/>
  <c r="F13" i="5"/>
  <c r="F9" i="6" s="1"/>
  <c r="F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G10" i="6" l="1"/>
  <c r="U98" i="4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3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9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CH3" i="6" l="1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Q36" i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5" i="5"/>
  <c r="F44" i="5"/>
  <c r="F43" i="5"/>
  <c r="F46" i="5"/>
  <c r="F47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8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L10" i="6" l="1"/>
  <c r="BL18" i="6"/>
  <c r="BL21" i="6"/>
  <c r="BN1" i="6"/>
  <c r="BM9" i="6" s="1"/>
  <c r="BM17" i="6"/>
  <c r="BM11" i="6"/>
  <c r="BM3" i="6"/>
  <c r="BJ12" i="6"/>
  <c r="BI14" i="6"/>
  <c r="BD6" i="6"/>
  <c r="BC7" i="6"/>
  <c r="BG4" i="6"/>
  <c r="BM10" i="6" l="1"/>
  <c r="BM18" i="6"/>
  <c r="BM20" i="6"/>
  <c r="BM21" i="6" s="1"/>
  <c r="BO1" i="6"/>
  <c r="BN9" i="6" s="1"/>
  <c r="BN17" i="6"/>
  <c r="BN11" i="6"/>
  <c r="BM5" i="6"/>
  <c r="BH4" i="6"/>
  <c r="BE6" i="6"/>
  <c r="BD7" i="6"/>
  <c r="BK12" i="6"/>
  <c r="BJ14" i="6"/>
  <c r="BN10" i="6" l="1"/>
  <c r="BP1" i="6"/>
  <c r="BO9" i="6" s="1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O18" i="6" l="1"/>
  <c r="BQ1" i="6"/>
  <c r="BP9" i="6" s="1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7" i="6" l="1"/>
  <c r="BT18" i="6" s="1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U10" i="6" l="1"/>
  <c r="BV20" i="6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20" i="6" l="1"/>
  <c r="BW21" i="6" s="1"/>
  <c r="BX1" i="6"/>
  <c r="BW17" i="6"/>
  <c r="BW18" i="6" s="1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20" i="6" l="1"/>
  <c r="BY21" i="6" s="1"/>
  <c r="BY17" i="6"/>
  <c r="BY18" i="6" s="1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7" i="6" l="1"/>
  <c r="CC18" i="6" s="1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G1" i="6" l="1"/>
  <c r="CF20" i="6"/>
  <c r="CF21" i="6" s="1"/>
  <c r="CF17" i="6"/>
  <c r="CF18" i="6" s="1"/>
  <c r="CF11" i="6"/>
  <c r="CF3" i="6"/>
  <c r="CF5" i="6"/>
  <c r="CE9" i="6"/>
  <c r="CE10" i="6" s="1"/>
  <c r="CC12" i="6"/>
  <c r="CB14" i="6"/>
  <c r="BW6" i="6"/>
  <c r="BV7" i="6"/>
  <c r="CB4" i="6"/>
  <c r="CG20" i="6" l="1"/>
  <c r="CG21" i="6" s="1"/>
  <c r="CG17" i="6"/>
  <c r="CG18" i="6" s="1"/>
  <c r="CG11" i="6"/>
  <c r="CG3" i="6"/>
  <c r="CG5" i="6"/>
  <c r="CF9" i="6"/>
  <c r="CF10" i="6" s="1"/>
  <c r="CG10" i="6" s="1"/>
  <c r="CH10" i="6" s="1"/>
  <c r="CD12" i="6"/>
  <c r="CC14" i="6"/>
  <c r="CC4" i="6"/>
  <c r="BX6" i="6"/>
  <c r="BW7" i="6"/>
  <c r="CI10" i="6" l="1"/>
  <c r="CE12" i="6"/>
  <c r="CD14" i="6"/>
  <c r="BY6" i="6"/>
  <c r="BX7" i="6"/>
  <c r="CD4" i="6"/>
  <c r="CJ10" i="6" l="1"/>
  <c r="CF12" i="6"/>
  <c r="CE14" i="6"/>
  <c r="CE4" i="6"/>
  <c r="BZ6" i="6"/>
  <c r="BY7" i="6"/>
  <c r="CK10" i="6" l="1"/>
  <c r="CG12" i="6"/>
  <c r="CF14" i="6"/>
  <c r="CA6" i="6"/>
  <c r="BZ7" i="6"/>
  <c r="CF4" i="6"/>
  <c r="CG14" i="6" l="1"/>
  <c r="CH12" i="6"/>
  <c r="CL10" i="6"/>
  <c r="CG4" i="6"/>
  <c r="CH4" i="6" s="1"/>
  <c r="CB6" i="6"/>
  <c r="CA7" i="6"/>
  <c r="CI4" i="6" l="1"/>
  <c r="CI12" i="6"/>
  <c r="CH14" i="6"/>
  <c r="CM10" i="6"/>
  <c r="CC6" i="6"/>
  <c r="CB7" i="6"/>
  <c r="CJ12" i="6" l="1"/>
  <c r="CI14" i="6"/>
  <c r="CJ4" i="6"/>
  <c r="CN10" i="6"/>
  <c r="CD6" i="6"/>
  <c r="CC7" i="6"/>
  <c r="CK4" i="6" l="1"/>
  <c r="CK12" i="6"/>
  <c r="CJ14" i="6"/>
  <c r="CO10" i="6"/>
  <c r="CE6" i="6"/>
  <c r="CD7" i="6"/>
  <c r="CL12" i="6" l="1"/>
  <c r="CK14" i="6"/>
  <c r="CL4" i="6"/>
  <c r="CP10" i="6"/>
  <c r="CF6" i="6"/>
  <c r="CE7" i="6"/>
  <c r="CM4" i="6" l="1"/>
  <c r="CM12" i="6"/>
  <c r="CL14" i="6"/>
  <c r="CQ10" i="6"/>
  <c r="CG6" i="6"/>
  <c r="CF7" i="6"/>
  <c r="CG7" i="6" l="1"/>
  <c r="CH6" i="6"/>
  <c r="CN12" i="6"/>
  <c r="CM14" i="6"/>
  <c r="CN4" i="6"/>
  <c r="CR10" i="6"/>
  <c r="CO4" i="6" l="1"/>
  <c r="CO12" i="6"/>
  <c r="CN14" i="6"/>
  <c r="CI6" i="6"/>
  <c r="CH7" i="6"/>
  <c r="CS10" i="6"/>
  <c r="CJ6" i="6" l="1"/>
  <c r="CI7" i="6"/>
  <c r="CP12" i="6"/>
  <c r="CO14" i="6"/>
  <c r="CP4" i="6"/>
  <c r="CT10" i="6"/>
  <c r="CQ4" i="6" l="1"/>
  <c r="CQ12" i="6"/>
  <c r="CP14" i="6"/>
  <c r="CK6" i="6"/>
  <c r="CJ7" i="6"/>
  <c r="CU10" i="6"/>
  <c r="CL6" i="6" l="1"/>
  <c r="CK7" i="6"/>
  <c r="CR12" i="6"/>
  <c r="CQ14" i="6"/>
  <c r="CR4" i="6"/>
  <c r="CV10" i="6"/>
  <c r="CS4" i="6" l="1"/>
  <c r="CS12" i="6"/>
  <c r="CR14" i="6"/>
  <c r="CM6" i="6"/>
  <c r="CL7" i="6"/>
  <c r="CW10" i="6"/>
  <c r="CN6" i="6" l="1"/>
  <c r="CM7" i="6"/>
  <c r="CT12" i="6"/>
  <c r="CS14" i="6"/>
  <c r="CT4" i="6"/>
  <c r="CU4" i="6" l="1"/>
  <c r="CU12" i="6"/>
  <c r="CT14" i="6"/>
  <c r="CO6" i="6"/>
  <c r="CN7" i="6"/>
  <c r="CP6" i="6" l="1"/>
  <c r="CO7" i="6"/>
  <c r="CV12" i="6"/>
  <c r="CU14" i="6"/>
  <c r="CV4" i="6"/>
  <c r="CW4" i="6" l="1"/>
  <c r="CW12" i="6"/>
  <c r="CW14" i="6" s="1"/>
  <c r="CV14" i="6"/>
  <c r="CQ6" i="6"/>
  <c r="CP7" i="6"/>
  <c r="CR6" i="6" l="1"/>
  <c r="CQ7" i="6"/>
  <c r="CS6" i="6" l="1"/>
  <c r="CR7" i="6"/>
  <c r="CT6" i="6" l="1"/>
  <c r="CS7" i="6"/>
  <c r="CU6" i="6" l="1"/>
  <c r="CT7" i="6"/>
  <c r="CV6" i="6" l="1"/>
  <c r="CU7" i="6"/>
  <c r="CW6" i="6" l="1"/>
  <c r="CW7" i="6" s="1"/>
  <c r="CV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<sst xmlns="http://schemas.openxmlformats.org/spreadsheetml/2006/main" count="832" uniqueCount="496">
  <si>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</si>
  <si>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</si>
  <si>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</si>
  <si>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</si>
  <si>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</si>
  <si>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</si>
  <si>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</si>
  <si>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</si>
  <si>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</si>
  <si>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</si>
  <si>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</si>
  <si>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</si>
  <si>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</si>
  <si>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</si>
  <si>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</si>
  <si>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</si>
  <si>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</si>
  <si>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</si>
  <si>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</si>
  <si>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</si>
  <si>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</si>
  <si>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</si>
  <si>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</si>
  <si>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</si>
  <si>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</si>
  <si>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</si>
  <si>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</si>
  <si>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</si>
  <si>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</si>
  <si>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</si>
  <si>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</si>
  <si>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</si>
  <si>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</si>
  <si>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</si>
  <si>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</si>
  <si>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</si>
  <si>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</si>
  <si>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</si>
  <si>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</si>
  <si>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</si>
  <si>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</si>
  <si>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</si>
  <si>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</si>
  <si>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</si>
  <si>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</si>
  <si>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</si>
  <si>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</si>
  <si>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</si>
  <si>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</si>
  <si>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</si>
  <si>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</si>
  <si>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</si>
  <si>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</si>
  <si>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</si>
  <si>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</si>
  <si>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</si>
  <si>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</si>
  <si>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</si>
  <si>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</si>
  <si>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</si>
  <si>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</si>
  <si>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</si>
  <si>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</si>
  <si>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</si>
  <si>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</si>
  <si>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</si>
  <si>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</si>
  <si>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</si>
  <si>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</si>
  <si>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</si>
  <si>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</si>
  <si>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</si>
  <si>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</si>
  <si>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</si>
  <si>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</si>
  <si>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</si>
  <si>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</si>
  <si>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</si>
  <si>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</si>
  <si>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</si>
  <si>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</si>
  <si>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</si>
  <si>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</si>
  <si>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</si>
  <si>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</si>
  <si>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</si>
  <si>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</si>
  <si>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</si>
  <si>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</si>
  <si>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</si>
  <si>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</si>
  <si>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</si>
  <si>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</si>
  <si>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</si>
  <si>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</si>
  <si>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</si>
  <si>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</si>
  <si>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</si>
  <si>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</si>
  <si>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</si>
  <si>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</si>
  <si>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</si>
  <si>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</si>
  <si>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</si>
  <si>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</si>
  <si>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</si>
  <si>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</si>
  <si>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</si>
  <si>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</si>
  <si>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</si>
  <si>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</si>
  <si>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</si>
  <si>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>004931</t>
  </si>
  <si>
    <t>004944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</si>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</sst>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_-[$R-1C09]* #,##0.00_-;\-[$R-1C09]* #,##0.00_-;_-[$R-1C09]* &quot;-&quot;??_-;_-@_-"/>
    <numFmt numFmtId="166" formatCode="[$-409]d\-mmm\-yyyy;@"/>
    <numFmt numFmtId="167" formatCode="[$R-1C09]#,##0.00"/>
    <numFmt numFmtId="168" formatCode="&quot;R&quot;#,##0.00"/>
    <numFmt numFmtId="169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0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5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6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6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6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6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6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6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6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6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6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6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6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8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8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44" fontId="26" fillId="0" borderId="45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5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5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44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44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44" fontId="42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5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5" fontId="7" fillId="0" borderId="43" xfId="0" applyNumberFormat="1" applyFont="1" applyBorder="1" applyAlignment="1" applyProtection="1">
      <alignment horizontal="center" vertical="center" wrapText="1"/>
      <protection locked="0"/>
    </xf>
    <xf numFmtId="165" fontId="7" fillId="0" borderId="44" xfId="0" applyNumberFormat="1" applyFont="1" applyBorder="1" applyAlignment="1" applyProtection="1">
      <alignment horizontal="center" vertical="center" wrapText="1"/>
      <protection locked="0"/>
    </xf>
    <xf numFmtId="165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5" fontId="6" fillId="2" borderId="29" xfId="0" applyNumberFormat="1" applyFont="1" applyFill="1" applyBorder="1" applyAlignment="1" applyProtection="1">
      <alignment wrapText="1"/>
      <protection locked="0"/>
    </xf>
    <xf numFmtId="165" fontId="6" fillId="2" borderId="30" xfId="0" applyNumberFormat="1" applyFont="1" applyFill="1" applyBorder="1" applyAlignment="1" applyProtection="1">
      <alignment wrapText="1"/>
      <protection locked="0"/>
    </xf>
    <xf numFmtId="165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5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5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5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5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5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5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5" fontId="6" fillId="0" borderId="3" xfId="0" applyNumberFormat="1" applyFont="1" applyBorder="1" applyProtection="1">
      <protection locked="0"/>
    </xf>
    <xf numFmtId="165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5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5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5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5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44" fontId="6" fillId="0" borderId="3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5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5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5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5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5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5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5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5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5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5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5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5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5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5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5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7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5" fontId="13" fillId="2" borderId="0" xfId="0" applyNumberFormat="1" applyFont="1" applyFill="1" applyAlignment="1" applyProtection="1">
      <alignment horizontal="center" vertical="center"/>
      <protection locked="0"/>
    </xf>
    <xf numFmtId="165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5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5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5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5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5" fontId="7" fillId="0" borderId="71" xfId="0" applyNumberFormat="1" applyFont="1" applyBorder="1" applyAlignment="1" applyProtection="1">
      <alignment vertical="center"/>
      <protection locked="0"/>
    </xf>
    <xf numFmtId="165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44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165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44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44" fontId="13" fillId="10" borderId="78" xfId="3" applyFont="1" applyFill="1" applyBorder="1" applyAlignment="1" applyProtection="1">
      <alignment horizontal="center"/>
      <protection locked="0"/>
    </xf>
    <xf numFmtId="44" fontId="13" fillId="10" borderId="79" xfId="3" applyFont="1" applyFill="1" applyBorder="1" applyAlignment="1" applyProtection="1">
      <alignment horizontal="center"/>
      <protection locked="0"/>
    </xf>
    <xf numFmtId="44" fontId="13" fillId="11" borderId="78" xfId="3" applyFont="1" applyFill="1" applyBorder="1" applyAlignment="1" applyProtection="1">
      <alignment horizontal="center"/>
      <protection locked="0"/>
    </xf>
    <xf numFmtId="44" fontId="13" fillId="11" borderId="77" xfId="3" applyFont="1" applyFill="1" applyBorder="1" applyAlignment="1" applyProtection="1">
      <alignment horizontal="center"/>
      <protection locked="0"/>
    </xf>
    <xf numFmtId="44" fontId="13" fillId="11" borderId="79" xfId="3" applyFont="1" applyFill="1" applyBorder="1" applyAlignment="1" applyProtection="1">
      <alignment horizontal="center"/>
      <protection locked="0"/>
    </xf>
    <xf numFmtId="44" fontId="13" fillId="13" borderId="78" xfId="3" applyFont="1" applyFill="1" applyBorder="1" applyAlignment="1" applyProtection="1">
      <alignment horizontal="center"/>
      <protection locked="0"/>
    </xf>
    <xf numFmtId="44" fontId="13" fillId="13" borderId="77" xfId="3" applyFont="1" applyFill="1" applyBorder="1" applyAlignment="1" applyProtection="1">
      <alignment horizontal="center"/>
      <protection locked="0"/>
    </xf>
    <xf numFmtId="44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11" fillId="0" borderId="44" xfId="0" applyNumberFormat="1" applyFont="1" applyBorder="1" applyAlignment="1" applyProtection="1">
      <alignment horizontal="center" vertical="center" wrapText="1"/>
      <protection locked="0"/>
    </xf>
    <xf numFmtId="165" fontId="11" fillId="0" borderId="17" xfId="0" applyNumberFormat="1" applyFont="1" applyBorder="1" applyAlignment="1" applyProtection="1">
      <alignment horizontal="center" vertical="center" wrapText="1"/>
      <protection locked="0"/>
    </xf>
    <xf numFmtId="165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8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5" fontId="13" fillId="0" borderId="23" xfId="0" applyNumberFormat="1" applyFont="1" applyBorder="1" applyAlignment="1" applyProtection="1">
      <alignment horizontal="center"/>
      <protection locked="0"/>
    </xf>
    <xf numFmtId="44" fontId="13" fillId="10" borderId="80" xfId="3" applyFont="1" applyFill="1" applyBorder="1" applyAlignment="1" applyProtection="1">
      <alignment horizontal="center"/>
      <protection locked="0"/>
    </xf>
    <xf numFmtId="44" fontId="13" fillId="10" borderId="14" xfId="3" applyFont="1" applyFill="1" applyBorder="1" applyAlignment="1" applyProtection="1">
      <alignment horizontal="center"/>
      <protection locked="0"/>
    </xf>
    <xf numFmtId="165" fontId="13" fillId="11" borderId="77" xfId="0" applyNumberFormat="1" applyFont="1" applyFill="1" applyBorder="1" applyAlignment="1" applyProtection="1">
      <alignment horizontal="center"/>
      <protection locked="0"/>
    </xf>
    <xf numFmtId="165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5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5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5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5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5" fontId="6" fillId="11" borderId="35" xfId="0" applyNumberFormat="1" applyFont="1" applyFill="1" applyBorder="1" applyAlignment="1" applyProtection="1">
      <alignment horizontal="center" vertical="center"/>
      <protection locked="0"/>
    </xf>
    <xf numFmtId="165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5" fontId="5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44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44" fontId="6" fillId="13" borderId="50" xfId="0" applyNumberFormat="1" applyFont="1" applyFill="1" applyBorder="1" applyAlignment="1" applyProtection="1">
      <alignment horizontal="center"/>
      <protection locked="0"/>
    </xf>
    <xf numFmtId="165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165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5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44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5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44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5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5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44" fontId="7" fillId="17" borderId="23" xfId="3" applyFont="1" applyFill="1" applyBorder="1" applyProtection="1">
      <protection locked="0"/>
    </xf>
    <xf numFmtId="165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44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44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5" fontId="6" fillId="11" borderId="38" xfId="0" applyNumberFormat="1" applyFont="1" applyFill="1" applyBorder="1" applyAlignment="1" applyProtection="1">
      <alignment horizontal="center"/>
      <protection locked="0"/>
    </xf>
    <xf numFmtId="165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165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44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44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5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5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6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5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44" fontId="13" fillId="11" borderId="90" xfId="3" applyFont="1" applyFill="1" applyBorder="1" applyAlignment="1" applyProtection="1">
      <alignment horizontal="center"/>
      <protection locked="0"/>
    </xf>
    <xf numFmtId="44" fontId="13" fillId="11" borderId="91" xfId="3" applyFont="1" applyFill="1" applyBorder="1" applyAlignment="1" applyProtection="1">
      <alignment horizontal="center"/>
      <protection locked="0"/>
    </xf>
    <xf numFmtId="44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5" fontId="5" fillId="11" borderId="2" xfId="0" applyNumberFormat="1" applyFont="1" applyFill="1" applyBorder="1" applyAlignment="1" applyProtection="1">
      <alignment horizontal="left" vertical="center"/>
      <protection locked="0"/>
    </xf>
    <xf numFmtId="44" fontId="6" fillId="13" borderId="27" xfId="0" applyNumberFormat="1" applyFont="1" applyFill="1" applyBorder="1" applyAlignment="1" applyProtection="1">
      <alignment horizontal="center" vertical="center"/>
      <protection locked="0"/>
    </xf>
    <xf numFmtId="44" fontId="5" fillId="13" borderId="38" xfId="0" applyNumberFormat="1" applyFont="1" applyFill="1" applyBorder="1" applyAlignment="1" applyProtection="1">
      <alignment horizontal="center"/>
      <protection locked="0"/>
    </xf>
    <xf numFmtId="44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44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44" fontId="44" fillId="9" borderId="25" xfId="3" applyFont="1" applyFill="1" applyBorder="1" applyAlignment="1" applyProtection="1">
      <alignment vertical="center"/>
      <protection locked="0"/>
    </xf>
    <xf numFmtId="44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44" fontId="13" fillId="13" borderId="2" xfId="3" applyFont="1" applyFill="1" applyBorder="1" applyAlignment="1" applyProtection="1">
      <alignment horizontal="left" vertical="center"/>
      <protection locked="0"/>
    </xf>
    <xf numFmtId="44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8" fontId="5" fillId="11" borderId="38" xfId="3" applyNumberFormat="1" applyFont="1" applyFill="1" applyBorder="1" applyAlignment="1" applyProtection="1">
      <alignment horizontal="center"/>
      <protection locked="0"/>
    </xf>
    <xf numFmtId="44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44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5" fontId="53" fillId="11" borderId="78" xfId="3" applyNumberFormat="1" applyFont="1" applyFill="1" applyBorder="1" applyAlignment="1" applyProtection="1">
      <alignment horizontal="center"/>
      <protection locked="0"/>
    </xf>
    <xf numFmtId="44" fontId="53" fillId="11" borderId="77" xfId="3" applyFont="1" applyFill="1" applyBorder="1" applyAlignment="1" applyProtection="1">
      <alignment horizontal="center"/>
      <protection locked="0"/>
    </xf>
    <xf numFmtId="44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5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5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44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44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44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164" fontId="26" fillId="7" borderId="0" xfId="0" applyNumberFormat="1" applyFont="1" applyFill="1" applyAlignment="1" applyProtection="1">
      <alignment horizontal="right"/>
      <protection locked="0"/>
    </xf>
    <xf numFmtId="164" fontId="55" fillId="7" borderId="101" xfId="0" applyNumberFormat="1" applyFont="1" applyFill="1" applyBorder="1" applyAlignment="1" applyProtection="1">
      <alignment horizontal="right"/>
      <protection locked="0"/>
    </xf>
    <xf numFmtId="164" fontId="26" fillId="7" borderId="106" xfId="0" applyNumberFormat="1" applyFont="1" applyFill="1" applyBorder="1" applyAlignment="1" applyProtection="1">
      <alignment horizontal="right"/>
      <protection locked="0"/>
    </xf>
    <xf numFmtId="164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44" fontId="53" fillId="13" borderId="78" xfId="3" applyFont="1" applyFill="1" applyBorder="1" applyAlignment="1" applyProtection="1">
      <alignment horizontal="center"/>
      <protection locked="0"/>
    </xf>
    <xf numFmtId="44" fontId="53" fillId="13" borderId="79" xfId="3" applyFont="1" applyFill="1" applyBorder="1" applyAlignment="1" applyProtection="1">
      <alignment horizontal="center"/>
      <protection locked="0"/>
    </xf>
    <xf numFmtId="44" fontId="53" fillId="11" borderId="79" xfId="3" applyFont="1" applyFill="1" applyBorder="1" applyAlignment="1" applyProtection="1">
      <alignment horizontal="center"/>
      <protection locked="0"/>
    </xf>
    <xf numFmtId="44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44" fontId="53" fillId="13" borderId="80" xfId="3" applyFont="1" applyFill="1" applyBorder="1" applyAlignment="1" applyProtection="1">
      <alignment horizontal="center"/>
      <protection locked="0"/>
    </xf>
    <xf numFmtId="44" fontId="53" fillId="11" borderId="89" xfId="3" applyFont="1" applyFill="1" applyBorder="1" applyAlignment="1" applyProtection="1">
      <alignment horizontal="center"/>
      <protection locked="0"/>
    </xf>
    <xf numFmtId="44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44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44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44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44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44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44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44" fontId="5" fillId="13" borderId="80" xfId="3" applyFont="1" applyFill="1" applyBorder="1" applyAlignment="1" applyProtection="1">
      <alignment horizontal="center"/>
      <protection locked="0"/>
    </xf>
    <xf numFmtId="44" fontId="5" fillId="13" borderId="77" xfId="3" applyFont="1" applyFill="1" applyBorder="1" applyAlignment="1" applyProtection="1">
      <alignment horizontal="center"/>
      <protection locked="0"/>
    </xf>
    <xf numFmtId="44" fontId="5" fillId="11" borderId="83" xfId="3" applyFont="1" applyFill="1" applyBorder="1" applyAlignment="1" applyProtection="1">
      <alignment horizontal="center"/>
      <protection locked="0"/>
    </xf>
    <xf numFmtId="44" fontId="5" fillId="11" borderId="90" xfId="3" applyFont="1" applyFill="1" applyBorder="1" applyAlignment="1" applyProtection="1">
      <alignment horizontal="center"/>
      <protection locked="0"/>
    </xf>
    <xf numFmtId="44" fontId="5" fillId="10" borderId="80" xfId="3" applyFont="1" applyFill="1" applyBorder="1" applyAlignment="1" applyProtection="1">
      <alignment horizontal="center"/>
      <protection locked="0"/>
    </xf>
    <xf numFmtId="44" fontId="5" fillId="10" borderId="77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44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44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5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44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5" fillId="7" borderId="0" xfId="0" applyFont="1" applyFill="1" applyProtection="1">
      <protection locked="0"/>
    </xf>
    <xf numFmtId="49" fontId="55" fillId="0" borderId="2" xfId="0" quotePrefix="1" applyNumberFormat="1" applyFont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5" fontId="7" fillId="11" borderId="6" xfId="0" applyNumberFormat="1" applyFont="1" applyFill="1" applyBorder="1" applyAlignment="1" applyProtection="1">
      <alignment horizontal="center" vertical="center"/>
      <protection locked="0"/>
    </xf>
    <xf numFmtId="165" fontId="7" fillId="11" borderId="71" xfId="0" applyNumberFormat="1" applyFont="1" applyFill="1" applyBorder="1" applyAlignment="1" applyProtection="1">
      <alignment horizontal="center" vertical="center"/>
      <protection locked="0"/>
    </xf>
    <xf numFmtId="165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5" fontId="7" fillId="10" borderId="57" xfId="0" applyNumberFormat="1" applyFont="1" applyFill="1" applyBorder="1" applyAlignment="1" applyProtection="1">
      <alignment horizontal="center" vertical="center"/>
      <protection locked="0"/>
    </xf>
    <xf numFmtId="165" fontId="7" fillId="10" borderId="94" xfId="0" applyNumberFormat="1" applyFont="1" applyFill="1" applyBorder="1" applyAlignment="1" applyProtection="1">
      <alignment horizontal="center" vertical="center"/>
      <protection locked="0"/>
    </xf>
    <xf numFmtId="165" fontId="7" fillId="10" borderId="85" xfId="0" applyNumberFormat="1" applyFont="1" applyFill="1" applyBorder="1" applyAlignment="1" applyProtection="1">
      <alignment horizontal="center" vertical="center"/>
      <protection locked="0"/>
    </xf>
    <xf numFmtId="165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5" fontId="13" fillId="11" borderId="47" xfId="0" applyNumberFormat="1" applyFont="1" applyFill="1" applyBorder="1" applyAlignment="1" applyProtection="1">
      <alignment horizontal="center" vertical="center"/>
      <protection locked="0"/>
    </xf>
    <xf numFmtId="165" fontId="7" fillId="13" borderId="6" xfId="0" applyNumberFormat="1" applyFont="1" applyFill="1" applyBorder="1" applyAlignment="1" applyProtection="1">
      <alignment horizontal="center" vertical="center"/>
      <protection locked="0"/>
    </xf>
    <xf numFmtId="165" fontId="7" fillId="13" borderId="71" xfId="0" applyNumberFormat="1" applyFont="1" applyFill="1" applyBorder="1" applyAlignment="1" applyProtection="1">
      <alignment horizontal="center" vertical="center"/>
      <protection locked="0"/>
    </xf>
    <xf numFmtId="165" fontId="7" fillId="13" borderId="9" xfId="0" applyNumberFormat="1" applyFont="1" applyFill="1" applyBorder="1" applyAlignment="1" applyProtection="1">
      <alignment horizontal="center" vertical="center"/>
      <protection locked="0"/>
    </xf>
    <xf numFmtId="165" fontId="7" fillId="11" borderId="57" xfId="0" applyNumberFormat="1" applyFont="1" applyFill="1" applyBorder="1" applyAlignment="1" applyProtection="1">
      <alignment horizontal="center" vertical="center"/>
      <protection locked="0"/>
    </xf>
    <xf numFmtId="165" fontId="7" fillId="11" borderId="94" xfId="0" applyNumberFormat="1" applyFont="1" applyFill="1" applyBorder="1" applyAlignment="1" applyProtection="1">
      <alignment horizontal="center" vertical="center"/>
      <protection locked="0"/>
    </xf>
    <xf numFmtId="165" fontId="7" fillId="11" borderId="95" xfId="0" applyNumberFormat="1" applyFont="1" applyFill="1" applyBorder="1" applyAlignment="1" applyProtection="1">
      <alignment horizontal="center" vertical="center"/>
      <protection locked="0"/>
    </xf>
    <xf numFmtId="165" fontId="7" fillId="10" borderId="6" xfId="0" applyNumberFormat="1" applyFont="1" applyFill="1" applyBorder="1" applyAlignment="1" applyProtection="1">
      <alignment horizontal="center" vertical="center"/>
      <protection locked="0"/>
    </xf>
    <xf numFmtId="165" fontId="7" fillId="10" borderId="71" xfId="0" applyNumberFormat="1" applyFont="1" applyFill="1" applyBorder="1" applyAlignment="1" applyProtection="1">
      <alignment horizontal="center" vertical="center"/>
      <protection locked="0"/>
    </xf>
    <xf numFmtId="165" fontId="7" fillId="10" borderId="9" xfId="0" applyNumberFormat="1" applyFont="1" applyFill="1" applyBorder="1" applyAlignment="1" applyProtection="1">
      <alignment horizontal="center" vertical="center"/>
      <protection locked="0"/>
    </xf>
    <xf numFmtId="165" fontId="5" fillId="10" borderId="13" xfId="0" applyNumberFormat="1" applyFont="1" applyFill="1" applyBorder="1" applyAlignment="1" applyProtection="1">
      <alignment horizontal="center"/>
      <protection locked="0"/>
    </xf>
    <xf numFmtId="165" fontId="5" fillId="10" borderId="18" xfId="0" applyNumberFormat="1" applyFont="1" applyFill="1" applyBorder="1" applyAlignment="1" applyProtection="1">
      <alignment horizontal="center"/>
      <protection locked="0"/>
    </xf>
    <xf numFmtId="165" fontId="5" fillId="10" borderId="14" xfId="0" applyNumberFormat="1" applyFont="1" applyFill="1" applyBorder="1" applyAlignment="1" applyProtection="1">
      <alignment horizontal="center"/>
      <protection locked="0"/>
    </xf>
    <xf numFmtId="165" fontId="7" fillId="10" borderId="13" xfId="0" applyNumberFormat="1" applyFont="1" applyFill="1" applyBorder="1" applyAlignment="1" applyProtection="1">
      <alignment horizontal="center" vertical="center"/>
      <protection locked="0"/>
    </xf>
    <xf numFmtId="165" fontId="7" fillId="10" borderId="18" xfId="0" applyNumberFormat="1" applyFont="1" applyFill="1" applyBorder="1" applyAlignment="1" applyProtection="1">
      <alignment horizontal="center" vertical="center"/>
      <protection locked="0"/>
    </xf>
    <xf numFmtId="165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5" fontId="7" fillId="11" borderId="13" xfId="0" applyNumberFormat="1" applyFont="1" applyFill="1" applyBorder="1" applyAlignment="1" applyProtection="1">
      <alignment horizontal="center" vertical="center"/>
      <protection locked="0"/>
    </xf>
    <xf numFmtId="165" fontId="7" fillId="11" borderId="18" xfId="0" applyNumberFormat="1" applyFont="1" applyFill="1" applyBorder="1" applyAlignment="1" applyProtection="1">
      <alignment horizontal="center" vertical="center"/>
      <protection locked="0"/>
    </xf>
    <xf numFmtId="165" fontId="7" fillId="11" borderId="14" xfId="0" applyNumberFormat="1" applyFont="1" applyFill="1" applyBorder="1" applyAlignment="1" applyProtection="1">
      <alignment horizontal="center" vertical="center"/>
      <protection locked="0"/>
    </xf>
    <xf numFmtId="165" fontId="5" fillId="11" borderId="13" xfId="0" applyNumberFormat="1" applyFont="1" applyFill="1" applyBorder="1" applyAlignment="1" applyProtection="1">
      <alignment horizontal="center"/>
      <protection locked="0"/>
    </xf>
    <xf numFmtId="165" fontId="5" fillId="11" borderId="18" xfId="0" applyNumberFormat="1" applyFont="1" applyFill="1" applyBorder="1" applyAlignment="1" applyProtection="1">
      <alignment horizontal="center"/>
      <protection locked="0"/>
    </xf>
    <xf numFmtId="165" fontId="5" fillId="11" borderId="14" xfId="0" applyNumberFormat="1" applyFont="1" applyFill="1" applyBorder="1" applyAlignment="1" applyProtection="1">
      <alignment horizontal="center"/>
      <protection locked="0"/>
    </xf>
    <xf numFmtId="165" fontId="7" fillId="11" borderId="75" xfId="0" applyNumberFormat="1" applyFont="1" applyFill="1" applyBorder="1" applyAlignment="1" applyProtection="1">
      <alignment horizontal="center" vertical="center"/>
      <protection locked="0"/>
    </xf>
    <xf numFmtId="165" fontId="13" fillId="13" borderId="28" xfId="0" applyNumberFormat="1" applyFont="1" applyFill="1" applyBorder="1" applyAlignment="1" applyProtection="1">
      <alignment horizontal="center" vertical="center"/>
      <protection locked="0"/>
    </xf>
    <xf numFmtId="165" fontId="13" fillId="13" borderId="47" xfId="0" applyNumberFormat="1" applyFont="1" applyFill="1" applyBorder="1" applyAlignment="1" applyProtection="1">
      <alignment horizontal="center" vertical="center"/>
      <protection locked="0"/>
    </xf>
    <xf numFmtId="165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 vertical="center"/>
      <protection locked="0"/>
    </xf>
    <xf numFmtId="44" fontId="5" fillId="11" borderId="47" xfId="3" applyFont="1" applyFill="1" applyBorder="1" applyAlignment="1" applyProtection="1">
      <alignment horizontal="center" vertical="center"/>
      <protection locked="0"/>
    </xf>
    <xf numFmtId="44" fontId="5" fillId="11" borderId="7" xfId="3" applyFont="1" applyFill="1" applyBorder="1" applyAlignment="1" applyProtection="1">
      <alignment horizontal="center" vertical="center"/>
      <protection locked="0"/>
    </xf>
    <xf numFmtId="165" fontId="13" fillId="10" borderId="47" xfId="0" applyNumberFormat="1" applyFont="1" applyFill="1" applyBorder="1" applyAlignment="1" applyProtection="1">
      <alignment horizontal="center" vertical="center"/>
      <protection locked="0"/>
    </xf>
    <xf numFmtId="165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5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5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5" fontId="13" fillId="13" borderId="4" xfId="0" applyNumberFormat="1" applyFont="1" applyFill="1" applyBorder="1" applyAlignment="1" applyProtection="1">
      <alignment horizontal="center" vertical="center"/>
      <protection locked="0"/>
    </xf>
    <xf numFmtId="165" fontId="13" fillId="13" borderId="51" xfId="0" applyNumberFormat="1" applyFont="1" applyFill="1" applyBorder="1" applyAlignment="1" applyProtection="1">
      <alignment horizontal="center" vertical="center"/>
      <protection locked="0"/>
    </xf>
    <xf numFmtId="165" fontId="7" fillId="13" borderId="13" xfId="0" applyNumberFormat="1" applyFont="1" applyFill="1" applyBorder="1" applyAlignment="1" applyProtection="1">
      <alignment horizontal="center" vertical="center"/>
      <protection locked="0"/>
    </xf>
    <xf numFmtId="165" fontId="7" fillId="13" borderId="18" xfId="0" applyNumberFormat="1" applyFont="1" applyFill="1" applyBorder="1" applyAlignment="1" applyProtection="1">
      <alignment horizontal="center" vertical="center"/>
      <protection locked="0"/>
    </xf>
    <xf numFmtId="165" fontId="7" fillId="13" borderId="14" xfId="0" applyNumberFormat="1" applyFont="1" applyFill="1" applyBorder="1" applyAlignment="1" applyProtection="1">
      <alignment horizontal="center" vertical="center"/>
      <protection locked="0"/>
    </xf>
    <xf numFmtId="165" fontId="7" fillId="11" borderId="4" xfId="0" applyNumberFormat="1" applyFont="1" applyFill="1" applyBorder="1" applyAlignment="1" applyProtection="1">
      <alignment horizontal="center" vertical="center"/>
      <protection locked="0"/>
    </xf>
    <xf numFmtId="165" fontId="7" fillId="11" borderId="51" xfId="0" applyNumberFormat="1" applyFont="1" applyFill="1" applyBorder="1" applyAlignment="1" applyProtection="1">
      <alignment horizontal="center" vertical="center"/>
      <protection locked="0"/>
    </xf>
    <xf numFmtId="165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6FE13FA-8F30-496A-B2C2-E5389730B1F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DA4F9C-69ED-4BE5-8F82-9428EFED9B59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E93800-B14B-402C-86B0-6360CFE123E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860AC8-27FB-4EC8-A8BD-056EBFCB276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3DE59F-D98A-45F4-A2B1-D4AF202555B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BA5ECD-E701-479A-B05D-F7DA46D413C9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5281FE-BF6F-4172-B43C-17DD87D15B5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7710AC-3BDF-4EA4-BFDB-B061DA1DE789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5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3" t="s">
        <v>57</v>
      </c>
      <c r="E47" s="893"/>
      <c r="F47" s="894"/>
      <c r="G47" s="67"/>
      <c r="I47" s="68"/>
      <c r="J47" s="68"/>
    </row>
    <row r="48" spans="1:49" ht="14.5" thickBot="1">
      <c r="C48" s="69">
        <v>44014</v>
      </c>
      <c r="D48" s="895"/>
      <c r="E48" s="895"/>
      <c r="F48" s="89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" bestFit="1" customWidth="1"/>
    <col min="5" max="5" width="10.453125" customWidth="1"/>
    <col min="6" max="6" width="34" customWidth="1"/>
  </cols>
  <sheetData>
    <row r="1" spans="2:10" ht="15" thickBot="1"/>
    <row r="2" spans="2:10" ht="15.5" thickTop="1" thickBot="1">
      <c r="B2" s="897" t="s">
        <v>58</v>
      </c>
      <c r="C2" s="898"/>
      <c r="D2" s="898"/>
      <c r="E2" s="898"/>
      <c r="F2" s="89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97" t="s">
        <v>69</v>
      </c>
      <c r="C16" s="898"/>
      <c r="D16" s="898"/>
      <c r="E16" s="898"/>
      <c r="F16" s="89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20"/>
  <sheetViews>
    <sheetView tabSelected="1" zoomScaleNormal="100" workbookViewId="0">
      <selection activeCell="M11" sqref="M11"/>
    </sheetView>
  </sheetViews>
  <sheetFormatPr defaultColWidth="8.453125" defaultRowHeight="15" customHeight="1"/>
  <cols>
    <col min="1" max="1" width="5.54296875" style="93" customWidth="1"/>
    <col min="2" max="2" width="5.54296875" style="132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3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7" style="131" customWidth="1"/>
    <col min="17" max="17" width="5.54296875" style="131" customWidth="1"/>
    <col min="18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3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F23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3">
      <c r="B13" s="488">
        <v>1</v>
      </c>
      <c r="C13" s="889" t="s">
        <v>100</v>
      </c>
      <c r="D13" s="890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5">
      <c r="B14" s="156">
        <v>2</v>
      </c>
      <c r="C14" s="891" t="s">
        <v>102</v>
      </c>
      <c r="D14" s="892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5">
      <c r="B15" s="488">
        <v>3</v>
      </c>
      <c r="C15" s="889" t="s">
        <v>104</v>
      </c>
      <c r="D15" s="890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131" customFormat="1" ht="12.5">
      <c r="B16" s="488">
        <v>4</v>
      </c>
      <c r="C16" s="889" t="s">
        <v>106</v>
      </c>
      <c r="D16" s="890"/>
      <c r="E16" s="137">
        <v>0.1</v>
      </c>
      <c r="F16" s="138">
        <f t="shared" si="0"/>
        <v>553108.64512388606</v>
      </c>
      <c r="G16" s="139"/>
      <c r="H16" s="140">
        <f>'Project Plan'!E39+7</f>
        <v>45680</v>
      </c>
      <c r="L16" s="507" t="s">
        <v>107</v>
      </c>
      <c r="N16" s="140">
        <v>45701</v>
      </c>
      <c r="P16" s="141">
        <v>46080</v>
      </c>
      <c r="R16" s="563"/>
      <c r="S16" s="888"/>
      <c r="T16" s="888"/>
    </row>
    <row r="17" spans="2:21" s="93" customFormat="1" ht="12.5">
      <c r="B17" s="488">
        <v>5</v>
      </c>
      <c r="C17" s="891" t="s">
        <v>54</v>
      </c>
      <c r="D17" s="892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5">
      <c r="B18" s="488">
        <v>6</v>
      </c>
      <c r="C18" s="889" t="s">
        <v>109</v>
      </c>
      <c r="D18" s="890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5">
      <c r="B19" s="488">
        <v>7</v>
      </c>
      <c r="C19" s="889" t="s">
        <v>110</v>
      </c>
      <c r="D19" s="890"/>
      <c r="E19" s="137">
        <v>0</v>
      </c>
      <c r="F19" s="883">
        <v>-20909.009999999998</v>
      </c>
      <c r="G19" s="491"/>
      <c r="H19" s="140">
        <v>46001</v>
      </c>
      <c r="J19" s="143"/>
      <c r="L19" s="857" t="s">
        <v>111</v>
      </c>
      <c r="M19" s="886"/>
      <c r="N19" s="860">
        <v>46001</v>
      </c>
      <c r="O19" s="131"/>
      <c r="P19" s="141">
        <v>46080</v>
      </c>
      <c r="R19" s="563"/>
      <c r="S19" s="792"/>
      <c r="T19" s="792"/>
      <c r="U19" s="143"/>
    </row>
    <row r="20" spans="2:21" s="93" customFormat="1" ht="12.5">
      <c r="B20" s="488">
        <v>8</v>
      </c>
      <c r="C20" s="889" t="s">
        <v>110</v>
      </c>
      <c r="D20" s="890"/>
      <c r="E20" s="488"/>
      <c r="F20" s="883">
        <v>-17220.75</v>
      </c>
      <c r="G20" s="488"/>
      <c r="H20" s="488"/>
      <c r="J20" s="143"/>
      <c r="L20" s="887" t="s">
        <v>112</v>
      </c>
      <c r="M20" s="857"/>
      <c r="N20" s="857">
        <v>46045</v>
      </c>
      <c r="O20" s="884"/>
      <c r="P20" s="884">
        <v>46080</v>
      </c>
      <c r="Q20" s="884"/>
      <c r="R20" s="884"/>
      <c r="S20" s="792"/>
      <c r="T20" s="792"/>
      <c r="U20" s="143"/>
    </row>
    <row r="21" spans="2:21" s="93" customFormat="1" ht="12.5">
      <c r="B21" s="488">
        <v>9</v>
      </c>
      <c r="C21" s="889" t="s">
        <v>110</v>
      </c>
      <c r="D21" s="890"/>
      <c r="E21" s="488"/>
      <c r="F21" s="883">
        <v>-3136.34</v>
      </c>
      <c r="G21" s="488"/>
      <c r="H21" s="488"/>
      <c r="J21" s="143"/>
      <c r="L21" s="887" t="s">
        <v>113</v>
      </c>
      <c r="M21" s="857"/>
      <c r="N21" s="857">
        <v>46069</v>
      </c>
      <c r="O21" s="884"/>
      <c r="P21" s="884">
        <v>46080</v>
      </c>
      <c r="Q21" s="884"/>
      <c r="R21" s="884"/>
      <c r="S21" s="792"/>
      <c r="T21" s="792"/>
      <c r="U21" s="143"/>
    </row>
    <row r="22" spans="2:21" s="93" customFormat="1" ht="9" customHeight="1">
      <c r="B22" s="119"/>
      <c r="E22" s="142"/>
      <c r="F22" s="118"/>
      <c r="H22" s="494"/>
      <c r="J22" s="143"/>
      <c r="U22" s="143"/>
    </row>
    <row r="23" spans="2:21" s="93" customFormat="1" ht="13">
      <c r="B23" s="119"/>
      <c r="E23" s="495">
        <f>SUM(E13:E19)</f>
        <v>1</v>
      </c>
      <c r="F23" s="496">
        <f>SUM(F13:F19)</f>
        <v>5630723.7612388609</v>
      </c>
      <c r="J23" s="143"/>
      <c r="U23" s="143"/>
    </row>
    <row r="24" spans="2:21" s="143" customFormat="1" ht="25.5" customHeight="1">
      <c r="B24" s="144"/>
      <c r="F24" s="145"/>
    </row>
    <row r="25" spans="2:21" s="93" customFormat="1" ht="24.75" customHeight="1">
      <c r="B25" s="146" t="s">
        <v>114</v>
      </c>
      <c r="C25" s="147" t="s">
        <v>115</v>
      </c>
      <c r="D25" s="147"/>
      <c r="F25" s="148"/>
    </row>
    <row r="26" spans="2:21" s="93" customFormat="1" ht="12.5">
      <c r="C26" s="149" t="s">
        <v>116</v>
      </c>
      <c r="D26" s="150"/>
      <c r="F26" s="151"/>
    </row>
    <row r="27" spans="2:21" s="93" customFormat="1" ht="12.5">
      <c r="C27" s="149" t="s">
        <v>117</v>
      </c>
      <c r="D27" s="150"/>
    </row>
    <row r="28" spans="2:21" s="93" customFormat="1" ht="12.5">
      <c r="C28" s="152" t="s">
        <v>118</v>
      </c>
      <c r="D28" s="153"/>
    </row>
    <row r="29" spans="2:21" s="93" customFormat="1" ht="12.5">
      <c r="C29" s="154" t="s">
        <v>119</v>
      </c>
      <c r="D29" s="150"/>
    </row>
    <row r="30" spans="2:21" s="93" customFormat="1" ht="12.5">
      <c r="B30" s="119"/>
      <c r="C30" s="154" t="s">
        <v>120</v>
      </c>
      <c r="D30" s="150"/>
    </row>
    <row r="31" spans="2:21" s="93" customFormat="1" ht="12.5">
      <c r="B31" s="119"/>
      <c r="C31" s="93" t="s">
        <v>121</v>
      </c>
    </row>
    <row r="32" spans="2:21" s="93" customFormat="1" ht="27.75" customHeight="1">
      <c r="B32" s="119"/>
      <c r="C32" s="155" t="s">
        <v>122</v>
      </c>
      <c r="D32" s="155"/>
      <c r="F32" s="151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  <c r="F35" s="148"/>
    </row>
    <row r="36" spans="2:6" s="93" customFormat="1" ht="12.5">
      <c r="B36" s="119"/>
      <c r="F36" s="148"/>
    </row>
    <row r="37" spans="2:6" s="93" customFormat="1" ht="12.5">
      <c r="B37" s="119"/>
    </row>
    <row r="38" spans="2:6" s="93" customFormat="1" ht="12.5">
      <c r="B38" s="119"/>
    </row>
    <row r="39" spans="2:6" s="93" customFormat="1" ht="12.5">
      <c r="B39" s="119"/>
    </row>
    <row r="40" spans="2:6" s="93" customFormat="1" ht="12.75" hidden="1" customHeight="1">
      <c r="B40" s="119"/>
    </row>
    <row r="41" spans="2:6" s="93" customFormat="1" ht="12.75" hidden="1" customHeight="1">
      <c r="B41" s="119"/>
    </row>
    <row r="42" spans="2:6" s="93" customFormat="1" ht="13.5" hidden="1" customHeight="1">
      <c r="B42" s="133" t="s">
        <v>91</v>
      </c>
      <c r="C42" s="134" t="s">
        <v>92</v>
      </c>
      <c r="D42" s="135"/>
      <c r="E42" s="133" t="s">
        <v>93</v>
      </c>
      <c r="F42" s="133" t="s">
        <v>94</v>
      </c>
    </row>
    <row r="43" spans="2:6" s="93" customFormat="1" ht="12.75" hidden="1" customHeight="1">
      <c r="B43" s="156">
        <v>1</v>
      </c>
      <c r="C43" s="157" t="s">
        <v>123</v>
      </c>
      <c r="D43" s="157"/>
      <c r="E43" s="137">
        <v>0.35</v>
      </c>
      <c r="F43" s="138">
        <f>$F$49*E43</f>
        <v>1970753.3164336011</v>
      </c>
    </row>
    <row r="44" spans="2:6" s="93" customFormat="1" ht="12.75" hidden="1" customHeight="1">
      <c r="B44" s="156">
        <v>2</v>
      </c>
      <c r="C44" s="157" t="s">
        <v>104</v>
      </c>
      <c r="D44" s="157"/>
      <c r="E44" s="137">
        <v>0.3</v>
      </c>
      <c r="F44" s="138">
        <f t="shared" ref="F44:F47" si="1">$F$49*E44</f>
        <v>1689217.1283716583</v>
      </c>
    </row>
    <row r="45" spans="2:6" s="93" customFormat="1" ht="12.75" hidden="1" customHeight="1">
      <c r="B45" s="156">
        <v>3</v>
      </c>
      <c r="C45" s="157" t="s">
        <v>102</v>
      </c>
      <c r="D45" s="157"/>
      <c r="E45" s="137">
        <v>0.2</v>
      </c>
      <c r="F45" s="138">
        <f t="shared" si="1"/>
        <v>1126144.7522477722</v>
      </c>
    </row>
    <row r="46" spans="2:6" s="93" customFormat="1" ht="12.75" hidden="1" customHeight="1">
      <c r="B46" s="156">
        <v>4</v>
      </c>
      <c r="C46" s="157" t="s">
        <v>124</v>
      </c>
      <c r="D46" s="157"/>
      <c r="E46" s="137">
        <v>0.1</v>
      </c>
      <c r="F46" s="138">
        <f t="shared" si="1"/>
        <v>563072.37612388609</v>
      </c>
    </row>
    <row r="47" spans="2:6" s="93" customFormat="1" ht="13.5" hidden="1" customHeight="1">
      <c r="B47" s="158">
        <v>5</v>
      </c>
      <c r="C47" s="159" t="s">
        <v>54</v>
      </c>
      <c r="D47" s="159"/>
      <c r="E47" s="160">
        <v>0.05</v>
      </c>
      <c r="F47" s="161">
        <f t="shared" si="1"/>
        <v>281536.18806194304</v>
      </c>
    </row>
    <row r="48" spans="2:6" s="93" customFormat="1" ht="13.5" hidden="1" customHeight="1">
      <c r="B48" s="162"/>
      <c r="C48" s="163" t="s">
        <v>125</v>
      </c>
      <c r="D48" s="163"/>
      <c r="E48" s="164">
        <f>SUM(E43:E47)</f>
        <v>0.99999999999999989</v>
      </c>
      <c r="F48" s="165">
        <f>SUM(F43:F47)</f>
        <v>5630723.7612388618</v>
      </c>
    </row>
    <row r="49" spans="2:6" s="93" customFormat="1" ht="12.75" hidden="1" customHeight="1">
      <c r="B49" s="119"/>
      <c r="E49" s="142">
        <f>SUM(E43:E47)</f>
        <v>0.99999999999999989</v>
      </c>
      <c r="F49" s="118">
        <f>F23</f>
        <v>5630723.7612388609</v>
      </c>
    </row>
    <row r="50" spans="2:6" s="93" customFormat="1" ht="12.75" hidden="1" customHeight="1">
      <c r="B50" s="119"/>
    </row>
    <row r="51" spans="2:6" s="93" customFormat="1" ht="12.5">
      <c r="B51" s="119"/>
    </row>
    <row r="52" spans="2:6" s="93" customFormat="1" ht="12.5">
      <c r="B52" s="119"/>
    </row>
    <row r="53" spans="2:6" s="93" customFormat="1" ht="12.5">
      <c r="B53" s="119"/>
    </row>
    <row r="54" spans="2:6" s="93" customFormat="1" ht="12.5">
      <c r="B54" s="119"/>
    </row>
    <row r="55" spans="2:6" s="93" customFormat="1" ht="12.5">
      <c r="B55" s="119"/>
    </row>
    <row r="56" spans="2:6" s="93" customFormat="1" ht="12.5">
      <c r="B56" s="119"/>
    </row>
    <row r="57" spans="2:6" s="93" customFormat="1" ht="12.5">
      <c r="B57" s="119"/>
    </row>
    <row r="58" spans="2:6" s="93" customFormat="1" ht="12.5">
      <c r="B58" s="119"/>
    </row>
    <row r="59" spans="2:6" s="93" customFormat="1" ht="12.5">
      <c r="B59" s="119"/>
    </row>
    <row r="60" spans="2:6" s="93" customFormat="1" ht="12.5">
      <c r="B60" s="119"/>
    </row>
    <row r="61" spans="2:6" s="93" customFormat="1" ht="12.5">
      <c r="B61" s="119"/>
    </row>
    <row r="62" spans="2:6" s="93" customFormat="1" ht="12.5">
      <c r="B62" s="119"/>
    </row>
    <row r="63" spans="2:6" s="93" customFormat="1" ht="12.5">
      <c r="B63" s="119"/>
    </row>
    <row r="64" spans="2:6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  <row r="220" spans="2:2" s="93" customFormat="1" ht="12.5">
      <c r="B220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1 P12:P21" name="Range1"/>
  </protectedRanges>
  <mergeCells count="9">
    <mergeCell ref="C21:D21"/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3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8" sqref="E8:E9"/>
    </sheetView>
  </sheetViews>
  <sheetFormatPr defaultColWidth="8.453125" defaultRowHeight="14"/>
  <cols>
    <col min="1" max="1" width="1.453125" style="114" customWidth="1"/>
    <col min="2" max="2" width="6.453125" style="189" bestFit="1" customWidth="1"/>
    <col min="3" max="3" width="50.54296875" style="24" bestFit="1" customWidth="1"/>
    <col min="4" max="4" width="3.453125" style="114" customWidth="1"/>
    <col min="5" max="5" width="15.453125" style="24" bestFit="1" customWidth="1"/>
    <col min="6" max="6" width="10.453125" style="186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>
      <c r="B2" s="224"/>
      <c r="C2" s="225" t="s">
        <v>0</v>
      </c>
      <c r="D2" s="226"/>
      <c r="E2" s="905" t="s">
        <v>126</v>
      </c>
      <c r="F2" s="906"/>
      <c r="G2" s="906"/>
      <c r="H2" s="907"/>
      <c r="N2" s="613">
        <v>0</v>
      </c>
      <c r="O2" s="613">
        <v>1</v>
      </c>
    </row>
    <row r="3" spans="2:28" s="114" customFormat="1">
      <c r="B3" s="227"/>
      <c r="C3" s="228" t="s">
        <v>127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>
      <c r="B4" s="227"/>
      <c r="C4" s="228" t="s">
        <v>128</v>
      </c>
      <c r="D4" s="226"/>
      <c r="E4" s="908" t="s">
        <v>129</v>
      </c>
      <c r="F4" s="909"/>
      <c r="G4" s="909"/>
      <c r="H4" s="910"/>
      <c r="J4" s="115"/>
      <c r="Q4" s="3"/>
    </row>
    <row r="5" spans="2:28" s="114" customFormat="1">
      <c r="B5" s="227"/>
      <c r="C5" s="228" t="s">
        <v>130</v>
      </c>
      <c r="D5" s="226"/>
      <c r="E5" s="908" t="s">
        <v>131</v>
      </c>
      <c r="F5" s="909"/>
      <c r="G5" s="909"/>
      <c r="H5" s="910"/>
      <c r="J5" s="115"/>
      <c r="Q5" s="3"/>
    </row>
    <row r="6" spans="2:28">
      <c r="B6" s="232"/>
      <c r="C6" s="233" t="s">
        <v>132</v>
      </c>
      <c r="D6" s="226"/>
      <c r="E6" s="743">
        <v>5531086.4512388604</v>
      </c>
      <c r="F6" s="728"/>
      <c r="G6" s="728"/>
      <c r="H6" s="729"/>
    </row>
    <row r="7" spans="2:28" s="114" customFormat="1">
      <c r="B7" s="185"/>
      <c r="C7" s="885" t="s">
        <v>133</v>
      </c>
      <c r="D7" s="177"/>
      <c r="E7" s="622" t="s">
        <v>134</v>
      </c>
      <c r="F7" s="186"/>
      <c r="G7" s="234"/>
      <c r="J7" s="115"/>
      <c r="Q7" s="3"/>
    </row>
    <row r="8" spans="2:28" ht="30" customHeight="1">
      <c r="B8" s="900" t="s">
        <v>91</v>
      </c>
      <c r="C8" s="901" t="s">
        <v>135</v>
      </c>
      <c r="D8" s="263"/>
      <c r="E8" s="903" t="s">
        <v>136</v>
      </c>
      <c r="F8" s="285" t="s">
        <v>137</v>
      </c>
      <c r="G8" s="903" t="s">
        <v>138</v>
      </c>
      <c r="H8" s="286"/>
      <c r="I8" s="903" t="s">
        <v>139</v>
      </c>
      <c r="J8" s="285" t="s">
        <v>137</v>
      </c>
      <c r="K8" s="903" t="s">
        <v>140</v>
      </c>
      <c r="M8" s="652" t="s">
        <v>60</v>
      </c>
      <c r="O8" s="911" t="s">
        <v>141</v>
      </c>
      <c r="Z8" s="114"/>
      <c r="AA8" s="114"/>
      <c r="AB8" s="114"/>
    </row>
    <row r="9" spans="2:28">
      <c r="B9" s="901"/>
      <c r="C9" s="902"/>
      <c r="D9" s="263"/>
      <c r="E9" s="904"/>
      <c r="F9" s="128">
        <v>100</v>
      </c>
      <c r="G9" s="904"/>
      <c r="H9" s="286"/>
      <c r="I9" s="904"/>
      <c r="J9" s="129">
        <v>121</v>
      </c>
      <c r="K9" s="904"/>
      <c r="M9" s="498">
        <v>1</v>
      </c>
      <c r="N9" s="498">
        <v>1</v>
      </c>
      <c r="O9" s="912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>
      <c r="B11" s="292">
        <v>1</v>
      </c>
      <c r="C11" s="293" t="s">
        <v>142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>
      <c r="B12" s="296" t="s">
        <v>143</v>
      </c>
      <c r="C12" s="297" t="s">
        <v>144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>
      <c r="B13" s="296" t="s">
        <v>145</v>
      </c>
      <c r="C13" s="297" t="s">
        <v>146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>
      <c r="B14" s="296" t="s">
        <v>147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>
      <c r="B15" s="296" t="s">
        <v>148</v>
      </c>
      <c r="C15" s="297" t="s">
        <v>149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>
      <c r="B16" s="296" t="s">
        <v>150</v>
      </c>
      <c r="C16" s="297" t="s">
        <v>151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>
      <c r="B18" s="292">
        <v>2</v>
      </c>
      <c r="C18" s="293" t="s">
        <v>152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6" t="s">
        <v>153</v>
      </c>
      <c r="C19" s="297" t="s">
        <v>154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155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2">
        <v>3</v>
      </c>
      <c r="C21" s="293" t="s">
        <v>156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157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6" t="s">
        <v>158</v>
      </c>
      <c r="C22" s="297" t="s">
        <v>159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160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6" t="s">
        <v>161</v>
      </c>
      <c r="C23" s="297" t="s">
        <v>162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6" t="s">
        <v>163</v>
      </c>
      <c r="C24" s="297" t="s">
        <v>164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6" t="s">
        <v>165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6" t="s">
        <v>166</v>
      </c>
      <c r="C26" s="297" t="s">
        <v>167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6" t="s">
        <v>168</v>
      </c>
      <c r="C29" s="297" t="s">
        <v>169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6" t="s">
        <v>170</v>
      </c>
      <c r="C30" s="297" t="s">
        <v>171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6" t="s">
        <v>172</v>
      </c>
      <c r="C31" s="297" t="s">
        <v>173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6" t="s">
        <v>172</v>
      </c>
      <c r="C32" s="297" t="s">
        <v>174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2">
        <v>5</v>
      </c>
      <c r="C34" s="293" t="s">
        <v>175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6" t="s">
        <v>176</v>
      </c>
      <c r="C35" s="297" t="s">
        <v>177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6" t="s">
        <v>178</v>
      </c>
      <c r="C36" s="297" t="s">
        <v>179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2">
        <v>6</v>
      </c>
      <c r="C38" s="293" t="s">
        <v>180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6" t="s">
        <v>181</v>
      </c>
      <c r="C39" s="291" t="s">
        <v>180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6" t="s">
        <v>182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2">
        <v>7</v>
      </c>
      <c r="C42" s="293" t="s">
        <v>183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6">
        <v>7.1</v>
      </c>
      <c r="C43" s="291" t="s">
        <v>184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2">
        <v>8</v>
      </c>
      <c r="C45" s="293" t="s">
        <v>185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6">
        <v>8.1</v>
      </c>
      <c r="C46" s="291" t="s">
        <v>186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6">
        <v>8.1999999999999993</v>
      </c>
      <c r="C47" s="291" t="s">
        <v>187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6">
        <v>8.3000000000000007</v>
      </c>
      <c r="C48" s="291" t="s">
        <v>188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6">
        <v>8.4</v>
      </c>
      <c r="C49" s="291" t="s">
        <v>189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6">
        <v>8.5</v>
      </c>
      <c r="C50" s="291" t="s">
        <v>190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6">
        <v>8.6</v>
      </c>
      <c r="C51" s="291" t="s">
        <v>191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45292</v>
      </c>
      <c r="D3" s="73" t="s">
        <v>194</v>
      </c>
      <c r="F3" s="81" t="s">
        <v>195</v>
      </c>
    </row>
    <row r="4" spans="3:8">
      <c r="C4" s="79">
        <v>45372</v>
      </c>
      <c r="D4" s="73" t="s">
        <v>196</v>
      </c>
      <c r="F4" s="81" t="s">
        <v>197</v>
      </c>
    </row>
    <row r="5" spans="3:8">
      <c r="C5" s="79">
        <v>45380</v>
      </c>
      <c r="D5" s="73" t="s">
        <v>198</v>
      </c>
      <c r="F5" s="81" t="s">
        <v>199</v>
      </c>
    </row>
    <row r="6" spans="3:8" ht="13" thickBot="1">
      <c r="C6" s="79">
        <v>45383</v>
      </c>
      <c r="D6" s="73" t="s">
        <v>200</v>
      </c>
      <c r="F6" s="82" t="s">
        <v>201</v>
      </c>
    </row>
    <row r="7" spans="3:8">
      <c r="C7" s="79">
        <v>45413</v>
      </c>
      <c r="D7" s="73" t="s">
        <v>202</v>
      </c>
    </row>
    <row r="8" spans="3:8">
      <c r="C8" s="79">
        <v>45460</v>
      </c>
      <c r="D8" s="73" t="s">
        <v>203</v>
      </c>
    </row>
    <row r="9" spans="3:8">
      <c r="C9" s="79">
        <v>45513</v>
      </c>
      <c r="D9" s="73" t="s">
        <v>204</v>
      </c>
    </row>
    <row r="10" spans="3:8">
      <c r="C10" s="79">
        <v>45559</v>
      </c>
      <c r="D10" s="73" t="s">
        <v>205</v>
      </c>
    </row>
    <row r="11" spans="3:8">
      <c r="C11" s="79">
        <v>45642</v>
      </c>
      <c r="D11" s="73" t="s">
        <v>206</v>
      </c>
    </row>
    <row r="12" spans="3:8">
      <c r="C12" s="79">
        <v>45651</v>
      </c>
      <c r="D12" s="73" t="s">
        <v>207</v>
      </c>
    </row>
    <row r="13" spans="3:8">
      <c r="C13" s="79">
        <v>45652</v>
      </c>
      <c r="D13" s="73" t="s">
        <v>208</v>
      </c>
      <c r="F13" s="85"/>
      <c r="H13" s="73" t="s">
        <v>209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H9" sqref="H9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>
      <c r="A2" s="263"/>
      <c r="B2" s="267" t="s">
        <v>210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5" thickBot="1">
      <c r="A4" s="263"/>
      <c r="B4" s="913"/>
      <c r="C4" s="913"/>
      <c r="D4" s="913"/>
      <c r="E4" s="654"/>
      <c r="F4" s="268" t="s">
        <v>211</v>
      </c>
      <c r="G4" s="263"/>
      <c r="H4" s="268" t="s">
        <v>74</v>
      </c>
      <c r="I4" s="263"/>
      <c r="J4" s="268" t="s">
        <v>75</v>
      </c>
      <c r="K4" s="263"/>
      <c r="L4" s="269" t="s">
        <v>212</v>
      </c>
      <c r="M4" s="114"/>
      <c r="N4" s="269" t="s">
        <v>213</v>
      </c>
      <c r="O4" s="114"/>
      <c r="P4" s="114"/>
    </row>
    <row r="5" spans="1:16" ht="14.5" thickBot="1">
      <c r="A5" s="263"/>
      <c r="B5" s="914" t="s">
        <v>214</v>
      </c>
      <c r="C5" s="914"/>
      <c r="D5" s="914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5" thickBot="1">
      <c r="A7" s="263"/>
      <c r="B7" s="273" t="s">
        <v>91</v>
      </c>
      <c r="C7" s="274"/>
      <c r="D7" s="273" t="s">
        <v>215</v>
      </c>
      <c r="E7" s="274"/>
      <c r="F7" s="275" t="s">
        <v>216</v>
      </c>
      <c r="G7" s="276"/>
      <c r="H7" s="275" t="s">
        <v>217</v>
      </c>
      <c r="I7" s="276"/>
      <c r="J7" s="275" t="s">
        <v>218</v>
      </c>
      <c r="K7" s="276"/>
      <c r="L7" s="275" t="s">
        <v>219</v>
      </c>
      <c r="M7" s="190"/>
      <c r="N7" s="275" t="s">
        <v>219</v>
      </c>
      <c r="O7" s="190"/>
      <c r="P7" s="117" t="s">
        <v>220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221</v>
      </c>
    </row>
    <row r="22" spans="1:16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222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>
      <c r="A27" s="622" t="s">
        <v>223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71" zoomScaleNormal="85" workbookViewId="0">
      <pane ySplit="4" topLeftCell="A60" activePane="bottomLeft" state="frozen"/>
      <selection activeCell="Q24" sqref="Q24"/>
      <selection pane="bottomLeft" activeCell="O45" sqref="O45"/>
    </sheetView>
  </sheetViews>
  <sheetFormatPr defaultColWidth="9.45312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29.453125" style="24" hidden="1" customWidth="1"/>
    <col min="5" max="5" width="8.4531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.453125" style="114" hidden="1" customWidth="1"/>
    <col min="10" max="10" width="17.453125" style="460" hidden="1" customWidth="1"/>
    <col min="11" max="11" width="22.453125" style="460" customWidth="1"/>
    <col min="12" max="12" width="5.54296875" style="114" customWidth="1"/>
    <col min="13" max="13" width="5.54296875" style="24" customWidth="1"/>
    <col min="14" max="14" width="25.54296875" style="24" customWidth="1"/>
    <col min="15" max="15" width="61.453125" style="24" customWidth="1"/>
    <col min="16" max="16" width="15.54296875" style="70" customWidth="1"/>
    <col min="17" max="17" width="17.453125" style="64" customWidth="1"/>
    <col min="18" max="18" width="16.54296875" style="461" customWidth="1"/>
    <col min="19" max="19" width="36.54296875" style="468" customWidth="1"/>
    <col min="20" max="20" width="13" style="65" customWidth="1"/>
    <col min="21" max="22" width="16.453125" style="65" customWidth="1"/>
    <col min="23" max="23" width="13.453125" style="479" customWidth="1"/>
    <col min="24" max="24" width="20.54296875" style="24" customWidth="1"/>
    <col min="25" max="25" width="43.453125" style="65" bestFit="1" customWidth="1"/>
    <col min="26" max="26" width="57" style="114" customWidth="1"/>
    <col min="27" max="27" width="29.453125" style="114" bestFit="1" customWidth="1"/>
    <col min="28" max="28" width="19.54296875" style="114" customWidth="1"/>
    <col min="29" max="29" width="2.453125" style="114" customWidth="1"/>
    <col min="30" max="30" width="31.453125" style="114" bestFit="1" customWidth="1"/>
    <col min="31" max="31" width="17.453125" style="114" customWidth="1"/>
    <col min="32" max="32" width="12.54296875" style="114" bestFit="1" customWidth="1"/>
    <col min="33" max="43" width="9.453125" style="114"/>
    <col min="44" max="16384" width="9.45312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93" t="s">
        <v>224</v>
      </c>
      <c r="C2" s="994"/>
      <c r="D2" s="994"/>
      <c r="E2" s="994"/>
      <c r="F2" s="994"/>
      <c r="G2" s="994"/>
      <c r="H2" s="995"/>
      <c r="J2" s="307">
        <f>SUM(J6:J141)</f>
        <v>4800198.66</v>
      </c>
      <c r="K2" s="307">
        <f>SUM(K6:K141)</f>
        <v>5630032.7720099995</v>
      </c>
      <c r="M2" s="996" t="s">
        <v>225</v>
      </c>
      <c r="N2" s="997"/>
      <c r="O2" s="997"/>
      <c r="P2" s="997"/>
      <c r="Q2" s="997"/>
      <c r="R2" s="997"/>
      <c r="S2" s="976" t="s">
        <v>226</v>
      </c>
      <c r="T2" s="977"/>
      <c r="U2" s="977"/>
      <c r="V2" s="977"/>
      <c r="W2" s="978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.5" thickBot="1">
      <c r="A4" s="167"/>
      <c r="B4" s="308" t="s">
        <v>227</v>
      </c>
      <c r="C4" s="309" t="s">
        <v>228</v>
      </c>
      <c r="D4" s="309" t="s">
        <v>229</v>
      </c>
      <c r="E4" s="309" t="s">
        <v>230</v>
      </c>
      <c r="F4" s="309" t="s">
        <v>231</v>
      </c>
      <c r="G4" s="310" t="s">
        <v>232</v>
      </c>
      <c r="H4" s="311" t="s">
        <v>233</v>
      </c>
      <c r="I4" s="312"/>
      <c r="J4" s="313" t="s">
        <v>234</v>
      </c>
      <c r="K4" s="313" t="str">
        <f>IF(K2-'Revenue Tracking'!D4&gt;=0, "Total Revenue", "ERROR on REV" )</f>
        <v>Total Revenue</v>
      </c>
      <c r="L4" s="167"/>
      <c r="M4" s="308" t="s">
        <v>227</v>
      </c>
      <c r="N4" s="309" t="s">
        <v>235</v>
      </c>
      <c r="O4" s="309" t="s">
        <v>229</v>
      </c>
      <c r="P4" s="309" t="s">
        <v>230</v>
      </c>
      <c r="Q4" s="309" t="s">
        <v>231</v>
      </c>
      <c r="R4" s="564" t="s">
        <v>236</v>
      </c>
      <c r="S4" s="113" t="s">
        <v>96</v>
      </c>
      <c r="T4" s="534" t="s">
        <v>97</v>
      </c>
      <c r="U4" s="535" t="s">
        <v>237</v>
      </c>
      <c r="V4" s="536" t="s">
        <v>238</v>
      </c>
      <c r="W4" s="534" t="s">
        <v>239</v>
      </c>
      <c r="X4" s="481" t="s">
        <v>234</v>
      </c>
      <c r="Y4" s="113" t="s">
        <v>240</v>
      </c>
      <c r="Z4" s="113" t="s">
        <v>241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242</v>
      </c>
      <c r="D6" s="487" t="s">
        <v>243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57">
        <f>SUM(G6:G14)</f>
        <v>1642699.21</v>
      </c>
      <c r="K6" s="957">
        <v>1955594.298</v>
      </c>
      <c r="L6" s="587"/>
      <c r="M6" s="347">
        <v>1</v>
      </c>
      <c r="N6" s="668" t="s">
        <v>244</v>
      </c>
      <c r="O6" s="487" t="s">
        <v>245</v>
      </c>
      <c r="P6" s="731">
        <v>1073</v>
      </c>
      <c r="Q6" s="739">
        <v>1415.25</v>
      </c>
      <c r="R6" s="404">
        <f>P6*Q6*0.5</f>
        <v>759281.625</v>
      </c>
      <c r="S6" s="553" t="s">
        <v>246</v>
      </c>
      <c r="T6" s="744">
        <v>45504</v>
      </c>
      <c r="U6" s="748">
        <v>940631.81594160025</v>
      </c>
      <c r="V6" s="979">
        <f>K6-SUM(U6:U14)</f>
        <v>1.3203187845647335E-3</v>
      </c>
      <c r="W6" s="744">
        <v>45562</v>
      </c>
      <c r="X6" s="926">
        <f>SUM(R6:R14)</f>
        <v>1520595.14</v>
      </c>
      <c r="Y6" s="918" t="s">
        <v>247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248</v>
      </c>
      <c r="E7" s="733"/>
      <c r="F7" s="734"/>
      <c r="G7" s="404"/>
      <c r="H7" s="356"/>
      <c r="I7" s="357"/>
      <c r="J7" s="958"/>
      <c r="K7" s="958"/>
      <c r="L7" s="358"/>
      <c r="M7" s="400">
        <v>1</v>
      </c>
      <c r="N7" s="402" t="s">
        <v>244</v>
      </c>
      <c r="O7" s="589"/>
      <c r="P7" s="733"/>
      <c r="Q7" s="734"/>
      <c r="R7" s="404">
        <v>618186.63</v>
      </c>
      <c r="S7" s="548" t="s">
        <v>246</v>
      </c>
      <c r="T7" s="745">
        <v>45504</v>
      </c>
      <c r="U7" s="749">
        <v>940631.81594160025</v>
      </c>
      <c r="V7" s="980"/>
      <c r="W7" s="802">
        <v>45582</v>
      </c>
      <c r="X7" s="927"/>
      <c r="Y7" s="924"/>
      <c r="Z7" s="200"/>
      <c r="AA7" s="171" t="s">
        <v>249</v>
      </c>
      <c r="AB7" s="172" t="s">
        <v>250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58"/>
      <c r="K8" s="958"/>
      <c r="L8" s="358"/>
      <c r="M8" s="400">
        <v>1</v>
      </c>
      <c r="N8" s="402" t="s">
        <v>244</v>
      </c>
      <c r="O8" s="589"/>
      <c r="P8" s="733"/>
      <c r="Q8" s="734"/>
      <c r="R8" s="404">
        <f>759281.625-R7</f>
        <v>141094.995</v>
      </c>
      <c r="S8" s="548" t="s">
        <v>246</v>
      </c>
      <c r="T8" s="745">
        <v>45504</v>
      </c>
      <c r="U8" s="749">
        <v>0</v>
      </c>
      <c r="V8" s="980"/>
      <c r="W8" s="802">
        <v>45596</v>
      </c>
      <c r="X8" s="927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58"/>
      <c r="K9" s="958"/>
      <c r="L9" s="358"/>
      <c r="M9" s="400">
        <v>1</v>
      </c>
      <c r="N9" s="402" t="s">
        <v>244</v>
      </c>
      <c r="O9" s="589" t="s">
        <v>251</v>
      </c>
      <c r="P9" s="733">
        <v>15</v>
      </c>
      <c r="Q9" s="859">
        <v>-1415.25</v>
      </c>
      <c r="R9" s="404">
        <f>P9*Q9</f>
        <v>-21228.75</v>
      </c>
      <c r="S9" s="548" t="s">
        <v>252</v>
      </c>
      <c r="T9" s="842">
        <v>45716</v>
      </c>
      <c r="U9" s="749"/>
      <c r="V9" s="980"/>
      <c r="W9" s="802">
        <v>45716</v>
      </c>
      <c r="X9" s="927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58"/>
      <c r="K10" s="958"/>
      <c r="L10" s="358"/>
      <c r="M10" s="400">
        <v>1</v>
      </c>
      <c r="N10" s="402" t="s">
        <v>244</v>
      </c>
      <c r="O10" s="589" t="s">
        <v>253</v>
      </c>
      <c r="P10" s="733">
        <v>2</v>
      </c>
      <c r="Q10" s="859">
        <v>1415.25</v>
      </c>
      <c r="R10" s="404">
        <f>P10*Q10</f>
        <v>2830.5</v>
      </c>
      <c r="S10" s="548" t="s">
        <v>254</v>
      </c>
      <c r="T10" s="745">
        <v>45900</v>
      </c>
      <c r="U10" s="749"/>
      <c r="V10" s="980"/>
      <c r="W10" s="767">
        <v>45900</v>
      </c>
      <c r="X10" s="927"/>
      <c r="Y10" s="858" t="s">
        <v>255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58"/>
      <c r="K11" s="958"/>
      <c r="L11" s="358"/>
      <c r="M11" s="400">
        <v>1</v>
      </c>
      <c r="N11" s="402" t="s">
        <v>244</v>
      </c>
      <c r="O11" s="589" t="s">
        <v>256</v>
      </c>
      <c r="P11" s="733"/>
      <c r="Q11" s="734"/>
      <c r="R11" s="590">
        <v>2600</v>
      </c>
      <c r="S11" s="548" t="s">
        <v>257</v>
      </c>
      <c r="T11" s="745">
        <v>45688</v>
      </c>
      <c r="U11" s="526"/>
      <c r="V11" s="980"/>
      <c r="W11" s="767">
        <v>45673</v>
      </c>
      <c r="X11" s="927"/>
      <c r="Y11" s="209"/>
      <c r="Z11" s="200"/>
      <c r="AA11" s="173" t="s">
        <v>258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256</v>
      </c>
      <c r="E12" s="733"/>
      <c r="F12" s="734"/>
      <c r="G12" s="404">
        <v>40000</v>
      </c>
      <c r="H12" s="356">
        <f>H6</f>
        <v>45698</v>
      </c>
      <c r="I12" s="357"/>
      <c r="J12" s="958"/>
      <c r="K12" s="958"/>
      <c r="L12" s="358"/>
      <c r="M12" s="400">
        <v>1</v>
      </c>
      <c r="N12" s="402" t="s">
        <v>244</v>
      </c>
      <c r="O12" s="589" t="s">
        <v>256</v>
      </c>
      <c r="P12" s="733"/>
      <c r="Q12" s="734"/>
      <c r="R12" s="404">
        <v>9050</v>
      </c>
      <c r="S12" s="548" t="s">
        <v>257</v>
      </c>
      <c r="T12" s="842">
        <v>45657</v>
      </c>
      <c r="U12" s="749">
        <v>63458.248770675971</v>
      </c>
      <c r="V12" s="980"/>
      <c r="W12" s="767">
        <v>45673</v>
      </c>
      <c r="X12" s="927"/>
      <c r="Y12" s="209"/>
      <c r="Z12" s="200"/>
      <c r="AA12" s="173" t="s">
        <v>259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58"/>
      <c r="K13" s="958"/>
      <c r="L13" s="358"/>
      <c r="M13" s="400">
        <v>1</v>
      </c>
      <c r="N13" s="402" t="s">
        <v>244</v>
      </c>
      <c r="O13" s="589" t="s">
        <v>260</v>
      </c>
      <c r="P13" s="733"/>
      <c r="Q13" s="734"/>
      <c r="R13" s="404">
        <v>4860</v>
      </c>
      <c r="S13" s="548" t="s">
        <v>261</v>
      </c>
      <c r="T13" s="745">
        <v>45596</v>
      </c>
      <c r="U13" s="749">
        <v>5882.6761055091274</v>
      </c>
      <c r="V13" s="980"/>
      <c r="W13" s="767">
        <v>45625</v>
      </c>
      <c r="X13" s="927"/>
      <c r="Y13" s="209"/>
      <c r="Z13" s="200"/>
      <c r="AA13" s="173" t="s">
        <v>262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59"/>
      <c r="K14" s="959"/>
      <c r="L14" s="361"/>
      <c r="M14" s="406">
        <v>1</v>
      </c>
      <c r="N14" s="670" t="s">
        <v>244</v>
      </c>
      <c r="O14" s="670" t="s">
        <v>260</v>
      </c>
      <c r="P14" s="736"/>
      <c r="Q14" s="737"/>
      <c r="R14" s="427">
        <v>3920.14</v>
      </c>
      <c r="S14" s="834" t="s">
        <v>263</v>
      </c>
      <c r="T14" s="831">
        <v>45626</v>
      </c>
      <c r="U14" s="840">
        <v>4989.7399202958823</v>
      </c>
      <c r="V14" s="981"/>
      <c r="W14" s="841">
        <v>45645</v>
      </c>
      <c r="X14" s="928"/>
      <c r="Y14" s="215"/>
      <c r="Z14" s="201"/>
      <c r="AA14" s="173" t="s">
        <v>264</v>
      </c>
      <c r="AB14" s="174">
        <f>C89</f>
        <v>148770</v>
      </c>
      <c r="AD14" s="651"/>
    </row>
    <row r="15" spans="1:43" ht="14.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265</v>
      </c>
      <c r="U15" s="512"/>
      <c r="V15" s="646"/>
      <c r="W15" s="473"/>
      <c r="X15" s="483"/>
      <c r="Y15" s="213"/>
      <c r="Z15" s="198"/>
      <c r="AA15" s="173" t="s">
        <v>266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267</v>
      </c>
      <c r="D16" s="410" t="s">
        <v>268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87">
        <f>SUM(G16:G19)</f>
        <v>394490</v>
      </c>
      <c r="K16" s="987">
        <v>469630.95240000001</v>
      </c>
      <c r="L16" s="374"/>
      <c r="M16" s="367">
        <v>2</v>
      </c>
      <c r="N16" s="671" t="s">
        <v>269</v>
      </c>
      <c r="O16" s="410" t="s">
        <v>268</v>
      </c>
      <c r="P16" s="503">
        <v>5</v>
      </c>
      <c r="Q16" s="591">
        <v>68870</v>
      </c>
      <c r="R16" s="371">
        <f>P16*Q16</f>
        <v>344350</v>
      </c>
      <c r="S16" s="592" t="s">
        <v>270</v>
      </c>
      <c r="T16" s="775">
        <v>45565</v>
      </c>
      <c r="U16" s="804">
        <v>468128.44158978289</v>
      </c>
      <c r="V16" s="982">
        <f>K16-SUM(U16:U19)</f>
        <v>0</v>
      </c>
      <c r="W16" s="808">
        <f>T16+30</f>
        <v>45595</v>
      </c>
      <c r="X16" s="939">
        <f>SUM(R16:R19)</f>
        <v>345455.23</v>
      </c>
      <c r="Y16" s="216"/>
      <c r="Z16" s="202" t="s">
        <v>271</v>
      </c>
      <c r="AA16" s="173" t="s">
        <v>272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88"/>
      <c r="K17" s="988"/>
      <c r="L17" s="383"/>
      <c r="M17" s="411">
        <v>2</v>
      </c>
      <c r="N17" s="672" t="s">
        <v>269</v>
      </c>
      <c r="O17" s="412"/>
      <c r="P17" s="593"/>
      <c r="Q17" s="594"/>
      <c r="R17" s="413"/>
      <c r="S17" s="550"/>
      <c r="T17" s="513" t="s">
        <v>265</v>
      </c>
      <c r="U17" s="750">
        <v>0</v>
      </c>
      <c r="V17" s="983"/>
      <c r="W17" s="471"/>
      <c r="X17" s="940"/>
      <c r="Y17" s="210"/>
      <c r="Z17" s="195"/>
      <c r="AA17" s="173" t="s">
        <v>260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88"/>
      <c r="K18" s="988"/>
      <c r="L18" s="383"/>
      <c r="M18" s="411">
        <v>2</v>
      </c>
      <c r="N18" s="672" t="s">
        <v>269</v>
      </c>
      <c r="O18" s="412" t="s">
        <v>256</v>
      </c>
      <c r="P18" s="593"/>
      <c r="Q18" s="594"/>
      <c r="R18" s="413">
        <v>1105.23</v>
      </c>
      <c r="S18" s="592" t="s">
        <v>270</v>
      </c>
      <c r="T18" s="747">
        <v>45565</v>
      </c>
      <c r="U18" s="750">
        <v>1502.5108102171505</v>
      </c>
      <c r="V18" s="983"/>
      <c r="W18" s="809">
        <f>W16</f>
        <v>45595</v>
      </c>
      <c r="X18" s="940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89"/>
      <c r="K19" s="989"/>
      <c r="L19" s="392"/>
      <c r="M19" s="595">
        <v>2</v>
      </c>
      <c r="N19" s="673" t="s">
        <v>269</v>
      </c>
      <c r="O19" s="596"/>
      <c r="P19" s="597"/>
      <c r="Q19" s="598"/>
      <c r="R19" s="599"/>
      <c r="S19" s="549"/>
      <c r="T19" s="519" t="s">
        <v>265</v>
      </c>
      <c r="U19" s="805">
        <v>0</v>
      </c>
      <c r="V19" s="984"/>
      <c r="W19" s="477"/>
      <c r="X19" s="941"/>
      <c r="Y19" s="217"/>
      <c r="Z19" s="203"/>
      <c r="AA19" s="173" t="s">
        <v>273</v>
      </c>
      <c r="AB19" s="175">
        <v>0</v>
      </c>
    </row>
    <row r="20" spans="1:43" ht="14.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265</v>
      </c>
      <c r="U20" s="512"/>
      <c r="V20" s="646"/>
      <c r="W20" s="473"/>
      <c r="X20" s="483"/>
      <c r="Y20" s="213"/>
      <c r="Z20" s="198"/>
      <c r="AA20" s="173" t="s">
        <v>125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274</v>
      </c>
      <c r="D21" s="421" t="s">
        <v>275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57">
        <f>SUM(G21:G25)</f>
        <v>238032</v>
      </c>
      <c r="K21" s="957">
        <v>283371.42859999998</v>
      </c>
      <c r="L21" s="353"/>
      <c r="M21" s="347">
        <v>3</v>
      </c>
      <c r="N21" s="674" t="s">
        <v>276</v>
      </c>
      <c r="O21" s="421" t="s">
        <v>275</v>
      </c>
      <c r="P21" s="349"/>
      <c r="Q21" s="691"/>
      <c r="R21" s="350">
        <v>112831.4</v>
      </c>
      <c r="S21" s="540" t="s">
        <v>277</v>
      </c>
      <c r="T21" s="766">
        <v>45565</v>
      </c>
      <c r="U21" s="778">
        <v>278800.18040360545</v>
      </c>
      <c r="V21" s="929">
        <f>K21-SUM(U21:U25)</f>
        <v>0</v>
      </c>
      <c r="W21" s="774">
        <v>45558</v>
      </c>
      <c r="X21" s="926">
        <f>SUM(R21:R25)</f>
        <v>73364.099999999991</v>
      </c>
      <c r="Y21" s="214" t="s">
        <v>278</v>
      </c>
      <c r="Z21" s="199"/>
      <c r="AA21" s="173" t="s">
        <v>279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58"/>
      <c r="K22" s="958"/>
      <c r="L22" s="358"/>
      <c r="M22" s="400">
        <v>3</v>
      </c>
      <c r="N22" s="675" t="s">
        <v>276</v>
      </c>
      <c r="O22" s="423" t="s">
        <v>280</v>
      </c>
      <c r="P22" s="852">
        <v>500</v>
      </c>
      <c r="Q22" s="853">
        <v>24.13</v>
      </c>
      <c r="R22" s="404">
        <v>12065</v>
      </c>
      <c r="S22" s="548" t="s">
        <v>281</v>
      </c>
      <c r="T22" s="745">
        <v>45688</v>
      </c>
      <c r="U22" s="749">
        <v>0</v>
      </c>
      <c r="V22" s="930"/>
      <c r="W22" s="767">
        <v>45688</v>
      </c>
      <c r="X22" s="927"/>
      <c r="Y22" s="209" t="s">
        <v>282</v>
      </c>
      <c r="Z22" s="200"/>
      <c r="AA22" s="178" t="s">
        <v>283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58"/>
      <c r="K23" s="958"/>
      <c r="L23" s="358"/>
      <c r="M23" s="400">
        <v>3</v>
      </c>
      <c r="N23" s="675" t="s">
        <v>276</v>
      </c>
      <c r="O23" s="423" t="s">
        <v>256</v>
      </c>
      <c r="P23" s="405"/>
      <c r="Q23" s="424"/>
      <c r="R23" s="404">
        <v>1850</v>
      </c>
      <c r="S23" s="548" t="s">
        <v>284</v>
      </c>
      <c r="T23" s="745">
        <v>45565</v>
      </c>
      <c r="U23" s="749">
        <v>4571.2481963945329</v>
      </c>
      <c r="V23" s="930"/>
      <c r="W23" s="767">
        <v>45558</v>
      </c>
      <c r="X23" s="927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58"/>
      <c r="K24" s="958"/>
      <c r="L24" s="358"/>
      <c r="M24" s="575"/>
      <c r="N24" s="847" t="s">
        <v>276</v>
      </c>
      <c r="O24" s="577"/>
      <c r="P24" s="578"/>
      <c r="Q24" s="579"/>
      <c r="R24" s="580">
        <v>-58094.8</v>
      </c>
      <c r="S24" s="839" t="s">
        <v>285</v>
      </c>
      <c r="T24" s="831">
        <v>45626</v>
      </c>
      <c r="U24" s="848">
        <v>0</v>
      </c>
      <c r="V24" s="930"/>
      <c r="W24" s="849">
        <v>45626</v>
      </c>
      <c r="X24" s="927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59"/>
      <c r="K25" s="959"/>
      <c r="L25" s="361"/>
      <c r="M25" s="406">
        <v>3</v>
      </c>
      <c r="N25" s="676" t="s">
        <v>276</v>
      </c>
      <c r="O25" s="425"/>
      <c r="P25" s="850"/>
      <c r="Q25" s="851"/>
      <c r="R25" s="427">
        <v>4712.5</v>
      </c>
      <c r="S25" s="834" t="s">
        <v>286</v>
      </c>
      <c r="T25" s="831">
        <v>45777</v>
      </c>
      <c r="U25" s="806">
        <v>0</v>
      </c>
      <c r="V25" s="931"/>
      <c r="W25" s="841">
        <v>45806</v>
      </c>
      <c r="X25" s="928"/>
      <c r="Y25" s="215"/>
      <c r="Z25" s="201"/>
      <c r="AA25" s="179" t="s">
        <v>287</v>
      </c>
      <c r="AB25" s="180" t="s">
        <v>288</v>
      </c>
      <c r="AP25" s="24"/>
      <c r="AQ25" s="24"/>
    </row>
    <row r="26" spans="1:43" ht="14.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265</v>
      </c>
      <c r="U26" s="512"/>
      <c r="V26" s="646"/>
      <c r="W26" s="473"/>
      <c r="X26" s="483"/>
      <c r="Y26" s="213"/>
      <c r="Z26" s="198"/>
      <c r="AA26" s="181" t="s">
        <v>258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259</v>
      </c>
      <c r="D27" s="368" t="s">
        <v>289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87">
        <f>SUM(G27:G37)</f>
        <v>419782.9</v>
      </c>
      <c r="K27" s="987">
        <v>499741.54759999999</v>
      </c>
      <c r="L27" s="374"/>
      <c r="M27" s="367">
        <v>4</v>
      </c>
      <c r="N27" s="677" t="s">
        <v>290</v>
      </c>
      <c r="O27" s="368" t="s">
        <v>289</v>
      </c>
      <c r="P27" s="503">
        <v>9000</v>
      </c>
      <c r="Q27" s="591">
        <v>13.5</v>
      </c>
      <c r="R27" s="371">
        <f>P27*Q27</f>
        <v>121500</v>
      </c>
      <c r="S27" s="550" t="s">
        <v>291</v>
      </c>
      <c r="T27" s="775">
        <v>45626</v>
      </c>
      <c r="U27" s="804">
        <v>116715.44808459468</v>
      </c>
      <c r="V27" s="985">
        <f>K27-SUM(U27:U37)</f>
        <v>-2.7933417586609721E-3</v>
      </c>
      <c r="W27" s="843">
        <v>45645</v>
      </c>
      <c r="X27" s="939">
        <f>SUM(R27:R37)</f>
        <v>550887.39999999991</v>
      </c>
      <c r="Y27" s="216" t="s">
        <v>292</v>
      </c>
      <c r="Z27" s="202"/>
      <c r="AA27" s="181" t="s">
        <v>259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293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88"/>
      <c r="K28" s="988"/>
      <c r="L28" s="383"/>
      <c r="M28" s="375">
        <v>4</v>
      </c>
      <c r="N28" s="678" t="s">
        <v>290</v>
      </c>
      <c r="O28" s="631" t="s">
        <v>289</v>
      </c>
      <c r="P28" s="593">
        <v>6000</v>
      </c>
      <c r="Q28" s="594"/>
      <c r="R28" s="380">
        <v>79800</v>
      </c>
      <c r="S28" s="550" t="s">
        <v>294</v>
      </c>
      <c r="T28" s="775">
        <v>45626</v>
      </c>
      <c r="U28" s="821">
        <v>78043.755087659709</v>
      </c>
      <c r="V28" s="986"/>
      <c r="W28" s="809">
        <v>45680</v>
      </c>
      <c r="X28" s="940"/>
      <c r="Y28" s="632" t="s">
        <v>295</v>
      </c>
      <c r="Z28" s="633" t="s">
        <v>296</v>
      </c>
      <c r="AA28" s="181" t="s">
        <v>262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88"/>
      <c r="K29" s="988"/>
      <c r="L29" s="383"/>
      <c r="M29" s="375">
        <v>4</v>
      </c>
      <c r="N29" s="678" t="s">
        <v>290</v>
      </c>
      <c r="O29" s="631" t="s">
        <v>289</v>
      </c>
      <c r="P29" s="593">
        <v>3000</v>
      </c>
      <c r="Q29" s="594">
        <v>13.3</v>
      </c>
      <c r="R29" s="380">
        <f>P29*Q29</f>
        <v>39900</v>
      </c>
      <c r="S29" s="550" t="s">
        <v>297</v>
      </c>
      <c r="T29" s="775">
        <v>45688</v>
      </c>
      <c r="U29" s="821">
        <v>10968.287806353896</v>
      </c>
      <c r="V29" s="986"/>
      <c r="W29" s="809">
        <v>45744</v>
      </c>
      <c r="X29" s="940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298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88"/>
      <c r="K30" s="988"/>
      <c r="L30" s="383"/>
      <c r="M30" s="375">
        <v>4</v>
      </c>
      <c r="N30" s="678" t="s">
        <v>290</v>
      </c>
      <c r="O30" s="631" t="s">
        <v>299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300</v>
      </c>
      <c r="T30" s="775">
        <v>45596</v>
      </c>
      <c r="U30" s="821">
        <v>92972.105752900607</v>
      </c>
      <c r="V30" s="986"/>
      <c r="W30" s="818">
        <f>W88</f>
        <v>45603</v>
      </c>
      <c r="X30" s="940"/>
      <c r="Y30" s="915" t="s">
        <v>301</v>
      </c>
      <c r="Z30" s="633"/>
      <c r="AA30" s="181" t="s">
        <v>264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302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88"/>
      <c r="K31" s="988"/>
      <c r="L31" s="383"/>
      <c r="M31" s="375">
        <v>4</v>
      </c>
      <c r="N31" s="678" t="s">
        <v>290</v>
      </c>
      <c r="O31" s="631" t="s">
        <v>303</v>
      </c>
      <c r="P31" s="659"/>
      <c r="Q31" s="692">
        <v>0.2</v>
      </c>
      <c r="R31" s="380">
        <f t="shared" ref="R31:R34" si="1">$P$30*Q31</f>
        <v>61937.48000000001</v>
      </c>
      <c r="S31" s="816" t="s">
        <v>304</v>
      </c>
      <c r="T31" s="832">
        <f t="shared" ref="T31:T33" si="2">T89</f>
        <v>45626</v>
      </c>
      <c r="U31" s="821">
        <v>60574.354885549154</v>
      </c>
      <c r="V31" s="986"/>
      <c r="W31" s="809">
        <f>W89</f>
        <v>45638</v>
      </c>
      <c r="X31" s="940"/>
      <c r="Y31" s="916"/>
      <c r="Z31" s="633"/>
      <c r="AA31" s="181" t="s">
        <v>266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305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88"/>
      <c r="K32" s="988"/>
      <c r="L32" s="383"/>
      <c r="M32" s="375">
        <v>4</v>
      </c>
      <c r="N32" s="678" t="s">
        <v>290</v>
      </c>
      <c r="O32" s="631" t="s">
        <v>306</v>
      </c>
      <c r="P32" s="659"/>
      <c r="Q32" s="692">
        <v>0.3</v>
      </c>
      <c r="R32" s="380">
        <f t="shared" si="1"/>
        <v>92906.22</v>
      </c>
      <c r="S32" s="816" t="s">
        <v>307</v>
      </c>
      <c r="T32" s="775">
        <f t="shared" si="2"/>
        <v>45716</v>
      </c>
      <c r="U32" s="862">
        <v>84280.559265770251</v>
      </c>
      <c r="V32" s="986"/>
      <c r="W32" s="809">
        <f t="shared" ref="W32:W34" si="3">W90</f>
        <v>45708</v>
      </c>
      <c r="X32" s="940"/>
      <c r="Y32" s="916"/>
      <c r="Z32" s="633"/>
      <c r="AA32" s="181" t="s">
        <v>272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88"/>
      <c r="K33" s="988"/>
      <c r="L33" s="383"/>
      <c r="M33" s="375">
        <v>4</v>
      </c>
      <c r="N33" s="678" t="s">
        <v>290</v>
      </c>
      <c r="O33" s="631" t="s">
        <v>308</v>
      </c>
      <c r="P33" s="659"/>
      <c r="Q33" s="692">
        <v>0.15</v>
      </c>
      <c r="R33" s="380">
        <f t="shared" si="1"/>
        <v>46453.11</v>
      </c>
      <c r="S33" s="816" t="s">
        <v>307</v>
      </c>
      <c r="T33" s="775">
        <f t="shared" si="2"/>
        <v>45716</v>
      </c>
      <c r="U33" s="862">
        <v>42140.279632885125</v>
      </c>
      <c r="V33" s="986"/>
      <c r="W33" s="809">
        <f t="shared" si="3"/>
        <v>45722</v>
      </c>
      <c r="X33" s="940"/>
      <c r="Y33" s="916"/>
      <c r="Z33" s="633"/>
      <c r="AA33" s="181" t="s">
        <v>260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88"/>
      <c r="K34" s="988"/>
      <c r="L34" s="383"/>
      <c r="M34" s="375">
        <v>4</v>
      </c>
      <c r="N34" s="678" t="s">
        <v>290</v>
      </c>
      <c r="O34" s="631" t="s">
        <v>309</v>
      </c>
      <c r="P34" s="659"/>
      <c r="Q34" s="692">
        <v>0.05</v>
      </c>
      <c r="R34" s="380">
        <f t="shared" si="1"/>
        <v>15484.370000000003</v>
      </c>
      <c r="S34" s="550" t="s">
        <v>310</v>
      </c>
      <c r="T34" s="775">
        <v>45716</v>
      </c>
      <c r="U34" s="862">
        <v>14046.759877628376</v>
      </c>
      <c r="V34" s="986"/>
      <c r="W34" s="809">
        <f t="shared" si="3"/>
        <v>45744</v>
      </c>
      <c r="X34" s="940"/>
      <c r="Y34" s="916"/>
      <c r="Z34" s="633"/>
      <c r="AA34" s="181" t="s">
        <v>311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88"/>
      <c r="K35" s="988"/>
      <c r="L35" s="383"/>
      <c r="M35" s="375">
        <v>4</v>
      </c>
      <c r="N35" s="678" t="s">
        <v>290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67"/>
      <c r="W35" s="471"/>
      <c r="X35" s="940"/>
      <c r="Y35" s="916"/>
      <c r="Z35" s="195"/>
      <c r="AA35" s="181" t="s">
        <v>273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88"/>
      <c r="K36" s="988"/>
      <c r="L36" s="383"/>
      <c r="M36" s="375">
        <v>4</v>
      </c>
      <c r="N36" s="678" t="s">
        <v>290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67"/>
      <c r="W36" s="471"/>
      <c r="X36" s="940"/>
      <c r="Y36" s="916"/>
      <c r="Z36" s="195"/>
      <c r="AA36" s="181" t="s">
        <v>273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89"/>
      <c r="K37" s="989"/>
      <c r="L37" s="392"/>
      <c r="M37" s="384">
        <v>4</v>
      </c>
      <c r="N37" s="679" t="s">
        <v>290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68"/>
      <c r="W37" s="477"/>
      <c r="X37" s="941"/>
      <c r="Y37" s="917"/>
      <c r="Z37" s="203"/>
      <c r="AA37" s="181" t="s">
        <v>273</v>
      </c>
      <c r="AB37" s="183">
        <v>0</v>
      </c>
      <c r="AD37" s="651"/>
      <c r="AE37" s="651"/>
      <c r="AP37" s="24"/>
      <c r="AQ37" s="24"/>
    </row>
    <row r="38" spans="1:43" ht="14.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125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312</v>
      </c>
      <c r="D39" s="421" t="s">
        <v>313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57">
        <f>SUM(G39:G54)</f>
        <v>49000</v>
      </c>
      <c r="K39" s="957">
        <v>58333.333330000001</v>
      </c>
      <c r="L39" s="353"/>
      <c r="M39" s="347">
        <v>5</v>
      </c>
      <c r="N39" s="674" t="s">
        <v>314</v>
      </c>
      <c r="O39" s="348" t="s">
        <v>313</v>
      </c>
      <c r="P39" s="660">
        <v>1</v>
      </c>
      <c r="Q39" s="662">
        <v>8000</v>
      </c>
      <c r="R39" s="350">
        <f>Q39*P39</f>
        <v>8000</v>
      </c>
      <c r="S39" s="540" t="s">
        <v>315</v>
      </c>
      <c r="T39" s="766">
        <v>45535</v>
      </c>
      <c r="U39" s="778">
        <v>5797.7856596741231</v>
      </c>
      <c r="V39" s="929">
        <f>K39-SUM(U39:U54)</f>
        <v>-8.9976826711790636E-4</v>
      </c>
      <c r="W39" s="774">
        <v>45561</v>
      </c>
      <c r="X39" s="926">
        <f>SUM(R39:R54)</f>
        <v>109045.78</v>
      </c>
      <c r="Y39" s="214"/>
      <c r="Z39" s="199" t="s">
        <v>316</v>
      </c>
      <c r="AA39" s="629" t="s">
        <v>283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317</v>
      </c>
      <c r="E40" s="405"/>
      <c r="F40" s="667"/>
      <c r="G40" s="404">
        <v>8000</v>
      </c>
      <c r="H40" s="356">
        <f>H39</f>
        <v>45609</v>
      </c>
      <c r="I40" s="357"/>
      <c r="J40" s="958"/>
      <c r="K40" s="958"/>
      <c r="L40" s="358"/>
      <c r="M40" s="354">
        <v>5</v>
      </c>
      <c r="N40" s="680" t="s">
        <v>314</v>
      </c>
      <c r="O40" s="355" t="s">
        <v>318</v>
      </c>
      <c r="P40" s="661"/>
      <c r="Q40" s="663"/>
      <c r="R40" s="404">
        <v>13740.5</v>
      </c>
      <c r="S40" s="540" t="s">
        <v>319</v>
      </c>
      <c r="T40" s="766">
        <v>45535</v>
      </c>
      <c r="U40" s="749">
        <v>9958.0592320940359</v>
      </c>
      <c r="V40" s="938"/>
      <c r="W40" s="776">
        <v>45562</v>
      </c>
      <c r="X40" s="927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320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58"/>
      <c r="K41" s="958"/>
      <c r="L41" s="358"/>
      <c r="M41" s="354">
        <v>5</v>
      </c>
      <c r="N41" s="680" t="s">
        <v>314</v>
      </c>
      <c r="O41" s="355" t="s">
        <v>320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321</v>
      </c>
      <c r="T41" s="766">
        <v>45626</v>
      </c>
      <c r="U41" s="749">
        <v>14579.834650594858</v>
      </c>
      <c r="V41" s="930"/>
      <c r="W41" s="802">
        <v>45626</v>
      </c>
      <c r="X41" s="927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58"/>
      <c r="K42" s="958"/>
      <c r="L42" s="358"/>
      <c r="M42" s="354">
        <v>5</v>
      </c>
      <c r="N42" s="680" t="s">
        <v>314</v>
      </c>
      <c r="O42" s="355" t="s">
        <v>322</v>
      </c>
      <c r="P42" s="661"/>
      <c r="Q42" s="663"/>
      <c r="R42" s="404">
        <v>129.63</v>
      </c>
      <c r="S42" s="819" t="s">
        <v>323</v>
      </c>
      <c r="T42" s="820">
        <v>45596</v>
      </c>
      <c r="U42" s="749">
        <v>100.57840479621227</v>
      </c>
      <c r="V42" s="930"/>
      <c r="W42" s="802">
        <v>45625</v>
      </c>
      <c r="X42" s="927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58"/>
      <c r="K43" s="958"/>
      <c r="L43" s="358"/>
      <c r="M43" s="400">
        <v>5</v>
      </c>
      <c r="N43" s="680" t="s">
        <v>314</v>
      </c>
      <c r="O43" s="402" t="s">
        <v>324</v>
      </c>
      <c r="P43" s="583"/>
      <c r="Q43" s="453"/>
      <c r="R43" s="404">
        <v>35750</v>
      </c>
      <c r="S43" s="548" t="s">
        <v>325</v>
      </c>
      <c r="T43" s="766">
        <v>45535</v>
      </c>
      <c r="U43" s="749">
        <v>25908.85466666874</v>
      </c>
      <c r="V43" s="930"/>
      <c r="W43" s="767">
        <v>45562</v>
      </c>
      <c r="X43" s="927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58"/>
      <c r="K44" s="958"/>
      <c r="L44" s="358"/>
      <c r="M44" s="400">
        <v>5</v>
      </c>
      <c r="N44" s="680" t="s">
        <v>314</v>
      </c>
      <c r="O44" s="402" t="s">
        <v>324</v>
      </c>
      <c r="P44" s="583"/>
      <c r="Q44" s="453"/>
      <c r="R44" s="404">
        <v>-35750</v>
      </c>
      <c r="S44" s="548" t="s">
        <v>252</v>
      </c>
      <c r="T44" s="766">
        <v>45808</v>
      </c>
      <c r="U44" s="749"/>
      <c r="V44" s="930"/>
      <c r="W44" s="767">
        <v>45808</v>
      </c>
      <c r="X44" s="927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58"/>
      <c r="K45" s="958"/>
      <c r="L45" s="358"/>
      <c r="M45" s="400">
        <v>5</v>
      </c>
      <c r="N45" s="680" t="s">
        <v>314</v>
      </c>
      <c r="O45" s="402"/>
      <c r="P45" s="583"/>
      <c r="Q45" s="878"/>
      <c r="R45" s="404"/>
      <c r="S45" s="548"/>
      <c r="T45" s="517"/>
      <c r="U45" s="749"/>
      <c r="V45" s="930"/>
      <c r="W45" s="475"/>
      <c r="X45" s="927"/>
      <c r="Y45" s="209" t="s">
        <v>326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58"/>
      <c r="K46" s="958"/>
      <c r="L46" s="358"/>
      <c r="M46" s="400">
        <v>5</v>
      </c>
      <c r="N46" s="680" t="s">
        <v>314</v>
      </c>
      <c r="O46" s="402" t="s">
        <v>327</v>
      </c>
      <c r="P46" s="583"/>
      <c r="Q46" s="453"/>
      <c r="R46" s="404">
        <v>20383.2</v>
      </c>
      <c r="S46" s="548" t="s">
        <v>328</v>
      </c>
      <c r="T46" s="766">
        <v>45777</v>
      </c>
      <c r="U46" s="749"/>
      <c r="V46" s="930"/>
      <c r="W46" s="767">
        <v>45785</v>
      </c>
      <c r="X46" s="927"/>
      <c r="Y46" s="209" t="s">
        <v>329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58"/>
      <c r="K47" s="958"/>
      <c r="L47" s="358"/>
      <c r="M47" s="400">
        <v>5</v>
      </c>
      <c r="N47" s="680" t="s">
        <v>314</v>
      </c>
      <c r="O47" s="402" t="s">
        <v>256</v>
      </c>
      <c r="P47" s="583"/>
      <c r="Q47" s="453"/>
      <c r="R47" s="404">
        <v>110.44</v>
      </c>
      <c r="S47" s="548" t="s">
        <v>330</v>
      </c>
      <c r="T47" s="766">
        <v>45808</v>
      </c>
      <c r="U47" s="749"/>
      <c r="V47" s="930"/>
      <c r="W47" s="767">
        <v>45835</v>
      </c>
      <c r="X47" s="927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58"/>
      <c r="K48" s="958"/>
      <c r="L48" s="358"/>
      <c r="M48" s="400">
        <v>5</v>
      </c>
      <c r="N48" s="680" t="s">
        <v>314</v>
      </c>
      <c r="O48" s="402" t="s">
        <v>331</v>
      </c>
      <c r="P48" s="583"/>
      <c r="Q48" s="453"/>
      <c r="R48" s="404">
        <v>50000</v>
      </c>
      <c r="S48" s="548" t="s">
        <v>332</v>
      </c>
      <c r="T48" s="798">
        <v>45808</v>
      </c>
      <c r="U48" s="749"/>
      <c r="V48" s="930"/>
      <c r="W48" s="767">
        <v>45813</v>
      </c>
      <c r="X48" s="927"/>
      <c r="Y48" s="209" t="s">
        <v>333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58"/>
      <c r="K49" s="958"/>
      <c r="L49" s="358"/>
      <c r="M49" s="400">
        <v>5</v>
      </c>
      <c r="N49" s="680" t="s">
        <v>314</v>
      </c>
      <c r="O49" s="402"/>
      <c r="P49" s="583"/>
      <c r="Q49" s="453"/>
      <c r="R49" s="404"/>
      <c r="S49" s="548"/>
      <c r="T49" s="766"/>
      <c r="U49" s="749"/>
      <c r="V49" s="930"/>
      <c r="W49" s="767"/>
      <c r="X49" s="927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58"/>
      <c r="K50" s="958"/>
      <c r="L50" s="358"/>
      <c r="M50" s="400">
        <v>5</v>
      </c>
      <c r="N50" s="680" t="s">
        <v>314</v>
      </c>
      <c r="O50" s="402"/>
      <c r="P50" s="583"/>
      <c r="Q50" s="453"/>
      <c r="R50" s="404"/>
      <c r="S50" s="548"/>
      <c r="T50" s="766"/>
      <c r="U50" s="749"/>
      <c r="V50" s="930"/>
      <c r="W50" s="767"/>
      <c r="X50" s="927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58"/>
      <c r="K51" s="958"/>
      <c r="L51" s="358"/>
      <c r="M51" s="400">
        <v>5</v>
      </c>
      <c r="N51" s="680" t="s">
        <v>314</v>
      </c>
      <c r="O51" s="402"/>
      <c r="P51" s="583"/>
      <c r="Q51" s="453"/>
      <c r="R51" s="404"/>
      <c r="S51" s="548"/>
      <c r="T51" s="766"/>
      <c r="U51" s="749"/>
      <c r="V51" s="930"/>
      <c r="W51" s="767"/>
      <c r="X51" s="927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58"/>
      <c r="K52" s="958"/>
      <c r="L52" s="358"/>
      <c r="M52" s="400">
        <v>5</v>
      </c>
      <c r="N52" s="680" t="s">
        <v>314</v>
      </c>
      <c r="O52" s="402"/>
      <c r="P52" s="583"/>
      <c r="Q52" s="453"/>
      <c r="R52" s="404"/>
      <c r="S52" s="548"/>
      <c r="T52" s="766"/>
      <c r="U52" s="749"/>
      <c r="V52" s="930"/>
      <c r="W52" s="767"/>
      <c r="X52" s="927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58"/>
      <c r="K53" s="958"/>
      <c r="L53" s="358"/>
      <c r="M53" s="400">
        <v>5</v>
      </c>
      <c r="N53" s="680" t="s">
        <v>314</v>
      </c>
      <c r="O53" s="402" t="s">
        <v>334</v>
      </c>
      <c r="P53" s="583"/>
      <c r="Q53" s="453"/>
      <c r="R53" s="404">
        <f>12812.55/5</f>
        <v>2562.5099999999998</v>
      </c>
      <c r="S53" s="548" t="s">
        <v>335</v>
      </c>
      <c r="T53" s="798">
        <v>45596</v>
      </c>
      <c r="U53" s="749">
        <v>1988.221615940306</v>
      </c>
      <c r="V53" s="930"/>
      <c r="W53" s="767">
        <v>45575</v>
      </c>
      <c r="X53" s="927"/>
      <c r="Y53" s="209" t="s">
        <v>336</v>
      </c>
      <c r="Z53" s="200" t="s">
        <v>337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59"/>
      <c r="K54" s="959"/>
      <c r="L54" s="361"/>
      <c r="M54" s="406">
        <v>5</v>
      </c>
      <c r="N54" s="676" t="s">
        <v>314</v>
      </c>
      <c r="O54" s="407" t="s">
        <v>338</v>
      </c>
      <c r="P54" s="586"/>
      <c r="Q54" s="454"/>
      <c r="R54" s="427">
        <v>2950.5</v>
      </c>
      <c r="S54" s="839" t="s">
        <v>339</v>
      </c>
      <c r="T54" s="831">
        <v>45716</v>
      </c>
      <c r="U54" s="527">
        <v>0</v>
      </c>
      <c r="V54" s="931"/>
      <c r="W54" s="841">
        <v>45744</v>
      </c>
      <c r="X54" s="928"/>
      <c r="Y54" s="215" t="s">
        <v>340</v>
      </c>
      <c r="Z54" s="201"/>
    </row>
    <row r="55" spans="1:43" ht="14.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258</v>
      </c>
      <c r="D56" s="369"/>
      <c r="E56" s="370"/>
      <c r="F56" s="602"/>
      <c r="G56" s="371"/>
      <c r="H56" s="372"/>
      <c r="I56" s="373"/>
      <c r="J56" s="987">
        <f>SUM(G56:G69)</f>
        <v>840770.37000000011</v>
      </c>
      <c r="K56" s="987">
        <v>1000917.107</v>
      </c>
      <c r="L56" s="374"/>
      <c r="M56" s="367">
        <v>6</v>
      </c>
      <c r="N56" s="683" t="s">
        <v>341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64">
        <f>K56-SUM(U56:U69)</f>
        <v>-4.7396945301443338E-3</v>
      </c>
      <c r="W56" s="655"/>
      <c r="X56" s="939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88"/>
      <c r="K57" s="988"/>
      <c r="L57" s="383"/>
      <c r="M57" s="375">
        <v>6</v>
      </c>
      <c r="N57" s="681" t="s">
        <v>341</v>
      </c>
      <c r="O57" s="722" t="s">
        <v>342</v>
      </c>
      <c r="P57" s="723"/>
      <c r="Q57" s="724"/>
      <c r="R57" s="746">
        <v>24166.67</v>
      </c>
      <c r="S57" s="550" t="s">
        <v>343</v>
      </c>
      <c r="T57" s="747">
        <v>45504</v>
      </c>
      <c r="U57" s="750">
        <v>33846.876745869427</v>
      </c>
      <c r="V57" s="965"/>
      <c r="W57" s="751">
        <f>W58</f>
        <v>45505</v>
      </c>
      <c r="X57" s="940"/>
      <c r="Y57" s="632" t="s">
        <v>344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88"/>
      <c r="K58" s="988"/>
      <c r="L58" s="383"/>
      <c r="M58" s="375">
        <v>6</v>
      </c>
      <c r="N58" s="681" t="s">
        <v>341</v>
      </c>
      <c r="O58" s="722" t="s">
        <v>345</v>
      </c>
      <c r="P58" s="723"/>
      <c r="Q58" s="724"/>
      <c r="R58" s="746">
        <v>218731.24</v>
      </c>
      <c r="S58" s="550" t="s">
        <v>343</v>
      </c>
      <c r="T58" s="747">
        <v>45504</v>
      </c>
      <c r="U58" s="750">
        <v>306346.27446608018</v>
      </c>
      <c r="V58" s="965"/>
      <c r="W58" s="751">
        <v>45505</v>
      </c>
      <c r="X58" s="940"/>
      <c r="Y58" s="632" t="s">
        <v>346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88"/>
      <c r="K59" s="988"/>
      <c r="L59" s="383"/>
      <c r="M59" s="375">
        <v>6</v>
      </c>
      <c r="N59" s="681" t="s">
        <v>341</v>
      </c>
      <c r="O59" s="722" t="s">
        <v>58</v>
      </c>
      <c r="P59" s="723"/>
      <c r="Q59" s="724"/>
      <c r="R59" s="746">
        <v>4500</v>
      </c>
      <c r="S59" s="550" t="s">
        <v>343</v>
      </c>
      <c r="T59" s="747">
        <v>45504</v>
      </c>
      <c r="U59" s="750">
        <v>6302.5210075038249</v>
      </c>
      <c r="V59" s="965"/>
      <c r="W59" s="751">
        <v>45505</v>
      </c>
      <c r="X59" s="940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88"/>
      <c r="K60" s="988"/>
      <c r="L60" s="383"/>
      <c r="M60" s="375">
        <v>6</v>
      </c>
      <c r="N60" s="681" t="s">
        <v>341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65"/>
      <c r="W60" s="725"/>
      <c r="X60" s="940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88"/>
      <c r="K61" s="988"/>
      <c r="L61" s="383"/>
      <c r="M61" s="375">
        <v>6</v>
      </c>
      <c r="N61" s="681" t="s">
        <v>341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65"/>
      <c r="W61" s="725"/>
      <c r="X61" s="940"/>
      <c r="Y61" s="632"/>
      <c r="Z61" s="633"/>
    </row>
    <row r="62" spans="1:43" ht="14.25" customHeight="1">
      <c r="B62" s="375">
        <v>6</v>
      </c>
      <c r="C62" s="631"/>
      <c r="D62" s="718" t="s">
        <v>347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88"/>
      <c r="K62" s="988"/>
      <c r="L62" s="383"/>
      <c r="M62" s="375">
        <v>6</v>
      </c>
      <c r="N62" s="681" t="s">
        <v>341</v>
      </c>
      <c r="O62" s="722" t="s">
        <v>299</v>
      </c>
      <c r="P62" s="723">
        <f>AB26</f>
        <v>114860</v>
      </c>
      <c r="Q62" s="724">
        <v>0.3</v>
      </c>
      <c r="R62" s="380">
        <f>$P$62*Q62</f>
        <v>34458</v>
      </c>
      <c r="S62" s="550" t="s">
        <v>300</v>
      </c>
      <c r="T62" s="747">
        <f>T88</f>
        <v>45596</v>
      </c>
      <c r="U62" s="750">
        <v>95207.311478736243</v>
      </c>
      <c r="V62" s="965"/>
      <c r="W62" s="751">
        <f>W88</f>
        <v>45603</v>
      </c>
      <c r="X62" s="940"/>
      <c r="Y62" s="915" t="s">
        <v>301</v>
      </c>
      <c r="Z62" s="633"/>
    </row>
    <row r="63" spans="1:43" ht="14.25" customHeight="1">
      <c r="B63" s="375">
        <v>6</v>
      </c>
      <c r="C63" s="738">
        <v>840770.37</v>
      </c>
      <c r="D63" s="377" t="s">
        <v>152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88"/>
      <c r="K63" s="988"/>
      <c r="L63" s="383"/>
      <c r="M63" s="375">
        <v>6</v>
      </c>
      <c r="N63" s="681" t="s">
        <v>341</v>
      </c>
      <c r="O63" s="377" t="s">
        <v>303</v>
      </c>
      <c r="P63" s="378"/>
      <c r="Q63" s="379">
        <v>0.2</v>
      </c>
      <c r="R63" s="380">
        <f t="shared" ref="R63:R66" si="10">$P$62*Q63</f>
        <v>22972</v>
      </c>
      <c r="S63" s="816" t="s">
        <v>304</v>
      </c>
      <c r="T63" s="779">
        <f t="shared" ref="T63:T65" si="11">T89</f>
        <v>45626</v>
      </c>
      <c r="U63" s="750">
        <v>63471.540985824162</v>
      </c>
      <c r="V63" s="965"/>
      <c r="W63" s="836">
        <f t="shared" ref="W63:W66" si="12">W89</f>
        <v>45638</v>
      </c>
      <c r="X63" s="940"/>
      <c r="Y63" s="916"/>
      <c r="Z63" s="195"/>
    </row>
    <row r="64" spans="1:43" ht="14.25" customHeight="1">
      <c r="B64" s="375">
        <v>6</v>
      </c>
      <c r="C64" s="603"/>
      <c r="D64" s="377" t="s">
        <v>348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88"/>
      <c r="K64" s="988"/>
      <c r="L64" s="383"/>
      <c r="M64" s="375">
        <v>6</v>
      </c>
      <c r="N64" s="682" t="s">
        <v>341</v>
      </c>
      <c r="O64" s="377" t="s">
        <v>306</v>
      </c>
      <c r="P64" s="378"/>
      <c r="Q64" s="379">
        <v>0.3</v>
      </c>
      <c r="R64" s="380">
        <f t="shared" si="10"/>
        <v>34458</v>
      </c>
      <c r="S64" s="550" t="s">
        <v>307</v>
      </c>
      <c r="T64" s="747">
        <f t="shared" si="11"/>
        <v>45716</v>
      </c>
      <c r="U64" s="863">
        <v>87211.855044905024</v>
      </c>
      <c r="V64" s="965"/>
      <c r="W64" s="836">
        <f t="shared" si="12"/>
        <v>45708</v>
      </c>
      <c r="X64" s="940"/>
      <c r="Y64" s="916"/>
      <c r="Z64" s="195"/>
    </row>
    <row r="65" spans="1:43" ht="14.25" customHeight="1">
      <c r="B65" s="375">
        <v>6</v>
      </c>
      <c r="C65" s="603"/>
      <c r="D65" s="377" t="s">
        <v>349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88"/>
      <c r="K65" s="988"/>
      <c r="L65" s="383"/>
      <c r="M65" s="375">
        <v>6</v>
      </c>
      <c r="N65" s="681" t="s">
        <v>341</v>
      </c>
      <c r="O65" s="377" t="s">
        <v>308</v>
      </c>
      <c r="P65" s="378"/>
      <c r="Q65" s="379">
        <v>0.15</v>
      </c>
      <c r="R65" s="380">
        <f t="shared" si="10"/>
        <v>17229</v>
      </c>
      <c r="S65" s="550" t="s">
        <v>307</v>
      </c>
      <c r="T65" s="747">
        <f t="shared" si="11"/>
        <v>45716</v>
      </c>
      <c r="U65" s="863">
        <v>43605.927522452512</v>
      </c>
      <c r="V65" s="965"/>
      <c r="W65" s="836">
        <f t="shared" si="12"/>
        <v>45722</v>
      </c>
      <c r="X65" s="940"/>
      <c r="Y65" s="916"/>
      <c r="Z65" s="195"/>
    </row>
    <row r="66" spans="1:43" ht="14.25" customHeight="1">
      <c r="B66" s="375">
        <v>6</v>
      </c>
      <c r="C66" s="603"/>
      <c r="D66" s="377" t="s">
        <v>350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88"/>
      <c r="K66" s="988"/>
      <c r="L66" s="383"/>
      <c r="M66" s="375">
        <v>6</v>
      </c>
      <c r="N66" s="682" t="s">
        <v>341</v>
      </c>
      <c r="O66" s="377" t="s">
        <v>309</v>
      </c>
      <c r="P66" s="378"/>
      <c r="Q66" s="379">
        <v>0.05</v>
      </c>
      <c r="R66" s="380">
        <f t="shared" si="10"/>
        <v>5743</v>
      </c>
      <c r="S66" s="550" t="s">
        <v>310</v>
      </c>
      <c r="T66" s="747">
        <v>45716</v>
      </c>
      <c r="U66" s="863">
        <v>14535.309174150838</v>
      </c>
      <c r="V66" s="965"/>
      <c r="W66" s="836">
        <f t="shared" si="12"/>
        <v>45744</v>
      </c>
      <c r="X66" s="940"/>
      <c r="Y66" s="916"/>
      <c r="Z66" s="195"/>
    </row>
    <row r="67" spans="1:43" ht="14.25" customHeight="1">
      <c r="B67" s="375">
        <v>6</v>
      </c>
      <c r="C67" s="603"/>
      <c r="D67" s="377" t="s">
        <v>351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88"/>
      <c r="K67" s="988"/>
      <c r="L67" s="383"/>
      <c r="M67" s="375">
        <v>6</v>
      </c>
      <c r="N67" s="681" t="s">
        <v>341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65"/>
      <c r="W67" s="725"/>
      <c r="X67" s="940"/>
      <c r="Y67" s="925"/>
      <c r="Z67" s="195"/>
    </row>
    <row r="68" spans="1:43" ht="14.25" customHeight="1">
      <c r="B68" s="375">
        <v>6</v>
      </c>
      <c r="C68" s="376"/>
      <c r="D68" s="377" t="s">
        <v>352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88"/>
      <c r="K68" s="988"/>
      <c r="L68" s="383"/>
      <c r="M68" s="375">
        <v>6</v>
      </c>
      <c r="N68" s="682" t="s">
        <v>341</v>
      </c>
      <c r="O68" s="377" t="s">
        <v>353</v>
      </c>
      <c r="P68" s="378"/>
      <c r="Q68" s="379"/>
      <c r="R68" s="380">
        <v>33211.279999999999</v>
      </c>
      <c r="S68" s="550" t="s">
        <v>354</v>
      </c>
      <c r="T68" s="747">
        <v>45716</v>
      </c>
      <c r="U68" s="750">
        <v>13325.765314172415</v>
      </c>
      <c r="V68" s="965"/>
      <c r="W68" s="836">
        <v>45701</v>
      </c>
      <c r="X68" s="940"/>
      <c r="Y68" s="846" t="s">
        <v>355</v>
      </c>
      <c r="Z68" s="195"/>
    </row>
    <row r="69" spans="1:43" ht="15" customHeight="1" thickBot="1">
      <c r="B69" s="384">
        <v>6</v>
      </c>
      <c r="C69" s="604"/>
      <c r="D69" s="386" t="s">
        <v>356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89"/>
      <c r="K69" s="989"/>
      <c r="L69" s="392"/>
      <c r="M69" s="384">
        <v>6</v>
      </c>
      <c r="N69" s="684" t="s">
        <v>341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66"/>
      <c r="W69" s="477"/>
      <c r="X69" s="941"/>
      <c r="Y69" s="845"/>
      <c r="Z69" s="203"/>
    </row>
    <row r="70" spans="1:43" ht="14.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357</v>
      </c>
      <c r="D71" s="567"/>
      <c r="E71" s="568"/>
      <c r="F71" s="569"/>
      <c r="G71" s="570"/>
      <c r="H71" s="571"/>
      <c r="I71" s="352"/>
      <c r="J71" s="957">
        <f>SUM(G71:G78)</f>
        <v>0</v>
      </c>
      <c r="K71" s="957">
        <v>0</v>
      </c>
      <c r="L71" s="353"/>
      <c r="M71" s="566">
        <v>7</v>
      </c>
      <c r="N71" s="397" t="s">
        <v>357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29">
        <f>K71-SUM(U71:U78)</f>
        <v>0</v>
      </c>
      <c r="W71" s="572"/>
      <c r="X71" s="926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58"/>
      <c r="K72" s="958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38"/>
      <c r="W72" s="582"/>
      <c r="X72" s="927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58"/>
      <c r="K73" s="958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38"/>
      <c r="W73" s="582"/>
      <c r="X73" s="927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58"/>
      <c r="K74" s="958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30"/>
      <c r="W74" s="582"/>
      <c r="X74" s="927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58"/>
      <c r="K75" s="958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30"/>
      <c r="W75" s="582"/>
      <c r="X75" s="927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58"/>
      <c r="K76" s="958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30"/>
      <c r="W76" s="582"/>
      <c r="X76" s="927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58"/>
      <c r="K77" s="958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30"/>
      <c r="W77" s="582"/>
      <c r="X77" s="927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59"/>
      <c r="K78" s="959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31"/>
      <c r="W78" s="476"/>
      <c r="X78" s="928"/>
      <c r="Y78" s="215"/>
      <c r="Z78" s="201"/>
    </row>
    <row r="79" spans="1:43" ht="14.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358</v>
      </c>
      <c r="D80" s="430"/>
      <c r="E80" s="664"/>
      <c r="F80" s="665"/>
      <c r="G80" s="431"/>
      <c r="H80" s="432"/>
      <c r="I80" s="373"/>
      <c r="J80" s="987">
        <f>SUM(G80:G86)</f>
        <v>30000</v>
      </c>
      <c r="K80" s="987">
        <f>35714.28571+98946.32</f>
        <v>134660.60571</v>
      </c>
      <c r="L80" s="374"/>
      <c r="M80" s="429">
        <v>8</v>
      </c>
      <c r="N80" s="677" t="s">
        <v>359</v>
      </c>
      <c r="O80" s="430" t="s">
        <v>360</v>
      </c>
      <c r="P80" s="664"/>
      <c r="Q80" s="665"/>
      <c r="R80" s="431">
        <v>16916.75</v>
      </c>
      <c r="S80" s="814" t="s">
        <v>361</v>
      </c>
      <c r="T80" s="815">
        <v>45626</v>
      </c>
      <c r="U80" s="804">
        <v>19385.246267880178</v>
      </c>
      <c r="V80" s="964">
        <f>K80-SUM(U80:U86)</f>
        <v>-1.5993318811524659E-3</v>
      </c>
      <c r="W80" s="828">
        <v>45603</v>
      </c>
      <c r="X80" s="939">
        <f>SUM(R80:R86)</f>
        <v>121265.17000000001</v>
      </c>
      <c r="Y80" s="220" t="s">
        <v>362</v>
      </c>
      <c r="Z80" s="206"/>
    </row>
    <row r="81" spans="1:43" ht="14.25" customHeight="1">
      <c r="B81" s="415">
        <v>8</v>
      </c>
      <c r="C81" s="416"/>
      <c r="D81" s="433" t="s">
        <v>363</v>
      </c>
      <c r="E81" s="434"/>
      <c r="F81" s="435"/>
      <c r="G81" s="417">
        <v>30000</v>
      </c>
      <c r="H81" s="418">
        <f>H66</f>
        <v>45681</v>
      </c>
      <c r="I81" s="382"/>
      <c r="J81" s="988"/>
      <c r="K81" s="988"/>
      <c r="L81" s="383"/>
      <c r="M81" s="415">
        <v>8</v>
      </c>
      <c r="N81" s="687" t="s">
        <v>359</v>
      </c>
      <c r="O81" s="433" t="s">
        <v>256</v>
      </c>
      <c r="P81" s="434"/>
      <c r="Q81" s="435"/>
      <c r="R81" s="417">
        <v>1650</v>
      </c>
      <c r="S81" s="592" t="s">
        <v>364</v>
      </c>
      <c r="T81" s="775">
        <v>45626</v>
      </c>
      <c r="U81" s="750">
        <v>35714.29</v>
      </c>
      <c r="V81" s="967"/>
      <c r="W81" s="829">
        <v>45603</v>
      </c>
      <c r="X81" s="940"/>
      <c r="Y81" s="219"/>
      <c r="Z81" s="205"/>
    </row>
    <row r="82" spans="1:43" ht="14.15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88"/>
      <c r="K82" s="988"/>
      <c r="L82" s="383"/>
      <c r="M82" s="415">
        <v>8</v>
      </c>
      <c r="N82" s="687" t="s">
        <v>359</v>
      </c>
      <c r="O82" s="433" t="s">
        <v>365</v>
      </c>
      <c r="P82" s="434" t="s">
        <v>366</v>
      </c>
      <c r="Q82" s="882">
        <f>6*94.8</f>
        <v>568.79999999999995</v>
      </c>
      <c r="R82" s="417">
        <f>21221.6/5</f>
        <v>4244.32</v>
      </c>
      <c r="S82" s="639" t="s">
        <v>367</v>
      </c>
      <c r="T82" s="813">
        <v>45596</v>
      </c>
      <c r="U82" s="750">
        <v>4863.6522050446565</v>
      </c>
      <c r="V82" s="967"/>
      <c r="W82" s="826">
        <f>T82+29</f>
        <v>45625</v>
      </c>
      <c r="X82" s="940"/>
      <c r="Y82" s="219" t="s">
        <v>368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88"/>
      <c r="K83" s="988"/>
      <c r="L83" s="383"/>
      <c r="M83" s="415">
        <v>8</v>
      </c>
      <c r="N83" s="687" t="s">
        <v>359</v>
      </c>
      <c r="O83" s="414" t="s">
        <v>369</v>
      </c>
      <c r="P83" s="600" t="s">
        <v>370</v>
      </c>
      <c r="Q83" s="881">
        <f>R83/(52*5.7)*34.2</f>
        <v>2492.3076923076924</v>
      </c>
      <c r="R83" s="380">
        <v>21600</v>
      </c>
      <c r="S83" s="550" t="s">
        <v>371</v>
      </c>
      <c r="T83" s="747">
        <v>45716</v>
      </c>
      <c r="U83" s="750">
        <v>0</v>
      </c>
      <c r="V83" s="967"/>
      <c r="W83" s="826">
        <v>45701</v>
      </c>
      <c r="X83" s="940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88"/>
      <c r="K84" s="988"/>
      <c r="L84" s="383"/>
      <c r="M84" s="415">
        <v>8</v>
      </c>
      <c r="N84" s="687" t="s">
        <v>359</v>
      </c>
      <c r="O84" s="433" t="s">
        <v>372</v>
      </c>
      <c r="P84" s="434" t="s">
        <v>372</v>
      </c>
      <c r="Q84" s="882">
        <v>17847.900000000001</v>
      </c>
      <c r="R84" s="417">
        <v>89239.5</v>
      </c>
      <c r="S84" s="639" t="s">
        <v>373</v>
      </c>
      <c r="T84" s="797">
        <v>45626</v>
      </c>
      <c r="U84" s="750">
        <v>68437.829509952775</v>
      </c>
      <c r="V84" s="967"/>
      <c r="W84" s="826">
        <v>45603</v>
      </c>
      <c r="X84" s="940"/>
      <c r="Y84" s="219" t="s">
        <v>374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88"/>
      <c r="K85" s="988"/>
      <c r="L85" s="383"/>
      <c r="M85" s="873">
        <v>8</v>
      </c>
      <c r="N85" s="874" t="s">
        <v>359</v>
      </c>
      <c r="O85" s="875" t="s">
        <v>375</v>
      </c>
      <c r="P85" s="434"/>
      <c r="Q85" s="435"/>
      <c r="R85" s="417">
        <v>5462.5</v>
      </c>
      <c r="S85" s="639" t="s">
        <v>373</v>
      </c>
      <c r="T85" s="797">
        <v>45626</v>
      </c>
      <c r="U85" s="872">
        <v>6259.5893264542829</v>
      </c>
      <c r="V85" s="967"/>
      <c r="W85" s="826">
        <v>45603</v>
      </c>
      <c r="X85" s="940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89"/>
      <c r="K86" s="989"/>
      <c r="L86" s="392"/>
      <c r="M86" s="595">
        <v>8</v>
      </c>
      <c r="N86" s="876" t="s">
        <v>359</v>
      </c>
      <c r="O86" s="877" t="s">
        <v>376</v>
      </c>
      <c r="P86" s="387"/>
      <c r="Q86" s="880"/>
      <c r="R86" s="389">
        <v>-17847.900000000001</v>
      </c>
      <c r="S86" s="639" t="s">
        <v>377</v>
      </c>
      <c r="T86" s="810">
        <v>45747</v>
      </c>
      <c r="U86" s="805">
        <v>0</v>
      </c>
      <c r="V86" s="968"/>
      <c r="W86" s="827">
        <v>45747</v>
      </c>
      <c r="X86" s="941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378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379</v>
      </c>
      <c r="D88" s="421" t="s">
        <v>347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90">
        <f>SUM(G88:G95)</f>
        <v>495900</v>
      </c>
      <c r="K88" s="957">
        <v>583411.76470000006</v>
      </c>
      <c r="L88" s="358"/>
      <c r="M88" s="400">
        <v>9</v>
      </c>
      <c r="N88" s="675" t="s">
        <v>380</v>
      </c>
      <c r="O88" s="421" t="s">
        <v>299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300</v>
      </c>
      <c r="T88" s="812">
        <v>45596</v>
      </c>
      <c r="U88" s="822">
        <v>175023.52941000002</v>
      </c>
      <c r="V88" s="969">
        <v>0</v>
      </c>
      <c r="W88" s="817">
        <v>45603</v>
      </c>
      <c r="X88" s="942">
        <f>SUM(R88:R95)</f>
        <v>513333.33</v>
      </c>
      <c r="Y88" s="918" t="s">
        <v>301</v>
      </c>
      <c r="Z88" s="200"/>
    </row>
    <row r="89" spans="1:43" ht="15" customHeight="1">
      <c r="B89" s="400">
        <v>9</v>
      </c>
      <c r="C89" s="714">
        <v>148770</v>
      </c>
      <c r="D89" s="423" t="s">
        <v>152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91"/>
      <c r="K89" s="958"/>
      <c r="L89" s="358"/>
      <c r="M89" s="400">
        <v>9</v>
      </c>
      <c r="N89" s="675" t="s">
        <v>380</v>
      </c>
      <c r="O89" s="423" t="s">
        <v>303</v>
      </c>
      <c r="P89" s="405"/>
      <c r="Q89" s="424">
        <v>0.2</v>
      </c>
      <c r="R89" s="404">
        <f t="shared" ref="R89:R92" si="16">$P$88*Q89</f>
        <v>102666.66600000001</v>
      </c>
      <c r="S89" s="540" t="s">
        <v>304</v>
      </c>
      <c r="T89" s="820">
        <v>45626</v>
      </c>
      <c r="U89" s="835">
        <v>116682.35294000001</v>
      </c>
      <c r="V89" s="970"/>
      <c r="W89" s="837">
        <v>45638</v>
      </c>
      <c r="X89" s="943"/>
      <c r="Y89" s="919"/>
      <c r="Z89" s="200"/>
    </row>
    <row r="90" spans="1:43" ht="15" customHeight="1">
      <c r="B90" s="400">
        <v>9</v>
      </c>
      <c r="C90" s="714">
        <v>347130</v>
      </c>
      <c r="D90" s="423" t="s">
        <v>348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91"/>
      <c r="K90" s="958"/>
      <c r="L90" s="358"/>
      <c r="M90" s="400">
        <v>9</v>
      </c>
      <c r="N90" s="675" t="s">
        <v>380</v>
      </c>
      <c r="O90" s="423" t="s">
        <v>306</v>
      </c>
      <c r="P90" s="405"/>
      <c r="Q90" s="424">
        <v>0.3</v>
      </c>
      <c r="R90" s="404">
        <f t="shared" si="16"/>
        <v>153999.99900000001</v>
      </c>
      <c r="S90" s="540" t="s">
        <v>307</v>
      </c>
      <c r="T90" s="766">
        <v>45716</v>
      </c>
      <c r="U90" s="864">
        <v>175023.52941000002</v>
      </c>
      <c r="V90" s="970"/>
      <c r="W90" s="837">
        <v>45708</v>
      </c>
      <c r="X90" s="943"/>
      <c r="Y90" s="919"/>
      <c r="Z90" s="200"/>
    </row>
    <row r="91" spans="1:43" ht="15" customHeight="1">
      <c r="B91" s="400">
        <v>9</v>
      </c>
      <c r="C91" s="437"/>
      <c r="D91" s="423" t="s">
        <v>349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91"/>
      <c r="K91" s="958"/>
      <c r="L91" s="358"/>
      <c r="M91" s="400">
        <v>9</v>
      </c>
      <c r="N91" s="675" t="s">
        <v>380</v>
      </c>
      <c r="O91" s="423" t="s">
        <v>308</v>
      </c>
      <c r="P91" s="405"/>
      <c r="Q91" s="424">
        <v>0.15</v>
      </c>
      <c r="R91" s="404">
        <f t="shared" si="16"/>
        <v>76999.999500000005</v>
      </c>
      <c r="S91" s="540" t="s">
        <v>307</v>
      </c>
      <c r="T91" s="766">
        <v>45716</v>
      </c>
      <c r="U91" s="864">
        <v>87511.764705000009</v>
      </c>
      <c r="V91" s="970"/>
      <c r="W91" s="837">
        <v>45722</v>
      </c>
      <c r="X91" s="943"/>
      <c r="Y91" s="919"/>
      <c r="Z91" s="200"/>
    </row>
    <row r="92" spans="1:43" ht="15" customHeight="1">
      <c r="B92" s="400">
        <v>9</v>
      </c>
      <c r="C92" s="437"/>
      <c r="D92" s="423" t="s">
        <v>350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91"/>
      <c r="K92" s="958"/>
      <c r="L92" s="358"/>
      <c r="M92" s="400">
        <v>9</v>
      </c>
      <c r="N92" s="675" t="s">
        <v>380</v>
      </c>
      <c r="O92" s="423" t="s">
        <v>309</v>
      </c>
      <c r="P92" s="405"/>
      <c r="Q92" s="424">
        <v>0.05</v>
      </c>
      <c r="R92" s="404">
        <f t="shared" si="16"/>
        <v>25666.666500000003</v>
      </c>
      <c r="S92" s="548" t="s">
        <v>310</v>
      </c>
      <c r="T92" s="766">
        <v>45716</v>
      </c>
      <c r="U92" s="865">
        <v>29170.588235000003</v>
      </c>
      <c r="V92" s="970"/>
      <c r="W92" s="869">
        <v>45744</v>
      </c>
      <c r="X92" s="943"/>
      <c r="Y92" s="919"/>
      <c r="Z92" s="200"/>
    </row>
    <row r="93" spans="1:43" ht="15" customHeight="1">
      <c r="B93" s="400">
        <v>9</v>
      </c>
      <c r="C93" s="437"/>
      <c r="D93" s="423" t="s">
        <v>351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91"/>
      <c r="K93" s="958"/>
      <c r="L93" s="358"/>
      <c r="M93" s="400">
        <v>9</v>
      </c>
      <c r="N93" s="675" t="s">
        <v>380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70"/>
      <c r="W93" s="710"/>
      <c r="X93" s="943"/>
      <c r="Y93" s="919"/>
      <c r="Z93" s="200"/>
    </row>
    <row r="94" spans="1:43" ht="15" customHeight="1">
      <c r="B94" s="575">
        <v>9</v>
      </c>
      <c r="C94" s="666"/>
      <c r="D94" s="577" t="s">
        <v>352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91"/>
      <c r="K94" s="958"/>
      <c r="L94" s="358"/>
      <c r="M94" s="400">
        <v>9</v>
      </c>
      <c r="N94" s="675" t="s">
        <v>380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70"/>
      <c r="W94" s="711"/>
      <c r="X94" s="943"/>
      <c r="Y94" s="919"/>
      <c r="Z94" s="501"/>
    </row>
    <row r="95" spans="1:43" ht="15" customHeight="1" thickBot="1">
      <c r="B95" s="406">
        <v>9</v>
      </c>
      <c r="C95" s="696"/>
      <c r="D95" s="425" t="s">
        <v>356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92"/>
      <c r="K95" s="992"/>
      <c r="L95" s="502"/>
      <c r="M95" s="701">
        <v>9</v>
      </c>
      <c r="N95" s="702" t="s">
        <v>380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71"/>
      <c r="W95" s="712"/>
      <c r="X95" s="944"/>
      <c r="Y95" s="920"/>
      <c r="Z95" s="201"/>
    </row>
    <row r="96" spans="1:43" ht="14.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381</v>
      </c>
      <c r="D97" s="325"/>
      <c r="E97" s="326"/>
      <c r="F97" s="439"/>
      <c r="G97" s="440"/>
      <c r="H97" s="328"/>
      <c r="I97" s="329"/>
      <c r="J97" s="951">
        <f>SUM(G97:G107)</f>
        <v>69299.97</v>
      </c>
      <c r="K97" s="951">
        <v>81529.37255</v>
      </c>
      <c r="L97" s="441"/>
      <c r="M97" s="324">
        <v>10</v>
      </c>
      <c r="N97" s="688" t="s">
        <v>382</v>
      </c>
      <c r="O97" s="325" t="s">
        <v>383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35">
        <f>K97-SUM(U97:U107)</f>
        <v>1.0440445912536234E-3</v>
      </c>
      <c r="W97" s="641"/>
      <c r="X97" s="945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52"/>
      <c r="K98" s="952"/>
      <c r="L98" s="333"/>
      <c r="M98" s="442">
        <v>10</v>
      </c>
      <c r="N98" s="770" t="s">
        <v>382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72"/>
      <c r="W98" s="478"/>
      <c r="X98" s="946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52"/>
      <c r="K99" s="952"/>
      <c r="L99" s="333"/>
      <c r="M99" s="442">
        <v>10</v>
      </c>
      <c r="N99" s="770" t="s">
        <v>382</v>
      </c>
      <c r="O99" s="443" t="s">
        <v>299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300</v>
      </c>
      <c r="T99" s="811">
        <v>45596</v>
      </c>
      <c r="U99" s="823">
        <v>19785.153465955413</v>
      </c>
      <c r="V99" s="972"/>
      <c r="W99" s="830">
        <f>W88</f>
        <v>45603</v>
      </c>
      <c r="X99" s="946"/>
      <c r="Y99" s="921" t="s">
        <v>301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52"/>
      <c r="K100" s="952"/>
      <c r="L100" s="333"/>
      <c r="M100" s="442">
        <v>10</v>
      </c>
      <c r="N100" s="770" t="s">
        <v>382</v>
      </c>
      <c r="O100" s="443" t="s">
        <v>303</v>
      </c>
      <c r="P100" s="444"/>
      <c r="Q100" s="771">
        <v>0.2</v>
      </c>
      <c r="R100" s="446">
        <f t="shared" ref="R100:R103" si="20">$P$99*Q100</f>
        <v>12700</v>
      </c>
      <c r="S100" s="816" t="s">
        <v>304</v>
      </c>
      <c r="T100" s="780">
        <f>T89</f>
        <v>45626</v>
      </c>
      <c r="U100" s="823">
        <v>24458.811764999999</v>
      </c>
      <c r="V100" s="972"/>
      <c r="W100" s="830">
        <f t="shared" ref="W100:W103" si="21">W89</f>
        <v>45638</v>
      </c>
      <c r="X100" s="946"/>
      <c r="Y100" s="922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52"/>
      <c r="K101" s="952"/>
      <c r="L101" s="333"/>
      <c r="M101" s="442">
        <v>10</v>
      </c>
      <c r="N101" s="770" t="s">
        <v>382</v>
      </c>
      <c r="O101" s="443" t="s">
        <v>306</v>
      </c>
      <c r="P101" s="444"/>
      <c r="Q101" s="771">
        <v>0.3</v>
      </c>
      <c r="R101" s="446">
        <f t="shared" si="20"/>
        <v>19050</v>
      </c>
      <c r="S101" s="509" t="s">
        <v>307</v>
      </c>
      <c r="T101" s="811">
        <f>T90</f>
        <v>45716</v>
      </c>
      <c r="U101" s="866">
        <v>24458.811764999999</v>
      </c>
      <c r="V101" s="972"/>
      <c r="W101" s="830">
        <f t="shared" si="21"/>
        <v>45708</v>
      </c>
      <c r="X101" s="946"/>
      <c r="Y101" s="922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52"/>
      <c r="K102" s="952"/>
      <c r="L102" s="333"/>
      <c r="M102" s="442">
        <v>10</v>
      </c>
      <c r="N102" s="770" t="s">
        <v>382</v>
      </c>
      <c r="O102" s="443" t="s">
        <v>308</v>
      </c>
      <c r="P102" s="444"/>
      <c r="Q102" s="771">
        <v>0.15</v>
      </c>
      <c r="R102" s="446">
        <f t="shared" si="20"/>
        <v>9525</v>
      </c>
      <c r="S102" s="509" t="s">
        <v>307</v>
      </c>
      <c r="T102" s="811">
        <f t="shared" ref="T102" si="22">T91</f>
        <v>45716</v>
      </c>
      <c r="U102" s="866">
        <v>8750.1258824999986</v>
      </c>
      <c r="V102" s="972"/>
      <c r="W102" s="830">
        <f t="shared" si="21"/>
        <v>45722</v>
      </c>
      <c r="X102" s="946"/>
      <c r="Y102" s="922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52"/>
      <c r="K103" s="952"/>
      <c r="L103" s="333"/>
      <c r="M103" s="442">
        <v>10</v>
      </c>
      <c r="N103" s="770" t="s">
        <v>382</v>
      </c>
      <c r="O103" s="443" t="s">
        <v>309</v>
      </c>
      <c r="P103" s="444"/>
      <c r="Q103" s="771">
        <v>0.05</v>
      </c>
      <c r="R103" s="446">
        <f t="shared" si="20"/>
        <v>3175</v>
      </c>
      <c r="S103" s="509" t="s">
        <v>310</v>
      </c>
      <c r="T103" s="811">
        <v>45716</v>
      </c>
      <c r="U103" s="866">
        <v>4076.4686275000004</v>
      </c>
      <c r="V103" s="972"/>
      <c r="W103" s="830">
        <f t="shared" si="21"/>
        <v>45744</v>
      </c>
      <c r="X103" s="946"/>
      <c r="Y103" s="922"/>
      <c r="Z103" s="207"/>
    </row>
    <row r="104" spans="1:43" ht="14.25" customHeight="1">
      <c r="B104" s="442">
        <v>10</v>
      </c>
      <c r="C104" s="334"/>
      <c r="D104" s="334" t="s">
        <v>266</v>
      </c>
      <c r="E104" s="447"/>
      <c r="F104" s="448"/>
      <c r="G104" s="327">
        <v>8500</v>
      </c>
      <c r="H104" s="331">
        <f>H92</f>
        <v>45681</v>
      </c>
      <c r="I104" s="332"/>
      <c r="J104" s="952"/>
      <c r="K104" s="952"/>
      <c r="L104" s="333"/>
      <c r="M104" s="442">
        <v>10</v>
      </c>
      <c r="N104" s="689" t="s">
        <v>382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36"/>
      <c r="W104" s="478"/>
      <c r="X104" s="946"/>
      <c r="Y104" s="922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384</v>
      </c>
      <c r="E105" s="447"/>
      <c r="F105" s="448"/>
      <c r="G105" s="327">
        <v>7276.67</v>
      </c>
      <c r="H105" s="331">
        <f>H94</f>
        <v>45695</v>
      </c>
      <c r="I105" s="332"/>
      <c r="J105" s="952"/>
      <c r="K105" s="952"/>
      <c r="L105" s="333"/>
      <c r="M105" s="442">
        <v>10</v>
      </c>
      <c r="N105" s="689" t="s">
        <v>382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36"/>
      <c r="W105" s="478"/>
      <c r="X105" s="946"/>
      <c r="Y105" s="922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52"/>
      <c r="K106" s="952"/>
      <c r="L106" s="333"/>
      <c r="M106" s="442">
        <v>10</v>
      </c>
      <c r="N106" s="689" t="s">
        <v>382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36"/>
      <c r="W106" s="478"/>
      <c r="X106" s="946"/>
      <c r="Y106" s="923"/>
      <c r="Z106" s="207"/>
    </row>
    <row r="107" spans="1:43" ht="15" customHeight="1" thickBot="1">
      <c r="B107" s="335">
        <v>10</v>
      </c>
      <c r="C107" s="449"/>
      <c r="D107" s="449" t="s">
        <v>385</v>
      </c>
      <c r="E107" s="450"/>
      <c r="F107" s="451"/>
      <c r="G107" s="336">
        <v>53523.3</v>
      </c>
      <c r="H107" s="337">
        <f>H105</f>
        <v>45695</v>
      </c>
      <c r="I107" s="338"/>
      <c r="J107" s="953"/>
      <c r="K107" s="953"/>
      <c r="L107" s="339"/>
      <c r="M107" s="335">
        <v>10</v>
      </c>
      <c r="N107" s="690" t="s">
        <v>382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37"/>
      <c r="W107" s="472"/>
      <c r="X107" s="947"/>
      <c r="Y107" s="212"/>
      <c r="Z107" s="197"/>
    </row>
    <row r="108" spans="1:43" ht="14.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386</v>
      </c>
      <c r="D109" s="487" t="s">
        <v>387</v>
      </c>
      <c r="E109" s="349"/>
      <c r="F109" s="452"/>
      <c r="G109" s="350">
        <v>14877</v>
      </c>
      <c r="H109" s="351">
        <f>'Project Plan'!E51</f>
        <v>45681</v>
      </c>
      <c r="I109" s="352"/>
      <c r="J109" s="957">
        <f>SUM(G109:G113)</f>
        <v>104631</v>
      </c>
      <c r="K109" s="957">
        <v>123095.2941</v>
      </c>
      <c r="L109" s="353"/>
      <c r="M109" s="347">
        <v>11</v>
      </c>
      <c r="N109" s="487" t="s">
        <v>388</v>
      </c>
      <c r="O109" s="348" t="s">
        <v>387</v>
      </c>
      <c r="P109" s="349"/>
      <c r="Q109" s="452"/>
      <c r="R109" s="350">
        <v>13458.33</v>
      </c>
      <c r="S109" s="540" t="s">
        <v>389</v>
      </c>
      <c r="T109" s="766">
        <v>45626</v>
      </c>
      <c r="U109" s="778">
        <v>68551.201023593094</v>
      </c>
      <c r="V109" s="973">
        <f>K109-SUM(U109:U113)</f>
        <v>3.7012768880231306E-3</v>
      </c>
      <c r="W109" s="774">
        <v>45673</v>
      </c>
      <c r="X109" s="926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390</v>
      </c>
      <c r="E110" s="403"/>
      <c r="F110" s="453"/>
      <c r="G110" s="404">
        <v>29754</v>
      </c>
      <c r="H110" s="356">
        <f>'Project Plan'!E19</f>
        <v>45579</v>
      </c>
      <c r="I110" s="357"/>
      <c r="J110" s="958"/>
      <c r="K110" s="958"/>
      <c r="L110" s="358"/>
      <c r="M110" s="400">
        <v>11</v>
      </c>
      <c r="N110" s="589" t="s">
        <v>388</v>
      </c>
      <c r="O110" s="402" t="s">
        <v>390</v>
      </c>
      <c r="P110" s="403"/>
      <c r="Q110" s="453"/>
      <c r="R110" s="404">
        <v>2520</v>
      </c>
      <c r="S110" s="548" t="s">
        <v>391</v>
      </c>
      <c r="T110" s="766">
        <v>45535</v>
      </c>
      <c r="U110" s="749">
        <v>13475.245053518678</v>
      </c>
      <c r="V110" s="974"/>
      <c r="W110" s="767">
        <v>45537</v>
      </c>
      <c r="X110" s="927"/>
      <c r="Y110" s="209"/>
      <c r="Z110" s="200"/>
    </row>
    <row r="111" spans="1:43" ht="15" customHeight="1">
      <c r="B111" s="400">
        <v>11</v>
      </c>
      <c r="C111" s="402"/>
      <c r="D111" s="402" t="s">
        <v>392</v>
      </c>
      <c r="E111" s="403"/>
      <c r="F111" s="453"/>
      <c r="G111" s="404">
        <v>60000</v>
      </c>
      <c r="H111" s="356">
        <f>H110+30</f>
        <v>45609</v>
      </c>
      <c r="I111" s="357"/>
      <c r="J111" s="958"/>
      <c r="K111" s="958"/>
      <c r="L111" s="358"/>
      <c r="M111" s="400">
        <v>11</v>
      </c>
      <c r="N111" s="589" t="s">
        <v>388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74"/>
      <c r="W111" s="475"/>
      <c r="X111" s="927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58"/>
      <c r="K112" s="958"/>
      <c r="L112" s="358"/>
      <c r="M112" s="400">
        <v>11</v>
      </c>
      <c r="N112" s="589" t="s">
        <v>388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74"/>
      <c r="W112" s="475"/>
      <c r="X112" s="927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59"/>
      <c r="K113" s="959"/>
      <c r="L113" s="361"/>
      <c r="M113" s="406">
        <v>11</v>
      </c>
      <c r="N113" s="670" t="s">
        <v>388</v>
      </c>
      <c r="O113" s="407" t="s">
        <v>393</v>
      </c>
      <c r="P113" s="408"/>
      <c r="Q113" s="454"/>
      <c r="R113" s="427">
        <v>6000</v>
      </c>
      <c r="S113" s="839" t="s">
        <v>394</v>
      </c>
      <c r="T113" s="831">
        <v>45657</v>
      </c>
      <c r="U113" s="840">
        <f>R113/$X$109*$K$109+7464.3</f>
        <v>41068.844321611337</v>
      </c>
      <c r="V113" s="975"/>
      <c r="W113" s="841">
        <f>T113</f>
        <v>45657</v>
      </c>
      <c r="X113" s="928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>
      <c r="B115" s="324">
        <v>12</v>
      </c>
      <c r="C115" s="325" t="s">
        <v>395</v>
      </c>
      <c r="D115" s="325" t="s">
        <v>396</v>
      </c>
      <c r="E115" s="326"/>
      <c r="F115" s="627"/>
      <c r="G115" s="440">
        <v>128980.2</v>
      </c>
      <c r="H115" s="328">
        <f>'Project Plan'!G50</f>
        <v>45698</v>
      </c>
      <c r="I115" s="948"/>
      <c r="J115" s="951">
        <f>SUM(G115:G117)</f>
        <v>128980.2</v>
      </c>
      <c r="K115" s="951">
        <v>0</v>
      </c>
      <c r="L115" s="954"/>
      <c r="M115" s="763">
        <v>12</v>
      </c>
      <c r="N115" s="764" t="s">
        <v>395</v>
      </c>
      <c r="O115" s="762" t="s">
        <v>396</v>
      </c>
      <c r="P115" s="326"/>
      <c r="Q115" s="627"/>
      <c r="R115" s="440">
        <f>128980.2/2</f>
        <v>64490.1</v>
      </c>
      <c r="S115" s="833" t="s">
        <v>397</v>
      </c>
      <c r="T115" s="765">
        <v>45535</v>
      </c>
      <c r="U115" s="628"/>
      <c r="V115" s="648"/>
      <c r="W115" s="768">
        <v>45537</v>
      </c>
      <c r="X115" s="932">
        <f>SUM(R115:R117)</f>
        <v>128980.2</v>
      </c>
      <c r="Y115" s="208"/>
      <c r="Z115" s="194"/>
    </row>
    <row r="116" spans="1:43">
      <c r="B116" s="753"/>
      <c r="C116" s="754"/>
      <c r="D116" s="754"/>
      <c r="E116" s="755"/>
      <c r="F116" s="756"/>
      <c r="G116" s="757"/>
      <c r="H116" s="758"/>
      <c r="I116" s="949"/>
      <c r="J116" s="952"/>
      <c r="K116" s="952"/>
      <c r="L116" s="955"/>
      <c r="M116" s="442">
        <v>12</v>
      </c>
      <c r="N116" s="443" t="s">
        <v>395</v>
      </c>
      <c r="O116" s="754" t="s">
        <v>396</v>
      </c>
      <c r="P116" s="755"/>
      <c r="Q116" s="756"/>
      <c r="R116" s="757">
        <v>64490.1</v>
      </c>
      <c r="S116" s="509" t="s">
        <v>398</v>
      </c>
      <c r="T116" s="811">
        <v>45626</v>
      </c>
      <c r="U116" s="759"/>
      <c r="V116" s="752"/>
      <c r="W116" s="838">
        <v>45638</v>
      </c>
      <c r="X116" s="933"/>
      <c r="Y116" s="760"/>
      <c r="Z116" s="761"/>
    </row>
    <row r="117" spans="1:43" ht="15" customHeight="1">
      <c r="B117" s="335">
        <v>12</v>
      </c>
      <c r="C117" s="449" t="s">
        <v>395</v>
      </c>
      <c r="D117" s="449"/>
      <c r="E117" s="450"/>
      <c r="F117" s="634"/>
      <c r="G117" s="336"/>
      <c r="H117" s="337"/>
      <c r="I117" s="950"/>
      <c r="J117" s="953"/>
      <c r="K117" s="953"/>
      <c r="L117" s="956"/>
      <c r="M117" s="335">
        <v>12</v>
      </c>
      <c r="N117" s="449" t="s">
        <v>395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34"/>
      <c r="Y117" s="643"/>
      <c r="Z117" s="197"/>
    </row>
    <row r="118" spans="1:43" ht="14.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399</v>
      </c>
      <c r="D119" s="487" t="s">
        <v>400</v>
      </c>
      <c r="E119" s="349"/>
      <c r="F119" s="452"/>
      <c r="G119" s="350">
        <v>53182.57</v>
      </c>
      <c r="H119" s="351">
        <f>'Project Plan'!G51+31</f>
        <v>45715</v>
      </c>
      <c r="I119" s="960"/>
      <c r="J119" s="957">
        <f>SUM(G119:G125)</f>
        <v>376288.01</v>
      </c>
      <c r="K119" s="957">
        <v>427600.00919999997</v>
      </c>
      <c r="L119" s="353"/>
      <c r="M119" s="347">
        <v>13</v>
      </c>
      <c r="N119" s="487" t="s">
        <v>401</v>
      </c>
      <c r="O119" s="487" t="s">
        <v>400</v>
      </c>
      <c r="P119" s="349"/>
      <c r="Q119" s="350"/>
      <c r="R119" s="350">
        <f>'Project Plan'!E6*1.25%</f>
        <v>69138.580640485758</v>
      </c>
      <c r="S119" s="819" t="s">
        <v>402</v>
      </c>
      <c r="T119" s="820">
        <v>45657</v>
      </c>
      <c r="U119" s="778">
        <v>427600.00919999997</v>
      </c>
      <c r="V119" s="929">
        <f>K119-SUM(U119:U125)</f>
        <v>0</v>
      </c>
      <c r="W119" s="844">
        <v>45657</v>
      </c>
      <c r="X119" s="926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403</v>
      </c>
      <c r="E120" s="403"/>
      <c r="F120" s="453"/>
      <c r="G120" s="404">
        <v>47200</v>
      </c>
      <c r="H120" s="356">
        <f>H119</f>
        <v>45715</v>
      </c>
      <c r="I120" s="961"/>
      <c r="J120" s="958"/>
      <c r="K120" s="958"/>
      <c r="L120" s="358"/>
      <c r="M120" s="400">
        <v>13</v>
      </c>
      <c r="N120" s="589" t="s">
        <v>401</v>
      </c>
      <c r="O120" s="402" t="s">
        <v>404</v>
      </c>
      <c r="P120" s="403"/>
      <c r="Q120" s="404"/>
      <c r="R120" s="404">
        <v>86400</v>
      </c>
      <c r="S120" s="548" t="s">
        <v>405</v>
      </c>
      <c r="T120" s="766">
        <v>45900</v>
      </c>
      <c r="U120" s="526">
        <v>0</v>
      </c>
      <c r="V120" s="930"/>
      <c r="W120" s="745">
        <v>45900</v>
      </c>
      <c r="X120" s="927"/>
      <c r="Y120" s="209"/>
      <c r="Z120" s="200"/>
    </row>
    <row r="121" spans="1:43" ht="15.75" customHeight="1">
      <c r="B121" s="400">
        <v>13</v>
      </c>
      <c r="C121" s="402"/>
      <c r="D121" s="402" t="s">
        <v>406</v>
      </c>
      <c r="E121" s="403"/>
      <c r="F121" s="453"/>
      <c r="G121" s="404">
        <v>160480</v>
      </c>
      <c r="H121" s="356">
        <f>H119</f>
        <v>45715</v>
      </c>
      <c r="I121" s="961"/>
      <c r="J121" s="958"/>
      <c r="K121" s="958"/>
      <c r="L121" s="358"/>
      <c r="M121" s="400">
        <v>13</v>
      </c>
      <c r="N121" s="589" t="s">
        <v>401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30"/>
      <c r="W121" s="515"/>
      <c r="X121" s="927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407</v>
      </c>
      <c r="E122" s="403"/>
      <c r="F122" s="453"/>
      <c r="G122" s="404">
        <v>61360</v>
      </c>
      <c r="H122" s="356">
        <f>H119</f>
        <v>45715</v>
      </c>
      <c r="I122" s="961"/>
      <c r="J122" s="958"/>
      <c r="K122" s="958"/>
      <c r="L122" s="358"/>
      <c r="M122" s="400">
        <v>13</v>
      </c>
      <c r="N122" s="589" t="s">
        <v>401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30"/>
      <c r="W122" s="515"/>
      <c r="X122" s="927"/>
      <c r="Y122" s="500"/>
      <c r="Z122" s="501"/>
    </row>
    <row r="123" spans="1:43" ht="15.75" customHeight="1">
      <c r="B123" s="400">
        <v>13</v>
      </c>
      <c r="C123" s="402"/>
      <c r="D123" s="402" t="s">
        <v>408</v>
      </c>
      <c r="E123" s="403"/>
      <c r="F123" s="453"/>
      <c r="G123" s="404">
        <v>54065.440000000002</v>
      </c>
      <c r="H123" s="356">
        <f>H119</f>
        <v>45715</v>
      </c>
      <c r="I123" s="961"/>
      <c r="J123" s="958"/>
      <c r="K123" s="958"/>
      <c r="L123" s="358"/>
      <c r="M123" s="400">
        <v>13</v>
      </c>
      <c r="N123" s="589" t="s">
        <v>401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30"/>
      <c r="W123" s="515"/>
      <c r="X123" s="927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61"/>
      <c r="J124" s="958"/>
      <c r="K124" s="958"/>
      <c r="L124" s="358"/>
      <c r="M124" s="400">
        <v>13</v>
      </c>
      <c r="N124" s="589" t="s">
        <v>401</v>
      </c>
      <c r="O124" s="584"/>
      <c r="P124" s="614"/>
      <c r="Q124" s="726"/>
      <c r="R124" s="580"/>
      <c r="S124" s="541"/>
      <c r="T124" s="515"/>
      <c r="U124" s="526"/>
      <c r="V124" s="930"/>
      <c r="W124" s="515"/>
      <c r="X124" s="927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62"/>
      <c r="J125" s="959"/>
      <c r="K125" s="959"/>
      <c r="L125" s="502"/>
      <c r="M125" s="406">
        <v>13</v>
      </c>
      <c r="N125" s="670" t="s">
        <v>401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31"/>
      <c r="W125" s="476"/>
      <c r="X125" s="963"/>
      <c r="Y125" s="215"/>
      <c r="Z125" s="201"/>
    </row>
    <row r="126" spans="1:43" ht="14.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409</v>
      </c>
      <c r="D127" s="325" t="s">
        <v>410</v>
      </c>
      <c r="E127" s="326"/>
      <c r="F127" s="439"/>
      <c r="G127" s="440">
        <v>10325</v>
      </c>
      <c r="H127" s="328">
        <f>H119</f>
        <v>45715</v>
      </c>
      <c r="I127" s="329"/>
      <c r="J127" s="951">
        <f>SUM(G127:G135)</f>
        <v>10325</v>
      </c>
      <c r="K127" s="951">
        <v>12147.05882</v>
      </c>
      <c r="L127" s="441"/>
      <c r="M127" s="324">
        <v>14</v>
      </c>
      <c r="N127" s="688" t="s">
        <v>411</v>
      </c>
      <c r="O127" s="325" t="s">
        <v>410</v>
      </c>
      <c r="P127" s="326"/>
      <c r="Q127" s="439"/>
      <c r="R127" s="440">
        <v>2022.72</v>
      </c>
      <c r="S127" s="824" t="s">
        <v>412</v>
      </c>
      <c r="T127" s="780">
        <v>45535</v>
      </c>
      <c r="U127" s="781">
        <v>2043.6389449634025</v>
      </c>
      <c r="V127" s="935">
        <f>K127-SUM(U127:U135)</f>
        <v>4.1804636657616356E-3</v>
      </c>
      <c r="W127" s="777">
        <v>45540</v>
      </c>
      <c r="X127" s="945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52"/>
      <c r="K128" s="952"/>
      <c r="L128" s="333"/>
      <c r="M128" s="330">
        <v>14</v>
      </c>
      <c r="N128" s="689" t="s">
        <v>411</v>
      </c>
      <c r="O128" s="334"/>
      <c r="P128" s="447"/>
      <c r="Q128" s="448"/>
      <c r="R128" s="327">
        <v>1570.98</v>
      </c>
      <c r="S128" s="825" t="s">
        <v>412</v>
      </c>
      <c r="T128" s="803">
        <v>45565</v>
      </c>
      <c r="U128" s="807">
        <v>1891.2862510292866</v>
      </c>
      <c r="V128" s="936"/>
      <c r="W128" s="803">
        <v>45569</v>
      </c>
      <c r="X128" s="946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52"/>
      <c r="K129" s="952"/>
      <c r="L129" s="333"/>
      <c r="M129" s="330">
        <v>14</v>
      </c>
      <c r="N129" s="689" t="s">
        <v>411</v>
      </c>
      <c r="O129" s="334"/>
      <c r="P129" s="447"/>
      <c r="Q129" s="448"/>
      <c r="R129" s="327">
        <v>1671</v>
      </c>
      <c r="S129" s="825" t="s">
        <v>412</v>
      </c>
      <c r="T129" s="803">
        <v>45596</v>
      </c>
      <c r="U129" s="807">
        <v>2295.2209320506199</v>
      </c>
      <c r="V129" s="936"/>
      <c r="W129" s="803">
        <v>45604</v>
      </c>
      <c r="X129" s="946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52"/>
      <c r="K130" s="952"/>
      <c r="L130" s="333"/>
      <c r="M130" s="330">
        <v>14</v>
      </c>
      <c r="N130" s="689" t="s">
        <v>411</v>
      </c>
      <c r="O130" s="334"/>
      <c r="P130" s="447"/>
      <c r="Q130" s="448"/>
      <c r="R130" s="327">
        <v>0</v>
      </c>
      <c r="S130" s="825" t="s">
        <v>412</v>
      </c>
      <c r="T130" s="803">
        <v>45626</v>
      </c>
      <c r="U130" s="514">
        <v>0</v>
      </c>
      <c r="V130" s="936"/>
      <c r="W130" s="803">
        <v>45632</v>
      </c>
      <c r="X130" s="946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52"/>
      <c r="K131" s="952"/>
      <c r="L131" s="333"/>
      <c r="M131" s="330">
        <v>14</v>
      </c>
      <c r="N131" s="689" t="s">
        <v>411</v>
      </c>
      <c r="O131" s="615"/>
      <c r="P131" s="616"/>
      <c r="Q131" s="617"/>
      <c r="R131" s="327">
        <v>1634.56</v>
      </c>
      <c r="S131" s="825" t="s">
        <v>412</v>
      </c>
      <c r="T131" s="855">
        <v>45688</v>
      </c>
      <c r="U131" s="807">
        <v>2112.4106009216894</v>
      </c>
      <c r="V131" s="936"/>
      <c r="W131" s="861">
        <f t="shared" ref="W131" si="27">T131+7</f>
        <v>45695</v>
      </c>
      <c r="X131" s="946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52"/>
      <c r="K132" s="952"/>
      <c r="L132" s="333"/>
      <c r="M132" s="330">
        <v>14</v>
      </c>
      <c r="N132" s="689" t="s">
        <v>411</v>
      </c>
      <c r="O132" s="615"/>
      <c r="P132" s="616"/>
      <c r="Q132" s="617"/>
      <c r="R132" s="618">
        <v>423.22</v>
      </c>
      <c r="S132" s="825" t="s">
        <v>412</v>
      </c>
      <c r="T132" s="861">
        <v>45716</v>
      </c>
      <c r="U132" s="867">
        <v>3804.4979105713364</v>
      </c>
      <c r="V132" s="936"/>
      <c r="W132" s="871">
        <f>T132+7</f>
        <v>45723</v>
      </c>
      <c r="X132" s="946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52"/>
      <c r="K133" s="952"/>
      <c r="L133" s="333"/>
      <c r="M133" s="330">
        <v>14</v>
      </c>
      <c r="N133" s="689" t="s">
        <v>411</v>
      </c>
      <c r="O133" s="615"/>
      <c r="P133" s="616"/>
      <c r="Q133" s="617"/>
      <c r="R133" s="618">
        <v>318.92</v>
      </c>
      <c r="S133" s="825" t="s">
        <v>412</v>
      </c>
      <c r="T133" s="861">
        <v>45747</v>
      </c>
      <c r="U133" s="870">
        <v>0</v>
      </c>
      <c r="V133" s="936"/>
      <c r="W133" s="871">
        <v>45751</v>
      </c>
      <c r="X133" s="946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52"/>
      <c r="K134" s="952"/>
      <c r="L134" s="333"/>
      <c r="M134" s="330">
        <v>14</v>
      </c>
      <c r="N134" s="689" t="s">
        <v>411</v>
      </c>
      <c r="O134" s="615"/>
      <c r="P134" s="616"/>
      <c r="Q134" s="617"/>
      <c r="R134" s="618">
        <v>1087.98</v>
      </c>
      <c r="S134" s="825" t="s">
        <v>412</v>
      </c>
      <c r="T134" s="861">
        <v>45777</v>
      </c>
      <c r="U134" s="870"/>
      <c r="V134" s="936"/>
      <c r="W134" s="871">
        <v>45785</v>
      </c>
      <c r="X134" s="946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53"/>
      <c r="K135" s="953"/>
      <c r="L135" s="339"/>
      <c r="M135" s="335">
        <v>14</v>
      </c>
      <c r="N135" s="690" t="s">
        <v>411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37"/>
      <c r="W135" s="472"/>
      <c r="X135" s="947"/>
      <c r="Y135" s="212"/>
      <c r="Z135" s="197"/>
    </row>
    <row r="136" spans="1:43" ht="14.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>
      <c r="B137" s="347">
        <v>15</v>
      </c>
      <c r="C137" s="348" t="s">
        <v>413</v>
      </c>
      <c r="D137" s="348"/>
      <c r="E137" s="349"/>
      <c r="F137" s="452"/>
      <c r="G137" s="350"/>
      <c r="H137" s="351"/>
      <c r="I137" s="352"/>
      <c r="J137" s="957">
        <f>SUM(G137:G140)</f>
        <v>0</v>
      </c>
      <c r="K137" s="957">
        <v>0</v>
      </c>
      <c r="L137" s="353"/>
      <c r="M137" s="347">
        <v>15</v>
      </c>
      <c r="N137" s="487" t="s">
        <v>414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29">
        <f>K137-SUM(U137:U140)</f>
        <v>0</v>
      </c>
      <c r="W137" s="474"/>
      <c r="X137" s="926">
        <f>SUM(R137:R140)</f>
        <v>24802.3</v>
      </c>
      <c r="Y137" s="214"/>
      <c r="Z137" s="199"/>
    </row>
    <row r="138" spans="1:43">
      <c r="B138" s="400">
        <v>15</v>
      </c>
      <c r="C138" s="402"/>
      <c r="D138" s="402"/>
      <c r="E138" s="403"/>
      <c r="F138" s="453"/>
      <c r="G138" s="404"/>
      <c r="H138" s="356"/>
      <c r="I138" s="357"/>
      <c r="J138" s="958"/>
      <c r="K138" s="958"/>
      <c r="L138" s="358"/>
      <c r="M138" s="400">
        <v>15</v>
      </c>
      <c r="N138" s="589" t="s">
        <v>414</v>
      </c>
      <c r="O138" s="402" t="s">
        <v>415</v>
      </c>
      <c r="P138" s="403"/>
      <c r="Q138" s="453"/>
      <c r="R138" s="404">
        <v>16214.8</v>
      </c>
      <c r="S138" s="548" t="s">
        <v>416</v>
      </c>
      <c r="T138" s="745">
        <v>45808</v>
      </c>
      <c r="U138" s="560"/>
      <c r="V138" s="930"/>
      <c r="W138" s="767">
        <v>45792</v>
      </c>
      <c r="X138" s="927"/>
      <c r="Y138" s="209" t="s">
        <v>417</v>
      </c>
      <c r="Z138" s="200"/>
    </row>
    <row r="139" spans="1:43">
      <c r="B139" s="400">
        <v>15</v>
      </c>
      <c r="C139" s="402"/>
      <c r="D139" s="402"/>
      <c r="E139" s="403"/>
      <c r="F139" s="453"/>
      <c r="G139" s="404"/>
      <c r="H139" s="356"/>
      <c r="I139" s="357"/>
      <c r="J139" s="958"/>
      <c r="K139" s="958"/>
      <c r="L139" s="358"/>
      <c r="M139" s="400">
        <v>15</v>
      </c>
      <c r="N139" s="589" t="s">
        <v>414</v>
      </c>
      <c r="O139" s="402" t="s">
        <v>418</v>
      </c>
      <c r="P139" s="403"/>
      <c r="Q139" s="453"/>
      <c r="R139" s="404">
        <v>8587.5</v>
      </c>
      <c r="S139" s="548" t="s">
        <v>419</v>
      </c>
      <c r="T139" s="745">
        <v>45900</v>
      </c>
      <c r="U139" s="560"/>
      <c r="V139" s="930"/>
      <c r="W139" s="767">
        <v>46001</v>
      </c>
      <c r="X139" s="927"/>
      <c r="Y139" s="209" t="s">
        <v>420</v>
      </c>
      <c r="Z139" s="200"/>
    </row>
    <row r="140" spans="1:43" ht="14.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59"/>
      <c r="K140" s="959"/>
      <c r="L140" s="361"/>
      <c r="M140" s="406">
        <v>15</v>
      </c>
      <c r="N140" s="670" t="s">
        <v>414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31"/>
      <c r="W140" s="476"/>
      <c r="X140" s="928"/>
      <c r="Y140" s="215"/>
      <c r="Z140" s="201"/>
    </row>
    <row r="141" spans="1:43" s="3" customFormat="1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265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  <mergeCell ref="B2:H2"/>
    <mergeCell ref="M2:R2"/>
    <mergeCell ref="J6:J14"/>
    <mergeCell ref="J16:J19"/>
    <mergeCell ref="J21:J25"/>
    <mergeCell ref="K6:K14"/>
    <mergeCell ref="K16:K19"/>
    <mergeCell ref="K21:K25"/>
    <mergeCell ref="J27:J37"/>
    <mergeCell ref="J39:J54"/>
    <mergeCell ref="J56:J69"/>
    <mergeCell ref="J80:J86"/>
    <mergeCell ref="J88:J95"/>
    <mergeCell ref="S2:W2"/>
    <mergeCell ref="V6:V14"/>
    <mergeCell ref="V16:V19"/>
    <mergeCell ref="V21:V25"/>
    <mergeCell ref="V27:V37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I115:I117"/>
    <mergeCell ref="J115:J117"/>
    <mergeCell ref="K115:K117"/>
    <mergeCell ref="L115:L117"/>
    <mergeCell ref="J71:J78"/>
    <mergeCell ref="K71:K78"/>
    <mergeCell ref="X6:X14"/>
    <mergeCell ref="X16:X19"/>
    <mergeCell ref="X21:X25"/>
    <mergeCell ref="X27:X37"/>
    <mergeCell ref="X39:X54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Y30:Y37"/>
    <mergeCell ref="Y88:Y95"/>
    <mergeCell ref="Y99:Y106"/>
    <mergeCell ref="Y6:Y7"/>
    <mergeCell ref="Y62:Y67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G22"/>
  <sheetViews>
    <sheetView zoomScale="55" zoomScaleNormal="55" workbookViewId="0">
      <pane xSplit="5" ySplit="15" topLeftCell="CD16" activePane="bottomRight" state="frozen"/>
      <selection pane="topRight" activeCell="F1" sqref="F1"/>
      <selection pane="bottomLeft" activeCell="A22" sqref="A22"/>
      <selection pane="bottomRight" activeCell="CF9" sqref="CF9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69" width="15.453125" bestFit="1" customWidth="1"/>
    <col min="70" max="101" width="15.453125" customWidth="1"/>
    <col min="102" max="102" width="9.453125" style="239"/>
  </cols>
  <sheetData>
    <row r="1" spans="1:579">
      <c r="D1" s="235" t="s">
        <v>421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  <c r="CH1" s="238">
        <f t="shared" ref="CH1" si="77">CG1+7</f>
        <v>46048</v>
      </c>
      <c r="CI1" s="238">
        <f t="shared" ref="CI1" si="78">CH1+7</f>
        <v>46055</v>
      </c>
      <c r="CJ1" s="238">
        <f t="shared" ref="CJ1" si="79">CI1+7</f>
        <v>46062</v>
      </c>
      <c r="CK1" s="238">
        <f t="shared" ref="CK1" si="80">CJ1+7</f>
        <v>46069</v>
      </c>
      <c r="CL1" s="238">
        <f t="shared" ref="CL1" si="81">CK1+7</f>
        <v>46076</v>
      </c>
      <c r="CM1" s="238">
        <f t="shared" ref="CM1" si="82">CL1+7</f>
        <v>46083</v>
      </c>
      <c r="CN1" s="238">
        <f t="shared" ref="CN1" si="83">CM1+7</f>
        <v>46090</v>
      </c>
      <c r="CO1" s="238">
        <f t="shared" ref="CO1" si="84">CN1+7</f>
        <v>46097</v>
      </c>
      <c r="CP1" s="238">
        <f t="shared" ref="CP1" si="85">CO1+7</f>
        <v>46104</v>
      </c>
      <c r="CQ1" s="238">
        <f t="shared" ref="CQ1" si="86">CP1+7</f>
        <v>46111</v>
      </c>
      <c r="CR1" s="238">
        <f t="shared" ref="CR1" si="87">CQ1+7</f>
        <v>46118</v>
      </c>
      <c r="CS1" s="238">
        <f t="shared" ref="CS1" si="88">CR1+7</f>
        <v>46125</v>
      </c>
      <c r="CT1" s="238">
        <f t="shared" ref="CT1" si="89">CS1+7</f>
        <v>46132</v>
      </c>
      <c r="CU1" s="238">
        <f t="shared" ref="CU1" si="90">CT1+7</f>
        <v>46139</v>
      </c>
      <c r="CV1" s="238">
        <f t="shared" ref="CV1" si="91">CU1+7</f>
        <v>46146</v>
      </c>
      <c r="CW1" s="238">
        <f t="shared" ref="CW1" si="92">CV1+7</f>
        <v>46153</v>
      </c>
    </row>
    <row r="2" spans="1:579" s="239" customFormat="1">
      <c r="A2" s="998" t="s">
        <v>74</v>
      </c>
      <c r="B2" s="240"/>
      <c r="C2" s="241" t="s">
        <v>238</v>
      </c>
      <c r="D2" s="241" t="s">
        <v>238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H2" s="242"/>
      <c r="CI2" s="242"/>
      <c r="CJ2" s="242"/>
      <c r="CK2" s="242"/>
      <c r="CL2" s="242"/>
      <c r="CM2" s="242"/>
      <c r="CN2" s="242"/>
      <c r="CO2" s="242"/>
      <c r="CP2" s="242"/>
      <c r="CQ2" s="242"/>
      <c r="CR2" s="242"/>
      <c r="CS2" s="242"/>
      <c r="CT2" s="242"/>
      <c r="CU2" s="242"/>
      <c r="CV2" s="242"/>
      <c r="CW2" s="24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</row>
    <row r="3" spans="1:579">
      <c r="A3" s="999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"&lt;"&amp;CX1)</f>
        <v>0</v>
      </c>
      <c r="BR3" s="246">
        <f>SUMIFS('Revenue Tracking'!$F$13:$F$19, 'Revenue Tracking'!$H$13:$H$19, "&gt;="&amp;BR1,'Revenue Tracking'!$H$13:$H$19, "&lt;"&amp;CY1)</f>
        <v>0</v>
      </c>
      <c r="BS3" s="246">
        <f>SUMIFS('Revenue Tracking'!$F$13:$F$19, 'Revenue Tracking'!$H$13:$H$19, "&gt;="&amp;BS1,'Revenue Tracking'!$H$13:$H$19, "&lt;"&amp;CZ1)</f>
        <v>0</v>
      </c>
      <c r="BT3" s="246">
        <f>SUMIFS('Revenue Tracking'!$F$13:$F$19, 'Revenue Tracking'!$H$13:$H$19, "&gt;="&amp;BT1,'Revenue Tracking'!$H$13:$H$19, "&lt;"&amp;DA1)</f>
        <v>0</v>
      </c>
      <c r="BU3" s="246">
        <f>SUMIFS('Revenue Tracking'!$F$13:$F$19, 'Revenue Tracking'!$H$13:$H$19, "&gt;="&amp;BU1,'Revenue Tracking'!$H$13:$H$19, "&lt;"&amp;DB1)</f>
        <v>0</v>
      </c>
      <c r="BV3" s="246">
        <f>SUMIFS('Revenue Tracking'!$F$13:$F$19, 'Revenue Tracking'!$H$13:$H$19, "&gt;="&amp;BV1,'Revenue Tracking'!$H$13:$H$19, "&lt;"&amp;DC1)</f>
        <v>0</v>
      </c>
      <c r="BW3" s="246">
        <f>SUMIFS('Revenue Tracking'!$F$13:$F$19, 'Revenue Tracking'!$H$13:$H$19, "&gt;="&amp;BW1,'Revenue Tracking'!$H$13:$H$19, "&lt;"&amp;DD1)</f>
        <v>0</v>
      </c>
      <c r="BX3" s="246">
        <f>SUMIFS('Revenue Tracking'!$F$13:$F$19, 'Revenue Tracking'!$H$13:$H$19, "&gt;="&amp;BX1,'Revenue Tracking'!$H$13:$H$19, "&lt;"&amp;DE1)</f>
        <v>0</v>
      </c>
      <c r="BY3" s="246">
        <f>SUMIFS('Revenue Tracking'!$F$13:$F$19, 'Revenue Tracking'!$H$13:$H$19, "&gt;="&amp;BY1,'Revenue Tracking'!$H$13:$H$19, "&lt;"&amp;DF1)</f>
        <v>0</v>
      </c>
      <c r="BZ3" s="246">
        <f>SUMIFS('Revenue Tracking'!$F$13:$F$19, 'Revenue Tracking'!$H$13:$H$19, "&gt;="&amp;BZ1,'Revenue Tracking'!$H$13:$H$19, "&lt;"&amp;DG1)</f>
        <v>0</v>
      </c>
      <c r="CA3" s="246">
        <f>SUMIFS('Revenue Tracking'!$F$13:$F$19, 'Revenue Tracking'!$H$13:$H$19, "&gt;="&amp;CA1,'Revenue Tracking'!$H$13:$H$19, "&lt;"&amp;DH1)</f>
        <v>0</v>
      </c>
      <c r="CB3" s="246">
        <f>SUMIFS('Revenue Tracking'!$F$13:$F$19, 'Revenue Tracking'!$H$13:$H$19, "&gt;="&amp;CB1,'Revenue Tracking'!$H$13:$H$19, "&lt;"&amp;DI1)</f>
        <v>0</v>
      </c>
      <c r="CC3" s="246">
        <f>SUMIFS('Revenue Tracking'!$F$13:$F$19, 'Revenue Tracking'!$H$13:$H$19, "&gt;="&amp;CC1,'Revenue Tracking'!$H$13:$H$19, "&lt;"&amp;DJ1)</f>
        <v>0</v>
      </c>
      <c r="CD3" s="246">
        <f>SUMIFS('Revenue Tracking'!$F$13:$F$19, 'Revenue Tracking'!$H$13:$H$19, "&gt;="&amp;CD1,'Revenue Tracking'!$H$13:$H$19, "&lt;"&amp;DK1)</f>
        <v>0</v>
      </c>
      <c r="CE3" s="246">
        <f>SUMIFS('Revenue Tracking'!$F$13:$F$19, 'Revenue Tracking'!$H$13:$H$19, "&gt;="&amp;CE1,'Revenue Tracking'!$H$13:$H$19, "&lt;"&amp;DL1)</f>
        <v>0</v>
      </c>
      <c r="CF3" s="246">
        <f>SUMIFS('Revenue Tracking'!$F$13:$F$19, 'Revenue Tracking'!$H$13:$H$19, "&gt;="&amp;CF1,'Revenue Tracking'!$H$13:$H$19, "&lt;"&amp;DM1)</f>
        <v>0</v>
      </c>
      <c r="CG3" s="246">
        <f>SUMIFS('Revenue Tracking'!$F$13:$F$19, 'Revenue Tracking'!$H$13:$H$19, "&gt;="&amp;CG1,'Revenue Tracking'!$H$13:$H$19, "&lt;"&amp;DN1)</f>
        <v>0</v>
      </c>
      <c r="CH3" s="246">
        <f>SUMIFS('Revenue Tracking'!$F$13:$F$19, 'Revenue Tracking'!$H$13:$H$19, "&gt;="&amp;CH1,'Revenue Tracking'!$H$13:$H$19, "&lt;"&amp;DO1)</f>
        <v>0</v>
      </c>
      <c r="CI3" s="246">
        <f>SUMIFS('Revenue Tracking'!$F$13:$F$19, 'Revenue Tracking'!$H$13:$H$19, "&gt;="&amp;CI1,'Revenue Tracking'!$H$13:$H$19, "&lt;"&amp;DP1)</f>
        <v>0</v>
      </c>
      <c r="CJ3" s="246">
        <f>SUMIFS('Revenue Tracking'!$F$13:$F$19, 'Revenue Tracking'!$H$13:$H$19, "&gt;="&amp;CJ1,'Revenue Tracking'!$H$13:$H$19, "&lt;"&amp;DQ1)</f>
        <v>0</v>
      </c>
      <c r="CK3" s="246">
        <f>SUMIFS('Revenue Tracking'!$F$13:$F$19, 'Revenue Tracking'!$H$13:$H$19, "&gt;="&amp;CK1,'Revenue Tracking'!$H$13:$H$19, "&lt;"&amp;DR1)</f>
        <v>0</v>
      </c>
      <c r="CL3" s="246">
        <f>SUMIFS('Revenue Tracking'!$F$13:$F$19, 'Revenue Tracking'!$H$13:$H$19, "&gt;="&amp;CL1,'Revenue Tracking'!$H$13:$H$19, "&lt;"&amp;DS1)</f>
        <v>0</v>
      </c>
      <c r="CM3" s="246">
        <f>SUMIFS('Revenue Tracking'!$F$13:$F$19, 'Revenue Tracking'!$H$13:$H$19, "&gt;="&amp;CM1,'Revenue Tracking'!$H$13:$H$19, "&lt;"&amp;DT1)</f>
        <v>0</v>
      </c>
      <c r="CN3" s="246">
        <f>SUMIFS('Revenue Tracking'!$F$13:$F$19, 'Revenue Tracking'!$H$13:$H$19, "&gt;="&amp;CN1,'Revenue Tracking'!$H$13:$H$19, "&lt;"&amp;DU1)</f>
        <v>0</v>
      </c>
      <c r="CO3" s="246">
        <f>SUMIFS('Revenue Tracking'!$F$13:$F$19, 'Revenue Tracking'!$H$13:$H$19, "&gt;="&amp;CO1,'Revenue Tracking'!$H$13:$H$19, "&lt;"&amp;DV1)</f>
        <v>0</v>
      </c>
      <c r="CP3" s="246">
        <f>SUMIFS('Revenue Tracking'!$F$13:$F$19, 'Revenue Tracking'!$H$13:$H$19, "&gt;="&amp;CP1,'Revenue Tracking'!$H$13:$H$19, "&lt;"&amp;DW1)</f>
        <v>0</v>
      </c>
      <c r="CQ3" s="246">
        <f>SUMIFS('Revenue Tracking'!$F$13:$F$19, 'Revenue Tracking'!$H$13:$H$19, "&gt;="&amp;CQ1,'Revenue Tracking'!$H$13:$H$19, "&lt;"&amp;DX1)</f>
        <v>0</v>
      </c>
      <c r="CR3" s="246">
        <f>SUMIFS('Revenue Tracking'!$F$13:$F$19, 'Revenue Tracking'!$H$13:$H$19, "&gt;="&amp;CR1,'Revenue Tracking'!$H$13:$H$19, "&lt;"&amp;DY1)</f>
        <v>0</v>
      </c>
      <c r="CS3" s="246">
        <f>SUMIFS('Revenue Tracking'!$F$13:$F$19, 'Revenue Tracking'!$H$13:$H$19, "&gt;="&amp;CS1,'Revenue Tracking'!$H$13:$H$19, "&lt;"&amp;DZ1)</f>
        <v>0</v>
      </c>
      <c r="CT3" s="246">
        <f>SUMIFS('Revenue Tracking'!$F$13:$F$19, 'Revenue Tracking'!$H$13:$H$19, "&gt;="&amp;CT1,'Revenue Tracking'!$H$13:$H$19, "&lt;"&amp;EA1)</f>
        <v>0</v>
      </c>
      <c r="CU3" s="246">
        <f>SUMIFS('Revenue Tracking'!$F$13:$F$19, 'Revenue Tracking'!$H$13:$H$19, "&gt;="&amp;CU1,'Revenue Tracking'!$H$13:$H$19, "&lt;"&amp;EB1)</f>
        <v>0</v>
      </c>
      <c r="CV3" s="246">
        <f>SUMIFS('Revenue Tracking'!$F$13:$F$19, 'Revenue Tracking'!$H$13:$H$19, "&gt;="&amp;CV1,'Revenue Tracking'!$H$13:$H$19, "&lt;"&amp;EC1)</f>
        <v>0</v>
      </c>
      <c r="CW3" s="246">
        <f>SUMIFS('Revenue Tracking'!$F$13:$F$19, 'Revenue Tracking'!$H$13:$H$19, "&gt;="&amp;CW1,'Revenue Tracking'!$H$13:$H$19, "&lt;"&amp;ED1)</f>
        <v>0</v>
      </c>
    </row>
    <row r="4" spans="1:579">
      <c r="A4" s="999"/>
      <c r="B4" s="243" t="s">
        <v>422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93">H4+I3</f>
        <v>1935880.257933601</v>
      </c>
      <c r="J4" s="246">
        <f t="shared" ref="J4" si="94">I4+J3</f>
        <v>1935880.257933601</v>
      </c>
      <c r="K4" s="246">
        <f t="shared" ref="K4" si="95">J4+K3</f>
        <v>1935880.257933601</v>
      </c>
      <c r="L4" s="246">
        <f t="shared" ref="L4" si="96">K4+L3</f>
        <v>1935880.257933601</v>
      </c>
      <c r="M4" s="246">
        <f t="shared" ref="M4" si="97">L4+M3</f>
        <v>1935880.257933601</v>
      </c>
      <c r="N4" s="246">
        <f t="shared" ref="N4" si="98">M4+N3</f>
        <v>1935880.257933601</v>
      </c>
      <c r="O4" s="246">
        <f t="shared" ref="O4" si="99">N4+O3</f>
        <v>1935880.257933601</v>
      </c>
      <c r="P4" s="246">
        <f t="shared" ref="P4" si="100">O4+P3</f>
        <v>1935880.257933601</v>
      </c>
      <c r="Q4" s="246">
        <f t="shared" ref="Q4" si="101">P4+Q3</f>
        <v>1935880.257933601</v>
      </c>
      <c r="R4" s="246">
        <f t="shared" ref="R4" si="102">Q4+R3</f>
        <v>1935880.257933601</v>
      </c>
      <c r="S4" s="246">
        <f t="shared" ref="S4" si="103">R4+S3</f>
        <v>1935880.257933601</v>
      </c>
      <c r="T4" s="246">
        <f t="shared" ref="T4" si="104">S4+T3</f>
        <v>3042097.5481813732</v>
      </c>
      <c r="U4" s="246">
        <f t="shared" ref="U4" si="105">T4+U3</f>
        <v>3042097.5481813732</v>
      </c>
      <c r="V4" s="246">
        <f t="shared" ref="V4" si="106">U4+V3</f>
        <v>3042097.5481813732</v>
      </c>
      <c r="W4" s="246">
        <f t="shared" ref="W4" si="107">V4+W3</f>
        <v>3042097.5481813732</v>
      </c>
      <c r="X4" s="246">
        <f t="shared" ref="X4" si="108">W4+X3</f>
        <v>3042097.5481813732</v>
      </c>
      <c r="Y4" s="246">
        <f t="shared" ref="Y4" si="109">X4+Y3</f>
        <v>3042097.5481813732</v>
      </c>
      <c r="Z4" s="246">
        <f t="shared" ref="Z4" si="110">Y4+Z3</f>
        <v>3042097.5481813732</v>
      </c>
      <c r="AA4" s="246">
        <f t="shared" ref="AA4" si="111">Z4+AA3</f>
        <v>3042097.5481813732</v>
      </c>
      <c r="AB4" s="246">
        <f t="shared" ref="AB4" si="112">AA4+AB3</f>
        <v>4701423.4835530315</v>
      </c>
      <c r="AC4" s="246">
        <f t="shared" ref="AC4" si="113">AB4+AC3</f>
        <v>4701423.4835530315</v>
      </c>
      <c r="AD4" s="246">
        <f t="shared" ref="AD4" si="114">AC4+AD3</f>
        <v>4701423.4835530315</v>
      </c>
      <c r="AE4" s="246">
        <f t="shared" ref="AE4" si="115">AD4+AE3</f>
        <v>4701423.4835530315</v>
      </c>
      <c r="AF4" s="246">
        <f t="shared" ref="AF4" si="116">AE4+AF3</f>
        <v>4701423.4835530315</v>
      </c>
      <c r="AG4" s="246">
        <f t="shared" ref="AG4" si="117">AF4+AG3</f>
        <v>5375078.4486769177</v>
      </c>
      <c r="AH4" s="246">
        <f t="shared" ref="AH4" si="118">AG4+AH3</f>
        <v>5375078.4486769177</v>
      </c>
      <c r="AI4" s="246">
        <f t="shared" ref="AI4" si="119">AH4+AI3</f>
        <v>5375078.4486769177</v>
      </c>
      <c r="AJ4" s="246">
        <f t="shared" ref="AJ4" si="120">AI4+AJ3</f>
        <v>5651632.7712388607</v>
      </c>
      <c r="AK4" s="246">
        <f t="shared" ref="AK4" si="121">AJ4+AK3</f>
        <v>5651632.7712388607</v>
      </c>
      <c r="AL4" s="246">
        <f t="shared" ref="AL4" si="122">AK4+AL3</f>
        <v>5651632.7712388607</v>
      </c>
      <c r="AM4" s="246">
        <f t="shared" ref="AM4" si="123">AL4+AM3</f>
        <v>5651632.7712388607</v>
      </c>
      <c r="AN4" s="246">
        <f t="shared" ref="AN4" si="124">AM4+AN3</f>
        <v>5651632.7712388607</v>
      </c>
      <c r="AO4" s="246">
        <f t="shared" ref="AO4" si="125">AN4+AO3</f>
        <v>5651632.7712388607</v>
      </c>
      <c r="AP4" s="246">
        <f t="shared" ref="AP4" si="126">AO4+AP3</f>
        <v>5651632.7712388607</v>
      </c>
      <c r="AQ4" s="246">
        <f t="shared" ref="AQ4" si="127">AP4+AQ3</f>
        <v>5651632.7712388607</v>
      </c>
      <c r="AR4" s="246">
        <f t="shared" ref="AR4" si="128">AQ4+AR3</f>
        <v>5651632.7712388607</v>
      </c>
      <c r="AS4" s="246">
        <f t="shared" ref="AS4" si="129">AR4+AS3</f>
        <v>5651632.7712388607</v>
      </c>
      <c r="AT4" s="246">
        <f t="shared" ref="AT4" si="130">AS4+AT3</f>
        <v>5651632.7712388607</v>
      </c>
      <c r="AU4" s="246">
        <f t="shared" ref="AU4" si="131">AT4+AU3</f>
        <v>5651632.7712388607</v>
      </c>
      <c r="AV4" s="246">
        <f t="shared" ref="AV4" si="132">AU4+AV3</f>
        <v>5651632.7712388607</v>
      </c>
      <c r="AW4" s="246">
        <f t="shared" ref="AW4" si="133">AV4+AW3</f>
        <v>5651632.7712388607</v>
      </c>
      <c r="AX4" s="246">
        <f t="shared" ref="AX4" si="134">AW4+AX3</f>
        <v>5651632.7712388607</v>
      </c>
      <c r="AY4" s="246">
        <f t="shared" ref="AY4" si="135">AX4+AY3</f>
        <v>5651632.7712388607</v>
      </c>
      <c r="AZ4" s="246">
        <f t="shared" ref="AZ4" si="136">AY4+AZ3</f>
        <v>5651632.7712388607</v>
      </c>
      <c r="BA4" s="246">
        <f t="shared" ref="BA4" si="137">AZ4+BA3</f>
        <v>5651632.7712388607</v>
      </c>
      <c r="BB4" s="246">
        <f t="shared" ref="BB4" si="138">BA4+BB3</f>
        <v>5651632.7712388607</v>
      </c>
      <c r="BC4" s="246">
        <f t="shared" ref="BC4" si="139">BB4+BC3</f>
        <v>5651632.7712388607</v>
      </c>
      <c r="BD4" s="246">
        <f t="shared" ref="BD4" si="140">BC4+BD3</f>
        <v>5651632.7712388607</v>
      </c>
      <c r="BE4" s="246">
        <f t="shared" ref="BE4" si="141">BD4+BE3</f>
        <v>5651632.7712388607</v>
      </c>
      <c r="BF4" s="246">
        <f t="shared" ref="BF4" si="142">BE4+BF3</f>
        <v>5651632.7712388607</v>
      </c>
      <c r="BG4" s="246">
        <f t="shared" ref="BG4" si="143">BF4+BG3</f>
        <v>5651632.7712388607</v>
      </c>
      <c r="BH4" s="246">
        <f t="shared" ref="BH4" si="144">BG4+BH3</f>
        <v>5651632.7712388607</v>
      </c>
      <c r="BI4" s="246">
        <f t="shared" ref="BI4" si="145">BH4+BI3</f>
        <v>5651632.7712388607</v>
      </c>
      <c r="BJ4" s="246">
        <f t="shared" ref="BJ4" si="146">BI4+BJ3</f>
        <v>5651632.7712388607</v>
      </c>
      <c r="BK4" s="246">
        <f t="shared" ref="BK4" si="147">BJ4+BK3</f>
        <v>5651632.7712388607</v>
      </c>
      <c r="BL4" s="246">
        <f t="shared" ref="BL4" si="148">BK4+BL3</f>
        <v>5651632.7712388607</v>
      </c>
      <c r="BM4" s="246">
        <f t="shared" ref="BM4" si="149">BL4+BM3</f>
        <v>5651632.7712388607</v>
      </c>
      <c r="BN4" s="246">
        <f t="shared" ref="BN4" si="150">BM4+BN3</f>
        <v>5651632.7712388607</v>
      </c>
      <c r="BO4" s="246">
        <f t="shared" ref="BO4" si="151">BN4+BO3</f>
        <v>5651632.7712388607</v>
      </c>
      <c r="BP4" s="246">
        <f t="shared" ref="BP4" si="152">BO4+BP3</f>
        <v>5651632.7712388607</v>
      </c>
      <c r="BQ4" s="246">
        <f t="shared" ref="BQ4" si="153">BP4+BQ3</f>
        <v>5651632.7712388607</v>
      </c>
      <c r="BR4" s="246">
        <f t="shared" ref="BR4" si="154">BQ4+BR3</f>
        <v>5651632.7712388607</v>
      </c>
      <c r="BS4" s="246">
        <f t="shared" ref="BS4" si="155">BR4+BS3</f>
        <v>5651632.7712388607</v>
      </c>
      <c r="BT4" s="246">
        <f t="shared" ref="BT4" si="156">BS4+BT3</f>
        <v>5651632.7712388607</v>
      </c>
      <c r="BU4" s="246">
        <f t="shared" ref="BU4" si="157">BT4+BU3</f>
        <v>5651632.7712388607</v>
      </c>
      <c r="BV4" s="246">
        <f t="shared" ref="BV4" si="158">BU4+BV3</f>
        <v>5651632.7712388607</v>
      </c>
      <c r="BW4" s="246">
        <f t="shared" ref="BW4" si="159">BV4+BW3</f>
        <v>5651632.7712388607</v>
      </c>
      <c r="BX4" s="246">
        <f t="shared" ref="BX4" si="160">BW4+BX3</f>
        <v>5651632.7712388607</v>
      </c>
      <c r="BY4" s="246">
        <f t="shared" ref="BY4" si="161">BX4+BY3</f>
        <v>5651632.7712388607</v>
      </c>
      <c r="BZ4" s="246">
        <f t="shared" ref="BZ4" si="162">BY4+BZ3</f>
        <v>5651632.7712388607</v>
      </c>
      <c r="CA4" s="246">
        <f t="shared" ref="CA4" si="163">BZ4+CA3</f>
        <v>5651632.7712388607</v>
      </c>
      <c r="CB4" s="246">
        <f t="shared" ref="CB4" si="164">CA4+CB3</f>
        <v>5651632.7712388607</v>
      </c>
      <c r="CC4" s="246">
        <f t="shared" ref="CC4" si="165">CB4+CC3</f>
        <v>5651632.7712388607</v>
      </c>
      <c r="CD4" s="246">
        <f t="shared" ref="CD4" si="166">CC4+CD3</f>
        <v>5651632.7712388607</v>
      </c>
      <c r="CE4" s="246">
        <f t="shared" ref="CE4" si="167">CD4+CE3</f>
        <v>5651632.7712388607</v>
      </c>
      <c r="CF4" s="246">
        <f t="shared" ref="CF4" si="168">CE4+CF3</f>
        <v>5651632.7712388607</v>
      </c>
      <c r="CG4" s="246">
        <f t="shared" ref="CG4" si="169">CF4+CG3</f>
        <v>5651632.7712388607</v>
      </c>
      <c r="CH4" s="246">
        <f t="shared" ref="CH4" si="170">CG4+CH3</f>
        <v>5651632.7712388607</v>
      </c>
      <c r="CI4" s="246">
        <f t="shared" ref="CI4" si="171">CH4+CI3</f>
        <v>5651632.7712388607</v>
      </c>
      <c r="CJ4" s="246">
        <f t="shared" ref="CJ4" si="172">CI4+CJ3</f>
        <v>5651632.7712388607</v>
      </c>
      <c r="CK4" s="246">
        <f t="shared" ref="CK4" si="173">CJ4+CK3</f>
        <v>5651632.7712388607</v>
      </c>
      <c r="CL4" s="246">
        <f t="shared" ref="CL4" si="174">CK4+CL3</f>
        <v>5651632.7712388607</v>
      </c>
      <c r="CM4" s="246">
        <f t="shared" ref="CM4" si="175">CL4+CM3</f>
        <v>5651632.7712388607</v>
      </c>
      <c r="CN4" s="246">
        <f t="shared" ref="CN4" si="176">CM4+CN3</f>
        <v>5651632.7712388607</v>
      </c>
      <c r="CO4" s="246">
        <f t="shared" ref="CO4" si="177">CN4+CO3</f>
        <v>5651632.7712388607</v>
      </c>
      <c r="CP4" s="246">
        <f t="shared" ref="CP4" si="178">CO4+CP3</f>
        <v>5651632.7712388607</v>
      </c>
      <c r="CQ4" s="246">
        <f t="shared" ref="CQ4" si="179">CP4+CQ3</f>
        <v>5651632.7712388607</v>
      </c>
      <c r="CR4" s="246">
        <f t="shared" ref="CR4" si="180">CQ4+CR3</f>
        <v>5651632.7712388607</v>
      </c>
      <c r="CS4" s="246">
        <f t="shared" ref="CS4" si="181">CR4+CS3</f>
        <v>5651632.7712388607</v>
      </c>
      <c r="CT4" s="246">
        <f t="shared" ref="CT4" si="182">CS4+CT3</f>
        <v>5651632.7712388607</v>
      </c>
      <c r="CU4" s="246">
        <f t="shared" ref="CU4" si="183">CT4+CU3</f>
        <v>5651632.7712388607</v>
      </c>
      <c r="CV4" s="246">
        <f t="shared" ref="CV4" si="184">CU4+CV3</f>
        <v>5651632.7712388607</v>
      </c>
      <c r="CW4" s="246">
        <f t="shared" ref="CW4" si="185">CV4+CW3</f>
        <v>5651632.7712388607</v>
      </c>
    </row>
    <row r="5" spans="1:579" s="251" customFormat="1">
      <c r="A5" s="999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"&lt;"&amp;CX1)</f>
        <v>0</v>
      </c>
      <c r="BR5" s="249">
        <f>SUMIFS('Expenditure Breakdown'!$G$6:$G$140, 'Expenditure Breakdown'!$H$6:$H$140, "&gt;="&amp;BR1,'Expenditure Breakdown'!$H$6:$H$140, "&lt;"&amp;CY1)</f>
        <v>0</v>
      </c>
      <c r="BS5" s="249">
        <f>SUMIFS('Expenditure Breakdown'!$G$6:$G$140, 'Expenditure Breakdown'!$H$6:$H$140, "&gt;="&amp;BS1,'Expenditure Breakdown'!$H$6:$H$140, "&lt;"&amp;CZ1)</f>
        <v>0</v>
      </c>
      <c r="BT5" s="249">
        <f>SUMIFS('Expenditure Breakdown'!$G$6:$G$140, 'Expenditure Breakdown'!$H$6:$H$140, "&gt;="&amp;BT1,'Expenditure Breakdown'!$H$6:$H$140, "&lt;"&amp;DA1)</f>
        <v>0</v>
      </c>
      <c r="BU5" s="249">
        <f>SUMIFS('Expenditure Breakdown'!$G$6:$G$140, 'Expenditure Breakdown'!$H$6:$H$140, "&gt;="&amp;BU1,'Expenditure Breakdown'!$H$6:$H$140, "&lt;"&amp;DB1)</f>
        <v>0</v>
      </c>
      <c r="BV5" s="249">
        <f>SUMIFS('Expenditure Breakdown'!$G$6:$G$140, 'Expenditure Breakdown'!$H$6:$H$140, "&gt;="&amp;BV1,'Expenditure Breakdown'!$H$6:$H$140, "&lt;"&amp;DC1)</f>
        <v>0</v>
      </c>
      <c r="BW5" s="249">
        <f>SUMIFS('Expenditure Breakdown'!$G$6:$G$140, 'Expenditure Breakdown'!$H$6:$H$140, "&gt;="&amp;BW1,'Expenditure Breakdown'!$H$6:$H$140, "&lt;"&amp;DD1)</f>
        <v>0</v>
      </c>
      <c r="BX5" s="249">
        <f>SUMIFS('Expenditure Breakdown'!$G$6:$G$140, 'Expenditure Breakdown'!$H$6:$H$140, "&gt;="&amp;BX1,'Expenditure Breakdown'!$H$6:$H$140, "&lt;"&amp;DE1)</f>
        <v>0</v>
      </c>
      <c r="BY5" s="249">
        <f>SUMIFS('Expenditure Breakdown'!$G$6:$G$140, 'Expenditure Breakdown'!$H$6:$H$140, "&gt;="&amp;BY1,'Expenditure Breakdown'!$H$6:$H$140, "&lt;"&amp;DF1)</f>
        <v>0</v>
      </c>
      <c r="BZ5" s="249">
        <f>SUMIFS('Expenditure Breakdown'!$G$6:$G$140, 'Expenditure Breakdown'!$H$6:$H$140, "&gt;="&amp;BZ1,'Expenditure Breakdown'!$H$6:$H$140, "&lt;"&amp;DG1)</f>
        <v>0</v>
      </c>
      <c r="CA5" s="249">
        <f>SUMIFS('Expenditure Breakdown'!$G$6:$G$140, 'Expenditure Breakdown'!$H$6:$H$140, "&gt;="&amp;CA1,'Expenditure Breakdown'!$H$6:$H$140, "&lt;"&amp;DH1)</f>
        <v>0</v>
      </c>
      <c r="CB5" s="249">
        <f>SUMIFS('Expenditure Breakdown'!$G$6:$G$140, 'Expenditure Breakdown'!$H$6:$H$140, "&gt;="&amp;CB1,'Expenditure Breakdown'!$H$6:$H$140, "&lt;"&amp;DI1)</f>
        <v>0</v>
      </c>
      <c r="CC5" s="249">
        <f>SUMIFS('Expenditure Breakdown'!$G$6:$G$140, 'Expenditure Breakdown'!$H$6:$H$140, "&gt;="&amp;CC1,'Expenditure Breakdown'!$H$6:$H$140, "&lt;"&amp;DJ1)</f>
        <v>0</v>
      </c>
      <c r="CD5" s="249">
        <f>SUMIFS('Expenditure Breakdown'!$G$6:$G$140, 'Expenditure Breakdown'!$H$6:$H$140, "&gt;="&amp;CD1,'Expenditure Breakdown'!$H$6:$H$140, "&lt;"&amp;DK1)</f>
        <v>0</v>
      </c>
      <c r="CE5" s="249">
        <f>SUMIFS('Expenditure Breakdown'!$G$6:$G$140, 'Expenditure Breakdown'!$H$6:$H$140, "&gt;="&amp;CE1,'Expenditure Breakdown'!$H$6:$H$140, "&lt;"&amp;DL1)</f>
        <v>0</v>
      </c>
      <c r="CF5" s="249">
        <f>SUMIFS('Expenditure Breakdown'!$G$6:$G$140, 'Expenditure Breakdown'!$H$6:$H$140, "&gt;="&amp;CF1,'Expenditure Breakdown'!$H$6:$H$140, "&lt;"&amp;DM1)</f>
        <v>0</v>
      </c>
      <c r="CG5" s="249">
        <f>SUMIFS('Expenditure Breakdown'!$G$6:$G$140, 'Expenditure Breakdown'!$H$6:$H$140, "&gt;="&amp;CG1,'Expenditure Breakdown'!$H$6:$H$140, "&lt;"&amp;DN1)</f>
        <v>0</v>
      </c>
      <c r="CH5" s="249">
        <f>SUMIFS('Expenditure Breakdown'!$G$6:$G$140, 'Expenditure Breakdown'!$H$6:$H$140, "&gt;="&amp;CH1,'Expenditure Breakdown'!$H$6:$H$140, "&lt;"&amp;DO1)</f>
        <v>0</v>
      </c>
      <c r="CI5" s="249">
        <f>SUMIFS('Expenditure Breakdown'!$G$6:$G$140, 'Expenditure Breakdown'!$H$6:$H$140, "&gt;="&amp;CI1,'Expenditure Breakdown'!$H$6:$H$140, "&lt;"&amp;DP1)</f>
        <v>0</v>
      </c>
      <c r="CJ5" s="249">
        <f>SUMIFS('Expenditure Breakdown'!$G$6:$G$140, 'Expenditure Breakdown'!$H$6:$H$140, "&gt;="&amp;CJ1,'Expenditure Breakdown'!$H$6:$H$140, "&lt;"&amp;DQ1)</f>
        <v>0</v>
      </c>
      <c r="CK5" s="249">
        <f>SUMIFS('Expenditure Breakdown'!$G$6:$G$140, 'Expenditure Breakdown'!$H$6:$H$140, "&gt;="&amp;CK1,'Expenditure Breakdown'!$H$6:$H$140, "&lt;"&amp;DR1)</f>
        <v>0</v>
      </c>
      <c r="CL5" s="249">
        <f>SUMIFS('Expenditure Breakdown'!$G$6:$G$140, 'Expenditure Breakdown'!$H$6:$H$140, "&gt;="&amp;CL1,'Expenditure Breakdown'!$H$6:$H$140, "&lt;"&amp;DS1)</f>
        <v>0</v>
      </c>
      <c r="CM5" s="249">
        <f>SUMIFS('Expenditure Breakdown'!$G$6:$G$140, 'Expenditure Breakdown'!$H$6:$H$140, "&gt;="&amp;CM1,'Expenditure Breakdown'!$H$6:$H$140, "&lt;"&amp;DT1)</f>
        <v>0</v>
      </c>
      <c r="CN5" s="249">
        <f>SUMIFS('Expenditure Breakdown'!$G$6:$G$140, 'Expenditure Breakdown'!$H$6:$H$140, "&gt;="&amp;CN1,'Expenditure Breakdown'!$H$6:$H$140, "&lt;"&amp;DU1)</f>
        <v>0</v>
      </c>
      <c r="CO5" s="249">
        <f>SUMIFS('Expenditure Breakdown'!$G$6:$G$140, 'Expenditure Breakdown'!$H$6:$H$140, "&gt;="&amp;CO1,'Expenditure Breakdown'!$H$6:$H$140, "&lt;"&amp;DV1)</f>
        <v>0</v>
      </c>
      <c r="CP5" s="249">
        <f>SUMIFS('Expenditure Breakdown'!$G$6:$G$140, 'Expenditure Breakdown'!$H$6:$H$140, "&gt;="&amp;CP1,'Expenditure Breakdown'!$H$6:$H$140, "&lt;"&amp;DW1)</f>
        <v>0</v>
      </c>
      <c r="CQ5" s="249">
        <f>SUMIFS('Expenditure Breakdown'!$G$6:$G$140, 'Expenditure Breakdown'!$H$6:$H$140, "&gt;="&amp;CQ1,'Expenditure Breakdown'!$H$6:$H$140, "&lt;"&amp;DX1)</f>
        <v>0</v>
      </c>
      <c r="CR5" s="249">
        <f>SUMIFS('Expenditure Breakdown'!$G$6:$G$140, 'Expenditure Breakdown'!$H$6:$H$140, "&gt;="&amp;CR1,'Expenditure Breakdown'!$H$6:$H$140, "&lt;"&amp;DY1)</f>
        <v>0</v>
      </c>
      <c r="CS5" s="249">
        <f>SUMIFS('Expenditure Breakdown'!$G$6:$G$140, 'Expenditure Breakdown'!$H$6:$H$140, "&gt;="&amp;CS1,'Expenditure Breakdown'!$H$6:$H$140, "&lt;"&amp;DZ1)</f>
        <v>0</v>
      </c>
      <c r="CT5" s="249">
        <f>SUMIFS('Expenditure Breakdown'!$G$6:$G$140, 'Expenditure Breakdown'!$H$6:$H$140, "&gt;="&amp;CT1,'Expenditure Breakdown'!$H$6:$H$140, "&lt;"&amp;EA1)</f>
        <v>0</v>
      </c>
      <c r="CU5" s="249">
        <f>SUMIFS('Expenditure Breakdown'!$G$6:$G$140, 'Expenditure Breakdown'!$H$6:$H$140, "&gt;="&amp;CU1,'Expenditure Breakdown'!$H$6:$H$140, "&lt;"&amp;EB1)</f>
        <v>0</v>
      </c>
      <c r="CV5" s="249">
        <f>SUMIFS('Expenditure Breakdown'!$G$6:$G$140, 'Expenditure Breakdown'!$H$6:$H$140, "&gt;="&amp;CV1,'Expenditure Breakdown'!$H$6:$H$140, "&lt;"&amp;EC1)</f>
        <v>0</v>
      </c>
      <c r="CW5" s="249">
        <f>SUMIFS('Expenditure Breakdown'!$G$6:$G$140, 'Expenditure Breakdown'!$H$6:$H$140, "&gt;="&amp;CW1,'Expenditure Breakdown'!$H$6:$H$140, "&lt;"&amp;ED1)</f>
        <v>0</v>
      </c>
      <c r="CX5" s="239"/>
      <c r="CY5" s="250"/>
      <c r="CZ5" s="250"/>
    </row>
    <row r="6" spans="1:579" s="251" customFormat="1">
      <c r="A6" s="999"/>
      <c r="B6" s="247" t="s">
        <v>423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86">H6+I5</f>
        <v>0</v>
      </c>
      <c r="J6" s="249">
        <f t="shared" ref="J6" si="187">I6+J5</f>
        <v>0</v>
      </c>
      <c r="K6" s="249">
        <f t="shared" ref="K6" si="188">J6+K5</f>
        <v>0</v>
      </c>
      <c r="L6" s="249">
        <f t="shared" ref="L6" si="189">K6+L5</f>
        <v>0</v>
      </c>
      <c r="M6" s="249">
        <f t="shared" ref="M6" si="190">L6+M5</f>
        <v>0</v>
      </c>
      <c r="N6" s="249">
        <f t="shared" ref="N6" si="191">M6+N5</f>
        <v>0</v>
      </c>
      <c r="O6" s="249">
        <f t="shared" ref="O6" si="192">N6+O5</f>
        <v>0</v>
      </c>
      <c r="P6" s="249">
        <f t="shared" ref="P6" si="193">O6+P5</f>
        <v>0</v>
      </c>
      <c r="Q6" s="249">
        <f t="shared" ref="Q6" si="194">P6+Q5</f>
        <v>0</v>
      </c>
      <c r="R6" s="249">
        <f t="shared" ref="R6" si="195">Q6+R5</f>
        <v>49590</v>
      </c>
      <c r="S6" s="249">
        <f t="shared" ref="S6" si="196">R6+S5</f>
        <v>279844.55550000002</v>
      </c>
      <c r="T6" s="249">
        <f t="shared" ref="T6" si="197">S6+T5</f>
        <v>279844.55550000002</v>
      </c>
      <c r="U6" s="249">
        <f t="shared" ref="U6" si="198">T6+U5</f>
        <v>279844.55550000002</v>
      </c>
      <c r="V6" s="249">
        <f t="shared" ref="V6" si="199">U6+V5</f>
        <v>279844.55550000002</v>
      </c>
      <c r="W6" s="249">
        <f t="shared" ref="W6" si="200">V6+W5</f>
        <v>1355499.0555</v>
      </c>
      <c r="X6" s="249">
        <f t="shared" ref="X6" si="201">W6+X5</f>
        <v>1355499.0555</v>
      </c>
      <c r="Y6" s="249">
        <f t="shared" ref="Y6" si="202">X6+Y5</f>
        <v>1355499.0555</v>
      </c>
      <c r="Z6" s="249">
        <f t="shared" ref="Z6" si="203">Y6+Z5</f>
        <v>1355499.0555</v>
      </c>
      <c r="AA6" s="249">
        <f t="shared" ref="AA6" si="204">Z6+AA5</f>
        <v>1357169.4554999999</v>
      </c>
      <c r="AB6" s="249">
        <f t="shared" ref="AB6" si="205">AA6+AB5</f>
        <v>1624503.5294999999</v>
      </c>
      <c r="AC6" s="249">
        <f t="shared" ref="AC6" si="206">AB6+AC5</f>
        <v>1624503.5294999999</v>
      </c>
      <c r="AD6" s="249">
        <f t="shared" ref="AD6" si="207">AC6+AD5</f>
        <v>1624503.5294999999</v>
      </c>
      <c r="AE6" s="249">
        <f t="shared" ref="AE6" si="208">AD6+AE5</f>
        <v>1693483.5294999999</v>
      </c>
      <c r="AF6" s="249">
        <f t="shared" ref="AF6" si="209">AE6+AF5</f>
        <v>2027651.122</v>
      </c>
      <c r="AG6" s="249">
        <f t="shared" ref="AG6" si="210">AF6+AG5</f>
        <v>2214695.159</v>
      </c>
      <c r="AH6" s="249">
        <f t="shared" ref="AH6" si="211">AG6+AH5</f>
        <v>2363362.196</v>
      </c>
      <c r="AI6" s="249">
        <f t="shared" ref="AI6" si="212">AH6+AI5</f>
        <v>2575072.7215</v>
      </c>
      <c r="AJ6" s="249">
        <f t="shared" ref="AJ6" si="213">AI6+AJ5</f>
        <v>4346752.1315000001</v>
      </c>
      <c r="AK6" s="249">
        <f t="shared" ref="AK6" si="214">AJ6+AK5</f>
        <v>4346752.1315000001</v>
      </c>
      <c r="AL6" s="249">
        <f t="shared" ref="AL6" si="215">AK6+AL5</f>
        <v>4733365.1414999999</v>
      </c>
      <c r="AM6" s="249">
        <f t="shared" ref="AM6" si="216">AL6+AM5</f>
        <v>4800198.66</v>
      </c>
      <c r="AN6" s="249">
        <f t="shared" ref="AN6" si="217">AM6+AN5</f>
        <v>4800198.66</v>
      </c>
      <c r="AO6" s="249">
        <f t="shared" ref="AO6" si="218">AN6+AO5</f>
        <v>4800198.66</v>
      </c>
      <c r="AP6" s="249">
        <f t="shared" ref="AP6" si="219">AO6+AP5</f>
        <v>4800198.66</v>
      </c>
      <c r="AQ6" s="249">
        <f t="shared" ref="AQ6" si="220">AP6+AQ5</f>
        <v>4800198.66</v>
      </c>
      <c r="AR6" s="249">
        <f t="shared" ref="AR6" si="221">AQ6+AR5</f>
        <v>4800198.66</v>
      </c>
      <c r="AS6" s="249">
        <f t="shared" ref="AS6" si="222">AR6+AS5</f>
        <v>4800198.66</v>
      </c>
      <c r="AT6" s="249">
        <f t="shared" ref="AT6" si="223">AS6+AT5</f>
        <v>4800198.66</v>
      </c>
      <c r="AU6" s="249">
        <f t="shared" ref="AU6" si="224">AT6+AU5</f>
        <v>4800198.66</v>
      </c>
      <c r="AV6" s="249">
        <f t="shared" ref="AV6" si="225">AU6+AV5</f>
        <v>4800198.66</v>
      </c>
      <c r="AW6" s="249">
        <f t="shared" ref="AW6" si="226">AV6+AW5</f>
        <v>4800198.66</v>
      </c>
      <c r="AX6" s="249">
        <f t="shared" ref="AX6" si="227">AW6+AX5</f>
        <v>4800198.66</v>
      </c>
      <c r="AY6" s="249">
        <f t="shared" ref="AY6" si="228">AX6+AY5</f>
        <v>4800198.66</v>
      </c>
      <c r="AZ6" s="249">
        <f t="shared" ref="AZ6" si="229">AY6+AZ5</f>
        <v>4800198.66</v>
      </c>
      <c r="BA6" s="249">
        <f t="shared" ref="BA6" si="230">AZ6+BA5</f>
        <v>4800198.66</v>
      </c>
      <c r="BB6" s="249">
        <f t="shared" ref="BB6" si="231">BA6+BB5</f>
        <v>4800198.66</v>
      </c>
      <c r="BC6" s="249">
        <f t="shared" ref="BC6" si="232">BB6+BC5</f>
        <v>4800198.66</v>
      </c>
      <c r="BD6" s="249">
        <f t="shared" ref="BD6" si="233">BC6+BD5</f>
        <v>4800198.66</v>
      </c>
      <c r="BE6" s="249">
        <f t="shared" ref="BE6" si="234">BD6+BE5</f>
        <v>4800198.66</v>
      </c>
      <c r="BF6" s="249">
        <f t="shared" ref="BF6" si="235">BE6+BF5</f>
        <v>4800198.66</v>
      </c>
      <c r="BG6" s="249">
        <f t="shared" ref="BG6" si="236">BF6+BG5</f>
        <v>4800198.66</v>
      </c>
      <c r="BH6" s="249">
        <f t="shared" ref="BH6" si="237">BG6+BH5</f>
        <v>4800198.66</v>
      </c>
      <c r="BI6" s="249">
        <f t="shared" ref="BI6" si="238">BH6+BI5</f>
        <v>4800198.66</v>
      </c>
      <c r="BJ6" s="249">
        <f t="shared" ref="BJ6" si="239">BI6+BJ5</f>
        <v>4800198.66</v>
      </c>
      <c r="BK6" s="249">
        <f t="shared" ref="BK6" si="240">BJ6+BK5</f>
        <v>4800198.66</v>
      </c>
      <c r="BL6" s="249">
        <f t="shared" ref="BL6" si="241">BK6+BL5</f>
        <v>4800198.66</v>
      </c>
      <c r="BM6" s="249">
        <f t="shared" ref="BM6" si="242">BL6+BM5</f>
        <v>4800198.66</v>
      </c>
      <c r="BN6" s="249">
        <f t="shared" ref="BN6" si="243">BM6+BN5</f>
        <v>4800198.66</v>
      </c>
      <c r="BO6" s="249">
        <f t="shared" ref="BO6" si="244">BN6+BO5</f>
        <v>4800198.66</v>
      </c>
      <c r="BP6" s="249">
        <f t="shared" ref="BP6" si="245">BO6+BP5</f>
        <v>4800198.66</v>
      </c>
      <c r="BQ6" s="249">
        <f t="shared" ref="BQ6" si="246">BP6+BQ5</f>
        <v>4800198.66</v>
      </c>
      <c r="BR6" s="249">
        <f t="shared" ref="BR6" si="247">BQ6+BR5</f>
        <v>4800198.66</v>
      </c>
      <c r="BS6" s="249">
        <f t="shared" ref="BS6" si="248">BR6+BS5</f>
        <v>4800198.66</v>
      </c>
      <c r="BT6" s="249">
        <f t="shared" ref="BT6" si="249">BS6+BT5</f>
        <v>4800198.66</v>
      </c>
      <c r="BU6" s="249">
        <f t="shared" ref="BU6" si="250">BT6+BU5</f>
        <v>4800198.66</v>
      </c>
      <c r="BV6" s="249">
        <f t="shared" ref="BV6" si="251">BU6+BV5</f>
        <v>4800198.66</v>
      </c>
      <c r="BW6" s="249">
        <f t="shared" ref="BW6" si="252">BV6+BW5</f>
        <v>4800198.66</v>
      </c>
      <c r="BX6" s="249">
        <f t="shared" ref="BX6" si="253">BW6+BX5</f>
        <v>4800198.66</v>
      </c>
      <c r="BY6" s="249">
        <f t="shared" ref="BY6" si="254">BX6+BY5</f>
        <v>4800198.66</v>
      </c>
      <c r="BZ6" s="249">
        <f t="shared" ref="BZ6" si="255">BY6+BZ5</f>
        <v>4800198.66</v>
      </c>
      <c r="CA6" s="249">
        <f t="shared" ref="CA6" si="256">BZ6+CA5</f>
        <v>4800198.66</v>
      </c>
      <c r="CB6" s="249">
        <f t="shared" ref="CB6" si="257">CA6+CB5</f>
        <v>4800198.66</v>
      </c>
      <c r="CC6" s="249">
        <f t="shared" ref="CC6" si="258">CB6+CC5</f>
        <v>4800198.66</v>
      </c>
      <c r="CD6" s="249">
        <f t="shared" ref="CD6" si="259">CC6+CD5</f>
        <v>4800198.66</v>
      </c>
      <c r="CE6" s="249">
        <f t="shared" ref="CE6" si="260">CD6+CE5</f>
        <v>4800198.66</v>
      </c>
      <c r="CF6" s="249">
        <f t="shared" ref="CF6" si="261">CE6+CF5</f>
        <v>4800198.66</v>
      </c>
      <c r="CG6" s="249">
        <f t="shared" ref="CG6" si="262">CF6+CG5</f>
        <v>4800198.66</v>
      </c>
      <c r="CH6" s="249">
        <f t="shared" ref="CH6" si="263">CG6+CH5</f>
        <v>4800198.66</v>
      </c>
      <c r="CI6" s="249">
        <f t="shared" ref="CI6" si="264">CH6+CI5</f>
        <v>4800198.66</v>
      </c>
      <c r="CJ6" s="249">
        <f t="shared" ref="CJ6" si="265">CI6+CJ5</f>
        <v>4800198.66</v>
      </c>
      <c r="CK6" s="249">
        <f t="shared" ref="CK6" si="266">CJ6+CK5</f>
        <v>4800198.66</v>
      </c>
      <c r="CL6" s="249">
        <f t="shared" ref="CL6" si="267">CK6+CL5</f>
        <v>4800198.66</v>
      </c>
      <c r="CM6" s="249">
        <f t="shared" ref="CM6" si="268">CL6+CM5</f>
        <v>4800198.66</v>
      </c>
      <c r="CN6" s="249">
        <f t="shared" ref="CN6" si="269">CM6+CN5</f>
        <v>4800198.66</v>
      </c>
      <c r="CO6" s="249">
        <f t="shared" ref="CO6" si="270">CN6+CO5</f>
        <v>4800198.66</v>
      </c>
      <c r="CP6" s="249">
        <f t="shared" ref="CP6" si="271">CO6+CP5</f>
        <v>4800198.66</v>
      </c>
      <c r="CQ6" s="249">
        <f t="shared" ref="CQ6" si="272">CP6+CQ5</f>
        <v>4800198.66</v>
      </c>
      <c r="CR6" s="249">
        <f t="shared" ref="CR6" si="273">CQ6+CR5</f>
        <v>4800198.66</v>
      </c>
      <c r="CS6" s="249">
        <f t="shared" ref="CS6" si="274">CR6+CS5</f>
        <v>4800198.66</v>
      </c>
      <c r="CT6" s="249">
        <f t="shared" ref="CT6" si="275">CS6+CT5</f>
        <v>4800198.66</v>
      </c>
      <c r="CU6" s="249">
        <f t="shared" ref="CU6" si="276">CT6+CU5</f>
        <v>4800198.66</v>
      </c>
      <c r="CV6" s="249">
        <f t="shared" ref="CV6" si="277">CU6+CV5</f>
        <v>4800198.66</v>
      </c>
      <c r="CW6" s="249">
        <f t="shared" ref="CW6" si="278">CV6+CW5</f>
        <v>4800198.66</v>
      </c>
      <c r="CX6" s="239"/>
      <c r="CY6" s="250"/>
    </row>
    <row r="7" spans="1:579">
      <c r="A7" s="999"/>
      <c r="B7" s="252" t="s">
        <v>424</v>
      </c>
      <c r="C7" s="253"/>
      <c r="D7" s="253"/>
      <c r="E7" s="254"/>
      <c r="F7" s="255">
        <f t="shared" ref="F7:H7" si="279">F4-F6</f>
        <v>1935880.257933601</v>
      </c>
      <c r="G7" s="255">
        <f t="shared" si="279"/>
        <v>1935880.257933601</v>
      </c>
      <c r="H7" s="255">
        <f t="shared" si="279"/>
        <v>1935880.257933601</v>
      </c>
      <c r="I7" s="255">
        <f t="shared" ref="I7" si="280">I4-I6</f>
        <v>1935880.257933601</v>
      </c>
      <c r="J7" s="255">
        <f t="shared" ref="J7:X7" si="281">J4-J6</f>
        <v>1935880.257933601</v>
      </c>
      <c r="K7" s="255">
        <f t="shared" si="281"/>
        <v>1935880.257933601</v>
      </c>
      <c r="L7" s="255">
        <f t="shared" si="281"/>
        <v>1935880.257933601</v>
      </c>
      <c r="M7" s="255">
        <f t="shared" si="281"/>
        <v>1935880.257933601</v>
      </c>
      <c r="N7" s="255">
        <f t="shared" si="281"/>
        <v>1935880.257933601</v>
      </c>
      <c r="O7" s="255">
        <f t="shared" si="281"/>
        <v>1935880.257933601</v>
      </c>
      <c r="P7" s="255">
        <f t="shared" si="281"/>
        <v>1935880.257933601</v>
      </c>
      <c r="Q7" s="255">
        <f t="shared" si="281"/>
        <v>1935880.257933601</v>
      </c>
      <c r="R7" s="255">
        <f t="shared" si="281"/>
        <v>1886290.257933601</v>
      </c>
      <c r="S7" s="255">
        <f t="shared" si="281"/>
        <v>1656035.702433601</v>
      </c>
      <c r="T7" s="255">
        <f t="shared" si="281"/>
        <v>2762252.9926813729</v>
      </c>
      <c r="U7" s="255">
        <f t="shared" si="281"/>
        <v>2762252.9926813729</v>
      </c>
      <c r="V7" s="255">
        <f t="shared" si="281"/>
        <v>2762252.9926813729</v>
      </c>
      <c r="W7" s="255">
        <f t="shared" si="281"/>
        <v>1686598.4926813731</v>
      </c>
      <c r="X7" s="255">
        <f t="shared" si="281"/>
        <v>1686598.4926813731</v>
      </c>
      <c r="Y7" s="255">
        <f t="shared" ref="Y7:BQ7" si="282">Y4-Y6</f>
        <v>1686598.4926813731</v>
      </c>
      <c r="Z7" s="255">
        <f t="shared" si="282"/>
        <v>1686598.4926813731</v>
      </c>
      <c r="AA7" s="255">
        <f t="shared" si="282"/>
        <v>1684928.0926813732</v>
      </c>
      <c r="AB7" s="255">
        <f t="shared" si="282"/>
        <v>3076919.9540530313</v>
      </c>
      <c r="AC7" s="255">
        <f t="shared" si="282"/>
        <v>3076919.9540530313</v>
      </c>
      <c r="AD7" s="255">
        <f t="shared" si="282"/>
        <v>3076919.9540530313</v>
      </c>
      <c r="AE7" s="255">
        <f t="shared" si="282"/>
        <v>3007939.9540530313</v>
      </c>
      <c r="AF7" s="255">
        <f t="shared" si="282"/>
        <v>2673772.3615530315</v>
      </c>
      <c r="AG7" s="255">
        <f t="shared" si="282"/>
        <v>3160383.2896769177</v>
      </c>
      <c r="AH7" s="255">
        <f t="shared" si="282"/>
        <v>3011716.2526769177</v>
      </c>
      <c r="AI7" s="255">
        <f t="shared" si="282"/>
        <v>2800005.7271769177</v>
      </c>
      <c r="AJ7" s="255">
        <f t="shared" si="282"/>
        <v>1304880.6397388605</v>
      </c>
      <c r="AK7" s="255">
        <f t="shared" si="282"/>
        <v>1304880.6397388605</v>
      </c>
      <c r="AL7" s="255">
        <f t="shared" si="282"/>
        <v>918267.62973886076</v>
      </c>
      <c r="AM7" s="255">
        <f t="shared" si="282"/>
        <v>851434.11123886053</v>
      </c>
      <c r="AN7" s="255">
        <f t="shared" si="282"/>
        <v>851434.11123886053</v>
      </c>
      <c r="AO7" s="255">
        <f t="shared" si="282"/>
        <v>851434.11123886053</v>
      </c>
      <c r="AP7" s="255">
        <f t="shared" si="282"/>
        <v>851434.11123886053</v>
      </c>
      <c r="AQ7" s="255">
        <f t="shared" si="282"/>
        <v>851434.11123886053</v>
      </c>
      <c r="AR7" s="255">
        <f t="shared" si="282"/>
        <v>851434.11123886053</v>
      </c>
      <c r="AS7" s="255">
        <f t="shared" si="282"/>
        <v>851434.11123886053</v>
      </c>
      <c r="AT7" s="255">
        <f t="shared" si="282"/>
        <v>851434.11123886053</v>
      </c>
      <c r="AU7" s="255">
        <f t="shared" si="282"/>
        <v>851434.11123886053</v>
      </c>
      <c r="AV7" s="255">
        <f t="shared" si="282"/>
        <v>851434.11123886053</v>
      </c>
      <c r="AW7" s="255">
        <f t="shared" si="282"/>
        <v>851434.11123886053</v>
      </c>
      <c r="AX7" s="255">
        <f t="shared" si="282"/>
        <v>851434.11123886053</v>
      </c>
      <c r="AY7" s="255">
        <f t="shared" si="282"/>
        <v>851434.11123886053</v>
      </c>
      <c r="AZ7" s="255">
        <f t="shared" si="282"/>
        <v>851434.11123886053</v>
      </c>
      <c r="BA7" s="255">
        <f t="shared" si="282"/>
        <v>851434.11123886053</v>
      </c>
      <c r="BB7" s="255">
        <f t="shared" si="282"/>
        <v>851434.11123886053</v>
      </c>
      <c r="BC7" s="255">
        <f t="shared" si="282"/>
        <v>851434.11123886053</v>
      </c>
      <c r="BD7" s="255">
        <f t="shared" si="282"/>
        <v>851434.11123886053</v>
      </c>
      <c r="BE7" s="255">
        <f t="shared" si="282"/>
        <v>851434.11123886053</v>
      </c>
      <c r="BF7" s="255">
        <f t="shared" si="282"/>
        <v>851434.11123886053</v>
      </c>
      <c r="BG7" s="255">
        <f t="shared" si="282"/>
        <v>851434.11123886053</v>
      </c>
      <c r="BH7" s="255">
        <f t="shared" si="282"/>
        <v>851434.11123886053</v>
      </c>
      <c r="BI7" s="255">
        <f t="shared" si="282"/>
        <v>851434.11123886053</v>
      </c>
      <c r="BJ7" s="255">
        <f t="shared" si="282"/>
        <v>851434.11123886053</v>
      </c>
      <c r="BK7" s="255">
        <f t="shared" si="282"/>
        <v>851434.11123886053</v>
      </c>
      <c r="BL7" s="255">
        <f t="shared" si="282"/>
        <v>851434.11123886053</v>
      </c>
      <c r="BM7" s="255">
        <f t="shared" si="282"/>
        <v>851434.11123886053</v>
      </c>
      <c r="BN7" s="255">
        <f t="shared" si="282"/>
        <v>851434.11123886053</v>
      </c>
      <c r="BO7" s="255">
        <f t="shared" si="282"/>
        <v>851434.11123886053</v>
      </c>
      <c r="BP7" s="255">
        <f t="shared" si="282"/>
        <v>851434.11123886053</v>
      </c>
      <c r="BQ7" s="255">
        <f t="shared" si="282"/>
        <v>851434.11123886053</v>
      </c>
      <c r="BR7" s="255">
        <f t="shared" ref="BR7:CG7" si="283">BR4-BR6</f>
        <v>851434.11123886053</v>
      </c>
      <c r="BS7" s="255">
        <f t="shared" si="283"/>
        <v>851434.11123886053</v>
      </c>
      <c r="BT7" s="255">
        <f t="shared" si="283"/>
        <v>851434.11123886053</v>
      </c>
      <c r="BU7" s="255">
        <f t="shared" si="283"/>
        <v>851434.11123886053</v>
      </c>
      <c r="BV7" s="255">
        <f t="shared" si="283"/>
        <v>851434.11123886053</v>
      </c>
      <c r="BW7" s="255">
        <f t="shared" si="283"/>
        <v>851434.11123886053</v>
      </c>
      <c r="BX7" s="255">
        <f t="shared" si="283"/>
        <v>851434.11123886053</v>
      </c>
      <c r="BY7" s="255">
        <f t="shared" si="283"/>
        <v>851434.11123886053</v>
      </c>
      <c r="BZ7" s="255">
        <f t="shared" si="283"/>
        <v>851434.11123886053</v>
      </c>
      <c r="CA7" s="255">
        <f t="shared" si="283"/>
        <v>851434.11123886053</v>
      </c>
      <c r="CB7" s="255">
        <f t="shared" si="283"/>
        <v>851434.11123886053</v>
      </c>
      <c r="CC7" s="255">
        <f t="shared" si="283"/>
        <v>851434.11123886053</v>
      </c>
      <c r="CD7" s="255">
        <f t="shared" si="283"/>
        <v>851434.11123886053</v>
      </c>
      <c r="CE7" s="255">
        <f t="shared" si="283"/>
        <v>851434.11123886053</v>
      </c>
      <c r="CF7" s="255">
        <f t="shared" si="283"/>
        <v>851434.11123886053</v>
      </c>
      <c r="CG7" s="255">
        <f t="shared" si="283"/>
        <v>851434.11123886053</v>
      </c>
      <c r="CH7" s="255">
        <f t="shared" ref="CH7:CW7" si="284">CH4-CH6</f>
        <v>851434.11123886053</v>
      </c>
      <c r="CI7" s="255">
        <f t="shared" si="284"/>
        <v>851434.11123886053</v>
      </c>
      <c r="CJ7" s="255">
        <f t="shared" si="284"/>
        <v>851434.11123886053</v>
      </c>
      <c r="CK7" s="255">
        <f t="shared" si="284"/>
        <v>851434.11123886053</v>
      </c>
      <c r="CL7" s="255">
        <f t="shared" si="284"/>
        <v>851434.11123886053</v>
      </c>
      <c r="CM7" s="255">
        <f t="shared" si="284"/>
        <v>851434.11123886053</v>
      </c>
      <c r="CN7" s="255">
        <f t="shared" si="284"/>
        <v>851434.11123886053</v>
      </c>
      <c r="CO7" s="255">
        <f t="shared" si="284"/>
        <v>851434.11123886053</v>
      </c>
      <c r="CP7" s="255">
        <f t="shared" si="284"/>
        <v>851434.11123886053</v>
      </c>
      <c r="CQ7" s="255">
        <f t="shared" si="284"/>
        <v>851434.11123886053</v>
      </c>
      <c r="CR7" s="255">
        <f t="shared" si="284"/>
        <v>851434.11123886053</v>
      </c>
      <c r="CS7" s="255">
        <f t="shared" si="284"/>
        <v>851434.11123886053</v>
      </c>
      <c r="CT7" s="255">
        <f t="shared" si="284"/>
        <v>851434.11123886053</v>
      </c>
      <c r="CU7" s="255">
        <f t="shared" si="284"/>
        <v>851434.11123886053</v>
      </c>
      <c r="CV7" s="255">
        <f t="shared" si="284"/>
        <v>851434.11123886053</v>
      </c>
      <c r="CW7" s="255">
        <f t="shared" si="284"/>
        <v>851434.11123886053</v>
      </c>
    </row>
    <row r="8" spans="1:579" s="239" customFormat="1">
      <c r="A8" s="998" t="s">
        <v>75</v>
      </c>
      <c r="B8" s="240"/>
      <c r="C8" s="241" t="s">
        <v>238</v>
      </c>
      <c r="D8" s="241" t="s">
        <v>238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</row>
    <row r="9" spans="1:579">
      <c r="A9" s="999"/>
      <c r="B9" s="257" t="s">
        <v>425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  <c r="CH9" s="259">
        <f>SUMIFS('Revenue Tracking'!$F$13:$F$19, 'Revenue Tracking'!$P$13:$P$19, "&gt;="&amp;CH1,'Revenue Tracking'!$P$13:$P$19, "&lt;"&amp;CI1)</f>
        <v>0</v>
      </c>
      <c r="CI9" s="259">
        <f>SUMIFS('Revenue Tracking'!$F$13:$F$19, 'Revenue Tracking'!$P$13:$P$19, "&gt;="&amp;CI1,'Revenue Tracking'!$P$13:$P$19, "&lt;"&amp;CJ1)</f>
        <v>0</v>
      </c>
      <c r="CJ9" s="259">
        <f>SUMIFS('Revenue Tracking'!$F$13:$F$19, 'Revenue Tracking'!$P$13:$P$19, "&gt;="&amp;CJ1,'Revenue Tracking'!$P$13:$P$19, "&lt;"&amp;CK1)</f>
        <v>0</v>
      </c>
      <c r="CK9" s="259">
        <f>SUMIFS('Revenue Tracking'!$F$13:$F$19, 'Revenue Tracking'!$P$13:$P$19, "&gt;="&amp;CK1,'Revenue Tracking'!$P$13:$P$19, "&lt;"&amp;CL1)</f>
        <v>0</v>
      </c>
      <c r="CL9" s="259">
        <f>SUMIFS('Revenue Tracking'!$F$13:$F$19, 'Revenue Tracking'!$P$13:$P$19, "&gt;="&amp;CL1,'Revenue Tracking'!$P$13:$P$19, "&lt;"&amp;CM1)</f>
        <v>532199.63512388605</v>
      </c>
      <c r="CM9" s="259">
        <f>SUMIFS('Revenue Tracking'!$F$13:$F$19, 'Revenue Tracking'!$P$13:$P$19, "&gt;="&amp;CM1,'Revenue Tracking'!$P$13:$P$19, "&lt;"&amp;CN1)</f>
        <v>0</v>
      </c>
      <c r="CN9" s="259">
        <f>SUMIFS('Revenue Tracking'!$F$13:$F$19, 'Revenue Tracking'!$P$13:$P$19, "&gt;="&amp;CN1,'Revenue Tracking'!$P$13:$P$19, "&lt;"&amp;CO1)</f>
        <v>0</v>
      </c>
      <c r="CO9" s="259">
        <f>SUMIFS('Revenue Tracking'!$F$13:$F$19, 'Revenue Tracking'!$P$13:$P$19, "&gt;="&amp;CO1,'Revenue Tracking'!$P$13:$P$19, "&lt;"&amp;CP1)</f>
        <v>0</v>
      </c>
      <c r="CP9" s="259">
        <f>SUMIFS('Revenue Tracking'!$F$13:$F$19, 'Revenue Tracking'!$P$13:$P$19, "&gt;="&amp;CP1,'Revenue Tracking'!$P$13:$P$19, "&lt;"&amp;CQ1)</f>
        <v>0</v>
      </c>
      <c r="CQ9" s="259">
        <f>SUMIFS('Revenue Tracking'!$F$13:$F$19, 'Revenue Tracking'!$P$13:$P$19, "&gt;="&amp;CQ1,'Revenue Tracking'!$P$13:$P$19, "&lt;"&amp;CR1)</f>
        <v>0</v>
      </c>
      <c r="CR9" s="259">
        <f>SUMIFS('Revenue Tracking'!$F$13:$F$19, 'Revenue Tracking'!$P$13:$P$19, "&gt;="&amp;CR1,'Revenue Tracking'!$P$13:$P$19, "&lt;"&amp;CS1)</f>
        <v>0</v>
      </c>
      <c r="CS9" s="259">
        <f>SUMIFS('Revenue Tracking'!$F$13:$F$19, 'Revenue Tracking'!$P$13:$P$19, "&gt;="&amp;CS1,'Revenue Tracking'!$P$13:$P$19, "&lt;"&amp;CT1)</f>
        <v>0</v>
      </c>
      <c r="CT9" s="259">
        <f>SUMIFS('Revenue Tracking'!$F$13:$F$19, 'Revenue Tracking'!$P$13:$P$19, "&gt;="&amp;CT1,'Revenue Tracking'!$P$13:$P$19, "&lt;"&amp;CU1)</f>
        <v>0</v>
      </c>
      <c r="CU9" s="259">
        <f>SUMIFS('Revenue Tracking'!$F$13:$F$19, 'Revenue Tracking'!$P$13:$P$19, "&gt;="&amp;CU1,'Revenue Tracking'!$P$13:$P$19, "&lt;"&amp;CV1)</f>
        <v>0</v>
      </c>
      <c r="CV9" s="259">
        <f>SUMIFS('Revenue Tracking'!$F$13:$F$19, 'Revenue Tracking'!$P$13:$P$19, "&gt;="&amp;CV1,'Revenue Tracking'!$P$13:$P$19, "&lt;"&amp;CW1)</f>
        <v>0</v>
      </c>
      <c r="CW9" s="259">
        <f>SUMIFS('Revenue Tracking'!$F$13:$F$19, 'Revenue Tracking'!$P$13:$P$19, "&gt;="&amp;CW1,'Revenue Tracking'!$P$13:$P$19, "&lt;"&amp;CX1)</f>
        <v>0</v>
      </c>
    </row>
    <row r="10" spans="1:579">
      <c r="A10" s="999"/>
      <c r="B10" s="257" t="s">
        <v>426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85">H10+I9</f>
        <v>1935880.257933601</v>
      </c>
      <c r="J10" s="259">
        <f t="shared" ref="J10" si="286">I10+J9</f>
        <v>1935880.257933601</v>
      </c>
      <c r="K10" s="259">
        <f t="shared" ref="K10" si="287">J10+K9</f>
        <v>1935880.257933601</v>
      </c>
      <c r="L10" s="259">
        <f t="shared" ref="L10" si="288">K10+L9</f>
        <v>1935880.257933601</v>
      </c>
      <c r="M10" s="259">
        <f t="shared" ref="M10" si="289">L10+M9</f>
        <v>1935880.257933601</v>
      </c>
      <c r="N10" s="259">
        <f t="shared" ref="N10" si="290">M10+N9</f>
        <v>1935880.257933601</v>
      </c>
      <c r="O10" s="259">
        <f t="shared" ref="O10" si="291">N10+O9</f>
        <v>1935880.257933601</v>
      </c>
      <c r="P10" s="259">
        <f t="shared" ref="P10" si="292">O10+P9</f>
        <v>1935880.257933601</v>
      </c>
      <c r="Q10" s="259">
        <f t="shared" ref="Q10" si="293">P10+Q9</f>
        <v>1935880.257933601</v>
      </c>
      <c r="R10" s="259">
        <f t="shared" ref="R10" si="294">Q10+R9</f>
        <v>3042097.5481813732</v>
      </c>
      <c r="S10" s="259">
        <f t="shared" ref="S10" si="295">R10+S9</f>
        <v>3042097.5481813732</v>
      </c>
      <c r="T10" s="259">
        <f t="shared" ref="T10" si="296">S10+T9</f>
        <v>3042097.5481813732</v>
      </c>
      <c r="U10" s="259">
        <f t="shared" ref="U10" si="297">T10+U9</f>
        <v>3042097.5481813732</v>
      </c>
      <c r="V10" s="259">
        <f t="shared" ref="V10" si="298">U10+V9</f>
        <v>3042097.5481813732</v>
      </c>
      <c r="W10" s="259">
        <f t="shared" ref="W10" si="299">V10+W9</f>
        <v>3042097.5481813732</v>
      </c>
      <c r="X10" s="259">
        <f t="shared" ref="X10" si="300">W10+X9</f>
        <v>3042097.5481813732</v>
      </c>
      <c r="Y10" s="259">
        <f t="shared" ref="Y10" si="301">X10+Y9</f>
        <v>3042097.5481813732</v>
      </c>
      <c r="Z10" s="259">
        <f t="shared" ref="Z10" si="302">Y10+Z9</f>
        <v>3042097.5481813732</v>
      </c>
      <c r="AA10" s="259">
        <f t="shared" ref="AA10" si="303">Z10+AA9</f>
        <v>3042097.5481813732</v>
      </c>
      <c r="AB10" s="259">
        <f t="shared" ref="AB10" si="304">AA10+AB9</f>
        <v>3042097.5481813732</v>
      </c>
      <c r="AC10" s="259">
        <f t="shared" ref="AC10" si="305">AB10+AC9</f>
        <v>3042097.5481813732</v>
      </c>
      <c r="AD10" s="259">
        <f t="shared" ref="AD10" si="306">AC10+AD9</f>
        <v>3042097.5481813732</v>
      </c>
      <c r="AE10" s="259">
        <f t="shared" ref="AE10" si="307">AD10+AE9</f>
        <v>3042097.5481813732</v>
      </c>
      <c r="AF10" s="259">
        <f t="shared" ref="AF10" si="308">AE10+AF9</f>
        <v>3042097.5481813732</v>
      </c>
      <c r="AG10" s="259">
        <f t="shared" ref="AG10" si="309">AF10+AG9</f>
        <v>3042097.5481813732</v>
      </c>
      <c r="AH10" s="259">
        <f t="shared" ref="AH10" si="310">AG10+AH9</f>
        <v>4701423.4835530315</v>
      </c>
      <c r="AI10" s="259">
        <f t="shared" ref="AI10" si="311">AH10+AI9</f>
        <v>4701423.4835530315</v>
      </c>
      <c r="AJ10" s="259">
        <f t="shared" ref="AJ10" si="312">AI10+AJ9</f>
        <v>4701423.4835530315</v>
      </c>
      <c r="AK10" s="259">
        <f t="shared" ref="AK10" si="313">AJ10+AK9</f>
        <v>4821969.8035530318</v>
      </c>
      <c r="AL10" s="259">
        <f t="shared" ref="AL10" si="314">AK10+AL9</f>
        <v>4821969.8035530318</v>
      </c>
      <c r="AM10" s="259">
        <f t="shared" ref="AM10" si="315">AL10+AM9</f>
        <v>4821969.8035530318</v>
      </c>
      <c r="AN10" s="259">
        <f t="shared" ref="AN10" si="316">AM10+AN9</f>
        <v>4821969.8035530318</v>
      </c>
      <c r="AO10" s="259">
        <f t="shared" ref="AO10" si="317">AN10+AO9</f>
        <v>4821969.8035530318</v>
      </c>
      <c r="AP10" s="259">
        <f t="shared" ref="AP10" si="318">AO10+AP9</f>
        <v>4821969.8035530318</v>
      </c>
      <c r="AQ10" s="259">
        <f t="shared" ref="AQ10" si="319">AP10+AQ9</f>
        <v>4821969.8035530318</v>
      </c>
      <c r="AR10" s="259">
        <f t="shared" ref="AR10" si="320">AQ10+AR9</f>
        <v>4821969.8035530318</v>
      </c>
      <c r="AS10" s="259">
        <f t="shared" ref="AS10" si="321">AR10+AS9</f>
        <v>4821969.8035530318</v>
      </c>
      <c r="AT10" s="259">
        <f t="shared" ref="AT10" si="322">AS10+AT9</f>
        <v>4821969.8035530318</v>
      </c>
      <c r="AU10" s="259">
        <f t="shared" ref="AU10" si="323">AT10+AU9</f>
        <v>4821969.8035530318</v>
      </c>
      <c r="AV10" s="259">
        <f t="shared" ref="AV10" si="324">AU10+AV9</f>
        <v>4821969.8035530318</v>
      </c>
      <c r="AW10" s="259">
        <f t="shared" ref="AW10" si="325">AV10+AW9</f>
        <v>4821969.8035530318</v>
      </c>
      <c r="AX10" s="259">
        <f t="shared" ref="AX10" si="326">AW10+AX9</f>
        <v>4821969.8035530318</v>
      </c>
      <c r="AY10" s="259">
        <f t="shared" ref="AY10" si="327">AX10+AY9</f>
        <v>4821969.8035530318</v>
      </c>
      <c r="AZ10" s="259">
        <f t="shared" ref="AZ10" si="328">AY10+AZ9</f>
        <v>4821969.8035530318</v>
      </c>
      <c r="BA10" s="259">
        <f t="shared" ref="BA10" si="329">AZ10+BA9</f>
        <v>4821969.8035530318</v>
      </c>
      <c r="BB10" s="259">
        <f t="shared" ref="BB10" si="330">BA10+BB9</f>
        <v>4821969.8035530318</v>
      </c>
      <c r="BC10" s="259">
        <f t="shared" ref="BC10" si="331">BB10+BC9</f>
        <v>4821969.8035530318</v>
      </c>
      <c r="BD10" s="259">
        <f t="shared" ref="BD10" si="332">BC10+BD9</f>
        <v>4821969.8035530318</v>
      </c>
      <c r="BE10" s="259">
        <f t="shared" ref="BE10" si="333">BD10+BE9</f>
        <v>4821969.8035530318</v>
      </c>
      <c r="BF10" s="259">
        <f t="shared" ref="BF10" si="334">BE10+BF9</f>
        <v>4821969.8035530318</v>
      </c>
      <c r="BG10" s="259">
        <f t="shared" ref="BG10" si="335">BF10+BG9</f>
        <v>4821969.8035530318</v>
      </c>
      <c r="BH10" s="259">
        <f t="shared" ref="BH10" si="336">BG10+BH9</f>
        <v>4821969.8035530318</v>
      </c>
      <c r="BI10" s="259">
        <f t="shared" ref="BI10" si="337">BH10+BI9</f>
        <v>4821969.8035530318</v>
      </c>
      <c r="BJ10" s="259">
        <f t="shared" ref="BJ10" si="338">BI10+BJ9</f>
        <v>4821969.8035530318</v>
      </c>
      <c r="BK10" s="259">
        <f t="shared" ref="BK10" si="339">BJ10+BK9</f>
        <v>4821969.8035530318</v>
      </c>
      <c r="BL10" s="259">
        <f t="shared" ref="BL10" si="340">BK10+BL9</f>
        <v>4821969.8035530318</v>
      </c>
      <c r="BM10" s="259">
        <f t="shared" ref="BM10" si="341">BL10+BM9</f>
        <v>4821969.8035530318</v>
      </c>
      <c r="BN10" s="259">
        <f t="shared" ref="BN10" si="342">BM10+BN9</f>
        <v>4821969.8035530318</v>
      </c>
      <c r="BO10" s="259">
        <f t="shared" ref="BO10" si="343">BN10+BO9</f>
        <v>4821969.8035530318</v>
      </c>
      <c r="BP10" s="259">
        <f t="shared" ref="BP10" si="344">BO10+BP9</f>
        <v>4821969.8035530318</v>
      </c>
      <c r="BQ10" s="259">
        <f t="shared" ref="BQ10" si="345">BP10+BQ9</f>
        <v>4821969.8035530318</v>
      </c>
      <c r="BR10" s="259">
        <f t="shared" ref="BR10" si="346">BQ10+BR9</f>
        <v>4821969.8035530318</v>
      </c>
      <c r="BS10" s="259">
        <f t="shared" ref="BS10" si="347">BR10+BS9</f>
        <v>5098524.1261149747</v>
      </c>
      <c r="BT10" s="259">
        <f t="shared" ref="BT10" si="348">BS10+BT9</f>
        <v>5098524.1261149747</v>
      </c>
      <c r="BU10" s="259">
        <f t="shared" ref="BU10" si="349">BT10+BU9</f>
        <v>5098524.1261149747</v>
      </c>
      <c r="BV10" s="259">
        <f t="shared" ref="BV10" si="350">BU10+BV9</f>
        <v>5098524.1261149747</v>
      </c>
      <c r="BW10" s="259">
        <f t="shared" ref="BW10" si="351">BV10+BW9</f>
        <v>5098524.1261149747</v>
      </c>
      <c r="BX10" s="259">
        <f t="shared" ref="BX10" si="352">BW10+BX9</f>
        <v>5098524.1261149747</v>
      </c>
      <c r="BY10" s="259">
        <f t="shared" ref="BY10" si="353">BX10+BY9</f>
        <v>5098524.1261149747</v>
      </c>
      <c r="BZ10" s="259">
        <f t="shared" ref="BZ10" si="354">BY10+BZ9</f>
        <v>5098524.1261149747</v>
      </c>
      <c r="CA10" s="259">
        <f t="shared" ref="CA10" si="355">BZ10+CA9</f>
        <v>5098524.1261149747</v>
      </c>
      <c r="CB10" s="259">
        <f t="shared" ref="CB10" si="356">CA10+CB9</f>
        <v>5098524.1261149747</v>
      </c>
      <c r="CC10" s="259">
        <f t="shared" ref="CC10" si="357">CB10+CC9</f>
        <v>5098524.1261149747</v>
      </c>
      <c r="CD10" s="259">
        <f t="shared" ref="CD10" si="358">CC10+CD9</f>
        <v>5098524.1261149747</v>
      </c>
      <c r="CE10" s="259">
        <f t="shared" ref="CE10" si="359">CD10+CE9</f>
        <v>5098524.1261149747</v>
      </c>
      <c r="CF10" s="259">
        <f t="shared" ref="CF10" si="360">CE10+CF9</f>
        <v>5098524.1261149747</v>
      </c>
      <c r="CG10" s="259">
        <f t="shared" ref="CG10" si="361">CF10+CG9</f>
        <v>5098524.1261149747</v>
      </c>
      <c r="CH10" s="259">
        <f t="shared" ref="CH10" si="362">CG10+CH9</f>
        <v>5098524.1261149747</v>
      </c>
      <c r="CI10" s="259">
        <f t="shared" ref="CI10" si="363">CH10+CI9</f>
        <v>5098524.1261149747</v>
      </c>
      <c r="CJ10" s="259">
        <f t="shared" ref="CJ10" si="364">CI10+CJ9</f>
        <v>5098524.1261149747</v>
      </c>
      <c r="CK10" s="259">
        <f t="shared" ref="CK10" si="365">CJ10+CK9</f>
        <v>5098524.1261149747</v>
      </c>
      <c r="CL10" s="259">
        <f t="shared" ref="CL10" si="366">CK10+CL9</f>
        <v>5630723.7612388609</v>
      </c>
      <c r="CM10" s="259">
        <f t="shared" ref="CM10" si="367">CL10+CM9</f>
        <v>5630723.7612388609</v>
      </c>
      <c r="CN10" s="259">
        <f t="shared" ref="CN10" si="368">CM10+CN9</f>
        <v>5630723.7612388609</v>
      </c>
      <c r="CO10" s="259">
        <f t="shared" ref="CO10" si="369">CN10+CO9</f>
        <v>5630723.7612388609</v>
      </c>
      <c r="CP10" s="259">
        <f t="shared" ref="CP10" si="370">CO10+CP9</f>
        <v>5630723.7612388609</v>
      </c>
      <c r="CQ10" s="259">
        <f t="shared" ref="CQ10" si="371">CP10+CQ9</f>
        <v>5630723.7612388609</v>
      </c>
      <c r="CR10" s="259">
        <f t="shared" ref="CR10" si="372">CQ10+CR9</f>
        <v>5630723.7612388609</v>
      </c>
      <c r="CS10" s="259">
        <f t="shared" ref="CS10" si="373">CR10+CS9</f>
        <v>5630723.7612388609</v>
      </c>
      <c r="CT10" s="259">
        <f t="shared" ref="CT10" si="374">CS10+CT9</f>
        <v>5630723.7612388609</v>
      </c>
      <c r="CU10" s="259">
        <f t="shared" ref="CU10" si="375">CT10+CU9</f>
        <v>5630723.7612388609</v>
      </c>
      <c r="CV10" s="259">
        <f t="shared" ref="CV10" si="376">CU10+CV9</f>
        <v>5630723.7612388609</v>
      </c>
      <c r="CW10" s="259">
        <f t="shared" ref="CW10" si="377">CV10+CW9</f>
        <v>5630723.7612388609</v>
      </c>
    </row>
    <row r="11" spans="1:579" s="251" customFormat="1">
      <c r="A11" s="999"/>
      <c r="B11" s="260" t="s">
        <v>427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"&lt;"&amp;CX1)</f>
        <v>0</v>
      </c>
      <c r="BR11" s="262">
        <f>SUMIFS('Expenditure Breakdown'!$R$6:$R$140, 'Expenditure Breakdown'!$W$6:$W$140, "&gt;="&amp;BR1,'Expenditure Breakdown'!$W$6:$W$140, "&lt;"&amp;CY1)</f>
        <v>0</v>
      </c>
      <c r="BS11" s="262">
        <f>SUMIFS('Expenditure Breakdown'!$R$6:$R$140, 'Expenditure Breakdown'!$W$6:$W$140, "&gt;="&amp;BS1,'Expenditure Breakdown'!$W$6:$W$140, "&lt;"&amp;CZ1)</f>
        <v>0</v>
      </c>
      <c r="BT11" s="262">
        <f>SUMIFS('Expenditure Breakdown'!$R$6:$R$140, 'Expenditure Breakdown'!$W$6:$W$140, "&gt;="&amp;BT1,'Expenditure Breakdown'!$W$6:$W$140, "&lt;"&amp;DA1)</f>
        <v>0</v>
      </c>
      <c r="BU11" s="262">
        <f>SUMIFS('Expenditure Breakdown'!$R$6:$R$140, 'Expenditure Breakdown'!$W$6:$W$140, "&gt;="&amp;BU1,'Expenditure Breakdown'!$W$6:$W$140, "&lt;"&amp;DB1)</f>
        <v>0</v>
      </c>
      <c r="BV11" s="262">
        <f>SUMIFS('Expenditure Breakdown'!$R$6:$R$140, 'Expenditure Breakdown'!$W$6:$W$140, "&gt;="&amp;BV1,'Expenditure Breakdown'!$W$6:$W$140, "&lt;"&amp;DC1)</f>
        <v>0</v>
      </c>
      <c r="BW11" s="262">
        <f>SUMIFS('Expenditure Breakdown'!$R$6:$R$140, 'Expenditure Breakdown'!$W$6:$W$140, "&gt;="&amp;BW1,'Expenditure Breakdown'!$W$6:$W$140, "&lt;"&amp;DD1)</f>
        <v>0</v>
      </c>
      <c r="BX11" s="262">
        <f>SUMIFS('Expenditure Breakdown'!$R$6:$R$140, 'Expenditure Breakdown'!$W$6:$W$140, "&gt;="&amp;BX1,'Expenditure Breakdown'!$W$6:$W$140, "&lt;"&amp;DE1)</f>
        <v>0</v>
      </c>
      <c r="BY11" s="262">
        <f>SUMIFS('Expenditure Breakdown'!$R$6:$R$140, 'Expenditure Breakdown'!$W$6:$W$140, "&gt;="&amp;BY1,'Expenditure Breakdown'!$W$6:$W$140, "&lt;"&amp;DF1)</f>
        <v>0</v>
      </c>
      <c r="BZ11" s="262">
        <f>SUMIFS('Expenditure Breakdown'!$R$6:$R$140, 'Expenditure Breakdown'!$W$6:$W$140, "&gt;="&amp;BZ1,'Expenditure Breakdown'!$W$6:$W$140, "&lt;"&amp;DG1)</f>
        <v>0</v>
      </c>
      <c r="CA11" s="262">
        <f>SUMIFS('Expenditure Breakdown'!$R$6:$R$140, 'Expenditure Breakdown'!$W$6:$W$140, "&gt;="&amp;CA1,'Expenditure Breakdown'!$W$6:$W$140, "&lt;"&amp;DH1)</f>
        <v>0</v>
      </c>
      <c r="CB11" s="262">
        <f>SUMIFS('Expenditure Breakdown'!$R$6:$R$140, 'Expenditure Breakdown'!$W$6:$W$140, "&gt;="&amp;CB1,'Expenditure Breakdown'!$W$6:$W$140, "&lt;"&amp;DI1)</f>
        <v>0</v>
      </c>
      <c r="CC11" s="262">
        <f>SUMIFS('Expenditure Breakdown'!$R$6:$R$140, 'Expenditure Breakdown'!$W$6:$W$140, "&gt;="&amp;CC1,'Expenditure Breakdown'!$W$6:$W$140, "&lt;"&amp;DJ1)</f>
        <v>0</v>
      </c>
      <c r="CD11" s="262">
        <f>SUMIFS('Expenditure Breakdown'!$R$6:$R$140, 'Expenditure Breakdown'!$W$6:$W$140, "&gt;="&amp;CD1,'Expenditure Breakdown'!$W$6:$W$140, "&lt;"&amp;DK1)</f>
        <v>0</v>
      </c>
      <c r="CE11" s="262">
        <f>SUMIFS('Expenditure Breakdown'!$R$6:$R$140, 'Expenditure Breakdown'!$W$6:$W$140, "&gt;="&amp;CE1,'Expenditure Breakdown'!$W$6:$W$140, "&lt;"&amp;DL1)</f>
        <v>0</v>
      </c>
      <c r="CF11" s="262">
        <f>SUMIFS('Expenditure Breakdown'!$R$6:$R$140, 'Expenditure Breakdown'!$W$6:$W$140, "&gt;="&amp;CF1,'Expenditure Breakdown'!$W$6:$W$140, "&lt;"&amp;DM1)</f>
        <v>0</v>
      </c>
      <c r="CG11" s="262">
        <f>SUMIFS('Expenditure Breakdown'!$R$6:$R$140, 'Expenditure Breakdown'!$W$6:$W$140, "&gt;="&amp;CG1,'Expenditure Breakdown'!$W$6:$W$140, "&lt;"&amp;DN1)</f>
        <v>0</v>
      </c>
      <c r="CH11" s="262">
        <f>SUMIFS('Expenditure Breakdown'!$R$6:$R$140, 'Expenditure Breakdown'!$W$6:$W$140, "&gt;="&amp;CH1,'Expenditure Breakdown'!$W$6:$W$140, "&lt;"&amp;DO1)</f>
        <v>0</v>
      </c>
      <c r="CI11" s="262">
        <f>SUMIFS('Expenditure Breakdown'!$R$6:$R$140, 'Expenditure Breakdown'!$W$6:$W$140, "&gt;="&amp;CI1,'Expenditure Breakdown'!$W$6:$W$140, "&lt;"&amp;DP1)</f>
        <v>0</v>
      </c>
      <c r="CJ11" s="262">
        <f>SUMIFS('Expenditure Breakdown'!$R$6:$R$140, 'Expenditure Breakdown'!$W$6:$W$140, "&gt;="&amp;CJ1,'Expenditure Breakdown'!$W$6:$W$140, "&lt;"&amp;DQ1)</f>
        <v>0</v>
      </c>
      <c r="CK11" s="262">
        <f>SUMIFS('Expenditure Breakdown'!$R$6:$R$140, 'Expenditure Breakdown'!$W$6:$W$140, "&gt;="&amp;CK1,'Expenditure Breakdown'!$W$6:$W$140, "&lt;"&amp;DR1)</f>
        <v>0</v>
      </c>
      <c r="CL11" s="262">
        <f>SUMIFS('Expenditure Breakdown'!$R$6:$R$140, 'Expenditure Breakdown'!$W$6:$W$140, "&gt;="&amp;CL1,'Expenditure Breakdown'!$W$6:$W$140, "&lt;"&amp;DS1)</f>
        <v>0</v>
      </c>
      <c r="CM11" s="262">
        <f>SUMIFS('Expenditure Breakdown'!$R$6:$R$140, 'Expenditure Breakdown'!$W$6:$W$140, "&gt;="&amp;CM1,'Expenditure Breakdown'!$W$6:$W$140, "&lt;"&amp;DT1)</f>
        <v>0</v>
      </c>
      <c r="CN11" s="262">
        <f>SUMIFS('Expenditure Breakdown'!$R$6:$R$140, 'Expenditure Breakdown'!$W$6:$W$140, "&gt;="&amp;CN1,'Expenditure Breakdown'!$W$6:$W$140, "&lt;"&amp;DU1)</f>
        <v>0</v>
      </c>
      <c r="CO11" s="262">
        <f>SUMIFS('Expenditure Breakdown'!$R$6:$R$140, 'Expenditure Breakdown'!$W$6:$W$140, "&gt;="&amp;CO1,'Expenditure Breakdown'!$W$6:$W$140, "&lt;"&amp;DV1)</f>
        <v>0</v>
      </c>
      <c r="CP11" s="262">
        <f>SUMIFS('Expenditure Breakdown'!$R$6:$R$140, 'Expenditure Breakdown'!$W$6:$W$140, "&gt;="&amp;CP1,'Expenditure Breakdown'!$W$6:$W$140, "&lt;"&amp;DW1)</f>
        <v>0</v>
      </c>
      <c r="CQ11" s="262">
        <f>SUMIFS('Expenditure Breakdown'!$R$6:$R$140, 'Expenditure Breakdown'!$W$6:$W$140, "&gt;="&amp;CQ1,'Expenditure Breakdown'!$W$6:$W$140, "&lt;"&amp;DX1)</f>
        <v>0</v>
      </c>
      <c r="CR11" s="262">
        <f>SUMIFS('Expenditure Breakdown'!$R$6:$R$140, 'Expenditure Breakdown'!$W$6:$W$140, "&gt;="&amp;CR1,'Expenditure Breakdown'!$W$6:$W$140, "&lt;"&amp;DY1)</f>
        <v>0</v>
      </c>
      <c r="CS11" s="262">
        <f>SUMIFS('Expenditure Breakdown'!$R$6:$R$140, 'Expenditure Breakdown'!$W$6:$W$140, "&gt;="&amp;CS1,'Expenditure Breakdown'!$W$6:$W$140, "&lt;"&amp;DZ1)</f>
        <v>0</v>
      </c>
      <c r="CT11" s="262">
        <f>SUMIFS('Expenditure Breakdown'!$R$6:$R$140, 'Expenditure Breakdown'!$W$6:$W$140, "&gt;="&amp;CT1,'Expenditure Breakdown'!$W$6:$W$140, "&lt;"&amp;EA1)</f>
        <v>0</v>
      </c>
      <c r="CU11" s="262">
        <f>SUMIFS('Expenditure Breakdown'!$R$6:$R$140, 'Expenditure Breakdown'!$W$6:$W$140, "&gt;="&amp;CU1,'Expenditure Breakdown'!$W$6:$W$140, "&lt;"&amp;EB1)</f>
        <v>0</v>
      </c>
      <c r="CV11" s="262">
        <f>SUMIFS('Expenditure Breakdown'!$R$6:$R$140, 'Expenditure Breakdown'!$W$6:$W$140, "&gt;="&amp;CV1,'Expenditure Breakdown'!$W$6:$W$140, "&lt;"&amp;EC1)</f>
        <v>0</v>
      </c>
      <c r="CW11" s="262">
        <f>SUMIFS('Expenditure Breakdown'!$R$6:$R$140, 'Expenditure Breakdown'!$W$6:$W$140, "&gt;="&amp;CW1,'Expenditure Breakdown'!$W$6:$W$140, "&lt;"&amp;ED1)</f>
        <v>0</v>
      </c>
      <c r="CX11" s="239"/>
      <c r="CY11" s="250"/>
      <c r="CZ11" s="250"/>
    </row>
    <row r="12" spans="1:579" s="251" customFormat="1">
      <c r="A12" s="999"/>
      <c r="B12" s="260" t="s">
        <v>428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78">H12+I11</f>
        <v>247397.90999999997</v>
      </c>
      <c r="J12" s="262">
        <f t="shared" ref="J12" si="379">I12+J11</f>
        <v>247397.90999999997</v>
      </c>
      <c r="K12" s="262">
        <f t="shared" ref="K12" si="380">J12+K11</f>
        <v>247397.90999999997</v>
      </c>
      <c r="L12" s="262">
        <f t="shared" ref="L12" si="381">K12+L11</f>
        <v>247397.90999999997</v>
      </c>
      <c r="M12" s="262">
        <f t="shared" ref="M12" si="382">L12+M11</f>
        <v>316430.73</v>
      </c>
      <c r="N12" s="262">
        <f t="shared" ref="N12" si="383">M12+N11</f>
        <v>316430.73</v>
      </c>
      <c r="O12" s="262">
        <f t="shared" ref="O12" si="384">N12+O11</f>
        <v>316430.73</v>
      </c>
      <c r="P12" s="262">
        <f t="shared" ref="P12" si="385">O12+P11</f>
        <v>1247884.2549999999</v>
      </c>
      <c r="Q12" s="262">
        <f t="shared" ref="Q12" si="386">P12+Q11</f>
        <v>1249455.2349999999</v>
      </c>
      <c r="R12" s="262">
        <f t="shared" ref="R12" si="387">Q12+R11</f>
        <v>1252017.7449999999</v>
      </c>
      <c r="S12" s="262">
        <f t="shared" ref="S12" si="388">R12+S11</f>
        <v>1870204.375</v>
      </c>
      <c r="T12" s="262">
        <f t="shared" ref="T12" si="389">S12+T11</f>
        <v>1870204.375</v>
      </c>
      <c r="U12" s="262">
        <f t="shared" ref="U12" si="390">T12+U11</f>
        <v>2356754.6</v>
      </c>
      <c r="V12" s="262">
        <f t="shared" ref="V12" si="391">U12+V11</f>
        <v>2772108.5690000001</v>
      </c>
      <c r="W12" s="262">
        <f t="shared" ref="W12" si="392">V12+W11</f>
        <v>2772108.5690000001</v>
      </c>
      <c r="X12" s="262">
        <f t="shared" ref="X12" si="393">W12+X11</f>
        <v>2772108.5690000001</v>
      </c>
      <c r="Y12" s="262">
        <f t="shared" ref="Y12" si="394">X12+Y11</f>
        <v>2734416.719</v>
      </c>
      <c r="Z12" s="262">
        <f t="shared" ref="Z12" si="395">Y12+Z11</f>
        <v>2734416.719</v>
      </c>
      <c r="AA12" s="262">
        <f t="shared" ref="AA12" si="396">Z12+AA11</f>
        <v>2999182.9649999999</v>
      </c>
      <c r="AB12" s="262">
        <f t="shared" ref="AB12" si="397">AA12+AB11</f>
        <v>3124603.105</v>
      </c>
      <c r="AC12" s="262">
        <f t="shared" ref="AC12" si="398">AB12+AC11</f>
        <v>3124603.105</v>
      </c>
      <c r="AD12" s="262">
        <f t="shared" ref="AD12" si="399">AC12+AD11</f>
        <v>3199741.685640486</v>
      </c>
      <c r="AE12" s="262">
        <f t="shared" ref="AE12" si="400">AD12+AE11</f>
        <v>3199741.685640486</v>
      </c>
      <c r="AF12" s="262">
        <f t="shared" ref="AF12" si="401">AE12+AF11</f>
        <v>3224850.015640486</v>
      </c>
      <c r="AG12" s="262">
        <f t="shared" ref="AG12" si="402">AF12+AG11</f>
        <v>3304650.015640486</v>
      </c>
      <c r="AH12" s="262">
        <f t="shared" ref="AH12" si="403">AG12+AH11</f>
        <v>3316715.015640486</v>
      </c>
      <c r="AI12" s="262">
        <f t="shared" ref="AI12" si="404">AH12+AI11</f>
        <v>3318349.5756404861</v>
      </c>
      <c r="AJ12" s="262">
        <f t="shared" ref="AJ12" si="405">AI12+AJ11</f>
        <v>3373160.8556404859</v>
      </c>
      <c r="AK12" s="262">
        <f t="shared" ref="AK12" si="406">AJ12+AK11</f>
        <v>3673575.0746404859</v>
      </c>
      <c r="AL12" s="262">
        <f t="shared" ref="AL12" si="407">AK12+AL11</f>
        <v>3652346.3246404859</v>
      </c>
      <c r="AM12" s="262">
        <f t="shared" ref="AM12" si="408">AL12+AM11</f>
        <v>3802976.6541404859</v>
      </c>
      <c r="AN12" s="262">
        <f t="shared" ref="AN12" si="409">AM12+AN11</f>
        <v>3802976.6541404859</v>
      </c>
      <c r="AO12" s="262">
        <f t="shared" ref="AO12" si="410">AN12+AO11</f>
        <v>3802976.6541404859</v>
      </c>
      <c r="AP12" s="262">
        <f t="shared" ref="AP12" si="411">AO12+AP11</f>
        <v>3895896.1906404858</v>
      </c>
      <c r="AQ12" s="262">
        <f t="shared" ref="AQ12" si="412">AP12+AQ11</f>
        <v>3878367.2106404859</v>
      </c>
      <c r="AR12" s="262">
        <f t="shared" ref="AR12" si="413">AQ12+AR11</f>
        <v>3878367.2106404859</v>
      </c>
      <c r="AS12" s="262">
        <f t="shared" ref="AS12" si="414">AR12+AS11</f>
        <v>3878367.2106404859</v>
      </c>
      <c r="AT12" s="262">
        <f t="shared" ref="AT12" si="415">AS12+AT11</f>
        <v>3878367.2106404859</v>
      </c>
      <c r="AU12" s="262">
        <f t="shared" ref="AU12" si="416">AT12+AU11</f>
        <v>3878367.2106404859</v>
      </c>
      <c r="AV12" s="262">
        <f t="shared" ref="AV12" si="417">AU12+AV11</f>
        <v>3899838.390640486</v>
      </c>
      <c r="AW12" s="262">
        <f t="shared" ref="AW12" si="418">AV12+AW11</f>
        <v>3916053.1906404858</v>
      </c>
      <c r="AX12" s="262">
        <f t="shared" ref="AX12" si="419">AW12+AX11</f>
        <v>3916053.1906404858</v>
      </c>
      <c r="AY12" s="262">
        <f t="shared" ref="AY12" si="420">AX12+AY11</f>
        <v>3885015.6906404858</v>
      </c>
      <c r="AZ12" s="262">
        <f t="shared" ref="AZ12" si="421">AY12+AZ11</f>
        <v>3935015.6906404858</v>
      </c>
      <c r="BA12" s="262">
        <f t="shared" ref="BA12" si="422">AZ12+BA11</f>
        <v>3935015.6906404858</v>
      </c>
      <c r="BB12" s="262">
        <f t="shared" ref="BB12" si="423">BA12+BB11</f>
        <v>3935015.6906404858</v>
      </c>
      <c r="BC12" s="262">
        <f t="shared" ref="BC12" si="424">BB12+BC11</f>
        <v>3935126.1306404858</v>
      </c>
      <c r="BD12" s="262">
        <f t="shared" ref="BD12" si="425">BC12+BD11</f>
        <v>3935126.1306404858</v>
      </c>
      <c r="BE12" s="262">
        <f t="shared" ref="BE12" si="426">BD12+BE11</f>
        <v>3935126.1306404858</v>
      </c>
      <c r="BF12" s="262">
        <f t="shared" ref="BF12" si="427">BE12+BF11</f>
        <v>3935126.1306404858</v>
      </c>
      <c r="BG12" s="262">
        <f t="shared" ref="BG12" si="428">BF12+BG11</f>
        <v>3935126.1306404858</v>
      </c>
      <c r="BH12" s="262">
        <f t="shared" ref="BH12" si="429">BG12+BH11</f>
        <v>3935126.1306404858</v>
      </c>
      <c r="BI12" s="262">
        <f t="shared" ref="BI12" si="430">BH12+BI11</f>
        <v>3935126.1306404858</v>
      </c>
      <c r="BJ12" s="262">
        <f t="shared" ref="BJ12" si="431">BI12+BJ11</f>
        <v>3935126.1306404858</v>
      </c>
      <c r="BK12" s="262">
        <f t="shared" ref="BK12" si="432">BJ12+BK11</f>
        <v>3935126.1306404858</v>
      </c>
      <c r="BL12" s="262">
        <f t="shared" ref="BL12" si="433">BK12+BL11</f>
        <v>4024356.6306404858</v>
      </c>
      <c r="BM12" s="262">
        <f t="shared" ref="BM12" si="434">BL12+BM11</f>
        <v>4024356.6306404858</v>
      </c>
      <c r="BN12" s="262">
        <f t="shared" ref="BN12" si="435">BM12+BN11</f>
        <v>4024356.6306404858</v>
      </c>
      <c r="BO12" s="262">
        <f t="shared" ref="BO12" si="436">BN12+BO11</f>
        <v>4024356.6306404858</v>
      </c>
      <c r="BP12" s="262">
        <f t="shared" ref="BP12" si="437">BO12+BP11</f>
        <v>4024356.6306404858</v>
      </c>
      <c r="BQ12" s="262">
        <f t="shared" ref="BQ12" si="438">BP12+BQ11</f>
        <v>4024356.6306404858</v>
      </c>
      <c r="BR12" s="262">
        <f t="shared" ref="BR12" si="439">BQ12+BR11</f>
        <v>4024356.6306404858</v>
      </c>
      <c r="BS12" s="262">
        <f t="shared" ref="BS12" si="440">BR12+BS11</f>
        <v>4024356.6306404858</v>
      </c>
      <c r="BT12" s="262">
        <f t="shared" ref="BT12" si="441">BS12+BT11</f>
        <v>4024356.6306404858</v>
      </c>
      <c r="BU12" s="262">
        <f t="shared" ref="BU12" si="442">BT12+BU11</f>
        <v>4024356.6306404858</v>
      </c>
      <c r="BV12" s="262">
        <f t="shared" ref="BV12" si="443">BU12+BV11</f>
        <v>4024356.6306404858</v>
      </c>
      <c r="BW12" s="262">
        <f t="shared" ref="BW12" si="444">BV12+BW11</f>
        <v>4024356.6306404858</v>
      </c>
      <c r="BX12" s="262">
        <f t="shared" ref="BX12" si="445">BW12+BX11</f>
        <v>4024356.6306404858</v>
      </c>
      <c r="BY12" s="262">
        <f t="shared" ref="BY12" si="446">BX12+BY11</f>
        <v>4024356.6306404858</v>
      </c>
      <c r="BZ12" s="262">
        <f t="shared" ref="BZ12" si="447">BY12+BZ11</f>
        <v>4024356.6306404858</v>
      </c>
      <c r="CA12" s="262">
        <f t="shared" ref="CA12" si="448">BZ12+CA11</f>
        <v>4024356.6306404858</v>
      </c>
      <c r="CB12" s="262">
        <f t="shared" ref="CB12" si="449">CA12+CB11</f>
        <v>4024356.6306404858</v>
      </c>
      <c r="CC12" s="262">
        <f t="shared" ref="CC12" si="450">CB12+CC11</f>
        <v>4024356.6306404858</v>
      </c>
      <c r="CD12" s="262">
        <f t="shared" ref="CD12" si="451">CC12+CD11</f>
        <v>4024356.6306404858</v>
      </c>
      <c r="CE12" s="262">
        <f t="shared" ref="CE12" si="452">CD12+CE11</f>
        <v>4024356.6306404858</v>
      </c>
      <c r="CF12" s="262">
        <f t="shared" ref="CF12" si="453">CE12+CF11</f>
        <v>4024356.6306404858</v>
      </c>
      <c r="CG12" s="262">
        <f t="shared" ref="CG12" si="454">CF12+CG11</f>
        <v>4024356.6306404858</v>
      </c>
      <c r="CH12" s="262">
        <f t="shared" ref="CH12" si="455">CG12+CH11</f>
        <v>4024356.6306404858</v>
      </c>
      <c r="CI12" s="262">
        <f t="shared" ref="CI12" si="456">CH12+CI11</f>
        <v>4024356.6306404858</v>
      </c>
      <c r="CJ12" s="262">
        <f t="shared" ref="CJ12" si="457">CI12+CJ11</f>
        <v>4024356.6306404858</v>
      </c>
      <c r="CK12" s="262">
        <f t="shared" ref="CK12" si="458">CJ12+CK11</f>
        <v>4024356.6306404858</v>
      </c>
      <c r="CL12" s="262">
        <f t="shared" ref="CL12" si="459">CK12+CL11</f>
        <v>4024356.6306404858</v>
      </c>
      <c r="CM12" s="262">
        <f t="shared" ref="CM12" si="460">CL12+CM11</f>
        <v>4024356.6306404858</v>
      </c>
      <c r="CN12" s="262">
        <f t="shared" ref="CN12" si="461">CM12+CN11</f>
        <v>4024356.6306404858</v>
      </c>
      <c r="CO12" s="262">
        <f t="shared" ref="CO12" si="462">CN12+CO11</f>
        <v>4024356.6306404858</v>
      </c>
      <c r="CP12" s="262">
        <f t="shared" ref="CP12" si="463">CO12+CP11</f>
        <v>4024356.6306404858</v>
      </c>
      <c r="CQ12" s="262">
        <f t="shared" ref="CQ12" si="464">CP12+CQ11</f>
        <v>4024356.6306404858</v>
      </c>
      <c r="CR12" s="262">
        <f t="shared" ref="CR12" si="465">CQ12+CR11</f>
        <v>4024356.6306404858</v>
      </c>
      <c r="CS12" s="262">
        <f t="shared" ref="CS12" si="466">CR12+CS11</f>
        <v>4024356.6306404858</v>
      </c>
      <c r="CT12" s="262">
        <f t="shared" ref="CT12" si="467">CS12+CT11</f>
        <v>4024356.6306404858</v>
      </c>
      <c r="CU12" s="262">
        <f t="shared" ref="CU12" si="468">CT12+CU11</f>
        <v>4024356.6306404858</v>
      </c>
      <c r="CV12" s="262">
        <f t="shared" ref="CV12" si="469">CU12+CV11</f>
        <v>4024356.6306404858</v>
      </c>
      <c r="CW12" s="262">
        <f t="shared" ref="CW12" si="470">CV12+CW11</f>
        <v>4024356.6306404858</v>
      </c>
      <c r="CX12" s="239"/>
      <c r="CY12" s="250"/>
    </row>
    <row r="13" spans="1:579" s="239" customFormat="1">
      <c r="A13" s="999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</row>
    <row r="14" spans="1:579">
      <c r="A14" s="999"/>
      <c r="B14" s="252" t="s">
        <v>429</v>
      </c>
      <c r="C14" s="253"/>
      <c r="D14" s="253"/>
      <c r="E14" s="254"/>
      <c r="F14" s="255">
        <f t="shared" ref="F14:H14" si="471">F10-F12</f>
        <v>1935880.257933601</v>
      </c>
      <c r="G14" s="255">
        <f t="shared" si="471"/>
        <v>1935880.257933601</v>
      </c>
      <c r="H14" s="255">
        <f t="shared" si="471"/>
        <v>1688482.3479336011</v>
      </c>
      <c r="I14" s="255">
        <f t="shared" ref="I14" si="472">I10-I12</f>
        <v>1688482.3479336011</v>
      </c>
      <c r="J14" s="255">
        <f t="shared" ref="J14:X14" si="473">J10-J12</f>
        <v>1688482.3479336011</v>
      </c>
      <c r="K14" s="255">
        <f t="shared" si="473"/>
        <v>1688482.3479336011</v>
      </c>
      <c r="L14" s="255">
        <f t="shared" si="473"/>
        <v>1688482.3479336011</v>
      </c>
      <c r="M14" s="255">
        <f t="shared" si="473"/>
        <v>1619449.5279336011</v>
      </c>
      <c r="N14" s="255">
        <f t="shared" si="473"/>
        <v>1619449.5279336011</v>
      </c>
      <c r="O14" s="255">
        <f t="shared" si="473"/>
        <v>1619449.5279336011</v>
      </c>
      <c r="P14" s="255">
        <f t="shared" si="473"/>
        <v>687996.00293360115</v>
      </c>
      <c r="Q14" s="255">
        <f t="shared" si="473"/>
        <v>686425.02293360117</v>
      </c>
      <c r="R14" s="255">
        <f t="shared" si="473"/>
        <v>1790079.8031813733</v>
      </c>
      <c r="S14" s="255">
        <f t="shared" si="473"/>
        <v>1171893.1731813732</v>
      </c>
      <c r="T14" s="255">
        <f t="shared" si="473"/>
        <v>1171893.1731813732</v>
      </c>
      <c r="U14" s="255">
        <f t="shared" si="473"/>
        <v>685342.94818137307</v>
      </c>
      <c r="V14" s="255">
        <f t="shared" si="473"/>
        <v>269988.97918137303</v>
      </c>
      <c r="W14" s="255">
        <f t="shared" si="473"/>
        <v>269988.97918137303</v>
      </c>
      <c r="X14" s="255">
        <f t="shared" si="473"/>
        <v>269988.97918137303</v>
      </c>
      <c r="Y14" s="255">
        <f t="shared" ref="Y14:BQ14" si="474">Y10-Y12</f>
        <v>307680.82918137312</v>
      </c>
      <c r="Z14" s="255">
        <f t="shared" si="474"/>
        <v>307680.82918137312</v>
      </c>
      <c r="AA14" s="255">
        <f t="shared" si="474"/>
        <v>42914.583181373309</v>
      </c>
      <c r="AB14" s="255">
        <f t="shared" si="474"/>
        <v>-82505.556818626821</v>
      </c>
      <c r="AC14" s="255">
        <f t="shared" si="474"/>
        <v>-82505.556818626821</v>
      </c>
      <c r="AD14" s="255">
        <f t="shared" si="474"/>
        <v>-157644.1374591128</v>
      </c>
      <c r="AE14" s="255">
        <f t="shared" si="474"/>
        <v>-157644.1374591128</v>
      </c>
      <c r="AF14" s="255">
        <f t="shared" si="474"/>
        <v>-182752.46745911287</v>
      </c>
      <c r="AG14" s="255">
        <f t="shared" si="474"/>
        <v>-262552.46745911287</v>
      </c>
      <c r="AH14" s="255">
        <f t="shared" si="474"/>
        <v>1384708.4679125454</v>
      </c>
      <c r="AI14" s="255">
        <f t="shared" si="474"/>
        <v>1383073.9079125454</v>
      </c>
      <c r="AJ14" s="255">
        <f t="shared" si="474"/>
        <v>1328262.6279125456</v>
      </c>
      <c r="AK14" s="255">
        <f t="shared" si="474"/>
        <v>1148394.7289125458</v>
      </c>
      <c r="AL14" s="255">
        <f t="shared" si="474"/>
        <v>1169623.4789125458</v>
      </c>
      <c r="AM14" s="255">
        <f t="shared" si="474"/>
        <v>1018993.1494125458</v>
      </c>
      <c r="AN14" s="255">
        <f t="shared" si="474"/>
        <v>1018993.1494125458</v>
      </c>
      <c r="AO14" s="255">
        <f t="shared" si="474"/>
        <v>1018993.1494125458</v>
      </c>
      <c r="AP14" s="255">
        <f t="shared" si="474"/>
        <v>926073.61291254591</v>
      </c>
      <c r="AQ14" s="255">
        <f t="shared" si="474"/>
        <v>943602.59291254589</v>
      </c>
      <c r="AR14" s="255">
        <f t="shared" si="474"/>
        <v>943602.59291254589</v>
      </c>
      <c r="AS14" s="255">
        <f t="shared" si="474"/>
        <v>943602.59291254589</v>
      </c>
      <c r="AT14" s="255">
        <f t="shared" si="474"/>
        <v>943602.59291254589</v>
      </c>
      <c r="AU14" s="255">
        <f t="shared" si="474"/>
        <v>943602.59291254589</v>
      </c>
      <c r="AV14" s="255">
        <f t="shared" si="474"/>
        <v>922131.41291254573</v>
      </c>
      <c r="AW14" s="255">
        <f t="shared" si="474"/>
        <v>905916.61291254591</v>
      </c>
      <c r="AX14" s="255">
        <f t="shared" si="474"/>
        <v>905916.61291254591</v>
      </c>
      <c r="AY14" s="255">
        <f t="shared" si="474"/>
        <v>936954.11291254591</v>
      </c>
      <c r="AZ14" s="255">
        <f t="shared" si="474"/>
        <v>886954.11291254591</v>
      </c>
      <c r="BA14" s="255">
        <f t="shared" si="474"/>
        <v>886954.11291254591</v>
      </c>
      <c r="BB14" s="255">
        <f t="shared" si="474"/>
        <v>886954.11291254591</v>
      </c>
      <c r="BC14" s="255">
        <f t="shared" si="474"/>
        <v>886843.67291254597</v>
      </c>
      <c r="BD14" s="255">
        <f t="shared" si="474"/>
        <v>886843.67291254597</v>
      </c>
      <c r="BE14" s="255">
        <f t="shared" si="474"/>
        <v>886843.67291254597</v>
      </c>
      <c r="BF14" s="255">
        <f t="shared" si="474"/>
        <v>886843.67291254597</v>
      </c>
      <c r="BG14" s="255">
        <f t="shared" si="474"/>
        <v>886843.67291254597</v>
      </c>
      <c r="BH14" s="255">
        <f t="shared" si="474"/>
        <v>886843.67291254597</v>
      </c>
      <c r="BI14" s="255">
        <f t="shared" si="474"/>
        <v>886843.67291254597</v>
      </c>
      <c r="BJ14" s="255">
        <f t="shared" si="474"/>
        <v>886843.67291254597</v>
      </c>
      <c r="BK14" s="255">
        <f t="shared" si="474"/>
        <v>886843.67291254597</v>
      </c>
      <c r="BL14" s="255">
        <f t="shared" si="474"/>
        <v>797613.17291254597</v>
      </c>
      <c r="BM14" s="255">
        <f t="shared" si="474"/>
        <v>797613.17291254597</v>
      </c>
      <c r="BN14" s="255">
        <f t="shared" si="474"/>
        <v>797613.17291254597</v>
      </c>
      <c r="BO14" s="255">
        <f t="shared" si="474"/>
        <v>797613.17291254597</v>
      </c>
      <c r="BP14" s="255">
        <f t="shared" si="474"/>
        <v>797613.17291254597</v>
      </c>
      <c r="BQ14" s="255">
        <f t="shared" si="474"/>
        <v>797613.17291254597</v>
      </c>
      <c r="BR14" s="255">
        <f t="shared" ref="BR14:CG14" si="475">BR10-BR12</f>
        <v>797613.17291254597</v>
      </c>
      <c r="BS14" s="255">
        <f t="shared" si="475"/>
        <v>1074167.4954744889</v>
      </c>
      <c r="BT14" s="255">
        <f t="shared" si="475"/>
        <v>1074167.4954744889</v>
      </c>
      <c r="BU14" s="255">
        <f t="shared" si="475"/>
        <v>1074167.4954744889</v>
      </c>
      <c r="BV14" s="255">
        <f t="shared" si="475"/>
        <v>1074167.4954744889</v>
      </c>
      <c r="BW14" s="255">
        <f t="shared" si="475"/>
        <v>1074167.4954744889</v>
      </c>
      <c r="BX14" s="255">
        <f t="shared" si="475"/>
        <v>1074167.4954744889</v>
      </c>
      <c r="BY14" s="255">
        <f t="shared" si="475"/>
        <v>1074167.4954744889</v>
      </c>
      <c r="BZ14" s="255">
        <f t="shared" si="475"/>
        <v>1074167.4954744889</v>
      </c>
      <c r="CA14" s="255">
        <f t="shared" si="475"/>
        <v>1074167.4954744889</v>
      </c>
      <c r="CB14" s="255">
        <f t="shared" si="475"/>
        <v>1074167.4954744889</v>
      </c>
      <c r="CC14" s="255">
        <f t="shared" si="475"/>
        <v>1074167.4954744889</v>
      </c>
      <c r="CD14" s="255">
        <f t="shared" si="475"/>
        <v>1074167.4954744889</v>
      </c>
      <c r="CE14" s="255">
        <f t="shared" si="475"/>
        <v>1074167.4954744889</v>
      </c>
      <c r="CF14" s="255">
        <f t="shared" si="475"/>
        <v>1074167.4954744889</v>
      </c>
      <c r="CG14" s="255">
        <f t="shared" si="475"/>
        <v>1074167.4954744889</v>
      </c>
      <c r="CH14" s="255">
        <f t="shared" ref="CH14:CW14" si="476">CH10-CH12</f>
        <v>1074167.4954744889</v>
      </c>
      <c r="CI14" s="255">
        <f t="shared" si="476"/>
        <v>1074167.4954744889</v>
      </c>
      <c r="CJ14" s="255">
        <f t="shared" si="476"/>
        <v>1074167.4954744889</v>
      </c>
      <c r="CK14" s="255">
        <f t="shared" si="476"/>
        <v>1074167.4954744889</v>
      </c>
      <c r="CL14" s="255">
        <f t="shared" si="476"/>
        <v>1606367.1305983751</v>
      </c>
      <c r="CM14" s="255">
        <f t="shared" si="476"/>
        <v>1606367.1305983751</v>
      </c>
      <c r="CN14" s="255">
        <f t="shared" si="476"/>
        <v>1606367.1305983751</v>
      </c>
      <c r="CO14" s="255">
        <f t="shared" si="476"/>
        <v>1606367.1305983751</v>
      </c>
      <c r="CP14" s="255">
        <f t="shared" si="476"/>
        <v>1606367.1305983751</v>
      </c>
      <c r="CQ14" s="255">
        <f t="shared" si="476"/>
        <v>1606367.1305983751</v>
      </c>
      <c r="CR14" s="255">
        <f t="shared" si="476"/>
        <v>1606367.1305983751</v>
      </c>
      <c r="CS14" s="255">
        <f t="shared" si="476"/>
        <v>1606367.1305983751</v>
      </c>
      <c r="CT14" s="255">
        <f t="shared" si="476"/>
        <v>1606367.1305983751</v>
      </c>
      <c r="CU14" s="255">
        <f t="shared" si="476"/>
        <v>1606367.1305983751</v>
      </c>
      <c r="CV14" s="255">
        <f t="shared" si="476"/>
        <v>1606367.1305983751</v>
      </c>
      <c r="CW14" s="255">
        <f t="shared" si="476"/>
        <v>1606367.1305983751</v>
      </c>
    </row>
    <row r="15" spans="1:579" s="239" customFormat="1"/>
    <row r="16" spans="1:579" s="239" customFormat="1">
      <c r="C16" s="241" t="s">
        <v>238</v>
      </c>
      <c r="D16" s="241" t="s">
        <v>238</v>
      </c>
    </row>
    <row r="17" spans="1:101">
      <c r="A17" s="1000"/>
      <c r="B17" s="243" t="s">
        <v>430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"&lt;"&amp;CX1)</f>
        <v>0</v>
      </c>
      <c r="BR17" s="262">
        <f>SUMIFS('Expenditure Breakdown'!$U$6:$U$140, 'Expenditure Breakdown'!$T$6:$T$140, "&gt;="&amp;BR1,'Expenditure Breakdown'!$T$6:$T$140, "&lt;"&amp;CY1)</f>
        <v>0</v>
      </c>
      <c r="BS17" s="262">
        <f>SUMIFS('Expenditure Breakdown'!$U$6:$U$140, 'Expenditure Breakdown'!$T$6:$T$140, "&gt;="&amp;BS1,'Expenditure Breakdown'!$T$6:$T$140, "&lt;"&amp;CZ1)</f>
        <v>0</v>
      </c>
      <c r="BT17" s="262">
        <f>SUMIFS('Expenditure Breakdown'!$U$6:$U$140, 'Expenditure Breakdown'!$T$6:$T$140, "&gt;="&amp;BT1,'Expenditure Breakdown'!$T$6:$T$140, "&lt;"&amp;DA1)</f>
        <v>0</v>
      </c>
      <c r="BU17" s="262">
        <f>SUMIFS('Expenditure Breakdown'!$U$6:$U$140, 'Expenditure Breakdown'!$T$6:$T$140, "&gt;="&amp;BU1,'Expenditure Breakdown'!$T$6:$T$140, "&lt;"&amp;DB1)</f>
        <v>0</v>
      </c>
      <c r="BV17" s="262">
        <f>SUMIFS('Expenditure Breakdown'!$U$6:$U$140, 'Expenditure Breakdown'!$T$6:$T$140, "&gt;="&amp;BV1,'Expenditure Breakdown'!$T$6:$T$140, "&lt;"&amp;DC1)</f>
        <v>0</v>
      </c>
      <c r="BW17" s="262">
        <f>SUMIFS('Expenditure Breakdown'!$U$6:$U$140, 'Expenditure Breakdown'!$T$6:$T$140, "&gt;="&amp;BW1,'Expenditure Breakdown'!$T$6:$T$140, "&lt;"&amp;DD1)</f>
        <v>0</v>
      </c>
      <c r="BX17" s="262">
        <f>SUMIFS('Expenditure Breakdown'!$U$6:$U$140, 'Expenditure Breakdown'!$T$6:$T$140, "&gt;="&amp;BX1,'Expenditure Breakdown'!$T$6:$T$140, "&lt;"&amp;DE1)</f>
        <v>0</v>
      </c>
      <c r="BY17" s="262">
        <f>SUMIFS('Expenditure Breakdown'!$U$6:$U$140, 'Expenditure Breakdown'!$T$6:$T$140, "&gt;="&amp;BY1,'Expenditure Breakdown'!$T$6:$T$140, "&lt;"&amp;DF1)</f>
        <v>0</v>
      </c>
      <c r="BZ17" s="262">
        <f>SUMIFS('Expenditure Breakdown'!$U$6:$U$140, 'Expenditure Breakdown'!$T$6:$T$140, "&gt;="&amp;BZ1,'Expenditure Breakdown'!$T$6:$T$140, "&lt;"&amp;DG1)</f>
        <v>0</v>
      </c>
      <c r="CA17" s="262">
        <f>SUMIFS('Expenditure Breakdown'!$U$6:$U$140, 'Expenditure Breakdown'!$T$6:$T$140, "&gt;="&amp;CA1,'Expenditure Breakdown'!$T$6:$T$140, "&lt;"&amp;DH1)</f>
        <v>0</v>
      </c>
      <c r="CB17" s="262">
        <f>SUMIFS('Expenditure Breakdown'!$U$6:$U$140, 'Expenditure Breakdown'!$T$6:$T$140, "&gt;="&amp;CB1,'Expenditure Breakdown'!$T$6:$T$140, "&lt;"&amp;DI1)</f>
        <v>0</v>
      </c>
      <c r="CC17" s="262">
        <f>SUMIFS('Expenditure Breakdown'!$U$6:$U$140, 'Expenditure Breakdown'!$T$6:$T$140, "&gt;="&amp;CC1,'Expenditure Breakdown'!$T$6:$T$140, "&lt;"&amp;DJ1)</f>
        <v>0</v>
      </c>
      <c r="CD17" s="262">
        <f>SUMIFS('Expenditure Breakdown'!$U$6:$U$140, 'Expenditure Breakdown'!$T$6:$T$140, "&gt;="&amp;CD1,'Expenditure Breakdown'!$T$6:$T$140, "&lt;"&amp;DK1)</f>
        <v>0</v>
      </c>
      <c r="CE17" s="262">
        <f>SUMIFS('Expenditure Breakdown'!$U$6:$U$140, 'Expenditure Breakdown'!$T$6:$T$140, "&gt;="&amp;CE1,'Expenditure Breakdown'!$T$6:$T$140, "&lt;"&amp;DL1)</f>
        <v>0</v>
      </c>
      <c r="CF17" s="262">
        <f>SUMIFS('Expenditure Breakdown'!$U$6:$U$140, 'Expenditure Breakdown'!$T$6:$T$140, "&gt;="&amp;CF1,'Expenditure Breakdown'!$T$6:$T$140, "&lt;"&amp;DM1)</f>
        <v>0</v>
      </c>
      <c r="CG17" s="262">
        <f>SUMIFS('Expenditure Breakdown'!$U$6:$U$140, 'Expenditure Breakdown'!$T$6:$T$140, "&gt;="&amp;CG1,'Expenditure Breakdown'!$T$6:$T$140, "&lt;"&amp;DN1)</f>
        <v>0</v>
      </c>
      <c r="CH17" s="262">
        <f>SUMIFS('Expenditure Breakdown'!$U$6:$U$140, 'Expenditure Breakdown'!$T$6:$T$140, "&gt;="&amp;CH1,'Expenditure Breakdown'!$T$6:$T$140, "&lt;"&amp;DO1)</f>
        <v>0</v>
      </c>
      <c r="CI17" s="262">
        <f>SUMIFS('Expenditure Breakdown'!$U$6:$U$140, 'Expenditure Breakdown'!$T$6:$T$140, "&gt;="&amp;CI1,'Expenditure Breakdown'!$T$6:$T$140, "&lt;"&amp;DP1)</f>
        <v>0</v>
      </c>
      <c r="CJ17" s="262">
        <f>SUMIFS('Expenditure Breakdown'!$U$6:$U$140, 'Expenditure Breakdown'!$T$6:$T$140, "&gt;="&amp;CJ1,'Expenditure Breakdown'!$T$6:$T$140, "&lt;"&amp;DQ1)</f>
        <v>0</v>
      </c>
      <c r="CK17" s="262">
        <f>SUMIFS('Expenditure Breakdown'!$U$6:$U$140, 'Expenditure Breakdown'!$T$6:$T$140, "&gt;="&amp;CK1,'Expenditure Breakdown'!$T$6:$T$140, "&lt;"&amp;DR1)</f>
        <v>0</v>
      </c>
      <c r="CL17" s="262">
        <f>SUMIFS('Expenditure Breakdown'!$U$6:$U$140, 'Expenditure Breakdown'!$T$6:$T$140, "&gt;="&amp;CL1,'Expenditure Breakdown'!$T$6:$T$140, "&lt;"&amp;DS1)</f>
        <v>0</v>
      </c>
      <c r="CM17" s="262">
        <f>SUMIFS('Expenditure Breakdown'!$U$6:$U$140, 'Expenditure Breakdown'!$T$6:$T$140, "&gt;="&amp;CM1,'Expenditure Breakdown'!$T$6:$T$140, "&lt;"&amp;DT1)</f>
        <v>0</v>
      </c>
      <c r="CN17" s="262">
        <f>SUMIFS('Expenditure Breakdown'!$U$6:$U$140, 'Expenditure Breakdown'!$T$6:$T$140, "&gt;="&amp;CN1,'Expenditure Breakdown'!$T$6:$T$140, "&lt;"&amp;DU1)</f>
        <v>0</v>
      </c>
      <c r="CO17" s="262">
        <f>SUMIFS('Expenditure Breakdown'!$U$6:$U$140, 'Expenditure Breakdown'!$T$6:$T$140, "&gt;="&amp;CO1,'Expenditure Breakdown'!$T$6:$T$140, "&lt;"&amp;DV1)</f>
        <v>0</v>
      </c>
      <c r="CP17" s="262">
        <f>SUMIFS('Expenditure Breakdown'!$U$6:$U$140, 'Expenditure Breakdown'!$T$6:$T$140, "&gt;="&amp;CP1,'Expenditure Breakdown'!$T$6:$T$140, "&lt;"&amp;DW1)</f>
        <v>0</v>
      </c>
      <c r="CQ17" s="262">
        <f>SUMIFS('Expenditure Breakdown'!$U$6:$U$140, 'Expenditure Breakdown'!$T$6:$T$140, "&gt;="&amp;CQ1,'Expenditure Breakdown'!$T$6:$T$140, "&lt;"&amp;DX1)</f>
        <v>0</v>
      </c>
      <c r="CR17" s="262">
        <f>SUMIFS('Expenditure Breakdown'!$U$6:$U$140, 'Expenditure Breakdown'!$T$6:$T$140, "&gt;="&amp;CR1,'Expenditure Breakdown'!$T$6:$T$140, "&lt;"&amp;DY1)</f>
        <v>0</v>
      </c>
      <c r="CS17" s="262">
        <f>SUMIFS('Expenditure Breakdown'!$U$6:$U$140, 'Expenditure Breakdown'!$T$6:$T$140, "&gt;="&amp;CS1,'Expenditure Breakdown'!$T$6:$T$140, "&lt;"&amp;DZ1)</f>
        <v>0</v>
      </c>
      <c r="CT17" s="262">
        <f>SUMIFS('Expenditure Breakdown'!$U$6:$U$140, 'Expenditure Breakdown'!$T$6:$T$140, "&gt;="&amp;CT1,'Expenditure Breakdown'!$T$6:$T$140, "&lt;"&amp;EA1)</f>
        <v>0</v>
      </c>
      <c r="CU17" s="262">
        <f>SUMIFS('Expenditure Breakdown'!$U$6:$U$140, 'Expenditure Breakdown'!$T$6:$T$140, "&gt;="&amp;CU1,'Expenditure Breakdown'!$T$6:$T$140, "&lt;"&amp;EB1)</f>
        <v>0</v>
      </c>
      <c r="CV17" s="262">
        <f>SUMIFS('Expenditure Breakdown'!$U$6:$U$140, 'Expenditure Breakdown'!$T$6:$T$140, "&gt;="&amp;CV1,'Expenditure Breakdown'!$T$6:$T$140, "&lt;"&amp;EC1)</f>
        <v>0</v>
      </c>
      <c r="CW17" s="262">
        <f>SUMIFS('Expenditure Breakdown'!$U$6:$U$140, 'Expenditure Breakdown'!$T$6:$T$140, "&gt;="&amp;CW1,'Expenditure Breakdown'!$T$6:$T$140, "&lt;"&amp;ED1)</f>
        <v>0</v>
      </c>
    </row>
    <row r="18" spans="1:101">
      <c r="A18" s="1000"/>
      <c r="B18" s="243" t="s">
        <v>431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477">H18+I17</f>
        <v>2227759.3041026541</v>
      </c>
      <c r="J18" s="262">
        <f t="shared" ref="J18" si="478">I18+J17</f>
        <v>2227759.3041026541</v>
      </c>
      <c r="K18" s="262">
        <f t="shared" ref="K18" si="479">J18+K17</f>
        <v>2227759.3041026541</v>
      </c>
      <c r="L18" s="262">
        <f t="shared" ref="L18" si="480">K18+L17</f>
        <v>2622006.617659573</v>
      </c>
      <c r="M18" s="262">
        <f t="shared" ref="M18" si="481">L18+M17</f>
        <v>2622006.617659573</v>
      </c>
      <c r="N18" s="262">
        <f t="shared" ref="N18" si="482">M18+N17</f>
        <v>2622006.617659573</v>
      </c>
      <c r="O18" s="262">
        <f t="shared" ref="O18" si="483">N18+O17</f>
        <v>2622006.617659573</v>
      </c>
      <c r="P18" s="262">
        <f t="shared" ref="P18" si="484">O18+P17</f>
        <v>2622006.617659573</v>
      </c>
      <c r="Q18" s="262">
        <f t="shared" ref="Q18" si="485">P18+Q17</f>
        <v>3376900.284910602</v>
      </c>
      <c r="R18" s="262">
        <f t="shared" ref="R18" si="486">Q18+R17</f>
        <v>3376900.284910602</v>
      </c>
      <c r="S18" s="262">
        <f t="shared" ref="S18" si="487">R18+S17</f>
        <v>3376900.284910602</v>
      </c>
      <c r="T18" s="262">
        <f t="shared" ref="T18" si="488">S18+T17</f>
        <v>3376900.284910602</v>
      </c>
      <c r="U18" s="262">
        <f t="shared" ref="U18" si="489">T18+U17</f>
        <v>3775018.7342815353</v>
      </c>
      <c r="V18" s="262">
        <f t="shared" ref="V18" si="490">U18+V17</f>
        <v>3775018.7342815353</v>
      </c>
      <c r="W18" s="262">
        <f t="shared" ref="W18" si="491">V18+W17</f>
        <v>3775018.7342815353</v>
      </c>
      <c r="X18" s="262">
        <f t="shared" ref="X18" si="492">W18+X17</f>
        <v>3775018.7342815353</v>
      </c>
      <c r="Y18" s="262">
        <f t="shared" ref="Y18" si="493">X18+Y17</f>
        <v>4452882.7287289342</v>
      </c>
      <c r="Z18" s="262">
        <f t="shared" ref="Z18" si="494">Y18+Z17</f>
        <v>4452882.7287289342</v>
      </c>
      <c r="AA18" s="262">
        <f t="shared" ref="AA18" si="495">Z18+AA17</f>
        <v>4452882.7287289342</v>
      </c>
      <c r="AB18" s="262">
        <f t="shared" ref="AB18" si="496">AA18+AB17</f>
        <v>4452882.7287289342</v>
      </c>
      <c r="AC18" s="262">
        <f t="shared" ref="AC18" si="497">AB18+AC17</f>
        <v>4452882.7287289342</v>
      </c>
      <c r="AD18" s="262">
        <f t="shared" ref="AD18" si="498">AC18+AD17</f>
        <v>4985009.8310212214</v>
      </c>
      <c r="AE18" s="262">
        <f t="shared" ref="AE18" si="499">AD18+AE17</f>
        <v>4985009.8310212214</v>
      </c>
      <c r="AF18" s="262">
        <f t="shared" ref="AF18" si="500">AE18+AF17</f>
        <v>4985009.8310212214</v>
      </c>
      <c r="AG18" s="262">
        <f t="shared" ref="AG18" si="501">AF18+AG17</f>
        <v>4985009.8310212214</v>
      </c>
      <c r="AH18" s="262">
        <f t="shared" ref="AH18" si="502">AG18+AH17</f>
        <v>4998090.529428497</v>
      </c>
      <c r="AI18" s="262">
        <f t="shared" ref="AI18" si="503">AH18+AI17</f>
        <v>4998090.529428497</v>
      </c>
      <c r="AJ18" s="262">
        <f t="shared" ref="AJ18" si="504">AI18+AJ17</f>
        <v>4998090.529428497</v>
      </c>
      <c r="AK18" s="262">
        <f t="shared" ref="AK18" si="505">AJ18+AK17</f>
        <v>4998090.529428497</v>
      </c>
      <c r="AL18" s="262">
        <f t="shared" ref="AL18" si="506">AK18+AL17</f>
        <v>5630032.7717960328</v>
      </c>
      <c r="AM18" s="262">
        <f t="shared" ref="AM18" si="507">AL18+AM17</f>
        <v>5630032.7717960328</v>
      </c>
      <c r="AN18" s="262">
        <f t="shared" ref="AN18" si="508">AM18+AN17</f>
        <v>5630032.7717960328</v>
      </c>
      <c r="AO18" s="262">
        <f t="shared" ref="AO18" si="509">AN18+AO17</f>
        <v>5630032.7717960328</v>
      </c>
      <c r="AP18" s="262">
        <f t="shared" ref="AP18" si="510">AO18+AP17</f>
        <v>5630032.7717960328</v>
      </c>
      <c r="AQ18" s="262">
        <f t="shared" ref="AQ18" si="511">AP18+AQ17</f>
        <v>5630032.7717960328</v>
      </c>
      <c r="AR18" s="262">
        <f t="shared" ref="AR18" si="512">AQ18+AR17</f>
        <v>5630032.7717960328</v>
      </c>
      <c r="AS18" s="262">
        <f t="shared" ref="AS18" si="513">AR18+AS17</f>
        <v>5630032.7717960328</v>
      </c>
      <c r="AT18" s="262">
        <f t="shared" ref="AT18" si="514">AS18+AT17</f>
        <v>5630032.7717960328</v>
      </c>
      <c r="AU18" s="262">
        <f t="shared" ref="AU18" si="515">AT18+AU17</f>
        <v>5630032.7717960328</v>
      </c>
      <c r="AV18" s="262">
        <f t="shared" ref="AV18" si="516">AU18+AV17</f>
        <v>5630032.7717960328</v>
      </c>
      <c r="AW18" s="262">
        <f t="shared" ref="AW18" si="517">AV18+AW17</f>
        <v>5630032.7717960328</v>
      </c>
      <c r="AX18" s="262">
        <f t="shared" ref="AX18" si="518">AW18+AX17</f>
        <v>5630032.7717960328</v>
      </c>
      <c r="AY18" s="262">
        <f t="shared" ref="AY18" si="519">AX18+AY17</f>
        <v>5630032.7717960328</v>
      </c>
      <c r="AZ18" s="262">
        <f t="shared" ref="AZ18" si="520">AY18+AZ17</f>
        <v>5630032.7717960328</v>
      </c>
      <c r="BA18" s="262">
        <f t="shared" ref="BA18" si="521">AZ18+BA17</f>
        <v>5630032.7717960328</v>
      </c>
      <c r="BB18" s="262">
        <f t="shared" ref="BB18" si="522">BA18+BB17</f>
        <v>5630032.7717960328</v>
      </c>
      <c r="BC18" s="262">
        <f t="shared" ref="BC18" si="523">BB18+BC17</f>
        <v>5630032.7717960328</v>
      </c>
      <c r="BD18" s="262">
        <f t="shared" ref="BD18" si="524">BC18+BD17</f>
        <v>5630032.7717960328</v>
      </c>
      <c r="BE18" s="262">
        <f t="shared" ref="BE18" si="525">BD18+BE17</f>
        <v>5630032.7717960328</v>
      </c>
      <c r="BF18" s="262">
        <f t="shared" ref="BF18" si="526">BE18+BF17</f>
        <v>5630032.7717960328</v>
      </c>
      <c r="BG18" s="262">
        <f t="shared" ref="BG18" si="527">BF18+BG17</f>
        <v>5630032.7717960328</v>
      </c>
      <c r="BH18" s="262">
        <f t="shared" ref="BH18" si="528">BG18+BH17</f>
        <v>5630032.7717960328</v>
      </c>
      <c r="BI18" s="262">
        <f t="shared" ref="BI18" si="529">BH18+BI17</f>
        <v>5630032.7717960328</v>
      </c>
      <c r="BJ18" s="262">
        <f t="shared" ref="BJ18" si="530">BI18+BJ17</f>
        <v>5630032.7717960328</v>
      </c>
      <c r="BK18" s="262">
        <f t="shared" ref="BK18" si="531">BJ18+BK17</f>
        <v>5630032.7717960328</v>
      </c>
      <c r="BL18" s="262">
        <f t="shared" ref="BL18" si="532">BK18+BL17</f>
        <v>5630032.7717960328</v>
      </c>
      <c r="BM18" s="262">
        <f t="shared" ref="BM18" si="533">BL18+BM17</f>
        <v>5630032.7717960328</v>
      </c>
      <c r="BN18" s="262">
        <f t="shared" ref="BN18" si="534">BM18+BN17</f>
        <v>5630032.7717960328</v>
      </c>
      <c r="BO18" s="262">
        <f t="shared" ref="BO18" si="535">BN18+BO17</f>
        <v>5630032.7717960328</v>
      </c>
      <c r="BP18" s="262">
        <f t="shared" ref="BP18" si="536">BO18+BP17</f>
        <v>5630032.7717960328</v>
      </c>
      <c r="BQ18" s="262">
        <f t="shared" ref="BQ18" si="537">BP18+BQ17</f>
        <v>5630032.7717960328</v>
      </c>
      <c r="BR18" s="262">
        <f t="shared" ref="BR18" si="538">BQ18+BR17</f>
        <v>5630032.7717960328</v>
      </c>
      <c r="BS18" s="262">
        <f t="shared" ref="BS18" si="539">BR18+BS17</f>
        <v>5630032.7717960328</v>
      </c>
      <c r="BT18" s="262">
        <f t="shared" ref="BT18" si="540">BS18+BT17</f>
        <v>5630032.7717960328</v>
      </c>
      <c r="BU18" s="262">
        <f t="shared" ref="BU18" si="541">BT18+BU17</f>
        <v>5630032.7717960328</v>
      </c>
      <c r="BV18" s="262">
        <f t="shared" ref="BV18" si="542">BU18+BV17</f>
        <v>5630032.7717960328</v>
      </c>
      <c r="BW18" s="262">
        <f t="shared" ref="BW18" si="543">BV18+BW17</f>
        <v>5630032.7717960328</v>
      </c>
      <c r="BX18" s="262">
        <f t="shared" ref="BX18" si="544">BW18+BX17</f>
        <v>5630032.7717960328</v>
      </c>
      <c r="BY18" s="262">
        <f t="shared" ref="BY18" si="545">BX18+BY17</f>
        <v>5630032.7717960328</v>
      </c>
      <c r="BZ18" s="262">
        <f t="shared" ref="BZ18" si="546">BY18+BZ17</f>
        <v>5630032.7717960328</v>
      </c>
      <c r="CA18" s="262">
        <f t="shared" ref="CA18" si="547">BZ18+CA17</f>
        <v>5630032.7717960328</v>
      </c>
      <c r="CB18" s="262">
        <f t="shared" ref="CB18" si="548">CA18+CB17</f>
        <v>5630032.7717960328</v>
      </c>
      <c r="CC18" s="262">
        <f t="shared" ref="CC18" si="549">CB18+CC17</f>
        <v>5630032.7717960328</v>
      </c>
      <c r="CD18" s="262">
        <f t="shared" ref="CD18" si="550">CC18+CD17</f>
        <v>5630032.7717960328</v>
      </c>
      <c r="CE18" s="262">
        <f t="shared" ref="CE18" si="551">CD18+CE17</f>
        <v>5630032.7717960328</v>
      </c>
      <c r="CF18" s="262">
        <f t="shared" ref="CF18" si="552">CE18+CF17</f>
        <v>5630032.7717960328</v>
      </c>
      <c r="CG18" s="262">
        <f t="shared" ref="CG18" si="553">CF18+CG17</f>
        <v>5630032.7717960328</v>
      </c>
      <c r="CH18" s="262">
        <f t="shared" ref="CH18" si="554">CG18+CH17</f>
        <v>5630032.7717960328</v>
      </c>
      <c r="CI18" s="262">
        <f t="shared" ref="CI18" si="555">CH18+CI17</f>
        <v>5630032.7717960328</v>
      </c>
      <c r="CJ18" s="262">
        <f t="shared" ref="CJ18" si="556">CI18+CJ17</f>
        <v>5630032.7717960328</v>
      </c>
      <c r="CK18" s="262">
        <f t="shared" ref="CK18" si="557">CJ18+CK17</f>
        <v>5630032.7717960328</v>
      </c>
      <c r="CL18" s="262">
        <f t="shared" ref="CL18" si="558">CK18+CL17</f>
        <v>5630032.7717960328</v>
      </c>
      <c r="CM18" s="262">
        <f t="shared" ref="CM18" si="559">CL18+CM17</f>
        <v>5630032.7717960328</v>
      </c>
      <c r="CN18" s="262">
        <f t="shared" ref="CN18" si="560">CM18+CN17</f>
        <v>5630032.7717960328</v>
      </c>
      <c r="CO18" s="262">
        <f t="shared" ref="CO18" si="561">CN18+CO17</f>
        <v>5630032.7717960328</v>
      </c>
      <c r="CP18" s="262">
        <f t="shared" ref="CP18" si="562">CO18+CP17</f>
        <v>5630032.7717960328</v>
      </c>
      <c r="CQ18" s="262">
        <f t="shared" ref="CQ18" si="563">CP18+CQ17</f>
        <v>5630032.7717960328</v>
      </c>
      <c r="CR18" s="262">
        <f t="shared" ref="CR18" si="564">CQ18+CR17</f>
        <v>5630032.7717960328</v>
      </c>
      <c r="CS18" s="262">
        <f t="shared" ref="CS18" si="565">CR18+CS17</f>
        <v>5630032.7717960328</v>
      </c>
      <c r="CT18" s="262">
        <f t="shared" ref="CT18" si="566">CS18+CT17</f>
        <v>5630032.7717960328</v>
      </c>
      <c r="CU18" s="262">
        <f t="shared" ref="CU18" si="567">CT18+CU17</f>
        <v>5630032.7717960328</v>
      </c>
      <c r="CV18" s="262">
        <f t="shared" ref="CV18" si="568">CU18+CV17</f>
        <v>5630032.7717960328</v>
      </c>
      <c r="CW18" s="262">
        <f t="shared" ref="CW18" si="569">CV18+CW17</f>
        <v>5630032.7717960328</v>
      </c>
    </row>
    <row r="19" spans="1:101" s="239" customFormat="1"/>
    <row r="20" spans="1:101">
      <c r="B20" t="s">
        <v>432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"&lt;"&amp;CX1)+SUMIFS('Expenditure Breakdown'!$R$62:$R$69, 'Expenditure Breakdown'!$W$62:$W$69, "&gt;="&amp;BQ1,'Expenditure Breakdown'!$W$62:$W$69, "&lt;"&amp;CX1)+SUMIFS('Expenditure Breakdown'!$R$88:$R$95, 'Expenditure Breakdown'!$W$88:$W$95, "&gt;="&amp;BQ1,'Expenditure Breakdown'!$W$88:$W$95, "&lt;"&amp;CX1)</f>
        <v>0</v>
      </c>
      <c r="BR20" s="650">
        <f>SUMIFS('Expenditure Breakdown'!$R$30:$R$37, 'Expenditure Breakdown'!$W$30:$W$37, "&gt;="&amp;BR1,'Expenditure Breakdown'!$W$30:$W$37, "&lt;"&amp;CY1)+SUMIFS('Expenditure Breakdown'!$R$62:$R$69, 'Expenditure Breakdown'!$W$62:$W$69, "&gt;="&amp;BR1,'Expenditure Breakdown'!$W$62:$W$69, "&lt;"&amp;CY1)+SUMIFS('Expenditure Breakdown'!$R$88:$R$95, 'Expenditure Breakdown'!$W$88:$W$95, "&gt;="&amp;BR1,'Expenditure Breakdown'!$W$88:$W$95, "&lt;"&amp;CY1)</f>
        <v>0</v>
      </c>
      <c r="BS20" s="650">
        <f>SUMIFS('Expenditure Breakdown'!$R$30:$R$37, 'Expenditure Breakdown'!$W$30:$W$37, "&gt;="&amp;BS1,'Expenditure Breakdown'!$W$30:$W$37, "&lt;"&amp;CZ1)+SUMIFS('Expenditure Breakdown'!$R$62:$R$69, 'Expenditure Breakdown'!$W$62:$W$69, "&gt;="&amp;BS1,'Expenditure Breakdown'!$W$62:$W$69, "&lt;"&amp;CZ1)+SUMIFS('Expenditure Breakdown'!$R$88:$R$95, 'Expenditure Breakdown'!$W$88:$W$95, "&gt;="&amp;BS1,'Expenditure Breakdown'!$W$88:$W$95, "&lt;"&amp;CZ1)</f>
        <v>0</v>
      </c>
      <c r="BT20" s="650">
        <f>SUMIFS('Expenditure Breakdown'!$R$30:$R$37, 'Expenditure Breakdown'!$W$30:$W$37, "&gt;="&amp;BT1,'Expenditure Breakdown'!$W$30:$W$37, "&lt;"&amp;DA1)+SUMIFS('Expenditure Breakdown'!$R$62:$R$69, 'Expenditure Breakdown'!$W$62:$W$69, "&gt;="&amp;BT1,'Expenditure Breakdown'!$W$62:$W$69, "&lt;"&amp;DA1)+SUMIFS('Expenditure Breakdown'!$R$88:$R$95, 'Expenditure Breakdown'!$W$88:$W$95, "&gt;="&amp;BT1,'Expenditure Breakdown'!$W$88:$W$95, "&lt;"&amp;DA1)</f>
        <v>0</v>
      </c>
      <c r="BU20" s="650">
        <f>SUMIFS('Expenditure Breakdown'!$R$30:$R$37, 'Expenditure Breakdown'!$W$30:$W$37, "&gt;="&amp;BU1,'Expenditure Breakdown'!$W$30:$W$37, "&lt;"&amp;DB1)+SUMIFS('Expenditure Breakdown'!$R$62:$R$69, 'Expenditure Breakdown'!$W$62:$W$69, "&gt;="&amp;BU1,'Expenditure Breakdown'!$W$62:$W$69, "&lt;"&amp;DB1)+SUMIFS('Expenditure Breakdown'!$R$88:$R$95, 'Expenditure Breakdown'!$W$88:$W$95, "&gt;="&amp;BU1,'Expenditure Breakdown'!$W$88:$W$95, "&lt;"&amp;DB1)</f>
        <v>0</v>
      </c>
      <c r="BV20" s="650">
        <f>SUMIFS('Expenditure Breakdown'!$R$30:$R$37, 'Expenditure Breakdown'!$W$30:$W$37, "&gt;="&amp;BV1,'Expenditure Breakdown'!$W$30:$W$37, "&lt;"&amp;DC1)+SUMIFS('Expenditure Breakdown'!$R$62:$R$69, 'Expenditure Breakdown'!$W$62:$W$69, "&gt;="&amp;BV1,'Expenditure Breakdown'!$W$62:$W$69, "&lt;"&amp;DC1)+SUMIFS('Expenditure Breakdown'!$R$88:$R$95, 'Expenditure Breakdown'!$W$88:$W$95, "&gt;="&amp;BV1,'Expenditure Breakdown'!$W$88:$W$95, "&lt;"&amp;DC1)</f>
        <v>0</v>
      </c>
      <c r="BW20" s="650">
        <f>SUMIFS('Expenditure Breakdown'!$R$30:$R$37, 'Expenditure Breakdown'!$W$30:$W$37, "&gt;="&amp;BW1,'Expenditure Breakdown'!$W$30:$W$37, "&lt;"&amp;DD1)+SUMIFS('Expenditure Breakdown'!$R$62:$R$69, 'Expenditure Breakdown'!$W$62:$W$69, "&gt;="&amp;BW1,'Expenditure Breakdown'!$W$62:$W$69, "&lt;"&amp;DD1)+SUMIFS('Expenditure Breakdown'!$R$88:$R$95, 'Expenditure Breakdown'!$W$88:$W$95, "&gt;="&amp;BW1,'Expenditure Breakdown'!$W$88:$W$95, "&lt;"&amp;DD1)</f>
        <v>0</v>
      </c>
      <c r="BX20" s="650">
        <f>SUMIFS('Expenditure Breakdown'!$R$30:$R$37, 'Expenditure Breakdown'!$W$30:$W$37, "&gt;="&amp;BX1,'Expenditure Breakdown'!$W$30:$W$37, "&lt;"&amp;DE1)+SUMIFS('Expenditure Breakdown'!$R$62:$R$69, 'Expenditure Breakdown'!$W$62:$W$69, "&gt;="&amp;BX1,'Expenditure Breakdown'!$W$62:$W$69, "&lt;"&amp;DE1)+SUMIFS('Expenditure Breakdown'!$R$88:$R$95, 'Expenditure Breakdown'!$W$88:$W$95, "&gt;="&amp;BX1,'Expenditure Breakdown'!$W$88:$W$95, "&lt;"&amp;DE1)</f>
        <v>0</v>
      </c>
      <c r="BY20" s="650">
        <f>SUMIFS('Expenditure Breakdown'!$R$30:$R$37, 'Expenditure Breakdown'!$W$30:$W$37, "&gt;="&amp;BY1,'Expenditure Breakdown'!$W$30:$W$37, "&lt;"&amp;DF1)+SUMIFS('Expenditure Breakdown'!$R$62:$R$69, 'Expenditure Breakdown'!$W$62:$W$69, "&gt;="&amp;BY1,'Expenditure Breakdown'!$W$62:$W$69, "&lt;"&amp;DF1)+SUMIFS('Expenditure Breakdown'!$R$88:$R$95, 'Expenditure Breakdown'!$W$88:$W$95, "&gt;="&amp;BY1,'Expenditure Breakdown'!$W$88:$W$95, "&lt;"&amp;DF1)</f>
        <v>0</v>
      </c>
      <c r="BZ20" s="650">
        <f>SUMIFS('Expenditure Breakdown'!$R$30:$R$37, 'Expenditure Breakdown'!$W$30:$W$37, "&gt;="&amp;BZ1,'Expenditure Breakdown'!$W$30:$W$37, "&lt;"&amp;DG1)+SUMIFS('Expenditure Breakdown'!$R$62:$R$69, 'Expenditure Breakdown'!$W$62:$W$69, "&gt;="&amp;BZ1,'Expenditure Breakdown'!$W$62:$W$69, "&lt;"&amp;DG1)+SUMIFS('Expenditure Breakdown'!$R$88:$R$95, 'Expenditure Breakdown'!$W$88:$W$95, "&gt;="&amp;BZ1,'Expenditure Breakdown'!$W$88:$W$95, "&lt;"&amp;DG1)</f>
        <v>0</v>
      </c>
      <c r="CA20" s="650">
        <f>SUMIFS('Expenditure Breakdown'!$R$30:$R$37, 'Expenditure Breakdown'!$W$30:$W$37, "&gt;="&amp;CA1,'Expenditure Breakdown'!$W$30:$W$37, "&lt;"&amp;DH1)+SUMIFS('Expenditure Breakdown'!$R$62:$R$69, 'Expenditure Breakdown'!$W$62:$W$69, "&gt;="&amp;CA1,'Expenditure Breakdown'!$W$62:$W$69, "&lt;"&amp;DH1)+SUMIFS('Expenditure Breakdown'!$R$88:$R$95, 'Expenditure Breakdown'!$W$88:$W$95, "&gt;="&amp;CA1,'Expenditure Breakdown'!$W$88:$W$95, "&lt;"&amp;DH1)</f>
        <v>0</v>
      </c>
      <c r="CB20" s="650">
        <f>SUMIFS('Expenditure Breakdown'!$R$30:$R$37, 'Expenditure Breakdown'!$W$30:$W$37, "&gt;="&amp;CB1,'Expenditure Breakdown'!$W$30:$W$37, "&lt;"&amp;DI1)+SUMIFS('Expenditure Breakdown'!$R$62:$R$69, 'Expenditure Breakdown'!$W$62:$W$69, "&gt;="&amp;CB1,'Expenditure Breakdown'!$W$62:$W$69, "&lt;"&amp;DI1)+SUMIFS('Expenditure Breakdown'!$R$88:$R$95, 'Expenditure Breakdown'!$W$88:$W$95, "&gt;="&amp;CB1,'Expenditure Breakdown'!$W$88:$W$95, "&lt;"&amp;DI1)</f>
        <v>0</v>
      </c>
      <c r="CC20" s="650">
        <f>SUMIFS('Expenditure Breakdown'!$R$30:$R$37, 'Expenditure Breakdown'!$W$30:$W$37, "&gt;="&amp;CC1,'Expenditure Breakdown'!$W$30:$W$37, "&lt;"&amp;DJ1)+SUMIFS('Expenditure Breakdown'!$R$62:$R$69, 'Expenditure Breakdown'!$W$62:$W$69, "&gt;="&amp;CC1,'Expenditure Breakdown'!$W$62:$W$69, "&lt;"&amp;DJ1)+SUMIFS('Expenditure Breakdown'!$R$88:$R$95, 'Expenditure Breakdown'!$W$88:$W$95, "&gt;="&amp;CC1,'Expenditure Breakdown'!$W$88:$W$95, "&lt;"&amp;DJ1)</f>
        <v>0</v>
      </c>
      <c r="CD20" s="650">
        <f>SUMIFS('Expenditure Breakdown'!$R$30:$R$37, 'Expenditure Breakdown'!$W$30:$W$37, "&gt;="&amp;CD1,'Expenditure Breakdown'!$W$30:$W$37, "&lt;"&amp;DK1)+SUMIFS('Expenditure Breakdown'!$R$62:$R$69, 'Expenditure Breakdown'!$W$62:$W$69, "&gt;="&amp;CD1,'Expenditure Breakdown'!$W$62:$W$69, "&lt;"&amp;DK1)+SUMIFS('Expenditure Breakdown'!$R$88:$R$95, 'Expenditure Breakdown'!$W$88:$W$95, "&gt;="&amp;CD1,'Expenditure Breakdown'!$W$88:$W$95, "&lt;"&amp;DK1)</f>
        <v>0</v>
      </c>
      <c r="CE20" s="650">
        <f>SUMIFS('Expenditure Breakdown'!$R$30:$R$37, 'Expenditure Breakdown'!$W$30:$W$37, "&gt;="&amp;CE1,'Expenditure Breakdown'!$W$30:$W$37, "&lt;"&amp;DL1)+SUMIFS('Expenditure Breakdown'!$R$62:$R$69, 'Expenditure Breakdown'!$W$62:$W$69, "&gt;="&amp;CE1,'Expenditure Breakdown'!$W$62:$W$69, "&lt;"&amp;DL1)+SUMIFS('Expenditure Breakdown'!$R$88:$R$95, 'Expenditure Breakdown'!$W$88:$W$95, "&gt;="&amp;CE1,'Expenditure Breakdown'!$W$88:$W$95, "&lt;"&amp;DL1)</f>
        <v>0</v>
      </c>
      <c r="CF20" s="650">
        <f>SUMIFS('Expenditure Breakdown'!$R$30:$R$37, 'Expenditure Breakdown'!$W$30:$W$37, "&gt;="&amp;CF1,'Expenditure Breakdown'!$W$30:$W$37, "&lt;"&amp;DM1)+SUMIFS('Expenditure Breakdown'!$R$62:$R$69, 'Expenditure Breakdown'!$W$62:$W$69, "&gt;="&amp;CF1,'Expenditure Breakdown'!$W$62:$W$69, "&lt;"&amp;DM1)+SUMIFS('Expenditure Breakdown'!$R$88:$R$95, 'Expenditure Breakdown'!$W$88:$W$95, "&gt;="&amp;CF1,'Expenditure Breakdown'!$W$88:$W$95, "&lt;"&amp;DM1)</f>
        <v>0</v>
      </c>
      <c r="CG20" s="650">
        <f>SUMIFS('Expenditure Breakdown'!$R$30:$R$37, 'Expenditure Breakdown'!$W$30:$W$37, "&gt;="&amp;CG1,'Expenditure Breakdown'!$W$30:$W$37, "&lt;"&amp;DN1)+SUMIFS('Expenditure Breakdown'!$R$62:$R$69, 'Expenditure Breakdown'!$W$62:$W$69, "&gt;="&amp;CG1,'Expenditure Breakdown'!$W$62:$W$69, "&lt;"&amp;DN1)+SUMIFS('Expenditure Breakdown'!$R$88:$R$95, 'Expenditure Breakdown'!$W$88:$W$95, "&gt;="&amp;CG1,'Expenditure Breakdown'!$W$88:$W$95, "&lt;"&amp;DN1)</f>
        <v>0</v>
      </c>
      <c r="CH20" s="650">
        <f>SUMIFS('Expenditure Breakdown'!$R$30:$R$37, 'Expenditure Breakdown'!$W$30:$W$37, "&gt;="&amp;CH1,'Expenditure Breakdown'!$W$30:$W$37, "&lt;"&amp;DO1)+SUMIFS('Expenditure Breakdown'!$R$62:$R$69, 'Expenditure Breakdown'!$W$62:$W$69, "&gt;="&amp;CH1,'Expenditure Breakdown'!$W$62:$W$69, "&lt;"&amp;DO1)+SUMIFS('Expenditure Breakdown'!$R$88:$R$95, 'Expenditure Breakdown'!$W$88:$W$95, "&gt;="&amp;CH1,'Expenditure Breakdown'!$W$88:$W$95, "&lt;"&amp;DO1)</f>
        <v>0</v>
      </c>
      <c r="CI20" s="650">
        <f>SUMIFS('Expenditure Breakdown'!$R$30:$R$37, 'Expenditure Breakdown'!$W$30:$W$37, "&gt;="&amp;CI1,'Expenditure Breakdown'!$W$30:$W$37, "&lt;"&amp;DP1)+SUMIFS('Expenditure Breakdown'!$R$62:$R$69, 'Expenditure Breakdown'!$W$62:$W$69, "&gt;="&amp;CI1,'Expenditure Breakdown'!$W$62:$W$69, "&lt;"&amp;DP1)+SUMIFS('Expenditure Breakdown'!$R$88:$R$95, 'Expenditure Breakdown'!$W$88:$W$95, "&gt;="&amp;CI1,'Expenditure Breakdown'!$W$88:$W$95, "&lt;"&amp;DP1)</f>
        <v>0</v>
      </c>
      <c r="CJ20" s="650">
        <f>SUMIFS('Expenditure Breakdown'!$R$30:$R$37, 'Expenditure Breakdown'!$W$30:$W$37, "&gt;="&amp;CJ1,'Expenditure Breakdown'!$W$30:$W$37, "&lt;"&amp;DQ1)+SUMIFS('Expenditure Breakdown'!$R$62:$R$69, 'Expenditure Breakdown'!$W$62:$W$69, "&gt;="&amp;CJ1,'Expenditure Breakdown'!$W$62:$W$69, "&lt;"&amp;DQ1)+SUMIFS('Expenditure Breakdown'!$R$88:$R$95, 'Expenditure Breakdown'!$W$88:$W$95, "&gt;="&amp;CJ1,'Expenditure Breakdown'!$W$88:$W$95, "&lt;"&amp;DQ1)</f>
        <v>0</v>
      </c>
      <c r="CK20" s="650">
        <f>SUMIFS('Expenditure Breakdown'!$R$30:$R$37, 'Expenditure Breakdown'!$W$30:$W$37, "&gt;="&amp;CK1,'Expenditure Breakdown'!$W$30:$W$37, "&lt;"&amp;DR1)+SUMIFS('Expenditure Breakdown'!$R$62:$R$69, 'Expenditure Breakdown'!$W$62:$W$69, "&gt;="&amp;CK1,'Expenditure Breakdown'!$W$62:$W$69, "&lt;"&amp;DR1)+SUMIFS('Expenditure Breakdown'!$R$88:$R$95, 'Expenditure Breakdown'!$W$88:$W$95, "&gt;="&amp;CK1,'Expenditure Breakdown'!$W$88:$W$95, "&lt;"&amp;DR1)</f>
        <v>0</v>
      </c>
      <c r="CL20" s="650">
        <f>SUMIFS('Expenditure Breakdown'!$R$30:$R$37, 'Expenditure Breakdown'!$W$30:$W$37, "&gt;="&amp;CL1,'Expenditure Breakdown'!$W$30:$W$37, "&lt;"&amp;DS1)+SUMIFS('Expenditure Breakdown'!$R$62:$R$69, 'Expenditure Breakdown'!$W$62:$W$69, "&gt;="&amp;CL1,'Expenditure Breakdown'!$W$62:$W$69, "&lt;"&amp;DS1)+SUMIFS('Expenditure Breakdown'!$R$88:$R$95, 'Expenditure Breakdown'!$W$88:$W$95, "&gt;="&amp;CL1,'Expenditure Breakdown'!$W$88:$W$95, "&lt;"&amp;DS1)</f>
        <v>0</v>
      </c>
      <c r="CM20" s="650">
        <f>SUMIFS('Expenditure Breakdown'!$R$30:$R$37, 'Expenditure Breakdown'!$W$30:$W$37, "&gt;="&amp;CM1,'Expenditure Breakdown'!$W$30:$W$37, "&lt;"&amp;DT1)+SUMIFS('Expenditure Breakdown'!$R$62:$R$69, 'Expenditure Breakdown'!$W$62:$W$69, "&gt;="&amp;CM1,'Expenditure Breakdown'!$W$62:$W$69, "&lt;"&amp;DT1)+SUMIFS('Expenditure Breakdown'!$R$88:$R$95, 'Expenditure Breakdown'!$W$88:$W$95, "&gt;="&amp;CM1,'Expenditure Breakdown'!$W$88:$W$95, "&lt;"&amp;DT1)</f>
        <v>0</v>
      </c>
      <c r="CN20" s="650">
        <f>SUMIFS('Expenditure Breakdown'!$R$30:$R$37, 'Expenditure Breakdown'!$W$30:$W$37, "&gt;="&amp;CN1,'Expenditure Breakdown'!$W$30:$W$37, "&lt;"&amp;DU1)+SUMIFS('Expenditure Breakdown'!$R$62:$R$69, 'Expenditure Breakdown'!$W$62:$W$69, "&gt;="&amp;CN1,'Expenditure Breakdown'!$W$62:$W$69, "&lt;"&amp;DU1)+SUMIFS('Expenditure Breakdown'!$R$88:$R$95, 'Expenditure Breakdown'!$W$88:$W$95, "&gt;="&amp;CN1,'Expenditure Breakdown'!$W$88:$W$95, "&lt;"&amp;DU1)</f>
        <v>0</v>
      </c>
      <c r="CO20" s="650">
        <f>SUMIFS('Expenditure Breakdown'!$R$30:$R$37, 'Expenditure Breakdown'!$W$30:$W$37, "&gt;="&amp;CO1,'Expenditure Breakdown'!$W$30:$W$37, "&lt;"&amp;DV1)+SUMIFS('Expenditure Breakdown'!$R$62:$R$69, 'Expenditure Breakdown'!$W$62:$W$69, "&gt;="&amp;CO1,'Expenditure Breakdown'!$W$62:$W$69, "&lt;"&amp;DV1)+SUMIFS('Expenditure Breakdown'!$R$88:$R$95, 'Expenditure Breakdown'!$W$88:$W$95, "&gt;="&amp;CO1,'Expenditure Breakdown'!$W$88:$W$95, "&lt;"&amp;DV1)</f>
        <v>0</v>
      </c>
      <c r="CP20" s="650">
        <f>SUMIFS('Expenditure Breakdown'!$R$30:$R$37, 'Expenditure Breakdown'!$W$30:$W$37, "&gt;="&amp;CP1,'Expenditure Breakdown'!$W$30:$W$37, "&lt;"&amp;DW1)+SUMIFS('Expenditure Breakdown'!$R$62:$R$69, 'Expenditure Breakdown'!$W$62:$W$69, "&gt;="&amp;CP1,'Expenditure Breakdown'!$W$62:$W$69, "&lt;"&amp;DW1)+SUMIFS('Expenditure Breakdown'!$R$88:$R$95, 'Expenditure Breakdown'!$W$88:$W$95, "&gt;="&amp;CP1,'Expenditure Breakdown'!$W$88:$W$95, "&lt;"&amp;DW1)</f>
        <v>0</v>
      </c>
      <c r="CQ20" s="650">
        <f>SUMIFS('Expenditure Breakdown'!$R$30:$R$37, 'Expenditure Breakdown'!$W$30:$W$37, "&gt;="&amp;CQ1,'Expenditure Breakdown'!$W$30:$W$37, "&lt;"&amp;DX1)+SUMIFS('Expenditure Breakdown'!$R$62:$R$69, 'Expenditure Breakdown'!$W$62:$W$69, "&gt;="&amp;CQ1,'Expenditure Breakdown'!$W$62:$W$69, "&lt;"&amp;DX1)+SUMIFS('Expenditure Breakdown'!$R$88:$R$95, 'Expenditure Breakdown'!$W$88:$W$95, "&gt;="&amp;CQ1,'Expenditure Breakdown'!$W$88:$W$95, "&lt;"&amp;DX1)</f>
        <v>0</v>
      </c>
      <c r="CR20" s="650">
        <f>SUMIFS('Expenditure Breakdown'!$R$30:$R$37, 'Expenditure Breakdown'!$W$30:$W$37, "&gt;="&amp;CR1,'Expenditure Breakdown'!$W$30:$W$37, "&lt;"&amp;DY1)+SUMIFS('Expenditure Breakdown'!$R$62:$R$69, 'Expenditure Breakdown'!$W$62:$W$69, "&gt;="&amp;CR1,'Expenditure Breakdown'!$W$62:$W$69, "&lt;"&amp;DY1)+SUMIFS('Expenditure Breakdown'!$R$88:$R$95, 'Expenditure Breakdown'!$W$88:$W$95, "&gt;="&amp;CR1,'Expenditure Breakdown'!$W$88:$W$95, "&lt;"&amp;DY1)</f>
        <v>0</v>
      </c>
      <c r="CS20" s="650">
        <f>SUMIFS('Expenditure Breakdown'!$R$30:$R$37, 'Expenditure Breakdown'!$W$30:$W$37, "&gt;="&amp;CS1,'Expenditure Breakdown'!$W$30:$W$37, "&lt;"&amp;DZ1)+SUMIFS('Expenditure Breakdown'!$R$62:$R$69, 'Expenditure Breakdown'!$W$62:$W$69, "&gt;="&amp;CS1,'Expenditure Breakdown'!$W$62:$W$69, "&lt;"&amp;DZ1)+SUMIFS('Expenditure Breakdown'!$R$88:$R$95, 'Expenditure Breakdown'!$W$88:$W$95, "&gt;="&amp;CS1,'Expenditure Breakdown'!$W$88:$W$95, "&lt;"&amp;DZ1)</f>
        <v>0</v>
      </c>
      <c r="CT20" s="650">
        <f>SUMIFS('Expenditure Breakdown'!$R$30:$R$37, 'Expenditure Breakdown'!$W$30:$W$37, "&gt;="&amp;CT1,'Expenditure Breakdown'!$W$30:$W$37, "&lt;"&amp;EA1)+SUMIFS('Expenditure Breakdown'!$R$62:$R$69, 'Expenditure Breakdown'!$W$62:$W$69, "&gt;="&amp;CT1,'Expenditure Breakdown'!$W$62:$W$69, "&lt;"&amp;EA1)+SUMIFS('Expenditure Breakdown'!$R$88:$R$95, 'Expenditure Breakdown'!$W$88:$W$95, "&gt;="&amp;CT1,'Expenditure Breakdown'!$W$88:$W$95, "&lt;"&amp;EA1)</f>
        <v>0</v>
      </c>
      <c r="CU20" s="650">
        <f>SUMIFS('Expenditure Breakdown'!$R$30:$R$37, 'Expenditure Breakdown'!$W$30:$W$37, "&gt;="&amp;CU1,'Expenditure Breakdown'!$W$30:$W$37, "&lt;"&amp;EB1)+SUMIFS('Expenditure Breakdown'!$R$62:$R$69, 'Expenditure Breakdown'!$W$62:$W$69, "&gt;="&amp;CU1,'Expenditure Breakdown'!$W$62:$W$69, "&lt;"&amp;EB1)+SUMIFS('Expenditure Breakdown'!$R$88:$R$95, 'Expenditure Breakdown'!$W$88:$W$95, "&gt;="&amp;CU1,'Expenditure Breakdown'!$W$88:$W$95, "&lt;"&amp;EB1)</f>
        <v>0</v>
      </c>
      <c r="CV20" s="650">
        <f>SUMIFS('Expenditure Breakdown'!$R$30:$R$37, 'Expenditure Breakdown'!$W$30:$W$37, "&gt;="&amp;CV1,'Expenditure Breakdown'!$W$30:$W$37, "&lt;"&amp;EC1)+SUMIFS('Expenditure Breakdown'!$R$62:$R$69, 'Expenditure Breakdown'!$W$62:$W$69, "&gt;="&amp;CV1,'Expenditure Breakdown'!$W$62:$W$69, "&lt;"&amp;EC1)+SUMIFS('Expenditure Breakdown'!$R$88:$R$95, 'Expenditure Breakdown'!$W$88:$W$95, "&gt;="&amp;CV1,'Expenditure Breakdown'!$W$88:$W$95, "&lt;"&amp;EC1)</f>
        <v>0</v>
      </c>
      <c r="CW20" s="650">
        <f>SUMIFS('Expenditure Breakdown'!$R$30:$R$37, 'Expenditure Breakdown'!$W$30:$W$37, "&gt;="&amp;CW1,'Expenditure Breakdown'!$W$30:$W$37, "&lt;"&amp;ED1)+SUMIFS('Expenditure Breakdown'!$R$62:$R$69, 'Expenditure Breakdown'!$W$62:$W$69, "&gt;="&amp;CW1,'Expenditure Breakdown'!$W$62:$W$69, "&lt;"&amp;ED1)+SUMIFS('Expenditure Breakdown'!$R$88:$R$95, 'Expenditure Breakdown'!$W$88:$W$95, "&gt;="&amp;CW1,'Expenditure Breakdown'!$W$88:$W$95, "&lt;"&amp;ED1)</f>
        <v>0</v>
      </c>
    </row>
    <row r="21" spans="1:101">
      <c r="B21" t="s">
        <v>433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570">I20+H21</f>
        <v>0</v>
      </c>
      <c r="J21" s="650">
        <f t="shared" ref="J21" si="571">J20+I21</f>
        <v>0</v>
      </c>
      <c r="K21" s="650">
        <f t="shared" ref="K21" si="572">K20+J21</f>
        <v>0</v>
      </c>
      <c r="L21" s="650">
        <f t="shared" ref="L21" si="573">L20+K21</f>
        <v>0</v>
      </c>
      <c r="M21" s="650">
        <f t="shared" ref="M21" si="574">M20+L21</f>
        <v>0</v>
      </c>
      <c r="N21" s="650">
        <f t="shared" ref="N21" si="575">N20+M21</f>
        <v>0</v>
      </c>
      <c r="O21" s="650">
        <f t="shared" ref="O21" si="576">O20+N21</f>
        <v>0</v>
      </c>
      <c r="P21" s="650">
        <f t="shared" ref="P21" si="577">P20+O21</f>
        <v>0</v>
      </c>
      <c r="Q21" s="650">
        <f t="shared" ref="Q21" si="578">Q20+P21</f>
        <v>0</v>
      </c>
      <c r="R21" s="650">
        <f t="shared" ref="R21" si="579">R20+Q21</f>
        <v>0</v>
      </c>
      <c r="S21" s="650">
        <f t="shared" ref="S21" si="580">S20+R21</f>
        <v>0</v>
      </c>
      <c r="T21" s="650">
        <f t="shared" ref="T21" si="581">T20+S21</f>
        <v>0</v>
      </c>
      <c r="U21" s="650">
        <f t="shared" ref="U21" si="582">U20+T21</f>
        <v>0</v>
      </c>
      <c r="V21" s="650">
        <f t="shared" ref="V21" si="583">V20+U21</f>
        <v>281364.21900000004</v>
      </c>
      <c r="W21" s="650">
        <f t="shared" ref="W21" si="584">W20+V21</f>
        <v>281364.21900000004</v>
      </c>
      <c r="X21" s="650">
        <f t="shared" ref="X21" si="585">X20+W21</f>
        <v>281364.21900000004</v>
      </c>
      <c r="Y21" s="650">
        <f t="shared" ref="Y21" si="586">Y20+X21</f>
        <v>281364.21900000004</v>
      </c>
      <c r="Z21" s="650">
        <f t="shared" ref="Z21" si="587">Z20+Y21</f>
        <v>281364.21900000004</v>
      </c>
      <c r="AA21" s="650">
        <f t="shared" ref="AA21" si="588">AA20+Z21</f>
        <v>468940.36500000005</v>
      </c>
      <c r="AB21" s="650">
        <f t="shared" ref="AB21" si="589">AB20+AA21</f>
        <v>468940.36500000005</v>
      </c>
      <c r="AC21" s="650">
        <f t="shared" ref="AC21" si="590">AC20+AB21</f>
        <v>468940.36500000005</v>
      </c>
      <c r="AD21" s="650">
        <f t="shared" ref="AD21" si="591">AD20+AC21</f>
        <v>468940.36500000005</v>
      </c>
      <c r="AE21" s="650">
        <f t="shared" ref="AE21" si="592">AE20+AD21</f>
        <v>468940.36500000005</v>
      </c>
      <c r="AF21" s="650">
        <f t="shared" ref="AF21" si="593">AF20+AE21</f>
        <v>468940.36500000005</v>
      </c>
      <c r="AG21" s="650">
        <f t="shared" ref="AG21" si="594">AG20+AF21</f>
        <v>468940.36500000005</v>
      </c>
      <c r="AH21" s="650">
        <f t="shared" ref="AH21" si="595">AH20+AG21</f>
        <v>468940.36500000005</v>
      </c>
      <c r="AI21" s="650">
        <f t="shared" ref="AI21" si="596">AI20+AH21</f>
        <v>468940.36500000005</v>
      </c>
      <c r="AJ21" s="650">
        <f t="shared" ref="AJ21" si="597">AJ20+AI21</f>
        <v>502151.64500000002</v>
      </c>
      <c r="AK21" s="650">
        <f t="shared" ref="AK21" si="598">AK20+AJ21</f>
        <v>783515.86400000006</v>
      </c>
      <c r="AL21" s="650">
        <f t="shared" ref="AL21" si="599">AL20+AK21</f>
        <v>783515.86400000006</v>
      </c>
      <c r="AM21" s="650">
        <f t="shared" ref="AM21" si="600">AM20+AL21</f>
        <v>924197.97350000008</v>
      </c>
      <c r="AN21" s="650">
        <f t="shared" ref="AN21" si="601">AN20+AM21</f>
        <v>924197.97350000008</v>
      </c>
      <c r="AO21" s="650">
        <f t="shared" ref="AO21" si="602">AO20+AN21</f>
        <v>924197.97350000008</v>
      </c>
      <c r="AP21" s="650">
        <f t="shared" ref="AP21" si="603">AP20+AO21</f>
        <v>971092.01000000013</v>
      </c>
      <c r="AQ21" s="650">
        <f t="shared" ref="AQ21" si="604">AQ20+AP21</f>
        <v>971092.01000000013</v>
      </c>
      <c r="AR21" s="650">
        <f t="shared" ref="AR21" si="605">AR20+AQ21</f>
        <v>971092.01000000013</v>
      </c>
      <c r="AS21" s="650">
        <f t="shared" ref="AS21" si="606">AS20+AR21</f>
        <v>971092.01000000013</v>
      </c>
      <c r="AT21" s="650">
        <f t="shared" ref="AT21" si="607">AT20+AS21</f>
        <v>971092.01000000013</v>
      </c>
      <c r="AU21" s="650">
        <f t="shared" ref="AU21" si="608">AU20+AT21</f>
        <v>971092.01000000013</v>
      </c>
      <c r="AV21" s="650">
        <f t="shared" ref="AV21" si="609">AV20+AU21</f>
        <v>971092.01000000013</v>
      </c>
      <c r="AW21" s="650">
        <f t="shared" ref="AW21" si="610">AW20+AV21</f>
        <v>971092.01000000013</v>
      </c>
      <c r="AX21" s="650">
        <f t="shared" ref="AX21" si="611">AX20+AW21</f>
        <v>971092.01000000013</v>
      </c>
      <c r="AY21" s="650">
        <f t="shared" ref="AY21" si="612">AY20+AX21</f>
        <v>971092.01000000013</v>
      </c>
      <c r="AZ21" s="650">
        <f t="shared" ref="AZ21" si="613">AZ20+AY21</f>
        <v>971092.01000000013</v>
      </c>
      <c r="BA21" s="650">
        <f t="shared" ref="BA21" si="614">BA20+AZ21</f>
        <v>971092.01000000013</v>
      </c>
      <c r="BB21" s="650">
        <f t="shared" ref="BB21" si="615">BB20+BA21</f>
        <v>971092.01000000013</v>
      </c>
      <c r="BC21" s="650">
        <f t="shared" ref="BC21" si="616">BC20+BB21</f>
        <v>971092.01000000013</v>
      </c>
      <c r="BD21" s="650">
        <f t="shared" ref="BD21" si="617">BD20+BC21</f>
        <v>971092.01000000013</v>
      </c>
      <c r="BE21" s="650">
        <f t="shared" ref="BE21" si="618">BE20+BD21</f>
        <v>971092.01000000013</v>
      </c>
      <c r="BF21" s="650">
        <f t="shared" ref="BF21" si="619">BF20+BE21</f>
        <v>971092.01000000013</v>
      </c>
      <c r="BG21" s="650">
        <f t="shared" ref="BG21" si="620">BG20+BF21</f>
        <v>971092.01000000013</v>
      </c>
      <c r="BH21" s="650">
        <f t="shared" ref="BH21" si="621">BH20+BG21</f>
        <v>971092.01000000013</v>
      </c>
      <c r="BI21" s="650">
        <f t="shared" ref="BI21" si="622">BI20+BH21</f>
        <v>971092.01000000013</v>
      </c>
      <c r="BJ21" s="650">
        <f t="shared" ref="BJ21" si="623">BJ20+BI21</f>
        <v>971092.01000000013</v>
      </c>
      <c r="BK21" s="650">
        <f t="shared" ref="BK21" si="624">BK20+BJ21</f>
        <v>971092.01000000013</v>
      </c>
      <c r="BL21" s="650">
        <f t="shared" ref="BL21" si="625">BL20+BK21</f>
        <v>971092.01000000013</v>
      </c>
      <c r="BM21" s="650">
        <f t="shared" ref="BM21" si="626">BM20+BL21</f>
        <v>971092.01000000013</v>
      </c>
      <c r="BN21" s="650">
        <f t="shared" ref="BN21" si="627">BN20+BM21</f>
        <v>971092.01000000013</v>
      </c>
      <c r="BO21" s="650">
        <f t="shared" ref="BO21" si="628">BO20+BN21</f>
        <v>971092.01000000013</v>
      </c>
      <c r="BP21" s="650">
        <f t="shared" ref="BP21" si="629">BP20+BO21</f>
        <v>971092.01000000013</v>
      </c>
      <c r="BQ21" s="650">
        <f t="shared" ref="BQ21" si="630">BQ20+BP21</f>
        <v>971092.01000000013</v>
      </c>
      <c r="BR21" s="650">
        <f t="shared" ref="BR21" si="631">BR20+BQ21</f>
        <v>971092.01000000013</v>
      </c>
      <c r="BS21" s="650">
        <f t="shared" ref="BS21" si="632">BS20+BR21</f>
        <v>971092.01000000013</v>
      </c>
      <c r="BT21" s="650">
        <f t="shared" ref="BT21" si="633">BT20+BS21</f>
        <v>971092.01000000013</v>
      </c>
      <c r="BU21" s="650">
        <f t="shared" ref="BU21" si="634">BU20+BT21</f>
        <v>971092.01000000013</v>
      </c>
      <c r="BV21" s="650">
        <f t="shared" ref="BV21" si="635">BV20+BU21</f>
        <v>971092.01000000013</v>
      </c>
      <c r="BW21" s="650">
        <f t="shared" ref="BW21" si="636">BW20+BV21</f>
        <v>971092.01000000013</v>
      </c>
      <c r="BX21" s="650">
        <f t="shared" ref="BX21" si="637">BX20+BW21</f>
        <v>971092.01000000013</v>
      </c>
      <c r="BY21" s="650">
        <f t="shared" ref="BY21" si="638">BY20+BX21</f>
        <v>971092.01000000013</v>
      </c>
      <c r="BZ21" s="650">
        <f t="shared" ref="BZ21" si="639">BZ20+BY21</f>
        <v>971092.01000000013</v>
      </c>
      <c r="CA21" s="650">
        <f t="shared" ref="CA21" si="640">CA20+BZ21</f>
        <v>971092.01000000013</v>
      </c>
      <c r="CB21" s="650">
        <f t="shared" ref="CB21" si="641">CB20+CA21</f>
        <v>971092.01000000013</v>
      </c>
      <c r="CC21" s="650">
        <f t="shared" ref="CC21" si="642">CC20+CB21</f>
        <v>971092.01000000013</v>
      </c>
      <c r="CD21" s="650">
        <f t="shared" ref="CD21" si="643">CD20+CC21</f>
        <v>971092.01000000013</v>
      </c>
      <c r="CE21" s="650">
        <f t="shared" ref="CE21" si="644">CE20+CD21</f>
        <v>971092.01000000013</v>
      </c>
      <c r="CF21" s="650">
        <f t="shared" ref="CF21" si="645">CF20+CE21</f>
        <v>971092.01000000013</v>
      </c>
      <c r="CG21" s="650">
        <f t="shared" ref="CG21" si="646">CG20+CF21</f>
        <v>971092.01000000013</v>
      </c>
      <c r="CH21" s="650">
        <f t="shared" ref="CH21" si="647">CH20+CG21</f>
        <v>971092.01000000013</v>
      </c>
      <c r="CI21" s="650">
        <f t="shared" ref="CI21" si="648">CI20+CH21</f>
        <v>971092.01000000013</v>
      </c>
      <c r="CJ21" s="650">
        <f t="shared" ref="CJ21" si="649">CJ20+CI21</f>
        <v>971092.01000000013</v>
      </c>
      <c r="CK21" s="650">
        <f t="shared" ref="CK21" si="650">CK20+CJ21</f>
        <v>971092.01000000013</v>
      </c>
      <c r="CL21" s="650">
        <f t="shared" ref="CL21" si="651">CL20+CK21</f>
        <v>971092.01000000013</v>
      </c>
      <c r="CM21" s="650">
        <f t="shared" ref="CM21" si="652">CM20+CL21</f>
        <v>971092.01000000013</v>
      </c>
      <c r="CN21" s="650">
        <f t="shared" ref="CN21" si="653">CN20+CM21</f>
        <v>971092.01000000013</v>
      </c>
      <c r="CO21" s="650">
        <f t="shared" ref="CO21" si="654">CO20+CN21</f>
        <v>971092.01000000013</v>
      </c>
      <c r="CP21" s="650">
        <f t="shared" ref="CP21" si="655">CP20+CO21</f>
        <v>971092.01000000013</v>
      </c>
      <c r="CQ21" s="650">
        <f t="shared" ref="CQ21" si="656">CQ20+CP21</f>
        <v>971092.01000000013</v>
      </c>
      <c r="CR21" s="650">
        <f t="shared" ref="CR21" si="657">CR20+CQ21</f>
        <v>971092.01000000013</v>
      </c>
      <c r="CS21" s="650">
        <f t="shared" ref="CS21" si="658">CS20+CR21</f>
        <v>971092.01000000013</v>
      </c>
      <c r="CT21" s="650">
        <f t="shared" ref="CT21" si="659">CT20+CS21</f>
        <v>971092.01000000013</v>
      </c>
      <c r="CU21" s="650">
        <f t="shared" ref="CU21" si="660">CU20+CT21</f>
        <v>971092.01000000013</v>
      </c>
      <c r="CV21" s="650">
        <f t="shared" ref="CV21" si="661">CV20+CU21</f>
        <v>971092.01000000013</v>
      </c>
      <c r="CW21" s="650">
        <f t="shared" ref="CW21" si="662">CW20+CV21</f>
        <v>971092.01000000013</v>
      </c>
    </row>
    <row r="22" spans="1:101" s="23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4296875" defaultRowHeight="14.5"/>
  <cols>
    <col min="1" max="1" width="39.453125" style="504" bestFit="1" customWidth="1"/>
    <col min="2" max="2" width="17.26953125" style="505" bestFit="1" customWidth="1"/>
    <col min="3" max="3" width="7.453125" style="504" bestFit="1" customWidth="1"/>
    <col min="4" max="4" width="14.81640625" style="504" bestFit="1" customWidth="1"/>
    <col min="5" max="9" width="13.26953125" style="504" bestFit="1" customWidth="1"/>
    <col min="10" max="10" width="12" style="504" bestFit="1" customWidth="1"/>
    <col min="11" max="11" width="13.26953125" style="504" bestFit="1" customWidth="1"/>
    <col min="12" max="15" width="10.54296875" style="504" bestFit="1" customWidth="1"/>
    <col min="16" max="16" width="14.81640625" style="504" bestFit="1" customWidth="1"/>
    <col min="17" max="17" width="12.81640625" style="504" bestFit="1" customWidth="1"/>
    <col min="18" max="18" width="11.453125" style="504" bestFit="1" customWidth="1"/>
    <col min="19" max="19" width="13.54296875" style="504" bestFit="1" customWidth="1"/>
    <col min="20" max="16384" width="12.54296875" style="504"/>
  </cols>
  <sheetData>
    <row r="1" spans="1:20">
      <c r="A1" s="531" t="s">
        <v>237</v>
      </c>
      <c r="B1" t="s">
        <v>434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435</v>
      </c>
      <c r="B3" s="531" t="s">
        <v>436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437</v>
      </c>
      <c r="B4"/>
      <c r="C4" t="s">
        <v>438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  <c r="Q4"/>
      <c r="R4"/>
      <c r="S4"/>
      <c r="T4"/>
    </row>
    <row r="5" spans="1:20">
      <c r="A5" s="532" t="s">
        <v>438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357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395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244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269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276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290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314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341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359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380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382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388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401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411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414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439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9" sqref="J9"/>
    </sheetView>
  </sheetViews>
  <sheetFormatPr defaultColWidth="8.453125" defaultRowHeight="14.5"/>
  <cols>
    <col min="1" max="1" width="21.7265625" bestFit="1" customWidth="1"/>
    <col min="2" max="2" width="17.26953125" style="624" bestFit="1" customWidth="1"/>
    <col min="3" max="3" width="14.54296875" style="624" bestFit="1" customWidth="1"/>
    <col min="4" max="4" width="14.81640625" style="624" bestFit="1" customWidth="1"/>
    <col min="5" max="8" width="13.26953125" style="624" bestFit="1" customWidth="1"/>
    <col min="9" max="9" width="12" style="624" bestFit="1" customWidth="1"/>
    <col min="10" max="10" width="12" bestFit="1" customWidth="1"/>
    <col min="11" max="11" width="13.26953125" bestFit="1" customWidth="1"/>
    <col min="12" max="12" width="12.1796875" bestFit="1" customWidth="1"/>
    <col min="13" max="15" width="12" bestFit="1" customWidth="1"/>
    <col min="16" max="16" width="14.81640625" bestFit="1" customWidth="1"/>
    <col min="17" max="18" width="14" bestFit="1" customWidth="1"/>
    <col min="19" max="19" width="13.453125" bestFit="1" customWidth="1"/>
  </cols>
  <sheetData>
    <row r="3" spans="1:18">
      <c r="A3" s="531" t="s">
        <v>440</v>
      </c>
      <c r="B3" s="531" t="s">
        <v>436</v>
      </c>
      <c r="C3"/>
      <c r="D3"/>
      <c r="E3"/>
      <c r="F3"/>
      <c r="G3"/>
      <c r="H3"/>
      <c r="I3"/>
    </row>
    <row r="4" spans="1:18">
      <c r="A4" s="531" t="s">
        <v>437</v>
      </c>
      <c r="B4" t="s">
        <v>438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439</v>
      </c>
    </row>
    <row r="5" spans="1:18">
      <c r="A5" s="532" t="s">
        <v>357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395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/>
    </row>
    <row r="7" spans="1:18">
      <c r="A7" s="532" t="s">
        <v>438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</row>
    <row r="8" spans="1:18">
      <c r="A8" s="532" t="s">
        <v>244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/>
    </row>
    <row r="9" spans="1:18">
      <c r="A9" s="532" t="s">
        <v>269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/>
    </row>
    <row r="10" spans="1:18">
      <c r="A10" s="532" t="s">
        <v>276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/>
    </row>
    <row r="11" spans="1:18">
      <c r="A11" s="532" t="s">
        <v>290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/>
    </row>
    <row r="12" spans="1:18">
      <c r="A12" s="532" t="s">
        <v>314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/>
    </row>
    <row r="13" spans="1:18">
      <c r="A13" s="532" t="s">
        <v>341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/>
    </row>
    <row r="14" spans="1:18">
      <c r="A14" s="532" t="s">
        <v>359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/>
      <c r="R14" s="638"/>
    </row>
    <row r="15" spans="1:18">
      <c r="A15" s="532" t="s">
        <v>380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/>
    </row>
    <row r="16" spans="1:18">
      <c r="A16" s="532" t="s">
        <v>382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/>
    </row>
    <row r="17" spans="1:17">
      <c r="A17" s="532" t="s">
        <v>388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/>
    </row>
    <row r="18" spans="1:17">
      <c r="A18" s="532" t="s">
        <v>401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/>
    </row>
    <row r="19" spans="1:17">
      <c r="A19" s="532" t="s">
        <v>411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/>
    </row>
    <row r="20" spans="1:17">
      <c r="A20" s="532" t="s">
        <v>414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/>
    </row>
    <row r="21" spans="1:17">
      <c r="A21" s="532" t="s">
        <v>439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/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441</v>
      </c>
    </row>
    <row r="2" spans="1:4">
      <c r="A2" s="1002"/>
      <c r="B2" s="1002"/>
      <c r="C2" s="1002"/>
      <c r="D2" s="71"/>
    </row>
    <row r="3" spans="1:4">
      <c r="A3" s="1001" t="s">
        <v>442</v>
      </c>
      <c r="B3" s="1001"/>
      <c r="C3" s="1001"/>
      <c r="D3" s="112">
        <v>0.32</v>
      </c>
    </row>
    <row r="4" spans="1:4">
      <c r="A4" s="1001" t="s">
        <v>443</v>
      </c>
      <c r="B4" s="1001"/>
      <c r="C4" s="1001"/>
      <c r="D4" s="112">
        <v>0.5</v>
      </c>
    </row>
    <row r="5" spans="1:4">
      <c r="A5" s="1001" t="s">
        <v>444</v>
      </c>
      <c r="B5" s="1001"/>
      <c r="C5" s="1001"/>
      <c r="D5" s="112">
        <v>0.15</v>
      </c>
    </row>
    <row r="6" spans="1:4">
      <c r="A6" s="1001" t="s">
        <v>445</v>
      </c>
      <c r="B6" s="1001"/>
      <c r="C6" s="100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1003" t="s">
        <v>446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</row>
    <row r="4" spans="2:14" ht="13">
      <c r="B4" s="92" t="s">
        <v>447</v>
      </c>
      <c r="C4" s="86"/>
      <c r="D4" s="90" t="s">
        <v>448</v>
      </c>
      <c r="E4" s="95"/>
      <c r="F4" s="90" t="s">
        <v>449</v>
      </c>
      <c r="H4" s="90" t="s">
        <v>450</v>
      </c>
      <c r="I4" s="95"/>
      <c r="J4" s="90" t="s">
        <v>451</v>
      </c>
      <c r="L4" s="90" t="s">
        <v>450</v>
      </c>
      <c r="M4" s="90"/>
      <c r="N4" s="90" t="s">
        <v>452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453</v>
      </c>
      <c r="H7" s="99"/>
      <c r="I7" s="95"/>
      <c r="J7" s="107" t="s">
        <v>453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267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3">
      <c r="B10" s="108" t="s">
        <v>267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454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453</v>
      </c>
      <c r="H15" s="99"/>
      <c r="I15" s="95"/>
      <c r="J15" s="107" t="s">
        <v>453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457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457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453</v>
      </c>
      <c r="H21" s="99"/>
      <c r="I21" s="95"/>
      <c r="J21" s="107" t="s">
        <v>453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458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458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453</v>
      </c>
      <c r="H27" s="99"/>
      <c r="I27" s="95"/>
      <c r="J27" s="107" t="s">
        <v>453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459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453</v>
      </c>
      <c r="H34" s="99"/>
      <c r="I34" s="95"/>
      <c r="J34" s="107" t="s">
        <v>453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460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324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1003" t="s">
        <v>467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</row>
    <row r="4" spans="2:15" ht="13">
      <c r="B4" s="92" t="s">
        <v>447</v>
      </c>
      <c r="C4" s="86"/>
      <c r="D4" s="90" t="s">
        <v>448</v>
      </c>
      <c r="E4" s="95"/>
      <c r="F4" s="95"/>
      <c r="G4" s="90" t="s">
        <v>468</v>
      </c>
      <c r="H4" s="96"/>
      <c r="J4" s="90" t="s">
        <v>450</v>
      </c>
      <c r="L4" s="90" t="s">
        <v>469</v>
      </c>
      <c r="M4" s="96"/>
      <c r="O4" s="90" t="s">
        <v>450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258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3">
      <c r="B7" s="86" t="s">
        <v>259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3">
      <c r="B8" s="86" t="s">
        <v>262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3">
      <c r="B9" s="86" t="s">
        <v>264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266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470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260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272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465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447</v>
      </c>
      <c r="C18" s="86"/>
      <c r="D18" s="90" t="s">
        <v>448</v>
      </c>
      <c r="E18" s="95"/>
      <c r="F18" s="95"/>
      <c r="G18" s="90" t="s">
        <v>471</v>
      </c>
      <c r="H18" s="96"/>
      <c r="J18" s="90" t="s">
        <v>450</v>
      </c>
      <c r="L18" s="90" t="s">
        <v>472</v>
      </c>
      <c r="M18" s="96"/>
      <c r="O18" s="90" t="s">
        <v>450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473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3">
      <c r="B21" s="86" t="s">
        <v>474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3">
      <c r="B22" s="86" t="s">
        <v>475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3">
      <c r="B23" s="86" t="s">
        <v>476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260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477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266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478</v>
      </c>
      <c r="C32" s="103"/>
      <c r="D32" s="103"/>
    </row>
    <row r="33" spans="2:4" ht="13" thickTop="1"/>
    <row r="34" spans="2:4">
      <c r="B34" s="88" t="s">
        <v>448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3">
      <c r="B41" s="105"/>
      <c r="C41" s="105"/>
      <c r="D41" s="106"/>
    </row>
    <row r="42" spans="2:4">
      <c r="B42" s="86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1005" t="str">
        <f>D15</f>
        <v>SA Metal - 14 Christiaan_A</v>
      </c>
      <c r="C1" s="1005"/>
      <c r="D1" s="1005"/>
      <c r="E1" s="1004" t="s">
        <v>480</v>
      </c>
      <c r="F1" s="1004"/>
      <c r="G1" s="1004"/>
      <c r="H1" s="1004"/>
      <c r="I1" s="1004"/>
      <c r="J1" s="1004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98486D-0DA8-45F0-8760-210E5A2BC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18EE42-1DB5-4CB4-B51E-30B5B7CF60AA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2026-02-17T20:12:25Z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