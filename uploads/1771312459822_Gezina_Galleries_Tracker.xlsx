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00" documentId="13_ncr:1_{8391B786-D648-4179-AE07-250A12CAFAEE}" xr6:coauthVersionLast="47" xr6:coauthVersionMax="47" xr10:uidLastSave="{6F143F51-F656-4DB7-BD43-8FDC81CEC863}"/>
  <bookViews>
    <workbookView xWindow="6705" yWindow="-16320" windowWidth="29040" windowHeight="15720" tabRatio="789" firstSheet="1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U152" i="18"/>
  <c r="W82" i="18"/>
  <c r="H6" i="5"/>
  <c r="K45" i="2"/>
  <c r="N45" i="2"/>
  <c r="W97" i="18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34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<sst xmlns="http://schemas.openxmlformats.org/spreadsheetml/2006/main" count="906" uniqueCount="539">
  <si>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</si>
  <si>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</si>
  <si>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</si>
  <si>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</si>
  <si>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</si>
  <si>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</si>
  <si>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</si>
  <si>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</si>
  <si>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</si>
  <si>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</si>
  <si>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</si>
  <si>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</si>
  <si>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</si>
  <si>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</si>
  <si>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</si>
  <si>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</si>
  <si>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</si>
  <si>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</si>
  <si>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</si>
  <si>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</si>
  <si>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</si>
  <si>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</si>
  <si>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</si>
  <si>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</si>
  <si>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</si>
  <si>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</si>
  <si>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</si>
  <si>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</si>
  <si>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</si>
  <si>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</si>
  <si>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</si>
  <si>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</si>
  <si>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</si>
  <si>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</si>
  <si>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</si>
  <si>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</si>
  <si>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</si>
  <si>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</si>
  <si>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</si>
  <si>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</si>
  <si>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</si>
  <si>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</si>
  <si>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</si>
  <si>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</si>
  <si>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</si>
  <si>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</si>
  <si>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</si>
  <si>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</si>
  <si>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</si>
  <si>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</si>
  <si>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</si>
  <si>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</si>
  <si>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</si>
  <si>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</si>
  <si>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</si>
  <si>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</si>
  <si>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</si>
  <si>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</si>
  <si>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</si>
  <si>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</si>
  <si>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</si>
  <si>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</si>
  <si>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</si>
  <si>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</si>
  <si>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</si>
  <si>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</si>
  <si>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</si>
  <si>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</si>
  <si>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</si>
  <si>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</si>
  <si>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</si>
  <si>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</si>
  <si>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</si>
  <si>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</si>
  <si>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</si>
  <si>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</si>
  <si>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</si>
  <si>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</si>
  <si>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</si>
  <si>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</si>
  <si>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</si>
  <si>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</si>
  <si>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</si>
  <si>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</si>
  <si>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</si>
  <si>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</si>
  <si>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</si>
  <si>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</si>
  <si>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</si>
  <si>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</si>
  <si>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</si>
  <si>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</si>
  <si>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</si>
  <si>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</si>
  <si>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</si>
  <si>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</si>
  <si>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</si>
  <si>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</si>
  <si>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</si>
  <si>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</si>
  <si>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</si>
  <si>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</si>
  <si>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</si>
  <si>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</si>
  <si>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</si>
  <si>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</si>
  <si>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</si>
  <si>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</si>
  <si>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</si>
  <si>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</si>
  <si>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</si>
  <si>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</si>
  <si>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</si>
  <si>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</si>
  <si>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</si>
  <si>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</si>
  <si>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</si>
  <si>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</si>
  <si>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</si>
  <si>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</si>
  <si>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</si>
  <si>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</si>
  <si>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</si>
  <si>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</si>
  <si>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</si>
  <si>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</si>
  <si>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</si>
  <si>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</si>
  <si>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</si>
  <si>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</si>
  <si>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</si>
  <si>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</si>
  <si>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</si>
  <si>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</si>
  <si>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</si>
  <si>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</si>
  <si>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</si>
  <si>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</si>
  <si>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</si>
  <si>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</si>
  <si>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</si>
  <si>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</si>
  <si>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</si>
  <si>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</si>
  <si>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</si>
  <si>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</si>
  <si>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</si>
  <si>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</si>
  <si>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</si>
  <si>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</si>
  <si>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</si>
  <si>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</si>
  <si>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</si>
  <si>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</si>
  <si>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</si>
  <si>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</si>
  <si>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</si>
  <si>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</si>
  <si>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</si>
  <si>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</si>
  <si>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</si>
  <si>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</si>
  <si>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</si>
  <si>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</si>
  <si>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</si>
  <si>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</si>
  <si>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</si>
  <si>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</si>
  <si>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</si>
  <si>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</si>
  <si>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</si>
  <si>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</si>
  <si>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</si>
  <si>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</si>
  <si>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</si>
  <si>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</si>
  <si>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</si>
  <si>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</si>
  <si>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</si>
  <si>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</si>
  <si>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</si>
  <si>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</si>
  <si>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</si>
  <si>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</si>
  <si>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</si>
  <si>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</si>
  <si>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Waiting for anderson report</t>
  </si>
  <si>
    <t>Project Closure</t>
  </si>
  <si>
    <t>Equipment serial numbers</t>
  </si>
  <si>
    <t>Snags completion</t>
  </si>
  <si>
    <t>will happen after QA report has been received - All in one</t>
  </si>
  <si>
    <t>System Performance Monitoring</t>
  </si>
  <si>
    <t>2 inverters down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</si>
  <si>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</si>
  <si>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</si>
  <si>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</si>
  <si>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</si>
  <si>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</si>
  <si>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</si>
  <si>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</si>
  <si>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</si>
  <si>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</si>
  <si>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</si>
  <si>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</si>
  <si>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</si>
  <si>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</si>
  <si>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</si>
  <si>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</si>
  <si>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</si>
  <si>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</si>
  <si>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</si>
  <si>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</si>
  <si>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</si>
  <si>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</si>
  <si>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</si>
  <si>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</si>
  <si>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</si>
  <si>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</si>
  <si>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</si>
  <si>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</si>
  <si>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</si>
  <si>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</si>
  <si>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</si>
  <si>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</si>
  <si>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</si>
  <si>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</si>
  <si>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</si>
  <si>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</si>
  <si>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</si>
  <si>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</si>
  <si>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</si>
  <si>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</si>
  <si>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</si>
  <si>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</si>
  <si>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</si>
  <si>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</si>
  <si>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</si>
  <si>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</si>
  <si>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</si>
  <si>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</si>
  <si>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</si>
  <si>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</si>
  <si>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</si>
  <si>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</si>
  <si>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</si>
  <si>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</si>
  <si>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</si>
  <si>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</si>
  <si>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</si>
  <si>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</si>
  <si>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</si>
  <si>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</si>
  <si>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</si>
  <si>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</si>
  <si>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</si>
  <si>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</si>
  <si>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</si>
  <si>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</si>
  <si>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</si>
  <si>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</si>
  <si>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</si>
  <si>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</si>
  <si>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</si>
  <si>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</si>
  <si>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</si>
  <si>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</si>
  <si>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</si>
  <si>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</si>
  <si>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</si>
  <si>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</si>
  <si>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</si>
  <si>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</si>
  <si>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</si>
  <si>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</si>
  <si>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</si>
  <si>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</si>
  <si>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</si>
  <si>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</si>
  <si>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</si>
  <si>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</si>
  <si>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</si>
  <si>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</si>
  <si>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</si>
  <si>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</si>
  <si>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</si>
  <si>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</si>
  <si>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</si>
  <si>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</si>
  <si>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</si>
  <si>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</si>
  <si>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</si>
  <si>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</si>
  <si>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</si>
  <si>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</si>
  <si>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</si>
  <si>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</si>
  <si>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</si>
  <si>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</si>
  <si>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</si>
  <si>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</si>
  <si>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</si>
  <si>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</si>
  <si>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</si>
  <si>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</si>
  <si>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</si>
  <si>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</si>
  <si>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</si>
  <si>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</si>
  <si>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</si>
  <si>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</si>
  <si>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</si>
  <si>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</si>
  <si>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</si>
  <si>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</si>
  <si>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</si>
  <si>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</si>
  <si>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</si>
  <si>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</si>
  <si>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</si>
  <si>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</si>
  <si>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</si>
  <si>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</si>
  <si>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</si>
  <si>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</si>
  <si>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</si>
  <si>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</si>
  <si>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</si>
  <si>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</si>
  <si>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</si>
  <si>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</si>
  <si>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</si>
  <si>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</si>
  <si>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</si>
  <si>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</si>
  <si>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</si>
  <si>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</si>
  <si>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</si>
  <si>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</si>
  <si>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</si>
  <si>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</si>
  <si>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</si>
  <si>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</si>
  <si>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</si>
  <si>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</si>
  <si>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</si>
  <si>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</si>
  <si>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</si>
  <si>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</si>
  <si>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</si>
  <si>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</si>
  <si>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</si>
  <si>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</si>
  <si>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</si>
  <si>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</si>
  <si>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</si>
  <si>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</si>
  <si>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</si>
  <si>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</si>
  <si>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</si>
  <si>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</si>
  <si>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</si>
  <si>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</si>
  <si>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</si>
  <si>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</si>
  <si>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</si>
  <si>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</si>
  <si>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</si>
  <si>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</si>
  <si>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</si>
  <si>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</si>
  <si>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</si>
  <si>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</si>
  <si>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</si>
  <si>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</si>
  <si>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</si>
  <si>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</si>
  <si>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</si>
  <si>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</si>
  <si>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</si>
  <si>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</si>
  <si>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</si>
  <si>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</si>
  <si>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</si>
  <si>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</si>
  <si>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</si>
  <si>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</si>
  <si>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</si>
  <si>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</si>
  <si>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</si>
  <si>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</si>
  <si>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</si>
  <si>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</si>
  <si>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</si>
  <si>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</si>
  <si>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</si>
  <si>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</si>
  <si>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</si>
  <si>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</si>
  <si>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</si>
  <si>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</si>
  <si>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</si>
  <si>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</si>
  <si>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</si>
  <si>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</si>
  <si>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</si>
  <si>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</si>
  <si>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</si>
  <si>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</si>
  <si>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</si>
  <si>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</si>
  <si>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</si>
  <si>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</si>
  <si>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</si>
  <si>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</si>
  <si>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</si>
  <si>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</si>
  <si>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</si>
  <si>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</si>
  <si>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</si>
  <si>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</si>
  <si>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</si>
  <si>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</si>
  <si>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</si>
  <si>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</si>
  <si>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</si>
  <si>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</si>
  <si>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</si>
  <si>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</si>
  <si>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</si>
  <si>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</si>
  <si>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</si>
  <si>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</si>
  <si>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</si>
  <si>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</si>
  <si>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</si>
  <si>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</si>
  <si>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</si>
  <si>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</si>
  <si>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</si>
  <si>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</si>
  <si>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</si>
  <si>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</si>
  <si>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</si>
  <si>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</si>
  <si>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</si>
  <si>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</si>
  <si>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</si>
  <si>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</si>
  <si>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</si>
  <si>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</si>
  <si>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</si>
  <si>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</si>
  <si>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</si>
  <si>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</si>
  <si>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</si>
  <si>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</si>
  <si>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</si>
  <si>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</si>
  <si>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</si>
  <si>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</si>
  <si>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</si>
  <si>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</si>
  <si>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</si>
  <si>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</si>
  <si>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</si>
  <si>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</si>
  <si>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</si>
  <si>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</si>
  <si>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</si>
  <si>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</si>
  <si>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</si>
  <si>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</si>
  <si>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</si>
  <si>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</si>
  <si>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</si>
  <si>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</si>
  <si>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</si>
  <si>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</si>
  <si>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</si>
  <si>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</si>
  <si>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</si>
  <si>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</si>
  <si>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</si>
  <si>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</si>
  <si>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</si>
  <si>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</si>
  <si>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</si>
  <si>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</si>
  <si>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</si>
  <si>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</si>
  <si>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</si>
  <si>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</si>
  <si>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</si>
  <si>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</si>
  <si>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</si>
  <si>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</si>
  <si>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</si>
  <si>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</si>
  <si>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</si>
  <si>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</si>
  <si>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</si>
  <si>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</si>
  <si>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</si>
  <si>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</si>
  <si>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</si>
  <si>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</si>
  <si>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</si>
  <si>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</si>
  <si>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</si>
  <si>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</si>
  <si>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</si>
  <si>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</si>
  <si>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</si>
  <si>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</si>
  <si>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</si>
  <si>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</si>
  <si>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</si>
  <si>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</si>
  <si>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</si>
  <si>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</si>
  <si>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</si>
  <si>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</si>
  <si>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</si>
  <si>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</si>
  <si>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</si>
  <si>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</si>
  <si>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</si>
  <si>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</si>
  <si>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</si>
  <si>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</si>
  <si>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</si>
  <si>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</si>
  <si>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</si>
  <si>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</si>
  <si>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</si>
  <si>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</si>
  <si>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</si>
  <si>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</si>
  <si>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Still have a inverter down
QC snags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</si>
</sst>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526609.59649783745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6812864.8950000005</c:v>
                </c:pt>
                <c:pt idx="58">
                  <c:v>6813364.8950000005</c:v>
                </c:pt>
                <c:pt idx="59">
                  <c:v>6889290.8200000003</c:v>
                </c:pt>
                <c:pt idx="60">
                  <c:v>6889290.8200000003</c:v>
                </c:pt>
                <c:pt idx="61">
                  <c:v>6889290.8200000003</c:v>
                </c:pt>
                <c:pt idx="62">
                  <c:v>7085651.4276250005</c:v>
                </c:pt>
                <c:pt idx="63">
                  <c:v>7085651.4276250005</c:v>
                </c:pt>
                <c:pt idx="64">
                  <c:v>7085651.4276250005</c:v>
                </c:pt>
                <c:pt idx="65">
                  <c:v>7085651.4276250005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1879983.7150000008</c:v>
                </c:pt>
                <c:pt idx="58">
                  <c:v>1879483.7150000008</c:v>
                </c:pt>
                <c:pt idx="59">
                  <c:v>1803557.790000001</c:v>
                </c:pt>
                <c:pt idx="60">
                  <c:v>1803557.790000001</c:v>
                </c:pt>
                <c:pt idx="61">
                  <c:v>1803557.790000001</c:v>
                </c:pt>
                <c:pt idx="62">
                  <c:v>1607197.1823750008</c:v>
                </c:pt>
                <c:pt idx="63">
                  <c:v>1607197.1823750008</c:v>
                </c:pt>
                <c:pt idx="64">
                  <c:v>1607197.1823750008</c:v>
                </c:pt>
                <c:pt idx="65">
                  <c:v>1607197.1823750008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8692848.595737746</c:v>
                </c:pt>
                <c:pt idx="58">
                  <c:v>8692848.595737746</c:v>
                </c:pt>
                <c:pt idx="59">
                  <c:v>8692848.595737746</c:v>
                </c:pt>
                <c:pt idx="60">
                  <c:v>8692848.595737746</c:v>
                </c:pt>
                <c:pt idx="61">
                  <c:v>8692848.595737746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9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1328125" style="24" bestFit="1" customWidth="1"/>
    <col min="8" max="8" width="20.265625" style="24" bestFit="1" customWidth="1"/>
    <col min="9" max="9" width="3.13281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3.9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.1328125" bestFit="1" customWidth="1"/>
    <col min="5" max="5" width="10.1328125" customWidth="1"/>
    <col min="6" max="6" width="33.73046875" customWidth="1"/>
  </cols>
  <sheetData>
    <row r="1" spans="2:10" ht="14.65" thickBot="1"/>
    <row r="2" spans="2:10" ht="15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20" t="s">
        <v>69</v>
      </c>
      <c r="C16" s="721"/>
      <c r="D16" s="721"/>
      <c r="E16" s="721"/>
      <c r="F16" s="72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3046875" defaultRowHeight="14.25"/>
  <cols>
    <col min="1" max="1" width="5.1328125" style="93" customWidth="1"/>
    <col min="2" max="2" width="5.1328125" style="130" customWidth="1"/>
    <col min="3" max="4" width="23.265625" style="129" customWidth="1"/>
    <col min="5" max="5" width="6.73046875" style="129" customWidth="1"/>
    <col min="6" max="6" width="16.265625" style="129" customWidth="1"/>
    <col min="7" max="7" width="11.265625" style="129" bestFit="1" customWidth="1"/>
    <col min="8" max="8" width="15" style="129" bestFit="1" customWidth="1"/>
    <col min="9" max="9" width="1.73046875" style="129" customWidth="1"/>
    <col min="10" max="10" width="3.73046875" style="93" customWidth="1"/>
    <col min="11" max="11" width="1.73046875" style="175" customWidth="1"/>
    <col min="12" max="12" width="29.265625" style="93" customWidth="1"/>
    <col min="13" max="13" width="1.73046875" style="129" customWidth="1"/>
    <col min="14" max="14" width="29.265625" style="129" customWidth="1"/>
    <col min="15" max="15" width="1.265625" style="93" customWidth="1"/>
    <col min="16" max="16" width="25.1328125" style="129" bestFit="1" customWidth="1"/>
    <col min="17" max="17" width="20.73046875" style="129" bestFit="1" customWidth="1"/>
    <col min="18" max="18" width="24.265625" style="129" customWidth="1"/>
    <col min="19" max="19" width="21.1328125" style="93" bestFit="1" customWidth="1"/>
    <col min="20" max="20" width="25.1328125" style="129" bestFit="1" customWidth="1"/>
    <col min="21" max="21" width="20.73046875" style="93" bestFit="1" customWidth="1"/>
    <col min="22" max="23" width="8.265625" style="93"/>
    <col min="24" max="24" width="5.1328125" style="93" bestFit="1" customWidth="1"/>
    <col min="25" max="25" width="14.265625" style="93" bestFit="1" customWidth="1"/>
    <col min="26" max="26" width="8.265625" style="93"/>
    <col min="27" max="27" width="14.265625" style="93" bestFit="1" customWidth="1"/>
    <col min="28" max="28" width="8.73046875" style="129"/>
    <col min="29" max="29" width="12.1328125" style="129" bestFit="1" customWidth="1"/>
    <col min="30" max="16384" width="8.730468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962918.10696038778</v>
      </c>
      <c r="S4" s="688">
        <f>SUMIFS('Expenditure Breakdown'!$Q:$Q,
        'Expenditure Breakdown'!$T:$T, "&gt;"&amp;DATE(2025,8,31),
        'Expenditure Breakdown'!$T:$T, "&lt;="&amp;DATE(2026,8,31))</f>
        <v>1223352.7776250001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625182.47420740547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1106192.1700000002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25" t="s">
        <v>102</v>
      </c>
      <c r="D13" s="726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25" t="s">
        <v>104</v>
      </c>
      <c r="D14" s="726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2.75">
      <c r="B15" s="352">
        <v>3</v>
      </c>
      <c r="C15" s="725" t="s">
        <v>105</v>
      </c>
      <c r="D15" s="726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2.75">
      <c r="B16" s="352">
        <v>4</v>
      </c>
      <c r="C16" s="723" t="s">
        <v>106</v>
      </c>
      <c r="D16" s="724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2.75">
      <c r="B17" s="352">
        <v>5</v>
      </c>
      <c r="C17" s="723" t="s">
        <v>107</v>
      </c>
      <c r="D17" s="724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2.75">
      <c r="B18" s="352">
        <v>6</v>
      </c>
      <c r="C18" s="723" t="s">
        <v>54</v>
      </c>
      <c r="D18" s="724"/>
      <c r="E18" s="135">
        <v>0.05</v>
      </c>
      <c r="F18" s="136">
        <f t="shared" si="0"/>
        <v>434642.43050000002</v>
      </c>
      <c r="G18" s="355"/>
      <c r="H18" s="138">
        <f>'Project Plan'!K52+7</f>
        <v>46085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2.75">
      <c r="B19" s="352">
        <v>7</v>
      </c>
      <c r="C19" s="725" t="s">
        <v>108</v>
      </c>
      <c r="D19" s="726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2.75">
      <c r="C24" s="147" t="s">
        <v>111</v>
      </c>
      <c r="D24" s="148"/>
      <c r="F24" s="149"/>
    </row>
    <row r="25" spans="2:19" s="93" customFormat="1" ht="12.75">
      <c r="C25" s="147" t="s">
        <v>112</v>
      </c>
      <c r="D25" s="148"/>
    </row>
    <row r="26" spans="2:19" s="93" customFormat="1" ht="12.75">
      <c r="C26" s="150" t="s">
        <v>113</v>
      </c>
      <c r="D26" s="151"/>
    </row>
    <row r="27" spans="2:19" s="93" customFormat="1" ht="12.75">
      <c r="C27" s="152" t="s">
        <v>114</v>
      </c>
      <c r="D27" s="148"/>
    </row>
    <row r="28" spans="2:19" s="93" customFormat="1" ht="12.75">
      <c r="B28" s="117"/>
      <c r="C28" s="152" t="s">
        <v>115</v>
      </c>
      <c r="D28" s="148"/>
    </row>
    <row r="29" spans="2:19" s="93" customFormat="1" ht="12.7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B1" zoomScaleNormal="100" workbookViewId="0">
      <selection activeCell="P2" sqref="P2"/>
    </sheetView>
  </sheetViews>
  <sheetFormatPr defaultColWidth="8.73046875" defaultRowHeight="13.5"/>
  <cols>
    <col min="1" max="1" width="1.265625" style="112" customWidth="1"/>
    <col min="2" max="2" width="6.265625" style="171" bestFit="1" customWidth="1"/>
    <col min="3" max="3" width="50.73046875" style="24" bestFit="1" customWidth="1"/>
    <col min="4" max="4" width="3.1328125" style="112" customWidth="1"/>
    <col min="5" max="5" width="14.73046875" style="24" customWidth="1"/>
    <col min="6" max="6" width="10.1328125" style="168" customWidth="1"/>
    <col min="7" max="7" width="13.73046875" style="64" customWidth="1"/>
    <col min="8" max="8" width="5" style="112" customWidth="1"/>
    <col min="9" max="9" width="13.265625" style="112" customWidth="1"/>
    <col min="10" max="10" width="11.265625" style="113" customWidth="1"/>
    <col min="11" max="11" width="14.73046875" style="112" customWidth="1"/>
    <col min="12" max="12" width="2.265625" style="112" customWidth="1"/>
    <col min="13" max="13" width="12.1328125" style="112" customWidth="1"/>
    <col min="14" max="14" width="11.1328125" style="112" bestFit="1" customWidth="1"/>
    <col min="15" max="15" width="39.265625" style="112" bestFit="1" customWidth="1"/>
    <col min="16" max="16" width="1.265625" style="112" customWidth="1"/>
    <col min="17" max="17" width="5.1328125" style="3" customWidth="1"/>
    <col min="18" max="25" width="8.265625" style="112"/>
    <col min="26" max="16384" width="8.730468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46069</v>
      </c>
      <c r="O1" s="404">
        <f ca="1">TODAY()</f>
        <v>46069</v>
      </c>
      <c r="Q1" s="3"/>
    </row>
    <row r="2" spans="2:28" ht="14.25" customHeight="1">
      <c r="B2" s="176"/>
      <c r="C2" s="177" t="s">
        <v>0</v>
      </c>
      <c r="D2" s="178"/>
      <c r="E2" s="730" t="s">
        <v>121</v>
      </c>
      <c r="F2" s="731"/>
      <c r="G2" s="731"/>
      <c r="H2" s="732"/>
      <c r="M2" s="818" t="s">
        <v>538</v>
      </c>
      <c r="N2" s="819"/>
      <c r="O2" s="819"/>
    </row>
    <row r="3" spans="2:28" s="112" customFormat="1" ht="13.9">
      <c r="B3" s="179"/>
      <c r="C3" s="180" t="s">
        <v>122</v>
      </c>
      <c r="D3" s="178"/>
      <c r="E3" s="411">
        <v>954</v>
      </c>
      <c r="F3" s="181"/>
      <c r="G3" s="182"/>
      <c r="H3" s="183"/>
      <c r="J3" s="113"/>
      <c r="M3" s="819"/>
      <c r="N3" s="819"/>
      <c r="O3" s="819"/>
      <c r="Q3" s="3"/>
    </row>
    <row r="4" spans="2:28" s="112" customFormat="1" ht="13.9">
      <c r="B4" s="179"/>
      <c r="C4" s="180" t="s">
        <v>123</v>
      </c>
      <c r="D4" s="178"/>
      <c r="E4" s="733" t="s">
        <v>124</v>
      </c>
      <c r="F4" s="734"/>
      <c r="G4" s="734"/>
      <c r="H4" s="735"/>
      <c r="J4" s="113"/>
      <c r="M4" s="819"/>
      <c r="N4" s="819"/>
      <c r="O4" s="819"/>
      <c r="Q4" s="3"/>
    </row>
    <row r="5" spans="2:28" s="112" customFormat="1" ht="13.9">
      <c r="B5" s="179"/>
      <c r="C5" s="180" t="s">
        <v>125</v>
      </c>
      <c r="D5" s="178"/>
      <c r="E5" s="733" t="s">
        <v>126</v>
      </c>
      <c r="F5" s="734"/>
      <c r="G5" s="734"/>
      <c r="H5" s="735"/>
      <c r="J5" s="113"/>
      <c r="Q5" s="3"/>
    </row>
    <row r="6" spans="2:28" ht="13.9">
      <c r="B6" s="184"/>
      <c r="C6" s="185" t="s">
        <v>127</v>
      </c>
      <c r="D6" s="178"/>
      <c r="E6" s="736">
        <v>8692848.6099999994</v>
      </c>
      <c r="F6" s="737"/>
      <c r="G6" s="737"/>
      <c r="H6" s="738"/>
    </row>
    <row r="7" spans="2:28" s="112" customFormat="1" ht="13.9">
      <c r="B7" s="167"/>
      <c r="C7" s="700" t="s">
        <v>128</v>
      </c>
      <c r="D7" s="701"/>
      <c r="E7" s="699" t="s">
        <v>129</v>
      </c>
      <c r="F7" s="168"/>
      <c r="G7" s="186"/>
      <c r="J7" s="113"/>
      <c r="Q7" s="3"/>
    </row>
    <row r="8" spans="2:28" ht="30" customHeight="1">
      <c r="B8" s="727" t="s">
        <v>93</v>
      </c>
      <c r="C8" s="728" t="s">
        <v>130</v>
      </c>
      <c r="D8" s="215"/>
      <c r="E8" s="729" t="s">
        <v>131</v>
      </c>
      <c r="F8" s="237" t="s">
        <v>132</v>
      </c>
      <c r="G8" s="729" t="s">
        <v>133</v>
      </c>
      <c r="H8" s="238"/>
      <c r="I8" s="729" t="s">
        <v>134</v>
      </c>
      <c r="J8" s="237" t="s">
        <v>132</v>
      </c>
      <c r="K8" s="729" t="s">
        <v>135</v>
      </c>
      <c r="M8" s="410" t="s">
        <v>60</v>
      </c>
      <c r="N8" s="682" t="s">
        <v>136</v>
      </c>
      <c r="O8" s="739" t="s">
        <v>137</v>
      </c>
      <c r="Z8" s="112"/>
      <c r="AA8" s="112"/>
      <c r="AB8" s="112"/>
    </row>
    <row r="9" spans="2:28" ht="13.9">
      <c r="B9" s="727"/>
      <c r="C9" s="728"/>
      <c r="D9" s="215"/>
      <c r="E9" s="729"/>
      <c r="F9" s="126">
        <f>G41-E19</f>
        <v>102</v>
      </c>
      <c r="G9" s="729"/>
      <c r="H9" s="238"/>
      <c r="I9" s="729"/>
      <c r="J9" s="127">
        <f>K41-I19</f>
        <v>74</v>
      </c>
      <c r="K9" s="729"/>
      <c r="M9" s="362">
        <f>AVERAGE(M11,M18,M21,M28,M35,M39,M47,M43)</f>
        <v>0.96063829787234045</v>
      </c>
      <c r="N9" s="362">
        <f ca="1">AVERAGE(N11,N18,N21,N28,N35,N39,N47,N43)</f>
        <v>0.95716063163768761</v>
      </c>
      <c r="O9" s="740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 ht="13.9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149</v>
      </c>
      <c r="C19" s="249" t="s">
        <v>150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 ht="13.9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 ht="13.9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 ht="13.9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 ht="13.9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 t="s">
        <v>186</v>
      </c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 ht="13.9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44</v>
      </c>
      <c r="K47" s="246">
        <f>MAX(K48:K53)</f>
        <v>46078</v>
      </c>
      <c r="L47" s="114"/>
      <c r="M47" s="361">
        <f>(J48*M48+J49*M49+J50*M50+J51*M51+J52*M52+J53*M53)/SUM(J48:J53)</f>
        <v>0.6851063829787235</v>
      </c>
      <c r="N47" s="361">
        <f ca="1">(K48*N48+K49*N49+K50*N50+K51*N51+K52*N52+K53*N53)/SUM(K48:K53)</f>
        <v>0.65728505310150076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0.9</v>
      </c>
      <c r="N49" s="254">
        <f t="shared" ca="1" si="6"/>
        <v>0.94444444444444442</v>
      </c>
      <c r="O49" s="122" t="s">
        <v>190</v>
      </c>
      <c r="Y49" s="24"/>
    </row>
    <row r="50" spans="2:28" ht="13.9">
      <c r="B50" s="248">
        <v>8.3000000000000007</v>
      </c>
      <c r="C50" s="243" t="s">
        <v>191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0.8</v>
      </c>
      <c r="N50" s="254">
        <f t="shared" ca="1" si="6"/>
        <v>1</v>
      </c>
      <c r="O50" s="122" t="s">
        <v>192</v>
      </c>
      <c r="Y50" s="24"/>
    </row>
    <row r="51" spans="2:28" ht="13.9">
      <c r="B51" s="248">
        <v>8.4</v>
      </c>
      <c r="C51" s="243" t="s">
        <v>193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0.7</v>
      </c>
      <c r="N51" s="254">
        <f t="shared" ca="1" si="6"/>
        <v>1</v>
      </c>
      <c r="O51" s="122"/>
      <c r="Y51" s="24"/>
    </row>
    <row r="52" spans="2:28" ht="13.9">
      <c r="B52" s="248">
        <v>8.5</v>
      </c>
      <c r="C52" s="243" t="s">
        <v>194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46077</v>
      </c>
      <c r="J52" s="251">
        <v>1</v>
      </c>
      <c r="K52" s="253">
        <f>WORKDAY.INTL(I52,J52,1,Data!$C$3:$C$14)</f>
        <v>46078</v>
      </c>
      <c r="M52" s="254">
        <v>0</v>
      </c>
      <c r="N52" s="254">
        <f t="shared" ca="1" si="6"/>
        <v>0</v>
      </c>
      <c r="O52" s="122" t="s">
        <v>195</v>
      </c>
      <c r="Y52" s="24"/>
    </row>
    <row r="53" spans="2:28" ht="13.9">
      <c r="B53" s="248">
        <v>8.6</v>
      </c>
      <c r="C53" s="243" t="s">
        <v>196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46071</v>
      </c>
      <c r="J53" s="251">
        <v>5</v>
      </c>
      <c r="K53" s="253">
        <f>WORKDAY.INTL(I53,J53,1,Data!$C$3:$C$14)</f>
        <v>46078</v>
      </c>
      <c r="M53" s="254">
        <v>0</v>
      </c>
      <c r="N53" s="254">
        <f t="shared" ca="1" si="6"/>
        <v>0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M2:O4"/>
    <mergeCell ref="B8:B9"/>
    <mergeCell ref="C8:C9"/>
    <mergeCell ref="E8:E9"/>
    <mergeCell ref="G8:G9"/>
    <mergeCell ref="I8:I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13281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197</v>
      </c>
      <c r="F2" s="83" t="s">
        <v>198</v>
      </c>
    </row>
    <row r="3" spans="3:8">
      <c r="C3" s="79">
        <v>45658</v>
      </c>
      <c r="D3" s="73" t="s">
        <v>199</v>
      </c>
      <c r="F3" s="81" t="s">
        <v>200</v>
      </c>
    </row>
    <row r="4" spans="3:8">
      <c r="C4" s="79">
        <v>45737</v>
      </c>
      <c r="D4" s="73" t="s">
        <v>201</v>
      </c>
      <c r="F4" s="81" t="s">
        <v>202</v>
      </c>
    </row>
    <row r="5" spans="3:8">
      <c r="C5" s="79">
        <v>45765</v>
      </c>
      <c r="D5" s="73" t="s">
        <v>203</v>
      </c>
      <c r="F5" s="81" t="s">
        <v>204</v>
      </c>
    </row>
    <row r="6" spans="3:8" ht="13.15" thickBot="1">
      <c r="C6" s="79">
        <v>45768</v>
      </c>
      <c r="D6" s="73" t="s">
        <v>205</v>
      </c>
      <c r="F6" s="82" t="s">
        <v>206</v>
      </c>
    </row>
    <row r="7" spans="3:8">
      <c r="C7" s="79">
        <v>45774</v>
      </c>
      <c r="D7" s="73" t="s">
        <v>207</v>
      </c>
    </row>
    <row r="8" spans="3:8">
      <c r="C8" s="79">
        <v>45765</v>
      </c>
      <c r="D8" s="73" t="s">
        <v>208</v>
      </c>
    </row>
    <row r="9" spans="3:8">
      <c r="C9" s="79">
        <v>45778</v>
      </c>
      <c r="D9" s="73" t="s">
        <v>209</v>
      </c>
    </row>
    <row r="10" spans="3:8">
      <c r="C10" s="79">
        <v>45824</v>
      </c>
      <c r="D10" s="73" t="s">
        <v>210</v>
      </c>
    </row>
    <row r="11" spans="3:8">
      <c r="C11" s="79">
        <v>45878</v>
      </c>
      <c r="D11" s="73" t="s">
        <v>211</v>
      </c>
    </row>
    <row r="12" spans="3:8">
      <c r="C12" s="79">
        <v>45924</v>
      </c>
      <c r="D12" s="73" t="s">
        <v>212</v>
      </c>
    </row>
    <row r="13" spans="3:8">
      <c r="C13" s="79">
        <v>46007</v>
      </c>
      <c r="D13" s="73" t="s">
        <v>213</v>
      </c>
      <c r="F13" s="85"/>
      <c r="H13" s="73" t="s">
        <v>214</v>
      </c>
    </row>
    <row r="14" spans="3:8">
      <c r="C14" s="79">
        <v>46016</v>
      </c>
      <c r="D14" s="73" t="s">
        <v>215</v>
      </c>
    </row>
    <row r="15" spans="3:8" ht="13.15" thickBot="1">
      <c r="C15" s="80">
        <v>46017</v>
      </c>
      <c r="D15" s="73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1328125" style="24" customWidth="1"/>
    <col min="5" max="5" width="1.265625" style="24" customWidth="1"/>
    <col min="6" max="6" width="19.73046875" style="24" customWidth="1"/>
    <col min="7" max="7" width="1.265625" style="24" customWidth="1"/>
    <col min="8" max="8" width="18.265625" style="24" customWidth="1"/>
    <col min="9" max="9" width="3.73046875" style="24" customWidth="1"/>
    <col min="10" max="10" width="21.7304687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1"/>
      <c r="C4" s="741"/>
      <c r="D4" s="741"/>
      <c r="E4" s="412"/>
      <c r="F4" s="220" t="s">
        <v>74</v>
      </c>
      <c r="G4" s="215"/>
      <c r="H4" s="220" t="s">
        <v>75</v>
      </c>
      <c r="I4" s="215"/>
      <c r="J4" s="221" t="s">
        <v>218</v>
      </c>
      <c r="K4" s="112"/>
      <c r="L4" s="112"/>
    </row>
    <row r="5" spans="1:12" ht="14.25" thickBot="1">
      <c r="A5" s="215"/>
      <c r="B5" s="742" t="s">
        <v>219</v>
      </c>
      <c r="C5" s="742"/>
      <c r="D5" s="742"/>
      <c r="E5" s="412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93</v>
      </c>
      <c r="C7" s="226"/>
      <c r="D7" s="225" t="s">
        <v>220</v>
      </c>
      <c r="E7" s="226"/>
      <c r="F7" s="227" t="s">
        <v>221</v>
      </c>
      <c r="G7" s="228"/>
      <c r="H7" s="227" t="s">
        <v>222</v>
      </c>
      <c r="I7" s="228"/>
      <c r="J7" s="227" t="s">
        <v>223</v>
      </c>
      <c r="K7" s="172"/>
      <c r="L7" s="115" t="s">
        <v>224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 ht="13.9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 ht="13.9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 ht="13.9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 ht="13.9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 ht="13.9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 ht="13.9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 ht="13.9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 ht="13.9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 ht="13.9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 ht="13.9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L1" zoomScale="70" zoomScaleNormal="70" zoomScaleSheetLayoutView="50" workbookViewId="0">
      <pane ySplit="4" topLeftCell="A150" activePane="bottomLeft" state="frozen"/>
      <selection activeCell="X33" sqref="X33"/>
      <selection pane="bottomLeft" activeCell="W151" sqref="W151"/>
    </sheetView>
  </sheetViews>
  <sheetFormatPr defaultColWidth="9.265625" defaultRowHeight="13.5"/>
  <cols>
    <col min="1" max="1" width="2.265625" style="112" hidden="1" customWidth="1"/>
    <col min="2" max="2" width="6.265625" style="24" hidden="1" customWidth="1"/>
    <col min="3" max="3" width="20.265625" style="24" hidden="1" customWidth="1"/>
    <col min="4" max="4" width="51.73046875" style="24" hidden="1" customWidth="1"/>
    <col min="5" max="5" width="8.73046875" style="70" hidden="1" customWidth="1"/>
    <col min="6" max="6" width="16.73046875" style="473" hidden="1" customWidth="1"/>
    <col min="7" max="7" width="17.265625" style="24" hidden="1" customWidth="1"/>
    <col min="8" max="8" width="16.73046875" style="112" hidden="1" customWidth="1"/>
    <col min="9" max="9" width="22.265625" style="350" hidden="1" customWidth="1"/>
    <col min="10" max="10" width="22.265625" style="350" bestFit="1" customWidth="1"/>
    <col min="11" max="12" width="5.1328125" style="112" customWidth="1"/>
    <col min="13" max="13" width="25.73046875" style="112" customWidth="1"/>
    <col min="14" max="14" width="48.265625" style="112" customWidth="1"/>
    <col min="15" max="15" width="15.73046875" style="112" customWidth="1"/>
    <col min="16" max="16" width="17.73046875" style="112" customWidth="1"/>
    <col min="17" max="17" width="17.265625" style="112" customWidth="1"/>
    <col min="18" max="18" width="48.265625" style="112" customWidth="1"/>
    <col min="19" max="19" width="39.73046875" style="112" customWidth="1"/>
    <col min="20" max="22" width="17.265625" style="112" customWidth="1"/>
    <col min="23" max="23" width="16.73046875" style="112" bestFit="1" customWidth="1"/>
    <col min="24" max="24" width="21.1328125" style="112" customWidth="1"/>
    <col min="25" max="25" width="29.265625" style="112" bestFit="1" customWidth="1"/>
    <col min="26" max="26" width="24.73046875" style="112" bestFit="1" customWidth="1"/>
    <col min="27" max="76" width="17.73046875" style="112" customWidth="1"/>
    <col min="77" max="16384" width="9.26562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57" t="s">
        <v>226</v>
      </c>
      <c r="C2" s="758"/>
      <c r="D2" s="758"/>
      <c r="E2" s="758"/>
      <c r="F2" s="758"/>
      <c r="G2" s="758"/>
      <c r="H2" s="681"/>
      <c r="I2" s="258">
        <f>SUM(I6:I167)</f>
        <v>8166239.0135021619</v>
      </c>
      <c r="J2" s="258">
        <f>SUM(J6:J167)</f>
        <v>8692848.6035108119</v>
      </c>
      <c r="L2" s="759" t="s">
        <v>227</v>
      </c>
      <c r="M2" s="760"/>
      <c r="N2" s="760"/>
      <c r="O2" s="760"/>
      <c r="P2" s="760"/>
      <c r="Q2" s="760"/>
      <c r="R2" s="761" t="s">
        <v>228</v>
      </c>
      <c r="S2" s="762"/>
      <c r="T2" s="762"/>
      <c r="U2" s="762"/>
      <c r="V2" s="762"/>
      <c r="W2" s="763"/>
      <c r="X2" s="480">
        <f>SUM(X6:X167)</f>
        <v>7085651.4276250005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" thickBot="1">
      <c r="A4" s="165"/>
      <c r="B4" s="259" t="s">
        <v>229</v>
      </c>
      <c r="C4" s="260" t="s">
        <v>230</v>
      </c>
      <c r="D4" s="260" t="s">
        <v>231</v>
      </c>
      <c r="E4" s="260" t="s">
        <v>232</v>
      </c>
      <c r="F4" s="464" t="s">
        <v>233</v>
      </c>
      <c r="G4" s="261" t="s">
        <v>234</v>
      </c>
      <c r="H4" s="371" t="s">
        <v>235</v>
      </c>
      <c r="I4" s="262" t="s">
        <v>236</v>
      </c>
      <c r="J4" s="262" t="str">
        <f>IF(J2-'Revenue Tracking'!D4&gt;=0, "Total Revenue", "ERROR on REV" )</f>
        <v>ERROR on REV</v>
      </c>
      <c r="K4" s="165"/>
      <c r="L4" s="259" t="s">
        <v>229</v>
      </c>
      <c r="M4" s="260" t="s">
        <v>237</v>
      </c>
      <c r="N4" s="260" t="s">
        <v>231</v>
      </c>
      <c r="O4" s="260" t="s">
        <v>232</v>
      </c>
      <c r="P4" s="464" t="s">
        <v>233</v>
      </c>
      <c r="Q4" s="373" t="s">
        <v>238</v>
      </c>
      <c r="R4" s="623" t="s">
        <v>239</v>
      </c>
      <c r="S4" s="624" t="s">
        <v>98</v>
      </c>
      <c r="T4" s="371" t="s">
        <v>99</v>
      </c>
      <c r="U4" s="372" t="s">
        <v>240</v>
      </c>
      <c r="V4" s="373" t="s">
        <v>241</v>
      </c>
      <c r="W4" s="371" t="s">
        <v>235</v>
      </c>
      <c r="X4" s="482" t="s">
        <v>236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242</v>
      </c>
      <c r="D6" s="282" t="s">
        <v>243</v>
      </c>
      <c r="E6" s="283"/>
      <c r="F6" s="436"/>
      <c r="G6" s="391">
        <f>D168</f>
        <v>2005152.3800000001</v>
      </c>
      <c r="H6" s="536">
        <v>45867</v>
      </c>
      <c r="I6" s="749">
        <f>SUM(G6:G11)</f>
        <v>2005152.3800000001</v>
      </c>
      <c r="J6" s="749">
        <f>F168</f>
        <v>2179513.4565217393</v>
      </c>
      <c r="K6" s="388"/>
      <c r="L6" s="281">
        <v>1</v>
      </c>
      <c r="M6" s="416" t="s">
        <v>244</v>
      </c>
      <c r="N6" s="282" t="s">
        <v>245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246</v>
      </c>
      <c r="S6" s="626" t="s">
        <v>247</v>
      </c>
      <c r="T6" s="670">
        <v>45838</v>
      </c>
      <c r="U6" s="672">
        <v>2179513.4565217393</v>
      </c>
      <c r="V6" s="767">
        <f>J6-SUM(U6:U11)</f>
        <v>0</v>
      </c>
      <c r="W6" s="536">
        <v>45867</v>
      </c>
      <c r="X6" s="764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248</v>
      </c>
      <c r="E7" s="390"/>
      <c r="F7" s="458"/>
      <c r="G7" s="315"/>
      <c r="H7" s="537">
        <v>45890</v>
      </c>
      <c r="I7" s="750"/>
      <c r="J7" s="750"/>
      <c r="K7" s="288"/>
      <c r="L7" s="311">
        <v>1</v>
      </c>
      <c r="M7" s="313" t="s">
        <v>244</v>
      </c>
      <c r="N7" s="389"/>
      <c r="O7" s="552"/>
      <c r="P7" s="443"/>
      <c r="Q7" s="315">
        <f>1898818.2-Q6</f>
        <v>1406943.6608695651</v>
      </c>
      <c r="R7" s="590"/>
      <c r="S7" s="627" t="s">
        <v>247</v>
      </c>
      <c r="T7" s="662">
        <v>45838</v>
      </c>
      <c r="U7" s="667">
        <v>0</v>
      </c>
      <c r="V7" s="768"/>
      <c r="W7" s="537">
        <v>45890</v>
      </c>
      <c r="X7" s="765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50"/>
      <c r="J8" s="750"/>
      <c r="K8" s="288"/>
      <c r="L8" s="311">
        <v>1</v>
      </c>
      <c r="M8" s="313" t="s">
        <v>244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68"/>
      <c r="W8" s="574"/>
      <c r="X8" s="765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50"/>
      <c r="J9" s="750"/>
      <c r="K9" s="288"/>
      <c r="L9" s="311">
        <v>1</v>
      </c>
      <c r="M9" s="313" t="s">
        <v>244</v>
      </c>
      <c r="N9" s="487" t="s">
        <v>245</v>
      </c>
      <c r="O9" s="553"/>
      <c r="P9" s="443"/>
      <c r="Q9" s="386">
        <v>6169</v>
      </c>
      <c r="R9" s="591"/>
      <c r="S9" s="628" t="s">
        <v>249</v>
      </c>
      <c r="T9" s="647">
        <v>45991</v>
      </c>
      <c r="U9" s="673">
        <v>0</v>
      </c>
      <c r="V9" s="768"/>
      <c r="W9" s="538">
        <v>46045</v>
      </c>
      <c r="X9" s="765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50"/>
      <c r="J10" s="750"/>
      <c r="K10" s="288"/>
      <c r="L10" s="311">
        <v>1</v>
      </c>
      <c r="M10" s="313" t="s">
        <v>244</v>
      </c>
      <c r="N10" s="487" t="s">
        <v>250</v>
      </c>
      <c r="O10" s="553"/>
      <c r="P10" s="443"/>
      <c r="Q10" s="386">
        <v>800</v>
      </c>
      <c r="R10" s="591"/>
      <c r="S10" s="628" t="s">
        <v>249</v>
      </c>
      <c r="T10" s="647">
        <v>45991</v>
      </c>
      <c r="U10" s="673">
        <v>0</v>
      </c>
      <c r="V10" s="768"/>
      <c r="W10" s="538">
        <v>46045</v>
      </c>
      <c r="X10" s="765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51"/>
      <c r="J11" s="751"/>
      <c r="K11" s="289"/>
      <c r="L11" s="316">
        <v>1</v>
      </c>
      <c r="M11" s="418" t="s">
        <v>244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69"/>
      <c r="W11" s="576"/>
      <c r="X11" s="766"/>
      <c r="Y11" s="607" t="s">
        <v>251</v>
      </c>
      <c r="Z11" s="608" t="s">
        <v>252</v>
      </c>
    </row>
    <row r="12" spans="1:76" ht="14.25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253</v>
      </c>
      <c r="Z12" s="610">
        <f>G53</f>
        <v>1016362.1</v>
      </c>
    </row>
    <row r="13" spans="1:76" ht="14.25" customHeight="1">
      <c r="B13" s="293">
        <v>2</v>
      </c>
      <c r="C13" s="319" t="s">
        <v>254</v>
      </c>
      <c r="D13" s="319" t="s">
        <v>255</v>
      </c>
      <c r="E13" s="364"/>
      <c r="F13" s="456"/>
      <c r="G13" s="296">
        <f>D169</f>
        <v>560000</v>
      </c>
      <c r="H13" s="539">
        <v>45890</v>
      </c>
      <c r="I13" s="743">
        <f>SUM(G13:G19)</f>
        <v>560000</v>
      </c>
      <c r="J13" s="743">
        <f>F169</f>
        <v>608695.65217391308</v>
      </c>
      <c r="K13" s="297"/>
      <c r="L13" s="293">
        <v>2</v>
      </c>
      <c r="M13" s="419" t="s">
        <v>256</v>
      </c>
      <c r="N13" s="319" t="s">
        <v>257</v>
      </c>
      <c r="O13" s="556">
        <v>8</v>
      </c>
      <c r="P13" s="456">
        <v>68870</v>
      </c>
      <c r="Q13" s="296">
        <v>332186.77</v>
      </c>
      <c r="R13" s="594" t="s">
        <v>246</v>
      </c>
      <c r="S13" s="631" t="str">
        <f>S6</f>
        <v>Menlo Inv INV0003032</v>
      </c>
      <c r="T13" s="669">
        <v>45838</v>
      </c>
      <c r="U13" s="675">
        <v>608695.65217391308</v>
      </c>
      <c r="V13" s="770">
        <f>J13-SUM(U13:U19)</f>
        <v>0</v>
      </c>
      <c r="W13" s="539">
        <v>45890</v>
      </c>
      <c r="X13" s="746">
        <f>SUM(Q13:Q19)</f>
        <v>332186.77</v>
      </c>
      <c r="Y13" s="609" t="s">
        <v>258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44"/>
      <c r="J14" s="744"/>
      <c r="K14" s="301"/>
      <c r="L14" s="298">
        <v>2</v>
      </c>
      <c r="M14" s="425" t="s">
        <v>256</v>
      </c>
      <c r="N14" s="407"/>
      <c r="O14" s="557"/>
      <c r="P14" s="452"/>
      <c r="Q14" s="479"/>
      <c r="R14" s="595"/>
      <c r="S14" s="632"/>
      <c r="T14" s="660"/>
      <c r="U14" s="665">
        <v>0</v>
      </c>
      <c r="V14" s="771"/>
      <c r="W14" s="540"/>
      <c r="X14" s="747"/>
      <c r="Y14" s="609" t="s">
        <v>259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44"/>
      <c r="J15" s="744"/>
      <c r="K15" s="301"/>
      <c r="L15" s="298">
        <v>2</v>
      </c>
      <c r="M15" s="425" t="s">
        <v>256</v>
      </c>
      <c r="N15" s="407"/>
      <c r="O15" s="557"/>
      <c r="P15" s="452"/>
      <c r="Q15" s="479"/>
      <c r="R15" s="595"/>
      <c r="S15" s="632"/>
      <c r="T15" s="525" t="str">
        <f t="shared" si="0"/>
        <v/>
      </c>
      <c r="U15" s="665">
        <v>0</v>
      </c>
      <c r="V15" s="771"/>
      <c r="W15" s="579"/>
      <c r="X15" s="747"/>
      <c r="Y15" s="609" t="s">
        <v>260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44"/>
      <c r="J16" s="744"/>
      <c r="K16" s="301"/>
      <c r="L16" s="298">
        <v>2</v>
      </c>
      <c r="M16" s="425" t="s">
        <v>256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71"/>
      <c r="W16" s="579"/>
      <c r="X16" s="747"/>
      <c r="Y16" s="609" t="s">
        <v>261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44"/>
      <c r="J17" s="744"/>
      <c r="K17" s="301"/>
      <c r="L17" s="298">
        <v>2</v>
      </c>
      <c r="M17" s="425" t="s">
        <v>256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71"/>
      <c r="W17" s="579"/>
      <c r="X17" s="747"/>
      <c r="Y17" s="609" t="s">
        <v>262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44"/>
      <c r="J18" s="744"/>
      <c r="K18" s="301"/>
      <c r="L18" s="298">
        <v>2</v>
      </c>
      <c r="M18" s="425" t="s">
        <v>256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71"/>
      <c r="W18" s="579"/>
      <c r="X18" s="747"/>
      <c r="Y18" s="609" t="s">
        <v>263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45"/>
      <c r="J19" s="745"/>
      <c r="K19" s="306"/>
      <c r="L19" s="395">
        <v>2</v>
      </c>
      <c r="M19" s="420" t="s">
        <v>256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72"/>
      <c r="W19" s="580"/>
      <c r="X19" s="748"/>
      <c r="Y19" s="609" t="s">
        <v>264</v>
      </c>
      <c r="Z19" s="610">
        <v>0</v>
      </c>
    </row>
    <row r="20" spans="1:27" ht="14.25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6"/>
      <c r="G21" s="284">
        <f>D170</f>
        <v>429471</v>
      </c>
      <c r="H21" s="541">
        <v>45867</v>
      </c>
      <c r="I21" s="749">
        <f>SUM(G21:G26)</f>
        <v>429471</v>
      </c>
      <c r="J21" s="749">
        <f>F170</f>
        <v>466816.30434782611</v>
      </c>
      <c r="K21" s="285"/>
      <c r="L21" s="281">
        <v>3</v>
      </c>
      <c r="M21" s="421" t="s">
        <v>267</v>
      </c>
      <c r="N21" s="327" t="s">
        <v>268</v>
      </c>
      <c r="O21" s="551"/>
      <c r="P21" s="436"/>
      <c r="Q21" s="284">
        <v>245639.2</v>
      </c>
      <c r="R21" s="597" t="s">
        <v>269</v>
      </c>
      <c r="S21" s="634" t="s">
        <v>270</v>
      </c>
      <c r="T21" s="664">
        <v>45838</v>
      </c>
      <c r="U21" s="666">
        <v>466816.30434782611</v>
      </c>
      <c r="V21" s="767">
        <f>J21-SUM(U21:U26)</f>
        <v>0</v>
      </c>
      <c r="W21" s="541">
        <v>45867</v>
      </c>
      <c r="X21" s="764">
        <f>SUM(Q21:Q26)</f>
        <v>252145.2</v>
      </c>
      <c r="Y21" s="609" t="s">
        <v>271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50"/>
      <c r="J22" s="750"/>
      <c r="K22" s="288"/>
      <c r="L22" s="311">
        <v>3</v>
      </c>
      <c r="M22" s="422" t="s">
        <v>267</v>
      </c>
      <c r="N22" s="328" t="s">
        <v>272</v>
      </c>
      <c r="O22" s="552"/>
      <c r="P22" s="458"/>
      <c r="Q22" s="315">
        <v>6506</v>
      </c>
      <c r="R22" s="590" t="s">
        <v>273</v>
      </c>
      <c r="S22" s="627" t="s">
        <v>274</v>
      </c>
      <c r="T22" s="662">
        <v>45991</v>
      </c>
      <c r="U22" s="667">
        <v>0</v>
      </c>
      <c r="V22" s="768"/>
      <c r="W22" s="653">
        <v>46021</v>
      </c>
      <c r="X22" s="765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50"/>
      <c r="J23" s="750"/>
      <c r="K23" s="288"/>
      <c r="L23" s="311">
        <v>3</v>
      </c>
      <c r="M23" s="422" t="s">
        <v>267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68"/>
      <c r="W23" s="574"/>
      <c r="X23" s="765"/>
      <c r="Y23" s="609" t="s">
        <v>275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50"/>
      <c r="J24" s="750"/>
      <c r="K24" s="288"/>
      <c r="L24" s="311">
        <v>3</v>
      </c>
      <c r="M24" s="422" t="s">
        <v>267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68"/>
      <c r="W24" s="575"/>
      <c r="X24" s="765"/>
      <c r="Y24" s="614" t="s">
        <v>276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50"/>
      <c r="J25" s="750"/>
      <c r="K25" s="288"/>
      <c r="L25" s="311">
        <v>3</v>
      </c>
      <c r="M25" s="422" t="s">
        <v>267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68"/>
      <c r="W25" s="575"/>
      <c r="X25" s="765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51"/>
      <c r="J26" s="751"/>
      <c r="K26" s="289"/>
      <c r="L26" s="316">
        <v>3</v>
      </c>
      <c r="M26" s="423" t="s">
        <v>267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69"/>
      <c r="W26" s="576"/>
      <c r="X26" s="766"/>
      <c r="Y26" s="615" t="s">
        <v>277</v>
      </c>
      <c r="Z26" s="616" t="s">
        <v>278</v>
      </c>
    </row>
    <row r="27" spans="1:27" ht="14.25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258</v>
      </c>
      <c r="D28" s="294" t="s">
        <v>279</v>
      </c>
      <c r="E28" s="364">
        <f>G28/14*1.15</f>
        <v>25489.749999999996</v>
      </c>
      <c r="F28" s="456"/>
      <c r="G28" s="296">
        <v>310310</v>
      </c>
      <c r="H28" s="539">
        <v>45891</v>
      </c>
      <c r="I28" s="743">
        <f>SUM(G28:G42)</f>
        <v>748943.9</v>
      </c>
      <c r="J28" s="743">
        <f>F171</f>
        <v>814069.45652173914</v>
      </c>
      <c r="K28" s="297"/>
      <c r="L28" s="293">
        <v>4</v>
      </c>
      <c r="M28" s="424" t="s">
        <v>280</v>
      </c>
      <c r="N28" s="294" t="s">
        <v>281</v>
      </c>
      <c r="O28" s="548">
        <v>25000</v>
      </c>
      <c r="P28" s="456">
        <v>13.4</v>
      </c>
      <c r="Q28" s="296">
        <f>O28*P28</f>
        <v>335000</v>
      </c>
      <c r="R28" s="752" t="s">
        <v>282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70">
        <f>J28-SUM(U28:U42)</f>
        <v>3.0159964226186275E-3</v>
      </c>
      <c r="W28" s="539">
        <v>45891</v>
      </c>
      <c r="X28" s="746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283</v>
      </c>
      <c r="E29" s="394"/>
      <c r="F29" s="452"/>
      <c r="G29" s="643">
        <f>D171-G28</f>
        <v>438633.9</v>
      </c>
      <c r="H29" s="540">
        <v>45891</v>
      </c>
      <c r="I29" s="744"/>
      <c r="J29" s="744"/>
      <c r="K29" s="301"/>
      <c r="L29" s="298">
        <v>4</v>
      </c>
      <c r="M29" s="425" t="s">
        <v>280</v>
      </c>
      <c r="N29" s="407" t="s">
        <v>281</v>
      </c>
      <c r="O29" s="549">
        <v>1000</v>
      </c>
      <c r="P29" s="452">
        <v>13.4</v>
      </c>
      <c r="Q29" s="300">
        <f>O29*P29</f>
        <v>13400</v>
      </c>
      <c r="R29" s="753"/>
      <c r="S29" s="632" t="str">
        <f>S28</f>
        <v>Menlo Inv INV0003032</v>
      </c>
      <c r="T29" s="660">
        <f>T28</f>
        <v>45838</v>
      </c>
      <c r="U29" s="665">
        <v>17021.347765809172</v>
      </c>
      <c r="V29" s="771"/>
      <c r="W29" s="540">
        <v>45891</v>
      </c>
      <c r="X29" s="747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44"/>
      <c r="J30" s="744"/>
      <c r="K30" s="301"/>
      <c r="L30" s="298">
        <v>4</v>
      </c>
      <c r="M30" s="425" t="s">
        <v>280</v>
      </c>
      <c r="N30" s="407" t="s">
        <v>284</v>
      </c>
      <c r="O30" s="549">
        <v>6000</v>
      </c>
      <c r="P30" s="452"/>
      <c r="Q30" s="300">
        <v>89700</v>
      </c>
      <c r="R30" s="595" t="s">
        <v>285</v>
      </c>
      <c r="S30" s="632" t="s">
        <v>286</v>
      </c>
      <c r="T30" s="660">
        <v>46022</v>
      </c>
      <c r="U30" s="665">
        <v>0</v>
      </c>
      <c r="V30" s="771"/>
      <c r="W30" s="540">
        <f>T30+30</f>
        <v>46052</v>
      </c>
      <c r="X30" s="747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44"/>
      <c r="J31" s="744"/>
      <c r="K31" s="301"/>
      <c r="L31" s="298">
        <v>4</v>
      </c>
      <c r="M31" s="425" t="s">
        <v>280</v>
      </c>
      <c r="N31" s="407" t="s">
        <v>287</v>
      </c>
      <c r="O31" s="557">
        <v>4000</v>
      </c>
      <c r="P31" s="452"/>
      <c r="Q31" s="300">
        <v>57500</v>
      </c>
      <c r="R31" s="595"/>
      <c r="S31" s="632" t="s">
        <v>288</v>
      </c>
      <c r="T31" s="660">
        <v>46022</v>
      </c>
      <c r="U31" s="665">
        <v>0</v>
      </c>
      <c r="V31" s="771"/>
      <c r="W31" s="540">
        <f>T31+30</f>
        <v>46052</v>
      </c>
      <c r="X31" s="747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44"/>
      <c r="J32" s="744"/>
      <c r="K32" s="301"/>
      <c r="L32" s="298">
        <v>4</v>
      </c>
      <c r="M32" s="425" t="s">
        <v>280</v>
      </c>
      <c r="N32" s="407" t="s">
        <v>289</v>
      </c>
      <c r="O32" s="568">
        <v>292473.5</v>
      </c>
      <c r="P32" s="569">
        <v>0.1</v>
      </c>
      <c r="Q32" s="300">
        <f>$O$32*P32</f>
        <v>29247.350000000002</v>
      </c>
      <c r="R32" s="754" t="s">
        <v>290</v>
      </c>
      <c r="S32" s="632" t="s">
        <v>291</v>
      </c>
      <c r="T32" s="660">
        <f t="shared" si="0"/>
        <v>45808</v>
      </c>
      <c r="U32" s="665">
        <v>37001.328445073632</v>
      </c>
      <c r="V32" s="771"/>
      <c r="W32" s="540">
        <f>W92</f>
        <v>45792</v>
      </c>
      <c r="X32" s="747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44"/>
      <c r="J33" s="744"/>
      <c r="K33" s="301"/>
      <c r="L33" s="298">
        <v>4</v>
      </c>
      <c r="M33" s="425" t="s">
        <v>280</v>
      </c>
      <c r="N33" s="407" t="s">
        <v>148</v>
      </c>
      <c r="O33" s="557"/>
      <c r="P33" s="569">
        <v>0.15</v>
      </c>
      <c r="Q33" s="300">
        <f t="shared" ref="Q33:Q39" si="2">$O$32*P33</f>
        <v>43871.025000000001</v>
      </c>
      <c r="R33" s="755"/>
      <c r="S33" s="632" t="s">
        <v>292</v>
      </c>
      <c r="T33" s="660">
        <f>T93</f>
        <v>45838</v>
      </c>
      <c r="U33" s="665">
        <v>55727.162191605101</v>
      </c>
      <c r="V33" s="771"/>
      <c r="W33" s="540">
        <f t="shared" ref="W33:W39" si="3">W93</f>
        <v>45834</v>
      </c>
      <c r="X33" s="747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44"/>
      <c r="J34" s="744"/>
      <c r="K34" s="301"/>
      <c r="L34" s="298">
        <v>4</v>
      </c>
      <c r="M34" s="425" t="s">
        <v>280</v>
      </c>
      <c r="N34" s="407" t="s">
        <v>293</v>
      </c>
      <c r="O34" s="557"/>
      <c r="P34" s="569">
        <v>0.2</v>
      </c>
      <c r="Q34" s="300">
        <f t="shared" si="2"/>
        <v>58494.700000000004</v>
      </c>
      <c r="R34" s="755"/>
      <c r="S34" s="632" t="s">
        <v>294</v>
      </c>
      <c r="T34" s="660">
        <v>45900</v>
      </c>
      <c r="U34" s="665">
        <v>74302.882922140139</v>
      </c>
      <c r="V34" s="771"/>
      <c r="W34" s="540">
        <f t="shared" si="3"/>
        <v>45954</v>
      </c>
      <c r="X34" s="747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44"/>
      <c r="J35" s="744"/>
      <c r="K35" s="301"/>
      <c r="L35" s="298">
        <v>4</v>
      </c>
      <c r="M35" s="425" t="s">
        <v>280</v>
      </c>
      <c r="N35" s="407" t="s">
        <v>295</v>
      </c>
      <c r="O35" s="557"/>
      <c r="P35" s="569">
        <v>0.25</v>
      </c>
      <c r="Q35" s="300">
        <f t="shared" si="2"/>
        <v>73118.375</v>
      </c>
      <c r="R35" s="755"/>
      <c r="S35" s="632" t="s">
        <v>296</v>
      </c>
      <c r="T35" s="660">
        <v>45900</v>
      </c>
      <c r="U35" s="665">
        <v>92878.60365267517</v>
      </c>
      <c r="V35" s="771"/>
      <c r="W35" s="697">
        <v>46009</v>
      </c>
      <c r="X35" s="747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44"/>
      <c r="J36" s="744"/>
      <c r="K36" s="301"/>
      <c r="L36" s="298">
        <v>4</v>
      </c>
      <c r="M36" s="425" t="s">
        <v>280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55"/>
      <c r="S36" s="632" t="s">
        <v>297</v>
      </c>
      <c r="T36" s="660">
        <v>45900</v>
      </c>
      <c r="U36" s="665">
        <v>37151.44146107007</v>
      </c>
      <c r="V36" s="771"/>
      <c r="W36" s="697">
        <v>46009</v>
      </c>
      <c r="X36" s="747"/>
      <c r="Y36" s="617" t="s">
        <v>271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44"/>
      <c r="J37" s="744"/>
      <c r="K37" s="301"/>
      <c r="L37" s="298">
        <v>4</v>
      </c>
      <c r="M37" s="425" t="s">
        <v>280</v>
      </c>
      <c r="N37" s="407" t="s">
        <v>298</v>
      </c>
      <c r="O37" s="557"/>
      <c r="P37" s="569">
        <v>0.1</v>
      </c>
      <c r="Q37" s="300">
        <f t="shared" si="2"/>
        <v>29247.350000000002</v>
      </c>
      <c r="R37" s="755"/>
      <c r="S37" s="632" t="s">
        <v>299</v>
      </c>
      <c r="T37" s="660">
        <v>45900</v>
      </c>
      <c r="U37" s="665">
        <v>37151.44146107007</v>
      </c>
      <c r="V37" s="771"/>
      <c r="W37" s="540">
        <f t="shared" si="3"/>
        <v>46058</v>
      </c>
      <c r="X37" s="747"/>
      <c r="Y37" s="617" t="s">
        <v>271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44"/>
      <c r="J38" s="744"/>
      <c r="K38" s="301"/>
      <c r="L38" s="298">
        <v>4</v>
      </c>
      <c r="M38" s="425" t="s">
        <v>280</v>
      </c>
      <c r="N38" s="407" t="s">
        <v>300</v>
      </c>
      <c r="O38" s="557"/>
      <c r="P38" s="569">
        <v>0.05</v>
      </c>
      <c r="Q38" s="300">
        <f t="shared" si="2"/>
        <v>14623.675000000001</v>
      </c>
      <c r="R38" s="755"/>
      <c r="S38" s="632" t="s">
        <v>301</v>
      </c>
      <c r="T38" s="660">
        <v>45900</v>
      </c>
      <c r="U38" s="665">
        <v>18575.720730535035</v>
      </c>
      <c r="V38" s="771"/>
      <c r="W38" s="540">
        <f t="shared" si="3"/>
        <v>46066</v>
      </c>
      <c r="X38" s="747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44"/>
      <c r="J39" s="744"/>
      <c r="K39" s="301"/>
      <c r="L39" s="298">
        <v>4</v>
      </c>
      <c r="M39" s="425" t="s">
        <v>280</v>
      </c>
      <c r="N39" s="407" t="s">
        <v>302</v>
      </c>
      <c r="O39" s="557"/>
      <c r="P39" s="569">
        <v>0.05</v>
      </c>
      <c r="Q39" s="300">
        <f t="shared" si="2"/>
        <v>14623.675000000001</v>
      </c>
      <c r="R39" s="756"/>
      <c r="S39" s="632" t="s">
        <v>303</v>
      </c>
      <c r="T39" s="660">
        <v>45900</v>
      </c>
      <c r="U39" s="665">
        <v>18575.720730535035</v>
      </c>
      <c r="V39" s="771"/>
      <c r="W39" s="579">
        <f t="shared" si="3"/>
        <v>46096</v>
      </c>
      <c r="X39" s="747"/>
      <c r="Y39" s="620" t="s">
        <v>276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44"/>
      <c r="J40" s="744"/>
      <c r="K40" s="301"/>
      <c r="L40" s="298">
        <v>4</v>
      </c>
      <c r="M40" s="425" t="s">
        <v>280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71"/>
      <c r="W40" s="579"/>
      <c r="X40" s="747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44"/>
      <c r="J41" s="744"/>
      <c r="K41" s="301"/>
      <c r="L41" s="298">
        <v>4</v>
      </c>
      <c r="M41" s="425" t="s">
        <v>280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71"/>
      <c r="W41" s="579"/>
      <c r="X41" s="747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45"/>
      <c r="J42" s="745"/>
      <c r="K42" s="306"/>
      <c r="L42" s="302">
        <v>4</v>
      </c>
      <c r="M42" s="426" t="s">
        <v>280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72"/>
      <c r="W42" s="580"/>
      <c r="X42" s="748"/>
      <c r="Y42" s="484"/>
    </row>
    <row r="43" spans="1:26" ht="13.9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304</v>
      </c>
      <c r="D44" s="327" t="s">
        <v>305</v>
      </c>
      <c r="E44" s="283"/>
      <c r="F44" s="436"/>
      <c r="G44" s="284">
        <f>D173-G45</f>
        <v>34000</v>
      </c>
      <c r="H44" s="541">
        <v>45855</v>
      </c>
      <c r="I44" s="749">
        <f>SUM(G44:G51)</f>
        <v>49000</v>
      </c>
      <c r="J44" s="749">
        <f>F173</f>
        <v>53260.869565217392</v>
      </c>
      <c r="K44" s="285"/>
      <c r="L44" s="281">
        <v>5</v>
      </c>
      <c r="M44" s="421" t="s">
        <v>306</v>
      </c>
      <c r="N44" s="327" t="s">
        <v>307</v>
      </c>
      <c r="O44" s="551"/>
      <c r="P44" s="436"/>
      <c r="Q44" s="284">
        <v>8598.35</v>
      </c>
      <c r="R44" s="597" t="s">
        <v>246</v>
      </c>
      <c r="S44" s="634" t="s">
        <v>308</v>
      </c>
      <c r="T44" s="664">
        <v>45808</v>
      </c>
      <c r="U44" s="666">
        <v>11430.85346925536</v>
      </c>
      <c r="V44" s="767">
        <f>J44-SUM(U44:U51)</f>
        <v>1.9877147497027181E-3</v>
      </c>
      <c r="W44" s="541">
        <v>45855</v>
      </c>
      <c r="X44" s="764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309</v>
      </c>
      <c r="E45" s="450"/>
      <c r="F45" s="451"/>
      <c r="G45" s="315">
        <v>15000</v>
      </c>
      <c r="H45" s="537">
        <v>45806</v>
      </c>
      <c r="I45" s="750"/>
      <c r="J45" s="750"/>
      <c r="K45" s="288"/>
      <c r="L45" s="286">
        <v>5</v>
      </c>
      <c r="M45" s="427" t="s">
        <v>306</v>
      </c>
      <c r="N45" s="287" t="s">
        <v>310</v>
      </c>
      <c r="O45" s="559"/>
      <c r="P45" s="451"/>
      <c r="Q45" s="315">
        <v>14805</v>
      </c>
      <c r="R45" s="645" t="s">
        <v>311</v>
      </c>
      <c r="S45" s="627" t="s">
        <v>312</v>
      </c>
      <c r="T45" s="646">
        <v>45777</v>
      </c>
      <c r="U45" s="654">
        <v>19230.024970443686</v>
      </c>
      <c r="V45" s="768"/>
      <c r="W45" s="537">
        <v>45806</v>
      </c>
      <c r="X45" s="765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50"/>
      <c r="J46" s="750"/>
      <c r="K46" s="288"/>
      <c r="L46" s="286">
        <v>5</v>
      </c>
      <c r="M46" s="427" t="s">
        <v>306</v>
      </c>
      <c r="N46" s="287"/>
      <c r="O46" s="559"/>
      <c r="P46" s="451"/>
      <c r="Q46" s="315">
        <v>214.29</v>
      </c>
      <c r="R46" s="645"/>
      <c r="S46" s="627" t="s">
        <v>313</v>
      </c>
      <c r="T46" s="646">
        <v>45838</v>
      </c>
      <c r="U46" s="667">
        <v>437.2923807165613</v>
      </c>
      <c r="V46" s="768"/>
      <c r="W46" s="678">
        <v>45867</v>
      </c>
      <c r="X46" s="765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50"/>
      <c r="J47" s="750"/>
      <c r="K47" s="288"/>
      <c r="L47" s="286">
        <v>5</v>
      </c>
      <c r="M47" s="427" t="s">
        <v>306</v>
      </c>
      <c r="N47" s="313" t="s">
        <v>314</v>
      </c>
      <c r="O47" s="552"/>
      <c r="P47" s="458"/>
      <c r="Q47" s="315">
        <v>14934</v>
      </c>
      <c r="R47" s="590"/>
      <c r="S47" s="627" t="s">
        <v>315</v>
      </c>
      <c r="T47" s="662">
        <v>45838</v>
      </c>
      <c r="U47" s="667">
        <v>19214.302276453061</v>
      </c>
      <c r="V47" s="768"/>
      <c r="W47" s="537">
        <v>45838</v>
      </c>
      <c r="X47" s="765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50"/>
      <c r="J48" s="750"/>
      <c r="K48" s="288"/>
      <c r="L48" s="311">
        <v>5</v>
      </c>
      <c r="M48" s="427" t="s">
        <v>306</v>
      </c>
      <c r="N48" s="313" t="s">
        <v>316</v>
      </c>
      <c r="O48" s="552"/>
      <c r="P48" s="458"/>
      <c r="Q48" s="315">
        <v>2250.5</v>
      </c>
      <c r="R48" s="590" t="s">
        <v>317</v>
      </c>
      <c r="S48" s="627" t="s">
        <v>318</v>
      </c>
      <c r="T48" s="662">
        <f t="shared" si="0"/>
        <v>45808</v>
      </c>
      <c r="U48" s="667">
        <v>2948.3944806339805</v>
      </c>
      <c r="V48" s="768"/>
      <c r="W48" s="537">
        <v>45799</v>
      </c>
      <c r="X48" s="765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50"/>
      <c r="J49" s="750"/>
      <c r="K49" s="288"/>
      <c r="L49" s="311">
        <v>5</v>
      </c>
      <c r="M49" s="427" t="s">
        <v>306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68"/>
      <c r="W49" s="575"/>
      <c r="X49" s="765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50"/>
      <c r="J50" s="750"/>
      <c r="K50" s="288"/>
      <c r="L50" s="311">
        <v>5</v>
      </c>
      <c r="M50" s="427" t="s">
        <v>306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68"/>
      <c r="W50" s="575"/>
      <c r="X50" s="765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51"/>
      <c r="J51" s="751"/>
      <c r="K51" s="289"/>
      <c r="L51" s="316">
        <v>5</v>
      </c>
      <c r="M51" s="423" t="s">
        <v>306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69"/>
      <c r="W51" s="576"/>
      <c r="X51" s="766"/>
      <c r="Y51" s="484"/>
    </row>
    <row r="52" spans="1:25" ht="14.25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253</v>
      </c>
      <c r="D53" s="295" t="s">
        <v>319</v>
      </c>
      <c r="E53" s="477"/>
      <c r="F53" s="456"/>
      <c r="G53" s="296">
        <f>D172</f>
        <v>1016362.1</v>
      </c>
      <c r="H53" s="578">
        <f>H54</f>
        <v>45867</v>
      </c>
      <c r="I53" s="743">
        <f>SUM(G53:G69)</f>
        <v>1016362.1</v>
      </c>
      <c r="J53" s="743">
        <f>F172</f>
        <v>1104741.4130434783</v>
      </c>
      <c r="K53" s="297"/>
      <c r="L53" s="293">
        <v>6</v>
      </c>
      <c r="M53" s="430" t="s">
        <v>320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70">
        <f>J53-SUM(U53:U69)</f>
        <v>-1.2363060377538204E-3</v>
      </c>
      <c r="W53" s="578"/>
      <c r="X53" s="746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44"/>
      <c r="J54" s="744"/>
      <c r="K54" s="301"/>
      <c r="L54" s="298">
        <v>6</v>
      </c>
      <c r="M54" s="428" t="s">
        <v>320</v>
      </c>
      <c r="N54" s="442" t="s">
        <v>321</v>
      </c>
      <c r="O54" s="557"/>
      <c r="P54" s="452"/>
      <c r="Q54" s="321">
        <v>247064.02</v>
      </c>
      <c r="R54" s="595" t="s">
        <v>322</v>
      </c>
      <c r="S54" s="632" t="s">
        <v>323</v>
      </c>
      <c r="T54" s="660">
        <v>45838</v>
      </c>
      <c r="U54" s="665">
        <v>606310.9163590211</v>
      </c>
      <c r="V54" s="771"/>
      <c r="W54" s="540">
        <v>45867</v>
      </c>
      <c r="X54" s="747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44"/>
      <c r="J55" s="744"/>
      <c r="K55" s="301"/>
      <c r="L55" s="298">
        <v>6</v>
      </c>
      <c r="M55" s="428" t="s">
        <v>320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71"/>
      <c r="W55" s="579"/>
      <c r="X55" s="747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44"/>
      <c r="J56" s="744"/>
      <c r="K56" s="301"/>
      <c r="L56" s="298">
        <v>6</v>
      </c>
      <c r="M56" s="428" t="s">
        <v>320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71"/>
      <c r="W56" s="579"/>
      <c r="X56" s="747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44"/>
      <c r="J57" s="744"/>
      <c r="K57" s="301"/>
      <c r="L57" s="298">
        <v>6</v>
      </c>
      <c r="M57" s="428" t="s">
        <v>320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71"/>
      <c r="W57" s="579"/>
      <c r="X57" s="747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44"/>
      <c r="J58" s="744"/>
      <c r="K58" s="301"/>
      <c r="L58" s="298">
        <v>6</v>
      </c>
      <c r="M58" s="428" t="s">
        <v>320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71"/>
      <c r="W58" s="579"/>
      <c r="X58" s="747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44"/>
      <c r="J59" s="744"/>
      <c r="K59" s="301"/>
      <c r="L59" s="298">
        <v>6</v>
      </c>
      <c r="M59" s="428" t="s">
        <v>320</v>
      </c>
      <c r="N59" s="407" t="s">
        <v>289</v>
      </c>
      <c r="O59" s="568">
        <v>202590</v>
      </c>
      <c r="P59" s="569">
        <v>0.1</v>
      </c>
      <c r="Q59" s="300">
        <f>$O$59*P59</f>
        <v>20259</v>
      </c>
      <c r="R59" s="754" t="s">
        <v>290</v>
      </c>
      <c r="S59" s="632" t="s">
        <v>291</v>
      </c>
      <c r="T59" s="660">
        <v>45808</v>
      </c>
      <c r="U59" s="665">
        <v>50466.957904751558</v>
      </c>
      <c r="V59" s="771"/>
      <c r="W59" s="540">
        <f>W92</f>
        <v>45792</v>
      </c>
      <c r="X59" s="747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44"/>
      <c r="J60" s="744"/>
      <c r="K60" s="301"/>
      <c r="L60" s="298">
        <v>6</v>
      </c>
      <c r="M60" s="429" t="s">
        <v>320</v>
      </c>
      <c r="N60" s="407" t="s">
        <v>148</v>
      </c>
      <c r="O60" s="557"/>
      <c r="P60" s="569">
        <v>0.15</v>
      </c>
      <c r="Q60" s="300">
        <f t="shared" ref="Q60:Q66" si="5">$O$59*P60</f>
        <v>30388.5</v>
      </c>
      <c r="R60" s="755"/>
      <c r="S60" s="632" t="s">
        <v>292</v>
      </c>
      <c r="T60" s="660">
        <f>T93</f>
        <v>45838</v>
      </c>
      <c r="U60" s="665">
        <v>74660.590002668585</v>
      </c>
      <c r="V60" s="771"/>
      <c r="W60" s="540">
        <f>W93</f>
        <v>45834</v>
      </c>
      <c r="X60" s="747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44"/>
      <c r="J61" s="744"/>
      <c r="K61" s="301"/>
      <c r="L61" s="298">
        <v>6</v>
      </c>
      <c r="M61" s="429" t="s">
        <v>320</v>
      </c>
      <c r="N61" s="407" t="s">
        <v>293</v>
      </c>
      <c r="O61" s="557"/>
      <c r="P61" s="569">
        <v>0.2</v>
      </c>
      <c r="Q61" s="300">
        <f t="shared" si="5"/>
        <v>40518</v>
      </c>
      <c r="R61" s="755"/>
      <c r="S61" s="632" t="s">
        <v>294</v>
      </c>
      <c r="T61" s="660">
        <v>45900</v>
      </c>
      <c r="U61" s="665">
        <v>99547.453336891442</v>
      </c>
      <c r="V61" s="771"/>
      <c r="W61" s="540">
        <f t="shared" ref="W61:W66" si="6">W94</f>
        <v>45954</v>
      </c>
      <c r="X61" s="747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44"/>
      <c r="J62" s="744"/>
      <c r="K62" s="301"/>
      <c r="L62" s="298">
        <v>6</v>
      </c>
      <c r="M62" s="429" t="s">
        <v>320</v>
      </c>
      <c r="N62" s="407" t="s">
        <v>295</v>
      </c>
      <c r="O62" s="557"/>
      <c r="P62" s="569">
        <v>0.25</v>
      </c>
      <c r="Q62" s="300">
        <f t="shared" si="5"/>
        <v>50647.5</v>
      </c>
      <c r="R62" s="755"/>
      <c r="S62" s="632" t="s">
        <v>296</v>
      </c>
      <c r="T62" s="660">
        <v>45900</v>
      </c>
      <c r="U62" s="665">
        <v>124434.3166711143</v>
      </c>
      <c r="V62" s="771"/>
      <c r="W62" s="697">
        <v>46009</v>
      </c>
      <c r="X62" s="747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44"/>
      <c r="J63" s="744"/>
      <c r="K63" s="301"/>
      <c r="L63" s="298">
        <v>6</v>
      </c>
      <c r="M63" s="429" t="s">
        <v>320</v>
      </c>
      <c r="N63" s="407" t="s">
        <v>106</v>
      </c>
      <c r="O63" s="557"/>
      <c r="P63" s="569">
        <v>0.1</v>
      </c>
      <c r="Q63" s="300">
        <f t="shared" si="5"/>
        <v>20259</v>
      </c>
      <c r="R63" s="755"/>
      <c r="S63" s="632" t="s">
        <v>297</v>
      </c>
      <c r="T63" s="660">
        <v>45900</v>
      </c>
      <c r="U63" s="665">
        <v>49773.726668445721</v>
      </c>
      <c r="V63" s="771"/>
      <c r="W63" s="697">
        <v>46009</v>
      </c>
      <c r="X63" s="747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44"/>
      <c r="J64" s="744"/>
      <c r="K64" s="301"/>
      <c r="L64" s="298">
        <v>6</v>
      </c>
      <c r="M64" s="429" t="s">
        <v>320</v>
      </c>
      <c r="N64" s="407" t="s">
        <v>298</v>
      </c>
      <c r="O64" s="557"/>
      <c r="P64" s="569">
        <v>0.1</v>
      </c>
      <c r="Q64" s="300">
        <f t="shared" si="5"/>
        <v>20259</v>
      </c>
      <c r="R64" s="755"/>
      <c r="S64" s="632" t="s">
        <v>299</v>
      </c>
      <c r="T64" s="660">
        <v>45900</v>
      </c>
      <c r="U64" s="680">
        <v>49773.726668445721</v>
      </c>
      <c r="V64" s="771"/>
      <c r="W64" s="540">
        <f t="shared" si="6"/>
        <v>46058</v>
      </c>
      <c r="X64" s="747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44"/>
      <c r="J65" s="744"/>
      <c r="K65" s="301"/>
      <c r="L65" s="298">
        <v>6</v>
      </c>
      <c r="M65" s="429" t="s">
        <v>320</v>
      </c>
      <c r="N65" s="407" t="s">
        <v>300</v>
      </c>
      <c r="O65" s="557"/>
      <c r="P65" s="569">
        <v>0.05</v>
      </c>
      <c r="Q65" s="300">
        <f t="shared" si="5"/>
        <v>10129.5</v>
      </c>
      <c r="R65" s="755"/>
      <c r="S65" s="632" t="s">
        <v>301</v>
      </c>
      <c r="T65" s="660">
        <v>45900</v>
      </c>
      <c r="U65" s="680">
        <v>24886.86333422286</v>
      </c>
      <c r="V65" s="771"/>
      <c r="W65" s="540">
        <f t="shared" si="6"/>
        <v>46066</v>
      </c>
      <c r="X65" s="747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44"/>
      <c r="J66" s="744"/>
      <c r="K66" s="301"/>
      <c r="L66" s="298">
        <v>6</v>
      </c>
      <c r="M66" s="429" t="s">
        <v>320</v>
      </c>
      <c r="N66" s="407" t="s">
        <v>302</v>
      </c>
      <c r="O66" s="557"/>
      <c r="P66" s="569">
        <v>0.05</v>
      </c>
      <c r="Q66" s="300">
        <f t="shared" si="5"/>
        <v>10129.5</v>
      </c>
      <c r="R66" s="756"/>
      <c r="S66" s="632" t="s">
        <v>303</v>
      </c>
      <c r="T66" s="660">
        <v>45900</v>
      </c>
      <c r="U66" s="680">
        <v>24886.86333422286</v>
      </c>
      <c r="V66" s="771"/>
      <c r="W66" s="579">
        <f t="shared" si="6"/>
        <v>46096</v>
      </c>
      <c r="X66" s="747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44"/>
      <c r="J67" s="744"/>
      <c r="K67" s="301"/>
      <c r="L67" s="298">
        <v>6</v>
      </c>
      <c r="M67" s="429" t="s">
        <v>320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71"/>
      <c r="W67" s="582"/>
      <c r="X67" s="747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44"/>
      <c r="J68" s="744"/>
      <c r="K68" s="301"/>
      <c r="L68" s="298">
        <v>6</v>
      </c>
      <c r="M68" s="429" t="s">
        <v>320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71"/>
      <c r="W68" s="582"/>
      <c r="X68" s="747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45"/>
      <c r="J69" s="745"/>
      <c r="K69" s="306"/>
      <c r="L69" s="302">
        <v>6</v>
      </c>
      <c r="M69" s="431" t="s">
        <v>320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72"/>
      <c r="W69" s="580"/>
      <c r="X69" s="748"/>
      <c r="Y69" s="484"/>
    </row>
    <row r="70" spans="1:25" ht="13.9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324</v>
      </c>
      <c r="D71" s="381"/>
      <c r="E71" s="461"/>
      <c r="F71" s="467"/>
      <c r="G71" s="382"/>
      <c r="H71" s="584"/>
      <c r="I71" s="749">
        <f>SUM(G71:G78)</f>
        <v>0</v>
      </c>
      <c r="J71" s="749">
        <v>0</v>
      </c>
      <c r="K71" s="285"/>
      <c r="L71" s="380">
        <v>7</v>
      </c>
      <c r="M71" s="309" t="s">
        <v>325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73">
        <f>J71-SUM(U71:U78)</f>
        <v>0</v>
      </c>
      <c r="W71" s="584"/>
      <c r="X71" s="764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50"/>
      <c r="J72" s="750"/>
      <c r="K72" s="288"/>
      <c r="L72" s="383">
        <v>7</v>
      </c>
      <c r="M72" s="384" t="s">
        <v>325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74"/>
      <c r="W72" s="575"/>
      <c r="X72" s="765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50"/>
      <c r="J73" s="750"/>
      <c r="K73" s="288"/>
      <c r="L73" s="383">
        <v>7</v>
      </c>
      <c r="M73" s="384" t="s">
        <v>325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74"/>
      <c r="W73" s="575"/>
      <c r="X73" s="765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50"/>
      <c r="J74" s="750"/>
      <c r="K74" s="288"/>
      <c r="L74" s="383">
        <v>7</v>
      </c>
      <c r="M74" s="384" t="s">
        <v>325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74"/>
      <c r="W74" s="575"/>
      <c r="X74" s="765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50"/>
      <c r="J75" s="750"/>
      <c r="K75" s="288"/>
      <c r="L75" s="383">
        <v>7</v>
      </c>
      <c r="M75" s="384" t="s">
        <v>325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74"/>
      <c r="W75" s="575"/>
      <c r="X75" s="765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50"/>
      <c r="J76" s="750"/>
      <c r="K76" s="288"/>
      <c r="L76" s="383">
        <v>7</v>
      </c>
      <c r="M76" s="384" t="s">
        <v>325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74"/>
      <c r="W76" s="575"/>
      <c r="X76" s="765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50"/>
      <c r="J77" s="750"/>
      <c r="K77" s="288"/>
      <c r="L77" s="383">
        <v>7</v>
      </c>
      <c r="M77" s="384" t="s">
        <v>325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74"/>
      <c r="W77" s="575"/>
      <c r="X77" s="765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51"/>
      <c r="J78" s="751"/>
      <c r="K78" s="289"/>
      <c r="L78" s="316">
        <v>7</v>
      </c>
      <c r="M78" s="337" t="s">
        <v>325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75"/>
      <c r="W78" s="576"/>
      <c r="X78" s="766"/>
      <c r="Y78" s="484"/>
    </row>
    <row r="79" spans="1:25" ht="13.9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326</v>
      </c>
      <c r="D80" s="333"/>
      <c r="E80" s="462"/>
      <c r="F80" s="415"/>
      <c r="G80" s="334"/>
      <c r="H80" s="578"/>
      <c r="I80" s="743">
        <f>D175</f>
        <v>0</v>
      </c>
      <c r="J80" s="743">
        <f>F175</f>
        <v>0</v>
      </c>
      <c r="K80" s="297"/>
      <c r="L80" s="332">
        <v>8</v>
      </c>
      <c r="M80" s="424" t="s">
        <v>327</v>
      </c>
      <c r="N80" s="333" t="s">
        <v>328</v>
      </c>
      <c r="O80" s="563"/>
      <c r="P80" s="415"/>
      <c r="Q80" s="334">
        <v>6000</v>
      </c>
      <c r="R80" s="594" t="s">
        <v>329</v>
      </c>
      <c r="S80" s="631" t="s">
        <v>330</v>
      </c>
      <c r="T80" s="669">
        <v>45991</v>
      </c>
      <c r="U80" s="508"/>
      <c r="V80" s="791">
        <f>J80-SUM(U80:U89)</f>
        <v>0</v>
      </c>
      <c r="W80" s="696">
        <v>45980</v>
      </c>
      <c r="X80" s="746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44"/>
      <c r="J81" s="744"/>
      <c r="K81" s="301"/>
      <c r="L81" s="322">
        <v>8</v>
      </c>
      <c r="M81" s="432" t="s">
        <v>327</v>
      </c>
      <c r="N81" s="335" t="s">
        <v>331</v>
      </c>
      <c r="O81" s="560"/>
      <c r="P81" s="460"/>
      <c r="Q81" s="324">
        <v>1728.1</v>
      </c>
      <c r="R81" s="595" t="s">
        <v>332</v>
      </c>
      <c r="S81" s="631" t="s">
        <v>333</v>
      </c>
      <c r="T81" s="660">
        <v>46053</v>
      </c>
      <c r="U81" s="509"/>
      <c r="V81" s="792"/>
      <c r="W81" s="540">
        <v>46051</v>
      </c>
      <c r="X81" s="747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44"/>
      <c r="J82" s="744"/>
      <c r="K82" s="301"/>
      <c r="L82" s="322">
        <v>8</v>
      </c>
      <c r="M82" s="432" t="s">
        <v>327</v>
      </c>
      <c r="N82" s="335" t="s">
        <v>331</v>
      </c>
      <c r="O82" s="560"/>
      <c r="P82" s="460"/>
      <c r="Q82" s="324">
        <v>-1728.1</v>
      </c>
      <c r="R82" s="595"/>
      <c r="S82" s="631" t="s">
        <v>334</v>
      </c>
      <c r="T82" s="660">
        <v>46081</v>
      </c>
      <c r="U82" s="509"/>
      <c r="V82" s="792"/>
      <c r="W82" s="579">
        <f>T82</f>
        <v>46081</v>
      </c>
      <c r="X82" s="747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44"/>
      <c r="J83" s="744"/>
      <c r="K83" s="301"/>
      <c r="L83" s="322">
        <v>8</v>
      </c>
      <c r="M83" s="432" t="s">
        <v>327</v>
      </c>
      <c r="N83" s="335" t="s">
        <v>335</v>
      </c>
      <c r="O83" s="414"/>
      <c r="P83" s="460"/>
      <c r="Q83" s="324">
        <v>95783</v>
      </c>
      <c r="R83" s="595" t="s">
        <v>336</v>
      </c>
      <c r="S83" s="632" t="s">
        <v>337</v>
      </c>
      <c r="T83" s="660">
        <v>45838</v>
      </c>
      <c r="U83" s="509"/>
      <c r="V83" s="792"/>
      <c r="W83" s="540">
        <v>45869</v>
      </c>
      <c r="X83" s="747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44"/>
      <c r="J84" s="744"/>
      <c r="K84" s="301"/>
      <c r="L84" s="322">
        <v>8</v>
      </c>
      <c r="M84" s="432" t="s">
        <v>327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92"/>
      <c r="W84" s="579"/>
      <c r="X84" s="747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44"/>
      <c r="J85" s="744"/>
      <c r="K85" s="301"/>
      <c r="L85" s="322">
        <v>8</v>
      </c>
      <c r="M85" s="432" t="s">
        <v>327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92"/>
      <c r="W85" s="579"/>
      <c r="X85" s="747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44"/>
      <c r="J86" s="744"/>
      <c r="K86" s="301"/>
      <c r="L86" s="322">
        <v>8</v>
      </c>
      <c r="M86" s="432" t="s">
        <v>327</v>
      </c>
      <c r="N86" s="335" t="s">
        <v>338</v>
      </c>
      <c r="O86" s="560"/>
      <c r="P86" s="460"/>
      <c r="Q86" s="324">
        <v>16488</v>
      </c>
      <c r="R86" s="595" t="s">
        <v>339</v>
      </c>
      <c r="S86" s="632" t="s">
        <v>340</v>
      </c>
      <c r="T86" s="660">
        <v>45991</v>
      </c>
      <c r="U86" s="509"/>
      <c r="V86" s="792"/>
      <c r="W86" s="540">
        <v>46003</v>
      </c>
      <c r="X86" s="747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44"/>
      <c r="J87" s="744"/>
      <c r="K87" s="301"/>
      <c r="L87" s="322">
        <v>8</v>
      </c>
      <c r="M87" s="432" t="s">
        <v>327</v>
      </c>
      <c r="N87" s="335"/>
      <c r="O87" s="560"/>
      <c r="P87" s="460"/>
      <c r="Q87" s="324"/>
      <c r="R87" s="595"/>
      <c r="S87" s="632"/>
      <c r="T87" s="660"/>
      <c r="U87" s="509"/>
      <c r="V87" s="792"/>
      <c r="W87" s="579"/>
      <c r="X87" s="747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44"/>
      <c r="J88" s="744"/>
      <c r="K88" s="301"/>
      <c r="L88" s="322">
        <v>8</v>
      </c>
      <c r="M88" s="432" t="s">
        <v>327</v>
      </c>
      <c r="N88" s="335" t="s">
        <v>341</v>
      </c>
      <c r="O88" s="560"/>
      <c r="P88" s="460"/>
      <c r="Q88" s="324">
        <v>15620</v>
      </c>
      <c r="R88" s="599" t="s">
        <v>342</v>
      </c>
      <c r="S88" s="636" t="s">
        <v>343</v>
      </c>
      <c r="T88" s="686">
        <v>45961</v>
      </c>
      <c r="U88" s="514"/>
      <c r="V88" s="792"/>
      <c r="W88" s="695">
        <v>45954</v>
      </c>
      <c r="X88" s="747"/>
      <c r="Y88" s="484"/>
    </row>
    <row r="89" spans="1:25" ht="15" customHeight="1" thickBot="1">
      <c r="B89" s="322">
        <v>8</v>
      </c>
      <c r="C89" s="303"/>
      <c r="D89" s="304"/>
      <c r="E89" s="457"/>
      <c r="F89" s="454"/>
      <c r="G89" s="305"/>
      <c r="H89" s="580"/>
      <c r="I89" s="745"/>
      <c r="J89" s="745"/>
      <c r="K89" s="306"/>
      <c r="L89" s="302">
        <v>8</v>
      </c>
      <c r="M89" s="431" t="s">
        <v>327</v>
      </c>
      <c r="N89" s="304" t="s">
        <v>344</v>
      </c>
      <c r="O89" s="561"/>
      <c r="P89" s="454"/>
      <c r="Q89" s="305">
        <v>85867</v>
      </c>
      <c r="R89" s="596" t="s">
        <v>345</v>
      </c>
      <c r="S89" s="633" t="s">
        <v>346</v>
      </c>
      <c r="T89" s="705">
        <v>46053</v>
      </c>
      <c r="U89" s="510"/>
      <c r="V89" s="793"/>
      <c r="W89" s="580">
        <v>46081</v>
      </c>
      <c r="X89" s="748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347</v>
      </c>
      <c r="D91" s="327" t="s">
        <v>348</v>
      </c>
      <c r="E91" s="314"/>
      <c r="F91" s="436"/>
      <c r="G91" s="622">
        <f>D181</f>
        <v>238595</v>
      </c>
      <c r="H91" s="581">
        <f>H92</f>
        <v>45792</v>
      </c>
      <c r="I91" s="782">
        <f>SUM(G91:G102)</f>
        <v>771925</v>
      </c>
      <c r="J91" s="749">
        <f>F181+F182</f>
        <v>908147.0588235294</v>
      </c>
      <c r="K91" s="288"/>
      <c r="L91" s="311">
        <v>9</v>
      </c>
      <c r="M91" s="422" t="s">
        <v>349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67">
        <f>J91-SUM(U91:U102)</f>
        <v>0</v>
      </c>
      <c r="W91" s="581"/>
      <c r="X91" s="785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350</v>
      </c>
      <c r="E92" s="314"/>
      <c r="F92" s="458"/>
      <c r="G92" s="622">
        <f>D182</f>
        <v>533330</v>
      </c>
      <c r="H92" s="537">
        <v>45792</v>
      </c>
      <c r="I92" s="783"/>
      <c r="J92" s="750"/>
      <c r="K92" s="288"/>
      <c r="L92" s="311">
        <v>9</v>
      </c>
      <c r="M92" s="422" t="s">
        <v>349</v>
      </c>
      <c r="N92" s="328" t="s">
        <v>289</v>
      </c>
      <c r="O92" s="571">
        <v>954000</v>
      </c>
      <c r="P92" s="572">
        <v>0.1</v>
      </c>
      <c r="Q92" s="315">
        <f>$O$92*P92</f>
        <v>95400</v>
      </c>
      <c r="R92" s="797" t="s">
        <v>290</v>
      </c>
      <c r="S92" s="627" t="s">
        <v>291</v>
      </c>
      <c r="T92" s="662">
        <v>45808</v>
      </c>
      <c r="U92" s="667">
        <v>90814.705882352951</v>
      </c>
      <c r="V92" s="768"/>
      <c r="W92" s="537">
        <v>45792</v>
      </c>
      <c r="X92" s="786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83"/>
      <c r="J93" s="750"/>
      <c r="K93" s="288"/>
      <c r="L93" s="383">
        <v>9</v>
      </c>
      <c r="M93" s="503" t="s">
        <v>349</v>
      </c>
      <c r="N93" s="385" t="s">
        <v>148</v>
      </c>
      <c r="O93" s="553"/>
      <c r="P93" s="570">
        <v>0.15</v>
      </c>
      <c r="Q93" s="315">
        <f t="shared" ref="Q93:Q99" si="8">$O$92*P93</f>
        <v>143100</v>
      </c>
      <c r="R93" s="798"/>
      <c r="S93" s="628" t="s">
        <v>292</v>
      </c>
      <c r="T93" s="647">
        <v>45838</v>
      </c>
      <c r="U93" s="673">
        <v>136222.0588235294</v>
      </c>
      <c r="V93" s="768"/>
      <c r="W93" s="538">
        <v>45834</v>
      </c>
      <c r="X93" s="786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83"/>
      <c r="J94" s="750"/>
      <c r="K94" s="288"/>
      <c r="L94" s="383">
        <v>9</v>
      </c>
      <c r="M94" s="503" t="s">
        <v>349</v>
      </c>
      <c r="N94" s="385" t="s">
        <v>293</v>
      </c>
      <c r="O94" s="553"/>
      <c r="P94" s="570">
        <v>0.2</v>
      </c>
      <c r="Q94" s="315">
        <f t="shared" si="8"/>
        <v>190800</v>
      </c>
      <c r="R94" s="798"/>
      <c r="S94" s="628" t="s">
        <v>294</v>
      </c>
      <c r="T94" s="647">
        <v>45900</v>
      </c>
      <c r="U94" s="673">
        <v>181629.4117647059</v>
      </c>
      <c r="V94" s="768"/>
      <c r="W94" s="538">
        <v>45954</v>
      </c>
      <c r="X94" s="786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83"/>
      <c r="J95" s="750"/>
      <c r="K95" s="288"/>
      <c r="L95" s="383">
        <v>9</v>
      </c>
      <c r="M95" s="503" t="s">
        <v>349</v>
      </c>
      <c r="N95" s="385" t="s">
        <v>295</v>
      </c>
      <c r="O95" s="553"/>
      <c r="P95" s="570">
        <v>0.25</v>
      </c>
      <c r="Q95" s="315">
        <f t="shared" si="8"/>
        <v>238500</v>
      </c>
      <c r="R95" s="798"/>
      <c r="S95" s="628" t="s">
        <v>351</v>
      </c>
      <c r="T95" s="647">
        <v>45991</v>
      </c>
      <c r="U95" s="655">
        <v>227036.76470588235</v>
      </c>
      <c r="V95" s="768"/>
      <c r="W95" s="538">
        <v>46009</v>
      </c>
      <c r="X95" s="786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83"/>
      <c r="J96" s="750"/>
      <c r="K96" s="288"/>
      <c r="L96" s="383">
        <v>9</v>
      </c>
      <c r="M96" s="503" t="s">
        <v>349</v>
      </c>
      <c r="N96" s="385" t="s">
        <v>106</v>
      </c>
      <c r="O96" s="553"/>
      <c r="P96" s="570">
        <v>0.1</v>
      </c>
      <c r="Q96" s="315">
        <f t="shared" si="8"/>
        <v>95400</v>
      </c>
      <c r="R96" s="798"/>
      <c r="S96" s="628" t="s">
        <v>352</v>
      </c>
      <c r="T96" s="647">
        <v>45991</v>
      </c>
      <c r="U96" s="655">
        <v>90814.705882352951</v>
      </c>
      <c r="V96" s="768"/>
      <c r="W96" s="538">
        <v>46051</v>
      </c>
      <c r="X96" s="786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83"/>
      <c r="J97" s="750"/>
      <c r="K97" s="288"/>
      <c r="L97" s="383">
        <v>9</v>
      </c>
      <c r="M97" s="503" t="s">
        <v>349</v>
      </c>
      <c r="N97" s="385" t="s">
        <v>298</v>
      </c>
      <c r="O97" s="553"/>
      <c r="P97" s="570">
        <v>0.1</v>
      </c>
      <c r="Q97" s="315">
        <f t="shared" si="8"/>
        <v>95400</v>
      </c>
      <c r="R97" s="798"/>
      <c r="S97" s="628" t="s">
        <v>353</v>
      </c>
      <c r="T97" s="647">
        <v>45991</v>
      </c>
      <c r="U97" s="655">
        <v>90814.705882352951</v>
      </c>
      <c r="V97" s="768"/>
      <c r="W97" s="538">
        <f>W96+7</f>
        <v>46058</v>
      </c>
      <c r="X97" s="786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83"/>
      <c r="J98" s="750"/>
      <c r="K98" s="288"/>
      <c r="L98" s="383">
        <v>9</v>
      </c>
      <c r="M98" s="503" t="s">
        <v>349</v>
      </c>
      <c r="N98" s="385" t="s">
        <v>300</v>
      </c>
      <c r="O98" s="553"/>
      <c r="P98" s="570">
        <v>0.05</v>
      </c>
      <c r="Q98" s="315">
        <f t="shared" si="8"/>
        <v>47700</v>
      </c>
      <c r="R98" s="798"/>
      <c r="S98" s="628" t="s">
        <v>354</v>
      </c>
      <c r="T98" s="647">
        <v>46022</v>
      </c>
      <c r="U98" s="655">
        <v>45407.352941176476</v>
      </c>
      <c r="V98" s="768"/>
      <c r="W98" s="538">
        <f>W97+8</f>
        <v>46066</v>
      </c>
      <c r="X98" s="786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83"/>
      <c r="J99" s="750"/>
      <c r="K99" s="288"/>
      <c r="L99" s="383">
        <v>9</v>
      </c>
      <c r="M99" s="503" t="s">
        <v>349</v>
      </c>
      <c r="N99" s="385" t="s">
        <v>302</v>
      </c>
      <c r="O99" s="553"/>
      <c r="P99" s="570">
        <v>0.05</v>
      </c>
      <c r="Q99" s="315">
        <f t="shared" si="8"/>
        <v>47700</v>
      </c>
      <c r="R99" s="799"/>
      <c r="S99" s="628" t="s">
        <v>355</v>
      </c>
      <c r="T99" s="647">
        <v>46022</v>
      </c>
      <c r="U99" s="655">
        <v>45407.352941176476</v>
      </c>
      <c r="V99" s="768"/>
      <c r="W99" s="575">
        <f>W98+30</f>
        <v>46096</v>
      </c>
      <c r="X99" s="786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83"/>
      <c r="J100" s="750"/>
      <c r="K100" s="288"/>
      <c r="L100" s="383">
        <v>9</v>
      </c>
      <c r="M100" s="503" t="s">
        <v>349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68"/>
      <c r="W100" s="575"/>
      <c r="X100" s="786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83"/>
      <c r="J101" s="750"/>
      <c r="K101" s="288"/>
      <c r="L101" s="383">
        <v>9</v>
      </c>
      <c r="M101" s="503" t="s">
        <v>349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68"/>
      <c r="W101" s="575"/>
      <c r="X101" s="786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84"/>
      <c r="J102" s="751"/>
      <c r="K102" s="289"/>
      <c r="L102" s="316">
        <v>9</v>
      </c>
      <c r="M102" s="440" t="s">
        <v>349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69"/>
      <c r="W102" s="576"/>
      <c r="X102" s="787"/>
      <c r="Y102" s="484"/>
    </row>
    <row r="103" spans="1:25" ht="13.9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356</v>
      </c>
      <c r="D104" s="270" t="s">
        <v>261</v>
      </c>
      <c r="E104" s="271"/>
      <c r="F104" s="469"/>
      <c r="G104" s="338">
        <f>D185</f>
        <v>8500</v>
      </c>
      <c r="H104" s="585">
        <f>H106</f>
        <v>45901</v>
      </c>
      <c r="I104" s="776">
        <f>SUM(G104:G123)</f>
        <v>191986</v>
      </c>
      <c r="J104" s="776">
        <f>F185+F188+F189+F187</f>
        <v>225865.88235294117</v>
      </c>
      <c r="K104" s="339"/>
      <c r="L104" s="269">
        <v>10</v>
      </c>
      <c r="M104" s="433" t="s">
        <v>357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88">
        <f>J104-SUM(U104:U123)</f>
        <v>4.3192269804421812E-3</v>
      </c>
      <c r="W104" s="585"/>
      <c r="X104" s="779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77"/>
      <c r="J105" s="777"/>
      <c r="K105" s="272"/>
      <c r="L105" s="340">
        <v>10</v>
      </c>
      <c r="M105" s="663" t="s">
        <v>357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89"/>
      <c r="W105" s="585"/>
      <c r="X105" s="780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77"/>
      <c r="J106" s="777"/>
      <c r="K106" s="272"/>
      <c r="L106" s="340">
        <v>10</v>
      </c>
      <c r="M106" s="663" t="s">
        <v>357</v>
      </c>
      <c r="N106" s="341" t="s">
        <v>358</v>
      </c>
      <c r="O106" s="566"/>
      <c r="P106" s="470"/>
      <c r="Q106" s="343">
        <v>68600</v>
      </c>
      <c r="R106" s="603" t="s">
        <v>359</v>
      </c>
      <c r="S106" s="639" t="s">
        <v>360</v>
      </c>
      <c r="T106" s="677">
        <v>45869</v>
      </c>
      <c r="U106" s="679">
        <v>72467.863152348014</v>
      </c>
      <c r="V106" s="789"/>
      <c r="W106" s="543">
        <v>45901</v>
      </c>
      <c r="X106" s="780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77"/>
      <c r="J107" s="777"/>
      <c r="K107" s="272"/>
      <c r="L107" s="340">
        <v>10</v>
      </c>
      <c r="M107" s="663" t="s">
        <v>357</v>
      </c>
      <c r="N107" s="341" t="s">
        <v>361</v>
      </c>
      <c r="O107" s="566"/>
      <c r="P107" s="470"/>
      <c r="Q107" s="343">
        <v>59780</v>
      </c>
      <c r="R107" s="603"/>
      <c r="S107" s="639" t="s">
        <v>362</v>
      </c>
      <c r="T107" s="683">
        <v>45930</v>
      </c>
      <c r="U107" s="685">
        <v>41618.083115730158</v>
      </c>
      <c r="V107" s="789"/>
      <c r="W107" s="543">
        <v>45961</v>
      </c>
      <c r="X107" s="780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77"/>
      <c r="J108" s="777"/>
      <c r="K108" s="272"/>
      <c r="L108" s="340">
        <v>10</v>
      </c>
      <c r="M108" s="663" t="s">
        <v>357</v>
      </c>
      <c r="N108" s="341" t="s">
        <v>363</v>
      </c>
      <c r="O108" s="566"/>
      <c r="P108" s="470"/>
      <c r="Q108" s="343">
        <v>59780</v>
      </c>
      <c r="R108" s="603"/>
      <c r="S108" s="639" t="s">
        <v>364</v>
      </c>
      <c r="T108" s="683">
        <v>45930</v>
      </c>
      <c r="U108" s="685">
        <v>42250.303115730159</v>
      </c>
      <c r="V108" s="789"/>
      <c r="W108" s="543">
        <v>45939</v>
      </c>
      <c r="X108" s="780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77"/>
      <c r="J109" s="777"/>
      <c r="K109" s="272"/>
      <c r="L109" s="340">
        <v>10</v>
      </c>
      <c r="M109" s="663" t="s">
        <v>357</v>
      </c>
      <c r="N109" s="341" t="s">
        <v>365</v>
      </c>
      <c r="O109" s="566"/>
      <c r="P109" s="470"/>
      <c r="Q109" s="343">
        <v>60760</v>
      </c>
      <c r="R109" s="603"/>
      <c r="S109" s="639" t="s">
        <v>366</v>
      </c>
      <c r="T109" s="683">
        <v>45961</v>
      </c>
      <c r="U109" s="685">
        <v>4428.63</v>
      </c>
      <c r="V109" s="789"/>
      <c r="W109" s="543">
        <v>45974</v>
      </c>
      <c r="X109" s="780"/>
      <c r="Y109" s="484"/>
    </row>
    <row r="110" spans="1:25" ht="14.25" customHeight="1">
      <c r="B110" s="340">
        <v>10</v>
      </c>
      <c r="C110" s="341"/>
      <c r="D110" s="341" t="s">
        <v>262</v>
      </c>
      <c r="E110" s="342"/>
      <c r="F110" s="470"/>
      <c r="G110" s="343">
        <f>D189</f>
        <v>51911</v>
      </c>
      <c r="H110" s="585">
        <v>45930</v>
      </c>
      <c r="I110" s="777"/>
      <c r="J110" s="777"/>
      <c r="K110" s="272"/>
      <c r="L110" s="340">
        <v>10</v>
      </c>
      <c r="M110" s="434" t="s">
        <v>357</v>
      </c>
      <c r="N110" s="341" t="s">
        <v>367</v>
      </c>
      <c r="O110" s="566"/>
      <c r="P110" s="470"/>
      <c r="Q110" s="343">
        <v>10780</v>
      </c>
      <c r="R110" s="604"/>
      <c r="S110" s="684" t="s">
        <v>368</v>
      </c>
      <c r="T110" s="677">
        <v>46022</v>
      </c>
      <c r="U110" s="685">
        <v>4323.91</v>
      </c>
      <c r="V110" s="789"/>
      <c r="W110" s="702">
        <v>46037</v>
      </c>
      <c r="X110" s="780"/>
      <c r="Y110" s="484"/>
    </row>
    <row r="111" spans="1:25" ht="14.25" customHeight="1">
      <c r="B111" s="340">
        <v>10</v>
      </c>
      <c r="C111" s="341"/>
      <c r="D111" s="341" t="s">
        <v>369</v>
      </c>
      <c r="E111" s="342"/>
      <c r="F111" s="470"/>
      <c r="G111" s="343">
        <f>D188</f>
        <v>114000</v>
      </c>
      <c r="H111" s="585">
        <v>45930</v>
      </c>
      <c r="I111" s="777"/>
      <c r="J111" s="777"/>
      <c r="K111" s="272"/>
      <c r="L111" s="340">
        <v>10</v>
      </c>
      <c r="M111" s="434" t="s">
        <v>357</v>
      </c>
      <c r="N111" s="341" t="s">
        <v>370</v>
      </c>
      <c r="O111" s="566"/>
      <c r="P111" s="470"/>
      <c r="Q111" s="343">
        <v>35280</v>
      </c>
      <c r="R111" s="604"/>
      <c r="S111" s="640" t="s">
        <v>371</v>
      </c>
      <c r="T111" s="677">
        <v>46053</v>
      </c>
      <c r="U111" s="517">
        <v>0</v>
      </c>
      <c r="V111" s="789"/>
      <c r="W111" s="706">
        <v>46058</v>
      </c>
      <c r="X111" s="780"/>
      <c r="Y111" s="484"/>
    </row>
    <row r="112" spans="1:25" ht="14.25" customHeight="1">
      <c r="B112" s="340">
        <v>10</v>
      </c>
      <c r="C112" s="341"/>
      <c r="D112" s="341" t="s">
        <v>263</v>
      </c>
      <c r="E112" s="342"/>
      <c r="F112" s="470"/>
      <c r="G112" s="343">
        <f>D187</f>
        <v>17575</v>
      </c>
      <c r="H112" s="585">
        <v>45930</v>
      </c>
      <c r="I112" s="777"/>
      <c r="J112" s="777"/>
      <c r="K112" s="272"/>
      <c r="L112" s="340">
        <v>10</v>
      </c>
      <c r="M112" s="434" t="s">
        <v>357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89"/>
      <c r="W112" s="586"/>
      <c r="X112" s="780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77"/>
      <c r="J113" s="777"/>
      <c r="K113" s="272"/>
      <c r="L113" s="340">
        <v>10</v>
      </c>
      <c r="M113" s="434" t="s">
        <v>357</v>
      </c>
      <c r="N113" s="341" t="s">
        <v>289</v>
      </c>
      <c r="O113" s="621">
        <v>69455</v>
      </c>
      <c r="P113" s="573">
        <v>0.1</v>
      </c>
      <c r="Q113" s="343">
        <f>$O$113*P113</f>
        <v>6945.5</v>
      </c>
      <c r="R113" s="794" t="s">
        <v>290</v>
      </c>
      <c r="S113" s="641" t="s">
        <v>291</v>
      </c>
      <c r="T113" s="661">
        <v>45808</v>
      </c>
      <c r="U113" s="668">
        <v>8551.1514315900513</v>
      </c>
      <c r="V113" s="789"/>
      <c r="W113" s="544">
        <f t="shared" ref="W113" si="11">W92</f>
        <v>45792</v>
      </c>
      <c r="X113" s="780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77"/>
      <c r="J114" s="777"/>
      <c r="K114" s="272"/>
      <c r="L114" s="340">
        <v>10</v>
      </c>
      <c r="M114" s="434" t="s">
        <v>357</v>
      </c>
      <c r="N114" s="341" t="s">
        <v>148</v>
      </c>
      <c r="O114" s="566"/>
      <c r="P114" s="573">
        <v>0.15</v>
      </c>
      <c r="Q114" s="343">
        <f t="shared" ref="Q114:Q120" si="12">$O$113*P114</f>
        <v>10418.25</v>
      </c>
      <c r="R114" s="795"/>
      <c r="S114" s="641" t="s">
        <v>292</v>
      </c>
      <c r="T114" s="661">
        <f>T93</f>
        <v>45838</v>
      </c>
      <c r="U114" s="668">
        <v>12303.803485541619</v>
      </c>
      <c r="V114" s="789"/>
      <c r="W114" s="544">
        <f>W93</f>
        <v>45834</v>
      </c>
      <c r="X114" s="780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77"/>
      <c r="J115" s="777"/>
      <c r="K115" s="272"/>
      <c r="L115" s="340">
        <v>10</v>
      </c>
      <c r="M115" s="434" t="s">
        <v>357</v>
      </c>
      <c r="N115" s="341" t="s">
        <v>293</v>
      </c>
      <c r="O115" s="566"/>
      <c r="P115" s="573">
        <v>0.2</v>
      </c>
      <c r="Q115" s="343">
        <f t="shared" si="12"/>
        <v>13891</v>
      </c>
      <c r="R115" s="795"/>
      <c r="S115" s="641" t="s">
        <v>294</v>
      </c>
      <c r="T115" s="661">
        <f t="shared" ref="T115:T120" si="13">T94</f>
        <v>45900</v>
      </c>
      <c r="U115" s="668">
        <v>15182.323059034166</v>
      </c>
      <c r="V115" s="789"/>
      <c r="W115" s="544">
        <f t="shared" ref="W115:W120" si="14">W94</f>
        <v>45954</v>
      </c>
      <c r="X115" s="780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77"/>
      <c r="J116" s="777"/>
      <c r="K116" s="272"/>
      <c r="L116" s="340">
        <v>10</v>
      </c>
      <c r="M116" s="434" t="s">
        <v>357</v>
      </c>
      <c r="N116" s="341" t="s">
        <v>295</v>
      </c>
      <c r="O116" s="566"/>
      <c r="P116" s="573">
        <v>0.25</v>
      </c>
      <c r="Q116" s="343">
        <f t="shared" si="12"/>
        <v>17363.75</v>
      </c>
      <c r="R116" s="795"/>
      <c r="S116" s="641" t="s">
        <v>351</v>
      </c>
      <c r="T116" s="661">
        <f t="shared" si="13"/>
        <v>45991</v>
      </c>
      <c r="U116" s="657">
        <v>11245.369140817715</v>
      </c>
      <c r="V116" s="789"/>
      <c r="W116" s="659">
        <f t="shared" si="14"/>
        <v>46009</v>
      </c>
      <c r="X116" s="780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77"/>
      <c r="J117" s="777"/>
      <c r="K117" s="272"/>
      <c r="L117" s="340">
        <v>10</v>
      </c>
      <c r="M117" s="434" t="s">
        <v>357</v>
      </c>
      <c r="N117" s="341" t="s">
        <v>106</v>
      </c>
      <c r="O117" s="566"/>
      <c r="P117" s="573">
        <v>0.1</v>
      </c>
      <c r="Q117" s="343">
        <f t="shared" si="12"/>
        <v>6945.5</v>
      </c>
      <c r="R117" s="795"/>
      <c r="S117" s="641" t="s">
        <v>352</v>
      </c>
      <c r="T117" s="661">
        <f t="shared" si="13"/>
        <v>45991</v>
      </c>
      <c r="U117" s="657">
        <v>4498.1476563270862</v>
      </c>
      <c r="V117" s="789"/>
      <c r="W117" s="544">
        <f t="shared" si="14"/>
        <v>46051</v>
      </c>
      <c r="X117" s="780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77"/>
      <c r="J118" s="777"/>
      <c r="K118" s="272"/>
      <c r="L118" s="340">
        <v>10</v>
      </c>
      <c r="M118" s="434" t="s">
        <v>357</v>
      </c>
      <c r="N118" s="341" t="s">
        <v>298</v>
      </c>
      <c r="O118" s="566"/>
      <c r="P118" s="573">
        <v>0.1</v>
      </c>
      <c r="Q118" s="343">
        <f t="shared" si="12"/>
        <v>6945.5</v>
      </c>
      <c r="R118" s="795"/>
      <c r="S118" s="641" t="s">
        <v>353</v>
      </c>
      <c r="T118" s="661">
        <f t="shared" si="13"/>
        <v>45991</v>
      </c>
      <c r="U118" s="657">
        <v>4498.1476563270862</v>
      </c>
      <c r="V118" s="789"/>
      <c r="W118" s="544">
        <f t="shared" si="14"/>
        <v>46058</v>
      </c>
      <c r="X118" s="780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77"/>
      <c r="J119" s="777"/>
      <c r="K119" s="272"/>
      <c r="L119" s="340">
        <v>10</v>
      </c>
      <c r="M119" s="434" t="s">
        <v>357</v>
      </c>
      <c r="N119" s="341" t="s">
        <v>300</v>
      </c>
      <c r="O119" s="566"/>
      <c r="P119" s="573">
        <v>0.05</v>
      </c>
      <c r="Q119" s="343">
        <f t="shared" si="12"/>
        <v>3472.75</v>
      </c>
      <c r="R119" s="795"/>
      <c r="S119" s="641" t="s">
        <v>354</v>
      </c>
      <c r="T119" s="661">
        <f t="shared" si="13"/>
        <v>46022</v>
      </c>
      <c r="U119" s="657">
        <v>2249.0681101340601</v>
      </c>
      <c r="V119" s="789"/>
      <c r="W119" s="544">
        <f t="shared" si="14"/>
        <v>46066</v>
      </c>
      <c r="X119" s="780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77"/>
      <c r="J120" s="777"/>
      <c r="K120" s="272"/>
      <c r="L120" s="340">
        <v>10</v>
      </c>
      <c r="M120" s="434" t="s">
        <v>357</v>
      </c>
      <c r="N120" s="341" t="s">
        <v>302</v>
      </c>
      <c r="O120" s="566"/>
      <c r="P120" s="573">
        <v>0.05</v>
      </c>
      <c r="Q120" s="343">
        <f t="shared" si="12"/>
        <v>3472.75</v>
      </c>
      <c r="R120" s="796"/>
      <c r="S120" s="641" t="s">
        <v>355</v>
      </c>
      <c r="T120" s="661">
        <f t="shared" si="13"/>
        <v>46022</v>
      </c>
      <c r="U120" s="657">
        <v>2249.0781101340599</v>
      </c>
      <c r="V120" s="789"/>
      <c r="W120" s="587">
        <f t="shared" si="14"/>
        <v>46096</v>
      </c>
      <c r="X120" s="780"/>
      <c r="Y120" s="484"/>
    </row>
    <row r="121" spans="1:25" ht="14.1" customHeight="1">
      <c r="B121" s="340">
        <v>10</v>
      </c>
      <c r="C121" s="341"/>
      <c r="D121" s="341"/>
      <c r="E121" s="342"/>
      <c r="F121" s="470"/>
      <c r="G121" s="343"/>
      <c r="H121" s="587"/>
      <c r="I121" s="777"/>
      <c r="J121" s="777"/>
      <c r="K121" s="272"/>
      <c r="L121" s="340">
        <v>10</v>
      </c>
      <c r="M121" s="434" t="s">
        <v>357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89"/>
      <c r="W121" s="587"/>
      <c r="X121" s="780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77"/>
      <c r="J122" s="777"/>
      <c r="K122" s="272"/>
      <c r="L122" s="340">
        <v>10</v>
      </c>
      <c r="M122" s="434" t="s">
        <v>357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89"/>
      <c r="W122" s="587"/>
      <c r="X122" s="780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78"/>
      <c r="J123" s="778"/>
      <c r="K123" s="275"/>
      <c r="L123" s="273">
        <v>10</v>
      </c>
      <c r="M123" s="435" t="s">
        <v>357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90"/>
      <c r="W123" s="588"/>
      <c r="X123" s="781"/>
      <c r="Y123" s="484"/>
    </row>
    <row r="124" spans="1:25" ht="13.9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6"/>
      <c r="G125" s="284">
        <v>23859.5</v>
      </c>
      <c r="H125" s="581">
        <v>45930</v>
      </c>
      <c r="I125" s="749">
        <f>SUM(G125:G129)</f>
        <v>158578.5</v>
      </c>
      <c r="J125" s="749">
        <f>F184</f>
        <v>186562.9411764706</v>
      </c>
      <c r="K125" s="285"/>
      <c r="L125" s="281">
        <v>11</v>
      </c>
      <c r="M125" s="351" t="s">
        <v>374</v>
      </c>
      <c r="N125" s="351" t="s">
        <v>373</v>
      </c>
      <c r="O125" s="283"/>
      <c r="P125" s="436"/>
      <c r="Q125" s="284">
        <v>26198.38</v>
      </c>
      <c r="R125" s="597"/>
      <c r="S125" s="634" t="s">
        <v>375</v>
      </c>
      <c r="T125" s="664">
        <v>45869</v>
      </c>
      <c r="U125" s="666">
        <v>38186.091434939968</v>
      </c>
      <c r="V125" s="767">
        <f>J125-SUM(U125:U129)</f>
        <v>2.4512299569323659E-3</v>
      </c>
      <c r="W125" s="541">
        <v>46051</v>
      </c>
      <c r="X125" s="764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376</v>
      </c>
      <c r="E126" s="314"/>
      <c r="F126" s="458"/>
      <c r="G126" s="315">
        <v>47719</v>
      </c>
      <c r="H126" s="653">
        <v>45930</v>
      </c>
      <c r="I126" s="750"/>
      <c r="J126" s="750"/>
      <c r="K126" s="288"/>
      <c r="L126" s="311">
        <v>11</v>
      </c>
      <c r="M126" s="389" t="s">
        <v>374</v>
      </c>
      <c r="N126" s="313" t="s">
        <v>377</v>
      </c>
      <c r="O126" s="314"/>
      <c r="P126" s="458"/>
      <c r="Q126" s="315">
        <v>7811.75</v>
      </c>
      <c r="R126" s="590" t="s">
        <v>378</v>
      </c>
      <c r="S126" s="627" t="s">
        <v>379</v>
      </c>
      <c r="T126" s="652">
        <v>45777</v>
      </c>
      <c r="U126" s="654">
        <v>32551.761582160296</v>
      </c>
      <c r="V126" s="768"/>
      <c r="W126" s="653">
        <v>45757</v>
      </c>
      <c r="X126" s="765"/>
      <c r="Y126" s="484"/>
    </row>
    <row r="127" spans="1:25" ht="15" customHeight="1">
      <c r="B127" s="311">
        <v>11</v>
      </c>
      <c r="C127" s="313"/>
      <c r="D127" s="313" t="s">
        <v>380</v>
      </c>
      <c r="E127" s="314"/>
      <c r="F127" s="458"/>
      <c r="G127" s="315">
        <v>80000</v>
      </c>
      <c r="H127" s="574">
        <v>45930</v>
      </c>
      <c r="I127" s="750"/>
      <c r="J127" s="750"/>
      <c r="K127" s="288"/>
      <c r="L127" s="311">
        <v>11</v>
      </c>
      <c r="M127" s="389" t="s">
        <v>374</v>
      </c>
      <c r="N127" s="313" t="s">
        <v>380</v>
      </c>
      <c r="O127" s="314"/>
      <c r="P127" s="458"/>
      <c r="Q127" s="315">
        <v>79700</v>
      </c>
      <c r="R127" s="590" t="s">
        <v>381</v>
      </c>
      <c r="S127" s="627" t="s">
        <v>382</v>
      </c>
      <c r="T127" s="662">
        <v>45869</v>
      </c>
      <c r="U127" s="667">
        <v>82803.663273176266</v>
      </c>
      <c r="V127" s="768"/>
      <c r="W127" s="574">
        <v>46112</v>
      </c>
      <c r="X127" s="765"/>
      <c r="Y127" s="484"/>
    </row>
    <row r="128" spans="1:25" ht="15" customHeight="1">
      <c r="B128" s="311">
        <v>11</v>
      </c>
      <c r="C128" s="387"/>
      <c r="D128" s="387" t="s">
        <v>383</v>
      </c>
      <c r="E128" s="405"/>
      <c r="F128" s="443"/>
      <c r="G128" s="386">
        <v>7000</v>
      </c>
      <c r="H128" s="538">
        <v>45930</v>
      </c>
      <c r="I128" s="750"/>
      <c r="J128" s="750"/>
      <c r="K128" s="288"/>
      <c r="L128" s="311">
        <v>11</v>
      </c>
      <c r="M128" s="389" t="s">
        <v>374</v>
      </c>
      <c r="N128" s="387" t="s">
        <v>383</v>
      </c>
      <c r="O128" s="405"/>
      <c r="P128" s="443"/>
      <c r="Q128" s="386">
        <v>5100</v>
      </c>
      <c r="R128" s="648" t="s">
        <v>384</v>
      </c>
      <c r="S128" s="628" t="s">
        <v>385</v>
      </c>
      <c r="T128" s="647">
        <v>45777</v>
      </c>
      <c r="U128" s="655">
        <v>21251.830136527347</v>
      </c>
      <c r="V128" s="768"/>
      <c r="W128" s="538">
        <v>45834</v>
      </c>
      <c r="X128" s="765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51"/>
      <c r="J129" s="751"/>
      <c r="K129" s="289"/>
      <c r="L129" s="316">
        <v>11</v>
      </c>
      <c r="M129" s="418" t="s">
        <v>374</v>
      </c>
      <c r="N129" s="317" t="s">
        <v>386</v>
      </c>
      <c r="O129" s="554"/>
      <c r="P129" s="459"/>
      <c r="Q129" s="330">
        <v>8000</v>
      </c>
      <c r="R129" s="592"/>
      <c r="S129" s="629"/>
      <c r="T129" s="522">
        <v>46081</v>
      </c>
      <c r="U129" s="506">
        <f>(Q129/$X$125*$J$125)</f>
        <v>11769.592298436764</v>
      </c>
      <c r="V129" s="769"/>
      <c r="W129" s="576">
        <f>T129+31</f>
        <v>46112</v>
      </c>
      <c r="X129" s="766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387</v>
      </c>
      <c r="D131" s="270" t="s">
        <v>388</v>
      </c>
      <c r="E131" s="271"/>
      <c r="F131" s="469"/>
      <c r="G131" s="338">
        <v>98739.298126621725</v>
      </c>
      <c r="H131" s="585">
        <v>45930</v>
      </c>
      <c r="I131" s="776">
        <f>SUM(G131:G132)</f>
        <v>131652.39750216232</v>
      </c>
      <c r="J131" s="776">
        <v>0</v>
      </c>
      <c r="K131" s="474"/>
      <c r="L131" s="269">
        <v>12</v>
      </c>
      <c r="M131" s="270" t="s">
        <v>389</v>
      </c>
      <c r="N131" s="270" t="s">
        <v>388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79">
        <f>SUM(Q131:Q132)</f>
        <v>0</v>
      </c>
      <c r="Y131" s="484"/>
    </row>
    <row r="132" spans="1:25" ht="15" customHeight="1" thickBot="1">
      <c r="B132" s="273">
        <v>12</v>
      </c>
      <c r="C132" s="344" t="s">
        <v>387</v>
      </c>
      <c r="D132" s="344" t="s">
        <v>390</v>
      </c>
      <c r="E132" s="345"/>
      <c r="F132" s="471"/>
      <c r="G132" s="274">
        <v>32913.09937554058</v>
      </c>
      <c r="H132" s="588">
        <v>45930</v>
      </c>
      <c r="I132" s="778"/>
      <c r="J132" s="778"/>
      <c r="K132" s="475"/>
      <c r="L132" s="273">
        <v>12</v>
      </c>
      <c r="M132" s="344" t="s">
        <v>389</v>
      </c>
      <c r="N132" s="344" t="s">
        <v>390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81"/>
      <c r="Y132" s="484"/>
    </row>
    <row r="133" spans="1:25" ht="14.25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391</v>
      </c>
      <c r="D134" s="351" t="s">
        <v>392</v>
      </c>
      <c r="E134" s="283"/>
      <c r="F134" s="436"/>
      <c r="G134" s="284">
        <v>74142.736000000004</v>
      </c>
      <c r="H134" s="574">
        <v>46022</v>
      </c>
      <c r="I134" s="749">
        <f>SUM(G134:G138)</f>
        <v>286542.73600000003</v>
      </c>
      <c r="J134" s="749">
        <f>F183</f>
        <v>325616.74545454548</v>
      </c>
      <c r="K134" s="285"/>
      <c r="L134" s="281">
        <v>13</v>
      </c>
      <c r="M134" s="351" t="s">
        <v>393</v>
      </c>
      <c r="N134" s="351" t="s">
        <v>394</v>
      </c>
      <c r="O134" s="551"/>
      <c r="P134" s="436"/>
      <c r="Q134" s="284">
        <f>'Project Plan'!$E$6*1.25%</f>
        <v>108660.607625</v>
      </c>
      <c r="R134" s="597"/>
      <c r="S134" s="634"/>
      <c r="T134" s="527">
        <v>46081</v>
      </c>
      <c r="U134" s="512">
        <f>(Q134/$X$134*$J$134)</f>
        <v>325616.74545454548</v>
      </c>
      <c r="V134" s="767">
        <f>J134-SUM(U134:U139)</f>
        <v>0</v>
      </c>
      <c r="W134" s="581">
        <f>T134+31</f>
        <v>46112</v>
      </c>
      <c r="X134" s="764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395</v>
      </c>
      <c r="E135" s="314"/>
      <c r="F135" s="458"/>
      <c r="G135" s="315">
        <v>48000</v>
      </c>
      <c r="H135" s="574">
        <v>46022</v>
      </c>
      <c r="I135" s="750"/>
      <c r="J135" s="750"/>
      <c r="K135" s="288"/>
      <c r="L135" s="311">
        <v>13</v>
      </c>
      <c r="M135" s="389" t="s">
        <v>393</v>
      </c>
      <c r="N135" s="313" t="s">
        <v>395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68"/>
      <c r="W135" s="574"/>
      <c r="X135" s="765"/>
      <c r="Y135" s="484"/>
    </row>
    <row r="136" spans="1:25" ht="15.75" customHeight="1">
      <c r="B136" s="311">
        <v>13</v>
      </c>
      <c r="C136" s="313"/>
      <c r="D136" s="313" t="s">
        <v>396</v>
      </c>
      <c r="E136" s="314"/>
      <c r="F136" s="458"/>
      <c r="G136" s="315">
        <v>68000</v>
      </c>
      <c r="H136" s="574">
        <v>46022</v>
      </c>
      <c r="I136" s="750"/>
      <c r="J136" s="750"/>
      <c r="K136" s="288"/>
      <c r="L136" s="311">
        <v>13</v>
      </c>
      <c r="M136" s="389" t="s">
        <v>393</v>
      </c>
      <c r="N136" s="313" t="s">
        <v>396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68"/>
      <c r="W136" s="574"/>
      <c r="X136" s="765"/>
      <c r="Y136" s="484"/>
    </row>
    <row r="137" spans="1:25" ht="15.75" customHeight="1">
      <c r="B137" s="311">
        <v>13</v>
      </c>
      <c r="C137" s="313"/>
      <c r="D137" s="313" t="s">
        <v>397</v>
      </c>
      <c r="E137" s="314"/>
      <c r="F137" s="458"/>
      <c r="G137" s="315">
        <v>62400</v>
      </c>
      <c r="H137" s="574">
        <v>46022</v>
      </c>
      <c r="I137" s="750"/>
      <c r="J137" s="750"/>
      <c r="K137" s="288"/>
      <c r="L137" s="311">
        <v>13</v>
      </c>
      <c r="M137" s="389" t="s">
        <v>393</v>
      </c>
      <c r="N137" s="313" t="s">
        <v>397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68"/>
      <c r="W137" s="574"/>
      <c r="X137" s="765"/>
      <c r="Y137" s="484"/>
    </row>
    <row r="138" spans="1:25" ht="15.75" customHeight="1">
      <c r="B138" s="311">
        <v>13</v>
      </c>
      <c r="C138" s="313"/>
      <c r="D138" s="313" t="s">
        <v>398</v>
      </c>
      <c r="E138" s="314"/>
      <c r="F138" s="458"/>
      <c r="G138" s="315">
        <v>34000</v>
      </c>
      <c r="H138" s="574">
        <v>46022</v>
      </c>
      <c r="I138" s="750"/>
      <c r="J138" s="750"/>
      <c r="K138" s="288"/>
      <c r="L138" s="311">
        <v>13</v>
      </c>
      <c r="M138" s="389" t="s">
        <v>393</v>
      </c>
      <c r="N138" s="313" t="s">
        <v>398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68"/>
      <c r="W138" s="574"/>
      <c r="X138" s="765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51"/>
      <c r="J139" s="751"/>
      <c r="K139" s="476"/>
      <c r="L139" s="316">
        <v>13</v>
      </c>
      <c r="M139" s="418" t="s">
        <v>393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69"/>
      <c r="W139" s="576"/>
      <c r="X139" s="766"/>
      <c r="Y139" s="484"/>
    </row>
    <row r="140" spans="1:25" ht="14.25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399</v>
      </c>
      <c r="D141" s="270" t="s">
        <v>400</v>
      </c>
      <c r="E141" s="271"/>
      <c r="F141" s="469"/>
      <c r="G141" s="338">
        <v>16625</v>
      </c>
      <c r="H141" s="658">
        <v>45785</v>
      </c>
      <c r="I141" s="776">
        <f>SUM(G141:G153)</f>
        <v>16625</v>
      </c>
      <c r="J141" s="776">
        <f>F194</f>
        <v>19558.823529411766</v>
      </c>
      <c r="K141" s="339"/>
      <c r="L141" s="269">
        <v>14</v>
      </c>
      <c r="M141" s="433" t="s">
        <v>401</v>
      </c>
      <c r="N141" s="270" t="s">
        <v>402</v>
      </c>
      <c r="O141" s="565"/>
      <c r="P141" s="469"/>
      <c r="Q141" s="338">
        <v>2022.74</v>
      </c>
      <c r="R141" s="603"/>
      <c r="S141" s="639" t="s">
        <v>403</v>
      </c>
      <c r="T141" s="650">
        <v>45777</v>
      </c>
      <c r="U141" s="656">
        <v>2581.9412654578982</v>
      </c>
      <c r="V141" s="788">
        <f>J141-SUM(U141:U153)</f>
        <v>-1.2046929587086197E-3</v>
      </c>
      <c r="W141" s="658">
        <v>45785</v>
      </c>
      <c r="X141" s="779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77"/>
      <c r="J142" s="777"/>
      <c r="K142" s="272"/>
      <c r="L142" s="340">
        <v>14</v>
      </c>
      <c r="M142" s="434" t="s">
        <v>401</v>
      </c>
      <c r="N142" s="341" t="s">
        <v>402</v>
      </c>
      <c r="O142" s="566"/>
      <c r="P142" s="470"/>
      <c r="Q142" s="343">
        <v>0</v>
      </c>
      <c r="R142" s="605"/>
      <c r="S142" s="641" t="s">
        <v>404</v>
      </c>
      <c r="T142" s="651">
        <f t="shared" ref="T142" si="17">IF(W142&gt;1,EOMONTH(W142,0),"")</f>
        <v>45777</v>
      </c>
      <c r="U142" s="657">
        <v>0</v>
      </c>
      <c r="V142" s="789"/>
      <c r="W142" s="659">
        <v>45777</v>
      </c>
      <c r="X142" s="780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77"/>
      <c r="J143" s="777"/>
      <c r="K143" s="272"/>
      <c r="L143" s="340">
        <v>14</v>
      </c>
      <c r="M143" s="434" t="s">
        <v>401</v>
      </c>
      <c r="N143" s="341" t="s">
        <v>402</v>
      </c>
      <c r="O143" s="566"/>
      <c r="P143" s="470"/>
      <c r="Q143" s="343">
        <v>1399.4599999999998</v>
      </c>
      <c r="R143" s="605"/>
      <c r="S143" s="641" t="s">
        <v>404</v>
      </c>
      <c r="T143" s="661">
        <v>45808</v>
      </c>
      <c r="U143" s="668">
        <v>3254.7880633638042</v>
      </c>
      <c r="V143" s="789"/>
      <c r="W143" s="544">
        <v>45817</v>
      </c>
      <c r="X143" s="780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77"/>
      <c r="J144" s="777"/>
      <c r="K144" s="272"/>
      <c r="L144" s="340">
        <v>14</v>
      </c>
      <c r="M144" s="434" t="s">
        <v>401</v>
      </c>
      <c r="N144" s="341" t="s">
        <v>402</v>
      </c>
      <c r="O144" s="566"/>
      <c r="P144" s="470"/>
      <c r="Q144" s="343">
        <v>3154.74</v>
      </c>
      <c r="R144" s="605"/>
      <c r="S144" s="641" t="s">
        <v>404</v>
      </c>
      <c r="T144" s="661">
        <v>45838</v>
      </c>
      <c r="U144" s="668">
        <v>5031.9454560193735</v>
      </c>
      <c r="V144" s="789"/>
      <c r="W144" s="544">
        <v>45842</v>
      </c>
      <c r="X144" s="780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77"/>
      <c r="J145" s="777"/>
      <c r="K145" s="272"/>
      <c r="L145" s="340">
        <v>14</v>
      </c>
      <c r="M145" s="434" t="s">
        <v>401</v>
      </c>
      <c r="N145" s="341" t="s">
        <v>402</v>
      </c>
      <c r="O145" s="566"/>
      <c r="P145" s="470"/>
      <c r="Q145" s="343">
        <v>0</v>
      </c>
      <c r="R145" s="605"/>
      <c r="S145" s="641" t="s">
        <v>404</v>
      </c>
      <c r="T145" s="661">
        <v>45869</v>
      </c>
      <c r="U145" s="668">
        <v>0</v>
      </c>
      <c r="V145" s="789"/>
      <c r="W145" s="544">
        <v>45869</v>
      </c>
      <c r="X145" s="780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77"/>
      <c r="J146" s="777"/>
      <c r="K146" s="272"/>
      <c r="L146" s="340">
        <v>14</v>
      </c>
      <c r="M146" s="434" t="s">
        <v>401</v>
      </c>
      <c r="N146" s="341" t="s">
        <v>402</v>
      </c>
      <c r="O146" s="566"/>
      <c r="P146" s="470"/>
      <c r="Q146" s="343">
        <v>0</v>
      </c>
      <c r="R146" s="605"/>
      <c r="S146" s="641" t="s">
        <v>404</v>
      </c>
      <c r="T146" s="651">
        <v>45900</v>
      </c>
      <c r="U146" s="518">
        <f>(Q146/$X$141*$J$141)</f>
        <v>0</v>
      </c>
      <c r="V146" s="789"/>
      <c r="W146" s="659">
        <v>45900</v>
      </c>
      <c r="X146" s="780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77"/>
      <c r="J147" s="777"/>
      <c r="K147" s="272"/>
      <c r="L147" s="340">
        <v>14</v>
      </c>
      <c r="M147" s="434" t="s">
        <v>401</v>
      </c>
      <c r="N147" s="341" t="s">
        <v>402</v>
      </c>
      <c r="O147" s="566"/>
      <c r="P147" s="470"/>
      <c r="Q147" s="343">
        <v>980.56</v>
      </c>
      <c r="R147" s="605"/>
      <c r="S147" s="641" t="s">
        <v>404</v>
      </c>
      <c r="T147" s="651">
        <v>45930</v>
      </c>
      <c r="U147" s="657">
        <v>2071.1253658536589</v>
      </c>
      <c r="V147" s="789"/>
      <c r="W147" s="659">
        <v>45940</v>
      </c>
      <c r="X147" s="780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77"/>
      <c r="J148" s="777"/>
      <c r="K148" s="272"/>
      <c r="L148" s="340">
        <v>14</v>
      </c>
      <c r="M148" s="434" t="s">
        <v>401</v>
      </c>
      <c r="N148" s="341" t="s">
        <v>402</v>
      </c>
      <c r="O148" s="566"/>
      <c r="P148" s="470"/>
      <c r="Q148" s="343">
        <v>3618.49</v>
      </c>
      <c r="R148" s="605"/>
      <c r="S148" s="641" t="s">
        <v>404</v>
      </c>
      <c r="T148" s="651">
        <v>45961</v>
      </c>
      <c r="U148" s="657">
        <v>3650.1620056816359</v>
      </c>
      <c r="V148" s="789"/>
      <c r="W148" s="659">
        <v>45967</v>
      </c>
      <c r="X148" s="780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77"/>
      <c r="J149" s="777"/>
      <c r="K149" s="272"/>
      <c r="L149" s="340">
        <v>14</v>
      </c>
      <c r="M149" s="434" t="s">
        <v>401</v>
      </c>
      <c r="N149" s="341" t="s">
        <v>402</v>
      </c>
      <c r="O149" s="566"/>
      <c r="P149" s="470"/>
      <c r="Q149" s="343">
        <v>1827.75</v>
      </c>
      <c r="R149" s="605"/>
      <c r="S149" s="641" t="s">
        <v>404</v>
      </c>
      <c r="T149" s="651">
        <v>45991</v>
      </c>
      <c r="U149" s="657">
        <v>1572.1723044759729</v>
      </c>
      <c r="V149" s="789"/>
      <c r="W149" s="659">
        <v>45996</v>
      </c>
      <c r="X149" s="780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77"/>
      <c r="J150" s="777"/>
      <c r="K150" s="272"/>
      <c r="L150" s="340">
        <v>14</v>
      </c>
      <c r="M150" s="434" t="s">
        <v>401</v>
      </c>
      <c r="N150" s="341" t="s">
        <v>402</v>
      </c>
      <c r="O150" s="566"/>
      <c r="P150" s="470"/>
      <c r="Q150" s="343">
        <v>495.04</v>
      </c>
      <c r="R150" s="605"/>
      <c r="S150" s="641" t="s">
        <v>404</v>
      </c>
      <c r="T150" s="651">
        <v>46022</v>
      </c>
      <c r="U150" s="657">
        <v>698.10027325238354</v>
      </c>
      <c r="V150" s="789"/>
      <c r="W150" s="659">
        <v>46030</v>
      </c>
      <c r="X150" s="780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77"/>
      <c r="J151" s="777"/>
      <c r="K151" s="272"/>
      <c r="L151" s="340">
        <v>14</v>
      </c>
      <c r="M151" s="434" t="s">
        <v>401</v>
      </c>
      <c r="N151" s="341" t="s">
        <v>402</v>
      </c>
      <c r="O151" s="566"/>
      <c r="P151" s="470"/>
      <c r="Q151" s="343">
        <v>990.08</v>
      </c>
      <c r="R151" s="605"/>
      <c r="S151" s="641" t="s">
        <v>404</v>
      </c>
      <c r="T151" s="651">
        <v>46053</v>
      </c>
      <c r="U151" s="657">
        <v>349.29500000000002</v>
      </c>
      <c r="V151" s="789"/>
      <c r="W151" s="659">
        <v>46058</v>
      </c>
      <c r="X151" s="780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77"/>
      <c r="J152" s="777"/>
      <c r="K152" s="272"/>
      <c r="L152" s="340">
        <v>14</v>
      </c>
      <c r="M152" s="434" t="s">
        <v>401</v>
      </c>
      <c r="N152" s="341" t="s">
        <v>402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89"/>
      <c r="W152" s="587">
        <v>46086</v>
      </c>
      <c r="X152" s="780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78"/>
      <c r="J153" s="778"/>
      <c r="K153" s="275"/>
      <c r="L153" s="273">
        <v>14</v>
      </c>
      <c r="M153" s="435" t="s">
        <v>401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90"/>
      <c r="W153" s="588"/>
      <c r="X153" s="781"/>
      <c r="Y153" s="484"/>
    </row>
    <row r="154" spans="1:25" ht="14.25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405</v>
      </c>
      <c r="D155" s="282" t="s">
        <v>406</v>
      </c>
      <c r="E155" s="283"/>
      <c r="F155" s="436"/>
      <c r="G155" s="284">
        <f>D191</f>
        <v>1800000</v>
      </c>
      <c r="H155" s="541">
        <v>45849</v>
      </c>
      <c r="I155" s="749">
        <f>SUM(G155:G166)</f>
        <v>1800000</v>
      </c>
      <c r="J155" s="749">
        <f>F191</f>
        <v>1800000</v>
      </c>
      <c r="K155" s="285"/>
      <c r="L155" s="281">
        <v>15</v>
      </c>
      <c r="M155" s="351" t="s">
        <v>407</v>
      </c>
      <c r="N155" s="282" t="s">
        <v>408</v>
      </c>
      <c r="O155" s="283"/>
      <c r="P155" s="436"/>
      <c r="Q155" s="284">
        <v>752000</v>
      </c>
      <c r="R155" s="597"/>
      <c r="S155" s="634" t="s">
        <v>409</v>
      </c>
      <c r="T155" s="664">
        <v>45838</v>
      </c>
      <c r="U155" s="666">
        <v>865473.14578005113</v>
      </c>
      <c r="V155" s="767">
        <f>J155-SUM(U155:U166)</f>
        <v>-1.560102216899395E-3</v>
      </c>
      <c r="W155" s="541">
        <v>45849</v>
      </c>
      <c r="X155" s="764">
        <f>SUM(Q155:Q166)</f>
        <v>1528350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50"/>
      <c r="J156" s="750"/>
      <c r="K156" s="288"/>
      <c r="L156" s="311">
        <v>15</v>
      </c>
      <c r="M156" s="389" t="s">
        <v>407</v>
      </c>
      <c r="N156" s="313" t="s">
        <v>410</v>
      </c>
      <c r="O156" s="552"/>
      <c r="P156" s="458"/>
      <c r="Q156" s="315">
        <v>752000</v>
      </c>
      <c r="R156" s="590"/>
      <c r="S156" s="627" t="s">
        <v>409</v>
      </c>
      <c r="T156" s="662">
        <v>45838</v>
      </c>
      <c r="U156" s="667">
        <v>865473.14578005113</v>
      </c>
      <c r="V156" s="768"/>
      <c r="W156" s="653">
        <v>46037</v>
      </c>
      <c r="X156" s="765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50"/>
      <c r="J157" s="750"/>
      <c r="K157" s="288"/>
      <c r="L157" s="311">
        <v>15</v>
      </c>
      <c r="M157" s="389" t="s">
        <v>407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68"/>
      <c r="W157" s="574"/>
      <c r="X157" s="765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50"/>
      <c r="J158" s="750"/>
      <c r="K158" s="288"/>
      <c r="L158" s="311">
        <v>15</v>
      </c>
      <c r="M158" s="389" t="s">
        <v>407</v>
      </c>
      <c r="N158" s="313" t="s">
        <v>411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68"/>
      <c r="W158" s="537">
        <v>45900</v>
      </c>
      <c r="X158" s="765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50"/>
      <c r="J159" s="750"/>
      <c r="K159" s="288"/>
      <c r="L159" s="311">
        <v>15</v>
      </c>
      <c r="M159" s="389" t="s">
        <v>407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68"/>
      <c r="W159" s="574"/>
      <c r="X159" s="765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50"/>
      <c r="J160" s="750"/>
      <c r="K160" s="288"/>
      <c r="L160" s="311">
        <v>15</v>
      </c>
      <c r="M160" s="389" t="s">
        <v>407</v>
      </c>
      <c r="N160" s="313" t="s">
        <v>412</v>
      </c>
      <c r="O160" s="552"/>
      <c r="P160" s="458"/>
      <c r="Q160" s="315">
        <v>19400</v>
      </c>
      <c r="R160" s="590"/>
      <c r="S160" s="627" t="s">
        <v>413</v>
      </c>
      <c r="T160" s="652">
        <v>45930</v>
      </c>
      <c r="U160" s="504">
        <v>0</v>
      </c>
      <c r="V160" s="768"/>
      <c r="W160" s="537">
        <v>45954</v>
      </c>
      <c r="X160" s="765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50"/>
      <c r="J161" s="750"/>
      <c r="K161" s="288"/>
      <c r="L161" s="311">
        <v>15</v>
      </c>
      <c r="M161" s="389" t="s">
        <v>407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68"/>
      <c r="W161" s="574"/>
      <c r="X161" s="765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50"/>
      <c r="J162" s="750"/>
      <c r="K162" s="288"/>
      <c r="L162" s="311">
        <v>15</v>
      </c>
      <c r="M162" s="389" t="s">
        <v>407</v>
      </c>
      <c r="N162" s="313" t="s">
        <v>414</v>
      </c>
      <c r="O162" s="552"/>
      <c r="P162" s="458"/>
      <c r="Q162" s="315">
        <v>4950</v>
      </c>
      <c r="R162" s="590" t="s">
        <v>415</v>
      </c>
      <c r="S162" s="627" t="s">
        <v>416</v>
      </c>
      <c r="T162" s="662">
        <v>45991</v>
      </c>
      <c r="U162" s="504">
        <v>0</v>
      </c>
      <c r="V162" s="768"/>
      <c r="W162" s="537">
        <v>45989</v>
      </c>
      <c r="X162" s="765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50"/>
      <c r="J163" s="750"/>
      <c r="K163" s="288"/>
      <c r="L163" s="311">
        <v>15</v>
      </c>
      <c r="M163" s="389" t="s">
        <v>407</v>
      </c>
      <c r="N163" s="313"/>
      <c r="O163" s="552"/>
      <c r="P163" s="458"/>
      <c r="Q163" s="315"/>
      <c r="R163" s="590"/>
      <c r="S163" s="627"/>
      <c r="T163" s="520" t="str">
        <f t="shared" si="18"/>
        <v/>
      </c>
      <c r="U163" s="504">
        <f t="shared" si="19"/>
        <v>0</v>
      </c>
      <c r="V163" s="768"/>
      <c r="W163" s="574"/>
      <c r="X163" s="765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50"/>
      <c r="J164" s="750"/>
      <c r="K164" s="288"/>
      <c r="L164" s="311">
        <v>15</v>
      </c>
      <c r="M164" s="389" t="s">
        <v>407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68"/>
      <c r="W164" s="574"/>
      <c r="X164" s="765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50"/>
      <c r="J165" s="750"/>
      <c r="K165" s="288"/>
      <c r="L165" s="311">
        <v>15</v>
      </c>
      <c r="M165" s="389" t="s">
        <v>407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68"/>
      <c r="W165" s="574"/>
      <c r="X165" s="765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51"/>
      <c r="J166" s="751"/>
      <c r="K166" s="289"/>
      <c r="L166" s="316">
        <v>15</v>
      </c>
      <c r="M166" s="418" t="s">
        <v>407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69"/>
      <c r="W166" s="576"/>
      <c r="X166" s="766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417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418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419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283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319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305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420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421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422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425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426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427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428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429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430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431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432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433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434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435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422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436</v>
      </c>
      <c r="D193" s="644"/>
      <c r="E193" s="546"/>
      <c r="F193" s="644"/>
      <c r="I193" s="256"/>
      <c r="J193" s="256"/>
    </row>
    <row r="194" spans="3:10" s="112" customFormat="1">
      <c r="C194" s="644" t="s">
        <v>437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  <mergeCell ref="X125:X129"/>
    <mergeCell ref="I131:I132"/>
    <mergeCell ref="J131:J132"/>
    <mergeCell ref="X131:X132"/>
    <mergeCell ref="V125:V129"/>
    <mergeCell ref="I125:I129"/>
    <mergeCell ref="J125:J129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topRight" activeCell="X33" sqref="X33"/>
      <selection pane="bottomLeft" activeCell="X33" sqref="X33"/>
      <selection pane="bottomRight" activeCell="BI11" sqref="BI11"/>
    </sheetView>
  </sheetViews>
  <sheetFormatPr defaultColWidth="9.265625" defaultRowHeight="14.25"/>
  <cols>
    <col min="1" max="1" width="9.265625" customWidth="1"/>
    <col min="2" max="2" width="34.73046875" customWidth="1"/>
    <col min="3" max="3" width="18.73046875" bestFit="1" customWidth="1"/>
    <col min="4" max="4" width="21.13281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1"/>
  </cols>
  <sheetData>
    <row r="1" spans="1:794">
      <c r="D1" s="187" t="s">
        <v>438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13" t="s">
        <v>439</v>
      </c>
      <c r="B2" s="192"/>
      <c r="C2" s="193" t="s">
        <v>241</v>
      </c>
      <c r="D2" s="193" t="s">
        <v>241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14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434642.43050000002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14"/>
      <c r="B4" s="195" t="s">
        <v>440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8692848.6100000013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714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714"/>
      <c r="B6" s="199" t="s">
        <v>441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714"/>
      <c r="B7" s="204" t="s">
        <v>442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526609.59649783745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13" t="s">
        <v>75</v>
      </c>
      <c r="B8" s="192"/>
      <c r="C8" s="193" t="s">
        <v>241</v>
      </c>
      <c r="D8" s="193" t="s">
        <v>241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14"/>
      <c r="B9" s="209" t="s">
        <v>443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14"/>
      <c r="B10" s="209" t="s">
        <v>444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714"/>
      <c r="B11" s="212" t="s">
        <v>445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84138.9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196360.607625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0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714"/>
      <c r="B12" s="212" t="s">
        <v>446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6812864.8950000005</v>
      </c>
      <c r="BL12" s="214">
        <f t="shared" si="26"/>
        <v>6813364.8950000005</v>
      </c>
      <c r="BM12" s="214">
        <f t="shared" si="26"/>
        <v>6889290.8200000003</v>
      </c>
      <c r="BN12" s="214">
        <f t="shared" si="26"/>
        <v>6889290.8200000003</v>
      </c>
      <c r="BO12" s="214">
        <f t="shared" si="26"/>
        <v>6889290.8200000003</v>
      </c>
      <c r="BP12" s="214">
        <f t="shared" si="26"/>
        <v>7085651.4276250005</v>
      </c>
      <c r="BQ12" s="214">
        <f t="shared" si="26"/>
        <v>7085651.4276250005</v>
      </c>
      <c r="BR12" s="214">
        <f t="shared" si="26"/>
        <v>7085651.4276250005</v>
      </c>
      <c r="BS12" s="214">
        <f t="shared" si="26"/>
        <v>7085651.4276250005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714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14"/>
      <c r="B14" s="204" t="s">
        <v>447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1879983.7150000008</v>
      </c>
      <c r="BL14" s="207">
        <f t="shared" si="32"/>
        <v>1879483.7150000008</v>
      </c>
      <c r="BM14" s="207">
        <f t="shared" si="32"/>
        <v>1803557.790000001</v>
      </c>
      <c r="BN14" s="207">
        <f t="shared" si="32"/>
        <v>1803557.790000001</v>
      </c>
      <c r="BO14" s="207">
        <f t="shared" si="32"/>
        <v>1803557.790000001</v>
      </c>
      <c r="BP14" s="207">
        <f t="shared" si="32"/>
        <v>1607197.1823750008</v>
      </c>
      <c r="BQ14" s="207">
        <f t="shared" si="32"/>
        <v>1607197.1823750008</v>
      </c>
      <c r="BR14" s="207">
        <f t="shared" si="32"/>
        <v>1607197.1823750008</v>
      </c>
      <c r="BS14" s="207">
        <f t="shared" si="32"/>
        <v>1607197.1823750008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241</v>
      </c>
      <c r="D16" s="193" t="s">
        <v>241</v>
      </c>
    </row>
    <row r="17" spans="1:316">
      <c r="A17" s="715"/>
      <c r="B17" s="195" t="s">
        <v>448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337735.63275298226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0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715"/>
      <c r="B18" s="195" t="s">
        <v>449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8692848.595737746</v>
      </c>
      <c r="BL18" s="214">
        <f t="shared" si="37"/>
        <v>8692848.595737746</v>
      </c>
      <c r="BM18" s="214">
        <f t="shared" si="37"/>
        <v>8692848.595737746</v>
      </c>
      <c r="BN18" s="214">
        <f t="shared" si="37"/>
        <v>8692848.595737746</v>
      </c>
      <c r="BO18" s="214">
        <f t="shared" si="37"/>
        <v>8692848.595737746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3281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4" width="13.265625" style="365" bestFit="1" customWidth="1"/>
    <col min="5" max="5" width="14.73046875" style="365" bestFit="1" customWidth="1"/>
    <col min="6" max="7" width="13.265625" style="365" bestFit="1" customWidth="1"/>
    <col min="8" max="8" width="12" style="365" bestFit="1" customWidth="1"/>
    <col min="9" max="9" width="11.73046875" style="365" bestFit="1" customWidth="1"/>
    <col min="10" max="11" width="13.265625" style="365" bestFit="1" customWidth="1"/>
    <col min="12" max="12" width="4.73046875" style="365" bestFit="1" customWidth="1"/>
    <col min="13" max="13" width="10.73046875" style="365" bestFit="1" customWidth="1"/>
    <col min="14" max="14" width="13.265625" style="365" bestFit="1" customWidth="1"/>
    <col min="15" max="15" width="14.73046875" style="365" bestFit="1" customWidth="1"/>
    <col min="16" max="18" width="11.265625" style="365" bestFit="1" customWidth="1"/>
    <col min="19" max="19" width="13.73046875" style="365" bestFit="1" customWidth="1"/>
    <col min="20" max="16384" width="12.1328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450</v>
      </c>
      <c r="B3" s="445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452</v>
      </c>
      <c r="B4" t="s">
        <v>453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454</v>
      </c>
      <c r="P4"/>
      <c r="Q4"/>
      <c r="R4"/>
      <c r="S4"/>
      <c r="T4"/>
    </row>
    <row r="5" spans="1:20">
      <c r="A5" s="446" t="s">
        <v>453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244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256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267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280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306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320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349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357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374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393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401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407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389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454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3046875" defaultRowHeight="14.25"/>
  <cols>
    <col min="1" max="1" width="21.73046875" bestFit="1" customWidth="1"/>
    <col min="2" max="2" width="17.265625" style="406" bestFit="1" customWidth="1"/>
    <col min="3" max="3" width="12" style="406" bestFit="1" customWidth="1"/>
    <col min="4" max="4" width="13.265625" style="406" bestFit="1" customWidth="1"/>
    <col min="5" max="5" width="14.73046875" style="406" bestFit="1" customWidth="1"/>
    <col min="6" max="8" width="13.265625" style="406" bestFit="1" customWidth="1"/>
    <col min="9" max="9" width="12" style="406" bestFit="1" customWidth="1"/>
    <col min="10" max="11" width="13.265625" bestFit="1" customWidth="1"/>
    <col min="12" max="12" width="14.73046875" bestFit="1" customWidth="1"/>
    <col min="13" max="14" width="13.265625" bestFit="1" customWidth="1"/>
    <col min="15" max="15" width="14.73046875" bestFit="1" customWidth="1"/>
    <col min="16" max="16" width="10.73046875" bestFit="1" customWidth="1"/>
    <col min="17" max="18" width="11.73046875" bestFit="1" customWidth="1"/>
    <col min="19" max="19" width="13.265625" bestFit="1" customWidth="1"/>
  </cols>
  <sheetData>
    <row r="3" spans="1:15">
      <c r="A3" s="445" t="s">
        <v>455</v>
      </c>
      <c r="B3" s="445" t="s">
        <v>451</v>
      </c>
      <c r="C3"/>
      <c r="D3"/>
      <c r="E3"/>
      <c r="F3"/>
      <c r="G3"/>
      <c r="H3"/>
      <c r="I3"/>
    </row>
    <row r="4" spans="1:15">
      <c r="A4" s="445" t="s">
        <v>452</v>
      </c>
      <c r="B4" t="s">
        <v>453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454</v>
      </c>
    </row>
    <row r="5" spans="1:15">
      <c r="A5" s="446" t="s">
        <v>453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244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256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267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280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306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320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327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349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357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374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393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401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407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389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325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454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25"/>
  <cols>
    <col min="1" max="1" width="6.1328125" customWidth="1"/>
    <col min="2" max="2" width="21.1328125" customWidth="1"/>
    <col min="3" max="3" width="28.73046875" customWidth="1"/>
    <col min="4" max="4" width="15.265625" customWidth="1"/>
    <col min="5" max="5" width="16.73046875" customWidth="1"/>
    <col min="6" max="6" width="5.73046875" customWidth="1"/>
  </cols>
  <sheetData>
    <row r="1" spans="2:15" ht="14.65" thickBot="1"/>
    <row r="2" spans="2:15" ht="18">
      <c r="B2" s="801" t="s">
        <v>456</v>
      </c>
      <c r="C2" s="801"/>
      <c r="D2" s="801"/>
      <c r="E2" s="801"/>
      <c r="H2" s="802" t="s">
        <v>457</v>
      </c>
      <c r="I2" s="803"/>
      <c r="J2" s="803"/>
      <c r="K2" s="803"/>
      <c r="L2" s="803"/>
      <c r="M2" s="803"/>
      <c r="N2" s="803"/>
      <c r="O2" s="804"/>
    </row>
    <row r="3" spans="2:15">
      <c r="B3" s="689"/>
      <c r="H3" s="805"/>
      <c r="I3" s="806"/>
      <c r="J3" s="806"/>
      <c r="K3" s="806"/>
      <c r="L3" s="806"/>
      <c r="M3" s="806"/>
      <c r="N3" s="806"/>
      <c r="O3" s="807"/>
    </row>
    <row r="4" spans="2:15">
      <c r="B4" s="690" t="s">
        <v>458</v>
      </c>
      <c r="C4" s="691" t="str">
        <f>'Project Plan'!E2</f>
        <v>Gezina Galleries</v>
      </c>
      <c r="H4" s="805"/>
      <c r="I4" s="806"/>
      <c r="J4" s="806"/>
      <c r="K4" s="806"/>
      <c r="L4" s="806"/>
      <c r="M4" s="806"/>
      <c r="N4" s="806"/>
      <c r="O4" s="807"/>
    </row>
    <row r="5" spans="2:15">
      <c r="B5" s="690" t="s">
        <v>459</v>
      </c>
      <c r="C5" s="691" t="s">
        <v>460</v>
      </c>
      <c r="H5" s="805"/>
      <c r="I5" s="806"/>
      <c r="J5" s="806"/>
      <c r="K5" s="806"/>
      <c r="L5" s="806"/>
      <c r="M5" s="806"/>
      <c r="N5" s="806"/>
      <c r="O5" s="807"/>
    </row>
    <row r="6" spans="2:15">
      <c r="B6" s="690" t="s">
        <v>461</v>
      </c>
      <c r="C6" s="691" t="s">
        <v>462</v>
      </c>
      <c r="H6" s="805"/>
      <c r="I6" s="806"/>
      <c r="J6" s="806"/>
      <c r="K6" s="806"/>
      <c r="L6" s="806"/>
      <c r="M6" s="806"/>
      <c r="N6" s="806"/>
      <c r="O6" s="807"/>
    </row>
    <row r="7" spans="2:15">
      <c r="B7" s="690" t="s">
        <v>463</v>
      </c>
      <c r="C7" s="691" t="s">
        <v>464</v>
      </c>
      <c r="H7" s="805"/>
      <c r="I7" s="806"/>
      <c r="J7" s="806"/>
      <c r="K7" s="806"/>
      <c r="L7" s="806"/>
      <c r="M7" s="806"/>
      <c r="N7" s="806"/>
      <c r="O7" s="807"/>
    </row>
    <row r="8" spans="2:15">
      <c r="B8" s="689"/>
      <c r="H8" s="805"/>
      <c r="I8" s="806"/>
      <c r="J8" s="806"/>
      <c r="K8" s="806"/>
      <c r="L8" s="806"/>
      <c r="M8" s="806"/>
      <c r="N8" s="806"/>
      <c r="O8" s="807"/>
    </row>
    <row r="9" spans="2:15">
      <c r="B9" s="811" t="s">
        <v>465</v>
      </c>
      <c r="C9" s="811"/>
      <c r="D9" s="811"/>
      <c r="E9" s="81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5"/>
      <c r="I9" s="806"/>
      <c r="J9" s="806"/>
      <c r="K9" s="806"/>
      <c r="L9" s="806"/>
      <c r="M9" s="806"/>
      <c r="N9" s="806"/>
      <c r="O9" s="807"/>
    </row>
    <row r="10" spans="2:15" ht="14.65" thickBot="1">
      <c r="B10" s="811" t="s">
        <v>466</v>
      </c>
      <c r="C10" s="811"/>
      <c r="D10" s="811"/>
      <c r="E10" s="811"/>
      <c r="H10" s="808"/>
      <c r="I10" s="809"/>
      <c r="J10" s="809"/>
      <c r="K10" s="809"/>
      <c r="L10" s="809"/>
      <c r="M10" s="809"/>
      <c r="N10" s="809"/>
      <c r="O10" s="810"/>
    </row>
    <row r="11" spans="2:15">
      <c r="B11" s="692" t="s">
        <v>467</v>
      </c>
      <c r="C11" s="800" t="s">
        <v>468</v>
      </c>
      <c r="D11" s="800"/>
      <c r="E11" s="800"/>
    </row>
    <row r="12" spans="2:15">
      <c r="B12" s="692" t="s">
        <v>469</v>
      </c>
      <c r="C12" s="800" t="s">
        <v>468</v>
      </c>
      <c r="D12" s="800"/>
      <c r="E12" s="800"/>
    </row>
    <row r="13" spans="2:15">
      <c r="B13" s="692" t="s">
        <v>470</v>
      </c>
      <c r="C13" s="800" t="s">
        <v>468</v>
      </c>
      <c r="D13" s="800"/>
      <c r="E13" s="800"/>
    </row>
    <row r="14" spans="2:15">
      <c r="B14" s="692" t="s">
        <v>471</v>
      </c>
      <c r="C14" s="800" t="s">
        <v>472</v>
      </c>
      <c r="D14" s="800"/>
      <c r="E14" s="800"/>
    </row>
    <row r="15" spans="2:15">
      <c r="B15" s="692" t="s">
        <v>473</v>
      </c>
      <c r="C15" s="800" t="s">
        <v>474</v>
      </c>
      <c r="D15" s="800"/>
      <c r="E15" s="800"/>
    </row>
    <row r="16" spans="2:15" ht="15" customHeight="1">
      <c r="B16" s="692" t="s">
        <v>475</v>
      </c>
      <c r="C16" s="800" t="s">
        <v>476</v>
      </c>
      <c r="D16" s="800"/>
      <c r="E16" s="800"/>
    </row>
    <row r="17" spans="2:5">
      <c r="B17" s="689"/>
    </row>
    <row r="18" spans="2:5">
      <c r="B18" s="812" t="s">
        <v>477</v>
      </c>
      <c r="C18" s="812"/>
      <c r="D18" s="812"/>
      <c r="E18" s="812"/>
    </row>
    <row r="19" spans="2:5">
      <c r="B19" s="692" t="s">
        <v>478</v>
      </c>
      <c r="C19" s="692" t="s">
        <v>479</v>
      </c>
      <c r="D19" s="692" t="s">
        <v>480</v>
      </c>
      <c r="E19" s="692" t="s">
        <v>62</v>
      </c>
    </row>
    <row r="20" spans="2:5" ht="15" customHeight="1">
      <c r="B20" s="692" t="s">
        <v>481</v>
      </c>
      <c r="C20" s="692" t="s">
        <v>482</v>
      </c>
      <c r="D20" s="693" t="s">
        <v>483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3046875" defaultRowHeight="14.25"/>
  <cols>
    <col min="4" max="4" width="9" customWidth="1"/>
  </cols>
  <sheetData>
    <row r="1" spans="1:4">
      <c r="A1" s="110" t="s">
        <v>484</v>
      </c>
    </row>
    <row r="2" spans="1:4">
      <c r="A2" s="814"/>
      <c r="B2" s="814"/>
      <c r="C2" s="814"/>
      <c r="D2" s="71"/>
    </row>
    <row r="3" spans="1:4">
      <c r="A3" s="813" t="s">
        <v>485</v>
      </c>
      <c r="B3" s="813"/>
      <c r="C3" s="813"/>
      <c r="D3" s="111">
        <v>0.32</v>
      </c>
    </row>
    <row r="4" spans="1:4">
      <c r="A4" s="813" t="s">
        <v>425</v>
      </c>
      <c r="B4" s="813"/>
      <c r="C4" s="813"/>
      <c r="D4" s="111">
        <v>0.5</v>
      </c>
    </row>
    <row r="5" spans="1:4">
      <c r="A5" s="813" t="s">
        <v>436</v>
      </c>
      <c r="B5" s="813"/>
      <c r="C5" s="813"/>
      <c r="D5" s="111">
        <v>0.15</v>
      </c>
    </row>
    <row r="6" spans="1:4">
      <c r="A6" s="813" t="s">
        <v>486</v>
      </c>
      <c r="B6" s="813"/>
      <c r="C6" s="81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3.1328125" style="88" customWidth="1"/>
    <col min="6" max="6" width="15.265625" style="88" customWidth="1"/>
    <col min="7" max="7" width="2.265625" style="88" customWidth="1"/>
    <col min="8" max="8" width="16.265625" style="88" bestFit="1" customWidth="1"/>
    <col min="9" max="9" width="6.265625" style="88" customWidth="1"/>
    <col min="10" max="10" width="13.73046875" style="88" bestFit="1" customWidth="1"/>
    <col min="11" max="11" width="2.265625" style="88" customWidth="1"/>
    <col min="12" max="12" width="14.265625" style="88" bestFit="1" customWidth="1"/>
    <col min="13" max="13" width="3" style="88" customWidth="1"/>
    <col min="14" max="14" width="45.265625" style="88" customWidth="1"/>
    <col min="15" max="16384" width="9.265625" style="88"/>
  </cols>
  <sheetData>
    <row r="2" spans="2:14" s="94" customFormat="1" ht="17.649999999999999">
      <c r="B2" s="815" t="s">
        <v>487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 ht="13.15">
      <c r="B4" s="92" t="s">
        <v>488</v>
      </c>
      <c r="C4" s="86"/>
      <c r="D4" s="90" t="s">
        <v>489</v>
      </c>
      <c r="E4" s="95"/>
      <c r="F4" s="90" t="s">
        <v>490</v>
      </c>
      <c r="H4" s="90" t="s">
        <v>491</v>
      </c>
      <c r="I4" s="95"/>
      <c r="J4" s="90" t="s">
        <v>492</v>
      </c>
      <c r="L4" s="90" t="s">
        <v>491</v>
      </c>
      <c r="M4" s="90"/>
      <c r="N4" s="90" t="s">
        <v>493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494</v>
      </c>
      <c r="H7" s="99"/>
      <c r="I7" s="95"/>
      <c r="J7" s="107" t="s">
        <v>494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496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497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494</v>
      </c>
      <c r="H15" s="99"/>
      <c r="I15" s="95"/>
      <c r="J15" s="107" t="s">
        <v>494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498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494</v>
      </c>
      <c r="H21" s="99"/>
      <c r="I21" s="95"/>
      <c r="J21" s="107" t="s">
        <v>494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499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497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494</v>
      </c>
      <c r="H27" s="99"/>
      <c r="I27" s="95"/>
      <c r="J27" s="107" t="s">
        <v>494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500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494</v>
      </c>
      <c r="H34" s="99"/>
      <c r="I34" s="95"/>
      <c r="J34" s="107" t="s">
        <v>494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507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8"/>
    <col min="2" max="2" width="22.265625" style="88" customWidth="1"/>
    <col min="3" max="3" width="4.265625" style="88" customWidth="1"/>
    <col min="4" max="4" width="14.265625" style="88" bestFit="1" customWidth="1"/>
    <col min="5" max="5" width="7" style="88" customWidth="1"/>
    <col min="6" max="6" width="3.1328125" style="88" customWidth="1"/>
    <col min="7" max="7" width="18.73046875" style="88" customWidth="1"/>
    <col min="8" max="8" width="9.265625" style="88" bestFit="1" customWidth="1"/>
    <col min="9" max="9" width="2" style="88" customWidth="1"/>
    <col min="10" max="10" width="14.265625" style="88" bestFit="1" customWidth="1"/>
    <col min="11" max="11" width="2.265625" style="88" customWidth="1"/>
    <col min="12" max="12" width="20.265625" style="88" customWidth="1"/>
    <col min="13" max="13" width="9.265625" style="88" bestFit="1" customWidth="1"/>
    <col min="14" max="14" width="0.73046875" style="88" customWidth="1"/>
    <col min="15" max="15" width="14.265625" style="88" bestFit="1" customWidth="1"/>
    <col min="16" max="16384" width="9.265625" style="88"/>
  </cols>
  <sheetData>
    <row r="2" spans="2:15" s="94" customFormat="1" ht="17.649999999999999">
      <c r="B2" s="815" t="s">
        <v>509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 ht="13.15">
      <c r="B4" s="92" t="s">
        <v>488</v>
      </c>
      <c r="C4" s="86"/>
      <c r="D4" s="90" t="s">
        <v>489</v>
      </c>
      <c r="E4" s="95"/>
      <c r="F4" s="95"/>
      <c r="G4" s="90" t="s">
        <v>510</v>
      </c>
      <c r="H4" s="96"/>
      <c r="J4" s="90" t="s">
        <v>491</v>
      </c>
      <c r="L4" s="90" t="s">
        <v>511</v>
      </c>
      <c r="M4" s="96"/>
      <c r="O4" s="90" t="s">
        <v>491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507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488</v>
      </c>
      <c r="C18" s="86"/>
      <c r="D18" s="90" t="s">
        <v>489</v>
      </c>
      <c r="E18" s="95"/>
      <c r="F18" s="95"/>
      <c r="G18" s="90" t="s">
        <v>513</v>
      </c>
      <c r="H18" s="96"/>
      <c r="J18" s="90" t="s">
        <v>491</v>
      </c>
      <c r="L18" s="90" t="s">
        <v>514</v>
      </c>
      <c r="M18" s="96"/>
      <c r="O18" s="90" t="s">
        <v>491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517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518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507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520</v>
      </c>
      <c r="C32" s="103"/>
      <c r="D32" s="103"/>
    </row>
    <row r="33" spans="2:4" ht="13.15" thickTop="1"/>
    <row r="34" spans="2:4">
      <c r="B34" s="88" t="s">
        <v>489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1328125" bestFit="1" customWidth="1"/>
    <col min="9" max="9" width="10.1328125" customWidth="1"/>
    <col min="10" max="10" width="19.1328125" bestFit="1" customWidth="1"/>
  </cols>
  <sheetData>
    <row r="1" spans="2:14">
      <c r="B1" s="817" t="str">
        <f>D15</f>
        <v>Gezina Galleries</v>
      </c>
      <c r="C1" s="817"/>
      <c r="D1" s="817"/>
      <c r="E1" s="816" t="s">
        <v>522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/>
    <row r="3" spans="2:14">
      <c r="B3" s="72" t="s">
        <v>523</v>
      </c>
      <c r="C3" s="72" t="s">
        <v>524</v>
      </c>
      <c r="D3" s="72" t="s">
        <v>525</v>
      </c>
      <c r="E3" s="78" t="s">
        <v>526</v>
      </c>
      <c r="F3" s="78" t="s">
        <v>527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2026-02-16T14:05:19Z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